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 Summary" sheetId="1" r:id="rId4"/>
    <sheet state="visible" name="All Recordings" sheetId="2" r:id="rId5"/>
    <sheet state="visible" name="Converted Clips" sheetId="3" r:id="rId6"/>
  </sheets>
  <definedNames>
    <definedName hidden="1" localSheetId="1" name="_xlnm._FilterDatabase">'All Recordings'!$A$1:$J$78</definedName>
  </definedNames>
  <calcPr/>
  <extLst>
    <ext uri="GoogleSheetsCustomDataVersion2">
      <go:sheetsCustomData xmlns:go="http://customooxmlschemas.google.com/" r:id="rId7" roundtripDataChecksum="L/qgSFYGB9vbBZAjXfH724UV2hizCPytvDMpB1jRqEU="/>
    </ext>
  </extLst>
</workbook>
</file>

<file path=xl/sharedStrings.xml><?xml version="1.0" encoding="utf-8"?>
<sst xmlns="http://schemas.openxmlformats.org/spreadsheetml/2006/main" count="1190" uniqueCount="533">
  <si>
    <t>Converted clips on the LaCie (xc_flac/, censused 2026-09-17)</t>
  </si>
  <si>
    <t>File</t>
  </si>
  <si>
    <t>Open-Source Recordings — Species Summary</t>
  </si>
  <si>
    <t>Every downloaded recording, converted with scripts/convert_to_flac.py to 32 kHz mono 16-bit FLAC (Perch's input format) and listed in manifests/xc_set_2146.csv. Originals (mp3, 44.1/48 kHz) stay in xc/. Paths are on the LaCie; neither folder is tracked by git.</t>
  </si>
  <si>
    <t>Public focal recordings from Xeno-canto set 2146 "Costa Rica Birds" (curated by Bobby Wilcox), recorded July 2016 around Arenal (600–750 m) and Monteverde (1400–1500 m). 77 recordings, 52 species, all CC BY-NC-SA 4.0. Not site data: species are grouped by whether eBird records them at La Selva Biological Station (species/la_selva_ebird.csv, EBD relJul-2026, 33,576 checklists). Names follow eBird/Clements as in that list; the Xeno-canto name is kept on the All Recordings sheet. Downloads and 32 kHz FLAC conversions are on the LaCie under data-prep/xc and data-prep/xc_flac.</t>
  </si>
  <si>
    <t>Folder</t>
  </si>
  <si>
    <t>Date</t>
  </si>
  <si>
    <t>Local time</t>
  </si>
  <si>
    <t>Label (as written on Xeno-canto)</t>
  </si>
  <si>
    <t>Species (canonical)</t>
  </si>
  <si>
    <t>Notes</t>
  </si>
  <si>
    <t>Quality</t>
  </si>
  <si>
    <t>Status</t>
  </si>
  <si>
    <t>Species folder</t>
  </si>
  <si>
    <t>Xeno-canto Link</t>
  </si>
  <si>
    <t>Duration (s)</t>
  </si>
  <si>
    <t>Format</t>
  </si>
  <si>
    <t>XC331252.mp3</t>
  </si>
  <si>
    <t>Path on LaCie</t>
  </si>
  <si>
    <t>xc_flac</t>
  </si>
  <si>
    <t>2016-07-29</t>
  </si>
  <si>
    <t>11:30</t>
  </si>
  <si>
    <t>Three-wattled Bellbird (Procnias tricarunculatus)</t>
  </si>
  <si>
    <t>32 kHz mono FLAC — 77 files</t>
  </si>
  <si>
    <t>Three-wattled Bellbird</t>
  </si>
  <si>
    <t>song; Reserva Curi-Cancha, Monteverde, 1500 m</t>
  </si>
  <si>
    <t>A</t>
  </si>
  <si>
    <t>La Selva species</t>
  </si>
  <si>
    <t>XC331252.flac</t>
  </si>
  <si>
    <t>FLAC 32 kHz mono</t>
  </si>
  <si>
    <t>/Volumes/LaCie/bird-project/data-prep/xc_flac/xc_flac/XC331252.flac</t>
  </si>
  <si>
    <t>XC331311.mp3</t>
  </si>
  <si>
    <t>2016-07-24</t>
  </si>
  <si>
    <t>14:00</t>
  </si>
  <si>
    <t>Brown Jay (Psilorhinus morio)</t>
  </si>
  <si>
    <t>Brown Jay</t>
  </si>
  <si>
    <t>XC331311.flac</t>
  </si>
  <si>
    <t>alarm call, call; Arenal Observatory Lodge, Fortuna, Costa Rica, 750 m; Xeno-canto uses the older genus Psilorhinus</t>
  </si>
  <si>
    <t>B</t>
  </si>
  <si>
    <t>Species</t>
  </si>
  <si>
    <t>/Volumes/LaCie/bird-project/data-prep/xc_flac/xc_flac/XC331311.flac</t>
  </si>
  <si>
    <t>Scientific name</t>
  </si>
  <si>
    <t># Recordings</t>
  </si>
  <si>
    <t>Data notes</t>
  </si>
  <si>
    <t>Recording 1</t>
  </si>
  <si>
    <t>Recording 2</t>
  </si>
  <si>
    <t>Recording 3</t>
  </si>
  <si>
    <t>XC331314.flac</t>
  </si>
  <si>
    <t>XC331314.mp3</t>
  </si>
  <si>
    <t>BIRDS ON THE LA SELVA LIST — 44 species (61 recordings; usable as positive training examples for the site)</t>
  </si>
  <si>
    <t>15:30</t>
  </si>
  <si>
    <t>/Volumes/LaCie/bird-project/data-prep/xc_flac/xc_flac/XC331314.flac</t>
  </si>
  <si>
    <t>Stripe-breasted Wren (Cantorchilus thoracicus)</t>
  </si>
  <si>
    <t>Stripe-breasted Wren</t>
  </si>
  <si>
    <t>call; people talking in background; Arenal Observatory Lodge, Fortuna, Costa Rica, 750 m</t>
  </si>
  <si>
    <t>Bananaquit</t>
  </si>
  <si>
    <t>Coereba flaveola</t>
  </si>
  <si>
    <t>XC331320.flac</t>
  </si>
  <si>
    <t>/Volumes/LaCie/bird-project/data-prep/xc_flac/xc_flac/XC331320.flac</t>
  </si>
  <si>
    <t>XC331320.mp3</t>
  </si>
  <si>
    <t>16:30</t>
  </si>
  <si>
    <t>Melodious Blackbird (Dives dives)</t>
  </si>
  <si>
    <t>Melodious Blackbird</t>
  </si>
  <si>
    <t>song; Arenal Observatory Lodge, Fortuna, Costa Rica, 750 m</t>
  </si>
  <si>
    <t>C</t>
  </si>
  <si>
    <t>XC331322.flac</t>
  </si>
  <si>
    <t>/Volumes/LaCie/bird-project/data-prep/xc_flac/xc_flac/XC331322.flac</t>
  </si>
  <si>
    <t>XC331322.mp3</t>
  </si>
  <si>
    <t>2016-07-25</t>
  </si>
  <si>
    <t>09:00</t>
  </si>
  <si>
    <t>XC331323.flac</t>
  </si>
  <si>
    <t>/Volumes/LaCie/bird-project/data-prep/xc_flac/xc_flac/XC331323.flac</t>
  </si>
  <si>
    <t>XC331323.mp3</t>
  </si>
  <si>
    <t>2016-07-26</t>
  </si>
  <si>
    <t>18:00</t>
  </si>
  <si>
    <t>call; Arenal Observatory Lodge, Fortuna, Costa Rica, 750 m</t>
  </si>
  <si>
    <t>Quality B×3; song; Arenal Observatory Lodge; La Selva: on 29.5% of checklists</t>
  </si>
  <si>
    <t>XC331326.flac</t>
  </si>
  <si>
    <t>/Volumes/LaCie/bird-project/data-prep/xc_flac/xc_flac/XC331326.flac</t>
  </si>
  <si>
    <t>XC331328.flac</t>
  </si>
  <si>
    <t>XC331326.mp3</t>
  </si>
  <si>
    <t>/Volumes/LaCie/bird-project/data-prep/xc_flac/xc_flac/XC331328.flac</t>
  </si>
  <si>
    <t>House Wren (Troglodytes aedon)</t>
  </si>
  <si>
    <t>Southern House Wren</t>
  </si>
  <si>
    <t>song; Arenal Observatory Lodge, Fortuna, Costa Rica, 750 m; Xeno-canto files it as House Wren (Troglodytes aedon); eBird splits the Costa Rican birds as Southern House Wren</t>
  </si>
  <si>
    <t>XC331333.flac</t>
  </si>
  <si>
    <t>/Volumes/LaCie/bird-project/data-prep/xc_flac/xc_flac/XC331333.flac</t>
  </si>
  <si>
    <t>Dives dives</t>
  </si>
  <si>
    <t>XC331328.mp3</t>
  </si>
  <si>
    <t>17:00</t>
  </si>
  <si>
    <t>XC331334.flac</t>
  </si>
  <si>
    <t>Sulphur-bellied Flycatcher (Myiodynastes luteiventris)</t>
  </si>
  <si>
    <t>Sulphur-bellied Flycatcher</t>
  </si>
  <si>
    <t>/Volumes/LaCie/bird-project/data-prep/xc_flac/xc_flac/XC331334.flac</t>
  </si>
  <si>
    <t>XC331335.flac</t>
  </si>
  <si>
    <t>Quality B×2, C×1; call; song; Arenal Observatory Lodge; La Selva: on 4.8% of checklists</t>
  </si>
  <si>
    <t>XC331333.mp3</t>
  </si>
  <si>
    <t>/Volumes/LaCie/bird-project/data-prep/xc_flac/xc_flac/XC331335.flac</t>
  </si>
  <si>
    <t>17:30</t>
  </si>
  <si>
    <t>XC331336.flac</t>
  </si>
  <si>
    <t>/Volumes/LaCie/bird-project/data-prep/xc_flac/xc_flac/XC331336.flac</t>
  </si>
  <si>
    <t>XC331334.mp3</t>
  </si>
  <si>
    <t>Scaly-breasted Hummingbird (Phaeochroa cuvierii)</t>
  </si>
  <si>
    <t>Scaly-breasted Hummingbird</t>
  </si>
  <si>
    <t>XC331354.flac</t>
  </si>
  <si>
    <t>/Volumes/LaCie/bird-project/data-prep/xc_flac/xc_flac/XC331354.flac</t>
  </si>
  <si>
    <t>Troglodytes musculus</t>
  </si>
  <si>
    <t>XC331355.flac</t>
  </si>
  <si>
    <t>XC331335.mp3</t>
  </si>
  <si>
    <t>/Volumes/LaCie/bird-project/data-prep/xc_flac/xc_flac/XC331355.flac</t>
  </si>
  <si>
    <t>Yellow-throated Toucan (Ramphastos ambiguus)</t>
  </si>
  <si>
    <t>Yellow-throated Toucan</t>
  </si>
  <si>
    <t>XC331356.flac</t>
  </si>
  <si>
    <t>Quality B×2, C×1; song; Arenal Observatory Lodge / Hotel El Bosque; La Selva: on 15.3% of checklists; Xeno-canto files it as House Wren (Troglodytes aedon); eBird splits the Costa Rican birds as Southern House Wren</t>
  </si>
  <si>
    <t>/Volumes/LaCie/bird-project/data-prep/xc_flac/xc_flac/XC331356.flac</t>
  </si>
  <si>
    <t>XC331336.mp3</t>
  </si>
  <si>
    <t>Northern Nightingale-Wren (Microcerculus philomela)</t>
  </si>
  <si>
    <t>Nightingale Wren</t>
  </si>
  <si>
    <t>XC331362.flac</t>
  </si>
  <si>
    <t>/Volumes/LaCie/bird-project/data-prep/xc_flac/xc_flac/XC331362.flac</t>
  </si>
  <si>
    <t>XC331354.mp3</t>
  </si>
  <si>
    <t>12:00</t>
  </si>
  <si>
    <t>Variable Seedeater (Sporophila corvina)</t>
  </si>
  <si>
    <t>Variable Seedeater</t>
  </si>
  <si>
    <t>XC331367.flac</t>
  </si>
  <si>
    <t>/Volumes/LaCie/bird-project/data-prep/xc_flac/xc_flac/XC331367.flac</t>
  </si>
  <si>
    <t>Procnias tricarunculatus</t>
  </si>
  <si>
    <t>XC331372.flac</t>
  </si>
  <si>
    <t>XC331355.mp3</t>
  </si>
  <si>
    <t>12:30</t>
  </si>
  <si>
    <t>/Volumes/LaCie/bird-project/data-prep/xc_flac/xc_flac/XC331372.flac</t>
  </si>
  <si>
    <t>Thicket Antpitta (Hylopezus dives)</t>
  </si>
  <si>
    <t>Thicket Antpitta</t>
  </si>
  <si>
    <t>song; Arenal Observatory Lodge, Fortuna, Costa Rica, 750 m; Xeno-canto uses the older genus Hylopezus</t>
  </si>
  <si>
    <t>XC331381.flac</t>
  </si>
  <si>
    <t>Quality A×3; song; Children's Eternal Rain Forest Bajo del Tigre / Reserva Curi-Cancha; La Selva: on 0.5% of checklists</t>
  </si>
  <si>
    <t>/Volumes/LaCie/bird-project/data-prep/xc_flac/xc_flac/XC331381.flac</t>
  </si>
  <si>
    <t>XC331356.mp3</t>
  </si>
  <si>
    <t>XC331385.flac</t>
  </si>
  <si>
    <t>/Volumes/LaCie/bird-project/data-prep/xc_flac/xc_flac/XC331385.flac</t>
  </si>
  <si>
    <t>XC331362.mp3</t>
  </si>
  <si>
    <t>Orange-chinned Parakeet (Brotogeris jugularis)</t>
  </si>
  <si>
    <t>Orange-chinned Parakeet</t>
  </si>
  <si>
    <t>Black-headed Nightingale-Thrush</t>
  </si>
  <si>
    <t>Catharus mexicanus</t>
  </si>
  <si>
    <t>XC331367.mp3</t>
  </si>
  <si>
    <t>06:00</t>
  </si>
  <si>
    <t>Crested Guan (Penelope purpurascens)</t>
  </si>
  <si>
    <t>Crested Guan</t>
  </si>
  <si>
    <t>Quality A×1, B×1; song; Reserva Curi-Cancha; La Selva: on 0.1% of checklists</t>
  </si>
  <si>
    <t>XC331386.flac</t>
  </si>
  <si>
    <t>XC331372.mp3</t>
  </si>
  <si>
    <t>/Volumes/LaCie/bird-project/data-prep/xc_flac/xc_flac/XC331386.flac</t>
  </si>
  <si>
    <t>Montezuma Oropendola (Psarocolius montezuma)</t>
  </si>
  <si>
    <t>Montezuma Oropendola</t>
  </si>
  <si>
    <t>XC331387.flac</t>
  </si>
  <si>
    <t>/Volumes/LaCie/bird-project/data-prep/xc_flac/xc_flac/XC331387.flac</t>
  </si>
  <si>
    <t>XC331381.mp3</t>
  </si>
  <si>
    <t>Black-striped Sparrow</t>
  </si>
  <si>
    <t>Arremonops conirostris</t>
  </si>
  <si>
    <t>07:00</t>
  </si>
  <si>
    <t>Slaty Spinetail (Synallaxis brachyura)</t>
  </si>
  <si>
    <t>Slaty Spinetail</t>
  </si>
  <si>
    <t>XC331388.flac</t>
  </si>
  <si>
    <t>/Volumes/LaCie/bird-project/data-prep/xc_flac/xc_flac/XC331388.flac</t>
  </si>
  <si>
    <t>Quality B×1, C×1; call; song; Arenal Observatory Lodge; La Selva: on 4.3% of checklists</t>
  </si>
  <si>
    <t>XC331385.mp3</t>
  </si>
  <si>
    <t>Bananaquit (Coereba flaveola)</t>
  </si>
  <si>
    <t>XC331389.flac</t>
  </si>
  <si>
    <t>/Volumes/LaCie/bird-project/data-prep/xc_flac/xc_flac/XC331389.flac</t>
  </si>
  <si>
    <t>XC331386.mp3</t>
  </si>
  <si>
    <t>XC331390.flac</t>
  </si>
  <si>
    <t>/Volumes/LaCie/bird-project/data-prep/xc_flac/xc_flac/XC331390.flac</t>
  </si>
  <si>
    <t>Black-throated Wren</t>
  </si>
  <si>
    <t>Pheugopedius atrogularis</t>
  </si>
  <si>
    <t>XC331431.flac</t>
  </si>
  <si>
    <t>/Volumes/LaCie/bird-project/data-prep/xc_flac/xc_flac/XC331431.flac</t>
  </si>
  <si>
    <t>XC331387.mp3</t>
  </si>
  <si>
    <t>2016-07-27</t>
  </si>
  <si>
    <t>Quality B×2; song; Arenal Observatory Lodge; La Selva: on 12.0% of checklists</t>
  </si>
  <si>
    <t>XC331388.mp3</t>
  </si>
  <si>
    <t>XC331434.flac</t>
  </si>
  <si>
    <t>Black-throated Wren (Pheugopedius atrogularis)</t>
  </si>
  <si>
    <t>/Volumes/LaCie/bird-project/data-prep/xc_flac/xc_flac/XC331434.flac</t>
  </si>
  <si>
    <t>Cyanocorax morio</t>
  </si>
  <si>
    <t>XC331389.mp3</t>
  </si>
  <si>
    <t>Quality B×2; alarm call; call; Arenal Observatory Lodge / Reserva Curi-Cancha; La Selva: on 0.9% of checklists; Xeno-canto uses the older genus Psilorhinus</t>
  </si>
  <si>
    <t>XC331436.flac</t>
  </si>
  <si>
    <t>/Volumes/LaCie/bird-project/data-prep/xc_flac/xc_flac/XC331436.flac</t>
  </si>
  <si>
    <t>XC331390.mp3</t>
  </si>
  <si>
    <t>Cinnamon Becard (Pachyramphus cinnamomeus)</t>
  </si>
  <si>
    <t>Cinnamon Becard</t>
  </si>
  <si>
    <t>XC331449.flac</t>
  </si>
  <si>
    <t>Keel-billed Toucan</t>
  </si>
  <si>
    <t>XC331431.mp3</t>
  </si>
  <si>
    <t>Ramphastos sulfuratus</t>
  </si>
  <si>
    <t>/Volumes/LaCie/bird-project/data-prep/xc_flac/xc_flac/XC331449.flac</t>
  </si>
  <si>
    <t>Clay-colored Thrush (Turdus grayi)</t>
  </si>
  <si>
    <t>Clay-colored Thrush</t>
  </si>
  <si>
    <t>XC331460.flac</t>
  </si>
  <si>
    <t>/Volumes/LaCie/bird-project/data-prep/xc_flac/xc_flac/XC331460.flac</t>
  </si>
  <si>
    <t>XC331434.mp3</t>
  </si>
  <si>
    <t>Quality B×2; call; Reserva Curi-Cancha; La Selva: on 39.0% of checklists</t>
  </si>
  <si>
    <t>Black-striped Sparrow (Arremonops conirostris)</t>
  </si>
  <si>
    <t>XC331462.flac</t>
  </si>
  <si>
    <t>/Volumes/LaCie/bird-project/data-prep/xc_flac/xc_flac/XC331462.flac</t>
  </si>
  <si>
    <t>XC331463.flac</t>
  </si>
  <si>
    <t>XC331436.mp3</t>
  </si>
  <si>
    <t>/Volumes/LaCie/bird-project/data-prep/xc_flac/xc_flac/XC331463.flac</t>
  </si>
  <si>
    <t>16:00</t>
  </si>
  <si>
    <t>XC331465.flac</t>
  </si>
  <si>
    <t>Psarocolius montezuma</t>
  </si>
  <si>
    <t>/Volumes/LaCie/bird-project/data-prep/xc_flac/xc_flac/XC331465.flac</t>
  </si>
  <si>
    <t>XC331449.mp3</t>
  </si>
  <si>
    <t>Common Tody-Flycatcher (Todirostrum cinereum)</t>
  </si>
  <si>
    <t>Common Tody-Flycatcher</t>
  </si>
  <si>
    <t>XC331469.flac</t>
  </si>
  <si>
    <t>/Volumes/LaCie/bird-project/data-prep/xc_flac/xc_flac/XC331469.flac</t>
  </si>
  <si>
    <t>Quality C×2; song; Arenal Observatory Lodge / Hotel Castillo del Arenal; La Selva: on 49.2% of checklists</t>
  </si>
  <si>
    <t>XC331460.mp3</t>
  </si>
  <si>
    <t>XC331470.flac</t>
  </si>
  <si>
    <t>Grey-capped Flycatcher (Myiozetetes granadensis)</t>
  </si>
  <si>
    <t>/Volumes/LaCie/bird-project/data-prep/xc_flac/xc_flac/XC331470.flac</t>
  </si>
  <si>
    <t>Gray-capped Flycatcher</t>
  </si>
  <si>
    <t>Microcerculus philomela</t>
  </si>
  <si>
    <t>XC331600.flac</t>
  </si>
  <si>
    <t>/Volumes/LaCie/bird-project/data-prep/xc_flac/xc_flac/XC331600.flac</t>
  </si>
  <si>
    <t>XC331462.mp3</t>
  </si>
  <si>
    <t>09:30</t>
  </si>
  <si>
    <t>Scarlet-rumped Tanager (Ramphocelus passerinii)</t>
  </si>
  <si>
    <t>Scarlet-rumped Tanager</t>
  </si>
  <si>
    <t>Quality B×1, C×1; song; Arenal Observatory Lodge; La Selva: on 0.3% of checklists</t>
  </si>
  <si>
    <t>XC331639.flac</t>
  </si>
  <si>
    <t>/Volumes/LaCie/bird-project/data-prep/xc_flac/xc_flac/XC331639.flac</t>
  </si>
  <si>
    <t>XC331463.mp3</t>
  </si>
  <si>
    <t>XC331640.flac</t>
  </si>
  <si>
    <t>10:00</t>
  </si>
  <si>
    <t>Buff-rumped Warbler (Myiothlypis fulvicauda)</t>
  </si>
  <si>
    <t>Buff-rumped Warbler</t>
  </si>
  <si>
    <t>/Volumes/LaCie/bird-project/data-prep/xc_flac/xc_flac/XC331640.flac</t>
  </si>
  <si>
    <t>Phaeochroa cuvierii</t>
  </si>
  <si>
    <t>XC331641.flac</t>
  </si>
  <si>
    <t>/Volumes/LaCie/bird-project/data-prep/xc_flac/xc_flac/XC331641.flac</t>
  </si>
  <si>
    <t>XC331465.mp3</t>
  </si>
  <si>
    <t>11:00</t>
  </si>
  <si>
    <t>Quality A×1, C×1; song; Arenal Observatory Lodge; La Selva: on 4.9% of checklists</t>
  </si>
  <si>
    <t>XC331642.flac</t>
  </si>
  <si>
    <t>/Volumes/LaCie/bird-project/data-prep/xc_flac/xc_flac/XC331642.flac</t>
  </si>
  <si>
    <t>XC331469.mp3</t>
  </si>
  <si>
    <t>Streak-headed Woodcreeper (Lepidocolaptes souleyetii)</t>
  </si>
  <si>
    <t>Streak-headed Woodcreeper</t>
  </si>
  <si>
    <t>XC331643.flac</t>
  </si>
  <si>
    <t>/Volumes/LaCie/bird-project/data-prep/xc_flac/xc_flac/XC331643.flac</t>
  </si>
  <si>
    <t>Cantorchilus thoracicus</t>
  </si>
  <si>
    <t>XC331646.flac</t>
  </si>
  <si>
    <t>XC331470.mp3</t>
  </si>
  <si>
    <t>/Volumes/LaCie/bird-project/data-prep/xc_flac/xc_flac/XC331646.flac</t>
  </si>
  <si>
    <t>06:30</t>
  </si>
  <si>
    <t>Quality A×1, B×1; call; song; Arenal Observatory Lodge; La Selva: on 20.4% of checklists; Seed species (in the June 2022 extracts); XC331314 has people talking in the background</t>
  </si>
  <si>
    <t>XC332138.flac</t>
  </si>
  <si>
    <t>/Volumes/LaCie/bird-project/data-prep/xc_flac/xc_flac/XC332138.flac</t>
  </si>
  <si>
    <t>XC331600.mp3</t>
  </si>
  <si>
    <t>10:30</t>
  </si>
  <si>
    <t>Spotted Antbird (Hylophylax naevioides)</t>
  </si>
  <si>
    <t>Spotted Antbird</t>
  </si>
  <si>
    <t>XC332139.flac</t>
  </si>
  <si>
    <t>alarm call, call; Arenal Observatory Lodge, Fortuna, Costa Rica, 750 m</t>
  </si>
  <si>
    <t>/Volumes/LaCie/bird-project/data-prep/xc_flac/xc_flac/XC332139.flac</t>
  </si>
  <si>
    <t>Blue-black Grosbeak</t>
  </si>
  <si>
    <t>Cyanoloxia cyanoides</t>
  </si>
  <si>
    <t>XC332140.flac</t>
  </si>
  <si>
    <t>XC331639.mp3</t>
  </si>
  <si>
    <t>/Volumes/LaCie/bird-project/data-prep/xc_flac/xc_flac/XC332140.flac</t>
  </si>
  <si>
    <t>2016-07-28</t>
  </si>
  <si>
    <t>13:00</t>
  </si>
  <si>
    <t>Grey-headed Chachalaca (Ortalis cinereiceps)</t>
  </si>
  <si>
    <t>Gray-headed Chachalaca</t>
  </si>
  <si>
    <t>alarm call; Hotel El Bosque, Monteverde, Puntarenas, 1400 m</t>
  </si>
  <si>
    <t>Quality C×1; song; Hotel Castillo del Arenal; La Selva: on 10.5% of checklists</t>
  </si>
  <si>
    <t>XC332144.flac</t>
  </si>
  <si>
    <t>/Volumes/LaCie/bird-project/data-prep/xc_flac/xc_flac/XC332144.flac</t>
  </si>
  <si>
    <t>XC332147.flac</t>
  </si>
  <si>
    <t>Blue-gray Tanager</t>
  </si>
  <si>
    <t>/Volumes/LaCie/bird-project/data-prep/xc_flac/xc_flac/XC332147.flac</t>
  </si>
  <si>
    <t>Thraupis episcopus</t>
  </si>
  <si>
    <t>XC331640.mp3</t>
  </si>
  <si>
    <t>XC332163.flac</t>
  </si>
  <si>
    <t>/Volumes/LaCie/bird-project/data-prep/xc_flac/xc_flac/XC332163.flac</t>
  </si>
  <si>
    <t>Quality C×1; song; Monteverde; La Selva: on 38.7% of checklists</t>
  </si>
  <si>
    <t>song; Hotel Castillo del Arenal, El Castillo, 600 m</t>
  </si>
  <si>
    <t>XC332164.flac</t>
  </si>
  <si>
    <t>/Volumes/LaCie/bird-project/data-prep/xc_flac/xc_flac/XC332164.flac</t>
  </si>
  <si>
    <t>Boat-billed Flycatcher</t>
  </si>
  <si>
    <t>Megarynchus pitangua</t>
  </si>
  <si>
    <t>XC331641.mp3</t>
  </si>
  <si>
    <t>XC332165.flac</t>
  </si>
  <si>
    <t>Red-lored Amazon (Amazona autumnalis)</t>
  </si>
  <si>
    <t>/Volumes/LaCie/bird-project/data-prep/xc_flac/xc_flac/XC332165.flac</t>
  </si>
  <si>
    <t>Red-lored Amazon</t>
  </si>
  <si>
    <t>call; Hotel Castillo del Arenal, El Castillo, 600 m</t>
  </si>
  <si>
    <t>Quality B×1; call; Hotel El Bosque; La Selva: on 26.0% of checklists</t>
  </si>
  <si>
    <t>XC332166.flac</t>
  </si>
  <si>
    <t>/Volumes/LaCie/bird-project/data-prep/xc_flac/xc_flac/XC332166.flac</t>
  </si>
  <si>
    <t>XC331642.mp3</t>
  </si>
  <si>
    <t>Myiothlypis fulvicauda</t>
  </si>
  <si>
    <t>Buff-throated Saltator (Saltator maximus)</t>
  </si>
  <si>
    <t>Buff-throated Saltator</t>
  </si>
  <si>
    <t>XC332230.flac</t>
  </si>
  <si>
    <t>/Volumes/LaCie/bird-project/data-prep/xc_flac/xc_flac/XC332230.flac</t>
  </si>
  <si>
    <t>Quality C×1; song; Arenal Observatory Lodge; La Selva: on 19.3% of checklists</t>
  </si>
  <si>
    <t>XC331643.mp3</t>
  </si>
  <si>
    <t>XC332260.flac</t>
  </si>
  <si>
    <t>Blue-black Grosbeak (Cyanoloxia cyanoides)</t>
  </si>
  <si>
    <t>/Volumes/LaCie/bird-project/data-prep/xc_flac/xc_flac/XC332260.flac</t>
  </si>
  <si>
    <t>Saltator maximus</t>
  </si>
  <si>
    <t>XC332261.flac</t>
  </si>
  <si>
    <t>/Volumes/LaCie/bird-project/data-prep/xc_flac/xc_flac/XC332261.flac</t>
  </si>
  <si>
    <t>XC331646.mp3</t>
  </si>
  <si>
    <t>Orange-billed Nightingale-Thrush (Catharus aurantiirostris)</t>
  </si>
  <si>
    <t>Orange-billed Nightingale-Thrush</t>
  </si>
  <si>
    <t>song; Hotel El Bosque, Monteverde, Puntarenas, 1400 m</t>
  </si>
  <si>
    <t>Not at La Selva</t>
  </si>
  <si>
    <t>XC332262.flac</t>
  </si>
  <si>
    <t>Quality B×1; song; Hotel Castillo del Arenal; La Selva: on 32.5% of checklists</t>
  </si>
  <si>
    <t>/Volumes/LaCie/bird-project/data-prep/xc_flac/xc_flac/XC332262.flac</t>
  </si>
  <si>
    <t>XC332138.mp3</t>
  </si>
  <si>
    <t>08:00</t>
  </si>
  <si>
    <t>XC332265.flac</t>
  </si>
  <si>
    <t>White-throated Magpie-Jay (Calocitta formosa)</t>
  </si>
  <si>
    <t>White-throated Magpie-Jay</t>
  </si>
  <si>
    <t>call; Hotel Castillo del Arenal, El Castillo, 600 m; Xeno-canto uses the older genus Calocitta</t>
  </si>
  <si>
    <t>Pachyramphus cinnamomeus</t>
  </si>
  <si>
    <t>/Volumes/LaCie/bird-project/data-prep/xc_flac/xc_flac/XC332265.flac</t>
  </si>
  <si>
    <t>XC332268.flac</t>
  </si>
  <si>
    <t>Quality B×1; song; Arenal Observatory Lodge; La Selva: on 26.4% of checklists</t>
  </si>
  <si>
    <t>XC332139.mp3</t>
  </si>
  <si>
    <t>/Volumes/LaCie/bird-project/data-prep/xc_flac/xc_flac/XC332268.flac</t>
  </si>
  <si>
    <t>Cabanis's Wren (Cantorchilus modestus)</t>
  </si>
  <si>
    <t>Cabanis's Wren</t>
  </si>
  <si>
    <t>call; Hotel El Bosque, Monteverde, Puntarenas, 1400 m</t>
  </si>
  <si>
    <t>XC332269.flac</t>
  </si>
  <si>
    <t>/Volumes/LaCie/bird-project/data-prep/xc_flac/xc_flac/XC332269.flac</t>
  </si>
  <si>
    <t>Turdus grayi</t>
  </si>
  <si>
    <t>XC332140.mp3</t>
  </si>
  <si>
    <t>XC332270.flac</t>
  </si>
  <si>
    <t>/Volumes/LaCie/bird-project/data-prep/xc_flac/xc_flac/XC332270.flac</t>
  </si>
  <si>
    <t>Quality B×1; song; Arenal Observatory Lodge; La Selva: on 44.6% of checklists</t>
  </si>
  <si>
    <t>XC332384.flac</t>
  </si>
  <si>
    <t>XC332144.mp3</t>
  </si>
  <si>
    <t>/Volumes/LaCie/bird-project/data-prep/xc_flac/xc_flac/XC332384.flac</t>
  </si>
  <si>
    <t>Collared Trogon</t>
  </si>
  <si>
    <t>Trogon collaris</t>
  </si>
  <si>
    <t>XC332386.flac</t>
  </si>
  <si>
    <t>/Volumes/LaCie/bird-project/data-prep/xc_flac/xc_flac/XC332386.flac</t>
  </si>
  <si>
    <t>XC332147.mp3</t>
  </si>
  <si>
    <t>2016-07-31</t>
  </si>
  <si>
    <t>song; Children's Eternal Rain Forest Bajo del Tigre, 1400 m</t>
  </si>
  <si>
    <t>XC332387.flac</t>
  </si>
  <si>
    <t>/Volumes/LaCie/bird-project/data-prep/xc_flac/xc_flac/XC332387.flac</t>
  </si>
  <si>
    <t>XC332163.mp3</t>
  </si>
  <si>
    <t>XC332446.flac</t>
  </si>
  <si>
    <t>Rufous-and-white Wren (Thryophilus rufalbus)</t>
  </si>
  <si>
    <t>Quality C×1; call; Reserva Curi-Cancha; La Selva: on 0.1% of checklists</t>
  </si>
  <si>
    <t>Rufous-and-white Wren</t>
  </si>
  <si>
    <t>/Volumes/LaCie/bird-project/data-prep/xc_flac/xc_flac/XC332446.flac</t>
  </si>
  <si>
    <t>D</t>
  </si>
  <si>
    <t>XC332447.flac</t>
  </si>
  <si>
    <t>/Volumes/LaCie/bird-project/data-prep/xc_flac/xc_flac/XC332447.flac</t>
  </si>
  <si>
    <t>XC332164.mp3</t>
  </si>
  <si>
    <t>Todirostrum cinereum</t>
  </si>
  <si>
    <t>08:30</t>
  </si>
  <si>
    <t>alarm call, call; Hotel El Bosque, Monteverde, Puntarenas, 1400 m</t>
  </si>
  <si>
    <t>XC332449.flac</t>
  </si>
  <si>
    <t>/Volumes/LaCie/bird-project/data-prep/xc_flac/xc_flac/XC332449.flac</t>
  </si>
  <si>
    <t>Quality B×1; call; Arenal Observatory Lodge; La Selva: on 26.2% of checklists</t>
  </si>
  <si>
    <t>XC332165.mp3</t>
  </si>
  <si>
    <t>Slate-throated Whitestart (Myioborus miniatus)</t>
  </si>
  <si>
    <t>Slate-throated Redstart</t>
  </si>
  <si>
    <t>XC332450.flac</t>
  </si>
  <si>
    <t>call, song; Reserva Curi-Cancha, Monteverde, 1500 m</t>
  </si>
  <si>
    <t>/Volumes/LaCie/bird-project/data-prep/xc_flac/xc_flac/XC332450.flac</t>
  </si>
  <si>
    <t>Penelope purpurascens</t>
  </si>
  <si>
    <t>XC332499.flac</t>
  </si>
  <si>
    <t>XC332166.mp3</t>
  </si>
  <si>
    <t>/Volumes/LaCie/bird-project/data-prep/xc_flac/xc_flac/XC332499.flac</t>
  </si>
  <si>
    <t>Quality A×1; call; Arenal Observatory Lodge; La Selva: on 38.5% of checklists</t>
  </si>
  <si>
    <t>Yellow-faced Grassquit (Tiaris olivaceus)</t>
  </si>
  <si>
    <t>Yellow-faced Grassquit</t>
  </si>
  <si>
    <t>XC332502.flac</t>
  </si>
  <si>
    <t>/Volumes/LaCie/bird-project/data-prep/xc_flac/xc_flac/XC332502.flac</t>
  </si>
  <si>
    <t>Myiozetetes granadensis</t>
  </si>
  <si>
    <t>XC332230.mp3</t>
  </si>
  <si>
    <t>Grey-breasted Wood Wren (Henicorhina leucophrys)</t>
  </si>
  <si>
    <t>Gray-breasted Wood-Wren</t>
  </si>
  <si>
    <t>XC332506.flac</t>
  </si>
  <si>
    <t>/Volumes/LaCie/bird-project/data-prep/xc_flac/xc_flac/XC332506.flac</t>
  </si>
  <si>
    <t>Quality B×1; call; Arenal Observatory Lodge; La Selva: on 32.1% of checklists</t>
  </si>
  <si>
    <t>XC332260.mp3</t>
  </si>
  <si>
    <t>XC332512.flac</t>
  </si>
  <si>
    <t>Grey-crowned Yellowthroat (Geothlypis poliocephala)</t>
  </si>
  <si>
    <t>Gray-crowned Yellowthroat</t>
  </si>
  <si>
    <t>/Volumes/LaCie/bird-project/data-prep/xc_flac/xc_flac/XC332512.flac</t>
  </si>
  <si>
    <t>Geothlypis poliocephala</t>
  </si>
  <si>
    <t>XC332528.flac</t>
  </si>
  <si>
    <t>XC332261.mp3</t>
  </si>
  <si>
    <t>/Volumes/LaCie/bird-project/data-prep/xc_flac/xc_flac/XC332528.flac</t>
  </si>
  <si>
    <t>Quality B×1; song; Reserva Curi-Cancha; La Selva: on 0.4% of checklists</t>
  </si>
  <si>
    <t>XC332567.flac</t>
  </si>
  <si>
    <t>/Volumes/LaCie/bird-project/data-prep/xc_flac/xc_flac/XC332567.flac</t>
  </si>
  <si>
    <t>XC332262.mp3</t>
  </si>
  <si>
    <t>Ortalis cinereiceps</t>
  </si>
  <si>
    <t>Resplendent Quetzal (Pharomachrus mocinno)</t>
  </si>
  <si>
    <t>Resplendent Quetzal</t>
  </si>
  <si>
    <t>alarm call; Reserva Curi-Cancha, Monteverde, 1500 m</t>
  </si>
  <si>
    <t>XC332568.flac</t>
  </si>
  <si>
    <t>/Volumes/LaCie/bird-project/data-prep/xc_flac/xc_flac/XC332568.flac</t>
  </si>
  <si>
    <t>Quality C×1; alarm call; Hotel El Bosque; La Selva: on 5.9% of checklists</t>
  </si>
  <si>
    <t>XC332265.mp3</t>
  </si>
  <si>
    <t>XC332569.flac</t>
  </si>
  <si>
    <t>Coppery-headed Emerald (Microchera cupreiceps)</t>
  </si>
  <si>
    <t>/Volumes/LaCie/bird-project/data-prep/xc_flac/xc_flac/XC332569.flac</t>
  </si>
  <si>
    <t>Coppery-headed Emerald</t>
  </si>
  <si>
    <t>Lesser Greenlet</t>
  </si>
  <si>
    <t>Pachysylvia decurtata</t>
  </si>
  <si>
    <t>XC332572.flac</t>
  </si>
  <si>
    <t>/Volumes/LaCie/bird-project/data-prep/xc_flac/xc_flac/XC332572.flac</t>
  </si>
  <si>
    <t>XC332268.mp3</t>
  </si>
  <si>
    <t>2016-07-30</t>
  </si>
  <si>
    <t>Rufous-tailed Hummingbird (Amazilia tzacatl)</t>
  </si>
  <si>
    <t>Rufous-tailed Hummingbird</t>
  </si>
  <si>
    <t>XC332573.flac</t>
  </si>
  <si>
    <t>/Volumes/LaCie/bird-project/data-prep/xc_flac/xc_flac/XC332573.flac</t>
  </si>
  <si>
    <t>Quality B×1; call; song; Reserva Curi-Cancha; La Selva: on 22.8% of checklists; Seed species (in the June 2022 extracts)</t>
  </si>
  <si>
    <t>XC332269.mp3</t>
  </si>
  <si>
    <t>XC332575.flac</t>
  </si>
  <si>
    <t>song; Hotel El Bosque, Monteverde, Puntarenas, 1400 m; Xeno-canto files it as House Wren (Troglodytes aedon); eBird splits the Costa Rican birds as Southern House Wren</t>
  </si>
  <si>
    <t>/Volumes/LaCie/bird-project/data-prep/xc_flac/xc_flac/XC332575.flac</t>
  </si>
  <si>
    <t>Brotogeris jugularis</t>
  </si>
  <si>
    <t>Total</t>
  </si>
  <si>
    <t>XC332270.mp3</t>
  </si>
  <si>
    <t>Boat-billed Flycatcher (Megarynchus pitangua)</t>
  </si>
  <si>
    <t>Quality B×1; call; Arenal Observatory Lodge; La Selva: on 23.5% of checklists</t>
  </si>
  <si>
    <t>files</t>
  </si>
  <si>
    <t>XC332384.mp3</t>
  </si>
  <si>
    <t>Amazona autumnalis</t>
  </si>
  <si>
    <t>Yellow-throated Euphonia (Euphonia hirundinacea)</t>
  </si>
  <si>
    <t>Yellow-throated Euphonia</t>
  </si>
  <si>
    <t>Total audio (min)</t>
  </si>
  <si>
    <t>Quality B×1; call; Hotel Castillo del Arenal; La Selva: on 32.9% of checklists; Seed species (in the June 2022 extracts)</t>
  </si>
  <si>
    <t>XC332386.mp3</t>
  </si>
  <si>
    <t>Blue-grey Tanager (Thraupis episcopus)</t>
  </si>
  <si>
    <t>song; Monteverde, Provincia de Puntarenas, 1400 m</t>
  </si>
  <si>
    <t>Pharomachrus mocinno</t>
  </si>
  <si>
    <t>XC332387.mp3</t>
  </si>
  <si>
    <t>Lesser Greenlet (Pachysylvia decurtata)</t>
  </si>
  <si>
    <t>Quality B×1; alarm call; Reserva Curi-Cancha; La Selva: on 0.0% of checklists</t>
  </si>
  <si>
    <t>XC332446.mp3</t>
  </si>
  <si>
    <t>Amazilia tzacatl</t>
  </si>
  <si>
    <t>Black-headed Nightingale-Thrush (Catharus mexicanus)</t>
  </si>
  <si>
    <t>Quality C×1; song; Hotel El Bosque; La Selva: on 45.9% of checklists</t>
  </si>
  <si>
    <t>XC332447.mp3</t>
  </si>
  <si>
    <t>Ramphocelus passerinii</t>
  </si>
  <si>
    <t>XC332449.mp3</t>
  </si>
  <si>
    <t>call; Reserva Curi-Cancha, Monteverde, 1500 m</t>
  </si>
  <si>
    <t>Quality B×1; song; Arenal Observatory Lodge; La Selva: on 54.5% of checklists</t>
  </si>
  <si>
    <t>XC332450.mp3</t>
  </si>
  <si>
    <t>13:30</t>
  </si>
  <si>
    <t>Collared Trogon (Trogon collaris)</t>
  </si>
  <si>
    <t>Synallaxis brachyura</t>
  </si>
  <si>
    <t>XC332499.mp3</t>
  </si>
  <si>
    <t>Quality B×1; call; Arenal Observatory Lodge; La Selva: on 1.2% of checklists</t>
  </si>
  <si>
    <t>14:30</t>
  </si>
  <si>
    <t>Black-eared Warbler (Basileuterus melanotis)</t>
  </si>
  <si>
    <t>Costa Rican Warbler</t>
  </si>
  <si>
    <t>Hylophylax naevioides</t>
  </si>
  <si>
    <t>XC332502.mp3</t>
  </si>
  <si>
    <t>15:00</t>
  </si>
  <si>
    <t>call; Reserva Curi-Cancha, Monteverde, 1500 m; Xeno-canto uses the older genus Psilorhinus</t>
  </si>
  <si>
    <t>Quality C×1; alarm call; call; Arenal Observatory Lodge; La Selva: on 5.1% of checklists</t>
  </si>
  <si>
    <t>XC332506.mp3</t>
  </si>
  <si>
    <t>White-throated Spadebill (Platyrinchus mystaceus)</t>
  </si>
  <si>
    <t>White-throated Spadebill</t>
  </si>
  <si>
    <t>Lepidocolaptes souleyetii</t>
  </si>
  <si>
    <t>XC332512.mp3</t>
  </si>
  <si>
    <t>Keel-billed Toucan (Ramphastos sulfuratus)</t>
  </si>
  <si>
    <t>Quality C×1; song; Arenal Observatory Lodge; La Selva: on 20.9% of checklists</t>
  </si>
  <si>
    <t>XC332528.mp3</t>
  </si>
  <si>
    <t>Myiodynastes luteiventris</t>
  </si>
  <si>
    <t>Quality B×1; call; Arenal Observatory Lodge; La Selva: on 1.8% of checklists</t>
  </si>
  <si>
    <t>XC332567.mp3</t>
  </si>
  <si>
    <t>Myrmothera dives</t>
  </si>
  <si>
    <t>XC332568.mp3</t>
  </si>
  <si>
    <t>Quality C×1; song; Arenal Observatory Lodge; La Selva: on 0.3% of checklists; Xeno-canto uses the older genus Hylopezus</t>
  </si>
  <si>
    <t>XC332569.mp3</t>
  </si>
  <si>
    <t>Sporophila corvina</t>
  </si>
  <si>
    <t>Quality C×1; song; Arenal Observatory Lodge; La Selva: on 33.1% of checklists</t>
  </si>
  <si>
    <t>XC332572.mp3</t>
  </si>
  <si>
    <t>Long-tailed Manakin (Chiroxiphia linearis)</t>
  </si>
  <si>
    <t>Long-tailed Manakin</t>
  </si>
  <si>
    <t>call; Children's Eternal Rain Forest Bajo del Tigre, 1400 m</t>
  </si>
  <si>
    <t>Cyanocorax formosus</t>
  </si>
  <si>
    <t>XC332573.mp3</t>
  </si>
  <si>
    <t>Quality B×1; call; Hotel Castillo del Arenal; La Selva: on 0.1% of checklists; Xeno-canto uses the older genus Calocitta</t>
  </si>
  <si>
    <t>XC332575.mp3</t>
  </si>
  <si>
    <t>White-throated Thrush (Turdus assimilis)</t>
  </si>
  <si>
    <t>White-throated Thrush</t>
  </si>
  <si>
    <t>Platyrinchus mystaceus</t>
  </si>
  <si>
    <t>Quality B×1; call; Reserva Curi-Cancha; La Selva: on 0.0% of checklists</t>
  </si>
  <si>
    <t>Turdus assimilis</t>
  </si>
  <si>
    <t>Quality A×1; alarm call; call; Arenal Observatory Lodge; La Selva: on 0.7% of checklists</t>
  </si>
  <si>
    <t>Tiaris olivaceus</t>
  </si>
  <si>
    <t>Quality A×1; song; Reserva Curi-Cancha; La Selva: on 0.7% of checklists</t>
  </si>
  <si>
    <t>Euphonia hirundinacea</t>
  </si>
  <si>
    <t>Quality B×1; song; Hotel El Bosque; La Selva: on 3.5% of checklists</t>
  </si>
  <si>
    <t>Ramphastos ambiguus</t>
  </si>
  <si>
    <t>Quality C×1; call; Arenal Observatory Lodge; La Selva: on 51.9% of checklists; Seed species (in the June 2022 extracts)</t>
  </si>
  <si>
    <t>BIRDS NOT RECORDED AT LA SELVA — 8 species (16 recordings; Arenal/Monteverde only, usable as out-of-site negatives)</t>
  </si>
  <si>
    <t>Cantorchilus modestus</t>
  </si>
  <si>
    <t>Quality A×3; call; song; Hotel El Bosque; No eBird records at La Selva</t>
  </si>
  <si>
    <t>Catharus aurantiirostris</t>
  </si>
  <si>
    <t>Quality B×3; song; Children's Eternal Rain Forest Bajo del Tigre / Hotel El Bosque; No eBird records at La Selva</t>
  </si>
  <si>
    <t>Thryophilus rufalbus</t>
  </si>
  <si>
    <t>Quality B×1, C×1, D×1; alarm call; call; song; Hotel El Bosque / Reserva Curi-Cancha; No eBird records at La Selva</t>
  </si>
  <si>
    <t>Henicorhina leucophrys</t>
  </si>
  <si>
    <t>Quality B×2; call; song; Reserva Curi-Cancha; No eBird records at La Selva</t>
  </si>
  <si>
    <t>Chiroxiphia linearis</t>
  </si>
  <si>
    <t>Quality A×1, C×1; call; Children's Eternal Rain Forest Bajo del Tigre; No eBird records at La Selva</t>
  </si>
  <si>
    <t>Microchera cupreiceps</t>
  </si>
  <si>
    <t>Quality D×1; song; Reserva Curi-Cancha; No eBird records at La Selva</t>
  </si>
  <si>
    <t>Basileuterus melanotis</t>
  </si>
  <si>
    <t>Quality C×1; call; Reserva Curi-Cancha; No eBird records at La Selva</t>
  </si>
  <si>
    <t>Myioborus miniatus</t>
  </si>
  <si>
    <t>Quality B×1; call; song; Reserva Curi-Cancha; No eBird records at La Selva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</si>
</sst>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i/>
      <sz val="10.0"/>
      <color rgb="FF555555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u/>
      <sz val="10.0"/>
      <color rgb="FF0563C1"/>
      <name val="Arial"/>
    </font>
    <font>
      <u/>
      <sz val="10.0"/>
      <color rgb="FF0563C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E8F0E8"/>
        <bgColor rgb="FFE8F0E8"/>
      </patternFill>
    </fill>
  </fills>
  <borders count="3">
    <border/>
    <border>
      <left/>
      <right/>
      <top/>
      <bottom/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2" fillId="0" fontId="4" numFmtId="0" xfId="0" applyAlignment="1" applyBorder="1" applyFont="1">
      <alignment shrinkToFit="0" vertical="top" wrapText="0"/>
    </xf>
    <xf borderId="1" fillId="3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4" numFmtId="164" xfId="0" applyAlignment="1" applyBorder="1" applyFont="1" applyNumberFormat="1">
      <alignment shrinkToFit="0" vertical="top" wrapText="0"/>
    </xf>
    <xf borderId="2" fillId="0" fontId="8" numFmtId="0" xfId="0" applyAlignment="1" applyBorder="1" applyFont="1">
      <alignment shrinkToFit="0" vertical="top" wrapText="0"/>
    </xf>
    <xf borderId="2" fillId="0" fontId="9" numFmtId="0" xfId="0" applyAlignment="1" applyBorder="1" applyFont="1">
      <alignment shrinkToFit="0" vertical="top" wrapText="0"/>
    </xf>
    <xf borderId="2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12.0"/>
    <col customWidth="1" min="4" max="4" width="62.0"/>
    <col customWidth="1" min="5" max="7" width="24.0"/>
    <col customWidth="1" min="8" max="26" width="8.71"/>
  </cols>
  <sheetData>
    <row r="1">
      <c r="A1" s="1" t="s">
        <v>2</v>
      </c>
    </row>
    <row r="2" ht="66.0" customHeight="1">
      <c r="A2" s="3" t="s">
        <v>4</v>
      </c>
    </row>
    <row r="3">
      <c r="A3" s="7" t="str">
        <f>HYPERLINK("https://xeno-canto.org/set/2146","Xeno-canto set 2146 (source)")</f>
        <v>Xeno-canto set 2146 (source)</v>
      </c>
    </row>
    <row r="4">
      <c r="A4" s="7" t="str">
        <f>HYPERLINK("https://github.com/kaanturan3/data-prep","data-prep repo (manifests, species lists, scripts)")</f>
        <v>data-prep repo (manifests, species lists, scripts)</v>
      </c>
    </row>
    <row r="5">
      <c r="A5" s="2" t="s">
        <v>39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</row>
    <row r="6">
      <c r="A6" s="5" t="s">
        <v>49</v>
      </c>
      <c r="B6" s="6"/>
      <c r="C6" s="6"/>
      <c r="D6" s="6"/>
      <c r="E6" s="6"/>
      <c r="F6" s="6"/>
      <c r="G6" s="6"/>
    </row>
    <row r="7">
      <c r="A7" s="4" t="s">
        <v>55</v>
      </c>
      <c r="B7" s="10" t="s">
        <v>56</v>
      </c>
      <c r="C7" s="4">
        <f>COUNTIF('All Recordings'!$F$2:$F$78,A7)</f>
        <v>3</v>
      </c>
      <c r="D7" s="11" t="s">
        <v>76</v>
      </c>
      <c r="E7" s="9" t="str">
        <f>HYPERLINK("https://xeno-canto.org/331385","XC331385 (B, song)")</f>
        <v>XC331385 (B, song)</v>
      </c>
      <c r="F7" s="9" t="str">
        <f>HYPERLINK("https://xeno-canto.org/331386","XC331386 (B, song)")</f>
        <v>XC331386 (B, song)</v>
      </c>
      <c r="G7" s="9" t="str">
        <f>HYPERLINK("https://xeno-canto.org/331387","XC331387 (B, song)")</f>
        <v>XC331387 (B, song)</v>
      </c>
    </row>
    <row r="8">
      <c r="A8" s="4" t="s">
        <v>62</v>
      </c>
      <c r="B8" s="10" t="s">
        <v>87</v>
      </c>
      <c r="C8" s="4">
        <f>COUNTIF('All Recordings'!$F$2:$F$78,A8)</f>
        <v>3</v>
      </c>
      <c r="D8" s="11" t="s">
        <v>95</v>
      </c>
      <c r="E8" s="9" t="str">
        <f>HYPERLINK("https://xeno-canto.org/331320","XC331320 (C, song)")</f>
        <v>XC331320 (C, song)</v>
      </c>
      <c r="F8" s="9" t="str">
        <f>HYPERLINK("https://xeno-canto.org/331322","XC331322 (B, song)")</f>
        <v>XC331322 (B, song)</v>
      </c>
      <c r="G8" s="9" t="str">
        <f>HYPERLINK("https://xeno-canto.org/331323","XC331323 (B, call)")</f>
        <v>XC331323 (B, call)</v>
      </c>
    </row>
    <row r="9">
      <c r="A9" s="4" t="s">
        <v>83</v>
      </c>
      <c r="B9" s="10" t="s">
        <v>106</v>
      </c>
      <c r="C9" s="4">
        <f>COUNTIF('All Recordings'!$F$2:$F$78,A9)</f>
        <v>3</v>
      </c>
      <c r="D9" s="11" t="s">
        <v>113</v>
      </c>
      <c r="E9" s="9" t="str">
        <f>HYPERLINK("https://xeno-canto.org/331326","XC331326 (B, song)")</f>
        <v>XC331326 (B, song)</v>
      </c>
      <c r="F9" s="9" t="str">
        <f>HYPERLINK("https://xeno-canto.org/331333","XC331333 (C, song)")</f>
        <v>XC331333 (C, song)</v>
      </c>
      <c r="G9" s="9" t="str">
        <f>HYPERLINK("https://xeno-canto.org/332269","XC332269 (B, song)")</f>
        <v>XC332269 (B, song)</v>
      </c>
    </row>
    <row r="10">
      <c r="A10" s="4" t="s">
        <v>24</v>
      </c>
      <c r="B10" s="10" t="s">
        <v>126</v>
      </c>
      <c r="C10" s="4">
        <f>COUNTIF('All Recordings'!$F$2:$F$78,A10)</f>
        <v>3</v>
      </c>
      <c r="D10" s="11" t="s">
        <v>135</v>
      </c>
      <c r="E10" s="9" t="str">
        <f>HYPERLINK("https://xeno-canto.org/331252","XC331252 (A, song)")</f>
        <v>XC331252 (A, song)</v>
      </c>
      <c r="F10" s="9" t="str">
        <f>HYPERLINK("https://xeno-canto.org/332147","XC332147 (A, song)")</f>
        <v>XC332147 (A, song)</v>
      </c>
      <c r="G10" s="9" t="str">
        <f>HYPERLINK("https://xeno-canto.org/332261","XC332261 (A, song)")</f>
        <v>XC332261 (A, song)</v>
      </c>
    </row>
    <row r="11">
      <c r="A11" s="4" t="s">
        <v>143</v>
      </c>
      <c r="B11" s="10" t="s">
        <v>144</v>
      </c>
      <c r="C11" s="4">
        <f>COUNTIF('All Recordings'!$F$2:$F$78,A11)</f>
        <v>2</v>
      </c>
      <c r="D11" s="11" t="s">
        <v>149</v>
      </c>
      <c r="E11" s="9" t="str">
        <f>HYPERLINK("https://xeno-canto.org/332446","XC332446 (A, song)")</f>
        <v>XC332446 (A, song)</v>
      </c>
      <c r="F11" s="9" t="str">
        <f>HYPERLINK("https://xeno-canto.org/332447","XC332447 (B, song)")</f>
        <v>XC332447 (B, song)</v>
      </c>
      <c r="G11" s="4"/>
    </row>
    <row r="12">
      <c r="A12" s="4" t="s">
        <v>158</v>
      </c>
      <c r="B12" s="10" t="s">
        <v>159</v>
      </c>
      <c r="C12" s="4">
        <f>COUNTIF('All Recordings'!$F$2:$F$78,A12)</f>
        <v>2</v>
      </c>
      <c r="D12" s="11" t="s">
        <v>165</v>
      </c>
      <c r="E12" s="9" t="str">
        <f>HYPERLINK("https://xeno-canto.org/331434","XC331434 (B, song)")</f>
        <v>XC331434 (B, song)</v>
      </c>
      <c r="F12" s="9" t="str">
        <f>HYPERLINK("https://xeno-canto.org/331470","XC331470 (C, call)")</f>
        <v>XC331470 (C, call)</v>
      </c>
      <c r="G12" s="4"/>
    </row>
    <row r="13">
      <c r="A13" s="4" t="s">
        <v>173</v>
      </c>
      <c r="B13" s="10" t="s">
        <v>174</v>
      </c>
      <c r="C13" s="4">
        <f>COUNTIF('All Recordings'!$F$2:$F$78,A13)</f>
        <v>2</v>
      </c>
      <c r="D13" s="11" t="s">
        <v>179</v>
      </c>
      <c r="E13" s="9" t="str">
        <f>HYPERLINK("https://xeno-canto.org/331388","XC331388 (B, song)")</f>
        <v>XC331388 (B, song)</v>
      </c>
      <c r="F13" s="9" t="str">
        <f>HYPERLINK("https://xeno-canto.org/331389","XC331389 (B, song)")</f>
        <v>XC331389 (B, song)</v>
      </c>
      <c r="G13" s="4"/>
    </row>
    <row r="14">
      <c r="A14" s="4" t="s">
        <v>35</v>
      </c>
      <c r="B14" s="10" t="s">
        <v>184</v>
      </c>
      <c r="C14" s="4">
        <f>COUNTIF('All Recordings'!$F$2:$F$78,A14)</f>
        <v>2</v>
      </c>
      <c r="D14" s="11" t="s">
        <v>186</v>
      </c>
      <c r="E14" s="9" t="str">
        <f>HYPERLINK("https://xeno-canto.org/331311","XC331311 (B, alarm call)")</f>
        <v>XC331311 (B, alarm call)</v>
      </c>
      <c r="F14" s="9" t="str">
        <f>HYPERLINK("https://xeno-canto.org/332502","XC332502 (B, call)")</f>
        <v>XC332502 (B, call)</v>
      </c>
      <c r="G14" s="4"/>
    </row>
    <row r="15">
      <c r="A15" s="4" t="s">
        <v>193</v>
      </c>
      <c r="B15" s="10" t="s">
        <v>195</v>
      </c>
      <c r="C15" s="4">
        <f>COUNTIF('All Recordings'!$F$2:$F$78,A15)</f>
        <v>2</v>
      </c>
      <c r="D15" s="11" t="s">
        <v>202</v>
      </c>
      <c r="E15" s="9" t="str">
        <f>HYPERLINK("https://xeno-canto.org/332512","XC332512 (B, call)")</f>
        <v>XC332512 (B, call)</v>
      </c>
      <c r="F15" s="9" t="str">
        <f>HYPERLINK("https://xeno-canto.org/332528","XC332528 (B, call)")</f>
        <v>XC332528 (B, call)</v>
      </c>
      <c r="G15" s="4"/>
    </row>
    <row r="16">
      <c r="A16" s="4" t="s">
        <v>154</v>
      </c>
      <c r="B16" s="10" t="s">
        <v>211</v>
      </c>
      <c r="C16" s="4">
        <f>COUNTIF('All Recordings'!$F$2:$F$78,A16)</f>
        <v>2</v>
      </c>
      <c r="D16" s="11" t="s">
        <v>218</v>
      </c>
      <c r="E16" s="9" t="str">
        <f>HYPERLINK("https://xeno-canto.org/331372","XC331372 (C, song)")</f>
        <v>XC331372 (C, song)</v>
      </c>
      <c r="F16" s="9" t="str">
        <f>HYPERLINK("https://xeno-canto.org/331640","XC331640 (C, song)")</f>
        <v>XC331640 (C, song)</v>
      </c>
      <c r="G16" s="4"/>
    </row>
    <row r="17">
      <c r="A17" s="4" t="s">
        <v>117</v>
      </c>
      <c r="B17" s="10" t="s">
        <v>224</v>
      </c>
      <c r="C17" s="4">
        <f>COUNTIF('All Recordings'!$F$2:$F$78,A17)</f>
        <v>2</v>
      </c>
      <c r="D17" s="11" t="s">
        <v>231</v>
      </c>
      <c r="E17" s="9" t="str">
        <f>HYPERLINK("https://xeno-canto.org/331336","XC331336 (C, song)")</f>
        <v>XC331336 (C, song)</v>
      </c>
      <c r="F17" s="9" t="str">
        <f>HYPERLINK("https://xeno-canto.org/331356","XC331356 (B, song)")</f>
        <v>XC331356 (B, song)</v>
      </c>
      <c r="G17" s="4"/>
    </row>
    <row r="18">
      <c r="A18" s="4" t="s">
        <v>103</v>
      </c>
      <c r="B18" s="10" t="s">
        <v>240</v>
      </c>
      <c r="C18" s="4">
        <f>COUNTIF('All Recordings'!$F$2:$F$78,A18)</f>
        <v>2</v>
      </c>
      <c r="D18" s="11" t="s">
        <v>245</v>
      </c>
      <c r="E18" s="9" t="str">
        <f>HYPERLINK("https://xeno-canto.org/331334","XC331334 (C, song)")</f>
        <v>XC331334 (C, song)</v>
      </c>
      <c r="F18" s="9" t="str">
        <f>HYPERLINK("https://xeno-canto.org/331436","XC331436 (A, song)")</f>
        <v>XC331436 (A, song)</v>
      </c>
      <c r="G18" s="4"/>
    </row>
    <row r="19">
      <c r="A19" s="4" t="s">
        <v>53</v>
      </c>
      <c r="B19" s="10" t="s">
        <v>253</v>
      </c>
      <c r="C19" s="4">
        <f>COUNTIF('All Recordings'!$F$2:$F$78,A19)</f>
        <v>2</v>
      </c>
      <c r="D19" s="11" t="s">
        <v>258</v>
      </c>
      <c r="E19" s="9" t="str">
        <f>HYPERLINK("https://xeno-canto.org/331314","XC331314 (B, call)")</f>
        <v>XC331314 (B, call)</v>
      </c>
      <c r="F19" s="9" t="str">
        <f>HYPERLINK("https://xeno-canto.org/331465","XC331465 (A, song)")</f>
        <v>XC331465 (A, song)</v>
      </c>
      <c r="G19" s="4"/>
    </row>
    <row r="20">
      <c r="A20" s="4" t="s">
        <v>268</v>
      </c>
      <c r="B20" s="10" t="s">
        <v>269</v>
      </c>
      <c r="C20" s="4">
        <f>COUNTIF('All Recordings'!$F$2:$F$78,A20)</f>
        <v>1</v>
      </c>
      <c r="D20" s="11" t="s">
        <v>278</v>
      </c>
      <c r="E20" s="9" t="str">
        <f>HYPERLINK("https://xeno-canto.org/331643","XC331643 (C, song)")</f>
        <v>XC331643 (C, song)</v>
      </c>
      <c r="F20" s="4"/>
      <c r="G20" s="4"/>
    </row>
    <row r="21" ht="15.75" customHeight="1">
      <c r="A21" s="4" t="s">
        <v>282</v>
      </c>
      <c r="B21" s="10" t="s">
        <v>284</v>
      </c>
      <c r="C21" s="4">
        <f>COUNTIF('All Recordings'!$F$2:$F$78,A21)</f>
        <v>1</v>
      </c>
      <c r="D21" s="11" t="s">
        <v>288</v>
      </c>
      <c r="E21" s="9" t="str">
        <f>HYPERLINK("https://xeno-canto.org/332386","XC332386 (C, song)")</f>
        <v>XC332386 (C, song)</v>
      </c>
      <c r="F21" s="4"/>
      <c r="G21" s="4"/>
    </row>
    <row r="22" ht="15.75" customHeight="1">
      <c r="A22" s="4" t="s">
        <v>292</v>
      </c>
      <c r="B22" s="10" t="s">
        <v>293</v>
      </c>
      <c r="C22" s="4">
        <f>COUNTIF('All Recordings'!$F$2:$F$78,A22)</f>
        <v>1</v>
      </c>
      <c r="D22" s="11" t="s">
        <v>300</v>
      </c>
      <c r="E22" s="9" t="str">
        <f>HYPERLINK("https://xeno-canto.org/332270","XC332270 (B, call)")</f>
        <v>XC332270 (B, call)</v>
      </c>
      <c r="F22" s="4"/>
      <c r="G22" s="4"/>
    </row>
    <row r="23" ht="15.75" customHeight="1">
      <c r="A23" s="4" t="s">
        <v>238</v>
      </c>
      <c r="B23" s="10" t="s">
        <v>304</v>
      </c>
      <c r="C23" s="4">
        <f>COUNTIF('All Recordings'!$F$2:$F$78,A23)</f>
        <v>1</v>
      </c>
      <c r="D23" s="11" t="s">
        <v>309</v>
      </c>
      <c r="E23" s="9" t="str">
        <f>HYPERLINK("https://xeno-canto.org/331463","XC331463 (C, song)")</f>
        <v>XC331463 (C, song)</v>
      </c>
      <c r="F23" s="4"/>
      <c r="G23" s="4"/>
    </row>
    <row r="24" ht="15.75" customHeight="1">
      <c r="A24" s="4" t="s">
        <v>306</v>
      </c>
      <c r="B24" s="10" t="s">
        <v>314</v>
      </c>
      <c r="C24" s="4">
        <f>COUNTIF('All Recordings'!$F$2:$F$78,A24)</f>
        <v>1</v>
      </c>
      <c r="D24" s="11" t="s">
        <v>323</v>
      </c>
      <c r="E24" s="9" t="str">
        <f>HYPERLINK("https://xeno-canto.org/331642","XC331642 (B, song)")</f>
        <v>XC331642 (B, song)</v>
      </c>
      <c r="F24" s="4"/>
      <c r="G24" s="4"/>
    </row>
    <row r="25" ht="15.75" customHeight="1">
      <c r="A25" s="4" t="s">
        <v>191</v>
      </c>
      <c r="B25" s="10" t="s">
        <v>331</v>
      </c>
      <c r="C25" s="4">
        <f>COUNTIF('All Recordings'!$F$2:$F$78,A25)</f>
        <v>1</v>
      </c>
      <c r="D25" s="11" t="s">
        <v>334</v>
      </c>
      <c r="E25" s="9" t="str">
        <f>HYPERLINK("https://xeno-canto.org/331390","XC331390 (B, song)")</f>
        <v>XC331390 (B, song)</v>
      </c>
      <c r="F25" s="4"/>
      <c r="G25" s="4"/>
    </row>
    <row r="26" ht="15.75" customHeight="1">
      <c r="A26" s="4" t="s">
        <v>198</v>
      </c>
      <c r="B26" s="10" t="s">
        <v>342</v>
      </c>
      <c r="C26" s="4">
        <f>COUNTIF('All Recordings'!$F$2:$F$78,A26)</f>
        <v>1</v>
      </c>
      <c r="D26" s="11" t="s">
        <v>346</v>
      </c>
      <c r="E26" s="9" t="str">
        <f>HYPERLINK("https://xeno-canto.org/331431","XC331431 (B, song)")</f>
        <v>XC331431 (B, song)</v>
      </c>
      <c r="F26" s="4"/>
      <c r="G26" s="4"/>
    </row>
    <row r="27" ht="15.75" customHeight="1">
      <c r="A27" s="4" t="s">
        <v>350</v>
      </c>
      <c r="B27" s="10" t="s">
        <v>351</v>
      </c>
      <c r="C27" s="4">
        <f>COUNTIF('All Recordings'!$F$2:$F$78,A27)</f>
        <v>1</v>
      </c>
      <c r="D27" s="11" t="s">
        <v>362</v>
      </c>
      <c r="E27" s="9" t="str">
        <f>HYPERLINK("https://xeno-canto.org/332450","XC332450 (C, call)")</f>
        <v>XC332450 (C, call)</v>
      </c>
      <c r="F27" s="4"/>
      <c r="G27" s="4"/>
    </row>
    <row r="28" ht="15.75" customHeight="1">
      <c r="A28" s="4" t="s">
        <v>215</v>
      </c>
      <c r="B28" s="10" t="s">
        <v>369</v>
      </c>
      <c r="C28" s="4">
        <f>COUNTIF('All Recordings'!$F$2:$F$78,A28)</f>
        <v>1</v>
      </c>
      <c r="D28" s="11" t="s">
        <v>374</v>
      </c>
      <c r="E28" s="9" t="str">
        <f>HYPERLINK("https://xeno-canto.org/331449","XC331449 (B, call)")</f>
        <v>XC331449 (B, call)</v>
      </c>
      <c r="F28" s="4"/>
      <c r="G28" s="4"/>
    </row>
    <row r="29" ht="15.75" customHeight="1">
      <c r="A29" s="4" t="s">
        <v>148</v>
      </c>
      <c r="B29" s="10" t="s">
        <v>381</v>
      </c>
      <c r="C29" s="4">
        <f>COUNTIF('All Recordings'!$F$2:$F$78,A29)</f>
        <v>1</v>
      </c>
      <c r="D29" s="11" t="s">
        <v>385</v>
      </c>
      <c r="E29" s="9" t="str">
        <f>HYPERLINK("https://xeno-canto.org/331367","XC331367 (A, call)")</f>
        <v>XC331367 (A, call)</v>
      </c>
      <c r="F29" s="4"/>
      <c r="G29" s="4"/>
    </row>
    <row r="30" ht="15.75" customHeight="1">
      <c r="A30" s="4" t="s">
        <v>223</v>
      </c>
      <c r="B30" s="10" t="s">
        <v>390</v>
      </c>
      <c r="C30" s="4">
        <f>COUNTIF('All Recordings'!$F$2:$F$78,A30)</f>
        <v>1</v>
      </c>
      <c r="D30" s="11" t="s">
        <v>396</v>
      </c>
      <c r="E30" s="9" t="str">
        <f>HYPERLINK("https://xeno-canto.org/331460","XC331460 (B, call)")</f>
        <v>XC331460 (B, call)</v>
      </c>
      <c r="F30" s="4"/>
      <c r="G30" s="4"/>
    </row>
    <row r="31" ht="15.75" customHeight="1">
      <c r="A31" s="4" t="s">
        <v>400</v>
      </c>
      <c r="B31" s="10" t="s">
        <v>402</v>
      </c>
      <c r="C31" s="4">
        <f>COUNTIF('All Recordings'!$F$2:$F$78,A31)</f>
        <v>1</v>
      </c>
      <c r="D31" s="11" t="s">
        <v>406</v>
      </c>
      <c r="E31" s="9" t="str">
        <f>HYPERLINK("https://xeno-canto.org/332260","XC332260 (B, song)")</f>
        <v>XC332260 (B, song)</v>
      </c>
      <c r="F31" s="4"/>
      <c r="G31" s="4"/>
    </row>
    <row r="32" ht="15.75" customHeight="1">
      <c r="A32" s="4" t="s">
        <v>276</v>
      </c>
      <c r="B32" s="10" t="s">
        <v>410</v>
      </c>
      <c r="C32" s="4">
        <f>COUNTIF('All Recordings'!$F$2:$F$78,A32)</f>
        <v>1</v>
      </c>
      <c r="D32" s="11" t="s">
        <v>416</v>
      </c>
      <c r="E32" s="9" t="str">
        <f>HYPERLINK("https://xeno-canto.org/331639","XC331639 (C, alarm call)")</f>
        <v>XC331639 (C, alarm call)</v>
      </c>
      <c r="F32" s="4"/>
      <c r="G32" s="4"/>
    </row>
    <row r="33" ht="15.75" customHeight="1">
      <c r="A33" s="4" t="s">
        <v>422</v>
      </c>
      <c r="B33" s="10" t="s">
        <v>423</v>
      </c>
      <c r="C33" s="4">
        <f>COUNTIF('All Recordings'!$F$2:$F$78,A33)</f>
        <v>1</v>
      </c>
      <c r="D33" s="11" t="s">
        <v>432</v>
      </c>
      <c r="E33" s="9" t="str">
        <f>HYPERLINK("https://xeno-canto.org/332387","XC332387 (B, call)")</f>
        <v>XC332387 (B, call)</v>
      </c>
      <c r="F33" s="4"/>
      <c r="G33" s="4"/>
    </row>
    <row r="34" ht="15.75" customHeight="1">
      <c r="A34" s="4" t="s">
        <v>142</v>
      </c>
      <c r="B34" s="10" t="s">
        <v>437</v>
      </c>
      <c r="C34" s="4">
        <f>COUNTIF('All Recordings'!$F$2:$F$78,A34)</f>
        <v>1</v>
      </c>
      <c r="D34" s="11" t="s">
        <v>441</v>
      </c>
      <c r="E34" s="9" t="str">
        <f>HYPERLINK("https://xeno-canto.org/331362","XC331362 (B, call)")</f>
        <v>XC331362 (B, call)</v>
      </c>
      <c r="F34" s="4"/>
      <c r="G34" s="4"/>
    </row>
    <row r="35" ht="15.75" customHeight="1">
      <c r="A35" s="4" t="s">
        <v>298</v>
      </c>
      <c r="B35" s="10" t="s">
        <v>444</v>
      </c>
      <c r="C35" s="4">
        <f>COUNTIF('All Recordings'!$F$2:$F$78,A35)</f>
        <v>1</v>
      </c>
      <c r="D35" s="11" t="s">
        <v>448</v>
      </c>
      <c r="E35" s="9" t="str">
        <f>HYPERLINK("https://xeno-canto.org/331641","XC331641 (B, call)")</f>
        <v>XC331641 (B, call)</v>
      </c>
      <c r="F35" s="4"/>
      <c r="G35" s="4"/>
    </row>
    <row r="36" ht="15.75" customHeight="1">
      <c r="A36" s="4" t="s">
        <v>412</v>
      </c>
      <c r="B36" s="10" t="s">
        <v>452</v>
      </c>
      <c r="C36" s="4">
        <f>COUNTIF('All Recordings'!$F$2:$F$78,A36)</f>
        <v>1</v>
      </c>
      <c r="D36" s="11" t="s">
        <v>455</v>
      </c>
      <c r="E36" s="9" t="str">
        <f>HYPERLINK("https://xeno-canto.org/332262","XC332262 (B, alarm call)")</f>
        <v>XC332262 (B, alarm call)</v>
      </c>
      <c r="F36" s="4"/>
      <c r="G36" s="4"/>
    </row>
    <row r="37" ht="15.75" customHeight="1">
      <c r="A37" s="4" t="s">
        <v>429</v>
      </c>
      <c r="B37" s="10" t="s">
        <v>457</v>
      </c>
      <c r="C37" s="4">
        <f>COUNTIF('All Recordings'!$F$2:$F$78,A37)</f>
        <v>1</v>
      </c>
      <c r="D37" s="11" t="s">
        <v>459</v>
      </c>
      <c r="E37" s="9" t="str">
        <f>HYPERLINK("https://xeno-canto.org/332268","XC332268 (C, song)")</f>
        <v>XC332268 (C, song)</v>
      </c>
      <c r="F37" s="4"/>
      <c r="G37" s="4"/>
    </row>
    <row r="38" ht="15.75" customHeight="1">
      <c r="A38" s="4" t="s">
        <v>230</v>
      </c>
      <c r="B38" s="10" t="s">
        <v>461</v>
      </c>
      <c r="C38" s="4">
        <f>COUNTIF('All Recordings'!$F$2:$F$78,A38)</f>
        <v>1</v>
      </c>
      <c r="D38" s="11" t="s">
        <v>464</v>
      </c>
      <c r="E38" s="9" t="str">
        <f>HYPERLINK("https://xeno-canto.org/331462","XC331462 (B, song)")</f>
        <v>XC331462 (B, song)</v>
      </c>
      <c r="F38" s="4"/>
      <c r="G38" s="4"/>
    </row>
    <row r="39" ht="15.75" customHeight="1">
      <c r="A39" s="4" t="s">
        <v>162</v>
      </c>
      <c r="B39" s="10" t="s">
        <v>468</v>
      </c>
      <c r="C39" s="4">
        <f>COUNTIF('All Recordings'!$F$2:$F$78,A39)</f>
        <v>1</v>
      </c>
      <c r="D39" s="11" t="s">
        <v>470</v>
      </c>
      <c r="E39" s="9" t="str">
        <f>HYPERLINK("https://xeno-canto.org/331381","XC331381 (B, call)")</f>
        <v>XC331381 (B, call)</v>
      </c>
      <c r="F39" s="4"/>
      <c r="G39" s="4"/>
    </row>
    <row r="40" ht="15.75" customHeight="1">
      <c r="A40" s="4" t="s">
        <v>264</v>
      </c>
      <c r="B40" s="10" t="s">
        <v>474</v>
      </c>
      <c r="C40" s="4">
        <f>COUNTIF('All Recordings'!$F$2:$F$78,A40)</f>
        <v>1</v>
      </c>
      <c r="D40" s="11" t="s">
        <v>478</v>
      </c>
      <c r="E40" s="9" t="str">
        <f>HYPERLINK("https://xeno-canto.org/331600","XC331600 (C, alarm call)")</f>
        <v>XC331600 (C, alarm call)</v>
      </c>
      <c r="F40" s="4"/>
      <c r="G40" s="4"/>
    </row>
    <row r="41" ht="15.75" customHeight="1">
      <c r="A41" s="4" t="s">
        <v>250</v>
      </c>
      <c r="B41" s="10" t="s">
        <v>482</v>
      </c>
      <c r="C41" s="4">
        <f>COUNTIF('All Recordings'!$F$2:$F$78,A41)</f>
        <v>1</v>
      </c>
      <c r="D41" s="11" t="s">
        <v>485</v>
      </c>
      <c r="E41" s="9" t="str">
        <f>HYPERLINK("https://xeno-canto.org/331469","XC331469 (C, song)")</f>
        <v>XC331469 (C, song)</v>
      </c>
      <c r="F41" s="4"/>
      <c r="G41" s="4"/>
    </row>
    <row r="42" ht="15.75" customHeight="1">
      <c r="A42" s="4" t="s">
        <v>92</v>
      </c>
      <c r="B42" s="10" t="s">
        <v>487</v>
      </c>
      <c r="C42" s="4">
        <f>COUNTIF('All Recordings'!$F$2:$F$78,A42)</f>
        <v>1</v>
      </c>
      <c r="D42" s="11" t="s">
        <v>488</v>
      </c>
      <c r="E42" s="9" t="str">
        <f>HYPERLINK("https://xeno-canto.org/331328","XC331328 (B, call)")</f>
        <v>XC331328 (B, call)</v>
      </c>
      <c r="F42" s="4"/>
      <c r="G42" s="4"/>
    </row>
    <row r="43" ht="15.75" customHeight="1">
      <c r="A43" s="4" t="s">
        <v>132</v>
      </c>
      <c r="B43" s="10" t="s">
        <v>490</v>
      </c>
      <c r="C43" s="4">
        <f>COUNTIF('All Recordings'!$F$2:$F$78,A43)</f>
        <v>1</v>
      </c>
      <c r="D43" s="11" t="s">
        <v>492</v>
      </c>
      <c r="E43" s="9" t="str">
        <f>HYPERLINK("https://xeno-canto.org/331355","XC331355 (C, song)")</f>
        <v>XC331355 (C, song)</v>
      </c>
      <c r="F43" s="4"/>
      <c r="G43" s="4"/>
    </row>
    <row r="44" ht="15.75" customHeight="1">
      <c r="A44" s="4" t="s">
        <v>123</v>
      </c>
      <c r="B44" s="10" t="s">
        <v>494</v>
      </c>
      <c r="C44" s="4">
        <f>COUNTIF('All Recordings'!$F$2:$F$78,A44)</f>
        <v>1</v>
      </c>
      <c r="D44" s="11" t="s">
        <v>495</v>
      </c>
      <c r="E44" s="9" t="str">
        <f>HYPERLINK("https://xeno-canto.org/331354","XC331354 (C, song)")</f>
        <v>XC331354 (C, song)</v>
      </c>
      <c r="F44" s="4"/>
      <c r="G44" s="4"/>
    </row>
    <row r="45" ht="15.75" customHeight="1">
      <c r="A45" s="4" t="s">
        <v>329</v>
      </c>
      <c r="B45" s="10" t="s">
        <v>500</v>
      </c>
      <c r="C45" s="4">
        <f>COUNTIF('All Recordings'!$F$2:$F$78,A45)</f>
        <v>1</v>
      </c>
      <c r="D45" s="11" t="s">
        <v>502</v>
      </c>
      <c r="E45" s="9" t="str">
        <f>HYPERLINK("https://xeno-canto.org/332138","XC332138 (B, call)")</f>
        <v>XC332138 (B, call)</v>
      </c>
      <c r="F45" s="4"/>
      <c r="G45" s="4"/>
    </row>
    <row r="46" ht="15.75" customHeight="1">
      <c r="A46" s="4" t="s">
        <v>481</v>
      </c>
      <c r="B46" s="10" t="s">
        <v>506</v>
      </c>
      <c r="C46" s="4">
        <f>COUNTIF('All Recordings'!$F$2:$F$78,A46)</f>
        <v>1</v>
      </c>
      <c r="D46" s="11" t="s">
        <v>507</v>
      </c>
      <c r="E46" s="9" t="str">
        <f>HYPERLINK("https://xeno-canto.org/332506","XC332506 (B, call)")</f>
        <v>XC332506 (B, call)</v>
      </c>
      <c r="F46" s="4"/>
      <c r="G46" s="4"/>
    </row>
    <row r="47" ht="15.75" customHeight="1">
      <c r="A47" s="4" t="s">
        <v>505</v>
      </c>
      <c r="B47" s="10" t="s">
        <v>508</v>
      </c>
      <c r="C47" s="4">
        <f>COUNTIF('All Recordings'!$F$2:$F$78,A47)</f>
        <v>1</v>
      </c>
      <c r="D47" s="11" t="s">
        <v>509</v>
      </c>
      <c r="E47" s="9" t="str">
        <f>HYPERLINK("https://xeno-canto.org/332575","XC332575 (A, alarm call)")</f>
        <v>XC332575 (A, alarm call)</v>
      </c>
      <c r="F47" s="4"/>
      <c r="G47" s="4"/>
    </row>
    <row r="48" ht="15.75" customHeight="1">
      <c r="A48" s="4" t="s">
        <v>387</v>
      </c>
      <c r="B48" s="10" t="s">
        <v>510</v>
      </c>
      <c r="C48" s="4">
        <f>COUNTIF('All Recordings'!$F$2:$F$78,A48)</f>
        <v>1</v>
      </c>
      <c r="D48" s="11" t="s">
        <v>511</v>
      </c>
      <c r="E48" s="9" t="str">
        <f>HYPERLINK("https://xeno-canto.org/332166","XC332166 (A, song)")</f>
        <v>XC332166 (A, song)</v>
      </c>
      <c r="F48" s="4"/>
      <c r="G48" s="4"/>
    </row>
    <row r="49" ht="15.75" customHeight="1">
      <c r="A49" s="4" t="s">
        <v>446</v>
      </c>
      <c r="B49" s="10" t="s">
        <v>512</v>
      </c>
      <c r="C49" s="4">
        <f>COUNTIF('All Recordings'!$F$2:$F$78,A49)</f>
        <v>1</v>
      </c>
      <c r="D49" s="11" t="s">
        <v>513</v>
      </c>
      <c r="E49" s="9" t="str">
        <f>HYPERLINK("https://xeno-canto.org/332384","XC332384 (B, song)")</f>
        <v>XC332384 (B, song)</v>
      </c>
      <c r="F49" s="4"/>
      <c r="G49" s="4"/>
    </row>
    <row r="50" ht="15.75" customHeight="1">
      <c r="A50" s="4" t="s">
        <v>111</v>
      </c>
      <c r="B50" s="10" t="s">
        <v>514</v>
      </c>
      <c r="C50" s="4">
        <f>COUNTIF('All Recordings'!$F$2:$F$78,A50)</f>
        <v>1</v>
      </c>
      <c r="D50" s="11" t="s">
        <v>515</v>
      </c>
      <c r="E50" s="9" t="str">
        <f>HYPERLINK("https://xeno-canto.org/331335","XC331335 (C, call)")</f>
        <v>XC331335 (C, call)</v>
      </c>
      <c r="F50" s="4"/>
      <c r="G50" s="4"/>
    </row>
    <row r="51" ht="15.75" customHeight="1">
      <c r="A51" s="5" t="s">
        <v>516</v>
      </c>
      <c r="B51" s="6"/>
      <c r="C51" s="6"/>
      <c r="D51" s="6"/>
      <c r="E51" s="6"/>
      <c r="F51" s="6"/>
      <c r="G51" s="6"/>
    </row>
    <row r="52" ht="15.75" customHeight="1">
      <c r="A52" s="4" t="s">
        <v>338</v>
      </c>
      <c r="B52" s="10" t="s">
        <v>517</v>
      </c>
      <c r="C52" s="4">
        <f>COUNTIF('All Recordings'!$F$2:$F$78,A52)</f>
        <v>3</v>
      </c>
      <c r="D52" s="11" t="s">
        <v>518</v>
      </c>
      <c r="E52" s="9" t="str">
        <f>HYPERLINK("https://xeno-canto.org/332139","XC332139 (A, call)")</f>
        <v>XC332139 (A, call)</v>
      </c>
      <c r="F52" s="9" t="str">
        <f>HYPERLINK("https://xeno-canto.org/332140","XC332140 (A, song)")</f>
        <v>XC332140 (A, song)</v>
      </c>
      <c r="G52" s="9" t="str">
        <f>HYPERLINK("https://xeno-canto.org/332144","XC332144 (A, call)")</f>
        <v>XC332144 (A, call)</v>
      </c>
    </row>
    <row r="53" ht="15.75" customHeight="1">
      <c r="A53" s="4" t="s">
        <v>319</v>
      </c>
      <c r="B53" s="10" t="s">
        <v>519</v>
      </c>
      <c r="C53" s="4">
        <f>COUNTIF('All Recordings'!$F$2:$F$78,A53)</f>
        <v>3</v>
      </c>
      <c r="D53" s="11" t="s">
        <v>520</v>
      </c>
      <c r="E53" s="9" t="str">
        <f>HYPERLINK("https://xeno-canto.org/331646","XC331646 (B, song)")</f>
        <v>XC331646 (B, song)</v>
      </c>
      <c r="F53" s="9" t="str">
        <f>HYPERLINK("https://xeno-canto.org/332568","XC332568 (B, song)")</f>
        <v>XC332568 (B, song)</v>
      </c>
      <c r="G53" s="9" t="str">
        <f>HYPERLINK("https://xeno-canto.org/332569","XC332569 (B, song)")</f>
        <v>XC332569 (B, song)</v>
      </c>
    </row>
    <row r="54" ht="15.75" customHeight="1">
      <c r="A54" s="4" t="s">
        <v>363</v>
      </c>
      <c r="B54" s="10" t="s">
        <v>521</v>
      </c>
      <c r="C54" s="4">
        <f>COUNTIF('All Recordings'!$F$2:$F$78,A54)</f>
        <v>3</v>
      </c>
      <c r="D54" s="11" t="s">
        <v>522</v>
      </c>
      <c r="E54" s="9" t="str">
        <f>HYPERLINK("https://xeno-canto.org/332163","XC332163 (D, song)")</f>
        <v>XC332163 (D, song)</v>
      </c>
      <c r="F54" s="9" t="str">
        <f>HYPERLINK("https://xeno-canto.org/332164","XC332164 (B, alarm call)")</f>
        <v>XC332164 (B, alarm call)</v>
      </c>
      <c r="G54" s="9" t="str">
        <f>HYPERLINK("https://xeno-canto.org/332567","XC332567 (C, song)")</f>
        <v>XC332567 (C, song)</v>
      </c>
    </row>
    <row r="55" ht="15.75" customHeight="1">
      <c r="A55" s="4" t="s">
        <v>393</v>
      </c>
      <c r="B55" s="10" t="s">
        <v>523</v>
      </c>
      <c r="C55" s="4">
        <f>COUNTIF('All Recordings'!$F$2:$F$78,A55)</f>
        <v>2</v>
      </c>
      <c r="D55" s="11" t="s">
        <v>524</v>
      </c>
      <c r="E55" s="9" t="str">
        <f>HYPERLINK("https://xeno-canto.org/332230","XC332230 (B, song)")</f>
        <v>XC332230 (B, song)</v>
      </c>
      <c r="F55" s="9" t="str">
        <f>HYPERLINK("https://xeno-canto.org/332449","XC332449 (B, call)")</f>
        <v>XC332449 (B, call)</v>
      </c>
      <c r="G55" s="4"/>
    </row>
    <row r="56" ht="15.75" customHeight="1">
      <c r="A56" s="4" t="s">
        <v>498</v>
      </c>
      <c r="B56" s="10" t="s">
        <v>525</v>
      </c>
      <c r="C56" s="4">
        <f>COUNTIF('All Recordings'!$F$2:$F$78,A56)</f>
        <v>2</v>
      </c>
      <c r="D56" s="11" t="s">
        <v>526</v>
      </c>
      <c r="E56" s="9" t="str">
        <f>HYPERLINK("https://xeno-canto.org/332572","XC332572 (A, call)")</f>
        <v>XC332572 (A, call)</v>
      </c>
      <c r="F56" s="9" t="str">
        <f>HYPERLINK("https://xeno-canto.org/332573","XC332573 (C, call)")</f>
        <v>XC332573 (C, call)</v>
      </c>
      <c r="G56" s="4"/>
    </row>
    <row r="57" ht="15.75" customHeight="1">
      <c r="A57" s="4" t="s">
        <v>421</v>
      </c>
      <c r="B57" s="10" t="s">
        <v>527</v>
      </c>
      <c r="C57" s="4">
        <f>COUNTIF('All Recordings'!$F$2:$F$78,A57)</f>
        <v>1</v>
      </c>
      <c r="D57" s="11" t="s">
        <v>528</v>
      </c>
      <c r="E57" s="9" t="str">
        <f>HYPERLINK("https://xeno-canto.org/332265","XC332265 (D, song)")</f>
        <v>XC332265 (D, song)</v>
      </c>
      <c r="F57" s="4"/>
      <c r="G57" s="4"/>
    </row>
    <row r="58" ht="15.75" customHeight="1">
      <c r="A58" s="4" t="s">
        <v>473</v>
      </c>
      <c r="B58" s="10" t="s">
        <v>529</v>
      </c>
      <c r="C58" s="4">
        <f>COUNTIF('All Recordings'!$F$2:$F$78,A58)</f>
        <v>1</v>
      </c>
      <c r="D58" s="11" t="s">
        <v>530</v>
      </c>
      <c r="E58" s="9" t="str">
        <f>HYPERLINK("https://xeno-canto.org/332499","XC332499 (C, call)")</f>
        <v>XC332499 (C, call)</v>
      </c>
      <c r="F58" s="4"/>
      <c r="G58" s="4"/>
    </row>
    <row r="59" ht="15.75" customHeight="1">
      <c r="A59" s="4" t="s">
        <v>377</v>
      </c>
      <c r="B59" s="10" t="s">
        <v>531</v>
      </c>
      <c r="C59" s="4">
        <f>COUNTIF('All Recordings'!$F$2:$F$78,A59)</f>
        <v>1</v>
      </c>
      <c r="D59" s="11" t="s">
        <v>532</v>
      </c>
      <c r="E59" s="9" t="str">
        <f>HYPERLINK("https://xeno-canto.org/332165","XC332165 (B, call)")</f>
        <v>XC332165 (B, call)</v>
      </c>
      <c r="F59" s="4"/>
      <c r="G59" s="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11.0"/>
    <col customWidth="1" min="4" max="4" width="10.0"/>
    <col customWidth="1" min="5" max="5" width="44.0"/>
    <col customWidth="1" min="6" max="6" width="34.0"/>
    <col customWidth="1" min="7" max="7" width="60.0"/>
    <col customWidth="1" min="8" max="8" width="8.0"/>
    <col customWidth="1" min="9" max="9" width="17.0"/>
    <col customWidth="1" min="10" max="10" width="20.0"/>
    <col customWidth="1" min="11" max="26" width="8.71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</row>
    <row r="2">
      <c r="A2" s="4" t="s">
        <v>17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24</v>
      </c>
      <c r="G2" s="4" t="s">
        <v>25</v>
      </c>
      <c r="H2" s="4" t="s">
        <v>26</v>
      </c>
      <c r="I2" s="4" t="s">
        <v>27</v>
      </c>
      <c r="J2" s="9" t="str">
        <f>HYPERLINK("https://xeno-canto.org/331252","Open on Xeno-canto")</f>
        <v>Open on Xeno-canto</v>
      </c>
    </row>
    <row r="3">
      <c r="A3" s="4" t="s">
        <v>31</v>
      </c>
      <c r="B3" s="4" t="s">
        <v>19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37</v>
      </c>
      <c r="H3" s="4" t="s">
        <v>38</v>
      </c>
      <c r="I3" s="4" t="s">
        <v>27</v>
      </c>
      <c r="J3" s="9" t="str">
        <f>HYPERLINK("https://xeno-canto.org/331311","Open on Xeno-canto")</f>
        <v>Open on Xeno-canto</v>
      </c>
    </row>
    <row r="4">
      <c r="A4" s="4" t="s">
        <v>48</v>
      </c>
      <c r="B4" s="4" t="s">
        <v>19</v>
      </c>
      <c r="C4" s="4" t="s">
        <v>32</v>
      </c>
      <c r="D4" s="4" t="s">
        <v>50</v>
      </c>
      <c r="E4" s="4" t="s">
        <v>52</v>
      </c>
      <c r="F4" s="4" t="s">
        <v>53</v>
      </c>
      <c r="G4" s="4" t="s">
        <v>54</v>
      </c>
      <c r="H4" s="4" t="s">
        <v>38</v>
      </c>
      <c r="I4" s="4" t="s">
        <v>27</v>
      </c>
      <c r="J4" s="9" t="str">
        <f>HYPERLINK("https://xeno-canto.org/331314","Open on Xeno-canto")</f>
        <v>Open on Xeno-canto</v>
      </c>
    </row>
    <row r="5">
      <c r="A5" s="4" t="s">
        <v>59</v>
      </c>
      <c r="B5" s="4" t="s">
        <v>19</v>
      </c>
      <c r="C5" s="4" t="s">
        <v>32</v>
      </c>
      <c r="D5" s="4" t="s">
        <v>60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27</v>
      </c>
      <c r="J5" s="9" t="str">
        <f>HYPERLINK("https://xeno-canto.org/331320","Open on Xeno-canto")</f>
        <v>Open on Xeno-canto</v>
      </c>
    </row>
    <row r="6">
      <c r="A6" s="4" t="s">
        <v>67</v>
      </c>
      <c r="B6" s="4" t="s">
        <v>19</v>
      </c>
      <c r="C6" s="4" t="s">
        <v>68</v>
      </c>
      <c r="D6" s="4" t="s">
        <v>69</v>
      </c>
      <c r="E6" s="4" t="s">
        <v>61</v>
      </c>
      <c r="F6" s="4" t="s">
        <v>62</v>
      </c>
      <c r="G6" s="4" t="s">
        <v>63</v>
      </c>
      <c r="H6" s="4" t="s">
        <v>38</v>
      </c>
      <c r="I6" s="4" t="s">
        <v>27</v>
      </c>
      <c r="J6" s="9" t="str">
        <f>HYPERLINK("https://xeno-canto.org/331322","Open on Xeno-canto")</f>
        <v>Open on Xeno-canto</v>
      </c>
    </row>
    <row r="7">
      <c r="A7" s="4" t="s">
        <v>72</v>
      </c>
      <c r="B7" s="4" t="s">
        <v>19</v>
      </c>
      <c r="C7" s="4" t="s">
        <v>73</v>
      </c>
      <c r="D7" s="4" t="s">
        <v>74</v>
      </c>
      <c r="E7" s="4" t="s">
        <v>61</v>
      </c>
      <c r="F7" s="4" t="s">
        <v>62</v>
      </c>
      <c r="G7" s="4" t="s">
        <v>75</v>
      </c>
      <c r="H7" s="4" t="s">
        <v>38</v>
      </c>
      <c r="I7" s="4" t="s">
        <v>27</v>
      </c>
      <c r="J7" s="9" t="str">
        <f>HYPERLINK("https://xeno-canto.org/331323","Open on Xeno-canto")</f>
        <v>Open on Xeno-canto</v>
      </c>
    </row>
    <row r="8">
      <c r="A8" s="4" t="s">
        <v>80</v>
      </c>
      <c r="B8" s="4" t="s">
        <v>19</v>
      </c>
      <c r="C8" s="4" t="s">
        <v>32</v>
      </c>
      <c r="D8" s="4" t="s">
        <v>60</v>
      </c>
      <c r="E8" s="4" t="s">
        <v>82</v>
      </c>
      <c r="F8" s="4" t="s">
        <v>83</v>
      </c>
      <c r="G8" s="4" t="s">
        <v>84</v>
      </c>
      <c r="H8" s="4" t="s">
        <v>38</v>
      </c>
      <c r="I8" s="4" t="s">
        <v>27</v>
      </c>
      <c r="J8" s="9" t="str">
        <f>HYPERLINK("https://xeno-canto.org/331326","Open on Xeno-canto")</f>
        <v>Open on Xeno-canto</v>
      </c>
    </row>
    <row r="9">
      <c r="A9" s="4" t="s">
        <v>88</v>
      </c>
      <c r="B9" s="4" t="s">
        <v>19</v>
      </c>
      <c r="C9" s="4" t="s">
        <v>32</v>
      </c>
      <c r="D9" s="4" t="s">
        <v>89</v>
      </c>
      <c r="E9" s="4" t="s">
        <v>91</v>
      </c>
      <c r="F9" s="4" t="s">
        <v>92</v>
      </c>
      <c r="G9" s="4" t="s">
        <v>75</v>
      </c>
      <c r="H9" s="4" t="s">
        <v>38</v>
      </c>
      <c r="I9" s="4" t="s">
        <v>27</v>
      </c>
      <c r="J9" s="9" t="str">
        <f>HYPERLINK("https://xeno-canto.org/331328","Open on Xeno-canto")</f>
        <v>Open on Xeno-canto</v>
      </c>
    </row>
    <row r="10">
      <c r="A10" s="4" t="s">
        <v>96</v>
      </c>
      <c r="B10" s="4" t="s">
        <v>19</v>
      </c>
      <c r="C10" s="4" t="s">
        <v>32</v>
      </c>
      <c r="D10" s="4" t="s">
        <v>98</v>
      </c>
      <c r="E10" s="4" t="s">
        <v>82</v>
      </c>
      <c r="F10" s="4" t="s">
        <v>83</v>
      </c>
      <c r="G10" s="4" t="s">
        <v>84</v>
      </c>
      <c r="H10" s="4" t="s">
        <v>64</v>
      </c>
      <c r="I10" s="4" t="s">
        <v>27</v>
      </c>
      <c r="J10" s="9" t="str">
        <f>HYPERLINK("https://xeno-canto.org/331333","Open on Xeno-canto")</f>
        <v>Open on Xeno-canto</v>
      </c>
    </row>
    <row r="11">
      <c r="A11" s="4" t="s">
        <v>101</v>
      </c>
      <c r="B11" s="4" t="s">
        <v>19</v>
      </c>
      <c r="C11" s="4" t="s">
        <v>32</v>
      </c>
      <c r="D11" s="4" t="s">
        <v>98</v>
      </c>
      <c r="E11" s="4" t="s">
        <v>102</v>
      </c>
      <c r="F11" s="4" t="s">
        <v>103</v>
      </c>
      <c r="G11" s="4" t="s">
        <v>63</v>
      </c>
      <c r="H11" s="4" t="s">
        <v>64</v>
      </c>
      <c r="I11" s="4" t="s">
        <v>27</v>
      </c>
      <c r="J11" s="9" t="str">
        <f>HYPERLINK("https://xeno-canto.org/331334","Open on Xeno-canto")</f>
        <v>Open on Xeno-canto</v>
      </c>
    </row>
    <row r="12">
      <c r="A12" s="4" t="s">
        <v>108</v>
      </c>
      <c r="B12" s="4" t="s">
        <v>19</v>
      </c>
      <c r="C12" s="4" t="s">
        <v>68</v>
      </c>
      <c r="D12" s="4" t="s">
        <v>69</v>
      </c>
      <c r="E12" s="4" t="s">
        <v>110</v>
      </c>
      <c r="F12" s="4" t="s">
        <v>111</v>
      </c>
      <c r="G12" s="4" t="s">
        <v>75</v>
      </c>
      <c r="H12" s="4" t="s">
        <v>64</v>
      </c>
      <c r="I12" s="4" t="s">
        <v>27</v>
      </c>
      <c r="J12" s="9" t="str">
        <f>HYPERLINK("https://xeno-canto.org/331335","Open on Xeno-canto")</f>
        <v>Open on Xeno-canto</v>
      </c>
    </row>
    <row r="13">
      <c r="A13" s="4" t="s">
        <v>115</v>
      </c>
      <c r="B13" s="4" t="s">
        <v>19</v>
      </c>
      <c r="C13" s="4" t="s">
        <v>68</v>
      </c>
      <c r="D13" s="4" t="s">
        <v>69</v>
      </c>
      <c r="E13" s="4" t="s">
        <v>116</v>
      </c>
      <c r="F13" s="4" t="s">
        <v>117</v>
      </c>
      <c r="G13" s="4" t="s">
        <v>63</v>
      </c>
      <c r="H13" s="4" t="s">
        <v>64</v>
      </c>
      <c r="I13" s="4" t="s">
        <v>27</v>
      </c>
      <c r="J13" s="9" t="str">
        <f>HYPERLINK("https://xeno-canto.org/331336","Open on Xeno-canto")</f>
        <v>Open on Xeno-canto</v>
      </c>
    </row>
    <row r="14">
      <c r="A14" s="4" t="s">
        <v>120</v>
      </c>
      <c r="B14" s="4" t="s">
        <v>19</v>
      </c>
      <c r="C14" s="4" t="s">
        <v>68</v>
      </c>
      <c r="D14" s="4" t="s">
        <v>121</v>
      </c>
      <c r="E14" s="4" t="s">
        <v>122</v>
      </c>
      <c r="F14" s="4" t="s">
        <v>123</v>
      </c>
      <c r="G14" s="4" t="s">
        <v>63</v>
      </c>
      <c r="H14" s="4" t="s">
        <v>64</v>
      </c>
      <c r="I14" s="4" t="s">
        <v>27</v>
      </c>
      <c r="J14" s="9" t="str">
        <f>HYPERLINK("https://xeno-canto.org/331354","Open on Xeno-canto")</f>
        <v>Open on Xeno-canto</v>
      </c>
    </row>
    <row r="15">
      <c r="A15" s="4" t="s">
        <v>128</v>
      </c>
      <c r="B15" s="4" t="s">
        <v>19</v>
      </c>
      <c r="C15" s="4" t="s">
        <v>68</v>
      </c>
      <c r="D15" s="4" t="s">
        <v>129</v>
      </c>
      <c r="E15" s="4" t="s">
        <v>131</v>
      </c>
      <c r="F15" s="4" t="s">
        <v>132</v>
      </c>
      <c r="G15" s="4" t="s">
        <v>133</v>
      </c>
      <c r="H15" s="4" t="s">
        <v>64</v>
      </c>
      <c r="I15" s="4" t="s">
        <v>27</v>
      </c>
      <c r="J15" s="9" t="str">
        <f>HYPERLINK("https://xeno-canto.org/331355","Open on Xeno-canto")</f>
        <v>Open on Xeno-canto</v>
      </c>
    </row>
    <row r="16">
      <c r="A16" s="4" t="s">
        <v>137</v>
      </c>
      <c r="B16" s="4" t="s">
        <v>19</v>
      </c>
      <c r="C16" s="4" t="s">
        <v>68</v>
      </c>
      <c r="D16" s="4" t="s">
        <v>129</v>
      </c>
      <c r="E16" s="4" t="s">
        <v>116</v>
      </c>
      <c r="F16" s="4" t="s">
        <v>117</v>
      </c>
      <c r="G16" s="4" t="s">
        <v>63</v>
      </c>
      <c r="H16" s="4" t="s">
        <v>38</v>
      </c>
      <c r="I16" s="4" t="s">
        <v>27</v>
      </c>
      <c r="J16" s="9" t="str">
        <f>HYPERLINK("https://xeno-canto.org/331356","Open on Xeno-canto")</f>
        <v>Open on Xeno-canto</v>
      </c>
    </row>
    <row r="17">
      <c r="A17" s="4" t="s">
        <v>140</v>
      </c>
      <c r="B17" s="4" t="s">
        <v>19</v>
      </c>
      <c r="C17" s="4" t="s">
        <v>68</v>
      </c>
      <c r="D17" s="4" t="s">
        <v>60</v>
      </c>
      <c r="E17" s="4" t="s">
        <v>141</v>
      </c>
      <c r="F17" s="4" t="s">
        <v>142</v>
      </c>
      <c r="G17" s="4" t="s">
        <v>75</v>
      </c>
      <c r="H17" s="4" t="s">
        <v>38</v>
      </c>
      <c r="I17" s="4" t="s">
        <v>27</v>
      </c>
      <c r="J17" s="9" t="str">
        <f>HYPERLINK("https://xeno-canto.org/331362","Open on Xeno-canto")</f>
        <v>Open on Xeno-canto</v>
      </c>
    </row>
    <row r="18">
      <c r="A18" s="4" t="s">
        <v>145</v>
      </c>
      <c r="B18" s="4" t="s">
        <v>19</v>
      </c>
      <c r="C18" s="4" t="s">
        <v>73</v>
      </c>
      <c r="D18" s="4" t="s">
        <v>146</v>
      </c>
      <c r="E18" s="4" t="s">
        <v>147</v>
      </c>
      <c r="F18" s="4" t="s">
        <v>148</v>
      </c>
      <c r="G18" s="4" t="s">
        <v>75</v>
      </c>
      <c r="H18" s="4" t="s">
        <v>26</v>
      </c>
      <c r="I18" s="4" t="s">
        <v>27</v>
      </c>
      <c r="J18" s="9" t="str">
        <f>HYPERLINK("https://xeno-canto.org/331367","Open on Xeno-canto")</f>
        <v>Open on Xeno-canto</v>
      </c>
    </row>
    <row r="19">
      <c r="A19" s="4" t="s">
        <v>151</v>
      </c>
      <c r="B19" s="4" t="s">
        <v>19</v>
      </c>
      <c r="C19" s="4" t="s">
        <v>73</v>
      </c>
      <c r="D19" s="4" t="s">
        <v>146</v>
      </c>
      <c r="E19" s="4" t="s">
        <v>153</v>
      </c>
      <c r="F19" s="4" t="s">
        <v>154</v>
      </c>
      <c r="G19" s="4" t="s">
        <v>63</v>
      </c>
      <c r="H19" s="4" t="s">
        <v>64</v>
      </c>
      <c r="I19" s="4" t="s">
        <v>27</v>
      </c>
      <c r="J19" s="9" t="str">
        <f>HYPERLINK("https://xeno-canto.org/331372","Open on Xeno-canto")</f>
        <v>Open on Xeno-canto</v>
      </c>
    </row>
    <row r="20">
      <c r="A20" s="4" t="s">
        <v>157</v>
      </c>
      <c r="B20" s="4" t="s">
        <v>19</v>
      </c>
      <c r="C20" s="4" t="s">
        <v>73</v>
      </c>
      <c r="D20" s="4" t="s">
        <v>160</v>
      </c>
      <c r="E20" s="4" t="s">
        <v>161</v>
      </c>
      <c r="F20" s="4" t="s">
        <v>162</v>
      </c>
      <c r="G20" s="4" t="s">
        <v>75</v>
      </c>
      <c r="H20" s="4" t="s">
        <v>38</v>
      </c>
      <c r="I20" s="4" t="s">
        <v>27</v>
      </c>
      <c r="J20" s="9" t="str">
        <f>HYPERLINK("https://xeno-canto.org/331381","Open on Xeno-canto")</f>
        <v>Open on Xeno-canto</v>
      </c>
    </row>
    <row r="21" ht="15.75" customHeight="1">
      <c r="A21" s="4" t="s">
        <v>166</v>
      </c>
      <c r="B21" s="4" t="s">
        <v>19</v>
      </c>
      <c r="C21" s="4" t="s">
        <v>73</v>
      </c>
      <c r="D21" s="4" t="s">
        <v>146</v>
      </c>
      <c r="E21" s="4" t="s">
        <v>167</v>
      </c>
      <c r="F21" s="4" t="s">
        <v>55</v>
      </c>
      <c r="G21" s="4" t="s">
        <v>63</v>
      </c>
      <c r="H21" s="4" t="s">
        <v>38</v>
      </c>
      <c r="I21" s="4" t="s">
        <v>27</v>
      </c>
      <c r="J21" s="9" t="str">
        <f>HYPERLINK("https://xeno-canto.org/331385","Open on Xeno-canto")</f>
        <v>Open on Xeno-canto</v>
      </c>
    </row>
    <row r="22" ht="15.75" customHeight="1">
      <c r="A22" s="4" t="s">
        <v>170</v>
      </c>
      <c r="B22" s="4" t="s">
        <v>19</v>
      </c>
      <c r="C22" s="4" t="s">
        <v>73</v>
      </c>
      <c r="D22" s="4" t="s">
        <v>160</v>
      </c>
      <c r="E22" s="4" t="s">
        <v>167</v>
      </c>
      <c r="F22" s="4" t="s">
        <v>55</v>
      </c>
      <c r="G22" s="4" t="s">
        <v>63</v>
      </c>
      <c r="H22" s="4" t="s">
        <v>38</v>
      </c>
      <c r="I22" s="4" t="s">
        <v>27</v>
      </c>
      <c r="J22" s="9" t="str">
        <f>HYPERLINK("https://xeno-canto.org/331386","Open on Xeno-canto")</f>
        <v>Open on Xeno-canto</v>
      </c>
    </row>
    <row r="23" ht="15.75" customHeight="1">
      <c r="A23" s="4" t="s">
        <v>177</v>
      </c>
      <c r="B23" s="4" t="s">
        <v>19</v>
      </c>
      <c r="C23" s="4" t="s">
        <v>178</v>
      </c>
      <c r="D23" s="4" t="s">
        <v>69</v>
      </c>
      <c r="E23" s="4" t="s">
        <v>167</v>
      </c>
      <c r="F23" s="4" t="s">
        <v>55</v>
      </c>
      <c r="G23" s="4" t="s">
        <v>63</v>
      </c>
      <c r="H23" s="4" t="s">
        <v>38</v>
      </c>
      <c r="I23" s="4" t="s">
        <v>27</v>
      </c>
      <c r="J23" s="9" t="str">
        <f>HYPERLINK("https://xeno-canto.org/331387","Open on Xeno-canto")</f>
        <v>Open on Xeno-canto</v>
      </c>
    </row>
    <row r="24" ht="15.75" customHeight="1">
      <c r="A24" s="4" t="s">
        <v>180</v>
      </c>
      <c r="B24" s="4" t="s">
        <v>19</v>
      </c>
      <c r="C24" s="4" t="s">
        <v>73</v>
      </c>
      <c r="D24" s="4" t="s">
        <v>146</v>
      </c>
      <c r="E24" s="4" t="s">
        <v>182</v>
      </c>
      <c r="F24" s="4" t="s">
        <v>173</v>
      </c>
      <c r="G24" s="4" t="s">
        <v>63</v>
      </c>
      <c r="H24" s="4" t="s">
        <v>38</v>
      </c>
      <c r="I24" s="4" t="s">
        <v>27</v>
      </c>
      <c r="J24" s="9" t="str">
        <f>HYPERLINK("https://xeno-canto.org/331388","Open on Xeno-canto")</f>
        <v>Open on Xeno-canto</v>
      </c>
    </row>
    <row r="25" ht="15.75" customHeight="1">
      <c r="A25" s="4" t="s">
        <v>185</v>
      </c>
      <c r="B25" s="4" t="s">
        <v>19</v>
      </c>
      <c r="C25" s="4" t="s">
        <v>73</v>
      </c>
      <c r="D25" s="4" t="s">
        <v>146</v>
      </c>
      <c r="E25" s="4" t="s">
        <v>182</v>
      </c>
      <c r="F25" s="4" t="s">
        <v>173</v>
      </c>
      <c r="G25" s="4" t="s">
        <v>63</v>
      </c>
      <c r="H25" s="4" t="s">
        <v>38</v>
      </c>
      <c r="I25" s="4" t="s">
        <v>27</v>
      </c>
      <c r="J25" s="9" t="str">
        <f>HYPERLINK("https://xeno-canto.org/331389","Open on Xeno-canto")</f>
        <v>Open on Xeno-canto</v>
      </c>
    </row>
    <row r="26" ht="15.75" customHeight="1">
      <c r="A26" s="4" t="s">
        <v>189</v>
      </c>
      <c r="B26" s="4" t="s">
        <v>19</v>
      </c>
      <c r="C26" s="4" t="s">
        <v>73</v>
      </c>
      <c r="D26" s="4" t="s">
        <v>50</v>
      </c>
      <c r="E26" s="4" t="s">
        <v>190</v>
      </c>
      <c r="F26" s="4" t="s">
        <v>191</v>
      </c>
      <c r="G26" s="4" t="s">
        <v>63</v>
      </c>
      <c r="H26" s="4" t="s">
        <v>38</v>
      </c>
      <c r="I26" s="4" t="s">
        <v>27</v>
      </c>
      <c r="J26" s="9" t="str">
        <f>HYPERLINK("https://xeno-canto.org/331390","Open on Xeno-canto")</f>
        <v>Open on Xeno-canto</v>
      </c>
    </row>
    <row r="27" ht="15.75" customHeight="1">
      <c r="A27" s="4" t="s">
        <v>194</v>
      </c>
      <c r="B27" s="4" t="s">
        <v>19</v>
      </c>
      <c r="C27" s="4" t="s">
        <v>73</v>
      </c>
      <c r="D27" s="4" t="s">
        <v>160</v>
      </c>
      <c r="E27" s="4" t="s">
        <v>197</v>
      </c>
      <c r="F27" s="4" t="s">
        <v>198</v>
      </c>
      <c r="G27" s="4" t="s">
        <v>63</v>
      </c>
      <c r="H27" s="4" t="s">
        <v>38</v>
      </c>
      <c r="I27" s="4" t="s">
        <v>27</v>
      </c>
      <c r="J27" s="9" t="str">
        <f>HYPERLINK("https://xeno-canto.org/331431","Open on Xeno-canto")</f>
        <v>Open on Xeno-canto</v>
      </c>
    </row>
    <row r="28" ht="15.75" customHeight="1">
      <c r="A28" s="4" t="s">
        <v>201</v>
      </c>
      <c r="B28" s="4" t="s">
        <v>19</v>
      </c>
      <c r="C28" s="4" t="s">
        <v>73</v>
      </c>
      <c r="D28" s="4" t="s">
        <v>60</v>
      </c>
      <c r="E28" s="4" t="s">
        <v>203</v>
      </c>
      <c r="F28" s="4" t="s">
        <v>158</v>
      </c>
      <c r="G28" s="4" t="s">
        <v>63</v>
      </c>
      <c r="H28" s="4" t="s">
        <v>38</v>
      </c>
      <c r="I28" s="4" t="s">
        <v>27</v>
      </c>
      <c r="J28" s="9" t="str">
        <f>HYPERLINK("https://xeno-canto.org/331434","Open on Xeno-canto")</f>
        <v>Open on Xeno-canto</v>
      </c>
    </row>
    <row r="29" ht="15.75" customHeight="1">
      <c r="A29" s="4" t="s">
        <v>207</v>
      </c>
      <c r="B29" s="4" t="s">
        <v>19</v>
      </c>
      <c r="C29" s="4" t="s">
        <v>73</v>
      </c>
      <c r="D29" s="4" t="s">
        <v>209</v>
      </c>
      <c r="E29" s="4" t="s">
        <v>102</v>
      </c>
      <c r="F29" s="4" t="s">
        <v>103</v>
      </c>
      <c r="G29" s="4" t="s">
        <v>63</v>
      </c>
      <c r="H29" s="4" t="s">
        <v>26</v>
      </c>
      <c r="I29" s="4" t="s">
        <v>27</v>
      </c>
      <c r="J29" s="9" t="str">
        <f>HYPERLINK("https://xeno-canto.org/331436","Open on Xeno-canto")</f>
        <v>Open on Xeno-canto</v>
      </c>
    </row>
    <row r="30" ht="15.75" customHeight="1">
      <c r="A30" s="4" t="s">
        <v>213</v>
      </c>
      <c r="B30" s="4" t="s">
        <v>19</v>
      </c>
      <c r="C30" s="4" t="s">
        <v>73</v>
      </c>
      <c r="D30" s="4" t="s">
        <v>98</v>
      </c>
      <c r="E30" s="4" t="s">
        <v>214</v>
      </c>
      <c r="F30" s="4" t="s">
        <v>215</v>
      </c>
      <c r="G30" s="4" t="s">
        <v>75</v>
      </c>
      <c r="H30" s="4" t="s">
        <v>38</v>
      </c>
      <c r="I30" s="4" t="s">
        <v>27</v>
      </c>
      <c r="J30" s="9" t="str">
        <f>HYPERLINK("https://xeno-canto.org/331449","Open on Xeno-canto")</f>
        <v>Open on Xeno-canto</v>
      </c>
    </row>
    <row r="31" ht="15.75" customHeight="1">
      <c r="A31" s="4" t="s">
        <v>219</v>
      </c>
      <c r="B31" s="4" t="s">
        <v>19</v>
      </c>
      <c r="C31" s="4" t="s">
        <v>178</v>
      </c>
      <c r="D31" s="4" t="s">
        <v>146</v>
      </c>
      <c r="E31" s="4" t="s">
        <v>221</v>
      </c>
      <c r="F31" s="4" t="s">
        <v>223</v>
      </c>
      <c r="G31" s="4" t="s">
        <v>75</v>
      </c>
      <c r="H31" s="4" t="s">
        <v>38</v>
      </c>
      <c r="I31" s="4" t="s">
        <v>27</v>
      </c>
      <c r="J31" s="9" t="str">
        <f>HYPERLINK("https://xeno-canto.org/331460","Open on Xeno-canto")</f>
        <v>Open on Xeno-canto</v>
      </c>
    </row>
    <row r="32" ht="15.75" customHeight="1">
      <c r="A32" s="4" t="s">
        <v>227</v>
      </c>
      <c r="B32" s="4" t="s">
        <v>19</v>
      </c>
      <c r="C32" s="4" t="s">
        <v>178</v>
      </c>
      <c r="D32" s="4" t="s">
        <v>228</v>
      </c>
      <c r="E32" s="4" t="s">
        <v>229</v>
      </c>
      <c r="F32" s="4" t="s">
        <v>230</v>
      </c>
      <c r="G32" s="4" t="s">
        <v>63</v>
      </c>
      <c r="H32" s="4" t="s">
        <v>38</v>
      </c>
      <c r="I32" s="4" t="s">
        <v>27</v>
      </c>
      <c r="J32" s="9" t="str">
        <f>HYPERLINK("https://xeno-canto.org/331462","Open on Xeno-canto")</f>
        <v>Open on Xeno-canto</v>
      </c>
    </row>
    <row r="33" ht="15.75" customHeight="1">
      <c r="A33" s="4" t="s">
        <v>234</v>
      </c>
      <c r="B33" s="4" t="s">
        <v>19</v>
      </c>
      <c r="C33" s="4" t="s">
        <v>178</v>
      </c>
      <c r="D33" s="4" t="s">
        <v>236</v>
      </c>
      <c r="E33" s="4" t="s">
        <v>237</v>
      </c>
      <c r="F33" s="4" t="s">
        <v>238</v>
      </c>
      <c r="G33" s="4" t="s">
        <v>63</v>
      </c>
      <c r="H33" s="4" t="s">
        <v>64</v>
      </c>
      <c r="I33" s="4" t="s">
        <v>27</v>
      </c>
      <c r="J33" s="9" t="str">
        <f>HYPERLINK("https://xeno-canto.org/331463","Open on Xeno-canto")</f>
        <v>Open on Xeno-canto</v>
      </c>
    </row>
    <row r="34" ht="15.75" customHeight="1">
      <c r="A34" s="4" t="s">
        <v>243</v>
      </c>
      <c r="B34" s="4" t="s">
        <v>19</v>
      </c>
      <c r="C34" s="4" t="s">
        <v>178</v>
      </c>
      <c r="D34" s="4" t="s">
        <v>244</v>
      </c>
      <c r="E34" s="4" t="s">
        <v>52</v>
      </c>
      <c r="F34" s="4" t="s">
        <v>53</v>
      </c>
      <c r="G34" s="4" t="s">
        <v>63</v>
      </c>
      <c r="H34" s="4" t="s">
        <v>26</v>
      </c>
      <c r="I34" s="4" t="s">
        <v>27</v>
      </c>
      <c r="J34" s="9" t="str">
        <f>HYPERLINK("https://xeno-canto.org/331465","Open on Xeno-canto")</f>
        <v>Open on Xeno-canto</v>
      </c>
    </row>
    <row r="35" ht="15.75" customHeight="1">
      <c r="A35" s="4" t="s">
        <v>248</v>
      </c>
      <c r="B35" s="4" t="s">
        <v>19</v>
      </c>
      <c r="C35" s="4" t="s">
        <v>73</v>
      </c>
      <c r="D35" s="4" t="s">
        <v>160</v>
      </c>
      <c r="E35" s="4" t="s">
        <v>249</v>
      </c>
      <c r="F35" s="4" t="s">
        <v>250</v>
      </c>
      <c r="G35" s="4" t="s">
        <v>63</v>
      </c>
      <c r="H35" s="4" t="s">
        <v>64</v>
      </c>
      <c r="I35" s="4" t="s">
        <v>27</v>
      </c>
      <c r="J35" s="9" t="str">
        <f>HYPERLINK("https://xeno-canto.org/331469","Open on Xeno-canto")</f>
        <v>Open on Xeno-canto</v>
      </c>
    </row>
    <row r="36" ht="15.75" customHeight="1">
      <c r="A36" s="4" t="s">
        <v>255</v>
      </c>
      <c r="B36" s="4" t="s">
        <v>19</v>
      </c>
      <c r="C36" s="4" t="s">
        <v>73</v>
      </c>
      <c r="D36" s="4" t="s">
        <v>257</v>
      </c>
      <c r="E36" s="4" t="s">
        <v>203</v>
      </c>
      <c r="F36" s="4" t="s">
        <v>158</v>
      </c>
      <c r="G36" s="4" t="s">
        <v>75</v>
      </c>
      <c r="H36" s="4" t="s">
        <v>64</v>
      </c>
      <c r="I36" s="4" t="s">
        <v>27</v>
      </c>
      <c r="J36" s="9" t="str">
        <f>HYPERLINK("https://xeno-canto.org/331470","Open on Xeno-canto")</f>
        <v>Open on Xeno-canto</v>
      </c>
    </row>
    <row r="37" ht="15.75" customHeight="1">
      <c r="A37" s="4" t="s">
        <v>261</v>
      </c>
      <c r="B37" s="4" t="s">
        <v>19</v>
      </c>
      <c r="C37" s="4" t="s">
        <v>73</v>
      </c>
      <c r="D37" s="4" t="s">
        <v>262</v>
      </c>
      <c r="E37" s="4" t="s">
        <v>263</v>
      </c>
      <c r="F37" s="4" t="s">
        <v>264</v>
      </c>
      <c r="G37" s="4" t="s">
        <v>266</v>
      </c>
      <c r="H37" s="4" t="s">
        <v>64</v>
      </c>
      <c r="I37" s="4" t="s">
        <v>27</v>
      </c>
      <c r="J37" s="9" t="str">
        <f>HYPERLINK("https://xeno-canto.org/331600","Open on Xeno-canto")</f>
        <v>Open on Xeno-canto</v>
      </c>
    </row>
    <row r="38" ht="15.75" customHeight="1">
      <c r="A38" s="4" t="s">
        <v>271</v>
      </c>
      <c r="B38" s="4" t="s">
        <v>19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277</v>
      </c>
      <c r="H38" s="4" t="s">
        <v>64</v>
      </c>
      <c r="I38" s="4" t="s">
        <v>27</v>
      </c>
      <c r="J38" s="9" t="str">
        <f>HYPERLINK("https://xeno-canto.org/331639","Open on Xeno-canto")</f>
        <v>Open on Xeno-canto</v>
      </c>
    </row>
    <row r="39" ht="15.75" customHeight="1">
      <c r="A39" s="4" t="s">
        <v>285</v>
      </c>
      <c r="B39" s="4" t="s">
        <v>19</v>
      </c>
      <c r="C39" s="4" t="s">
        <v>178</v>
      </c>
      <c r="D39" s="4" t="s">
        <v>98</v>
      </c>
      <c r="E39" s="4" t="s">
        <v>153</v>
      </c>
      <c r="F39" s="4" t="s">
        <v>154</v>
      </c>
      <c r="G39" s="4" t="s">
        <v>289</v>
      </c>
      <c r="H39" s="4" t="s">
        <v>64</v>
      </c>
      <c r="I39" s="4" t="s">
        <v>27</v>
      </c>
      <c r="J39" s="9" t="str">
        <f>HYPERLINK("https://xeno-canto.org/331640","Open on Xeno-canto")</f>
        <v>Open on Xeno-canto</v>
      </c>
    </row>
    <row r="40" ht="15.75" customHeight="1">
      <c r="A40" s="4" t="s">
        <v>294</v>
      </c>
      <c r="B40" s="4" t="s">
        <v>19</v>
      </c>
      <c r="C40" s="4" t="s">
        <v>178</v>
      </c>
      <c r="D40" s="4" t="s">
        <v>98</v>
      </c>
      <c r="E40" s="4" t="s">
        <v>296</v>
      </c>
      <c r="F40" s="4" t="s">
        <v>298</v>
      </c>
      <c r="G40" s="4" t="s">
        <v>299</v>
      </c>
      <c r="H40" s="4" t="s">
        <v>38</v>
      </c>
      <c r="I40" s="4" t="s">
        <v>27</v>
      </c>
      <c r="J40" s="9" t="str">
        <f>HYPERLINK("https://xeno-canto.org/331641","Open on Xeno-canto")</f>
        <v>Open on Xeno-canto</v>
      </c>
    </row>
    <row r="41" ht="15.75" customHeight="1">
      <c r="A41" s="4" t="s">
        <v>303</v>
      </c>
      <c r="B41" s="4" t="s">
        <v>19</v>
      </c>
      <c r="C41" s="4" t="s">
        <v>273</v>
      </c>
      <c r="D41" s="4" t="s">
        <v>160</v>
      </c>
      <c r="E41" s="4" t="s">
        <v>305</v>
      </c>
      <c r="F41" s="4" t="s">
        <v>306</v>
      </c>
      <c r="G41" s="4" t="s">
        <v>289</v>
      </c>
      <c r="H41" s="4" t="s">
        <v>38</v>
      </c>
      <c r="I41" s="4" t="s">
        <v>27</v>
      </c>
      <c r="J41" s="9" t="str">
        <f>HYPERLINK("https://xeno-canto.org/331642","Open on Xeno-canto")</f>
        <v>Open on Xeno-canto</v>
      </c>
    </row>
    <row r="42" ht="15.75" customHeight="1">
      <c r="A42" s="4" t="s">
        <v>310</v>
      </c>
      <c r="B42" s="4" t="s">
        <v>19</v>
      </c>
      <c r="C42" s="4" t="s">
        <v>273</v>
      </c>
      <c r="D42" s="4" t="s">
        <v>160</v>
      </c>
      <c r="E42" s="4" t="s">
        <v>312</v>
      </c>
      <c r="F42" s="4" t="s">
        <v>268</v>
      </c>
      <c r="G42" s="4" t="s">
        <v>289</v>
      </c>
      <c r="H42" s="4" t="s">
        <v>64</v>
      </c>
      <c r="I42" s="4" t="s">
        <v>27</v>
      </c>
      <c r="J42" s="9" t="str">
        <f>HYPERLINK("https://xeno-canto.org/331643","Open on Xeno-canto")</f>
        <v>Open on Xeno-canto</v>
      </c>
    </row>
    <row r="43" ht="15.75" customHeight="1">
      <c r="A43" s="4" t="s">
        <v>317</v>
      </c>
      <c r="B43" s="4" t="s">
        <v>19</v>
      </c>
      <c r="C43" s="4" t="s">
        <v>273</v>
      </c>
      <c r="D43" s="4" t="s">
        <v>33</v>
      </c>
      <c r="E43" s="4" t="s">
        <v>318</v>
      </c>
      <c r="F43" s="4" t="s">
        <v>319</v>
      </c>
      <c r="G43" s="4" t="s">
        <v>320</v>
      </c>
      <c r="H43" s="4" t="s">
        <v>38</v>
      </c>
      <c r="I43" s="4" t="s">
        <v>321</v>
      </c>
      <c r="J43" s="9" t="str">
        <f>HYPERLINK("https://xeno-canto.org/331646","Open on Xeno-canto")</f>
        <v>Open on Xeno-canto</v>
      </c>
    </row>
    <row r="44" ht="15.75" customHeight="1">
      <c r="A44" s="4" t="s">
        <v>325</v>
      </c>
      <c r="B44" s="4" t="s">
        <v>19</v>
      </c>
      <c r="C44" s="4" t="s">
        <v>273</v>
      </c>
      <c r="D44" s="4" t="s">
        <v>326</v>
      </c>
      <c r="E44" s="4" t="s">
        <v>328</v>
      </c>
      <c r="F44" s="4" t="s">
        <v>329</v>
      </c>
      <c r="G44" s="4" t="s">
        <v>330</v>
      </c>
      <c r="H44" s="4" t="s">
        <v>38</v>
      </c>
      <c r="I44" s="4" t="s">
        <v>27</v>
      </c>
      <c r="J44" s="9" t="str">
        <f>HYPERLINK("https://xeno-canto.org/332138","Open on Xeno-canto")</f>
        <v>Open on Xeno-canto</v>
      </c>
    </row>
    <row r="45" ht="15.75" customHeight="1">
      <c r="A45" s="4" t="s">
        <v>335</v>
      </c>
      <c r="B45" s="4" t="s">
        <v>19</v>
      </c>
      <c r="C45" s="4" t="s">
        <v>273</v>
      </c>
      <c r="D45" s="4" t="s">
        <v>257</v>
      </c>
      <c r="E45" s="4" t="s">
        <v>337</v>
      </c>
      <c r="F45" s="4" t="s">
        <v>338</v>
      </c>
      <c r="G45" s="4" t="s">
        <v>339</v>
      </c>
      <c r="H45" s="4" t="s">
        <v>26</v>
      </c>
      <c r="I45" s="4" t="s">
        <v>321</v>
      </c>
      <c r="J45" s="9" t="str">
        <f>HYPERLINK("https://xeno-canto.org/332139","Open on Xeno-canto")</f>
        <v>Open on Xeno-canto</v>
      </c>
    </row>
    <row r="46" ht="15.75" customHeight="1">
      <c r="A46" s="4" t="s">
        <v>343</v>
      </c>
      <c r="B46" s="4" t="s">
        <v>19</v>
      </c>
      <c r="C46" s="4" t="s">
        <v>20</v>
      </c>
      <c r="D46" s="4" t="s">
        <v>257</v>
      </c>
      <c r="E46" s="4" t="s">
        <v>337</v>
      </c>
      <c r="F46" s="4" t="s">
        <v>338</v>
      </c>
      <c r="G46" s="4" t="s">
        <v>320</v>
      </c>
      <c r="H46" s="4" t="s">
        <v>26</v>
      </c>
      <c r="I46" s="4" t="s">
        <v>321</v>
      </c>
      <c r="J46" s="9" t="str">
        <f>HYPERLINK("https://xeno-canto.org/332140","Open on Xeno-canto")</f>
        <v>Open on Xeno-canto</v>
      </c>
    </row>
    <row r="47" ht="15.75" customHeight="1">
      <c r="A47" s="4" t="s">
        <v>348</v>
      </c>
      <c r="B47" s="4" t="s">
        <v>19</v>
      </c>
      <c r="C47" s="4" t="s">
        <v>273</v>
      </c>
      <c r="D47" s="4" t="s">
        <v>50</v>
      </c>
      <c r="E47" s="4" t="s">
        <v>337</v>
      </c>
      <c r="F47" s="4" t="s">
        <v>338</v>
      </c>
      <c r="G47" s="4" t="s">
        <v>339</v>
      </c>
      <c r="H47" s="4" t="s">
        <v>26</v>
      </c>
      <c r="I47" s="4" t="s">
        <v>321</v>
      </c>
      <c r="J47" s="9" t="str">
        <f>HYPERLINK("https://xeno-canto.org/332144","Open on Xeno-canto")</f>
        <v>Open on Xeno-canto</v>
      </c>
    </row>
    <row r="48" ht="15.75" customHeight="1">
      <c r="A48" s="4" t="s">
        <v>354</v>
      </c>
      <c r="B48" s="4" t="s">
        <v>19</v>
      </c>
      <c r="C48" s="4" t="s">
        <v>355</v>
      </c>
      <c r="D48" s="4" t="s">
        <v>21</v>
      </c>
      <c r="E48" s="4" t="s">
        <v>22</v>
      </c>
      <c r="F48" s="4" t="s">
        <v>24</v>
      </c>
      <c r="G48" s="4" t="s">
        <v>356</v>
      </c>
      <c r="H48" s="4" t="s">
        <v>26</v>
      </c>
      <c r="I48" s="4" t="s">
        <v>27</v>
      </c>
      <c r="J48" s="9" t="str">
        <f>HYPERLINK("https://xeno-canto.org/332147","Open on Xeno-canto")</f>
        <v>Open on Xeno-canto</v>
      </c>
    </row>
    <row r="49" ht="15.75" customHeight="1">
      <c r="A49" s="4" t="s">
        <v>359</v>
      </c>
      <c r="B49" s="4" t="s">
        <v>19</v>
      </c>
      <c r="C49" s="4" t="s">
        <v>273</v>
      </c>
      <c r="D49" s="4" t="s">
        <v>74</v>
      </c>
      <c r="E49" s="4" t="s">
        <v>361</v>
      </c>
      <c r="F49" s="4" t="s">
        <v>363</v>
      </c>
      <c r="G49" s="4" t="s">
        <v>320</v>
      </c>
      <c r="H49" s="4" t="s">
        <v>365</v>
      </c>
      <c r="I49" s="4" t="s">
        <v>321</v>
      </c>
      <c r="J49" s="9" t="str">
        <f>HYPERLINK("https://xeno-canto.org/332163","Open on Xeno-canto")</f>
        <v>Open on Xeno-canto</v>
      </c>
    </row>
    <row r="50" ht="15.75" customHeight="1">
      <c r="A50" s="4" t="s">
        <v>368</v>
      </c>
      <c r="B50" s="4" t="s">
        <v>19</v>
      </c>
      <c r="C50" s="4" t="s">
        <v>20</v>
      </c>
      <c r="D50" s="4" t="s">
        <v>370</v>
      </c>
      <c r="E50" s="4" t="s">
        <v>361</v>
      </c>
      <c r="F50" s="4" t="s">
        <v>363</v>
      </c>
      <c r="G50" s="4" t="s">
        <v>371</v>
      </c>
      <c r="H50" s="4" t="s">
        <v>38</v>
      </c>
      <c r="I50" s="4" t="s">
        <v>321</v>
      </c>
      <c r="J50" s="9" t="str">
        <f>HYPERLINK("https://xeno-canto.org/332164","Open on Xeno-canto")</f>
        <v>Open on Xeno-canto</v>
      </c>
    </row>
    <row r="51" ht="15.75" customHeight="1">
      <c r="A51" s="4" t="s">
        <v>375</v>
      </c>
      <c r="B51" s="4" t="s">
        <v>19</v>
      </c>
      <c r="C51" s="4" t="s">
        <v>20</v>
      </c>
      <c r="D51" s="4" t="s">
        <v>326</v>
      </c>
      <c r="E51" s="4" t="s">
        <v>376</v>
      </c>
      <c r="F51" s="4" t="s">
        <v>377</v>
      </c>
      <c r="G51" s="4" t="s">
        <v>379</v>
      </c>
      <c r="H51" s="4" t="s">
        <v>38</v>
      </c>
      <c r="I51" s="4" t="s">
        <v>321</v>
      </c>
      <c r="J51" s="9" t="str">
        <f>HYPERLINK("https://xeno-canto.org/332165","Open on Xeno-canto")</f>
        <v>Open on Xeno-canto</v>
      </c>
    </row>
    <row r="52" ht="15.75" customHeight="1">
      <c r="A52" s="4" t="s">
        <v>383</v>
      </c>
      <c r="B52" s="4" t="s">
        <v>19</v>
      </c>
      <c r="C52" s="4" t="s">
        <v>20</v>
      </c>
      <c r="D52" s="4" t="s">
        <v>370</v>
      </c>
      <c r="E52" s="4" t="s">
        <v>386</v>
      </c>
      <c r="F52" s="4" t="s">
        <v>387</v>
      </c>
      <c r="G52" s="4" t="s">
        <v>25</v>
      </c>
      <c r="H52" s="4" t="s">
        <v>26</v>
      </c>
      <c r="I52" s="4" t="s">
        <v>27</v>
      </c>
      <c r="J52" s="9" t="str">
        <f>HYPERLINK("https://xeno-canto.org/332166","Open on Xeno-canto")</f>
        <v>Open on Xeno-canto</v>
      </c>
    </row>
    <row r="53" ht="15.75" customHeight="1">
      <c r="A53" s="4" t="s">
        <v>391</v>
      </c>
      <c r="B53" s="4" t="s">
        <v>19</v>
      </c>
      <c r="C53" s="4" t="s">
        <v>20</v>
      </c>
      <c r="D53" s="4" t="s">
        <v>228</v>
      </c>
      <c r="E53" s="4" t="s">
        <v>392</v>
      </c>
      <c r="F53" s="4" t="s">
        <v>393</v>
      </c>
      <c r="G53" s="4" t="s">
        <v>25</v>
      </c>
      <c r="H53" s="4" t="s">
        <v>38</v>
      </c>
      <c r="I53" s="4" t="s">
        <v>321</v>
      </c>
      <c r="J53" s="9" t="str">
        <f>HYPERLINK("https://xeno-canto.org/332230","Open on Xeno-canto")</f>
        <v>Open on Xeno-canto</v>
      </c>
    </row>
    <row r="54" ht="15.75" customHeight="1">
      <c r="A54" s="4" t="s">
        <v>397</v>
      </c>
      <c r="B54" s="4" t="s">
        <v>19</v>
      </c>
      <c r="C54" s="4" t="s">
        <v>20</v>
      </c>
      <c r="D54" s="4" t="s">
        <v>236</v>
      </c>
      <c r="E54" s="4" t="s">
        <v>399</v>
      </c>
      <c r="F54" s="4" t="s">
        <v>400</v>
      </c>
      <c r="G54" s="4" t="s">
        <v>25</v>
      </c>
      <c r="H54" s="4" t="s">
        <v>38</v>
      </c>
      <c r="I54" s="4" t="s">
        <v>27</v>
      </c>
      <c r="J54" s="9" t="str">
        <f>HYPERLINK("https://xeno-canto.org/332260","Open on Xeno-canto")</f>
        <v>Open on Xeno-canto</v>
      </c>
    </row>
    <row r="55" ht="15.75" customHeight="1">
      <c r="A55" s="4" t="s">
        <v>404</v>
      </c>
      <c r="B55" s="4" t="s">
        <v>19</v>
      </c>
      <c r="C55" s="4" t="s">
        <v>20</v>
      </c>
      <c r="D55" s="4" t="s">
        <v>262</v>
      </c>
      <c r="E55" s="4" t="s">
        <v>22</v>
      </c>
      <c r="F55" s="4" t="s">
        <v>24</v>
      </c>
      <c r="G55" s="4" t="s">
        <v>25</v>
      </c>
      <c r="H55" s="4" t="s">
        <v>26</v>
      </c>
      <c r="I55" s="4" t="s">
        <v>27</v>
      </c>
      <c r="J55" s="9" t="str">
        <f>HYPERLINK("https://xeno-canto.org/332261","Open on Xeno-canto")</f>
        <v>Open on Xeno-canto</v>
      </c>
    </row>
    <row r="56" ht="15.75" customHeight="1">
      <c r="A56" s="4" t="s">
        <v>409</v>
      </c>
      <c r="B56" s="4" t="s">
        <v>19</v>
      </c>
      <c r="C56" s="4" t="s">
        <v>20</v>
      </c>
      <c r="D56" s="4" t="s">
        <v>121</v>
      </c>
      <c r="E56" s="4" t="s">
        <v>411</v>
      </c>
      <c r="F56" s="4" t="s">
        <v>412</v>
      </c>
      <c r="G56" s="4" t="s">
        <v>413</v>
      </c>
      <c r="H56" s="4" t="s">
        <v>38</v>
      </c>
      <c r="I56" s="4" t="s">
        <v>27</v>
      </c>
      <c r="J56" s="9" t="str">
        <f>HYPERLINK("https://xeno-canto.org/332262","Open on Xeno-canto")</f>
        <v>Open on Xeno-canto</v>
      </c>
    </row>
    <row r="57" ht="15.75" customHeight="1">
      <c r="A57" s="4" t="s">
        <v>417</v>
      </c>
      <c r="B57" s="4" t="s">
        <v>19</v>
      </c>
      <c r="C57" s="4" t="s">
        <v>20</v>
      </c>
      <c r="D57" s="4" t="s">
        <v>274</v>
      </c>
      <c r="E57" s="4" t="s">
        <v>419</v>
      </c>
      <c r="F57" s="4" t="s">
        <v>421</v>
      </c>
      <c r="G57" s="4" t="s">
        <v>25</v>
      </c>
      <c r="H57" s="4" t="s">
        <v>365</v>
      </c>
      <c r="I57" s="4" t="s">
        <v>321</v>
      </c>
      <c r="J57" s="9" t="str">
        <f>HYPERLINK("https://xeno-canto.org/332265","Open on Xeno-canto")</f>
        <v>Open on Xeno-canto</v>
      </c>
    </row>
    <row r="58" ht="15.75" customHeight="1">
      <c r="A58" s="4" t="s">
        <v>426</v>
      </c>
      <c r="B58" s="4" t="s">
        <v>19</v>
      </c>
      <c r="C58" s="4" t="s">
        <v>427</v>
      </c>
      <c r="D58" s="4" t="s">
        <v>146</v>
      </c>
      <c r="E58" s="4" t="s">
        <v>428</v>
      </c>
      <c r="F58" s="4" t="s">
        <v>429</v>
      </c>
      <c r="G58" s="4" t="s">
        <v>320</v>
      </c>
      <c r="H58" s="4" t="s">
        <v>64</v>
      </c>
      <c r="I58" s="4" t="s">
        <v>27</v>
      </c>
      <c r="J58" s="9" t="str">
        <f>HYPERLINK("https://xeno-canto.org/332268","Open on Xeno-canto")</f>
        <v>Open on Xeno-canto</v>
      </c>
    </row>
    <row r="59" ht="15.75" customHeight="1">
      <c r="A59" s="4" t="s">
        <v>433</v>
      </c>
      <c r="B59" s="4" t="s">
        <v>19</v>
      </c>
      <c r="C59" s="4" t="s">
        <v>427</v>
      </c>
      <c r="D59" s="4" t="s">
        <v>146</v>
      </c>
      <c r="E59" s="4" t="s">
        <v>82</v>
      </c>
      <c r="F59" s="4" t="s">
        <v>83</v>
      </c>
      <c r="G59" s="4" t="s">
        <v>435</v>
      </c>
      <c r="H59" s="4" t="s">
        <v>38</v>
      </c>
      <c r="I59" s="4" t="s">
        <v>27</v>
      </c>
      <c r="J59" s="9" t="str">
        <f>HYPERLINK("https://xeno-canto.org/332269","Open on Xeno-canto")</f>
        <v>Open on Xeno-canto</v>
      </c>
    </row>
    <row r="60" ht="15.75" customHeight="1">
      <c r="A60" s="4" t="s">
        <v>439</v>
      </c>
      <c r="B60" s="4" t="s">
        <v>19</v>
      </c>
      <c r="C60" s="4" t="s">
        <v>427</v>
      </c>
      <c r="D60" s="4" t="s">
        <v>146</v>
      </c>
      <c r="E60" s="4" t="s">
        <v>440</v>
      </c>
      <c r="F60" s="4" t="s">
        <v>292</v>
      </c>
      <c r="G60" s="4" t="s">
        <v>339</v>
      </c>
      <c r="H60" s="4" t="s">
        <v>38</v>
      </c>
      <c r="I60" s="4" t="s">
        <v>27</v>
      </c>
      <c r="J60" s="9" t="str">
        <f>HYPERLINK("https://xeno-canto.org/332270","Open on Xeno-canto")</f>
        <v>Open on Xeno-canto</v>
      </c>
    </row>
    <row r="61" ht="15.75" customHeight="1">
      <c r="A61" s="4" t="s">
        <v>443</v>
      </c>
      <c r="B61" s="4" t="s">
        <v>19</v>
      </c>
      <c r="C61" s="4" t="s">
        <v>427</v>
      </c>
      <c r="D61" s="4" t="s">
        <v>257</v>
      </c>
      <c r="E61" s="4" t="s">
        <v>445</v>
      </c>
      <c r="F61" s="4" t="s">
        <v>446</v>
      </c>
      <c r="G61" s="4" t="s">
        <v>320</v>
      </c>
      <c r="H61" s="4" t="s">
        <v>38</v>
      </c>
      <c r="I61" s="4" t="s">
        <v>27</v>
      </c>
      <c r="J61" s="9" t="str">
        <f>HYPERLINK("https://xeno-canto.org/332384","Open on Xeno-canto")</f>
        <v>Open on Xeno-canto</v>
      </c>
    </row>
    <row r="62" ht="15.75" customHeight="1">
      <c r="A62" s="4" t="s">
        <v>449</v>
      </c>
      <c r="B62" s="4" t="s">
        <v>19</v>
      </c>
      <c r="C62" s="4" t="s">
        <v>427</v>
      </c>
      <c r="D62" s="4" t="s">
        <v>326</v>
      </c>
      <c r="E62" s="4" t="s">
        <v>450</v>
      </c>
      <c r="F62" s="4" t="s">
        <v>282</v>
      </c>
      <c r="G62" s="4" t="s">
        <v>451</v>
      </c>
      <c r="H62" s="4" t="s">
        <v>64</v>
      </c>
      <c r="I62" s="4" t="s">
        <v>27</v>
      </c>
      <c r="J62" s="9" t="str">
        <f>HYPERLINK("https://xeno-canto.org/332386","Open on Xeno-canto")</f>
        <v>Open on Xeno-canto</v>
      </c>
    </row>
    <row r="63" ht="15.75" customHeight="1">
      <c r="A63" s="4" t="s">
        <v>453</v>
      </c>
      <c r="B63" s="4" t="s">
        <v>19</v>
      </c>
      <c r="C63" s="4" t="s">
        <v>427</v>
      </c>
      <c r="D63" s="4" t="s">
        <v>326</v>
      </c>
      <c r="E63" s="4" t="s">
        <v>454</v>
      </c>
      <c r="F63" s="4" t="s">
        <v>422</v>
      </c>
      <c r="G63" s="4" t="s">
        <v>379</v>
      </c>
      <c r="H63" s="4" t="s">
        <v>38</v>
      </c>
      <c r="I63" s="4" t="s">
        <v>27</v>
      </c>
      <c r="J63" s="9" t="str">
        <f>HYPERLINK("https://xeno-canto.org/332387","Open on Xeno-canto")</f>
        <v>Open on Xeno-canto</v>
      </c>
    </row>
    <row r="64" ht="15.75" customHeight="1">
      <c r="A64" s="4" t="s">
        <v>456</v>
      </c>
      <c r="B64" s="4" t="s">
        <v>19</v>
      </c>
      <c r="C64" s="4" t="s">
        <v>427</v>
      </c>
      <c r="D64" s="4" t="s">
        <v>244</v>
      </c>
      <c r="E64" s="4" t="s">
        <v>458</v>
      </c>
      <c r="F64" s="4" t="s">
        <v>143</v>
      </c>
      <c r="G64" s="4" t="s">
        <v>25</v>
      </c>
      <c r="H64" s="4" t="s">
        <v>26</v>
      </c>
      <c r="I64" s="4" t="s">
        <v>27</v>
      </c>
      <c r="J64" s="9" t="str">
        <f>HYPERLINK("https://xeno-canto.org/332446","Open on Xeno-canto")</f>
        <v>Open on Xeno-canto</v>
      </c>
    </row>
    <row r="65" ht="15.75" customHeight="1">
      <c r="A65" s="4" t="s">
        <v>460</v>
      </c>
      <c r="B65" s="4" t="s">
        <v>19</v>
      </c>
      <c r="C65" s="4" t="s">
        <v>427</v>
      </c>
      <c r="D65" s="4" t="s">
        <v>244</v>
      </c>
      <c r="E65" s="4" t="s">
        <v>458</v>
      </c>
      <c r="F65" s="4" t="s">
        <v>143</v>
      </c>
      <c r="G65" s="4" t="s">
        <v>25</v>
      </c>
      <c r="H65" s="4" t="s">
        <v>38</v>
      </c>
      <c r="I65" s="4" t="s">
        <v>27</v>
      </c>
      <c r="J65" s="9" t="str">
        <f>HYPERLINK("https://xeno-canto.org/332447","Open on Xeno-canto")</f>
        <v>Open on Xeno-canto</v>
      </c>
    </row>
    <row r="66" ht="15.75" customHeight="1">
      <c r="A66" s="4" t="s">
        <v>462</v>
      </c>
      <c r="B66" s="4" t="s">
        <v>19</v>
      </c>
      <c r="C66" s="4" t="s">
        <v>427</v>
      </c>
      <c r="D66" s="4" t="s">
        <v>274</v>
      </c>
      <c r="E66" s="4" t="s">
        <v>392</v>
      </c>
      <c r="F66" s="4" t="s">
        <v>393</v>
      </c>
      <c r="G66" s="4" t="s">
        <v>463</v>
      </c>
      <c r="H66" s="4" t="s">
        <v>38</v>
      </c>
      <c r="I66" s="4" t="s">
        <v>321</v>
      </c>
      <c r="J66" s="9" t="str">
        <f>HYPERLINK("https://xeno-canto.org/332449","Open on Xeno-canto")</f>
        <v>Open on Xeno-canto</v>
      </c>
    </row>
    <row r="67" ht="15.75" customHeight="1">
      <c r="A67" s="4" t="s">
        <v>465</v>
      </c>
      <c r="B67" s="4" t="s">
        <v>19</v>
      </c>
      <c r="C67" s="4" t="s">
        <v>427</v>
      </c>
      <c r="D67" s="4" t="s">
        <v>466</v>
      </c>
      <c r="E67" s="4" t="s">
        <v>467</v>
      </c>
      <c r="F67" s="4" t="s">
        <v>350</v>
      </c>
      <c r="G67" s="4" t="s">
        <v>463</v>
      </c>
      <c r="H67" s="4" t="s">
        <v>64</v>
      </c>
      <c r="I67" s="4" t="s">
        <v>27</v>
      </c>
      <c r="J67" s="9" t="str">
        <f>HYPERLINK("https://xeno-canto.org/332450","Open on Xeno-canto")</f>
        <v>Open on Xeno-canto</v>
      </c>
    </row>
    <row r="68" ht="15.75" customHeight="1">
      <c r="A68" s="4" t="s">
        <v>469</v>
      </c>
      <c r="B68" s="4" t="s">
        <v>19</v>
      </c>
      <c r="C68" s="4" t="s">
        <v>427</v>
      </c>
      <c r="D68" s="4" t="s">
        <v>471</v>
      </c>
      <c r="E68" s="4" t="s">
        <v>472</v>
      </c>
      <c r="F68" s="4" t="s">
        <v>473</v>
      </c>
      <c r="G68" s="4" t="s">
        <v>463</v>
      </c>
      <c r="H68" s="4" t="s">
        <v>64</v>
      </c>
      <c r="I68" s="4" t="s">
        <v>321</v>
      </c>
      <c r="J68" s="9" t="str">
        <f>HYPERLINK("https://xeno-canto.org/332499","Open on Xeno-canto")</f>
        <v>Open on Xeno-canto</v>
      </c>
    </row>
    <row r="69" ht="15.75" customHeight="1">
      <c r="A69" s="4" t="s">
        <v>475</v>
      </c>
      <c r="B69" s="4" t="s">
        <v>19</v>
      </c>
      <c r="C69" s="4" t="s">
        <v>427</v>
      </c>
      <c r="D69" s="4" t="s">
        <v>476</v>
      </c>
      <c r="E69" s="4" t="s">
        <v>34</v>
      </c>
      <c r="F69" s="4" t="s">
        <v>35</v>
      </c>
      <c r="G69" s="4" t="s">
        <v>477</v>
      </c>
      <c r="H69" s="4" t="s">
        <v>38</v>
      </c>
      <c r="I69" s="4" t="s">
        <v>27</v>
      </c>
      <c r="J69" s="9" t="str">
        <f>HYPERLINK("https://xeno-canto.org/332502","Open on Xeno-canto")</f>
        <v>Open on Xeno-canto</v>
      </c>
    </row>
    <row r="70" ht="15.75" customHeight="1">
      <c r="A70" s="4" t="s">
        <v>479</v>
      </c>
      <c r="B70" s="4" t="s">
        <v>19</v>
      </c>
      <c r="C70" s="4" t="s">
        <v>427</v>
      </c>
      <c r="D70" s="4" t="s">
        <v>476</v>
      </c>
      <c r="E70" s="4" t="s">
        <v>480</v>
      </c>
      <c r="F70" s="4" t="s">
        <v>481</v>
      </c>
      <c r="G70" s="4" t="s">
        <v>463</v>
      </c>
      <c r="H70" s="4" t="s">
        <v>38</v>
      </c>
      <c r="I70" s="4" t="s">
        <v>27</v>
      </c>
      <c r="J70" s="9" t="str">
        <f>HYPERLINK("https://xeno-canto.org/332506","Open on Xeno-canto")</f>
        <v>Open on Xeno-canto</v>
      </c>
    </row>
    <row r="71" ht="15.75" customHeight="1">
      <c r="A71" s="4" t="s">
        <v>483</v>
      </c>
      <c r="B71" s="4" t="s">
        <v>19</v>
      </c>
      <c r="C71" s="4" t="s">
        <v>427</v>
      </c>
      <c r="D71" s="4" t="s">
        <v>50</v>
      </c>
      <c r="E71" s="4" t="s">
        <v>484</v>
      </c>
      <c r="F71" s="4" t="s">
        <v>193</v>
      </c>
      <c r="G71" s="4" t="s">
        <v>463</v>
      </c>
      <c r="H71" s="4" t="s">
        <v>38</v>
      </c>
      <c r="I71" s="4" t="s">
        <v>27</v>
      </c>
      <c r="J71" s="9" t="str">
        <f>HYPERLINK("https://xeno-canto.org/332512","Open on Xeno-canto")</f>
        <v>Open on Xeno-canto</v>
      </c>
    </row>
    <row r="72" ht="15.75" customHeight="1">
      <c r="A72" s="4" t="s">
        <v>486</v>
      </c>
      <c r="B72" s="4" t="s">
        <v>19</v>
      </c>
      <c r="C72" s="4" t="s">
        <v>427</v>
      </c>
      <c r="D72" s="4" t="s">
        <v>50</v>
      </c>
      <c r="E72" s="4" t="s">
        <v>484</v>
      </c>
      <c r="F72" s="4" t="s">
        <v>193</v>
      </c>
      <c r="G72" s="4" t="s">
        <v>463</v>
      </c>
      <c r="H72" s="4" t="s">
        <v>38</v>
      </c>
      <c r="I72" s="4" t="s">
        <v>27</v>
      </c>
      <c r="J72" s="9" t="str">
        <f>HYPERLINK("https://xeno-canto.org/332528","Open on Xeno-canto")</f>
        <v>Open on Xeno-canto</v>
      </c>
    </row>
    <row r="73" ht="15.75" customHeight="1">
      <c r="A73" s="4" t="s">
        <v>489</v>
      </c>
      <c r="B73" s="4" t="s">
        <v>19</v>
      </c>
      <c r="C73" s="4" t="s">
        <v>20</v>
      </c>
      <c r="D73" s="4" t="s">
        <v>326</v>
      </c>
      <c r="E73" s="4" t="s">
        <v>361</v>
      </c>
      <c r="F73" s="4" t="s">
        <v>363</v>
      </c>
      <c r="G73" s="4" t="s">
        <v>25</v>
      </c>
      <c r="H73" s="4" t="s">
        <v>64</v>
      </c>
      <c r="I73" s="4" t="s">
        <v>321</v>
      </c>
      <c r="J73" s="9" t="str">
        <f>HYPERLINK("https://xeno-canto.org/332567","Open on Xeno-canto")</f>
        <v>Open on Xeno-canto</v>
      </c>
    </row>
    <row r="74" ht="15.75" customHeight="1">
      <c r="A74" s="4" t="s">
        <v>491</v>
      </c>
      <c r="B74" s="4" t="s">
        <v>19</v>
      </c>
      <c r="C74" s="4" t="s">
        <v>355</v>
      </c>
      <c r="D74" s="4" t="s">
        <v>370</v>
      </c>
      <c r="E74" s="4" t="s">
        <v>318</v>
      </c>
      <c r="F74" s="4" t="s">
        <v>319</v>
      </c>
      <c r="G74" s="4" t="s">
        <v>356</v>
      </c>
      <c r="H74" s="4" t="s">
        <v>38</v>
      </c>
      <c r="I74" s="4" t="s">
        <v>321</v>
      </c>
      <c r="J74" s="9" t="str">
        <f>HYPERLINK("https://xeno-canto.org/332568","Open on Xeno-canto")</f>
        <v>Open on Xeno-canto</v>
      </c>
    </row>
    <row r="75" ht="15.75" customHeight="1">
      <c r="A75" s="4" t="s">
        <v>493</v>
      </c>
      <c r="B75" s="4" t="s">
        <v>19</v>
      </c>
      <c r="C75" s="4" t="s">
        <v>355</v>
      </c>
      <c r="D75" s="4" t="s">
        <v>370</v>
      </c>
      <c r="E75" s="4" t="s">
        <v>318</v>
      </c>
      <c r="F75" s="4" t="s">
        <v>319</v>
      </c>
      <c r="G75" s="4" t="s">
        <v>356</v>
      </c>
      <c r="H75" s="4" t="s">
        <v>38</v>
      </c>
      <c r="I75" s="4" t="s">
        <v>321</v>
      </c>
      <c r="J75" s="9" t="str">
        <f>HYPERLINK("https://xeno-canto.org/332569","Open on Xeno-canto")</f>
        <v>Open on Xeno-canto</v>
      </c>
    </row>
    <row r="76" ht="15.75" customHeight="1">
      <c r="A76" s="4" t="s">
        <v>496</v>
      </c>
      <c r="B76" s="4" t="s">
        <v>19</v>
      </c>
      <c r="C76" s="4" t="s">
        <v>355</v>
      </c>
      <c r="D76" s="4" t="s">
        <v>121</v>
      </c>
      <c r="E76" s="4" t="s">
        <v>497</v>
      </c>
      <c r="F76" s="4" t="s">
        <v>498</v>
      </c>
      <c r="G76" s="4" t="s">
        <v>499</v>
      </c>
      <c r="H76" s="4" t="s">
        <v>26</v>
      </c>
      <c r="I76" s="4" t="s">
        <v>321</v>
      </c>
      <c r="J76" s="9" t="str">
        <f>HYPERLINK("https://xeno-canto.org/332572","Open on Xeno-canto")</f>
        <v>Open on Xeno-canto</v>
      </c>
    </row>
    <row r="77" ht="15.75" customHeight="1">
      <c r="A77" s="4" t="s">
        <v>501</v>
      </c>
      <c r="B77" s="4" t="s">
        <v>19</v>
      </c>
      <c r="C77" s="4" t="s">
        <v>355</v>
      </c>
      <c r="D77" s="4" t="s">
        <v>121</v>
      </c>
      <c r="E77" s="4" t="s">
        <v>497</v>
      </c>
      <c r="F77" s="4" t="s">
        <v>498</v>
      </c>
      <c r="G77" s="4" t="s">
        <v>499</v>
      </c>
      <c r="H77" s="4" t="s">
        <v>64</v>
      </c>
      <c r="I77" s="4" t="s">
        <v>321</v>
      </c>
      <c r="J77" s="9" t="str">
        <f>HYPERLINK("https://xeno-canto.org/332573","Open on Xeno-canto")</f>
        <v>Open on Xeno-canto</v>
      </c>
    </row>
    <row r="78" ht="15.75" customHeight="1">
      <c r="A78" s="4" t="s">
        <v>503</v>
      </c>
      <c r="B78" s="4" t="s">
        <v>19</v>
      </c>
      <c r="C78" s="4" t="s">
        <v>68</v>
      </c>
      <c r="D78" s="4" t="s">
        <v>471</v>
      </c>
      <c r="E78" s="4" t="s">
        <v>504</v>
      </c>
      <c r="F78" s="4" t="s">
        <v>505</v>
      </c>
      <c r="G78" s="4" t="s">
        <v>266</v>
      </c>
      <c r="H78" s="4" t="s">
        <v>26</v>
      </c>
      <c r="I78" s="4" t="s">
        <v>27</v>
      </c>
      <c r="J78" s="9" t="str">
        <f>HYPERLINK("https://xeno-canto.org/332575","Open on Xeno-canto")</f>
        <v>Open on Xeno-canto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78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3.0"/>
    <col customWidth="1" min="4" max="4" width="20.0"/>
    <col customWidth="1" min="5" max="5" width="78.0"/>
    <col customWidth="1" min="6" max="6" width="20.0"/>
    <col customWidth="1" min="7" max="26" width="8.71"/>
  </cols>
  <sheetData>
    <row r="1">
      <c r="A1" s="1" t="s">
        <v>0</v>
      </c>
    </row>
    <row r="2" ht="39.75" customHeight="1">
      <c r="A2" s="3" t="s">
        <v>3</v>
      </c>
    </row>
    <row r="4">
      <c r="A4" s="2" t="s">
        <v>1</v>
      </c>
      <c r="B4" s="2" t="s">
        <v>13</v>
      </c>
      <c r="C4" s="2" t="s">
        <v>15</v>
      </c>
      <c r="D4" s="2" t="s">
        <v>16</v>
      </c>
      <c r="E4" s="2" t="s">
        <v>18</v>
      </c>
      <c r="F4" s="2" t="s">
        <v>14</v>
      </c>
    </row>
    <row r="5">
      <c r="A5" s="5" t="s">
        <v>23</v>
      </c>
      <c r="B5" s="6"/>
      <c r="C5" s="6"/>
      <c r="D5" s="6"/>
      <c r="E5" s="6"/>
      <c r="F5" s="6"/>
    </row>
    <row r="6">
      <c r="A6" s="4" t="s">
        <v>28</v>
      </c>
      <c r="B6" s="4" t="s">
        <v>19</v>
      </c>
      <c r="C6" s="8">
        <v>63.048</v>
      </c>
      <c r="D6" s="4" t="s">
        <v>29</v>
      </c>
      <c r="E6" s="4" t="s">
        <v>30</v>
      </c>
      <c r="F6" s="9" t="str">
        <f>HYPERLINK("https://xeno-canto.org/331252","Open on Xeno-canto")</f>
        <v>Open on Xeno-canto</v>
      </c>
    </row>
    <row r="7">
      <c r="A7" s="4" t="s">
        <v>36</v>
      </c>
      <c r="B7" s="4" t="s">
        <v>19</v>
      </c>
      <c r="C7" s="8">
        <v>27.037</v>
      </c>
      <c r="D7" s="4" t="s">
        <v>29</v>
      </c>
      <c r="E7" s="4" t="s">
        <v>40</v>
      </c>
      <c r="F7" s="9" t="str">
        <f>HYPERLINK("https://xeno-canto.org/331311","Open on Xeno-canto")</f>
        <v>Open on Xeno-canto</v>
      </c>
    </row>
    <row r="8">
      <c r="A8" s="4" t="s">
        <v>47</v>
      </c>
      <c r="B8" s="4" t="s">
        <v>19</v>
      </c>
      <c r="C8" s="8">
        <v>42.266</v>
      </c>
      <c r="D8" s="4" t="s">
        <v>29</v>
      </c>
      <c r="E8" s="4" t="s">
        <v>51</v>
      </c>
      <c r="F8" s="9" t="str">
        <f>HYPERLINK("https://xeno-canto.org/331314","Open on Xeno-canto")</f>
        <v>Open on Xeno-canto</v>
      </c>
    </row>
    <row r="9">
      <c r="A9" s="4" t="s">
        <v>57</v>
      </c>
      <c r="B9" s="4" t="s">
        <v>19</v>
      </c>
      <c r="C9" s="8">
        <v>73.224</v>
      </c>
      <c r="D9" s="4" t="s">
        <v>29</v>
      </c>
      <c r="E9" s="4" t="s">
        <v>58</v>
      </c>
      <c r="F9" s="9" t="str">
        <f>HYPERLINK("https://xeno-canto.org/331320","Open on Xeno-canto")</f>
        <v>Open on Xeno-canto</v>
      </c>
    </row>
    <row r="10">
      <c r="A10" s="4" t="s">
        <v>65</v>
      </c>
      <c r="B10" s="4" t="s">
        <v>19</v>
      </c>
      <c r="C10" s="8">
        <v>7.968</v>
      </c>
      <c r="D10" s="4" t="s">
        <v>29</v>
      </c>
      <c r="E10" s="4" t="s">
        <v>66</v>
      </c>
      <c r="F10" s="9" t="str">
        <f>HYPERLINK("https://xeno-canto.org/331322","Open on Xeno-canto")</f>
        <v>Open on Xeno-canto</v>
      </c>
    </row>
    <row r="11">
      <c r="A11" s="4" t="s">
        <v>70</v>
      </c>
      <c r="B11" s="4" t="s">
        <v>19</v>
      </c>
      <c r="C11" s="8">
        <v>67.992</v>
      </c>
      <c r="D11" s="4" t="s">
        <v>29</v>
      </c>
      <c r="E11" s="4" t="s">
        <v>71</v>
      </c>
      <c r="F11" s="9" t="str">
        <f>HYPERLINK("https://xeno-canto.org/331323","Open on Xeno-canto")</f>
        <v>Open on Xeno-canto</v>
      </c>
    </row>
    <row r="12">
      <c r="A12" s="4" t="s">
        <v>77</v>
      </c>
      <c r="B12" s="4" t="s">
        <v>19</v>
      </c>
      <c r="C12" s="8">
        <v>64.444</v>
      </c>
      <c r="D12" s="4" t="s">
        <v>29</v>
      </c>
      <c r="E12" s="4" t="s">
        <v>78</v>
      </c>
      <c r="F12" s="9" t="str">
        <f>HYPERLINK("https://xeno-canto.org/331326","Open on Xeno-canto")</f>
        <v>Open on Xeno-canto</v>
      </c>
    </row>
    <row r="13">
      <c r="A13" s="4" t="s">
        <v>79</v>
      </c>
      <c r="B13" s="4" t="s">
        <v>19</v>
      </c>
      <c r="C13" s="8">
        <v>29.1</v>
      </c>
      <c r="D13" s="4" t="s">
        <v>29</v>
      </c>
      <c r="E13" s="4" t="s">
        <v>81</v>
      </c>
      <c r="F13" s="9" t="str">
        <f>HYPERLINK("https://xeno-canto.org/331328","Open on Xeno-canto")</f>
        <v>Open on Xeno-canto</v>
      </c>
    </row>
    <row r="14">
      <c r="A14" s="4" t="s">
        <v>85</v>
      </c>
      <c r="B14" s="4" t="s">
        <v>19</v>
      </c>
      <c r="C14" s="8">
        <v>35.004</v>
      </c>
      <c r="D14" s="4" t="s">
        <v>29</v>
      </c>
      <c r="E14" s="4" t="s">
        <v>86</v>
      </c>
      <c r="F14" s="9" t="str">
        <f>HYPERLINK("https://xeno-canto.org/331333","Open on Xeno-canto")</f>
        <v>Open on Xeno-canto</v>
      </c>
    </row>
    <row r="15">
      <c r="A15" s="4" t="s">
        <v>90</v>
      </c>
      <c r="B15" s="4" t="s">
        <v>19</v>
      </c>
      <c r="C15" s="8">
        <v>37.538</v>
      </c>
      <c r="D15" s="4" t="s">
        <v>29</v>
      </c>
      <c r="E15" s="4" t="s">
        <v>93</v>
      </c>
      <c r="F15" s="9" t="str">
        <f>HYPERLINK("https://xeno-canto.org/331334","Open on Xeno-canto")</f>
        <v>Open on Xeno-canto</v>
      </c>
    </row>
    <row r="16">
      <c r="A16" s="4" t="s">
        <v>94</v>
      </c>
      <c r="B16" s="4" t="s">
        <v>19</v>
      </c>
      <c r="C16" s="8">
        <v>74.544</v>
      </c>
      <c r="D16" s="4" t="s">
        <v>29</v>
      </c>
      <c r="E16" s="4" t="s">
        <v>97</v>
      </c>
      <c r="F16" s="9" t="str">
        <f>HYPERLINK("https://xeno-canto.org/331335","Open on Xeno-canto")</f>
        <v>Open on Xeno-canto</v>
      </c>
    </row>
    <row r="17">
      <c r="A17" s="4" t="s">
        <v>99</v>
      </c>
      <c r="B17" s="4" t="s">
        <v>19</v>
      </c>
      <c r="C17" s="8">
        <v>35.396</v>
      </c>
      <c r="D17" s="4" t="s">
        <v>29</v>
      </c>
      <c r="E17" s="4" t="s">
        <v>100</v>
      </c>
      <c r="F17" s="9" t="str">
        <f>HYPERLINK("https://xeno-canto.org/331336","Open on Xeno-canto")</f>
        <v>Open on Xeno-canto</v>
      </c>
    </row>
    <row r="18">
      <c r="A18" s="4" t="s">
        <v>104</v>
      </c>
      <c r="B18" s="4" t="s">
        <v>19</v>
      </c>
      <c r="C18" s="8">
        <v>28.656</v>
      </c>
      <c r="D18" s="4" t="s">
        <v>29</v>
      </c>
      <c r="E18" s="4" t="s">
        <v>105</v>
      </c>
      <c r="F18" s="9" t="str">
        <f>HYPERLINK("https://xeno-canto.org/331354","Open on Xeno-canto")</f>
        <v>Open on Xeno-canto</v>
      </c>
    </row>
    <row r="19">
      <c r="A19" s="4" t="s">
        <v>107</v>
      </c>
      <c r="B19" s="4" t="s">
        <v>19</v>
      </c>
      <c r="C19" s="8">
        <v>52.176</v>
      </c>
      <c r="D19" s="4" t="s">
        <v>29</v>
      </c>
      <c r="E19" s="4" t="s">
        <v>109</v>
      </c>
      <c r="F19" s="9" t="str">
        <f>HYPERLINK("https://xeno-canto.org/331355","Open on Xeno-canto")</f>
        <v>Open on Xeno-canto</v>
      </c>
    </row>
    <row r="20">
      <c r="A20" s="4" t="s">
        <v>112</v>
      </c>
      <c r="B20" s="4" t="s">
        <v>19</v>
      </c>
      <c r="C20" s="8">
        <v>58.008</v>
      </c>
      <c r="D20" s="4" t="s">
        <v>29</v>
      </c>
      <c r="E20" s="4" t="s">
        <v>114</v>
      </c>
      <c r="F20" s="9" t="str">
        <f>HYPERLINK("https://xeno-canto.org/331356","Open on Xeno-canto")</f>
        <v>Open on Xeno-canto</v>
      </c>
    </row>
    <row r="21" ht="15.75" customHeight="1">
      <c r="A21" s="4" t="s">
        <v>118</v>
      </c>
      <c r="B21" s="4" t="s">
        <v>19</v>
      </c>
      <c r="C21" s="8">
        <v>56.52</v>
      </c>
      <c r="D21" s="4" t="s">
        <v>29</v>
      </c>
      <c r="E21" s="4" t="s">
        <v>119</v>
      </c>
      <c r="F21" s="9" t="str">
        <f>HYPERLINK("https://xeno-canto.org/331362","Open on Xeno-canto")</f>
        <v>Open on Xeno-canto</v>
      </c>
    </row>
    <row r="22" ht="15.75" customHeight="1">
      <c r="A22" s="4" t="s">
        <v>124</v>
      </c>
      <c r="B22" s="4" t="s">
        <v>19</v>
      </c>
      <c r="C22" s="8">
        <v>13.92</v>
      </c>
      <c r="D22" s="4" t="s">
        <v>29</v>
      </c>
      <c r="E22" s="4" t="s">
        <v>125</v>
      </c>
      <c r="F22" s="9" t="str">
        <f>HYPERLINK("https://xeno-canto.org/331367","Open on Xeno-canto")</f>
        <v>Open on Xeno-canto</v>
      </c>
    </row>
    <row r="23" ht="15.75" customHeight="1">
      <c r="A23" s="4" t="s">
        <v>127</v>
      </c>
      <c r="B23" s="4" t="s">
        <v>19</v>
      </c>
      <c r="C23" s="8">
        <v>43.128</v>
      </c>
      <c r="D23" s="4" t="s">
        <v>29</v>
      </c>
      <c r="E23" s="4" t="s">
        <v>130</v>
      </c>
      <c r="F23" s="9" t="str">
        <f>HYPERLINK("https://xeno-canto.org/331372","Open on Xeno-canto")</f>
        <v>Open on Xeno-canto</v>
      </c>
    </row>
    <row r="24" ht="15.75" customHeight="1">
      <c r="A24" s="4" t="s">
        <v>134</v>
      </c>
      <c r="B24" s="4" t="s">
        <v>19</v>
      </c>
      <c r="C24" s="8">
        <v>70.488</v>
      </c>
      <c r="D24" s="4" t="s">
        <v>29</v>
      </c>
      <c r="E24" s="4" t="s">
        <v>136</v>
      </c>
      <c r="F24" s="9" t="str">
        <f>HYPERLINK("https://xeno-canto.org/331381","Open on Xeno-canto")</f>
        <v>Open on Xeno-canto</v>
      </c>
    </row>
    <row r="25" ht="15.75" customHeight="1">
      <c r="A25" s="4" t="s">
        <v>138</v>
      </c>
      <c r="B25" s="4" t="s">
        <v>19</v>
      </c>
      <c r="C25" s="8">
        <v>31.44</v>
      </c>
      <c r="D25" s="4" t="s">
        <v>29</v>
      </c>
      <c r="E25" s="4" t="s">
        <v>139</v>
      </c>
      <c r="F25" s="9" t="str">
        <f>HYPERLINK("https://xeno-canto.org/331385","Open on Xeno-canto")</f>
        <v>Open on Xeno-canto</v>
      </c>
    </row>
    <row r="26" ht="15.75" customHeight="1">
      <c r="A26" s="4" t="s">
        <v>150</v>
      </c>
      <c r="B26" s="4" t="s">
        <v>19</v>
      </c>
      <c r="C26" s="8">
        <v>6.0</v>
      </c>
      <c r="D26" s="4" t="s">
        <v>29</v>
      </c>
      <c r="E26" s="4" t="s">
        <v>152</v>
      </c>
      <c r="F26" s="9" t="str">
        <f>HYPERLINK("https://xeno-canto.org/331386","Open on Xeno-canto")</f>
        <v>Open on Xeno-canto</v>
      </c>
    </row>
    <row r="27" ht="15.75" customHeight="1">
      <c r="A27" s="4" t="s">
        <v>155</v>
      </c>
      <c r="B27" s="4" t="s">
        <v>19</v>
      </c>
      <c r="C27" s="8">
        <v>9.0</v>
      </c>
      <c r="D27" s="4" t="s">
        <v>29</v>
      </c>
      <c r="E27" s="4" t="s">
        <v>156</v>
      </c>
      <c r="F27" s="9" t="str">
        <f>HYPERLINK("https://xeno-canto.org/331387","Open on Xeno-canto")</f>
        <v>Open on Xeno-canto</v>
      </c>
    </row>
    <row r="28" ht="15.75" customHeight="1">
      <c r="A28" s="4" t="s">
        <v>163</v>
      </c>
      <c r="B28" s="4" t="s">
        <v>19</v>
      </c>
      <c r="C28" s="8">
        <v>45.12</v>
      </c>
      <c r="D28" s="4" t="s">
        <v>29</v>
      </c>
      <c r="E28" s="4" t="s">
        <v>164</v>
      </c>
      <c r="F28" s="9" t="str">
        <f>HYPERLINK("https://xeno-canto.org/331388","Open on Xeno-canto")</f>
        <v>Open on Xeno-canto</v>
      </c>
    </row>
    <row r="29" ht="15.75" customHeight="1">
      <c r="A29" s="4" t="s">
        <v>168</v>
      </c>
      <c r="B29" s="4" t="s">
        <v>19</v>
      </c>
      <c r="C29" s="8">
        <v>6.624</v>
      </c>
      <c r="D29" s="4" t="s">
        <v>29</v>
      </c>
      <c r="E29" s="4" t="s">
        <v>169</v>
      </c>
      <c r="F29" s="9" t="str">
        <f>HYPERLINK("https://xeno-canto.org/331389","Open on Xeno-canto")</f>
        <v>Open on Xeno-canto</v>
      </c>
    </row>
    <row r="30" ht="15.75" customHeight="1">
      <c r="A30" s="4" t="s">
        <v>171</v>
      </c>
      <c r="B30" s="4" t="s">
        <v>19</v>
      </c>
      <c r="C30" s="8">
        <v>33.888</v>
      </c>
      <c r="D30" s="4" t="s">
        <v>29</v>
      </c>
      <c r="E30" s="4" t="s">
        <v>172</v>
      </c>
      <c r="F30" s="9" t="str">
        <f>HYPERLINK("https://xeno-canto.org/331390","Open on Xeno-canto")</f>
        <v>Open on Xeno-canto</v>
      </c>
    </row>
    <row r="31" ht="15.75" customHeight="1">
      <c r="A31" s="4" t="s">
        <v>175</v>
      </c>
      <c r="B31" s="4" t="s">
        <v>19</v>
      </c>
      <c r="C31" s="8">
        <v>65.568</v>
      </c>
      <c r="D31" s="4" t="s">
        <v>29</v>
      </c>
      <c r="E31" s="4" t="s">
        <v>176</v>
      </c>
      <c r="F31" s="9" t="str">
        <f>HYPERLINK("https://xeno-canto.org/331431","Open on Xeno-canto")</f>
        <v>Open on Xeno-canto</v>
      </c>
    </row>
    <row r="32" ht="15.75" customHeight="1">
      <c r="A32" s="4" t="s">
        <v>181</v>
      </c>
      <c r="B32" s="4" t="s">
        <v>19</v>
      </c>
      <c r="C32" s="8">
        <v>45.552</v>
      </c>
      <c r="D32" s="4" t="s">
        <v>29</v>
      </c>
      <c r="E32" s="4" t="s">
        <v>183</v>
      </c>
      <c r="F32" s="9" t="str">
        <f>HYPERLINK("https://xeno-canto.org/331434","Open on Xeno-canto")</f>
        <v>Open on Xeno-canto</v>
      </c>
    </row>
    <row r="33" ht="15.75" customHeight="1">
      <c r="A33" s="4" t="s">
        <v>187</v>
      </c>
      <c r="B33" s="4" t="s">
        <v>19</v>
      </c>
      <c r="C33" s="8">
        <v>39.768</v>
      </c>
      <c r="D33" s="4" t="s">
        <v>29</v>
      </c>
      <c r="E33" s="4" t="s">
        <v>188</v>
      </c>
      <c r="F33" s="9" t="str">
        <f>HYPERLINK("https://xeno-canto.org/331436","Open on Xeno-canto")</f>
        <v>Open on Xeno-canto</v>
      </c>
    </row>
    <row r="34" ht="15.75" customHeight="1">
      <c r="A34" s="4" t="s">
        <v>192</v>
      </c>
      <c r="B34" s="4" t="s">
        <v>19</v>
      </c>
      <c r="C34" s="8">
        <v>15.024</v>
      </c>
      <c r="D34" s="4" t="s">
        <v>29</v>
      </c>
      <c r="E34" s="4" t="s">
        <v>196</v>
      </c>
      <c r="F34" s="9" t="str">
        <f>HYPERLINK("https://xeno-canto.org/331449","Open on Xeno-canto")</f>
        <v>Open on Xeno-canto</v>
      </c>
    </row>
    <row r="35" ht="15.75" customHeight="1">
      <c r="A35" s="4" t="s">
        <v>199</v>
      </c>
      <c r="B35" s="4" t="s">
        <v>19</v>
      </c>
      <c r="C35" s="8">
        <v>16.824</v>
      </c>
      <c r="D35" s="4" t="s">
        <v>29</v>
      </c>
      <c r="E35" s="4" t="s">
        <v>200</v>
      </c>
      <c r="F35" s="9" t="str">
        <f>HYPERLINK("https://xeno-canto.org/331460","Open on Xeno-canto")</f>
        <v>Open on Xeno-canto</v>
      </c>
    </row>
    <row r="36" ht="15.75" customHeight="1">
      <c r="A36" s="4" t="s">
        <v>204</v>
      </c>
      <c r="B36" s="4" t="s">
        <v>19</v>
      </c>
      <c r="C36" s="8">
        <v>13.056</v>
      </c>
      <c r="D36" s="4" t="s">
        <v>29</v>
      </c>
      <c r="E36" s="4" t="s">
        <v>205</v>
      </c>
      <c r="F36" s="9" t="str">
        <f>HYPERLINK("https://xeno-canto.org/331462","Open on Xeno-canto")</f>
        <v>Open on Xeno-canto</v>
      </c>
    </row>
    <row r="37" ht="15.75" customHeight="1">
      <c r="A37" s="4" t="s">
        <v>206</v>
      </c>
      <c r="B37" s="4" t="s">
        <v>19</v>
      </c>
      <c r="C37" s="8">
        <v>7.968</v>
      </c>
      <c r="D37" s="4" t="s">
        <v>29</v>
      </c>
      <c r="E37" s="4" t="s">
        <v>208</v>
      </c>
      <c r="F37" s="9" t="str">
        <f>HYPERLINK("https://xeno-canto.org/331463","Open on Xeno-canto")</f>
        <v>Open on Xeno-canto</v>
      </c>
    </row>
    <row r="38" ht="15.75" customHeight="1">
      <c r="A38" s="4" t="s">
        <v>210</v>
      </c>
      <c r="B38" s="4" t="s">
        <v>19</v>
      </c>
      <c r="C38" s="8">
        <v>10.176</v>
      </c>
      <c r="D38" s="4" t="s">
        <v>29</v>
      </c>
      <c r="E38" s="4" t="s">
        <v>212</v>
      </c>
      <c r="F38" s="9" t="str">
        <f>HYPERLINK("https://xeno-canto.org/331465","Open on Xeno-canto")</f>
        <v>Open on Xeno-canto</v>
      </c>
    </row>
    <row r="39" ht="15.75" customHeight="1">
      <c r="A39" s="4" t="s">
        <v>216</v>
      </c>
      <c r="B39" s="4" t="s">
        <v>19</v>
      </c>
      <c r="C39" s="8">
        <v>43.824</v>
      </c>
      <c r="D39" s="4" t="s">
        <v>29</v>
      </c>
      <c r="E39" s="4" t="s">
        <v>217</v>
      </c>
      <c r="F39" s="9" t="str">
        <f>HYPERLINK("https://xeno-canto.org/331469","Open on Xeno-canto")</f>
        <v>Open on Xeno-canto</v>
      </c>
    </row>
    <row r="40" ht="15.75" customHeight="1">
      <c r="A40" s="4" t="s">
        <v>220</v>
      </c>
      <c r="B40" s="4" t="s">
        <v>19</v>
      </c>
      <c r="C40" s="8">
        <v>27.552</v>
      </c>
      <c r="D40" s="4" t="s">
        <v>29</v>
      </c>
      <c r="E40" s="4" t="s">
        <v>222</v>
      </c>
      <c r="F40" s="9" t="str">
        <f>HYPERLINK("https://xeno-canto.org/331470","Open on Xeno-canto")</f>
        <v>Open on Xeno-canto</v>
      </c>
    </row>
    <row r="41" ht="15.75" customHeight="1">
      <c r="A41" s="4" t="s">
        <v>225</v>
      </c>
      <c r="B41" s="4" t="s">
        <v>19</v>
      </c>
      <c r="C41" s="8">
        <v>10.584</v>
      </c>
      <c r="D41" s="4" t="s">
        <v>29</v>
      </c>
      <c r="E41" s="4" t="s">
        <v>226</v>
      </c>
      <c r="F41" s="9" t="str">
        <f>HYPERLINK("https://xeno-canto.org/331600","Open on Xeno-canto")</f>
        <v>Open on Xeno-canto</v>
      </c>
    </row>
    <row r="42" ht="15.75" customHeight="1">
      <c r="A42" s="4" t="s">
        <v>232</v>
      </c>
      <c r="B42" s="4" t="s">
        <v>19</v>
      </c>
      <c r="C42" s="8">
        <v>72.0</v>
      </c>
      <c r="D42" s="4" t="s">
        <v>29</v>
      </c>
      <c r="E42" s="4" t="s">
        <v>233</v>
      </c>
      <c r="F42" s="9" t="str">
        <f>HYPERLINK("https://xeno-canto.org/331639","Open on Xeno-canto")</f>
        <v>Open on Xeno-canto</v>
      </c>
    </row>
    <row r="43" ht="15.75" customHeight="1">
      <c r="A43" s="4" t="s">
        <v>235</v>
      </c>
      <c r="B43" s="4" t="s">
        <v>19</v>
      </c>
      <c r="C43" s="8">
        <v>25.368</v>
      </c>
      <c r="D43" s="4" t="s">
        <v>29</v>
      </c>
      <c r="E43" s="4" t="s">
        <v>239</v>
      </c>
      <c r="F43" s="9" t="str">
        <f>HYPERLINK("https://xeno-canto.org/331640","Open on Xeno-canto")</f>
        <v>Open on Xeno-canto</v>
      </c>
    </row>
    <row r="44" ht="15.75" customHeight="1">
      <c r="A44" s="4" t="s">
        <v>241</v>
      </c>
      <c r="B44" s="4" t="s">
        <v>19</v>
      </c>
      <c r="C44" s="8">
        <v>56.952</v>
      </c>
      <c r="D44" s="4" t="s">
        <v>29</v>
      </c>
      <c r="E44" s="4" t="s">
        <v>242</v>
      </c>
      <c r="F44" s="9" t="str">
        <f>HYPERLINK("https://xeno-canto.org/331641","Open on Xeno-canto")</f>
        <v>Open on Xeno-canto</v>
      </c>
    </row>
    <row r="45" ht="15.75" customHeight="1">
      <c r="A45" s="4" t="s">
        <v>246</v>
      </c>
      <c r="B45" s="4" t="s">
        <v>19</v>
      </c>
      <c r="C45" s="8">
        <v>21.504</v>
      </c>
      <c r="D45" s="4" t="s">
        <v>29</v>
      </c>
      <c r="E45" s="4" t="s">
        <v>247</v>
      </c>
      <c r="F45" s="9" t="str">
        <f>HYPERLINK("https://xeno-canto.org/331642","Open on Xeno-canto")</f>
        <v>Open on Xeno-canto</v>
      </c>
    </row>
    <row r="46" ht="15.75" customHeight="1">
      <c r="A46" s="4" t="s">
        <v>251</v>
      </c>
      <c r="B46" s="4" t="s">
        <v>19</v>
      </c>
      <c r="C46" s="8">
        <v>37.344</v>
      </c>
      <c r="D46" s="4" t="s">
        <v>29</v>
      </c>
      <c r="E46" s="4" t="s">
        <v>252</v>
      </c>
      <c r="F46" s="9" t="str">
        <f>HYPERLINK("https://xeno-canto.org/331643","Open on Xeno-canto")</f>
        <v>Open on Xeno-canto</v>
      </c>
    </row>
    <row r="47" ht="15.75" customHeight="1">
      <c r="A47" s="4" t="s">
        <v>254</v>
      </c>
      <c r="B47" s="4" t="s">
        <v>19</v>
      </c>
      <c r="C47" s="8">
        <v>34.44</v>
      </c>
      <c r="D47" s="4" t="s">
        <v>29</v>
      </c>
      <c r="E47" s="4" t="s">
        <v>256</v>
      </c>
      <c r="F47" s="9" t="str">
        <f>HYPERLINK("https://xeno-canto.org/331646","Open on Xeno-canto")</f>
        <v>Open on Xeno-canto</v>
      </c>
    </row>
    <row r="48" ht="15.75" customHeight="1">
      <c r="A48" s="4" t="s">
        <v>259</v>
      </c>
      <c r="B48" s="4" t="s">
        <v>19</v>
      </c>
      <c r="C48" s="8">
        <v>20.376</v>
      </c>
      <c r="D48" s="4" t="s">
        <v>29</v>
      </c>
      <c r="E48" s="4" t="s">
        <v>260</v>
      </c>
      <c r="F48" s="9" t="str">
        <f>HYPERLINK("https://xeno-canto.org/332138","Open on Xeno-canto")</f>
        <v>Open on Xeno-canto</v>
      </c>
    </row>
    <row r="49" ht="15.75" customHeight="1">
      <c r="A49" s="4" t="s">
        <v>265</v>
      </c>
      <c r="B49" s="4" t="s">
        <v>19</v>
      </c>
      <c r="C49" s="8">
        <v>81.456</v>
      </c>
      <c r="D49" s="4" t="s">
        <v>29</v>
      </c>
      <c r="E49" s="4" t="s">
        <v>267</v>
      </c>
      <c r="F49" s="9" t="str">
        <f>HYPERLINK("https://xeno-canto.org/332139","Open on Xeno-canto")</f>
        <v>Open on Xeno-canto</v>
      </c>
    </row>
    <row r="50" ht="15.75" customHeight="1">
      <c r="A50" s="4" t="s">
        <v>270</v>
      </c>
      <c r="B50" s="4" t="s">
        <v>19</v>
      </c>
      <c r="C50" s="8">
        <v>30.504</v>
      </c>
      <c r="D50" s="4" t="s">
        <v>29</v>
      </c>
      <c r="E50" s="4" t="s">
        <v>272</v>
      </c>
      <c r="F50" s="9" t="str">
        <f>HYPERLINK("https://xeno-canto.org/332140","Open on Xeno-canto")</f>
        <v>Open on Xeno-canto</v>
      </c>
    </row>
    <row r="51" ht="15.75" customHeight="1">
      <c r="A51" s="4" t="s">
        <v>279</v>
      </c>
      <c r="B51" s="4" t="s">
        <v>19</v>
      </c>
      <c r="C51" s="8">
        <v>34.056</v>
      </c>
      <c r="D51" s="4" t="s">
        <v>29</v>
      </c>
      <c r="E51" s="4" t="s">
        <v>280</v>
      </c>
      <c r="F51" s="9" t="str">
        <f>HYPERLINK("https://xeno-canto.org/332144","Open on Xeno-canto")</f>
        <v>Open on Xeno-canto</v>
      </c>
    </row>
    <row r="52" ht="15.75" customHeight="1">
      <c r="A52" s="4" t="s">
        <v>281</v>
      </c>
      <c r="B52" s="4" t="s">
        <v>19</v>
      </c>
      <c r="C52" s="8">
        <v>134.243</v>
      </c>
      <c r="D52" s="4" t="s">
        <v>29</v>
      </c>
      <c r="E52" s="4" t="s">
        <v>283</v>
      </c>
      <c r="F52" s="9" t="str">
        <f>HYPERLINK("https://xeno-canto.org/332147","Open on Xeno-canto")</f>
        <v>Open on Xeno-canto</v>
      </c>
    </row>
    <row r="53" ht="15.75" customHeight="1">
      <c r="A53" s="4" t="s">
        <v>286</v>
      </c>
      <c r="B53" s="4" t="s">
        <v>19</v>
      </c>
      <c r="C53" s="8">
        <v>32.856</v>
      </c>
      <c r="D53" s="4" t="s">
        <v>29</v>
      </c>
      <c r="E53" s="4" t="s">
        <v>287</v>
      </c>
      <c r="F53" s="9" t="str">
        <f>HYPERLINK("https://xeno-canto.org/332163","Open on Xeno-canto")</f>
        <v>Open on Xeno-canto</v>
      </c>
    </row>
    <row r="54" ht="15.75" customHeight="1">
      <c r="A54" s="4" t="s">
        <v>290</v>
      </c>
      <c r="B54" s="4" t="s">
        <v>19</v>
      </c>
      <c r="C54" s="8">
        <v>11.544</v>
      </c>
      <c r="D54" s="4" t="s">
        <v>29</v>
      </c>
      <c r="E54" s="4" t="s">
        <v>291</v>
      </c>
      <c r="F54" s="9" t="str">
        <f>HYPERLINK("https://xeno-canto.org/332164","Open on Xeno-canto")</f>
        <v>Open on Xeno-canto</v>
      </c>
    </row>
    <row r="55" ht="15.75" customHeight="1">
      <c r="A55" s="4" t="s">
        <v>295</v>
      </c>
      <c r="B55" s="4" t="s">
        <v>19</v>
      </c>
      <c r="C55" s="8">
        <v>27.816</v>
      </c>
      <c r="D55" s="4" t="s">
        <v>29</v>
      </c>
      <c r="E55" s="4" t="s">
        <v>297</v>
      </c>
      <c r="F55" s="9" t="str">
        <f>HYPERLINK("https://xeno-canto.org/332165","Open on Xeno-canto")</f>
        <v>Open on Xeno-canto</v>
      </c>
    </row>
    <row r="56" ht="15.75" customHeight="1">
      <c r="A56" s="4" t="s">
        <v>301</v>
      </c>
      <c r="B56" s="4" t="s">
        <v>19</v>
      </c>
      <c r="C56" s="8">
        <v>36.048</v>
      </c>
      <c r="D56" s="4" t="s">
        <v>29</v>
      </c>
      <c r="E56" s="4" t="s">
        <v>302</v>
      </c>
      <c r="F56" s="9" t="str">
        <f>HYPERLINK("https://xeno-canto.org/332166","Open on Xeno-canto")</f>
        <v>Open on Xeno-canto</v>
      </c>
    </row>
    <row r="57" ht="15.75" customHeight="1">
      <c r="A57" s="4" t="s">
        <v>307</v>
      </c>
      <c r="B57" s="4" t="s">
        <v>19</v>
      </c>
      <c r="C57" s="8">
        <v>279.0</v>
      </c>
      <c r="D57" s="4" t="s">
        <v>29</v>
      </c>
      <c r="E57" s="4" t="s">
        <v>308</v>
      </c>
      <c r="F57" s="9" t="str">
        <f>HYPERLINK("https://xeno-canto.org/332230","Open on Xeno-canto")</f>
        <v>Open on Xeno-canto</v>
      </c>
    </row>
    <row r="58" ht="15.75" customHeight="1">
      <c r="A58" s="4" t="s">
        <v>311</v>
      </c>
      <c r="B58" s="4" t="s">
        <v>19</v>
      </c>
      <c r="C58" s="8">
        <v>32.088</v>
      </c>
      <c r="D58" s="4" t="s">
        <v>29</v>
      </c>
      <c r="E58" s="4" t="s">
        <v>313</v>
      </c>
      <c r="F58" s="9" t="str">
        <f>HYPERLINK("https://xeno-canto.org/332260","Open on Xeno-canto")</f>
        <v>Open on Xeno-canto</v>
      </c>
    </row>
    <row r="59" ht="15.75" customHeight="1">
      <c r="A59" s="4" t="s">
        <v>315</v>
      </c>
      <c r="B59" s="4" t="s">
        <v>19</v>
      </c>
      <c r="C59" s="8">
        <v>157.632</v>
      </c>
      <c r="D59" s="4" t="s">
        <v>29</v>
      </c>
      <c r="E59" s="4" t="s">
        <v>316</v>
      </c>
      <c r="F59" s="9" t="str">
        <f>HYPERLINK("https://xeno-canto.org/332261","Open on Xeno-canto")</f>
        <v>Open on Xeno-canto</v>
      </c>
    </row>
    <row r="60" ht="15.75" customHeight="1">
      <c r="A60" s="4" t="s">
        <v>322</v>
      </c>
      <c r="B60" s="4" t="s">
        <v>19</v>
      </c>
      <c r="C60" s="8">
        <v>84.24</v>
      </c>
      <c r="D60" s="4" t="s">
        <v>29</v>
      </c>
      <c r="E60" s="4" t="s">
        <v>324</v>
      </c>
      <c r="F60" s="9" t="str">
        <f>HYPERLINK("https://xeno-canto.org/332262","Open on Xeno-canto")</f>
        <v>Open on Xeno-canto</v>
      </c>
    </row>
    <row r="61" ht="15.75" customHeight="1">
      <c r="A61" s="4" t="s">
        <v>327</v>
      </c>
      <c r="B61" s="4" t="s">
        <v>19</v>
      </c>
      <c r="C61" s="8">
        <v>5.52</v>
      </c>
      <c r="D61" s="4" t="s">
        <v>29</v>
      </c>
      <c r="E61" s="4" t="s">
        <v>332</v>
      </c>
      <c r="F61" s="9" t="str">
        <f>HYPERLINK("https://xeno-canto.org/332265","Open on Xeno-canto")</f>
        <v>Open on Xeno-canto</v>
      </c>
    </row>
    <row r="62" ht="15.75" customHeight="1">
      <c r="A62" s="4" t="s">
        <v>333</v>
      </c>
      <c r="B62" s="4" t="s">
        <v>19</v>
      </c>
      <c r="C62" s="8">
        <v>22.008</v>
      </c>
      <c r="D62" s="4" t="s">
        <v>29</v>
      </c>
      <c r="E62" s="4" t="s">
        <v>336</v>
      </c>
      <c r="F62" s="9" t="str">
        <f>HYPERLINK("https://xeno-canto.org/332268","Open on Xeno-canto")</f>
        <v>Open on Xeno-canto</v>
      </c>
    </row>
    <row r="63" ht="15.75" customHeight="1">
      <c r="A63" s="4" t="s">
        <v>340</v>
      </c>
      <c r="B63" s="4" t="s">
        <v>19</v>
      </c>
      <c r="C63" s="8">
        <v>23.568</v>
      </c>
      <c r="D63" s="4" t="s">
        <v>29</v>
      </c>
      <c r="E63" s="4" t="s">
        <v>341</v>
      </c>
      <c r="F63" s="9" t="str">
        <f>HYPERLINK("https://xeno-canto.org/332269","Open on Xeno-canto")</f>
        <v>Open on Xeno-canto</v>
      </c>
    </row>
    <row r="64" ht="15.75" customHeight="1">
      <c r="A64" s="4" t="s">
        <v>344</v>
      </c>
      <c r="B64" s="4" t="s">
        <v>19</v>
      </c>
      <c r="C64" s="8">
        <v>21.0</v>
      </c>
      <c r="D64" s="4" t="s">
        <v>29</v>
      </c>
      <c r="E64" s="4" t="s">
        <v>345</v>
      </c>
      <c r="F64" s="9" t="str">
        <f>HYPERLINK("https://xeno-canto.org/332270","Open on Xeno-canto")</f>
        <v>Open on Xeno-canto</v>
      </c>
    </row>
    <row r="65" ht="15.75" customHeight="1">
      <c r="A65" s="4" t="s">
        <v>347</v>
      </c>
      <c r="B65" s="4" t="s">
        <v>19</v>
      </c>
      <c r="C65" s="8">
        <v>40.464</v>
      </c>
      <c r="D65" s="4" t="s">
        <v>29</v>
      </c>
      <c r="E65" s="4" t="s">
        <v>349</v>
      </c>
      <c r="F65" s="9" t="str">
        <f>HYPERLINK("https://xeno-canto.org/332384","Open on Xeno-canto")</f>
        <v>Open on Xeno-canto</v>
      </c>
    </row>
    <row r="66" ht="15.75" customHeight="1">
      <c r="A66" s="4" t="s">
        <v>352</v>
      </c>
      <c r="B66" s="4" t="s">
        <v>19</v>
      </c>
      <c r="C66" s="8">
        <v>20.568</v>
      </c>
      <c r="D66" s="4" t="s">
        <v>29</v>
      </c>
      <c r="E66" s="4" t="s">
        <v>353</v>
      </c>
      <c r="F66" s="9" t="str">
        <f>HYPERLINK("https://xeno-canto.org/332386","Open on Xeno-canto")</f>
        <v>Open on Xeno-canto</v>
      </c>
    </row>
    <row r="67" ht="15.75" customHeight="1">
      <c r="A67" s="4" t="s">
        <v>357</v>
      </c>
      <c r="B67" s="4" t="s">
        <v>19</v>
      </c>
      <c r="C67" s="8">
        <v>80.88</v>
      </c>
      <c r="D67" s="4" t="s">
        <v>29</v>
      </c>
      <c r="E67" s="4" t="s">
        <v>358</v>
      </c>
      <c r="F67" s="9" t="str">
        <f>HYPERLINK("https://xeno-canto.org/332387","Open on Xeno-canto")</f>
        <v>Open on Xeno-canto</v>
      </c>
    </row>
    <row r="68" ht="15.75" customHeight="1">
      <c r="A68" s="4" t="s">
        <v>360</v>
      </c>
      <c r="B68" s="4" t="s">
        <v>19</v>
      </c>
      <c r="C68" s="8">
        <v>44.784</v>
      </c>
      <c r="D68" s="4" t="s">
        <v>29</v>
      </c>
      <c r="E68" s="4" t="s">
        <v>364</v>
      </c>
      <c r="F68" s="9" t="str">
        <f>HYPERLINK("https://xeno-canto.org/332446","Open on Xeno-canto")</f>
        <v>Open on Xeno-canto</v>
      </c>
    </row>
    <row r="69" ht="15.75" customHeight="1">
      <c r="A69" s="4" t="s">
        <v>366</v>
      </c>
      <c r="B69" s="4" t="s">
        <v>19</v>
      </c>
      <c r="C69" s="8">
        <v>39.432</v>
      </c>
      <c r="D69" s="4" t="s">
        <v>29</v>
      </c>
      <c r="E69" s="4" t="s">
        <v>367</v>
      </c>
      <c r="F69" s="9" t="str">
        <f>HYPERLINK("https://xeno-canto.org/332447","Open on Xeno-canto")</f>
        <v>Open on Xeno-canto</v>
      </c>
    </row>
    <row r="70" ht="15.75" customHeight="1">
      <c r="A70" s="4" t="s">
        <v>372</v>
      </c>
      <c r="B70" s="4" t="s">
        <v>19</v>
      </c>
      <c r="C70" s="8">
        <v>54.72</v>
      </c>
      <c r="D70" s="4" t="s">
        <v>29</v>
      </c>
      <c r="E70" s="4" t="s">
        <v>373</v>
      </c>
      <c r="F70" s="9" t="str">
        <f>HYPERLINK("https://xeno-canto.org/332449","Open on Xeno-canto")</f>
        <v>Open on Xeno-canto</v>
      </c>
    </row>
    <row r="71" ht="15.75" customHeight="1">
      <c r="A71" s="4" t="s">
        <v>378</v>
      </c>
      <c r="B71" s="4" t="s">
        <v>19</v>
      </c>
      <c r="C71" s="8">
        <v>9.048</v>
      </c>
      <c r="D71" s="4" t="s">
        <v>29</v>
      </c>
      <c r="E71" s="4" t="s">
        <v>380</v>
      </c>
      <c r="F71" s="9" t="str">
        <f>HYPERLINK("https://xeno-canto.org/332450","Open on Xeno-canto")</f>
        <v>Open on Xeno-canto</v>
      </c>
    </row>
    <row r="72" ht="15.75" customHeight="1">
      <c r="A72" s="4" t="s">
        <v>382</v>
      </c>
      <c r="B72" s="4" t="s">
        <v>19</v>
      </c>
      <c r="C72" s="8">
        <v>20.4</v>
      </c>
      <c r="D72" s="4" t="s">
        <v>29</v>
      </c>
      <c r="E72" s="4" t="s">
        <v>384</v>
      </c>
      <c r="F72" s="9" t="str">
        <f>HYPERLINK("https://xeno-canto.org/332499","Open on Xeno-canto")</f>
        <v>Open on Xeno-canto</v>
      </c>
    </row>
    <row r="73" ht="15.75" customHeight="1">
      <c r="A73" s="4" t="s">
        <v>388</v>
      </c>
      <c r="B73" s="4" t="s">
        <v>19</v>
      </c>
      <c r="C73" s="8">
        <v>15.984</v>
      </c>
      <c r="D73" s="4" t="s">
        <v>29</v>
      </c>
      <c r="E73" s="4" t="s">
        <v>389</v>
      </c>
      <c r="F73" s="9" t="str">
        <f>HYPERLINK("https://xeno-canto.org/332502","Open on Xeno-canto")</f>
        <v>Open on Xeno-canto</v>
      </c>
    </row>
    <row r="74" ht="15.75" customHeight="1">
      <c r="A74" s="4" t="s">
        <v>394</v>
      </c>
      <c r="B74" s="4" t="s">
        <v>19</v>
      </c>
      <c r="C74" s="8">
        <v>7.992</v>
      </c>
      <c r="D74" s="4" t="s">
        <v>29</v>
      </c>
      <c r="E74" s="4" t="s">
        <v>395</v>
      </c>
      <c r="F74" s="9" t="str">
        <f>HYPERLINK("https://xeno-canto.org/332506","Open on Xeno-canto")</f>
        <v>Open on Xeno-canto</v>
      </c>
    </row>
    <row r="75" ht="15.75" customHeight="1">
      <c r="A75" s="4" t="s">
        <v>398</v>
      </c>
      <c r="B75" s="4" t="s">
        <v>19</v>
      </c>
      <c r="C75" s="8">
        <v>64.296</v>
      </c>
      <c r="D75" s="4" t="s">
        <v>29</v>
      </c>
      <c r="E75" s="4" t="s">
        <v>401</v>
      </c>
      <c r="F75" s="9" t="str">
        <f>HYPERLINK("https://xeno-canto.org/332512","Open on Xeno-canto")</f>
        <v>Open on Xeno-canto</v>
      </c>
    </row>
    <row r="76" ht="15.75" customHeight="1">
      <c r="A76" s="4" t="s">
        <v>403</v>
      </c>
      <c r="B76" s="4" t="s">
        <v>19</v>
      </c>
      <c r="C76" s="8">
        <v>26.688</v>
      </c>
      <c r="D76" s="4" t="s">
        <v>29</v>
      </c>
      <c r="E76" s="4" t="s">
        <v>405</v>
      </c>
      <c r="F76" s="9" t="str">
        <f>HYPERLINK("https://xeno-canto.org/332528","Open on Xeno-canto")</f>
        <v>Open on Xeno-canto</v>
      </c>
    </row>
    <row r="77" ht="15.75" customHeight="1">
      <c r="A77" s="4" t="s">
        <v>407</v>
      </c>
      <c r="B77" s="4" t="s">
        <v>19</v>
      </c>
      <c r="C77" s="8">
        <v>7.056</v>
      </c>
      <c r="D77" s="4" t="s">
        <v>29</v>
      </c>
      <c r="E77" s="4" t="s">
        <v>408</v>
      </c>
      <c r="F77" s="9" t="str">
        <f>HYPERLINK("https://xeno-canto.org/332567","Open on Xeno-canto")</f>
        <v>Open on Xeno-canto</v>
      </c>
    </row>
    <row r="78" ht="15.75" customHeight="1">
      <c r="A78" s="4" t="s">
        <v>414</v>
      </c>
      <c r="B78" s="4" t="s">
        <v>19</v>
      </c>
      <c r="C78" s="8">
        <v>66.534</v>
      </c>
      <c r="D78" s="4" t="s">
        <v>29</v>
      </c>
      <c r="E78" s="4" t="s">
        <v>415</v>
      </c>
      <c r="F78" s="9" t="str">
        <f>HYPERLINK("https://xeno-canto.org/332568","Open on Xeno-canto")</f>
        <v>Open on Xeno-canto</v>
      </c>
    </row>
    <row r="79" ht="15.75" customHeight="1">
      <c r="A79" s="4" t="s">
        <v>418</v>
      </c>
      <c r="B79" s="4" t="s">
        <v>19</v>
      </c>
      <c r="C79" s="8">
        <v>27.063</v>
      </c>
      <c r="D79" s="4" t="s">
        <v>29</v>
      </c>
      <c r="E79" s="4" t="s">
        <v>420</v>
      </c>
      <c r="F79" s="9" t="str">
        <f>HYPERLINK("https://xeno-canto.org/332569","Open on Xeno-canto")</f>
        <v>Open on Xeno-canto</v>
      </c>
    </row>
    <row r="80" ht="15.75" customHeight="1">
      <c r="A80" s="4" t="s">
        <v>424</v>
      </c>
      <c r="B80" s="4" t="s">
        <v>19</v>
      </c>
      <c r="C80" s="8">
        <v>10.008</v>
      </c>
      <c r="D80" s="4" t="s">
        <v>29</v>
      </c>
      <c r="E80" s="4" t="s">
        <v>425</v>
      </c>
      <c r="F80" s="9" t="str">
        <f>HYPERLINK("https://xeno-canto.org/332572","Open on Xeno-canto")</f>
        <v>Open on Xeno-canto</v>
      </c>
    </row>
    <row r="81" ht="15.75" customHeight="1">
      <c r="A81" s="4" t="s">
        <v>430</v>
      </c>
      <c r="B81" s="4" t="s">
        <v>19</v>
      </c>
      <c r="C81" s="8">
        <v>20.04</v>
      </c>
      <c r="D81" s="4" t="s">
        <v>29</v>
      </c>
      <c r="E81" s="4" t="s">
        <v>431</v>
      </c>
      <c r="F81" s="9" t="str">
        <f>HYPERLINK("https://xeno-canto.org/332573","Open on Xeno-canto")</f>
        <v>Open on Xeno-canto</v>
      </c>
    </row>
    <row r="82" ht="15.75" customHeight="1">
      <c r="A82" s="4" t="s">
        <v>434</v>
      </c>
      <c r="B82" s="4" t="s">
        <v>19</v>
      </c>
      <c r="C82" s="8">
        <v>85.92</v>
      </c>
      <c r="D82" s="4" t="s">
        <v>29</v>
      </c>
      <c r="E82" s="4" t="s">
        <v>436</v>
      </c>
      <c r="F82" s="9" t="str">
        <f>HYPERLINK("https://xeno-canto.org/332575","Open on Xeno-canto")</f>
        <v>Open on Xeno-canto</v>
      </c>
    </row>
    <row r="83" ht="15.75" customHeight="1"/>
    <row r="84" ht="15.75" customHeight="1">
      <c r="A84" s="12" t="s">
        <v>438</v>
      </c>
      <c r="B84" s="13" t="s">
        <v>442</v>
      </c>
      <c r="C84" s="13">
        <f>COUNTA(A6:A82)</f>
        <v>77</v>
      </c>
    </row>
    <row r="85" ht="15.75" customHeight="1">
      <c r="A85" s="12" t="s">
        <v>447</v>
      </c>
      <c r="C85" s="14">
        <f>SUM(C6:C82)/60</f>
        <v>53.86441667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2026-09-17T17:27:18Z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