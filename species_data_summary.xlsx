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 Summary" sheetId="1" r:id="rId4"/>
    <sheet state="visible" name="All Recordings" sheetId="2" r:id="rId5"/>
    <sheet state="visible" name="Splits &amp; Clips" sheetId="3" r:id="rId6"/>
    <sheet state="visible" name="Raw Audio" sheetId="4" r:id="rId7"/>
    <sheet state="visible" name="About" sheetId="5" r:id="rId8"/>
  </sheets>
  <definedNames>
    <definedName hidden="1" localSheetId="1" name="_xlnm._FilterDatabase">'All Recordings'!$A$1:$I$65</definedName>
  </definedNames>
  <calcPr/>
  <extLst>
    <ext uri="GoogleSheetsCustomDataVersion2">
      <go:sheetsCustomData xmlns:go="http://customooxmlschemas.google.com/" r:id="rId9" roundtripDataChecksum="kaHAVOXE1zJhutXhmysbBUn7n9qW8vxyeYhcIlCTMd8="/>
    </ext>
  </extLst>
</workbook>
</file>

<file path=xl/sharedStrings.xml><?xml version="1.0" encoding="utf-8"?>
<sst xmlns="http://schemas.openxmlformats.org/spreadsheetml/2006/main" count="1700" uniqueCount="702">
  <si>
    <t>Pre-made splits in the shared Drive folder (censused 2026-09-15)</t>
  </si>
  <si>
    <t>Costa Rica Site Data — Species Summary</t>
  </si>
  <si>
    <t>File</t>
  </si>
  <si>
    <t>Every split file, itemized. Two Hour: 48 kHz WAV cuts covering Jun 17 12:00 → Jun 18 12:00 UTC (= Jun 17 06:00 → Jun 18 06:00 local, one full local day). One Minute: 50 FLAC clips per day for June 15–18, covering ONLY the first 50 minutes after 00:00 UTC (= 18:00–18:50 local the previous evening).</t>
  </si>
  <si>
    <t>Existing labeled/extracted recordings from the 2022 AudioMoth deployment at La Selva Biological Station (folder: 2022-Jume-18_RegularMoth4_forest). Site data only — before any Xeno-canto or other public data.</t>
  </si>
  <si>
    <t>Folder</t>
  </si>
  <si>
    <t>Date</t>
  </si>
  <si>
    <t>UTC Time</t>
  </si>
  <si>
    <t>Label (as written in log)</t>
  </si>
  <si>
    <t>Species (canonical)</t>
  </si>
  <si>
    <t>Notes</t>
  </si>
  <si>
    <t>Status</t>
  </si>
  <si>
    <t>Group</t>
  </si>
  <si>
    <t>UTC window</t>
  </si>
  <si>
    <t>Drive Link</t>
  </si>
  <si>
    <t>Local window (UTC-6)</t>
  </si>
  <si>
    <t>Format</t>
  </si>
  <si>
    <t>Bird 1.wav</t>
  </si>
  <si>
    <t>Two Hour — 12 WAV files</t>
  </si>
  <si>
    <t>June 18</t>
  </si>
  <si>
    <t>2022-06-18</t>
  </si>
  <si>
    <t>0:09:52</t>
  </si>
  <si>
    <t>Great tinamou</t>
  </si>
  <si>
    <t>Great Tinamou</t>
  </si>
  <si>
    <t>06_17_22_1200_1400.wav</t>
  </si>
  <si>
    <t>Labeled</t>
  </si>
  <si>
    <t>Two Hour</t>
  </si>
  <si>
    <t>2022-06-17 12:00–14:00</t>
  </si>
  <si>
    <t>06:00–08:00</t>
  </si>
  <si>
    <t>WAV 48 kHz</t>
  </si>
  <si>
    <t>Species</t>
  </si>
  <si>
    <t>Scientific name</t>
  </si>
  <si>
    <t># Recordings</t>
  </si>
  <si>
    <t>Data notes</t>
  </si>
  <si>
    <t>Recording 1</t>
  </si>
  <si>
    <t>Recording 2</t>
  </si>
  <si>
    <t>Recording 3</t>
  </si>
  <si>
    <t>06_17_22_1400_1600.wav</t>
  </si>
  <si>
    <t>Recording 4</t>
  </si>
  <si>
    <t>2022-06-17 14:00–16:00</t>
  </si>
  <si>
    <t>Bird 2.wav</t>
  </si>
  <si>
    <t>08:00–10:00</t>
  </si>
  <si>
    <t>Recording 5</t>
  </si>
  <si>
    <t>0:13:39</t>
  </si>
  <si>
    <t>Green Ibis</t>
  </si>
  <si>
    <t>Recording 6</t>
  </si>
  <si>
    <t>Multi-band, includes crickets</t>
  </si>
  <si>
    <t>Recording 7</t>
  </si>
  <si>
    <t>Recording 8</t>
  </si>
  <si>
    <t>Recording 9</t>
  </si>
  <si>
    <t>Recording 10</t>
  </si>
  <si>
    <t>06_17_22_1600_1800.wav</t>
  </si>
  <si>
    <t>2022-06-17 16:00–18:00</t>
  </si>
  <si>
    <t>10:00–12:00</t>
  </si>
  <si>
    <t>Recording 11</t>
  </si>
  <si>
    <t>Recording 12</t>
  </si>
  <si>
    <t>Recording 13</t>
  </si>
  <si>
    <t>Bird 3.wav</t>
  </si>
  <si>
    <t>Recording 14</t>
  </si>
  <si>
    <t>Raw continuous recordings (the source of everything else)</t>
  </si>
  <si>
    <t>Recording 15</t>
  </si>
  <si>
    <t>06_17_22_1800_2000.wav</t>
  </si>
  <si>
    <t>0:16:53</t>
  </si>
  <si>
    <t>Recording 16</t>
  </si>
  <si>
    <t>2022-06-17 18:00–20:00</t>
  </si>
  <si>
    <t>12:00–14:00</t>
  </si>
  <si>
    <t>Recording 17</t>
  </si>
  <si>
    <t>BIRDS — 16 species identified at the site (44 labeled bird recordings; all extracts labeled)</t>
  </si>
  <si>
    <t>06_17_22_2000_2200.wav</t>
  </si>
  <si>
    <t>2022-06-17 20:00–22:00</t>
  </si>
  <si>
    <t>14:00–16:00</t>
  </si>
  <si>
    <t>Recording start (UTC, from filename)</t>
  </si>
  <si>
    <t>Bird 6.wav</t>
  </si>
  <si>
    <t>White-breasted Wood-Wren</t>
  </si>
  <si>
    <t>Henicorhina leucosticta</t>
  </si>
  <si>
    <t>10:55:38</t>
  </si>
  <si>
    <t>Spider monkey</t>
  </si>
  <si>
    <t>Spider Monkey</t>
  </si>
  <si>
    <t>20220611_211116.WAV</t>
  </si>
  <si>
    <t>Not a bird (labeled 'Monkey' in log)</t>
  </si>
  <si>
    <t>Non-bird</t>
  </si>
  <si>
    <t>06_17_22_2200_2400.wav</t>
  </si>
  <si>
    <t>2022-06-11 21:11:16</t>
  </si>
  <si>
    <t>2022-06-17 22:00–24:00</t>
  </si>
  <si>
    <t>16:00–18:00</t>
  </si>
  <si>
    <t>06_18_22_0000-0200.wav</t>
  </si>
  <si>
    <t>2022-06-18 00:00–02:00</t>
  </si>
  <si>
    <t>18:00–20:00 (prev. day)</t>
  </si>
  <si>
    <t>Bird 7.wav</t>
  </si>
  <si>
    <t>10:58:35</t>
  </si>
  <si>
    <t>Overlaps with Bird 8</t>
  </si>
  <si>
    <t>06_18_22_0200-0400.wav</t>
  </si>
  <si>
    <t>2022-06-18 02:00–04:00</t>
  </si>
  <si>
    <t>20:00–22:00 (prev. day)</t>
  </si>
  <si>
    <t>Best-covered species, both days; includes 1 duplicate pair (Bird 12/13), 1 partial, 2 filename-labeled cuts</t>
  </si>
  <si>
    <t>06_18_22_0400_0600.wav</t>
  </si>
  <si>
    <t>2022-06-18 04:00–06:00</t>
  </si>
  <si>
    <t>Bird 8.wav</t>
  </si>
  <si>
    <t>20220612_000000.WAV</t>
  </si>
  <si>
    <t>22:00–00:00 (prev. day)</t>
  </si>
  <si>
    <t>2022-06-12 00:00:00</t>
  </si>
  <si>
    <t>10:58:47</t>
  </si>
  <si>
    <t>Broad-billed Motmot</t>
  </si>
  <si>
    <t>Overlaps with Bird 7</t>
  </si>
  <si>
    <t>06_18_22_0600_0800.wav</t>
  </si>
  <si>
    <t>2022-06-18 06:00–08:00</t>
  </si>
  <si>
    <t>00:00–02:00</t>
  </si>
  <si>
    <t>20220612_122541.WAV</t>
  </si>
  <si>
    <t>2022-06-12 12:25:41</t>
  </si>
  <si>
    <t>Bird 9.wav</t>
  </si>
  <si>
    <t>06_18_22_0800_1000.wav</t>
  </si>
  <si>
    <t>2022-06-18 08:00–10:00</t>
  </si>
  <si>
    <t>11:02:10</t>
  </si>
  <si>
    <t>02:00–04:00</t>
  </si>
  <si>
    <t>20220612_141537.WAV</t>
  </si>
  <si>
    <t>2022-06-12 14:15:37</t>
  </si>
  <si>
    <t>06_18_22_1000_1200.wav</t>
  </si>
  <si>
    <t>2022-06-18 10:00–12:00</t>
  </si>
  <si>
    <t>04:00–06:00</t>
  </si>
  <si>
    <t>20220613_000002.WAV</t>
  </si>
  <si>
    <t>Bird 10.wav</t>
  </si>
  <si>
    <t>2022-06-13 00:00:02</t>
  </si>
  <si>
    <t>11:02:37</t>
  </si>
  <si>
    <t>Northern barred woodcreeper</t>
  </si>
  <si>
    <t>Northern Barred-Woodcreeper</t>
  </si>
  <si>
    <t>One Minute — June 15 (50 clips, June 15 00:00–00:50 UTC = June 14 18:00–18:50 local)</t>
  </si>
  <si>
    <t>20220615_000002_001.flac</t>
  </si>
  <si>
    <t>One Minute / June 15</t>
  </si>
  <si>
    <t>00:00–00:01 UTC (+2 s)</t>
  </si>
  <si>
    <t>18:00–18:01 prev. day</t>
  </si>
  <si>
    <t>FLAC</t>
  </si>
  <si>
    <t>20220613_122543.WAV</t>
  </si>
  <si>
    <t>2022-06-13 12:25:43</t>
  </si>
  <si>
    <t>Bird 11.wav</t>
  </si>
  <si>
    <t>20220615_000002_002.flac</t>
  </si>
  <si>
    <t>00:01–00:02 UTC (+2 s)</t>
  </si>
  <si>
    <t>18:01–18:02 prev. day</t>
  </si>
  <si>
    <t>11:05:43</t>
  </si>
  <si>
    <t>Rufous Motmot</t>
  </si>
  <si>
    <t>20220614_113846.WAV</t>
  </si>
  <si>
    <t>2022-06-14 11:38:46</t>
  </si>
  <si>
    <t>20220615_000002_003.flac</t>
  </si>
  <si>
    <t>00:02–00:03 UTC (+2 s)</t>
  </si>
  <si>
    <t>18:02–18:03 prev. day</t>
  </si>
  <si>
    <t>20220615_000002.WAV</t>
  </si>
  <si>
    <t>2022-06-15 00:00:02</t>
  </si>
  <si>
    <t>Bird 12.wav</t>
  </si>
  <si>
    <t>20220615_000002_004.flac</t>
  </si>
  <si>
    <t>11:10:02</t>
  </si>
  <si>
    <t>White breasted wood wren</t>
  </si>
  <si>
    <t>00:03–00:04 UTC (+2 s)</t>
  </si>
  <si>
    <t>18:03–18:04 prev. day</t>
  </si>
  <si>
    <t>Same call as Bird 13 (duplicate)</t>
  </si>
  <si>
    <t>20220615_122543.WAV</t>
  </si>
  <si>
    <t>2022-06-15 12:25:43</t>
  </si>
  <si>
    <t>20220615_000002_005.flac</t>
  </si>
  <si>
    <t>00:04–00:05 UTC (+2 s)</t>
  </si>
  <si>
    <t>18:04–18:05 prev. day</t>
  </si>
  <si>
    <t>20220616_000002.WAV</t>
  </si>
  <si>
    <t>Bird 13.wav</t>
  </si>
  <si>
    <t>2022-06-16 00:00:02</t>
  </si>
  <si>
    <t>20220615_000002_006.flac</t>
  </si>
  <si>
    <t>11:10:03</t>
  </si>
  <si>
    <t>00:05–00:06 UTC (+2 s)</t>
  </si>
  <si>
    <t>Same call as Bird 12 (duplicate)</t>
  </si>
  <si>
    <t>20220616_122543.WAV</t>
  </si>
  <si>
    <t>2022-06-16 12:25:43</t>
  </si>
  <si>
    <t>Bird 14.wav</t>
  </si>
  <si>
    <t>11:10:13</t>
  </si>
  <si>
    <t>20220617_000002.WAV</t>
  </si>
  <si>
    <t>2022-06-17 00:00:02</t>
  </si>
  <si>
    <t>Partial extract</t>
  </si>
  <si>
    <t>20220617_122543.WAV</t>
  </si>
  <si>
    <t>2022-06-17 12:25:43</t>
  </si>
  <si>
    <t>Bird 15.wav</t>
  </si>
  <si>
    <t>11:11:02</t>
  </si>
  <si>
    <t>Green macaw &amp; white breasted wood wren</t>
  </si>
  <si>
    <t>18:05–18:06 prev. day</t>
  </si>
  <si>
    <t>Great Green Macaw; White-breasted Wood-Wren</t>
  </si>
  <si>
    <t>Two species overlap</t>
  </si>
  <si>
    <t>20220618_000002.WAV</t>
  </si>
  <si>
    <t>2022-06-18 00:00:02</t>
  </si>
  <si>
    <t>20220615_000002_007.flac</t>
  </si>
  <si>
    <t>00:06–00:07 UTC (+2 s)</t>
  </si>
  <si>
    <t>18:06–18:07 prev. day</t>
  </si>
  <si>
    <t>Bird 16.wav</t>
  </si>
  <si>
    <t>20220618_122543.WAV</t>
  </si>
  <si>
    <t>2022-06-18 12:25:43</t>
  </si>
  <si>
    <t>11:11:46</t>
  </si>
  <si>
    <t>Yellow-throated toucan</t>
  </si>
  <si>
    <t>Yellow-throated Toucan</t>
  </si>
  <si>
    <t>20220615_000002_008.flac</t>
  </si>
  <si>
    <t>00:07–00:08 UTC (+2 s)</t>
  </si>
  <si>
    <t>18:07–18:08 prev. day</t>
  </si>
  <si>
    <t>Related folders &amp; files</t>
  </si>
  <si>
    <t>AudioMoth CONFIG.TXT (48 kHz, continuous 00:00-24:00 UTC)</t>
  </si>
  <si>
    <t>20220615_000002_009.flac</t>
  </si>
  <si>
    <t>Bird 17.wav</t>
  </si>
  <si>
    <t>00:08–00:09 UTC (+2 s)</t>
  </si>
  <si>
    <t>18:08–18:09 prev. day</t>
  </si>
  <si>
    <t>Splits / Two Hour (12 files — itemized on Splits &amp; Clips sheet)</t>
  </si>
  <si>
    <t>11:13:08</t>
  </si>
  <si>
    <t>(blank)</t>
  </si>
  <si>
    <t>Frog (unidentified)</t>
  </si>
  <si>
    <t>Log note: 'Frog' — not a bird</t>
  </si>
  <si>
    <t>Tinamus major</t>
  </si>
  <si>
    <t>Splits / One Minute (4 × 50 clips — itemized on Splits &amp; Clips sheet)</t>
  </si>
  <si>
    <t>20220615_000002_010.flac</t>
  </si>
  <si>
    <t>00:09–00:10 UTC (+2 s)</t>
  </si>
  <si>
    <t>18:09–18:10 prev. day</t>
  </si>
  <si>
    <t>Bird 18.wav</t>
  </si>
  <si>
    <t>Bird 1 and June 17 Bird 6 are solos; other 2 are uncertain/mixed</t>
  </si>
  <si>
    <t>11:13:11</t>
  </si>
  <si>
    <t>Species Song Extracts / June 17 (11 WAV + 6 .pkf)</t>
  </si>
  <si>
    <t>20220615_000002_011.flac</t>
  </si>
  <si>
    <t>00:10–00:11 UTC (+2 s)</t>
  </si>
  <si>
    <t>18:10–18:11 prev. day</t>
  </si>
  <si>
    <t>Species Song Extracts / June 18 (54 WAV + 39 .pkf)</t>
  </si>
  <si>
    <t>20220615_000002_012.flac</t>
  </si>
  <si>
    <t>00:11–00:12 UTC (+2 s)</t>
  </si>
  <si>
    <t>18:11–18:12 prev. day</t>
  </si>
  <si>
    <t>Bird 19.wav</t>
  </si>
  <si>
    <t>11:13:17</t>
  </si>
  <si>
    <t>Yellow-throated toucan / great tinamou</t>
  </si>
  <si>
    <t>Yellow-throated Toucan; Great Tinamou</t>
  </si>
  <si>
    <t>Uncertain — 'Very busy, multiple species?'</t>
  </si>
  <si>
    <t>Bird Extracts_M4.xlsx (annotation log: June 18 + June 17 evening block)</t>
  </si>
  <si>
    <t>20220615_000002_013.flac</t>
  </si>
  <si>
    <t>00:12–00:13 UTC (+2 s)</t>
  </si>
  <si>
    <t>18:12–18:13 prev. day</t>
  </si>
  <si>
    <t>Bird 20.wav</t>
  </si>
  <si>
    <t>wb wren source snippet 20220601_000000.wav (the two wb wren cuts were made from it)</t>
  </si>
  <si>
    <t>11:14:32</t>
  </si>
  <si>
    <t>20220615_000002_014.flac</t>
  </si>
  <si>
    <t>Project files (hub folder — not audio data)</t>
  </si>
  <si>
    <t>00:13–00:14 UTC (+2 s)</t>
  </si>
  <si>
    <t>Project hub folder 'Acoustic Bird Species Identification'</t>
  </si>
  <si>
    <t>18:13–18:14 prev. day</t>
  </si>
  <si>
    <t>Bird 21.wav</t>
  </si>
  <si>
    <t>11:15:00</t>
  </si>
  <si>
    <t>Ramphastos ambiguus</t>
  </si>
  <si>
    <t>problem statement (Google Doc)</t>
  </si>
  <si>
    <t>20220615_000002_015.flac</t>
  </si>
  <si>
    <t>00:14–00:15 UTC (+2 s)</t>
  </si>
  <si>
    <t>Bird 22.wav</t>
  </si>
  <si>
    <t>18:14–18:15 prev. day</t>
  </si>
  <si>
    <t>One recording uncertain (Bird 19, mixed with tinamou)</t>
  </si>
  <si>
    <t>11:16:22</t>
  </si>
  <si>
    <t>Relevant Links (Google Doc)</t>
  </si>
  <si>
    <t>Contact Info (Google Sheet)</t>
  </si>
  <si>
    <t>20220615_000002_016.flac</t>
  </si>
  <si>
    <t>00:15–00:16 UTC (+2 s)</t>
  </si>
  <si>
    <t>18:15–18:16 prev. day</t>
  </si>
  <si>
    <t>Project Description (image)</t>
  </si>
  <si>
    <t>Mesembrinibis cayennensis</t>
  </si>
  <si>
    <t>Bird 23.wav</t>
  </si>
  <si>
    <t>11:16:23</t>
  </si>
  <si>
    <t>20220615_000002_017.flac</t>
  </si>
  <si>
    <t>00:16–00:17 UTC (+2 s)</t>
  </si>
  <si>
    <t>18:16–18:17 prev. day</t>
  </si>
  <si>
    <t>Bird 7 overlaps a motmot call</t>
  </si>
  <si>
    <t>20220615_000002_018.flac</t>
  </si>
  <si>
    <t>00:17–00:18 UTC (+2 s)</t>
  </si>
  <si>
    <t>18:17–18:18 prev. day</t>
  </si>
  <si>
    <t>Bird 24.wav</t>
  </si>
  <si>
    <t>11:17:21</t>
  </si>
  <si>
    <t>Frog (Common rain frog)</t>
  </si>
  <si>
    <t>Log note: 'Common rain frog' — not a bird</t>
  </si>
  <si>
    <t>Electron platyrhynchum</t>
  </si>
  <si>
    <t>20220615_000002_019.flac</t>
  </si>
  <si>
    <t>00:18–00:19 UTC (+2 s)</t>
  </si>
  <si>
    <t>18:18–18:19 prev. day</t>
  </si>
  <si>
    <t>Bird 25.wav</t>
  </si>
  <si>
    <t>11:17:23</t>
  </si>
  <si>
    <t>Bird 8 overlaps an ibis call</t>
  </si>
  <si>
    <t>20220615_000002_020.flac</t>
  </si>
  <si>
    <t>00:19–00:20 UTC (+2 s)</t>
  </si>
  <si>
    <t>18:19–18:20 prev. day</t>
  </si>
  <si>
    <t>Bird 26.wav</t>
  </si>
  <si>
    <t>11:17:43</t>
  </si>
  <si>
    <t>Mealy parrot</t>
  </si>
  <si>
    <t>20220615_000002_021.flac</t>
  </si>
  <si>
    <t>Mealy Parrot</t>
  </si>
  <si>
    <t>00:20–00:21 UTC (+2 s)</t>
  </si>
  <si>
    <t>18:20–18:21 prev. day</t>
  </si>
  <si>
    <t>20220615_000002_022.flac</t>
  </si>
  <si>
    <t>00:21–00:22 UTC (+2 s)</t>
  </si>
  <si>
    <t>18:21–18:22 prev. day</t>
  </si>
  <si>
    <t>Amazona farinosa</t>
  </si>
  <si>
    <t>Bird 27.wav</t>
  </si>
  <si>
    <t>20220615_000002_023.flac</t>
  </si>
  <si>
    <t>11:19:44</t>
  </si>
  <si>
    <t>00:22–00:23 UTC (+2 s)</t>
  </si>
  <si>
    <t>White breasted wood wren (toucan in background?)</t>
  </si>
  <si>
    <t>18:22–18:23 prev. day</t>
  </si>
  <si>
    <t>Possible Yellow-throated Toucan in background (not counted for toucan)</t>
  </si>
  <si>
    <t>20220615_000002_024.flac</t>
  </si>
  <si>
    <t>00:23–00:24 UTC (+2 s)</t>
  </si>
  <si>
    <t>18:23–18:24 prev. day</t>
  </si>
  <si>
    <t>Bird 28.wav</t>
  </si>
  <si>
    <t>11:19:59</t>
  </si>
  <si>
    <t>20220615_000002_025.flac</t>
  </si>
  <si>
    <t>00:24–00:25 UTC (+2 s)</t>
  </si>
  <si>
    <t>18:24–18:25 prev. day</t>
  </si>
  <si>
    <t>Lesser Greenlet</t>
  </si>
  <si>
    <t>Pachysylvia decurtata</t>
  </si>
  <si>
    <t>20220615_000002_026.flac</t>
  </si>
  <si>
    <t>Bird 29.wav</t>
  </si>
  <si>
    <t>00:25–00:26 UTC (+2 s)</t>
  </si>
  <si>
    <t>18:25–18:26 prev. day</t>
  </si>
  <si>
    <t>11:22:07</t>
  </si>
  <si>
    <t>Insect (cicada, uncertain)</t>
  </si>
  <si>
    <t>Log note: 'Cicada?' — probably not a bird</t>
  </si>
  <si>
    <t>20220615_000002_027.flac</t>
  </si>
  <si>
    <t>00:26–00:27 UTC (+2 s)</t>
  </si>
  <si>
    <t>18:26–18:27 prev. day</t>
  </si>
  <si>
    <t>Bird 30.wav</t>
  </si>
  <si>
    <t>Dendrocolaptes sanctithomae</t>
  </si>
  <si>
    <t>11:22:34</t>
  </si>
  <si>
    <t>20220615_000002_028.flac</t>
  </si>
  <si>
    <t>00:27–00:28 UTC (+2 s)</t>
  </si>
  <si>
    <t>18:27–18:28 prev. day</t>
  </si>
  <si>
    <t>20220615_000002_029.flac</t>
  </si>
  <si>
    <t>00:28–00:29 UTC (+2 s)</t>
  </si>
  <si>
    <t>18:28–18:29 prev. day</t>
  </si>
  <si>
    <t>Bird 31.wav</t>
  </si>
  <si>
    <t>11:26:16</t>
  </si>
  <si>
    <t>Scarlet rumped cacique</t>
  </si>
  <si>
    <t>Scarlet-rumped Cacique</t>
  </si>
  <si>
    <t>20220615_000002_030.flac</t>
  </si>
  <si>
    <t>00:29–00:30 UTC (+2 s)</t>
  </si>
  <si>
    <t>18:29–18:30 prev. day</t>
  </si>
  <si>
    <t>Baryphthengus martii</t>
  </si>
  <si>
    <t>20220615_000002_031.flac</t>
  </si>
  <si>
    <t>00:30–00:31 UTC (+2 s)</t>
  </si>
  <si>
    <t>18:30–18:31 prev. day</t>
  </si>
  <si>
    <t>Bird 32.wav</t>
  </si>
  <si>
    <t>11:29:58</t>
  </si>
  <si>
    <t>Stripe breasted wren</t>
  </si>
  <si>
    <t>Stripe-breasted Wren</t>
  </si>
  <si>
    <t>20220615_000002_032.flac</t>
  </si>
  <si>
    <t>00:31–00:32 UTC (+2 s)</t>
  </si>
  <si>
    <t>18:31–18:32 prev. day</t>
  </si>
  <si>
    <t>20220615_000002_033.flac</t>
  </si>
  <si>
    <t>00:32–00:33 UTC (+2 s)</t>
  </si>
  <si>
    <t>18:32–18:33 prev. day</t>
  </si>
  <si>
    <t>Bird 33.wav</t>
  </si>
  <si>
    <t>11:32:11</t>
  </si>
  <si>
    <t>20220615_000002_034.flac</t>
  </si>
  <si>
    <t>00:33–00:34 UTC (+2 s)</t>
  </si>
  <si>
    <t>18:33–18:34 prev. day</t>
  </si>
  <si>
    <t>20220615_000002_035.flac</t>
  </si>
  <si>
    <t>00:34–00:35 UTC (+2 s)</t>
  </si>
  <si>
    <t>18:34–18:35 prev. day</t>
  </si>
  <si>
    <t>Red-lored Parrot</t>
  </si>
  <si>
    <t>Bird 34.wav</t>
  </si>
  <si>
    <t>Amazona autumnalis</t>
  </si>
  <si>
    <t>11:37:54</t>
  </si>
  <si>
    <t>Great tinamou / red lored parrot / white breasted wood wren</t>
  </si>
  <si>
    <t>Great Tinamou; Red-lored Parrot; White-breasted Wood-Wren</t>
  </si>
  <si>
    <t>Uncertain — 'Multiple birds?'</t>
  </si>
  <si>
    <t>20220615_000002_036.flac</t>
  </si>
  <si>
    <t>00:35–00:36 UTC (+2 s)</t>
  </si>
  <si>
    <t>18:35–18:36 prev. day</t>
  </si>
  <si>
    <t>Both recordings flagged 'Multiple birds?' in the log</t>
  </si>
  <si>
    <t>20220615_000002_037.flac</t>
  </si>
  <si>
    <t>00:36–00:37 UTC (+2 s)</t>
  </si>
  <si>
    <t>18:36–18:37 prev. day</t>
  </si>
  <si>
    <t>Bird 35.wav</t>
  </si>
  <si>
    <t>11:38:20</t>
  </si>
  <si>
    <t>20220615_000002_038.flac</t>
  </si>
  <si>
    <t>00:37–00:38 UTC (+2 s)</t>
  </si>
  <si>
    <t>Red lore parrot</t>
  </si>
  <si>
    <t>18:37–18:38 prev. day</t>
  </si>
  <si>
    <t>Great Green Macaw</t>
  </si>
  <si>
    <t>20220615_000002_039.flac</t>
  </si>
  <si>
    <t>00:38–00:39 UTC (+2 s)</t>
  </si>
  <si>
    <t>18:38–18:39 prev. day</t>
  </si>
  <si>
    <t>Ara ambiguus</t>
  </si>
  <si>
    <t>20220615_000002_040.flac</t>
  </si>
  <si>
    <t>00:39–00:40 UTC (+2 s)</t>
  </si>
  <si>
    <t>Bird 36.wav</t>
  </si>
  <si>
    <t>18:39–18:40 prev. day</t>
  </si>
  <si>
    <t>11:38:48</t>
  </si>
  <si>
    <t>Lesser greenlet (vireo)</t>
  </si>
  <si>
    <t>20220615_000002_041.flac</t>
  </si>
  <si>
    <t>00:40–00:41 UTC (+2 s)</t>
  </si>
  <si>
    <t>18:40–18:41 prev. day</t>
  </si>
  <si>
    <t>NO clean solo recording — only an overlap with a wood-wren (Bird 15)</t>
  </si>
  <si>
    <t>20220615_000002_042.flac</t>
  </si>
  <si>
    <t>00:41–00:42 UTC (+2 s)</t>
  </si>
  <si>
    <t>18:41–18:42 prev. day</t>
  </si>
  <si>
    <t>Bird 37.wav</t>
  </si>
  <si>
    <t>11:39:45</t>
  </si>
  <si>
    <t>20220615_000002_043.flac</t>
  </si>
  <si>
    <t>Chestnut-backed Antbird</t>
  </si>
  <si>
    <t>00:42–00:43 UTC (+2 s)</t>
  </si>
  <si>
    <t>Poliocrania exsul</t>
  </si>
  <si>
    <t>18:42–18:43 prev. day</t>
  </si>
  <si>
    <t>Bird 38.wav</t>
  </si>
  <si>
    <t>Extract contains a second call at 11:42:09</t>
  </si>
  <si>
    <t>20220615_000002_044.flac</t>
  </si>
  <si>
    <t>11:41:55</t>
  </si>
  <si>
    <t>00:43–00:44 UTC (+2 s)</t>
  </si>
  <si>
    <t>Chestnut backed antbird</t>
  </si>
  <si>
    <t>18:43–18:44 prev. day</t>
  </si>
  <si>
    <t>Second call at 11:42:09 in same extract</t>
  </si>
  <si>
    <t>20220615_000002_045.flac</t>
  </si>
  <si>
    <t>00:44–00:45 UTC (+2 s)</t>
  </si>
  <si>
    <t>18:44–18:45 prev. day</t>
  </si>
  <si>
    <t>Chestnut-headed Oropendola</t>
  </si>
  <si>
    <t>Psarocolius wagleri</t>
  </si>
  <si>
    <t>Bird 39.wav</t>
  </si>
  <si>
    <t>20220615_000002_046.flac</t>
  </si>
  <si>
    <t>00:45–00:46 UTC (+2 s)</t>
  </si>
  <si>
    <t>18:45–18:46 prev. day</t>
  </si>
  <si>
    <t>11:45:07</t>
  </si>
  <si>
    <t>Single UNCERTAIN recording — log note 'Maybe oropendola?'</t>
  </si>
  <si>
    <t>20220615_000002_047.flac</t>
  </si>
  <si>
    <t>00:46–00:47 UTC (+2 s)</t>
  </si>
  <si>
    <t>18:46–18:47 prev. day</t>
  </si>
  <si>
    <t>Bird 40.wav</t>
  </si>
  <si>
    <t>11:55:14</t>
  </si>
  <si>
    <t>20220615_000002_048.flac</t>
  </si>
  <si>
    <t>00:47–00:48 UTC (+2 s)</t>
  </si>
  <si>
    <t>18:47–18:48 prev. day</t>
  </si>
  <si>
    <t>Black-striped Woodcreeper</t>
  </si>
  <si>
    <t>Xiphorhynchus lachrymosus</t>
  </si>
  <si>
    <t>20220615_000002_049.flac</t>
  </si>
  <si>
    <t>20220601_000000_wb wren.wav</t>
  </si>
  <si>
    <t>00:48–00:49 UTC (+2 s)</t>
  </si>
  <si>
    <t>18:48–18:49 prev. day</t>
  </si>
  <si>
    <t>wb wren (filename)</t>
  </si>
  <si>
    <t>Labeled via filename, not the log; source WAV named 20220601 (device clock artifact?)</t>
  </si>
  <si>
    <t>Log note: 'Unique call'</t>
  </si>
  <si>
    <t>20220615_000002_050.flac</t>
  </si>
  <si>
    <t>00:49–00:50 UTC (+2 s)</t>
  </si>
  <si>
    <t>18:49–18:50 prev. day</t>
  </si>
  <si>
    <t>20220601_000000_wb wren v2.wav</t>
  </si>
  <si>
    <t>One Minute — June 16 (50 clips, June 16 00:00–00:50 UTC = June 15 18:00–18:50 local)</t>
  </si>
  <si>
    <t>wb wren v2 (filename)</t>
  </si>
  <si>
    <t>Cacicus uropygialis</t>
  </si>
  <si>
    <t>Labeled via filename, not the log; alternate cut of the same extract</t>
  </si>
  <si>
    <t>20220616_000002_001.flac</t>
  </si>
  <si>
    <t>One Minute / June 16</t>
  </si>
  <si>
    <t>20220616_000002_002.flac</t>
  </si>
  <si>
    <t>Bird 41.wav</t>
  </si>
  <si>
    <t>11:57:43</t>
  </si>
  <si>
    <t>Cantorchilus thoracicus</t>
  </si>
  <si>
    <t>20220616_000002_003.flac</t>
  </si>
  <si>
    <t>Bird 42.wav</t>
  </si>
  <si>
    <t>11:58:37</t>
  </si>
  <si>
    <t>20220616_000002_004.flac</t>
  </si>
  <si>
    <t>20220616_000002_005.flac</t>
  </si>
  <si>
    <t>NON-BIRD SOUNDS captured in the extracts (useful as negative examples)</t>
  </si>
  <si>
    <t>Frog 1.wav</t>
  </si>
  <si>
    <t>0:01:05</t>
  </si>
  <si>
    <t>Pristimantis sp. 1</t>
  </si>
  <si>
    <t>Frog (Pristimantis sp. 1)</t>
  </si>
  <si>
    <t>20220616_000002_006.flac</t>
  </si>
  <si>
    <t>Frogs (all)</t>
  </si>
  <si>
    <t>20220616_000002_007.flac</t>
  </si>
  <si>
    <t>Frog 2.wav</t>
  </si>
  <si>
    <t>2:05:45</t>
  </si>
  <si>
    <t>Scinax elaeochroa</t>
  </si>
  <si>
    <t>Costa Rica Site Data Summary — About this workbook</t>
  </si>
  <si>
    <t>Frog (Scinax elaeochroa)</t>
  </si>
  <si>
    <t>20220616_000002_008.flac</t>
  </si>
  <si>
    <t>Pristimantis, Scinax, Craugastor, Dendropsophus, Leptodactylus + 6 misfiled as 'Bird'</t>
  </si>
  <si>
    <t>Purpose: inventory of the team's OWN recordings from the Costa Rica AudioMoth deployment at La Selva Biological Station, before adding Xeno-canto or other public data.</t>
  </si>
  <si>
    <t>Source: Drive folder '2022-Jume-18_RegularMoth4_forest'; labels from 'Bird Extracts_M4.xlsx' (one sheet named 'June 18' holding the June 18 events, 00:01-11:58 UTC, followed by a June 17 evening block, 22:05-23:25 UTC). Full Drive census re-run 2026-09-15 by Claude.</t>
  </si>
  <si>
    <t>20220616_000002_009.flac</t>
  </si>
  <si>
    <t>Frog 3.wav</t>
  </si>
  <si>
    <t>3:00:00</t>
  </si>
  <si>
    <t>Scinax elaeochroa/Craugastor sp1</t>
  </si>
  <si>
    <t>Coverage — what this workbook accounts for (every file in the shared Drive):</t>
  </si>
  <si>
    <t>Frog (Scinax elaeochroa / Craugastor sp. 1)</t>
  </si>
  <si>
    <t>- Species Summary + All Recordings: all 64 extract WAVs (44 labeled bird, 20 non-bird; zero unlabeled).</t>
  </si>
  <si>
    <t>20220616_000002_010.flac</t>
  </si>
  <si>
    <t>- Splits &amp; Clips: all 12 two-hour WAVs and all 200 one-minute FLAC clips (50 per day, June 15-18 — only the first 50 minutes after 00:00 UTC of each day, i.e. 18:00-18:50 local the previous evening).</t>
  </si>
  <si>
    <t>- Raw Audio: the 15 continuous WAVs, CONFIG.TXT, the wb-wren source snippet, the annotation log, and the project hub files (problem statement, links, contacts, image).</t>
  </si>
  <si>
    <t>20220616_000002_011.flac</t>
  </si>
  <si>
    <t>Frog 4.wav</t>
  </si>
  <si>
    <t>- Excluded from itemization: 45 Adobe Audition .pkf peak files (6 in June 17, 39 in June 18) — display metadata, not audio; counts shown on Raw Audio sheet.</t>
  </si>
  <si>
    <t>3:07:29</t>
  </si>
  <si>
    <t>Dendropsophus sp1</t>
  </si>
  <si>
    <t>Frog (Dendropsophus sp. 1)</t>
  </si>
  <si>
    <t>How counts work (Species Summary, '# Recordings' column):</t>
  </si>
  <si>
    <t>20220616_000002_012.flac</t>
  </si>
  <si>
    <t>- Counted with COUNTIF over the 'Species (canonical)' column on the All Recordings sheet, so counts update automatically if rows are edited there.</t>
  </si>
  <si>
    <t>- A recording with two species labels (e.g. Bird 15: macaw + wood-wren) counts once for EACH species.</t>
  </si>
  <si>
    <t>- Uncertain labels from the log ('Multiple birds?', 'Maybe oropendola?') are counted but flagged.</t>
  </si>
  <si>
    <t>- Bird 27's possible background toucan is NOT counted for the toucan.</t>
  </si>
  <si>
    <t>- The two 'wb wren' files are labeled only by filename (not in the log) and count for the wood-wren.</t>
  </si>
  <si>
    <t>20220616_000002_013.flac</t>
  </si>
  <si>
    <t>Known gaps / caveats:</t>
  </si>
  <si>
    <t>Frog 5.wav</t>
  </si>
  <si>
    <t>- June 17 extract files reuse the names Bird 1-11 for a separate evening session - do not confuse them with June 18's Bird 1-11. June 17's 'BIrd 2.wav' typo maps to the log's Bird 2 (a frog).</t>
  </si>
  <si>
    <t>3:55:31</t>
  </si>
  <si>
    <t>Pristimantis sp 2</t>
  </si>
  <si>
    <t>Frog (Pristimantis sp. 2)</t>
  </si>
  <si>
    <t>- Bird 4 and Bird 5 do not exist as WAVs in the June 18 folder (no log rows either); a Bird 4.pkf exists, so Bird 4 may have been extracted and later removed.</t>
  </si>
  <si>
    <t>- Great Green Macaw has NO clean solo recording; Chestnut-headed Oropendola's only recording is uncertain (both highlighted yellow).</t>
  </si>
  <si>
    <t>20220616_000002_014.flac</t>
  </si>
  <si>
    <t>- One-minute clip UTC windows assume clip N covers minutes (N-1)-N from the source file start (00:00:02 UTC); verify against audio when downloaded.</t>
  </si>
  <si>
    <t>- Scientific names were added by Claude from standard Costa Rica avifauna references; verify before publication.</t>
  </si>
  <si>
    <t>Sheets: 'Species Summary' (per-species counts + links), 'All Recordings' (one row per extract WAV), 'Splits &amp; Clips' (every pre-cut chunk), 'Raw Audio' (source WAVs + related + project files). Machine-readable mirrors: manifests/drive_extracts.csv, drive_raw_audio.csv, drive_splits.csv.</t>
  </si>
  <si>
    <t>20220616_000002_015.flac</t>
  </si>
  <si>
    <t>Frog 6.wav</t>
  </si>
  <si>
    <t>7:35:32</t>
  </si>
  <si>
    <t>Pristimantis sp3/Pristimantis sp 4</t>
  </si>
  <si>
    <t>Frog (Pristimantis sp. 3 / sp. 4)</t>
  </si>
  <si>
    <t>20220616_000002_016.flac</t>
  </si>
  <si>
    <t>20220616_000002_017.flac</t>
  </si>
  <si>
    <t>Frog 7.wav</t>
  </si>
  <si>
    <t>8:05:16</t>
  </si>
  <si>
    <t>Dendropsophus sp 1 /Pristimantis sp3</t>
  </si>
  <si>
    <t>20220616_000002_018.flac</t>
  </si>
  <si>
    <t>Frog (Dendropsophus sp. 1 / Pristimantis sp. 3)</t>
  </si>
  <si>
    <t>20220616_000002_019.flac</t>
  </si>
  <si>
    <t>20220616_000002_020.flac</t>
  </si>
  <si>
    <t>Frog 8.wav</t>
  </si>
  <si>
    <t>10:26:41</t>
  </si>
  <si>
    <t>Pristimantis sp3</t>
  </si>
  <si>
    <t>Frog (Pristimantis sp. 3)</t>
  </si>
  <si>
    <t>20220616_000002_021.flac</t>
  </si>
  <si>
    <t>20220616_000002_022.flac</t>
  </si>
  <si>
    <t>Frog 9.wav</t>
  </si>
  <si>
    <t>11:07:36</t>
  </si>
  <si>
    <t>Leptodactylus</t>
  </si>
  <si>
    <t>Frog (Leptodactylus sp.)</t>
  </si>
  <si>
    <t>20220616_000002_023.flac</t>
  </si>
  <si>
    <t>20220616_000002_024.flac</t>
  </si>
  <si>
    <t>Frog 10.wav</t>
  </si>
  <si>
    <t>4:23:35</t>
  </si>
  <si>
    <t>20220616_000002_025.flac</t>
  </si>
  <si>
    <t>Ateles geoffroyi</t>
  </si>
  <si>
    <t>Log note: 'Frog confirmed'</t>
  </si>
  <si>
    <t>20220616_000002_026.flac</t>
  </si>
  <si>
    <t>Misfiled as 'Bird 6' in the log</t>
  </si>
  <si>
    <t>20220616_000002_027.flac</t>
  </si>
  <si>
    <t>Frog 11.wav</t>
  </si>
  <si>
    <t>10:36:05</t>
  </si>
  <si>
    <t>Log note: 'Actually Frog'</t>
  </si>
  <si>
    <t>20220616_000002_028.flac</t>
  </si>
  <si>
    <t>Insects (all)</t>
  </si>
  <si>
    <t>—</t>
  </si>
  <si>
    <t>20220616_000002_029.flac</t>
  </si>
  <si>
    <t>Cicada? (June 18 Bird 29) and cricket (June 17 Bird 5), misfiled as 'Bird'</t>
  </si>
  <si>
    <t>20220616_000002_030.flac</t>
  </si>
  <si>
    <t>June 17</t>
  </si>
  <si>
    <t>2022-06-17</t>
  </si>
  <si>
    <t>22:05:25</t>
  </si>
  <si>
    <t>20220616_000002_031.flac</t>
  </si>
  <si>
    <t>20220616_000002_032.flac</t>
  </si>
  <si>
    <t>BIrd 2.wav</t>
  </si>
  <si>
    <t>22:20:56</t>
  </si>
  <si>
    <t>Common wood frog</t>
  </si>
  <si>
    <t>Frog (Common wood frog)</t>
  </si>
  <si>
    <t>Log note: 'Clacking bird'; filename has a typo (BIrd)</t>
  </si>
  <si>
    <t>20220616_000002_033.flac</t>
  </si>
  <si>
    <t>22:23:50</t>
  </si>
  <si>
    <t>Very unique call</t>
  </si>
  <si>
    <t>20220616_000002_034.flac</t>
  </si>
  <si>
    <t>20220616_000002_035.flac</t>
  </si>
  <si>
    <t>Bird 4.wav</t>
  </si>
  <si>
    <t>22:29:38</t>
  </si>
  <si>
    <t>20220616_000002_036.flac</t>
  </si>
  <si>
    <t>20220616_000002_037.flac</t>
  </si>
  <si>
    <t>Bird 5.wav</t>
  </si>
  <si>
    <t>22:36:11</t>
  </si>
  <si>
    <t>Insect (cricket)</t>
  </si>
  <si>
    <t>Log note: 'Cricket' — not a bird</t>
  </si>
  <si>
    <t>20220616_000002_038.flac</t>
  </si>
  <si>
    <t>20220616_000002_039.flac</t>
  </si>
  <si>
    <t>23:12:50</t>
  </si>
  <si>
    <t>20220616_000002_040.flac</t>
  </si>
  <si>
    <t>23:22:02</t>
  </si>
  <si>
    <t>Chestnut headed oropendola</t>
  </si>
  <si>
    <t>Uncertain — 'Maybe oropendola?'</t>
  </si>
  <si>
    <t>20220616_000002_041.flac</t>
  </si>
  <si>
    <t>23:23:12</t>
  </si>
  <si>
    <t>Frog (two species)</t>
  </si>
  <si>
    <t>20220616_000002_042.flac</t>
  </si>
  <si>
    <t>Log note: 'Two frog species' — not a bird</t>
  </si>
  <si>
    <t>20220616_000002_043.flac</t>
  </si>
  <si>
    <t>23:24:17</t>
  </si>
  <si>
    <t>Black striped woodcreeper</t>
  </si>
  <si>
    <t>Unique call</t>
  </si>
  <si>
    <t>20220616_000002_044.flac</t>
  </si>
  <si>
    <t>23:25:00</t>
  </si>
  <si>
    <t>20220616_000002_045.flac</t>
  </si>
  <si>
    <t>23:25:10</t>
  </si>
  <si>
    <t>20220616_000002_046.flac</t>
  </si>
  <si>
    <t>20220616_000002_047.flac</t>
  </si>
  <si>
    <t>20220616_000002_048.flac</t>
  </si>
  <si>
    <t>20220616_000002_049.flac</t>
  </si>
  <si>
    <t>20220616_000002_050.flac</t>
  </si>
  <si>
    <t>One Minute — June 17 (50 clips, June 17 00:00–00:50 UTC = June 16 18:00–18:50 local)</t>
  </si>
  <si>
    <t>20220617_000002_001.flac</t>
  </si>
  <si>
    <t>One Minute / June 17</t>
  </si>
  <si>
    <t>20220617_000002_002.flac</t>
  </si>
  <si>
    <t>20220617_000002_003.flac</t>
  </si>
  <si>
    <t>20220617_000002_004.flac</t>
  </si>
  <si>
    <t>20220617_000002_005.flac</t>
  </si>
  <si>
    <t>20220617_000002_006.flac</t>
  </si>
  <si>
    <t>20220617_000002_007.flac</t>
  </si>
  <si>
    <t>20220617_000002_008.flac</t>
  </si>
  <si>
    <t>20220617_000002_009.flac</t>
  </si>
  <si>
    <t>20220617_000002_010.flac</t>
  </si>
  <si>
    <t>20220617_000002_011.flac</t>
  </si>
  <si>
    <t>20220617_000002_012.flac</t>
  </si>
  <si>
    <t>20220617_000002_013.flac</t>
  </si>
  <si>
    <t>20220617_000002_014.flac</t>
  </si>
  <si>
    <t>20220617_000002_015.flac</t>
  </si>
  <si>
    <t>20220617_000002_016.flac</t>
  </si>
  <si>
    <t>20220617_000002_017.flac</t>
  </si>
  <si>
    <t>20220617_000002_018.flac</t>
  </si>
  <si>
    <t>20220617_000002_019.flac</t>
  </si>
  <si>
    <t>20220617_000002_020.flac</t>
  </si>
  <si>
    <t>20220617_000002_021.flac</t>
  </si>
  <si>
    <t>20220617_000002_022.flac</t>
  </si>
  <si>
    <t>20220617_000002_023.flac</t>
  </si>
  <si>
    <t>20220617_000002_024.flac</t>
  </si>
  <si>
    <t>20220617_000002_025.flac</t>
  </si>
  <si>
    <t>20220617_000002_026.flac</t>
  </si>
  <si>
    <t>20220617_000002_027.flac</t>
  </si>
  <si>
    <t>20220617_000002_028.flac</t>
  </si>
  <si>
    <t>20220617_000002_029.flac</t>
  </si>
  <si>
    <t>20220617_000002_030.flac</t>
  </si>
  <si>
    <t>20220617_000002_031.flac</t>
  </si>
  <si>
    <t>20220617_000002_032.flac</t>
  </si>
  <si>
    <t>20220617_000002_033.flac</t>
  </si>
  <si>
    <t>20220617_000002_034.flac</t>
  </si>
  <si>
    <t>20220617_000002_035.flac</t>
  </si>
  <si>
    <t>20220617_000002_036.flac</t>
  </si>
  <si>
    <t>20220617_000002_037.flac</t>
  </si>
  <si>
    <t>20220617_000002_038.flac</t>
  </si>
  <si>
    <t>20220617_000002_039.flac</t>
  </si>
  <si>
    <t>20220617_000002_040.flac</t>
  </si>
  <si>
    <t>20220617_000002_041.flac</t>
  </si>
  <si>
    <t>20220617_000002_042.flac</t>
  </si>
  <si>
    <t>20220617_000002_043.flac</t>
  </si>
  <si>
    <t>20220617_000002_044.flac</t>
  </si>
  <si>
    <t>20220617_000002_045.flac</t>
  </si>
  <si>
    <t>20220617_000002_046.flac</t>
  </si>
  <si>
    <t>20220617_000002_047.flac</t>
  </si>
  <si>
    <t>20220617_000002_048.flac</t>
  </si>
  <si>
    <t>20220617_000002_049.flac</t>
  </si>
  <si>
    <t>20220617_000002_050.flac</t>
  </si>
  <si>
    <t>One Minute — June 18 (50 clips, June 18 00:00–00:50 UTC = June 17 18:00–18:50 local)</t>
  </si>
  <si>
    <t>20220618_000002_001.flac</t>
  </si>
  <si>
    <t>One Minute / June 18</t>
  </si>
  <si>
    <t>20220618_000002_002.flac</t>
  </si>
  <si>
    <t>20220618_000002_003.flac</t>
  </si>
  <si>
    <t>20220618_000002_004.flac</t>
  </si>
  <si>
    <t>20220618_000002_005.flac</t>
  </si>
  <si>
    <t>20220618_000002_006.flac</t>
  </si>
  <si>
    <t>20220618_000002_007.flac</t>
  </si>
  <si>
    <t>20220618_000002_008.flac</t>
  </si>
  <si>
    <t>20220618_000002_009.flac</t>
  </si>
  <si>
    <t>20220618_000002_010.flac</t>
  </si>
  <si>
    <t>20220618_000002_011.flac</t>
  </si>
  <si>
    <t>20220618_000002_012.flac</t>
  </si>
  <si>
    <t>20220618_000002_013.flac</t>
  </si>
  <si>
    <t>20220618_000002_014.flac</t>
  </si>
  <si>
    <t>20220618_000002_015.flac</t>
  </si>
  <si>
    <t>20220618_000002_016.flac</t>
  </si>
  <si>
    <t>20220618_000002_017.flac</t>
  </si>
  <si>
    <t>20220618_000002_018.flac</t>
  </si>
  <si>
    <t>20220618_000002_019.flac</t>
  </si>
  <si>
    <t>20220618_000002_020.flac</t>
  </si>
  <si>
    <t>20220618_000002_021.flac</t>
  </si>
  <si>
    <t>20220618_000002_022.flac</t>
  </si>
  <si>
    <t>20220618_000002_023.flac</t>
  </si>
  <si>
    <t>20220618_000002_024.flac</t>
  </si>
  <si>
    <t>20220618_000002_025.flac</t>
  </si>
  <si>
    <t>20220618_000002_026.flac</t>
  </si>
  <si>
    <t>20220618_000002_027.flac</t>
  </si>
  <si>
    <t>20220618_000002_028.flac</t>
  </si>
  <si>
    <t>20220618_000002_029.flac</t>
  </si>
  <si>
    <t>20220618_000002_030.flac</t>
  </si>
  <si>
    <t>20220618_000002_031.flac</t>
  </si>
  <si>
    <t>20220618_000002_032.flac</t>
  </si>
  <si>
    <t>20220618_000002_033.flac</t>
  </si>
  <si>
    <t>20220618_000002_034.flac</t>
  </si>
  <si>
    <t>20220618_000002_035.flac</t>
  </si>
  <si>
    <t>20220618_000002_036.flac</t>
  </si>
  <si>
    <t>20220618_000002_037.flac</t>
  </si>
  <si>
    <t>20220618_000002_038.flac</t>
  </si>
  <si>
    <t>20220618_000002_039.flac</t>
  </si>
  <si>
    <t>20220618_000002_040.flac</t>
  </si>
  <si>
    <t>20220618_000002_041.flac</t>
  </si>
  <si>
    <t>20220618_000002_042.flac</t>
  </si>
  <si>
    <t>20220618_000002_043.flac</t>
  </si>
  <si>
    <t>20220618_000002_044.flac</t>
  </si>
  <si>
    <t>20220618_000002_045.flac</t>
  </si>
  <si>
    <t>20220618_000002_046.flac</t>
  </si>
  <si>
    <t>20220618_000002_047.flac</t>
  </si>
  <si>
    <t>20220618_000002_048.flac</t>
  </si>
  <si>
    <t>20220618_000002_049.flac</t>
  </si>
  <si>
    <t>20220618_000002_050.flac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</si>
</sst>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rgb="FFFFFFFF"/>
      <name val="Arial"/>
    </font>
    <font>
      <i/>
      <sz val="10.0"/>
      <color rgb="FF555555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i/>
      <sz val="10.0"/>
      <color theme="1"/>
      <name val="Arial"/>
    </font>
    <font>
      <u/>
      <sz val="10.0"/>
      <color rgb="FF0563C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233"/>
        <bgColor rgb="FF2F5233"/>
      </patternFill>
    </fill>
    <fill>
      <patternFill patternType="solid">
        <fgColor rgb="FFE8F0E8"/>
        <bgColor rgb="FFE8F0E8"/>
      </patternFill>
    </fill>
    <fill>
      <patternFill patternType="solid">
        <fgColor rgb="FFFFF2CC"/>
        <bgColor rgb="FFFFF2CC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1" fillId="2" fontId="2" numFmtId="0" xfId="0" applyBorder="1" applyFill="1" applyFont="1"/>
    <xf borderId="2" fillId="0" fontId="4" numFmtId="0" xfId="0" applyAlignment="1" applyBorder="1" applyFont="1">
      <alignment vertical="top"/>
    </xf>
    <xf borderId="1" fillId="3" fontId="5" numFmtId="0" xfId="0" applyBorder="1" applyFill="1" applyFont="1"/>
    <xf borderId="1" fillId="3" fontId="6" numFmtId="0" xfId="0" applyBorder="1" applyFill="1" applyFont="1"/>
    <xf borderId="2" fillId="0" fontId="4" numFmtId="0" xfId="0" applyAlignment="1" applyBorder="1" applyFont="1">
      <alignment shrinkToFit="0" vertical="top" wrapText="1"/>
    </xf>
    <xf borderId="2" fillId="0" fontId="4" numFmtId="0" xfId="0" applyBorder="1" applyFont="1"/>
    <xf borderId="0" fillId="0" fontId="7" numFmtId="0" xfId="0" applyFont="1"/>
    <xf borderId="2" fillId="0" fontId="8" numFmtId="0" xfId="0" applyBorder="1" applyFont="1"/>
    <xf borderId="2" fillId="0" fontId="9" numFmtId="0" xfId="0" applyAlignment="1" applyBorder="1" applyFont="1">
      <alignment vertical="top"/>
    </xf>
    <xf borderId="0" fillId="0" fontId="5" numFmtId="0" xfId="0" applyFont="1"/>
    <xf borderId="2" fillId="0" fontId="10" numFmtId="0" xfId="0" applyBorder="1" applyFont="1"/>
    <xf borderId="0" fillId="0" fontId="4" numFmtId="0" xfId="0" applyFont="1"/>
    <xf borderId="2" fillId="0" fontId="6" numFmtId="0" xfId="0" applyBorder="1" applyFont="1"/>
    <xf borderId="2" fillId="4" fontId="4" numFmtId="0" xfId="0" applyAlignment="1" applyBorder="1" applyFill="1" applyFont="1">
      <alignment vertical="top"/>
    </xf>
    <xf borderId="2" fillId="4" fontId="10" numFmtId="0" xfId="0" applyBorder="1" applyFill="1" applyFont="1"/>
    <xf borderId="2" fillId="4" fontId="4" numFmtId="0" xfId="0" applyBorder="1" applyFill="1" applyFont="1"/>
    <xf borderId="2" fillId="4" fontId="4" numFmtId="0" xfId="0" applyAlignment="1" applyBorder="1" applyFill="1" applyFont="1">
      <alignment shrinkToFit="0" vertical="top" wrapText="1"/>
    </xf>
    <xf borderId="2" fillId="4" fontId="11" numFmtId="0" xfId="0" applyBorder="1" applyFill="1" applyFont="1"/>
    <xf borderId="2" fillId="4" fontId="6" numFmtId="0" xfId="0" applyBorder="1" applyFill="1" applyFont="1"/>
    <xf borderId="2" fillId="0" fontId="10" numFmtId="0" xfId="0" applyAlignment="1" applyBorder="1" applyFont="1">
      <alignment readingOrder="0"/>
    </xf>
    <xf borderId="0" fillId="0" fontId="1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12.0"/>
    <col customWidth="1" min="4" max="4" width="50.86"/>
    <col customWidth="1" min="5" max="21" width="22.0"/>
    <col customWidth="1" min="22" max="26" width="8.71"/>
  </cols>
  <sheetData>
    <row r="1">
      <c r="A1" s="1" t="s">
        <v>1</v>
      </c>
    </row>
    <row r="2">
      <c r="A2" s="3" t="s">
        <v>4</v>
      </c>
    </row>
    <row r="3">
      <c r="A3" s="11" t="str">
        <f>HYPERLINK("https://drive.google.com/drive/folders/1z8aF21SAkHmx80vnpkARR_O1ZN8tR-4q","Open source Drive folder")</f>
        <v>Open source Drive folder</v>
      </c>
    </row>
    <row r="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38</v>
      </c>
      <c r="I5" s="2" t="s">
        <v>42</v>
      </c>
      <c r="J5" s="2" t="s">
        <v>45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54</v>
      </c>
      <c r="P5" s="2" t="s">
        <v>55</v>
      </c>
      <c r="Q5" s="2" t="s">
        <v>56</v>
      </c>
      <c r="R5" s="2" t="s">
        <v>58</v>
      </c>
      <c r="S5" s="2" t="s">
        <v>60</v>
      </c>
      <c r="T5" s="2" t="s">
        <v>63</v>
      </c>
      <c r="U5" s="2" t="s">
        <v>66</v>
      </c>
    </row>
    <row r="6">
      <c r="A6" s="7" t="s">
        <v>67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6" t="s">
        <v>73</v>
      </c>
      <c r="B7" s="15" t="s">
        <v>74</v>
      </c>
      <c r="C7" s="10">
        <f>COUNTIF('All Recordings'!$F$2:$F$65,"*White-breasted Wood-Wren*")</f>
        <v>17</v>
      </c>
      <c r="D7" s="9" t="s">
        <v>94</v>
      </c>
      <c r="E7" s="12" t="str">
        <f>HYPERLINK("https://drive.google.com/file/d/1Ph30uo9N5juiSDqbCtfE5uVHUYuCKU2M/view","Bird 12 (June 18)")</f>
        <v>Bird 12 (June 18)</v>
      </c>
      <c r="F7" s="12" t="str">
        <f>HYPERLINK("https://drive.google.com/file/d/1LvbwVMJSpY5jFOaFXA3jeoTf49hpxVyJ/view","Bird 13 (June 18)")</f>
        <v>Bird 13 (June 18)</v>
      </c>
      <c r="G7" s="12" t="str">
        <f>HYPERLINK("https://drive.google.com/file/d/1OS_MC9AClW2o7uiAbNizmeUIM8YOk-ME/view","Bird 14 (June 18)")</f>
        <v>Bird 14 (June 18)</v>
      </c>
      <c r="H7" s="12" t="str">
        <f>HYPERLINK("https://drive.google.com/file/d/1QqkobA0-Lc4BINRmcrwGLjIhdT763Zyz/view","Bird 15 (June 18)")</f>
        <v>Bird 15 (June 18)</v>
      </c>
      <c r="I7" s="12" t="str">
        <f>HYPERLINK("https://drive.google.com/file/d/1OXZFPhXO1LgFl3th7S50pZVXMDHBMPTw/view","Bird 18 (June 18)")</f>
        <v>Bird 18 (June 18)</v>
      </c>
      <c r="J7" s="12" t="str">
        <f>HYPERLINK("https://drive.google.com/file/d/1R5BJDlpF1thNjqQgqqBeEDpiMgxUGm6v/view","Bird 20 (June 18)")</f>
        <v>Bird 20 (June 18)</v>
      </c>
      <c r="K7" s="12" t="str">
        <f>HYPERLINK("https://drive.google.com/file/d/1PhLzPtk__JKJogT9oN79sUfwx0JfjITz/view","Bird 23 (June 18)")</f>
        <v>Bird 23 (June 18)</v>
      </c>
      <c r="L7" s="12" t="str">
        <f>HYPERLINK("https://drive.google.com/file/d/1LrxnHJzhh5qmOYFqXtn9fI__56GlW5Xt/view","Bird 27 (June 18)")</f>
        <v>Bird 27 (June 18)</v>
      </c>
      <c r="M7" s="12" t="str">
        <f>HYPERLINK("https://drive.google.com/file/d/1QUBq0yZBayf-qcmUTpUNqbKkgwxWlQcR/view","Bird 34 (June 18)")</f>
        <v>Bird 34 (June 18)</v>
      </c>
      <c r="N7" s="12" t="str">
        <f>HYPERLINK("https://drive.google.com/file/d/1Qv_nkcoFKxVy1IBnttHjFCPico1twY7v/view","Bird 39 (June 18)")</f>
        <v>Bird 39 (June 18)</v>
      </c>
      <c r="O7" s="12" t="str">
        <f>HYPERLINK("https://drive.google.com/file/d/1NP93wRtaAaKQ7bc9oz67Jlx7W5FeIdPc/view","Bird 40 (June 18)")</f>
        <v>Bird 40 (June 18)</v>
      </c>
      <c r="P7" s="12" t="str">
        <f>HYPERLINK("https://drive.google.com/file/d/1Pdak2ABC1pdXnWuGrIDdbvrtHIb5_PYc/view","20220601_000000_wb wren (June 18)")</f>
        <v>20220601_000000_wb wren (June 18)</v>
      </c>
      <c r="Q7" s="12" t="str">
        <f>HYPERLINK("https://drive.google.com/file/d/1Q0A4vLRAdI6mQLwBmkFzxUuEqfXCWdDS/view","20220601_000000_wb wren v2 (June 18)")</f>
        <v>20220601_000000_wb wren v2 (June 18)</v>
      </c>
      <c r="R7" s="12" t="str">
        <f>HYPERLINK("https://drive.google.com/file/d/1MWzw36_cmZLLiT1hGwv6ZcytA7OpsaR_/view","Bird 42 (June 18)")</f>
        <v>Bird 42 (June 18)</v>
      </c>
      <c r="S7" s="12" t="str">
        <f>HYPERLINK("https://drive.google.com/file/d/1KslMZnTM4gRy19XP12qYwdDKzsKcI6CC/view","Bird 1 (June 17)")</f>
        <v>Bird 1 (June 17)</v>
      </c>
      <c r="T7" s="12" t="str">
        <f>HYPERLINK("https://drive.google.com/file/d/1L54PpyWBP3mlVJ1n8Ok-ofucroo4P7f4/view","Bird 3 (June 17)")</f>
        <v>Bird 3 (June 17)</v>
      </c>
      <c r="U7" s="12" t="str">
        <f>HYPERLINK("https://drive.google.com/file/d/1LXATZi4KrYbpoSzRUUB9-uq4k1xPkEj9/view","Bird 4 (June 17)")</f>
        <v>Bird 4 (June 17)</v>
      </c>
    </row>
    <row r="8">
      <c r="A8" s="6" t="s">
        <v>23</v>
      </c>
      <c r="B8" s="15" t="s">
        <v>205</v>
      </c>
      <c r="C8" s="10">
        <f>COUNTIF('All Recordings'!$F$2:$F$65,"*Great Tinamou*")</f>
        <v>4</v>
      </c>
      <c r="D8" s="9" t="s">
        <v>211</v>
      </c>
      <c r="E8" s="12" t="str">
        <f>HYPERLINK("https://drive.google.com/file/d/1OLWgL-ozIaPw9gmSt2KbrXVLhmRgwsN6/view","Bird 1 (June 18)")</f>
        <v>Bird 1 (June 18)</v>
      </c>
      <c r="F8" s="12" t="str">
        <f t="shared" ref="F8:F9" si="1">HYPERLINK("https://drive.google.com/file/d/1OY-WA3n0_QCTuOpvgbACXfN0KXTtswxq/view","Bird 19 (June 18)")</f>
        <v>Bird 19 (June 18)</v>
      </c>
      <c r="G8" s="12" t="str">
        <f>HYPERLINK("https://drive.google.com/file/d/1QUBq0yZBayf-qcmUTpUNqbKkgwxWlQcR/view","Bird 34 (June 18)")</f>
        <v>Bird 34 (June 18)</v>
      </c>
      <c r="H8" s="12" t="str">
        <f>HYPERLINK("https://drive.google.com/file/d/1KtQ7Yj7q43tU2lDgl8GlAoagkYVgGPhn/view","Bird 6 (June 17)")</f>
        <v>Bird 6 (June 17)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6" t="s">
        <v>190</v>
      </c>
      <c r="B9" s="15" t="s">
        <v>240</v>
      </c>
      <c r="C9" s="10">
        <f>COUNTIF('All Recordings'!$F$2:$F$65,"*Yellow-throated Toucan*")</f>
        <v>4</v>
      </c>
      <c r="D9" s="9" t="s">
        <v>246</v>
      </c>
      <c r="E9" s="12" t="str">
        <f>HYPERLINK("https://drive.google.com/file/d/1Q7Wnzi5nPYZxjBQw_UVV66coNOw_Q103/view","Bird 16 (June 18)")</f>
        <v>Bird 16 (June 18)</v>
      </c>
      <c r="F9" s="12" t="str">
        <f t="shared" si="1"/>
        <v>Bird 19 (June 18)</v>
      </c>
      <c r="G9" s="12" t="str">
        <f>HYPERLINK("https://drive.google.com/file/d/1LcqhEZ_t2VLNPm0QelcUh-Ybnwzjia9S/view","Bird 21 (June 18)")</f>
        <v>Bird 21 (June 18)</v>
      </c>
      <c r="H9" s="12" t="str">
        <f>HYPERLINK("https://drive.google.com/file/d/1NEmCYDzlcH7dpiFoRjCPwuOitRrtrBDz/view","Bird 22 (June 18)")</f>
        <v>Bird 22 (June 18)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>
      <c r="A10" s="6" t="s">
        <v>44</v>
      </c>
      <c r="B10" s="15" t="s">
        <v>254</v>
      </c>
      <c r="C10" s="10">
        <f>COUNTIF('All Recordings'!$F$2:$F$65,"*Green Ibis*")</f>
        <v>3</v>
      </c>
      <c r="D10" s="9" t="s">
        <v>260</v>
      </c>
      <c r="E10" s="12" t="str">
        <f>HYPERLINK("https://drive.google.com/file/d/1PTf7yxHUFUPr7xcm0rpVJ0oVRyrN3l9a/view","Bird 2 (June 18)")</f>
        <v>Bird 2 (June 18)</v>
      </c>
      <c r="F10" s="12" t="str">
        <f>HYPERLINK("https://drive.google.com/file/d/1R5GoR5zDhvgnwl9HiltF3F69JuFsIi-x/view","Bird 3 (June 18)")</f>
        <v>Bird 3 (June 18)</v>
      </c>
      <c r="G10" s="12" t="str">
        <f>HYPERLINK("https://drive.google.com/file/d/1Lj4AhqhgrC6NLnIM5cWfFpkcMOvLgFLJ/view","Bird 7 (June 18)")</f>
        <v>Bird 7 (June 18)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>
      <c r="A11" s="6" t="s">
        <v>102</v>
      </c>
      <c r="B11" s="15" t="s">
        <v>268</v>
      </c>
      <c r="C11" s="10">
        <f>COUNTIF('All Recordings'!$F$2:$F$65,"*Broad-billed Motmot*")</f>
        <v>3</v>
      </c>
      <c r="D11" s="9" t="s">
        <v>274</v>
      </c>
      <c r="E11" s="12" t="str">
        <f>HYPERLINK("https://drive.google.com/file/d/1N0hh-DcQUJqNcyiLik9hi1A2VhCdALJe/view","Bird 8 (June 18)")</f>
        <v>Bird 8 (June 18)</v>
      </c>
      <c r="F11" s="12" t="str">
        <f>HYPERLINK("https://drive.google.com/file/d/1MEkqIrIWhF_0mYMOsXNOzAIh9pgjU3Gl/view","Bird 9 (June 18)")</f>
        <v>Bird 9 (June 18)</v>
      </c>
      <c r="G11" s="12" t="str">
        <f>HYPERLINK("https://drive.google.com/file/d/1R9JBAbCcuDfomerQa4jeznZIlucukwev/view","Bird 25 (June 18)")</f>
        <v>Bird 25 (June 18)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A12" s="6" t="s">
        <v>282</v>
      </c>
      <c r="B12" s="15" t="s">
        <v>288</v>
      </c>
      <c r="C12" s="10">
        <f>COUNTIF('All Recordings'!$F$2:$F$65,"*Mealy Parrot*")</f>
        <v>3</v>
      </c>
      <c r="D12" s="9"/>
      <c r="E12" s="12" t="str">
        <f>HYPERLINK("https://drive.google.com/file/d/1ObGDqOUup6sxeMNzDhu8nbJHMGqUlC_r/view","Bird 26 (June 18)")</f>
        <v>Bird 26 (June 18)</v>
      </c>
      <c r="F12" s="12" t="str">
        <f>HYPERLINK("https://drive.google.com/file/d/1Ol_wa-unD9U-uJHWGHcVehBqKP3AVeRi/view","Bird 28 (June 18)")</f>
        <v>Bird 28 (June 18)</v>
      </c>
      <c r="G12" s="12" t="str">
        <f>HYPERLINK("https://drive.google.com/file/d/1MMDv4CjtGOm8sMvkfMogyWiADOA3w6eA/view","Bird 37 (June 18)")</f>
        <v>Bird 37 (June 18)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>
      <c r="A13" s="6" t="s">
        <v>304</v>
      </c>
      <c r="B13" s="15" t="s">
        <v>305</v>
      </c>
      <c r="C13" s="10">
        <f>COUNTIF('All Recordings'!$F$2:$F$65,"*Lesser Greenlet*")</f>
        <v>2</v>
      </c>
      <c r="D13" s="9"/>
      <c r="E13" s="12" t="str">
        <f>HYPERLINK("https://drive.google.com/file/d/1MhCNjxmYrH5vqJ3vfYqC7l6w47aL8lBw/view","Bird 36 (June 18)")</f>
        <v>Bird 36 (June 18)</v>
      </c>
      <c r="F13" s="12" t="str">
        <f>HYPERLINK("https://drive.google.com/file/d/1NE9GBfwap16oD5vnRI_UBifaTvNuQgbP/view","Bird 41 (June 18)")</f>
        <v>Bird 41 (June 18)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A14" s="6" t="s">
        <v>124</v>
      </c>
      <c r="B14" s="15" t="s">
        <v>317</v>
      </c>
      <c r="C14" s="10">
        <f>COUNTIF('All Recordings'!$F$2:$F$65,"*Northern Barred-Woodcreeper*")</f>
        <v>2</v>
      </c>
      <c r="D14" s="9"/>
      <c r="E14" s="12" t="str">
        <f>HYPERLINK("https://drive.google.com/file/d/1OUogRQYoSpr4TWydvvpZiuw8eAWS67p1/view","Bird 10 (June 18)")</f>
        <v>Bird 10 (June 18)</v>
      </c>
      <c r="F14" s="12" t="str">
        <f>HYPERLINK("https://drive.google.com/file/d/1O8C_t3_fUO9Lc-cPBDkr7nq4tkvbUBE6/view","Bird 30 (June 18)")</f>
        <v>Bird 30 (June 18)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>
      <c r="A15" s="6" t="s">
        <v>138</v>
      </c>
      <c r="B15" s="15" t="s">
        <v>332</v>
      </c>
      <c r="C15" s="10">
        <f>COUNTIF('All Recordings'!$F$2:$F$65,"*Rufous Motmot*")</f>
        <v>2</v>
      </c>
      <c r="D15" s="9"/>
      <c r="E15" s="12" t="str">
        <f>HYPERLINK("https://drive.google.com/file/d/1OGzS2JhE_aVyrJFDGJCtSQLqqcHzZsl6/view","Bird 11 (June 18)")</f>
        <v>Bird 11 (June 18)</v>
      </c>
      <c r="F15" s="12" t="str">
        <f>HYPERLINK("https://drive.google.com/file/d/1OOWY7xhMNbjtVmDrcX8NtDIz72P5eL9-/view","Bird 33 (June 18)")</f>
        <v>Bird 33 (June 18)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>
      <c r="A16" s="6" t="s">
        <v>354</v>
      </c>
      <c r="B16" s="15" t="s">
        <v>356</v>
      </c>
      <c r="C16" s="10">
        <f>COUNTIF('All Recordings'!$F$2:$F$65,"*Red-lored Parrot*")</f>
        <v>2</v>
      </c>
      <c r="D16" s="9" t="s">
        <v>364</v>
      </c>
      <c r="E16" s="12" t="str">
        <f>HYPERLINK("https://drive.google.com/file/d/1QUBq0yZBayf-qcmUTpUNqbKkgwxWlQcR/view","Bird 34 (June 18)")</f>
        <v>Bird 34 (June 18)</v>
      </c>
      <c r="F16" s="12" t="str">
        <f>HYPERLINK("https://drive.google.com/file/d/1LyW8nNstobehi41CbZky7DBb4_F8QqEG/view","Bird 35 (June 18)")</f>
        <v>Bird 35 (June 18)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>
      <c r="A17" s="18" t="s">
        <v>374</v>
      </c>
      <c r="B17" s="19" t="s">
        <v>378</v>
      </c>
      <c r="C17" s="20">
        <f>COUNTIF('All Recordings'!$F$2:$F$65,"*Great Green Macaw*")</f>
        <v>1</v>
      </c>
      <c r="D17" s="21" t="s">
        <v>388</v>
      </c>
      <c r="E17" s="22" t="str">
        <f>HYPERLINK("https://drive.google.com/file/d/1QqkobA0-Lc4BINRmcrwGLjIhdT763Zyz/view","Bird 15 (June 18)")</f>
        <v>Bird 15 (June 18)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>
      <c r="A18" s="6" t="s">
        <v>395</v>
      </c>
      <c r="B18" s="15" t="s">
        <v>397</v>
      </c>
      <c r="C18" s="10">
        <f>COUNTIF('All Recordings'!$F$2:$F$65,"*Chestnut-backed Antbird*")</f>
        <v>1</v>
      </c>
      <c r="D18" s="9" t="s">
        <v>400</v>
      </c>
      <c r="E18" s="12" t="str">
        <f>HYPERLINK("https://drive.google.com/file/d/1Q3SymxnsfEBVVUt5V9N8nxZi8HdgpL-o/view","Bird 38 (June 18)")</f>
        <v>Bird 38 (June 18)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>
      <c r="A19" s="18" t="s">
        <v>410</v>
      </c>
      <c r="B19" s="19" t="s">
        <v>411</v>
      </c>
      <c r="C19" s="20">
        <f>COUNTIF('All Recordings'!$F$2:$F$65,"*Chestnut-headed Oropendola*")</f>
        <v>1</v>
      </c>
      <c r="D19" s="21" t="s">
        <v>417</v>
      </c>
      <c r="E19" s="22" t="str">
        <f>HYPERLINK("https://drive.google.com/file/d/1M-t9UjFkR_aaUAtqHSm64Tkhf77xvqqs/view","Bird 7 (June 17)")</f>
        <v>Bird 7 (June 17)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>
      <c r="A20" s="6" t="s">
        <v>426</v>
      </c>
      <c r="B20" s="15" t="s">
        <v>427</v>
      </c>
      <c r="C20" s="10">
        <f>COUNTIF('All Recordings'!$F$2:$F$65,"*Black-striped Woodcreeper*")</f>
        <v>1</v>
      </c>
      <c r="D20" s="9" t="s">
        <v>434</v>
      </c>
      <c r="E20" s="12" t="str">
        <f>HYPERLINK("https://drive.google.com/file/d/1LLffGFQxgmunF67n6O_vL_wvlSCQ5ITb/view","Bird 9 (June 17)")</f>
        <v>Bird 9 (June 17)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15.75" customHeight="1">
      <c r="A21" s="6" t="s">
        <v>328</v>
      </c>
      <c r="B21" s="15" t="s">
        <v>441</v>
      </c>
      <c r="C21" s="10">
        <f>COUNTIF('All Recordings'!$F$2:$F$65,"*Scarlet-rumped Cacique*")</f>
        <v>1</v>
      </c>
      <c r="D21" s="9"/>
      <c r="E21" s="12" t="str">
        <f>HYPERLINK("https://drive.google.com/file/d/1OekFxn0YyLfJ88QXhU_ZpSXyuEwBmBmd/view","Bird 31 (June 18)")</f>
        <v>Bird 31 (June 18)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15.75" customHeight="1">
      <c r="A22" s="6" t="s">
        <v>339</v>
      </c>
      <c r="B22" s="15" t="s">
        <v>448</v>
      </c>
      <c r="C22" s="10">
        <f>COUNTIF('All Recordings'!$F$2:$F$65,"*Stripe-breasted Wren*")</f>
        <v>1</v>
      </c>
      <c r="D22" s="9"/>
      <c r="E22" s="12" t="str">
        <f>HYPERLINK("https://drive.google.com/file/d/1MJSD7Dg_wFW1I9ivrngTp4iqqh7l71Tx/view","Bird 32 (June 18)")</f>
        <v>Bird 32 (June 18)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15.75" customHeight="1">
      <c r="A23" s="7" t="s">
        <v>454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ht="15.75" customHeight="1">
      <c r="A24" s="6" t="s">
        <v>460</v>
      </c>
      <c r="B24" s="24"/>
      <c r="C24" s="10">
        <f>COUNTIF('All Recordings'!$F$2:$F$65,"*Frog*")</f>
        <v>17</v>
      </c>
      <c r="D24" s="9" t="s">
        <v>468</v>
      </c>
      <c r="E24" s="12" t="str">
        <f>HYPERLINK("https://drive.google.com/file/d/1QjoOyggvPph1RYP9LO2EZnQErt6maAWX/view","Bird 17 (June 18)")</f>
        <v>Bird 17 (June 18)</v>
      </c>
      <c r="F24" s="12" t="str">
        <f>HYPERLINK("https://drive.google.com/file/d/1LmrehfnxZCSubakCx8HpG_Awc18BQXug/view","Bird 24 (June 18)")</f>
        <v>Bird 24 (June 18)</v>
      </c>
      <c r="G24" s="12" t="str">
        <f>HYPERLINK("https://drive.google.com/file/d/1OoB_BHni35y9fuHFXVEgJ3JTEes4_xak/view","Frog 1 (June 18)")</f>
        <v>Frog 1 (June 18)</v>
      </c>
      <c r="H24" s="12" t="str">
        <f>HYPERLINK("https://drive.google.com/file/d/1PiBSrioOqjePkI2iYAavq8vj_FTTH2D-/view","Frog 2 (June 18)")</f>
        <v>Frog 2 (June 18)</v>
      </c>
      <c r="I24" s="12" t="str">
        <f>HYPERLINK("https://drive.google.com/file/d/1L_LLl5qV2wyp6j25I_Bla-CfrQlbi5I3/view","Frog 3 (June 18)")</f>
        <v>Frog 3 (June 18)</v>
      </c>
      <c r="J24" s="12" t="str">
        <f>HYPERLINK("https://drive.google.com/file/d/1QDiJtr_0ERxtQ5-TqA9cHJxeEItP01VW/view","Frog 4 (June 18)")</f>
        <v>Frog 4 (June 18)</v>
      </c>
      <c r="K24" s="12" t="str">
        <f>HYPERLINK("https://drive.google.com/file/d/1Qj62a__PHggWmUFc23SNPHJQJLmlWki-/view","Frog 5 (June 18)")</f>
        <v>Frog 5 (June 18)</v>
      </c>
      <c r="L24" s="12" t="str">
        <f>HYPERLINK("https://drive.google.com/file/d/1P0ezjnvvlN9fPdv0gadhju4Q-f1Bdumc/view","Frog 6 (June 18)")</f>
        <v>Frog 6 (June 18)</v>
      </c>
      <c r="M24" s="12" t="str">
        <f>HYPERLINK("https://drive.google.com/file/d/1PUBRK_T1IHGD3L70xF5jPLUpO4UTAqga/view","Frog 7 (June 18)")</f>
        <v>Frog 7 (June 18)</v>
      </c>
      <c r="N24" s="12" t="str">
        <f>HYPERLINK("https://drive.google.com/file/d/1POm-4Dt3M_BBI8rBVFtyLbpp7YB3qpF5/view","Frog 8 (June 18)")</f>
        <v>Frog 8 (June 18)</v>
      </c>
      <c r="O24" s="12" t="str">
        <f>HYPERLINK("https://drive.google.com/file/d/1QbxU3MmHvJWMjcO2Z-287jnRod19ZdFn/view","Frog 9 (June 18)")</f>
        <v>Frog 9 (June 18)</v>
      </c>
      <c r="P24" s="12" t="str">
        <f>HYPERLINK("https://drive.google.com/file/d/1MGQTLTs8LeYT0kYk4d765JLzdAgDDwSW/view","Frog 10 (June 18)")</f>
        <v>Frog 10 (June 18)</v>
      </c>
      <c r="Q24" s="12" t="str">
        <f>HYPERLINK("https://drive.google.com/file/d/1MbNsb5RW2_REXxJ_aaQk65yYh_795kRk/view","Frog 11 (June 18)")</f>
        <v>Frog 11 (June 18)</v>
      </c>
      <c r="R24" s="12" t="str">
        <f>HYPERLINK("https://drive.google.com/file/d/1LRwHEqyJaPtOTMNTp3c81H4rW7EzRjZh/view","BIrd 2 (June 17)")</f>
        <v>BIrd 2 (June 17)</v>
      </c>
      <c r="S24" s="12" t="str">
        <f>HYPERLINK("https://drive.google.com/file/d/1L56X-kS23x0qYo9I5KaID6YXRMdVddGR/view","Bird 8 (June 17)")</f>
        <v>Bird 8 (June 17)</v>
      </c>
      <c r="T24" s="12" t="str">
        <f>HYPERLINK("https://drive.google.com/file/d/1LMX7tyZq5C7oRwhZEaUHeyngz5raumqr/view","Bird 10 (June 17)")</f>
        <v>Bird 10 (June 17)</v>
      </c>
      <c r="U24" s="12" t="str">
        <f>HYPERLINK("https://drive.google.com/file/d/1KoiGQC9QjiztyDOrzdXm5NWurbJ9ktoW/view","Bird 11 (June 17)")</f>
        <v>Bird 11 (June 17)</v>
      </c>
    </row>
    <row r="25" ht="15.75" customHeight="1">
      <c r="A25" s="6" t="s">
        <v>77</v>
      </c>
      <c r="B25" s="15" t="s">
        <v>536</v>
      </c>
      <c r="C25" s="10">
        <f>COUNTIF('All Recordings'!$F$2:$F$65,"*Spider Monkey*")</f>
        <v>1</v>
      </c>
      <c r="D25" s="9" t="s">
        <v>539</v>
      </c>
      <c r="E25" s="12" t="str">
        <f>HYPERLINK("https://drive.google.com/file/d/1NTWYCaxeNt_6DnJo-cNppForrrKF4gr1/view","Bird 6 (June 18)")</f>
        <v>Bird 6 (June 18)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15.75" customHeight="1">
      <c r="A26" s="6" t="s">
        <v>545</v>
      </c>
      <c r="B26" s="15" t="s">
        <v>546</v>
      </c>
      <c r="C26" s="10">
        <f>COUNTIF('All Recordings'!$F$2:$F$65,"*Insect*")</f>
        <v>2</v>
      </c>
      <c r="D26" s="9" t="s">
        <v>548</v>
      </c>
      <c r="E26" s="12" t="str">
        <f>HYPERLINK("https://drive.google.com/file/d/1QPrguGf9v5ZcVYAa6datE5E7VLwba80-/view","Bird 29 (June 18)")</f>
        <v>Bird 29 (June 18)</v>
      </c>
      <c r="F26" s="12" t="str">
        <f>HYPERLINK("https://drive.google.com/file/d/1L4GdU1ynSLFDBfu4hrxEuO6ywWPumBkP/view","Bird 5 (June 17)")</f>
        <v>Bird 5 (June 17)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9.0"/>
    <col customWidth="1" min="3" max="3" width="11.0"/>
    <col customWidth="1" min="4" max="4" width="9.0"/>
    <col customWidth="1" min="5" max="5" width="40.0"/>
    <col customWidth="1" min="6" max="6" width="38.0"/>
    <col customWidth="1" min="7" max="7" width="46.0"/>
    <col customWidth="1" min="8" max="8" width="10.0"/>
    <col customWidth="1" min="9" max="9" width="14.0"/>
    <col customWidth="1" min="10" max="26" width="8.71"/>
  </cols>
  <sheetData>
    <row r="1">
      <c r="A1" s="2" t="s">
        <v>2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14</v>
      </c>
    </row>
    <row r="2">
      <c r="A2" s="6" t="s">
        <v>17</v>
      </c>
      <c r="B2" s="6" t="s">
        <v>19</v>
      </c>
      <c r="C2" s="6" t="s">
        <v>20</v>
      </c>
      <c r="D2" s="6" t="s">
        <v>21</v>
      </c>
      <c r="E2" s="9" t="s">
        <v>22</v>
      </c>
      <c r="F2" s="9" t="s">
        <v>23</v>
      </c>
      <c r="G2" s="9"/>
      <c r="H2" s="6" t="s">
        <v>25</v>
      </c>
      <c r="I2" s="13" t="str">
        <f>HYPERLINK("https://drive.google.com/file/d/1OLWgL-ozIaPw9gmSt2KbrXVLhmRgwsN6/view","Open in Drive")</f>
        <v>Open in Drive</v>
      </c>
    </row>
    <row r="3">
      <c r="A3" s="6" t="s">
        <v>40</v>
      </c>
      <c r="B3" s="6" t="s">
        <v>19</v>
      </c>
      <c r="C3" s="6" t="s">
        <v>20</v>
      </c>
      <c r="D3" s="6" t="s">
        <v>43</v>
      </c>
      <c r="E3" s="9" t="s">
        <v>44</v>
      </c>
      <c r="F3" s="9" t="s">
        <v>44</v>
      </c>
      <c r="G3" s="9" t="s">
        <v>46</v>
      </c>
      <c r="H3" s="6" t="s">
        <v>25</v>
      </c>
      <c r="I3" s="13" t="str">
        <f>HYPERLINK("https://drive.google.com/file/d/1PTf7yxHUFUPr7xcm0rpVJ0oVRyrN3l9a/view","Open in Drive")</f>
        <v>Open in Drive</v>
      </c>
    </row>
    <row r="4">
      <c r="A4" s="6" t="s">
        <v>57</v>
      </c>
      <c r="B4" s="6" t="s">
        <v>19</v>
      </c>
      <c r="C4" s="6" t="s">
        <v>20</v>
      </c>
      <c r="D4" s="6" t="s">
        <v>62</v>
      </c>
      <c r="E4" s="9" t="s">
        <v>44</v>
      </c>
      <c r="F4" s="9" t="s">
        <v>44</v>
      </c>
      <c r="G4" s="9"/>
      <c r="H4" s="6" t="s">
        <v>25</v>
      </c>
      <c r="I4" s="13" t="str">
        <f>HYPERLINK("https://drive.google.com/file/d/1R5GoR5zDhvgnwl9HiltF3F69JuFsIi-x/view","Open in Drive")</f>
        <v>Open in Drive</v>
      </c>
    </row>
    <row r="5">
      <c r="A5" s="6" t="s">
        <v>72</v>
      </c>
      <c r="B5" s="6" t="s">
        <v>19</v>
      </c>
      <c r="C5" s="6" t="s">
        <v>20</v>
      </c>
      <c r="D5" s="6" t="s">
        <v>75</v>
      </c>
      <c r="E5" s="9" t="s">
        <v>76</v>
      </c>
      <c r="F5" s="9" t="s">
        <v>77</v>
      </c>
      <c r="G5" s="9" t="s">
        <v>79</v>
      </c>
      <c r="H5" s="6" t="s">
        <v>80</v>
      </c>
      <c r="I5" s="13" t="str">
        <f>HYPERLINK("https://drive.google.com/file/d/1NTWYCaxeNt_6DnJo-cNppForrrKF4gr1/view","Open in Drive")</f>
        <v>Open in Drive</v>
      </c>
    </row>
    <row r="6">
      <c r="A6" s="6" t="s">
        <v>88</v>
      </c>
      <c r="B6" s="6" t="s">
        <v>19</v>
      </c>
      <c r="C6" s="6" t="s">
        <v>20</v>
      </c>
      <c r="D6" s="6" t="s">
        <v>89</v>
      </c>
      <c r="E6" s="9" t="s">
        <v>44</v>
      </c>
      <c r="F6" s="9" t="s">
        <v>44</v>
      </c>
      <c r="G6" s="9" t="s">
        <v>90</v>
      </c>
      <c r="H6" s="6" t="s">
        <v>25</v>
      </c>
      <c r="I6" s="13" t="str">
        <f>HYPERLINK("https://drive.google.com/file/d/1Lj4AhqhgrC6NLnIM5cWfFpkcMOvLgFLJ/view","Open in Drive")</f>
        <v>Open in Drive</v>
      </c>
    </row>
    <row r="7">
      <c r="A7" s="6" t="s">
        <v>97</v>
      </c>
      <c r="B7" s="6" t="s">
        <v>19</v>
      </c>
      <c r="C7" s="6" t="s">
        <v>20</v>
      </c>
      <c r="D7" s="6" t="s">
        <v>101</v>
      </c>
      <c r="E7" s="9" t="s">
        <v>102</v>
      </c>
      <c r="F7" s="9" t="s">
        <v>102</v>
      </c>
      <c r="G7" s="9" t="s">
        <v>103</v>
      </c>
      <c r="H7" s="6" t="s">
        <v>25</v>
      </c>
      <c r="I7" s="13" t="str">
        <f>HYPERLINK("https://drive.google.com/file/d/1N0hh-DcQUJqNcyiLik9hi1A2VhCdALJe/view","Open in Drive")</f>
        <v>Open in Drive</v>
      </c>
    </row>
    <row r="8">
      <c r="A8" s="6" t="s">
        <v>109</v>
      </c>
      <c r="B8" s="6" t="s">
        <v>19</v>
      </c>
      <c r="C8" s="6" t="s">
        <v>20</v>
      </c>
      <c r="D8" s="6" t="s">
        <v>112</v>
      </c>
      <c r="E8" s="9" t="s">
        <v>102</v>
      </c>
      <c r="F8" s="9" t="s">
        <v>102</v>
      </c>
      <c r="G8" s="9"/>
      <c r="H8" s="6" t="s">
        <v>25</v>
      </c>
      <c r="I8" s="13" t="str">
        <f>HYPERLINK("https://drive.google.com/file/d/1MEkqIrIWhF_0mYMOsXNOzAIh9pgjU3Gl/view","Open in Drive")</f>
        <v>Open in Drive</v>
      </c>
    </row>
    <row r="9">
      <c r="A9" s="6" t="s">
        <v>120</v>
      </c>
      <c r="B9" s="6" t="s">
        <v>19</v>
      </c>
      <c r="C9" s="6" t="s">
        <v>20</v>
      </c>
      <c r="D9" s="6" t="s">
        <v>122</v>
      </c>
      <c r="E9" s="9" t="s">
        <v>123</v>
      </c>
      <c r="F9" s="9" t="s">
        <v>124</v>
      </c>
      <c r="G9" s="9"/>
      <c r="H9" s="6" t="s">
        <v>25</v>
      </c>
      <c r="I9" s="13" t="str">
        <f>HYPERLINK("https://drive.google.com/file/d/1OUogRQYoSpr4TWydvvpZiuw8eAWS67p1/view","Open in Drive")</f>
        <v>Open in Drive</v>
      </c>
    </row>
    <row r="10">
      <c r="A10" s="6" t="s">
        <v>133</v>
      </c>
      <c r="B10" s="6" t="s">
        <v>19</v>
      </c>
      <c r="C10" s="6" t="s">
        <v>20</v>
      </c>
      <c r="D10" s="6" t="s">
        <v>137</v>
      </c>
      <c r="E10" s="9" t="s">
        <v>138</v>
      </c>
      <c r="F10" s="9" t="s">
        <v>138</v>
      </c>
      <c r="G10" s="9"/>
      <c r="H10" s="6" t="s">
        <v>25</v>
      </c>
      <c r="I10" s="13" t="str">
        <f>HYPERLINK("https://drive.google.com/file/d/1OGzS2JhE_aVyrJFDGJCtSQLqqcHzZsl6/view","Open in Drive")</f>
        <v>Open in Drive</v>
      </c>
    </row>
    <row r="11">
      <c r="A11" s="6" t="s">
        <v>146</v>
      </c>
      <c r="B11" s="6" t="s">
        <v>19</v>
      </c>
      <c r="C11" s="6" t="s">
        <v>20</v>
      </c>
      <c r="D11" s="6" t="s">
        <v>148</v>
      </c>
      <c r="E11" s="9" t="s">
        <v>149</v>
      </c>
      <c r="F11" s="9" t="s">
        <v>73</v>
      </c>
      <c r="G11" s="9" t="s">
        <v>152</v>
      </c>
      <c r="H11" s="6" t="s">
        <v>25</v>
      </c>
      <c r="I11" s="13" t="str">
        <f>HYPERLINK("https://drive.google.com/file/d/1Ph30uo9N5juiSDqbCtfE5uVHUYuCKU2M/view","Open in Drive")</f>
        <v>Open in Drive</v>
      </c>
    </row>
    <row r="12">
      <c r="A12" s="6" t="s">
        <v>159</v>
      </c>
      <c r="B12" s="6" t="s">
        <v>19</v>
      </c>
      <c r="C12" s="6" t="s">
        <v>20</v>
      </c>
      <c r="D12" s="6" t="s">
        <v>162</v>
      </c>
      <c r="E12" s="9" t="s">
        <v>149</v>
      </c>
      <c r="F12" s="9" t="s">
        <v>73</v>
      </c>
      <c r="G12" s="9" t="s">
        <v>164</v>
      </c>
      <c r="H12" s="6" t="s">
        <v>25</v>
      </c>
      <c r="I12" s="13" t="str">
        <f>HYPERLINK("https://drive.google.com/file/d/1LvbwVMJSpY5jFOaFXA3jeoTf49hpxVyJ/view","Open in Drive")</f>
        <v>Open in Drive</v>
      </c>
    </row>
    <row r="13">
      <c r="A13" s="6" t="s">
        <v>167</v>
      </c>
      <c r="B13" s="6" t="s">
        <v>19</v>
      </c>
      <c r="C13" s="6" t="s">
        <v>20</v>
      </c>
      <c r="D13" s="6" t="s">
        <v>168</v>
      </c>
      <c r="E13" s="9" t="s">
        <v>149</v>
      </c>
      <c r="F13" s="9" t="s">
        <v>73</v>
      </c>
      <c r="G13" s="9" t="s">
        <v>171</v>
      </c>
      <c r="H13" s="6" t="s">
        <v>25</v>
      </c>
      <c r="I13" s="13" t="str">
        <f>HYPERLINK("https://drive.google.com/file/d/1OS_MC9AClW2o7uiAbNizmeUIM8YOk-ME/view","Open in Drive")</f>
        <v>Open in Drive</v>
      </c>
    </row>
    <row r="14">
      <c r="A14" s="6" t="s">
        <v>174</v>
      </c>
      <c r="B14" s="6" t="s">
        <v>19</v>
      </c>
      <c r="C14" s="6" t="s">
        <v>20</v>
      </c>
      <c r="D14" s="6" t="s">
        <v>175</v>
      </c>
      <c r="E14" s="9" t="s">
        <v>176</v>
      </c>
      <c r="F14" s="9" t="s">
        <v>178</v>
      </c>
      <c r="G14" s="9" t="s">
        <v>179</v>
      </c>
      <c r="H14" s="6" t="s">
        <v>25</v>
      </c>
      <c r="I14" s="13" t="str">
        <f>HYPERLINK("https://drive.google.com/file/d/1QqkobA0-Lc4BINRmcrwGLjIhdT763Zyz/view","Open in Drive")</f>
        <v>Open in Drive</v>
      </c>
    </row>
    <row r="15">
      <c r="A15" s="6" t="s">
        <v>185</v>
      </c>
      <c r="B15" s="6" t="s">
        <v>19</v>
      </c>
      <c r="C15" s="6" t="s">
        <v>20</v>
      </c>
      <c r="D15" s="6" t="s">
        <v>188</v>
      </c>
      <c r="E15" s="9" t="s">
        <v>189</v>
      </c>
      <c r="F15" s="9" t="s">
        <v>190</v>
      </c>
      <c r="G15" s="9"/>
      <c r="H15" s="6" t="s">
        <v>25</v>
      </c>
      <c r="I15" s="13" t="str">
        <f>HYPERLINK("https://drive.google.com/file/d/1Q7Wnzi5nPYZxjBQw_UVV66coNOw_Q103/view","Open in Drive")</f>
        <v>Open in Drive</v>
      </c>
    </row>
    <row r="16">
      <c r="A16" s="6" t="s">
        <v>197</v>
      </c>
      <c r="B16" s="6" t="s">
        <v>19</v>
      </c>
      <c r="C16" s="6" t="s">
        <v>20</v>
      </c>
      <c r="D16" s="6" t="s">
        <v>201</v>
      </c>
      <c r="E16" s="9" t="s">
        <v>202</v>
      </c>
      <c r="F16" s="9" t="s">
        <v>203</v>
      </c>
      <c r="G16" s="9" t="s">
        <v>204</v>
      </c>
      <c r="H16" s="6" t="s">
        <v>80</v>
      </c>
      <c r="I16" s="13" t="str">
        <f>HYPERLINK("https://drive.google.com/file/d/1QjoOyggvPph1RYP9LO2EZnQErt6maAWX/view","Open in Drive")</f>
        <v>Open in Drive</v>
      </c>
    </row>
    <row r="17">
      <c r="A17" s="6" t="s">
        <v>210</v>
      </c>
      <c r="B17" s="6" t="s">
        <v>19</v>
      </c>
      <c r="C17" s="6" t="s">
        <v>20</v>
      </c>
      <c r="D17" s="6" t="s">
        <v>212</v>
      </c>
      <c r="E17" s="9" t="s">
        <v>149</v>
      </c>
      <c r="F17" s="9" t="s">
        <v>73</v>
      </c>
      <c r="G17" s="9"/>
      <c r="H17" s="6" t="s">
        <v>25</v>
      </c>
      <c r="I17" s="13" t="str">
        <f>HYPERLINK("https://drive.google.com/file/d/1OXZFPhXO1LgFl3th7S50pZVXMDHBMPTw/view","Open in Drive")</f>
        <v>Open in Drive</v>
      </c>
    </row>
    <row r="18">
      <c r="A18" s="6" t="s">
        <v>221</v>
      </c>
      <c r="B18" s="6" t="s">
        <v>19</v>
      </c>
      <c r="C18" s="6" t="s">
        <v>20</v>
      </c>
      <c r="D18" s="6" t="s">
        <v>222</v>
      </c>
      <c r="E18" s="9" t="s">
        <v>223</v>
      </c>
      <c r="F18" s="9" t="s">
        <v>224</v>
      </c>
      <c r="G18" s="9" t="s">
        <v>225</v>
      </c>
      <c r="H18" s="6" t="s">
        <v>25</v>
      </c>
      <c r="I18" s="13" t="str">
        <f>HYPERLINK("https://drive.google.com/file/d/1OY-WA3n0_QCTuOpvgbACXfN0KXTtswxq/view","Open in Drive")</f>
        <v>Open in Drive</v>
      </c>
    </row>
    <row r="19">
      <c r="A19" s="6" t="s">
        <v>230</v>
      </c>
      <c r="B19" s="6" t="s">
        <v>19</v>
      </c>
      <c r="C19" s="6" t="s">
        <v>20</v>
      </c>
      <c r="D19" s="6" t="s">
        <v>232</v>
      </c>
      <c r="E19" s="9" t="s">
        <v>149</v>
      </c>
      <c r="F19" s="9" t="s">
        <v>73</v>
      </c>
      <c r="G19" s="9"/>
      <c r="H19" s="6" t="s">
        <v>25</v>
      </c>
      <c r="I19" s="13" t="str">
        <f>HYPERLINK("https://drive.google.com/file/d/1R5BJDlpF1thNjqQgqqBeEDpiMgxUGm6v/view","Open in Drive")</f>
        <v>Open in Drive</v>
      </c>
    </row>
    <row r="20">
      <c r="A20" s="6" t="s">
        <v>238</v>
      </c>
      <c r="B20" s="6" t="s">
        <v>19</v>
      </c>
      <c r="C20" s="6" t="s">
        <v>20</v>
      </c>
      <c r="D20" s="6" t="s">
        <v>239</v>
      </c>
      <c r="E20" s="9" t="s">
        <v>189</v>
      </c>
      <c r="F20" s="9" t="s">
        <v>190</v>
      </c>
      <c r="G20" s="9"/>
      <c r="H20" s="6" t="s">
        <v>25</v>
      </c>
      <c r="I20" s="13" t="str">
        <f>HYPERLINK("https://drive.google.com/file/d/1LcqhEZ_t2VLNPm0QelcUh-Ybnwzjia9S/view","Open in Drive")</f>
        <v>Open in Drive</v>
      </c>
    </row>
    <row r="21" ht="15.75" customHeight="1">
      <c r="A21" s="6" t="s">
        <v>244</v>
      </c>
      <c r="B21" s="6" t="s">
        <v>19</v>
      </c>
      <c r="C21" s="6" t="s">
        <v>20</v>
      </c>
      <c r="D21" s="6" t="s">
        <v>247</v>
      </c>
      <c r="E21" s="9" t="s">
        <v>189</v>
      </c>
      <c r="F21" s="9" t="s">
        <v>190</v>
      </c>
      <c r="G21" s="9"/>
      <c r="H21" s="6" t="s">
        <v>25</v>
      </c>
      <c r="I21" s="13" t="str">
        <f>HYPERLINK("https://drive.google.com/file/d/1NEmCYDzlcH7dpiFoRjCPwuOitRrtrBDz/view","Open in Drive")</f>
        <v>Open in Drive</v>
      </c>
    </row>
    <row r="22" ht="15.75" customHeight="1">
      <c r="A22" s="6" t="s">
        <v>255</v>
      </c>
      <c r="B22" s="6" t="s">
        <v>19</v>
      </c>
      <c r="C22" s="6" t="s">
        <v>20</v>
      </c>
      <c r="D22" s="6" t="s">
        <v>256</v>
      </c>
      <c r="E22" s="9" t="s">
        <v>149</v>
      </c>
      <c r="F22" s="9" t="s">
        <v>73</v>
      </c>
      <c r="G22" s="9"/>
      <c r="H22" s="6" t="s">
        <v>25</v>
      </c>
      <c r="I22" s="13" t="str">
        <f>HYPERLINK("https://drive.google.com/file/d/1PhLzPtk__JKJogT9oN79sUfwx0JfjITz/view","Open in Drive")</f>
        <v>Open in Drive</v>
      </c>
    </row>
    <row r="23" ht="15.75" customHeight="1">
      <c r="A23" s="6" t="s">
        <v>264</v>
      </c>
      <c r="B23" s="6" t="s">
        <v>19</v>
      </c>
      <c r="C23" s="6" t="s">
        <v>20</v>
      </c>
      <c r="D23" s="6" t="s">
        <v>265</v>
      </c>
      <c r="E23" s="9" t="s">
        <v>202</v>
      </c>
      <c r="F23" s="9" t="s">
        <v>266</v>
      </c>
      <c r="G23" s="9" t="s">
        <v>267</v>
      </c>
      <c r="H23" s="6" t="s">
        <v>80</v>
      </c>
      <c r="I23" s="13" t="str">
        <f>HYPERLINK("https://drive.google.com/file/d/1LmrehfnxZCSubakCx8HpG_Awc18BQXug/view","Open in Drive")</f>
        <v>Open in Drive</v>
      </c>
    </row>
    <row r="24" ht="15.75" customHeight="1">
      <c r="A24" s="6" t="s">
        <v>272</v>
      </c>
      <c r="B24" s="6" t="s">
        <v>19</v>
      </c>
      <c r="C24" s="6" t="s">
        <v>20</v>
      </c>
      <c r="D24" s="6" t="s">
        <v>273</v>
      </c>
      <c r="E24" s="9" t="s">
        <v>102</v>
      </c>
      <c r="F24" s="9" t="s">
        <v>102</v>
      </c>
      <c r="G24" s="9"/>
      <c r="H24" s="6" t="s">
        <v>25</v>
      </c>
      <c r="I24" s="13" t="str">
        <f>HYPERLINK("https://drive.google.com/file/d/1R9JBAbCcuDfomerQa4jeznZIlucukwev/view","Open in Drive")</f>
        <v>Open in Drive</v>
      </c>
    </row>
    <row r="25" ht="15.75" customHeight="1">
      <c r="A25" s="6" t="s">
        <v>278</v>
      </c>
      <c r="B25" s="6" t="s">
        <v>19</v>
      </c>
      <c r="C25" s="6" t="s">
        <v>20</v>
      </c>
      <c r="D25" s="6" t="s">
        <v>279</v>
      </c>
      <c r="E25" s="9" t="s">
        <v>280</v>
      </c>
      <c r="F25" s="9" t="s">
        <v>282</v>
      </c>
      <c r="G25" s="9"/>
      <c r="H25" s="6" t="s">
        <v>25</v>
      </c>
      <c r="I25" s="13" t="str">
        <f>HYPERLINK("https://drive.google.com/file/d/1ObGDqOUup6sxeMNzDhu8nbJHMGqUlC_r/view","Open in Drive")</f>
        <v>Open in Drive</v>
      </c>
    </row>
    <row r="26" ht="15.75" customHeight="1">
      <c r="A26" s="6" t="s">
        <v>289</v>
      </c>
      <c r="B26" s="6" t="s">
        <v>19</v>
      </c>
      <c r="C26" s="6" t="s">
        <v>20</v>
      </c>
      <c r="D26" s="6" t="s">
        <v>291</v>
      </c>
      <c r="E26" s="9" t="s">
        <v>293</v>
      </c>
      <c r="F26" s="9" t="s">
        <v>73</v>
      </c>
      <c r="G26" s="9" t="s">
        <v>295</v>
      </c>
      <c r="H26" s="6" t="s">
        <v>25</v>
      </c>
      <c r="I26" s="13" t="str">
        <f>HYPERLINK("https://drive.google.com/file/d/1LrxnHJzhh5qmOYFqXtn9fI__56GlW5Xt/view","Open in Drive")</f>
        <v>Open in Drive</v>
      </c>
    </row>
    <row r="27" ht="15.75" customHeight="1">
      <c r="A27" s="6" t="s">
        <v>299</v>
      </c>
      <c r="B27" s="6" t="s">
        <v>19</v>
      </c>
      <c r="C27" s="6" t="s">
        <v>20</v>
      </c>
      <c r="D27" s="6" t="s">
        <v>300</v>
      </c>
      <c r="E27" s="9" t="s">
        <v>280</v>
      </c>
      <c r="F27" s="9" t="s">
        <v>282</v>
      </c>
      <c r="G27" s="9"/>
      <c r="H27" s="6" t="s">
        <v>25</v>
      </c>
      <c r="I27" s="13" t="str">
        <f>HYPERLINK("https://drive.google.com/file/d/1Ol_wa-unD9U-uJHWGHcVehBqKP3AVeRi/view","Open in Drive")</f>
        <v>Open in Drive</v>
      </c>
    </row>
    <row r="28" ht="15.75" customHeight="1">
      <c r="A28" s="6" t="s">
        <v>307</v>
      </c>
      <c r="B28" s="6" t="s">
        <v>19</v>
      </c>
      <c r="C28" s="6" t="s">
        <v>20</v>
      </c>
      <c r="D28" s="6" t="s">
        <v>310</v>
      </c>
      <c r="E28" s="9" t="s">
        <v>202</v>
      </c>
      <c r="F28" s="9" t="s">
        <v>311</v>
      </c>
      <c r="G28" s="9" t="s">
        <v>312</v>
      </c>
      <c r="H28" s="6" t="s">
        <v>80</v>
      </c>
      <c r="I28" s="13" t="str">
        <f>HYPERLINK("https://drive.google.com/file/d/1QPrguGf9v5ZcVYAa6datE5E7VLwba80-/view","Open in Drive")</f>
        <v>Open in Drive</v>
      </c>
    </row>
    <row r="29" ht="15.75" customHeight="1">
      <c r="A29" s="6" t="s">
        <v>316</v>
      </c>
      <c r="B29" s="6" t="s">
        <v>19</v>
      </c>
      <c r="C29" s="6" t="s">
        <v>20</v>
      </c>
      <c r="D29" s="6" t="s">
        <v>318</v>
      </c>
      <c r="E29" s="9" t="s">
        <v>123</v>
      </c>
      <c r="F29" s="9" t="s">
        <v>124</v>
      </c>
      <c r="G29" s="9"/>
      <c r="H29" s="6" t="s">
        <v>25</v>
      </c>
      <c r="I29" s="13" t="str">
        <f>HYPERLINK("https://drive.google.com/file/d/1O8C_t3_fUO9Lc-cPBDkr7nq4tkvbUBE6/view","Open in Drive")</f>
        <v>Open in Drive</v>
      </c>
    </row>
    <row r="30" ht="15.75" customHeight="1">
      <c r="A30" s="6" t="s">
        <v>325</v>
      </c>
      <c r="B30" s="6" t="s">
        <v>19</v>
      </c>
      <c r="C30" s="6" t="s">
        <v>20</v>
      </c>
      <c r="D30" s="6" t="s">
        <v>326</v>
      </c>
      <c r="E30" s="9" t="s">
        <v>327</v>
      </c>
      <c r="F30" s="9" t="s">
        <v>328</v>
      </c>
      <c r="G30" s="9"/>
      <c r="H30" s="6" t="s">
        <v>25</v>
      </c>
      <c r="I30" s="13" t="str">
        <f>HYPERLINK("https://drive.google.com/file/d/1OekFxn0YyLfJ88QXhU_ZpSXyuEwBmBmd/view","Open in Drive")</f>
        <v>Open in Drive</v>
      </c>
    </row>
    <row r="31" ht="15.75" customHeight="1">
      <c r="A31" s="6" t="s">
        <v>336</v>
      </c>
      <c r="B31" s="6" t="s">
        <v>19</v>
      </c>
      <c r="C31" s="6" t="s">
        <v>20</v>
      </c>
      <c r="D31" s="6" t="s">
        <v>337</v>
      </c>
      <c r="E31" s="9" t="s">
        <v>338</v>
      </c>
      <c r="F31" s="9" t="s">
        <v>339</v>
      </c>
      <c r="G31" s="9"/>
      <c r="H31" s="6" t="s">
        <v>25</v>
      </c>
      <c r="I31" s="13" t="str">
        <f>HYPERLINK("https://drive.google.com/file/d/1MJSD7Dg_wFW1I9ivrngTp4iqqh7l71Tx/view","Open in Drive")</f>
        <v>Open in Drive</v>
      </c>
    </row>
    <row r="32" ht="15.75" customHeight="1">
      <c r="A32" s="6" t="s">
        <v>346</v>
      </c>
      <c r="B32" s="6" t="s">
        <v>19</v>
      </c>
      <c r="C32" s="6" t="s">
        <v>20</v>
      </c>
      <c r="D32" s="6" t="s">
        <v>347</v>
      </c>
      <c r="E32" s="9" t="s">
        <v>138</v>
      </c>
      <c r="F32" s="9" t="s">
        <v>138</v>
      </c>
      <c r="G32" s="9"/>
      <c r="H32" s="6" t="s">
        <v>25</v>
      </c>
      <c r="I32" s="13" t="str">
        <f>HYPERLINK("https://drive.google.com/file/d/1OOWY7xhMNbjtVmDrcX8NtDIz72P5eL9-/view","Open in Drive")</f>
        <v>Open in Drive</v>
      </c>
    </row>
    <row r="33" ht="15.75" customHeight="1">
      <c r="A33" s="6" t="s">
        <v>355</v>
      </c>
      <c r="B33" s="6" t="s">
        <v>19</v>
      </c>
      <c r="C33" s="6" t="s">
        <v>20</v>
      </c>
      <c r="D33" s="6" t="s">
        <v>357</v>
      </c>
      <c r="E33" s="9" t="s">
        <v>358</v>
      </c>
      <c r="F33" s="9" t="s">
        <v>359</v>
      </c>
      <c r="G33" s="9" t="s">
        <v>360</v>
      </c>
      <c r="H33" s="6" t="s">
        <v>25</v>
      </c>
      <c r="I33" s="13" t="str">
        <f>HYPERLINK("https://drive.google.com/file/d/1QUBq0yZBayf-qcmUTpUNqbKkgwxWlQcR/view","Open in Drive")</f>
        <v>Open in Drive</v>
      </c>
    </row>
    <row r="34" ht="15.75" customHeight="1">
      <c r="A34" s="6" t="s">
        <v>368</v>
      </c>
      <c r="B34" s="6" t="s">
        <v>19</v>
      </c>
      <c r="C34" s="6" t="s">
        <v>20</v>
      </c>
      <c r="D34" s="6" t="s">
        <v>369</v>
      </c>
      <c r="E34" s="9" t="s">
        <v>372</v>
      </c>
      <c r="F34" s="9" t="s">
        <v>354</v>
      </c>
      <c r="G34" s="9" t="s">
        <v>360</v>
      </c>
      <c r="H34" s="6" t="s">
        <v>25</v>
      </c>
      <c r="I34" s="13" t="str">
        <f>HYPERLINK("https://drive.google.com/file/d/1LyW8nNstobehi41CbZky7DBb4_F8QqEG/view","Open in Drive")</f>
        <v>Open in Drive</v>
      </c>
    </row>
    <row r="35" ht="15.75" customHeight="1">
      <c r="A35" s="6" t="s">
        <v>381</v>
      </c>
      <c r="B35" s="6" t="s">
        <v>19</v>
      </c>
      <c r="C35" s="6" t="s">
        <v>20</v>
      </c>
      <c r="D35" s="6" t="s">
        <v>383</v>
      </c>
      <c r="E35" s="9" t="s">
        <v>384</v>
      </c>
      <c r="F35" s="9" t="s">
        <v>304</v>
      </c>
      <c r="G35" s="9"/>
      <c r="H35" s="6" t="s">
        <v>25</v>
      </c>
      <c r="I35" s="13" t="str">
        <f>HYPERLINK("https://drive.google.com/file/d/1MhCNjxmYrH5vqJ3vfYqC7l6w47aL8lBw/view","Open in Drive")</f>
        <v>Open in Drive</v>
      </c>
    </row>
    <row r="36" ht="15.75" customHeight="1">
      <c r="A36" s="6" t="s">
        <v>392</v>
      </c>
      <c r="B36" s="6" t="s">
        <v>19</v>
      </c>
      <c r="C36" s="6" t="s">
        <v>20</v>
      </c>
      <c r="D36" s="6" t="s">
        <v>393</v>
      </c>
      <c r="E36" s="9" t="s">
        <v>280</v>
      </c>
      <c r="F36" s="9" t="s">
        <v>282</v>
      </c>
      <c r="G36" s="9"/>
      <c r="H36" s="6" t="s">
        <v>25</v>
      </c>
      <c r="I36" s="13" t="str">
        <f>HYPERLINK("https://drive.google.com/file/d/1MMDv4CjtGOm8sMvkfMogyWiADOA3w6eA/view","Open in Drive")</f>
        <v>Open in Drive</v>
      </c>
    </row>
    <row r="37" ht="15.75" customHeight="1">
      <c r="A37" s="6" t="s">
        <v>399</v>
      </c>
      <c r="B37" s="6" t="s">
        <v>19</v>
      </c>
      <c r="C37" s="6" t="s">
        <v>20</v>
      </c>
      <c r="D37" s="6" t="s">
        <v>402</v>
      </c>
      <c r="E37" s="9" t="s">
        <v>404</v>
      </c>
      <c r="F37" s="9" t="s">
        <v>395</v>
      </c>
      <c r="G37" s="9" t="s">
        <v>406</v>
      </c>
      <c r="H37" s="6" t="s">
        <v>25</v>
      </c>
      <c r="I37" s="13" t="str">
        <f>HYPERLINK("https://drive.google.com/file/d/1Q3SymxnsfEBVVUt5V9N8nxZi8HdgpL-o/view","Open in Drive")</f>
        <v>Open in Drive</v>
      </c>
    </row>
    <row r="38" ht="15.75" customHeight="1">
      <c r="A38" s="6" t="s">
        <v>412</v>
      </c>
      <c r="B38" s="6" t="s">
        <v>19</v>
      </c>
      <c r="C38" s="6" t="s">
        <v>20</v>
      </c>
      <c r="D38" s="6" t="s">
        <v>416</v>
      </c>
      <c r="E38" s="9" t="s">
        <v>149</v>
      </c>
      <c r="F38" s="9" t="s">
        <v>73</v>
      </c>
      <c r="G38" s="9"/>
      <c r="H38" s="6" t="s">
        <v>25</v>
      </c>
      <c r="I38" s="13" t="str">
        <f>HYPERLINK("https://drive.google.com/file/d/1Qv_nkcoFKxVy1IBnttHjFCPico1twY7v/view","Open in Drive")</f>
        <v>Open in Drive</v>
      </c>
    </row>
    <row r="39" ht="15.75" customHeight="1">
      <c r="A39" s="6" t="s">
        <v>421</v>
      </c>
      <c r="B39" s="6" t="s">
        <v>19</v>
      </c>
      <c r="C39" s="6" t="s">
        <v>20</v>
      </c>
      <c r="D39" s="6" t="s">
        <v>422</v>
      </c>
      <c r="E39" s="9" t="s">
        <v>149</v>
      </c>
      <c r="F39" s="9" t="s">
        <v>73</v>
      </c>
      <c r="G39" s="9"/>
      <c r="H39" s="6" t="s">
        <v>25</v>
      </c>
      <c r="I39" s="13" t="str">
        <f>HYPERLINK("https://drive.google.com/file/d/1NP93wRtaAaKQ7bc9oz67Jlx7W5FeIdPc/view","Open in Drive")</f>
        <v>Open in Drive</v>
      </c>
    </row>
    <row r="40" ht="15.75" customHeight="1">
      <c r="A40" s="6" t="s">
        <v>429</v>
      </c>
      <c r="B40" s="6" t="s">
        <v>19</v>
      </c>
      <c r="C40" s="6" t="s">
        <v>20</v>
      </c>
      <c r="D40" s="6"/>
      <c r="E40" s="9" t="s">
        <v>432</v>
      </c>
      <c r="F40" s="9" t="s">
        <v>73</v>
      </c>
      <c r="G40" s="9" t="s">
        <v>433</v>
      </c>
      <c r="H40" s="6" t="s">
        <v>25</v>
      </c>
      <c r="I40" s="13" t="str">
        <f>HYPERLINK("https://drive.google.com/file/d/1Pdak2ABC1pdXnWuGrIDdbvrtHIb5_PYc/view","Open in Drive")</f>
        <v>Open in Drive</v>
      </c>
    </row>
    <row r="41" ht="15.75" customHeight="1">
      <c r="A41" s="6" t="s">
        <v>438</v>
      </c>
      <c r="B41" s="6" t="s">
        <v>19</v>
      </c>
      <c r="C41" s="6" t="s">
        <v>20</v>
      </c>
      <c r="D41" s="6"/>
      <c r="E41" s="9" t="s">
        <v>440</v>
      </c>
      <c r="F41" s="9" t="s">
        <v>73</v>
      </c>
      <c r="G41" s="9" t="s">
        <v>442</v>
      </c>
      <c r="H41" s="6" t="s">
        <v>25</v>
      </c>
      <c r="I41" s="13" t="str">
        <f>HYPERLINK("https://drive.google.com/file/d/1Q0A4vLRAdI6mQLwBmkFzxUuEqfXCWdDS/view","Open in Drive")</f>
        <v>Open in Drive</v>
      </c>
    </row>
    <row r="42" ht="15.75" customHeight="1">
      <c r="A42" s="6" t="s">
        <v>446</v>
      </c>
      <c r="B42" s="6" t="s">
        <v>19</v>
      </c>
      <c r="C42" s="6" t="s">
        <v>20</v>
      </c>
      <c r="D42" s="6" t="s">
        <v>447</v>
      </c>
      <c r="E42" s="9" t="s">
        <v>384</v>
      </c>
      <c r="F42" s="9" t="s">
        <v>304</v>
      </c>
      <c r="G42" s="9"/>
      <c r="H42" s="6" t="s">
        <v>25</v>
      </c>
      <c r="I42" s="13" t="str">
        <f>HYPERLINK("https://drive.google.com/file/d/1NE9GBfwap16oD5vnRI_UBifaTvNuQgbP/view","Open in Drive")</f>
        <v>Open in Drive</v>
      </c>
    </row>
    <row r="43" ht="15.75" customHeight="1">
      <c r="A43" s="6" t="s">
        <v>450</v>
      </c>
      <c r="B43" s="6" t="s">
        <v>19</v>
      </c>
      <c r="C43" s="6" t="s">
        <v>20</v>
      </c>
      <c r="D43" s="6" t="s">
        <v>451</v>
      </c>
      <c r="E43" s="9" t="s">
        <v>149</v>
      </c>
      <c r="F43" s="9" t="s">
        <v>73</v>
      </c>
      <c r="G43" s="9"/>
      <c r="H43" s="6" t="s">
        <v>25</v>
      </c>
      <c r="I43" s="13" t="str">
        <f>HYPERLINK("https://drive.google.com/file/d/1MWzw36_cmZLLiT1hGwv6ZcytA7OpsaR_/view","Open in Drive")</f>
        <v>Open in Drive</v>
      </c>
    </row>
    <row r="44" ht="15.75" customHeight="1">
      <c r="A44" s="6" t="s">
        <v>455</v>
      </c>
      <c r="B44" s="6" t="s">
        <v>19</v>
      </c>
      <c r="C44" s="6" t="s">
        <v>20</v>
      </c>
      <c r="D44" s="6" t="s">
        <v>456</v>
      </c>
      <c r="E44" s="9" t="s">
        <v>457</v>
      </c>
      <c r="F44" s="9" t="s">
        <v>458</v>
      </c>
      <c r="G44" s="9"/>
      <c r="H44" s="6" t="s">
        <v>80</v>
      </c>
      <c r="I44" s="13" t="str">
        <f>HYPERLINK("https://drive.google.com/file/d/1OoB_BHni35y9fuHFXVEgJ3JTEes4_xak/view","Open in Drive")</f>
        <v>Open in Drive</v>
      </c>
    </row>
    <row r="45" ht="15.75" customHeight="1">
      <c r="A45" s="6" t="s">
        <v>462</v>
      </c>
      <c r="B45" s="6" t="s">
        <v>19</v>
      </c>
      <c r="C45" s="6" t="s">
        <v>20</v>
      </c>
      <c r="D45" s="6" t="s">
        <v>463</v>
      </c>
      <c r="E45" s="9" t="s">
        <v>464</v>
      </c>
      <c r="F45" s="9" t="s">
        <v>466</v>
      </c>
      <c r="G45" s="9"/>
      <c r="H45" s="6" t="s">
        <v>80</v>
      </c>
      <c r="I45" s="13" t="str">
        <f>HYPERLINK("https://drive.google.com/file/d/1PiBSrioOqjePkI2iYAavq8vj_FTTH2D-/view","Open in Drive")</f>
        <v>Open in Drive</v>
      </c>
    </row>
    <row r="46" ht="15.75" customHeight="1">
      <c r="A46" s="6" t="s">
        <v>472</v>
      </c>
      <c r="B46" s="6" t="s">
        <v>19</v>
      </c>
      <c r="C46" s="6" t="s">
        <v>20</v>
      </c>
      <c r="D46" s="6" t="s">
        <v>473</v>
      </c>
      <c r="E46" s="9" t="s">
        <v>474</v>
      </c>
      <c r="F46" s="9" t="s">
        <v>476</v>
      </c>
      <c r="G46" s="9"/>
      <c r="H46" s="6" t="s">
        <v>80</v>
      </c>
      <c r="I46" s="13" t="str">
        <f>HYPERLINK("https://drive.google.com/file/d/1L_LLl5qV2wyp6j25I_Bla-CfrQlbi5I3/view","Open in Drive")</f>
        <v>Open in Drive</v>
      </c>
    </row>
    <row r="47" ht="15.75" customHeight="1">
      <c r="A47" s="6" t="s">
        <v>482</v>
      </c>
      <c r="B47" s="6" t="s">
        <v>19</v>
      </c>
      <c r="C47" s="6" t="s">
        <v>20</v>
      </c>
      <c r="D47" s="6" t="s">
        <v>484</v>
      </c>
      <c r="E47" s="9" t="s">
        <v>485</v>
      </c>
      <c r="F47" s="9" t="s">
        <v>486</v>
      </c>
      <c r="G47" s="9"/>
      <c r="H47" s="6" t="s">
        <v>80</v>
      </c>
      <c r="I47" s="13" t="str">
        <f>HYPERLINK("https://drive.google.com/file/d/1QDiJtr_0ERxtQ5-TqA9cHJxeEItP01VW/view","Open in Drive")</f>
        <v>Open in Drive</v>
      </c>
    </row>
    <row r="48" ht="15.75" customHeight="1">
      <c r="A48" s="6" t="s">
        <v>496</v>
      </c>
      <c r="B48" s="6" t="s">
        <v>19</v>
      </c>
      <c r="C48" s="6" t="s">
        <v>20</v>
      </c>
      <c r="D48" s="6" t="s">
        <v>498</v>
      </c>
      <c r="E48" s="9" t="s">
        <v>499</v>
      </c>
      <c r="F48" s="9" t="s">
        <v>500</v>
      </c>
      <c r="G48" s="9"/>
      <c r="H48" s="6" t="s">
        <v>80</v>
      </c>
      <c r="I48" s="13" t="str">
        <f>HYPERLINK("https://drive.google.com/file/d/1Qj62a__PHggWmUFc23SNPHJQJLmlWki-/view","Open in Drive")</f>
        <v>Open in Drive</v>
      </c>
    </row>
    <row r="49" ht="15.75" customHeight="1">
      <c r="A49" s="6" t="s">
        <v>508</v>
      </c>
      <c r="B49" s="6" t="s">
        <v>19</v>
      </c>
      <c r="C49" s="6" t="s">
        <v>20</v>
      </c>
      <c r="D49" s="6" t="s">
        <v>509</v>
      </c>
      <c r="E49" s="9" t="s">
        <v>510</v>
      </c>
      <c r="F49" s="9" t="s">
        <v>511</v>
      </c>
      <c r="G49" s="9"/>
      <c r="H49" s="6" t="s">
        <v>80</v>
      </c>
      <c r="I49" s="13" t="str">
        <f>HYPERLINK("https://drive.google.com/file/d/1P0ezjnvvlN9fPdv0gadhju4Q-f1Bdumc/view","Open in Drive")</f>
        <v>Open in Drive</v>
      </c>
    </row>
    <row r="50" ht="15.75" customHeight="1">
      <c r="A50" s="6" t="s">
        <v>514</v>
      </c>
      <c r="B50" s="6" t="s">
        <v>19</v>
      </c>
      <c r="C50" s="6" t="s">
        <v>20</v>
      </c>
      <c r="D50" s="6" t="s">
        <v>515</v>
      </c>
      <c r="E50" s="9" t="s">
        <v>516</v>
      </c>
      <c r="F50" s="9" t="s">
        <v>518</v>
      </c>
      <c r="G50" s="9"/>
      <c r="H50" s="6" t="s">
        <v>80</v>
      </c>
      <c r="I50" s="13" t="str">
        <f>HYPERLINK("https://drive.google.com/file/d/1PUBRK_T1IHGD3L70xF5jPLUpO4UTAqga/view","Open in Drive")</f>
        <v>Open in Drive</v>
      </c>
    </row>
    <row r="51" ht="15.75" customHeight="1">
      <c r="A51" s="6" t="s">
        <v>521</v>
      </c>
      <c r="B51" s="6" t="s">
        <v>19</v>
      </c>
      <c r="C51" s="6" t="s">
        <v>20</v>
      </c>
      <c r="D51" s="6" t="s">
        <v>522</v>
      </c>
      <c r="E51" s="9" t="s">
        <v>523</v>
      </c>
      <c r="F51" s="9" t="s">
        <v>524</v>
      </c>
      <c r="G51" s="9"/>
      <c r="H51" s="6" t="s">
        <v>80</v>
      </c>
      <c r="I51" s="13" t="str">
        <f>HYPERLINK("https://drive.google.com/file/d/1POm-4Dt3M_BBI8rBVFtyLbpp7YB3qpF5/view","Open in Drive")</f>
        <v>Open in Drive</v>
      </c>
    </row>
    <row r="52" ht="15.75" customHeight="1">
      <c r="A52" s="6" t="s">
        <v>527</v>
      </c>
      <c r="B52" s="6" t="s">
        <v>19</v>
      </c>
      <c r="C52" s="6" t="s">
        <v>20</v>
      </c>
      <c r="D52" s="6" t="s">
        <v>528</v>
      </c>
      <c r="E52" s="9" t="s">
        <v>529</v>
      </c>
      <c r="F52" s="9" t="s">
        <v>530</v>
      </c>
      <c r="G52" s="9"/>
      <c r="H52" s="6" t="s">
        <v>80</v>
      </c>
      <c r="I52" s="13" t="str">
        <f>HYPERLINK("https://drive.google.com/file/d/1QbxU3MmHvJWMjcO2Z-287jnRod19ZdFn/view","Open in Drive")</f>
        <v>Open in Drive</v>
      </c>
    </row>
    <row r="53" ht="15.75" customHeight="1">
      <c r="A53" s="6" t="s">
        <v>533</v>
      </c>
      <c r="B53" s="6" t="s">
        <v>19</v>
      </c>
      <c r="C53" s="6" t="s">
        <v>20</v>
      </c>
      <c r="D53" s="6" t="s">
        <v>534</v>
      </c>
      <c r="E53" s="9" t="s">
        <v>202</v>
      </c>
      <c r="F53" s="9" t="s">
        <v>203</v>
      </c>
      <c r="G53" s="9" t="s">
        <v>537</v>
      </c>
      <c r="H53" s="6" t="s">
        <v>80</v>
      </c>
      <c r="I53" s="13" t="str">
        <f>HYPERLINK("https://drive.google.com/file/d/1MGQTLTs8LeYT0kYk4d765JLzdAgDDwSW/view","Open in Drive")</f>
        <v>Open in Drive</v>
      </c>
    </row>
    <row r="54" ht="15.75" customHeight="1">
      <c r="A54" s="6" t="s">
        <v>541</v>
      </c>
      <c r="B54" s="6" t="s">
        <v>19</v>
      </c>
      <c r="C54" s="6" t="s">
        <v>20</v>
      </c>
      <c r="D54" s="6" t="s">
        <v>542</v>
      </c>
      <c r="E54" s="9" t="s">
        <v>202</v>
      </c>
      <c r="F54" s="9" t="s">
        <v>203</v>
      </c>
      <c r="G54" s="9" t="s">
        <v>543</v>
      </c>
      <c r="H54" s="6" t="s">
        <v>80</v>
      </c>
      <c r="I54" s="13" t="str">
        <f>HYPERLINK("https://drive.google.com/file/d/1MbNsb5RW2_REXxJ_aaQk65yYh_795kRk/view","Open in Drive")</f>
        <v>Open in Drive</v>
      </c>
    </row>
    <row r="55" ht="15.75" customHeight="1">
      <c r="A55" s="6" t="s">
        <v>17</v>
      </c>
      <c r="B55" s="6" t="s">
        <v>550</v>
      </c>
      <c r="C55" s="6" t="s">
        <v>551</v>
      </c>
      <c r="D55" s="6" t="s">
        <v>552</v>
      </c>
      <c r="E55" s="9" t="s">
        <v>149</v>
      </c>
      <c r="F55" s="9" t="s">
        <v>73</v>
      </c>
      <c r="G55" s="9"/>
      <c r="H55" s="6" t="s">
        <v>25</v>
      </c>
      <c r="I55" s="13" t="str">
        <f>HYPERLINK("https://drive.google.com/file/d/1KslMZnTM4gRy19XP12qYwdDKzsKcI6CC/view","Open in Drive")</f>
        <v>Open in Drive</v>
      </c>
    </row>
    <row r="56" ht="15.75" customHeight="1">
      <c r="A56" s="6" t="s">
        <v>555</v>
      </c>
      <c r="B56" s="6" t="s">
        <v>550</v>
      </c>
      <c r="C56" s="6" t="s">
        <v>551</v>
      </c>
      <c r="D56" s="6" t="s">
        <v>556</v>
      </c>
      <c r="E56" s="9" t="s">
        <v>557</v>
      </c>
      <c r="F56" s="9" t="s">
        <v>558</v>
      </c>
      <c r="G56" s="9" t="s">
        <v>559</v>
      </c>
      <c r="H56" s="6" t="s">
        <v>80</v>
      </c>
      <c r="I56" s="13" t="str">
        <f>HYPERLINK("https://drive.google.com/file/d/1LRwHEqyJaPtOTMNTp3c81H4rW7EzRjZh/view","Open in Drive")</f>
        <v>Open in Drive</v>
      </c>
    </row>
    <row r="57" ht="15.75" customHeight="1">
      <c r="A57" s="6" t="s">
        <v>57</v>
      </c>
      <c r="B57" s="6" t="s">
        <v>550</v>
      </c>
      <c r="C57" s="6" t="s">
        <v>551</v>
      </c>
      <c r="D57" s="6" t="s">
        <v>561</v>
      </c>
      <c r="E57" s="9" t="s">
        <v>149</v>
      </c>
      <c r="F57" s="9" t="s">
        <v>73</v>
      </c>
      <c r="G57" s="9" t="s">
        <v>562</v>
      </c>
      <c r="H57" s="6" t="s">
        <v>25</v>
      </c>
      <c r="I57" s="13" t="str">
        <f>HYPERLINK("https://drive.google.com/file/d/1L54PpyWBP3mlVJ1n8Ok-ofucroo4P7f4/view","Open in Drive")</f>
        <v>Open in Drive</v>
      </c>
    </row>
    <row r="58" ht="15.75" customHeight="1">
      <c r="A58" s="6" t="s">
        <v>565</v>
      </c>
      <c r="B58" s="6" t="s">
        <v>550</v>
      </c>
      <c r="C58" s="6" t="s">
        <v>551</v>
      </c>
      <c r="D58" s="6" t="s">
        <v>566</v>
      </c>
      <c r="E58" s="9" t="s">
        <v>149</v>
      </c>
      <c r="F58" s="9" t="s">
        <v>73</v>
      </c>
      <c r="G58" s="9"/>
      <c r="H58" s="6" t="s">
        <v>25</v>
      </c>
      <c r="I58" s="13" t="str">
        <f>HYPERLINK("https://drive.google.com/file/d/1LXATZi4KrYbpoSzRUUB9-uq4k1xPkEj9/view","Open in Drive")</f>
        <v>Open in Drive</v>
      </c>
    </row>
    <row r="59" ht="15.75" customHeight="1">
      <c r="A59" s="6" t="s">
        <v>569</v>
      </c>
      <c r="B59" s="6" t="s">
        <v>550</v>
      </c>
      <c r="C59" s="6" t="s">
        <v>551</v>
      </c>
      <c r="D59" s="6" t="s">
        <v>570</v>
      </c>
      <c r="E59" s="9" t="s">
        <v>202</v>
      </c>
      <c r="F59" s="9" t="s">
        <v>571</v>
      </c>
      <c r="G59" s="9" t="s">
        <v>572</v>
      </c>
      <c r="H59" s="6" t="s">
        <v>80</v>
      </c>
      <c r="I59" s="13" t="str">
        <f>HYPERLINK("https://drive.google.com/file/d/1L4GdU1ynSLFDBfu4hrxEuO6ywWPumBkP/view","Open in Drive")</f>
        <v>Open in Drive</v>
      </c>
    </row>
    <row r="60" ht="15.75" customHeight="1">
      <c r="A60" s="6" t="s">
        <v>72</v>
      </c>
      <c r="B60" s="6" t="s">
        <v>550</v>
      </c>
      <c r="C60" s="6" t="s">
        <v>551</v>
      </c>
      <c r="D60" s="6" t="s">
        <v>575</v>
      </c>
      <c r="E60" s="9" t="s">
        <v>22</v>
      </c>
      <c r="F60" s="9" t="s">
        <v>23</v>
      </c>
      <c r="G60" s="9"/>
      <c r="H60" s="6" t="s">
        <v>25</v>
      </c>
      <c r="I60" s="13" t="str">
        <f>HYPERLINK("https://drive.google.com/file/d/1KtQ7Yj7q43tU2lDgl8GlAoagkYVgGPhn/view","Open in Drive")</f>
        <v>Open in Drive</v>
      </c>
    </row>
    <row r="61" ht="15.75" customHeight="1">
      <c r="A61" s="6" t="s">
        <v>88</v>
      </c>
      <c r="B61" s="6" t="s">
        <v>550</v>
      </c>
      <c r="C61" s="6" t="s">
        <v>551</v>
      </c>
      <c r="D61" s="6" t="s">
        <v>577</v>
      </c>
      <c r="E61" s="9" t="s">
        <v>578</v>
      </c>
      <c r="F61" s="9" t="s">
        <v>410</v>
      </c>
      <c r="G61" s="9" t="s">
        <v>579</v>
      </c>
      <c r="H61" s="6" t="s">
        <v>25</v>
      </c>
      <c r="I61" s="13" t="str">
        <f>HYPERLINK("https://drive.google.com/file/d/1M-t9UjFkR_aaUAtqHSm64Tkhf77xvqqs/view","Open in Drive")</f>
        <v>Open in Drive</v>
      </c>
    </row>
    <row r="62" ht="15.75" customHeight="1">
      <c r="A62" s="6" t="s">
        <v>97</v>
      </c>
      <c r="B62" s="6" t="s">
        <v>550</v>
      </c>
      <c r="C62" s="6" t="s">
        <v>551</v>
      </c>
      <c r="D62" s="6" t="s">
        <v>581</v>
      </c>
      <c r="E62" s="9" t="s">
        <v>202</v>
      </c>
      <c r="F62" s="9" t="s">
        <v>582</v>
      </c>
      <c r="G62" s="9" t="s">
        <v>584</v>
      </c>
      <c r="H62" s="6" t="s">
        <v>80</v>
      </c>
      <c r="I62" s="13" t="str">
        <f>HYPERLINK("https://drive.google.com/file/d/1L56X-kS23x0qYo9I5KaID6YXRMdVddGR/view","Open in Drive")</f>
        <v>Open in Drive</v>
      </c>
    </row>
    <row r="63" ht="15.75" customHeight="1">
      <c r="A63" s="6" t="s">
        <v>109</v>
      </c>
      <c r="B63" s="6" t="s">
        <v>550</v>
      </c>
      <c r="C63" s="6" t="s">
        <v>551</v>
      </c>
      <c r="D63" s="6" t="s">
        <v>586</v>
      </c>
      <c r="E63" s="9" t="s">
        <v>587</v>
      </c>
      <c r="F63" s="9" t="s">
        <v>426</v>
      </c>
      <c r="G63" s="9" t="s">
        <v>588</v>
      </c>
      <c r="H63" s="6" t="s">
        <v>25</v>
      </c>
      <c r="I63" s="13" t="str">
        <f>HYPERLINK("https://drive.google.com/file/d/1LLffGFQxgmunF67n6O_vL_wvlSCQ5ITb/view","Open in Drive")</f>
        <v>Open in Drive</v>
      </c>
    </row>
    <row r="64" ht="15.75" customHeight="1">
      <c r="A64" s="6" t="s">
        <v>120</v>
      </c>
      <c r="B64" s="6" t="s">
        <v>550</v>
      </c>
      <c r="C64" s="6" t="s">
        <v>551</v>
      </c>
      <c r="D64" s="6" t="s">
        <v>590</v>
      </c>
      <c r="E64" s="9" t="s">
        <v>202</v>
      </c>
      <c r="F64" s="9" t="s">
        <v>203</v>
      </c>
      <c r="G64" s="9" t="s">
        <v>204</v>
      </c>
      <c r="H64" s="6" t="s">
        <v>80</v>
      </c>
      <c r="I64" s="13" t="str">
        <f>HYPERLINK("https://drive.google.com/file/d/1LMX7tyZq5C7oRwhZEaUHeyngz5raumqr/view","Open in Drive")</f>
        <v>Open in Drive</v>
      </c>
    </row>
    <row r="65" ht="15.75" customHeight="1">
      <c r="A65" s="6" t="s">
        <v>133</v>
      </c>
      <c r="B65" s="6" t="s">
        <v>550</v>
      </c>
      <c r="C65" s="6" t="s">
        <v>551</v>
      </c>
      <c r="D65" s="6" t="s">
        <v>592</v>
      </c>
      <c r="E65" s="9" t="s">
        <v>202</v>
      </c>
      <c r="F65" s="9" t="s">
        <v>203</v>
      </c>
      <c r="G65" s="9" t="s">
        <v>204</v>
      </c>
      <c r="H65" s="6" t="s">
        <v>80</v>
      </c>
      <c r="I65" s="13" t="str">
        <f>HYPERLINK("https://drive.google.com/file/d/1KoiGQC9QjiztyDOrzdXm5NWurbJ9ktoW/view","Open in Drive")</f>
        <v>Open in Drive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6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6.0"/>
    <col customWidth="1" min="4" max="4" width="26.43"/>
    <col customWidth="1" min="5" max="5" width="16.57"/>
    <col customWidth="1" min="6" max="6" width="16.29"/>
    <col customWidth="1" min="7" max="26" width="8.71"/>
  </cols>
  <sheetData>
    <row r="1">
      <c r="A1" s="1" t="s">
        <v>0</v>
      </c>
    </row>
    <row r="2">
      <c r="A2" s="4" t="s">
        <v>3</v>
      </c>
    </row>
    <row r="4">
      <c r="A4" s="5" t="s">
        <v>2</v>
      </c>
      <c r="B4" s="5" t="s">
        <v>12</v>
      </c>
      <c r="C4" s="5" t="s">
        <v>13</v>
      </c>
      <c r="D4" s="5" t="s">
        <v>15</v>
      </c>
      <c r="E4" s="5" t="s">
        <v>16</v>
      </c>
      <c r="F4" s="5" t="s">
        <v>14</v>
      </c>
    </row>
    <row r="5">
      <c r="A5" s="7" t="s">
        <v>18</v>
      </c>
      <c r="B5" s="8"/>
      <c r="C5" s="8"/>
      <c r="D5" s="8"/>
      <c r="E5" s="8"/>
      <c r="F5" s="8"/>
    </row>
    <row r="6">
      <c r="A6" s="10" t="s">
        <v>24</v>
      </c>
      <c r="B6" s="10" t="s">
        <v>26</v>
      </c>
      <c r="C6" s="10" t="s">
        <v>27</v>
      </c>
      <c r="D6" s="10" t="s">
        <v>28</v>
      </c>
      <c r="E6" s="10" t="s">
        <v>29</v>
      </c>
      <c r="F6" s="12" t="str">
        <f>HYPERLINK("https://drive.google.com/file/d/1Z43GS5sWctg2Nxn40MU8QxmbRiodLI_q/view","Open in Drive")</f>
        <v>Open in Drive</v>
      </c>
    </row>
    <row r="7">
      <c r="A7" s="10" t="s">
        <v>37</v>
      </c>
      <c r="B7" s="10" t="s">
        <v>26</v>
      </c>
      <c r="C7" s="10" t="s">
        <v>39</v>
      </c>
      <c r="D7" s="10" t="s">
        <v>41</v>
      </c>
      <c r="E7" s="10" t="s">
        <v>29</v>
      </c>
      <c r="F7" s="12" t="str">
        <f>HYPERLINK("https://drive.google.com/file/d/1YxfPPSde-s_jqi0kh95x-6rvxNwP1JUP/view","Open in Drive")</f>
        <v>Open in Drive</v>
      </c>
    </row>
    <row r="8">
      <c r="A8" s="10" t="s">
        <v>51</v>
      </c>
      <c r="B8" s="10" t="s">
        <v>26</v>
      </c>
      <c r="C8" s="10" t="s">
        <v>52</v>
      </c>
      <c r="D8" s="10" t="s">
        <v>53</v>
      </c>
      <c r="E8" s="10" t="s">
        <v>29</v>
      </c>
      <c r="F8" s="12" t="str">
        <f>HYPERLINK("https://drive.google.com/file/d/1Z_VVLqPhODjBPOSb2FJgSvBgIWZxGMUC/view","Open in Drive")</f>
        <v>Open in Drive</v>
      </c>
    </row>
    <row r="9">
      <c r="A9" s="10" t="s">
        <v>61</v>
      </c>
      <c r="B9" s="10" t="s">
        <v>26</v>
      </c>
      <c r="C9" s="10" t="s">
        <v>64</v>
      </c>
      <c r="D9" s="10" t="s">
        <v>65</v>
      </c>
      <c r="E9" s="10" t="s">
        <v>29</v>
      </c>
      <c r="F9" s="12" t="str">
        <f>HYPERLINK("https://drive.google.com/file/d/1YvpxUzD4Dr9lRndnbL8U0JkYRgOv_o8t/view","Open in Drive")</f>
        <v>Open in Drive</v>
      </c>
    </row>
    <row r="10">
      <c r="A10" s="10" t="s">
        <v>68</v>
      </c>
      <c r="B10" s="10" t="s">
        <v>26</v>
      </c>
      <c r="C10" s="10" t="s">
        <v>69</v>
      </c>
      <c r="D10" s="10" t="s">
        <v>70</v>
      </c>
      <c r="E10" s="10" t="s">
        <v>29</v>
      </c>
      <c r="F10" s="12" t="str">
        <f>HYPERLINK("https://drive.google.com/file/d/1YzScCbCE9Q_xWakkSsY-d77qHcZMaf28/view","Open in Drive")</f>
        <v>Open in Drive</v>
      </c>
    </row>
    <row r="11">
      <c r="A11" s="10" t="s">
        <v>81</v>
      </c>
      <c r="B11" s="10" t="s">
        <v>26</v>
      </c>
      <c r="C11" s="10" t="s">
        <v>83</v>
      </c>
      <c r="D11" s="10" t="s">
        <v>84</v>
      </c>
      <c r="E11" s="10" t="s">
        <v>29</v>
      </c>
      <c r="F11" s="12" t="str">
        <f>HYPERLINK("https://drive.google.com/file/d/1ZcWJdWDFHWH9-LH1oKsNtajny3v88e8u/view","Open in Drive")</f>
        <v>Open in Drive</v>
      </c>
    </row>
    <row r="12">
      <c r="A12" s="10" t="s">
        <v>85</v>
      </c>
      <c r="B12" s="10" t="s">
        <v>26</v>
      </c>
      <c r="C12" s="10" t="s">
        <v>86</v>
      </c>
      <c r="D12" s="10" t="s">
        <v>87</v>
      </c>
      <c r="E12" s="10" t="s">
        <v>29</v>
      </c>
      <c r="F12" s="12" t="str">
        <f>HYPERLINK("https://drive.google.com/file/d/1Z_p54QnHLoyigQlMBwL8XT398xJnNmqS/view","Open in Drive")</f>
        <v>Open in Drive</v>
      </c>
    </row>
    <row r="13">
      <c r="A13" s="10" t="s">
        <v>91</v>
      </c>
      <c r="B13" s="10" t="s">
        <v>26</v>
      </c>
      <c r="C13" s="10" t="s">
        <v>92</v>
      </c>
      <c r="D13" s="10" t="s">
        <v>93</v>
      </c>
      <c r="E13" s="10" t="s">
        <v>29</v>
      </c>
      <c r="F13" s="12" t="str">
        <f>HYPERLINK("https://drive.google.com/file/d/1ZQsgIlKlVvdeXykS6TOimQwoQdKYSJrU/view","Open in Drive")</f>
        <v>Open in Drive</v>
      </c>
    </row>
    <row r="14">
      <c r="A14" s="10" t="s">
        <v>95</v>
      </c>
      <c r="B14" s="10" t="s">
        <v>26</v>
      </c>
      <c r="C14" s="10" t="s">
        <v>96</v>
      </c>
      <c r="D14" s="10" t="s">
        <v>99</v>
      </c>
      <c r="E14" s="10" t="s">
        <v>29</v>
      </c>
      <c r="F14" s="12" t="str">
        <f>HYPERLINK("https://drive.google.com/file/d/1ZNLMI5V2YdZu_uwgC66RuSim3pyByn4G/view","Open in Drive")</f>
        <v>Open in Drive</v>
      </c>
    </row>
    <row r="15">
      <c r="A15" s="10" t="s">
        <v>104</v>
      </c>
      <c r="B15" s="10" t="s">
        <v>26</v>
      </c>
      <c r="C15" s="10" t="s">
        <v>105</v>
      </c>
      <c r="D15" s="10" t="s">
        <v>106</v>
      </c>
      <c r="E15" s="10" t="s">
        <v>29</v>
      </c>
      <c r="F15" s="12" t="str">
        <f>HYPERLINK("https://drive.google.com/file/d/1Yii_RCqjhhKVtauLb4Nou9subwoHaP-D/view","Open in Drive")</f>
        <v>Open in Drive</v>
      </c>
    </row>
    <row r="16">
      <c r="A16" s="10" t="s">
        <v>110</v>
      </c>
      <c r="B16" s="10" t="s">
        <v>26</v>
      </c>
      <c r="C16" s="10" t="s">
        <v>111</v>
      </c>
      <c r="D16" s="10" t="s">
        <v>113</v>
      </c>
      <c r="E16" s="10" t="s">
        <v>29</v>
      </c>
      <c r="F16" s="12" t="str">
        <f>HYPERLINK("https://drive.google.com/file/d/1YxNm4qu3YpxxOl_CZcYVjRw0tb1X0TDX/view","Open in Drive")</f>
        <v>Open in Drive</v>
      </c>
    </row>
    <row r="17">
      <c r="A17" s="10" t="s">
        <v>116</v>
      </c>
      <c r="B17" s="10" t="s">
        <v>26</v>
      </c>
      <c r="C17" s="10" t="s">
        <v>117</v>
      </c>
      <c r="D17" s="10" t="s">
        <v>118</v>
      </c>
      <c r="E17" s="10" t="s">
        <v>29</v>
      </c>
      <c r="F17" s="12" t="str">
        <f>HYPERLINK("https://drive.google.com/file/d/1ZKeuha3WuQsveRwMnN-oc6FLNpU3BqTI/view","Open in Drive")</f>
        <v>Open in Drive</v>
      </c>
    </row>
    <row r="18">
      <c r="A18" s="7" t="s">
        <v>125</v>
      </c>
      <c r="B18" s="8"/>
      <c r="C18" s="8"/>
      <c r="D18" s="8"/>
      <c r="E18" s="8"/>
      <c r="F18" s="8"/>
    </row>
    <row r="19">
      <c r="A19" s="10" t="s">
        <v>126</v>
      </c>
      <c r="B19" s="10" t="s">
        <v>127</v>
      </c>
      <c r="C19" s="10" t="s">
        <v>128</v>
      </c>
      <c r="D19" s="10" t="s">
        <v>129</v>
      </c>
      <c r="E19" s="10" t="s">
        <v>130</v>
      </c>
      <c r="F19" s="12" t="str">
        <f>HYPERLINK("https://drive.google.com/file/d/1IvqGdLsX0SR_JELaZsurwz64HSPASmXZ/view","Open in Drive")</f>
        <v>Open in Drive</v>
      </c>
    </row>
    <row r="20">
      <c r="A20" s="10" t="s">
        <v>134</v>
      </c>
      <c r="B20" s="10" t="s">
        <v>127</v>
      </c>
      <c r="C20" s="10" t="s">
        <v>135</v>
      </c>
      <c r="D20" s="10" t="s">
        <v>136</v>
      </c>
      <c r="E20" s="10" t="s">
        <v>130</v>
      </c>
      <c r="F20" s="12" t="str">
        <f>HYPERLINK("https://drive.google.com/file/d/1Fj2Fh43x5e7O0M8vy-E2HF8BQv8QM7jF/view","Open in Drive")</f>
        <v>Open in Drive</v>
      </c>
    </row>
    <row r="21" ht="15.75" customHeight="1">
      <c r="A21" s="10" t="s">
        <v>141</v>
      </c>
      <c r="B21" s="10" t="s">
        <v>127</v>
      </c>
      <c r="C21" s="10" t="s">
        <v>142</v>
      </c>
      <c r="D21" s="10" t="s">
        <v>143</v>
      </c>
      <c r="E21" s="10" t="s">
        <v>130</v>
      </c>
      <c r="F21" s="12" t="str">
        <f>HYPERLINK("https://drive.google.com/file/d/1TRZ33sO7ooY6gjJG3b4EIeHe78XYSKbU/view","Open in Drive")</f>
        <v>Open in Drive</v>
      </c>
    </row>
    <row r="22" ht="15.75" customHeight="1">
      <c r="A22" s="10" t="s">
        <v>147</v>
      </c>
      <c r="B22" s="10" t="s">
        <v>127</v>
      </c>
      <c r="C22" s="10" t="s">
        <v>150</v>
      </c>
      <c r="D22" s="10" t="s">
        <v>151</v>
      </c>
      <c r="E22" s="10" t="s">
        <v>130</v>
      </c>
      <c r="F22" s="12" t="str">
        <f>HYPERLINK("https://drive.google.com/file/d/1YaFJQ2wQg6kafn3T5O8VN0U9v6IKQdAv/view","Open in Drive")</f>
        <v>Open in Drive</v>
      </c>
    </row>
    <row r="23" ht="15.75" customHeight="1">
      <c r="A23" s="10" t="s">
        <v>155</v>
      </c>
      <c r="B23" s="10" t="s">
        <v>127</v>
      </c>
      <c r="C23" s="10" t="s">
        <v>156</v>
      </c>
      <c r="D23" s="10" t="s">
        <v>157</v>
      </c>
      <c r="E23" s="10" t="s">
        <v>130</v>
      </c>
      <c r="F23" s="12" t="str">
        <f>HYPERLINK("https://drive.google.com/file/d/1Gkg4h7lS9-6Ztq3CPvSbPBCeHZbpsJBR/view","Open in Drive")</f>
        <v>Open in Drive</v>
      </c>
    </row>
    <row r="24" ht="15.75" customHeight="1">
      <c r="A24" s="10" t="s">
        <v>161</v>
      </c>
      <c r="B24" s="10" t="s">
        <v>127</v>
      </c>
      <c r="C24" s="10" t="s">
        <v>163</v>
      </c>
      <c r="D24" s="10" t="s">
        <v>177</v>
      </c>
      <c r="E24" s="10" t="s">
        <v>130</v>
      </c>
      <c r="F24" s="12" t="str">
        <f>HYPERLINK("https://drive.google.com/file/d/1HbDMX0V7tXQxjRPW7OXISgsRfc3Sfpqc/view","Open in Drive")</f>
        <v>Open in Drive</v>
      </c>
    </row>
    <row r="25" ht="15.75" customHeight="1">
      <c r="A25" s="10" t="s">
        <v>182</v>
      </c>
      <c r="B25" s="10" t="s">
        <v>127</v>
      </c>
      <c r="C25" s="10" t="s">
        <v>183</v>
      </c>
      <c r="D25" s="10" t="s">
        <v>184</v>
      </c>
      <c r="E25" s="10" t="s">
        <v>130</v>
      </c>
      <c r="F25" s="12" t="str">
        <f>HYPERLINK("https://drive.google.com/file/d/1diRnFaO924lUqGOKX9K-VdFR_lRtYt8d/view","Open in Drive")</f>
        <v>Open in Drive</v>
      </c>
    </row>
    <row r="26" ht="15.75" customHeight="1">
      <c r="A26" s="10" t="s">
        <v>191</v>
      </c>
      <c r="B26" s="10" t="s">
        <v>127</v>
      </c>
      <c r="C26" s="10" t="s">
        <v>192</v>
      </c>
      <c r="D26" s="10" t="s">
        <v>193</v>
      </c>
      <c r="E26" s="10" t="s">
        <v>130</v>
      </c>
      <c r="F26" s="12" t="str">
        <f>HYPERLINK("https://drive.google.com/file/d/1bO1HZwBZJOpD5W1ipM-dKcnl00FjFIe7/view","Open in Drive")</f>
        <v>Open in Drive</v>
      </c>
    </row>
    <row r="27" ht="15.75" customHeight="1">
      <c r="A27" s="10" t="s">
        <v>196</v>
      </c>
      <c r="B27" s="10" t="s">
        <v>127</v>
      </c>
      <c r="C27" s="10" t="s">
        <v>198</v>
      </c>
      <c r="D27" s="10" t="s">
        <v>199</v>
      </c>
      <c r="E27" s="10" t="s">
        <v>130</v>
      </c>
      <c r="F27" s="12" t="str">
        <f>HYPERLINK("https://drive.google.com/file/d/1Uys4XowtsQxXfLmOLRyR2pnpr5xxAwj6/view","Open in Drive")</f>
        <v>Open in Drive</v>
      </c>
    </row>
    <row r="28" ht="15.75" customHeight="1">
      <c r="A28" s="10" t="s">
        <v>207</v>
      </c>
      <c r="B28" s="10" t="s">
        <v>127</v>
      </c>
      <c r="C28" s="10" t="s">
        <v>208</v>
      </c>
      <c r="D28" s="10" t="s">
        <v>209</v>
      </c>
      <c r="E28" s="10" t="s">
        <v>130</v>
      </c>
      <c r="F28" s="12" t="str">
        <f>HYPERLINK("https://drive.google.com/file/d/1GijhL1yKyxGo3hBlLEq-ya5ah3fb9qyh/view","Open in Drive")</f>
        <v>Open in Drive</v>
      </c>
    </row>
    <row r="29" ht="15.75" customHeight="1">
      <c r="A29" s="10" t="s">
        <v>214</v>
      </c>
      <c r="B29" s="10" t="s">
        <v>127</v>
      </c>
      <c r="C29" s="10" t="s">
        <v>215</v>
      </c>
      <c r="D29" s="10" t="s">
        <v>216</v>
      </c>
      <c r="E29" s="10" t="s">
        <v>130</v>
      </c>
      <c r="F29" s="12" t="str">
        <f>HYPERLINK("https://drive.google.com/file/d/1ptDTorWVAllbXLRGiib_jltXtF60gyok/view","Open in Drive")</f>
        <v>Open in Drive</v>
      </c>
    </row>
    <row r="30" ht="15.75" customHeight="1">
      <c r="A30" s="10" t="s">
        <v>218</v>
      </c>
      <c r="B30" s="10" t="s">
        <v>127</v>
      </c>
      <c r="C30" s="10" t="s">
        <v>219</v>
      </c>
      <c r="D30" s="10" t="s">
        <v>220</v>
      </c>
      <c r="E30" s="10" t="s">
        <v>130</v>
      </c>
      <c r="F30" s="12" t="str">
        <f>HYPERLINK("https://drive.google.com/file/d/1TGqVaydL99WBLkVH-wLDvScPUS6JoNeA/view","Open in Drive")</f>
        <v>Open in Drive</v>
      </c>
    </row>
    <row r="31" ht="15.75" customHeight="1">
      <c r="A31" s="10" t="s">
        <v>227</v>
      </c>
      <c r="B31" s="10" t="s">
        <v>127</v>
      </c>
      <c r="C31" s="10" t="s">
        <v>228</v>
      </c>
      <c r="D31" s="10" t="s">
        <v>229</v>
      </c>
      <c r="E31" s="10" t="s">
        <v>130</v>
      </c>
      <c r="F31" s="12" t="str">
        <f>HYPERLINK("https://drive.google.com/file/d/1QrmQ3CLeZLylOteJv0h_P2ExEXha2S58/view","Open in Drive")</f>
        <v>Open in Drive</v>
      </c>
    </row>
    <row r="32" ht="15.75" customHeight="1">
      <c r="A32" s="10" t="s">
        <v>233</v>
      </c>
      <c r="B32" s="10" t="s">
        <v>127</v>
      </c>
      <c r="C32" s="10" t="s">
        <v>235</v>
      </c>
      <c r="D32" s="10" t="s">
        <v>237</v>
      </c>
      <c r="E32" s="10" t="s">
        <v>130</v>
      </c>
      <c r="F32" s="12" t="str">
        <f>HYPERLINK("https://drive.google.com/file/d/16T4qXw9KYFqtjVLGJz2PaGb8Tap2nzYs/view","Open in Drive")</f>
        <v>Open in Drive</v>
      </c>
    </row>
    <row r="33" ht="15.75" customHeight="1">
      <c r="A33" s="10" t="s">
        <v>242</v>
      </c>
      <c r="B33" s="10" t="s">
        <v>127</v>
      </c>
      <c r="C33" s="10" t="s">
        <v>243</v>
      </c>
      <c r="D33" s="10" t="s">
        <v>245</v>
      </c>
      <c r="E33" s="10" t="s">
        <v>130</v>
      </c>
      <c r="F33" s="12" t="str">
        <f>HYPERLINK("https://drive.google.com/file/d/12Qt3k-3G5vRkzy3LCQ4Y6KCnOsW1q5dh/view","Open in Drive")</f>
        <v>Open in Drive</v>
      </c>
    </row>
    <row r="34" ht="15.75" customHeight="1">
      <c r="A34" s="10" t="s">
        <v>250</v>
      </c>
      <c r="B34" s="10" t="s">
        <v>127</v>
      </c>
      <c r="C34" s="10" t="s">
        <v>251</v>
      </c>
      <c r="D34" s="10" t="s">
        <v>252</v>
      </c>
      <c r="E34" s="10" t="s">
        <v>130</v>
      </c>
      <c r="F34" s="12" t="str">
        <f>HYPERLINK("https://drive.google.com/file/d/1Rava7D4UnHr2csMsjRT7_I5i_sGoh30I/view","Open in Drive")</f>
        <v>Open in Drive</v>
      </c>
    </row>
    <row r="35" ht="15.75" customHeight="1">
      <c r="A35" s="10" t="s">
        <v>257</v>
      </c>
      <c r="B35" s="10" t="s">
        <v>127</v>
      </c>
      <c r="C35" s="10" t="s">
        <v>258</v>
      </c>
      <c r="D35" s="10" t="s">
        <v>259</v>
      </c>
      <c r="E35" s="10" t="s">
        <v>130</v>
      </c>
      <c r="F35" s="12" t="str">
        <f>HYPERLINK("https://drive.google.com/file/d/1PPa5nr97BcZlYnp6W50EpDrx4-yn7m2g/view","Open in Drive")</f>
        <v>Open in Drive</v>
      </c>
    </row>
    <row r="36" ht="15.75" customHeight="1">
      <c r="A36" s="10" t="s">
        <v>261</v>
      </c>
      <c r="B36" s="10" t="s">
        <v>127</v>
      </c>
      <c r="C36" s="10" t="s">
        <v>262</v>
      </c>
      <c r="D36" s="10" t="s">
        <v>263</v>
      </c>
      <c r="E36" s="10" t="s">
        <v>130</v>
      </c>
      <c r="F36" s="12" t="str">
        <f>HYPERLINK("https://drive.google.com/file/d/1Mn9hQ63TeDN1QKeq8a1NtUjBSIWn2To8/view","Open in Drive")</f>
        <v>Open in Drive</v>
      </c>
    </row>
    <row r="37" ht="15.75" customHeight="1">
      <c r="A37" s="10" t="s">
        <v>269</v>
      </c>
      <c r="B37" s="10" t="s">
        <v>127</v>
      </c>
      <c r="C37" s="10" t="s">
        <v>270</v>
      </c>
      <c r="D37" s="10" t="s">
        <v>271</v>
      </c>
      <c r="E37" s="10" t="s">
        <v>130</v>
      </c>
      <c r="F37" s="12" t="str">
        <f>HYPERLINK("https://drive.google.com/file/d/1_zypMx3kHrbhEc2tLwkj5H_Pl4bASvV_/view","Open in Drive")</f>
        <v>Open in Drive</v>
      </c>
    </row>
    <row r="38" ht="15.75" customHeight="1">
      <c r="A38" s="10" t="s">
        <v>275</v>
      </c>
      <c r="B38" s="10" t="s">
        <v>127</v>
      </c>
      <c r="C38" s="10" t="s">
        <v>276</v>
      </c>
      <c r="D38" s="10" t="s">
        <v>277</v>
      </c>
      <c r="E38" s="10" t="s">
        <v>130</v>
      </c>
      <c r="F38" s="12" t="str">
        <f>HYPERLINK("https://drive.google.com/file/d/1onK5KirDG1rA9F_zzr90w7F7bX5fMXPH/view","Open in Drive")</f>
        <v>Open in Drive</v>
      </c>
    </row>
    <row r="39" ht="15.75" customHeight="1">
      <c r="A39" s="10" t="s">
        <v>281</v>
      </c>
      <c r="B39" s="10" t="s">
        <v>127</v>
      </c>
      <c r="C39" s="10" t="s">
        <v>283</v>
      </c>
      <c r="D39" s="10" t="s">
        <v>284</v>
      </c>
      <c r="E39" s="10" t="s">
        <v>130</v>
      </c>
      <c r="F39" s="12" t="str">
        <f>HYPERLINK("https://drive.google.com/file/d/1H_EbB9jJNB1Jzjy_XDdpL-ZW-IVLNjWI/view","Open in Drive")</f>
        <v>Open in Drive</v>
      </c>
    </row>
    <row r="40" ht="15.75" customHeight="1">
      <c r="A40" s="10" t="s">
        <v>285</v>
      </c>
      <c r="B40" s="10" t="s">
        <v>127</v>
      </c>
      <c r="C40" s="10" t="s">
        <v>286</v>
      </c>
      <c r="D40" s="10" t="s">
        <v>287</v>
      </c>
      <c r="E40" s="10" t="s">
        <v>130</v>
      </c>
      <c r="F40" s="12" t="str">
        <f>HYPERLINK("https://drive.google.com/file/d/1KCn8p_juLVKtXoA0ilYaTjukGOsFTTfD/view","Open in Drive")</f>
        <v>Open in Drive</v>
      </c>
    </row>
    <row r="41" ht="15.75" customHeight="1">
      <c r="A41" s="10" t="s">
        <v>290</v>
      </c>
      <c r="B41" s="10" t="s">
        <v>127</v>
      </c>
      <c r="C41" s="10" t="s">
        <v>292</v>
      </c>
      <c r="D41" s="10" t="s">
        <v>294</v>
      </c>
      <c r="E41" s="10" t="s">
        <v>130</v>
      </c>
      <c r="F41" s="12" t="str">
        <f>HYPERLINK("https://drive.google.com/file/d/1TCRFHiRVd3-xPYy2BbFia8JxcELP5mc0/view","Open in Drive")</f>
        <v>Open in Drive</v>
      </c>
    </row>
    <row r="42" ht="15.75" customHeight="1">
      <c r="A42" s="10" t="s">
        <v>296</v>
      </c>
      <c r="B42" s="10" t="s">
        <v>127</v>
      </c>
      <c r="C42" s="10" t="s">
        <v>297</v>
      </c>
      <c r="D42" s="10" t="s">
        <v>298</v>
      </c>
      <c r="E42" s="10" t="s">
        <v>130</v>
      </c>
      <c r="F42" s="12" t="str">
        <f>HYPERLINK("https://drive.google.com/file/d/1aKu0KW4v2AJvZIFQ81hdd6GZnOJDEC8o/view","Open in Drive")</f>
        <v>Open in Drive</v>
      </c>
    </row>
    <row r="43" ht="15.75" customHeight="1">
      <c r="A43" s="10" t="s">
        <v>301</v>
      </c>
      <c r="B43" s="10" t="s">
        <v>127</v>
      </c>
      <c r="C43" s="10" t="s">
        <v>302</v>
      </c>
      <c r="D43" s="10" t="s">
        <v>303</v>
      </c>
      <c r="E43" s="10" t="s">
        <v>130</v>
      </c>
      <c r="F43" s="12" t="str">
        <f>HYPERLINK("https://drive.google.com/file/d/1OmMbXoe27SBHXkLqQfYxANjoeM7mPDAP/view","Open in Drive")</f>
        <v>Open in Drive</v>
      </c>
    </row>
    <row r="44" ht="15.75" customHeight="1">
      <c r="A44" s="10" t="s">
        <v>306</v>
      </c>
      <c r="B44" s="10" t="s">
        <v>127</v>
      </c>
      <c r="C44" s="10" t="s">
        <v>308</v>
      </c>
      <c r="D44" s="10" t="s">
        <v>309</v>
      </c>
      <c r="E44" s="10" t="s">
        <v>130</v>
      </c>
      <c r="F44" s="12" t="str">
        <f>HYPERLINK("https://drive.google.com/file/d/1Fjz6l90_oSyatszG9udY1Y3zjX_wpX9j/view","Open in Drive")</f>
        <v>Open in Drive</v>
      </c>
    </row>
    <row r="45" ht="15.75" customHeight="1">
      <c r="A45" s="10" t="s">
        <v>313</v>
      </c>
      <c r="B45" s="10" t="s">
        <v>127</v>
      </c>
      <c r="C45" s="10" t="s">
        <v>314</v>
      </c>
      <c r="D45" s="10" t="s">
        <v>315</v>
      </c>
      <c r="E45" s="10" t="s">
        <v>130</v>
      </c>
      <c r="F45" s="12" t="str">
        <f>HYPERLINK("https://drive.google.com/file/d/1PZrUHljxQ-BGhge7tNr6IJQVjt0-QGjh/view","Open in Drive")</f>
        <v>Open in Drive</v>
      </c>
    </row>
    <row r="46" ht="15.75" customHeight="1">
      <c r="A46" s="10" t="s">
        <v>319</v>
      </c>
      <c r="B46" s="10" t="s">
        <v>127</v>
      </c>
      <c r="C46" s="10" t="s">
        <v>320</v>
      </c>
      <c r="D46" s="10" t="s">
        <v>321</v>
      </c>
      <c r="E46" s="10" t="s">
        <v>130</v>
      </c>
      <c r="F46" s="12" t="str">
        <f>HYPERLINK("https://drive.google.com/file/d/1yz9viSI_44MRQsc7LCaOSes6j32AVfp7/view","Open in Drive")</f>
        <v>Open in Drive</v>
      </c>
    </row>
    <row r="47" ht="15.75" customHeight="1">
      <c r="A47" s="10" t="s">
        <v>322</v>
      </c>
      <c r="B47" s="10" t="s">
        <v>127</v>
      </c>
      <c r="C47" s="10" t="s">
        <v>323</v>
      </c>
      <c r="D47" s="10" t="s">
        <v>324</v>
      </c>
      <c r="E47" s="10" t="s">
        <v>130</v>
      </c>
      <c r="F47" s="12" t="str">
        <f>HYPERLINK("https://drive.google.com/file/d/1I62dOr-M-k_ULjIgtwioqweyaLWygEvH/view","Open in Drive")</f>
        <v>Open in Drive</v>
      </c>
    </row>
    <row r="48" ht="15.75" customHeight="1">
      <c r="A48" s="10" t="s">
        <v>329</v>
      </c>
      <c r="B48" s="10" t="s">
        <v>127</v>
      </c>
      <c r="C48" s="10" t="s">
        <v>330</v>
      </c>
      <c r="D48" s="10" t="s">
        <v>331</v>
      </c>
      <c r="E48" s="10" t="s">
        <v>130</v>
      </c>
      <c r="F48" s="12" t="str">
        <f>HYPERLINK("https://drive.google.com/file/d/1MD3_o4ldSuaGYl0d4pLOmIWOkPDAZG6r/view","Open in Drive")</f>
        <v>Open in Drive</v>
      </c>
    </row>
    <row r="49" ht="15.75" customHeight="1">
      <c r="A49" s="10" t="s">
        <v>333</v>
      </c>
      <c r="B49" s="10" t="s">
        <v>127</v>
      </c>
      <c r="C49" s="10" t="s">
        <v>334</v>
      </c>
      <c r="D49" s="10" t="s">
        <v>335</v>
      </c>
      <c r="E49" s="10" t="s">
        <v>130</v>
      </c>
      <c r="F49" s="12" t="str">
        <f>HYPERLINK("https://drive.google.com/file/d/1Zvx_yPFKRGWAktA6kzqa7nzHQoqCOx5l/view","Open in Drive")</f>
        <v>Open in Drive</v>
      </c>
    </row>
    <row r="50" ht="15.75" customHeight="1">
      <c r="A50" s="10" t="s">
        <v>340</v>
      </c>
      <c r="B50" s="10" t="s">
        <v>127</v>
      </c>
      <c r="C50" s="10" t="s">
        <v>341</v>
      </c>
      <c r="D50" s="10" t="s">
        <v>342</v>
      </c>
      <c r="E50" s="10" t="s">
        <v>130</v>
      </c>
      <c r="F50" s="12" t="str">
        <f>HYPERLINK("https://drive.google.com/file/d/1D5XXbexyUnFB7jOhBqgHRt-8V3ZM0-MD/view","Open in Drive")</f>
        <v>Open in Drive</v>
      </c>
    </row>
    <row r="51" ht="15.75" customHeight="1">
      <c r="A51" s="10" t="s">
        <v>343</v>
      </c>
      <c r="B51" s="10" t="s">
        <v>127</v>
      </c>
      <c r="C51" s="10" t="s">
        <v>344</v>
      </c>
      <c r="D51" s="10" t="s">
        <v>345</v>
      </c>
      <c r="E51" s="10" t="s">
        <v>130</v>
      </c>
      <c r="F51" s="12" t="str">
        <f>HYPERLINK("https://drive.google.com/file/d/1kWGE0nz4idb-W8UAkEE9_4ZiHHyGL0LE/view","Open in Drive")</f>
        <v>Open in Drive</v>
      </c>
    </row>
    <row r="52" ht="15.75" customHeight="1">
      <c r="A52" s="10" t="s">
        <v>348</v>
      </c>
      <c r="B52" s="10" t="s">
        <v>127</v>
      </c>
      <c r="C52" s="10" t="s">
        <v>349</v>
      </c>
      <c r="D52" s="10" t="s">
        <v>350</v>
      </c>
      <c r="E52" s="10" t="s">
        <v>130</v>
      </c>
      <c r="F52" s="12" t="str">
        <f>HYPERLINK("https://drive.google.com/file/d/1U5Osy99qgGjnt0Up86en1Oin-mW6N3tD/view","Open in Drive")</f>
        <v>Open in Drive</v>
      </c>
    </row>
    <row r="53" ht="15.75" customHeight="1">
      <c r="A53" s="10" t="s">
        <v>351</v>
      </c>
      <c r="B53" s="10" t="s">
        <v>127</v>
      </c>
      <c r="C53" s="10" t="s">
        <v>352</v>
      </c>
      <c r="D53" s="10" t="s">
        <v>353</v>
      </c>
      <c r="E53" s="10" t="s">
        <v>130</v>
      </c>
      <c r="F53" s="12" t="str">
        <f>HYPERLINK("https://drive.google.com/file/d/1ZRlP3E9r3RnWjqyV_LJ6VTCn1B5XdGpb/view","Open in Drive")</f>
        <v>Open in Drive</v>
      </c>
    </row>
    <row r="54" ht="15.75" customHeight="1">
      <c r="A54" s="10" t="s">
        <v>361</v>
      </c>
      <c r="B54" s="10" t="s">
        <v>127</v>
      </c>
      <c r="C54" s="10" t="s">
        <v>362</v>
      </c>
      <c r="D54" s="10" t="s">
        <v>363</v>
      </c>
      <c r="E54" s="10" t="s">
        <v>130</v>
      </c>
      <c r="F54" s="12" t="str">
        <f>HYPERLINK("https://drive.google.com/file/d/1LdqUDX4Aop5MjdgvzbfEt7UQlJ6racm0/view","Open in Drive")</f>
        <v>Open in Drive</v>
      </c>
    </row>
    <row r="55" ht="15.75" customHeight="1">
      <c r="A55" s="10" t="s">
        <v>365</v>
      </c>
      <c r="B55" s="10" t="s">
        <v>127</v>
      </c>
      <c r="C55" s="10" t="s">
        <v>366</v>
      </c>
      <c r="D55" s="10" t="s">
        <v>367</v>
      </c>
      <c r="E55" s="10" t="s">
        <v>130</v>
      </c>
      <c r="F55" s="12" t="str">
        <f>HYPERLINK("https://drive.google.com/file/d/1bni9rv6xqQR4TsS9m_0Rjjv0DhihWF_f/view","Open in Drive")</f>
        <v>Open in Drive</v>
      </c>
    </row>
    <row r="56" ht="15.75" customHeight="1">
      <c r="A56" s="10" t="s">
        <v>370</v>
      </c>
      <c r="B56" s="10" t="s">
        <v>127</v>
      </c>
      <c r="C56" s="10" t="s">
        <v>371</v>
      </c>
      <c r="D56" s="10" t="s">
        <v>373</v>
      </c>
      <c r="E56" s="10" t="s">
        <v>130</v>
      </c>
      <c r="F56" s="12" t="str">
        <f>HYPERLINK("https://drive.google.com/file/d/1onxcYU4jLKoC49BGKuFO5Nt80CHb2DqI/view","Open in Drive")</f>
        <v>Open in Drive</v>
      </c>
    </row>
    <row r="57" ht="15.75" customHeight="1">
      <c r="A57" s="10" t="s">
        <v>375</v>
      </c>
      <c r="B57" s="10" t="s">
        <v>127</v>
      </c>
      <c r="C57" s="10" t="s">
        <v>376</v>
      </c>
      <c r="D57" s="10" t="s">
        <v>377</v>
      </c>
      <c r="E57" s="10" t="s">
        <v>130</v>
      </c>
      <c r="F57" s="12" t="str">
        <f>HYPERLINK("https://drive.google.com/file/d/1VaZ8EkPemjG0-MTflvBh2fWsTX4B52E0/view","Open in Drive")</f>
        <v>Open in Drive</v>
      </c>
    </row>
    <row r="58" ht="15.75" customHeight="1">
      <c r="A58" s="10" t="s">
        <v>379</v>
      </c>
      <c r="B58" s="10" t="s">
        <v>127</v>
      </c>
      <c r="C58" s="10" t="s">
        <v>380</v>
      </c>
      <c r="D58" s="10" t="s">
        <v>382</v>
      </c>
      <c r="E58" s="10" t="s">
        <v>130</v>
      </c>
      <c r="F58" s="12" t="str">
        <f>HYPERLINK("https://drive.google.com/file/d/1_2H4ijlfhTCzr6FvthzM8C7fiPtglufN/view","Open in Drive")</f>
        <v>Open in Drive</v>
      </c>
    </row>
    <row r="59" ht="15.75" customHeight="1">
      <c r="A59" s="10" t="s">
        <v>385</v>
      </c>
      <c r="B59" s="10" t="s">
        <v>127</v>
      </c>
      <c r="C59" s="10" t="s">
        <v>386</v>
      </c>
      <c r="D59" s="10" t="s">
        <v>387</v>
      </c>
      <c r="E59" s="10" t="s">
        <v>130</v>
      </c>
      <c r="F59" s="12" t="str">
        <f>HYPERLINK("https://drive.google.com/file/d/1b-Ng3D41PHg-hSiAYsjOx5JlL4t_n8I4/view","Open in Drive")</f>
        <v>Open in Drive</v>
      </c>
    </row>
    <row r="60" ht="15.75" customHeight="1">
      <c r="A60" s="10" t="s">
        <v>389</v>
      </c>
      <c r="B60" s="10" t="s">
        <v>127</v>
      </c>
      <c r="C60" s="10" t="s">
        <v>390</v>
      </c>
      <c r="D60" s="10" t="s">
        <v>391</v>
      </c>
      <c r="E60" s="10" t="s">
        <v>130</v>
      </c>
      <c r="F60" s="12" t="str">
        <f>HYPERLINK("https://drive.google.com/file/d/1LQgAICc3NNHVsPO9yP1N8_c61mLicry_/view","Open in Drive")</f>
        <v>Open in Drive</v>
      </c>
    </row>
    <row r="61" ht="15.75" customHeight="1">
      <c r="A61" s="10" t="s">
        <v>394</v>
      </c>
      <c r="B61" s="10" t="s">
        <v>127</v>
      </c>
      <c r="C61" s="10" t="s">
        <v>396</v>
      </c>
      <c r="D61" s="10" t="s">
        <v>398</v>
      </c>
      <c r="E61" s="10" t="s">
        <v>130</v>
      </c>
      <c r="F61" s="12" t="str">
        <f>HYPERLINK("https://drive.google.com/file/d/1wSNKBuyR7dLSPpgXif8HDUyrsBTQZqJn/view","Open in Drive")</f>
        <v>Open in Drive</v>
      </c>
    </row>
    <row r="62" ht="15.75" customHeight="1">
      <c r="A62" s="10" t="s">
        <v>401</v>
      </c>
      <c r="B62" s="10" t="s">
        <v>127</v>
      </c>
      <c r="C62" s="10" t="s">
        <v>403</v>
      </c>
      <c r="D62" s="10" t="s">
        <v>405</v>
      </c>
      <c r="E62" s="10" t="s">
        <v>130</v>
      </c>
      <c r="F62" s="12" t="str">
        <f>HYPERLINK("https://drive.google.com/file/d/1Wfd84-jCVJ54MSR_AQrFUKh0BffN_nTp/view","Open in Drive")</f>
        <v>Open in Drive</v>
      </c>
    </row>
    <row r="63" ht="15.75" customHeight="1">
      <c r="A63" s="10" t="s">
        <v>407</v>
      </c>
      <c r="B63" s="10" t="s">
        <v>127</v>
      </c>
      <c r="C63" s="10" t="s">
        <v>408</v>
      </c>
      <c r="D63" s="10" t="s">
        <v>409</v>
      </c>
      <c r="E63" s="10" t="s">
        <v>130</v>
      </c>
      <c r="F63" s="12" t="str">
        <f>HYPERLINK("https://drive.google.com/file/d/1uJ4OeuScR7DXYJfl4X9nbHOhe4tWdfPb/view","Open in Drive")</f>
        <v>Open in Drive</v>
      </c>
    </row>
    <row r="64" ht="15.75" customHeight="1">
      <c r="A64" s="10" t="s">
        <v>413</v>
      </c>
      <c r="B64" s="10" t="s">
        <v>127</v>
      </c>
      <c r="C64" s="10" t="s">
        <v>414</v>
      </c>
      <c r="D64" s="10" t="s">
        <v>415</v>
      </c>
      <c r="E64" s="10" t="s">
        <v>130</v>
      </c>
      <c r="F64" s="12" t="str">
        <f>HYPERLINK("https://drive.google.com/file/d/12hHG61LsSGBwbnJEHl742AMnQ_Cowgs7/view","Open in Drive")</f>
        <v>Open in Drive</v>
      </c>
    </row>
    <row r="65" ht="15.75" customHeight="1">
      <c r="A65" s="10" t="s">
        <v>418</v>
      </c>
      <c r="B65" s="10" t="s">
        <v>127</v>
      </c>
      <c r="C65" s="10" t="s">
        <v>419</v>
      </c>
      <c r="D65" s="10" t="s">
        <v>420</v>
      </c>
      <c r="E65" s="10" t="s">
        <v>130</v>
      </c>
      <c r="F65" s="12" t="str">
        <f>HYPERLINK("https://drive.google.com/file/d/1H6Wev_PJGu6-8Wr2oTxs8xED_os8Z-vd/view","Open in Drive")</f>
        <v>Open in Drive</v>
      </c>
    </row>
    <row r="66" ht="15.75" customHeight="1">
      <c r="A66" s="10" t="s">
        <v>423</v>
      </c>
      <c r="B66" s="10" t="s">
        <v>127</v>
      </c>
      <c r="C66" s="10" t="s">
        <v>424</v>
      </c>
      <c r="D66" s="10" t="s">
        <v>425</v>
      </c>
      <c r="E66" s="10" t="s">
        <v>130</v>
      </c>
      <c r="F66" s="12" t="str">
        <f>HYPERLINK("https://drive.google.com/file/d/1WHIcIxWziNT0oLo4YC8um4C86fAV8ROH/view","Open in Drive")</f>
        <v>Open in Drive</v>
      </c>
    </row>
    <row r="67" ht="15.75" customHeight="1">
      <c r="A67" s="10" t="s">
        <v>428</v>
      </c>
      <c r="B67" s="10" t="s">
        <v>127</v>
      </c>
      <c r="C67" s="10" t="s">
        <v>430</v>
      </c>
      <c r="D67" s="10" t="s">
        <v>431</v>
      </c>
      <c r="E67" s="10" t="s">
        <v>130</v>
      </c>
      <c r="F67" s="12" t="str">
        <f>HYPERLINK("https://drive.google.com/file/d/1KjvW1NDyFBQJm9W0IxGxsroek9Xlu_4M/view","Open in Drive")</f>
        <v>Open in Drive</v>
      </c>
    </row>
    <row r="68" ht="15.75" customHeight="1">
      <c r="A68" s="10" t="s">
        <v>435</v>
      </c>
      <c r="B68" s="10" t="s">
        <v>127</v>
      </c>
      <c r="C68" s="10" t="s">
        <v>436</v>
      </c>
      <c r="D68" s="10" t="s">
        <v>437</v>
      </c>
      <c r="E68" s="10" t="s">
        <v>130</v>
      </c>
      <c r="F68" s="12" t="str">
        <f>HYPERLINK("https://drive.google.com/file/d/1Uzg2i-iDw7zPyQ40iIKxJpIluXA6TsyP/view","Open in Drive")</f>
        <v>Open in Drive</v>
      </c>
    </row>
    <row r="69" ht="15.75" customHeight="1">
      <c r="A69" s="7" t="s">
        <v>439</v>
      </c>
      <c r="B69" s="8"/>
      <c r="C69" s="8"/>
      <c r="D69" s="8"/>
      <c r="E69" s="8"/>
      <c r="F69" s="8"/>
    </row>
    <row r="70" ht="15.75" customHeight="1">
      <c r="A70" s="10" t="s">
        <v>443</v>
      </c>
      <c r="B70" s="10" t="s">
        <v>444</v>
      </c>
      <c r="C70" s="10" t="s">
        <v>128</v>
      </c>
      <c r="D70" s="10" t="s">
        <v>129</v>
      </c>
      <c r="E70" s="10" t="s">
        <v>130</v>
      </c>
      <c r="F70" s="12" t="str">
        <f>HYPERLINK("https://drive.google.com/file/d/1CCI1yym5ulgmxSvzl_eIMuwpjt53xXzn/view","Open in Drive")</f>
        <v>Open in Drive</v>
      </c>
    </row>
    <row r="71" ht="15.75" customHeight="1">
      <c r="A71" s="10" t="s">
        <v>445</v>
      </c>
      <c r="B71" s="10" t="s">
        <v>444</v>
      </c>
      <c r="C71" s="10" t="s">
        <v>135</v>
      </c>
      <c r="D71" s="10" t="s">
        <v>136</v>
      </c>
      <c r="E71" s="10" t="s">
        <v>130</v>
      </c>
      <c r="F71" s="12" t="str">
        <f>HYPERLINK("https://drive.google.com/file/d/18Qfq1lZ7fuvBFhzeO_7dy-8q_Y2AYlvu/view","Open in Drive")</f>
        <v>Open in Drive</v>
      </c>
    </row>
    <row r="72" ht="15.75" customHeight="1">
      <c r="A72" s="10" t="s">
        <v>449</v>
      </c>
      <c r="B72" s="10" t="s">
        <v>444</v>
      </c>
      <c r="C72" s="10" t="s">
        <v>142</v>
      </c>
      <c r="D72" s="10" t="s">
        <v>143</v>
      </c>
      <c r="E72" s="10" t="s">
        <v>130</v>
      </c>
      <c r="F72" s="12" t="str">
        <f>HYPERLINK("https://drive.google.com/file/d/1hyr67OQkwXVmFv4FkrKaw--Cejhg0IDm/view","Open in Drive")</f>
        <v>Open in Drive</v>
      </c>
    </row>
    <row r="73" ht="15.75" customHeight="1">
      <c r="A73" s="10" t="s">
        <v>452</v>
      </c>
      <c r="B73" s="10" t="s">
        <v>444</v>
      </c>
      <c r="C73" s="10" t="s">
        <v>150</v>
      </c>
      <c r="D73" s="10" t="s">
        <v>151</v>
      </c>
      <c r="E73" s="10" t="s">
        <v>130</v>
      </c>
      <c r="F73" s="12" t="str">
        <f>HYPERLINK("https://drive.google.com/file/d/1OIzATeuFk4fEqEIgQTfqVjOyJV7kdugf/view","Open in Drive")</f>
        <v>Open in Drive</v>
      </c>
    </row>
    <row r="74" ht="15.75" customHeight="1">
      <c r="A74" s="10" t="s">
        <v>453</v>
      </c>
      <c r="B74" s="10" t="s">
        <v>444</v>
      </c>
      <c r="C74" s="10" t="s">
        <v>156</v>
      </c>
      <c r="D74" s="10" t="s">
        <v>157</v>
      </c>
      <c r="E74" s="10" t="s">
        <v>130</v>
      </c>
      <c r="F74" s="12" t="str">
        <f>HYPERLINK("https://drive.google.com/file/d/1JTFzlHU02pFcoUyQPjS7Q0M73dhbbpag/view","Open in Drive")</f>
        <v>Open in Drive</v>
      </c>
    </row>
    <row r="75" ht="15.75" customHeight="1">
      <c r="A75" s="10" t="s">
        <v>459</v>
      </c>
      <c r="B75" s="10" t="s">
        <v>444</v>
      </c>
      <c r="C75" s="10" t="s">
        <v>163</v>
      </c>
      <c r="D75" s="10" t="s">
        <v>177</v>
      </c>
      <c r="E75" s="10" t="s">
        <v>130</v>
      </c>
      <c r="F75" s="12" t="str">
        <f>HYPERLINK("https://drive.google.com/file/d/15lCfHyk22dz9VpdqrwPMspMu90UT_lS1/view","Open in Drive")</f>
        <v>Open in Drive</v>
      </c>
    </row>
    <row r="76" ht="15.75" customHeight="1">
      <c r="A76" s="10" t="s">
        <v>461</v>
      </c>
      <c r="B76" s="10" t="s">
        <v>444</v>
      </c>
      <c r="C76" s="10" t="s">
        <v>183</v>
      </c>
      <c r="D76" s="10" t="s">
        <v>184</v>
      </c>
      <c r="E76" s="10" t="s">
        <v>130</v>
      </c>
      <c r="F76" s="12" t="str">
        <f>HYPERLINK("https://drive.google.com/file/d/1Sy5IWtLFvkpxRWTddv03THS7DI7rd6G0/view","Open in Drive")</f>
        <v>Open in Drive</v>
      </c>
    </row>
    <row r="77" ht="15.75" customHeight="1">
      <c r="A77" s="10" t="s">
        <v>467</v>
      </c>
      <c r="B77" s="10" t="s">
        <v>444</v>
      </c>
      <c r="C77" s="10" t="s">
        <v>192</v>
      </c>
      <c r="D77" s="10" t="s">
        <v>193</v>
      </c>
      <c r="E77" s="10" t="s">
        <v>130</v>
      </c>
      <c r="F77" s="12" t="str">
        <f>HYPERLINK("https://drive.google.com/file/d/1v7CwQLu5Djyckqf6qufDvU3IsDeJRLze/view","Open in Drive")</f>
        <v>Open in Drive</v>
      </c>
    </row>
    <row r="78" ht="15.75" customHeight="1">
      <c r="A78" s="10" t="s">
        <v>471</v>
      </c>
      <c r="B78" s="10" t="s">
        <v>444</v>
      </c>
      <c r="C78" s="10" t="s">
        <v>198</v>
      </c>
      <c r="D78" s="10" t="s">
        <v>199</v>
      </c>
      <c r="E78" s="10" t="s">
        <v>130</v>
      </c>
      <c r="F78" s="12" t="str">
        <f>HYPERLINK("https://drive.google.com/file/d/1vJjD5Q76riWPvlh1Sd5JAWya-CqW1Gs5/view","Open in Drive")</f>
        <v>Open in Drive</v>
      </c>
    </row>
    <row r="79" ht="15.75" customHeight="1">
      <c r="A79" s="10" t="s">
        <v>478</v>
      </c>
      <c r="B79" s="10" t="s">
        <v>444</v>
      </c>
      <c r="C79" s="10" t="s">
        <v>208</v>
      </c>
      <c r="D79" s="10" t="s">
        <v>209</v>
      </c>
      <c r="E79" s="10" t="s">
        <v>130</v>
      </c>
      <c r="F79" s="12" t="str">
        <f>HYPERLINK("https://drive.google.com/file/d/1HB6sn-EoO8DcoYHFt-soQM0dXR1AHUnM/view","Open in Drive")</f>
        <v>Open in Drive</v>
      </c>
    </row>
    <row r="80" ht="15.75" customHeight="1">
      <c r="A80" s="10" t="s">
        <v>481</v>
      </c>
      <c r="B80" s="10" t="s">
        <v>444</v>
      </c>
      <c r="C80" s="10" t="s">
        <v>215</v>
      </c>
      <c r="D80" s="10" t="s">
        <v>216</v>
      </c>
      <c r="E80" s="10" t="s">
        <v>130</v>
      </c>
      <c r="F80" s="12" t="str">
        <f>HYPERLINK("https://drive.google.com/file/d/1UGeyeR0YrT61X9Yv77zBmOiYrvF2Yy54/view","Open in Drive")</f>
        <v>Open in Drive</v>
      </c>
    </row>
    <row r="81" ht="15.75" customHeight="1">
      <c r="A81" s="10" t="s">
        <v>488</v>
      </c>
      <c r="B81" s="10" t="s">
        <v>444</v>
      </c>
      <c r="C81" s="10" t="s">
        <v>219</v>
      </c>
      <c r="D81" s="10" t="s">
        <v>220</v>
      </c>
      <c r="E81" s="10" t="s">
        <v>130</v>
      </c>
      <c r="F81" s="12" t="str">
        <f>HYPERLINK("https://drive.google.com/file/d/1tVgq0rh1Fko-_J5wfDXuRy0-80_o9tMg/view","Open in Drive")</f>
        <v>Open in Drive</v>
      </c>
    </row>
    <row r="82" ht="15.75" customHeight="1">
      <c r="A82" s="10" t="s">
        <v>494</v>
      </c>
      <c r="B82" s="10" t="s">
        <v>444</v>
      </c>
      <c r="C82" s="10" t="s">
        <v>228</v>
      </c>
      <c r="D82" s="10" t="s">
        <v>229</v>
      </c>
      <c r="E82" s="10" t="s">
        <v>130</v>
      </c>
      <c r="F82" s="12" t="str">
        <f>HYPERLINK("https://drive.google.com/file/d/1-S1lkFYks2r731XALASWbgtJZUlghzYe/view","Open in Drive")</f>
        <v>Open in Drive</v>
      </c>
    </row>
    <row r="83" ht="15.75" customHeight="1">
      <c r="A83" s="10" t="s">
        <v>503</v>
      </c>
      <c r="B83" s="10" t="s">
        <v>444</v>
      </c>
      <c r="C83" s="10" t="s">
        <v>235</v>
      </c>
      <c r="D83" s="10" t="s">
        <v>237</v>
      </c>
      <c r="E83" s="10" t="s">
        <v>130</v>
      </c>
      <c r="F83" s="12" t="str">
        <f>HYPERLINK("https://drive.google.com/file/d/18DP96ivVAkoo2Z5o-CrBwtLh5KrDlP-9/view","Open in Drive")</f>
        <v>Open in Drive</v>
      </c>
    </row>
    <row r="84" ht="15.75" customHeight="1">
      <c r="A84" s="10" t="s">
        <v>507</v>
      </c>
      <c r="B84" s="10" t="s">
        <v>444</v>
      </c>
      <c r="C84" s="10" t="s">
        <v>243</v>
      </c>
      <c r="D84" s="10" t="s">
        <v>245</v>
      </c>
      <c r="E84" s="10" t="s">
        <v>130</v>
      </c>
      <c r="F84" s="12" t="str">
        <f>HYPERLINK("https://drive.google.com/file/d/18EQuetuYwDqLqm0a92aOdvDgbPaqZjXN/view","Open in Drive")</f>
        <v>Open in Drive</v>
      </c>
    </row>
    <row r="85" ht="15.75" customHeight="1">
      <c r="A85" s="10" t="s">
        <v>512</v>
      </c>
      <c r="B85" s="10" t="s">
        <v>444</v>
      </c>
      <c r="C85" s="10" t="s">
        <v>251</v>
      </c>
      <c r="D85" s="10" t="s">
        <v>252</v>
      </c>
      <c r="E85" s="10" t="s">
        <v>130</v>
      </c>
      <c r="F85" s="12" t="str">
        <f>HYPERLINK("https://drive.google.com/file/d/1Yaj4aaCMdNrBEYYNXhtyIkQB-rI5dPn8/view","Open in Drive")</f>
        <v>Open in Drive</v>
      </c>
    </row>
    <row r="86" ht="15.75" customHeight="1">
      <c r="A86" s="10" t="s">
        <v>513</v>
      </c>
      <c r="B86" s="10" t="s">
        <v>444</v>
      </c>
      <c r="C86" s="10" t="s">
        <v>258</v>
      </c>
      <c r="D86" s="10" t="s">
        <v>259</v>
      </c>
      <c r="E86" s="10" t="s">
        <v>130</v>
      </c>
      <c r="F86" s="12" t="str">
        <f>HYPERLINK("https://drive.google.com/file/d/1IuPt_hsMzf0phbJpqdcs7TRaIdII0R7a/view","Open in Drive")</f>
        <v>Open in Drive</v>
      </c>
    </row>
    <row r="87" ht="15.75" customHeight="1">
      <c r="A87" s="10" t="s">
        <v>517</v>
      </c>
      <c r="B87" s="10" t="s">
        <v>444</v>
      </c>
      <c r="C87" s="10" t="s">
        <v>262</v>
      </c>
      <c r="D87" s="10" t="s">
        <v>263</v>
      </c>
      <c r="E87" s="10" t="s">
        <v>130</v>
      </c>
      <c r="F87" s="12" t="str">
        <f>HYPERLINK("https://drive.google.com/file/d/1KNBEH8CvR7qv02_H2Fm4Fk71nx2HhTmw/view","Open in Drive")</f>
        <v>Open in Drive</v>
      </c>
    </row>
    <row r="88" ht="15.75" customHeight="1">
      <c r="A88" s="10" t="s">
        <v>519</v>
      </c>
      <c r="B88" s="10" t="s">
        <v>444</v>
      </c>
      <c r="C88" s="10" t="s">
        <v>270</v>
      </c>
      <c r="D88" s="10" t="s">
        <v>271</v>
      </c>
      <c r="E88" s="10" t="s">
        <v>130</v>
      </c>
      <c r="F88" s="12" t="str">
        <f>HYPERLINK("https://drive.google.com/file/d/1Aze6miEsyjLq6gaCCx4gBbd99azERk8v/view","Open in Drive")</f>
        <v>Open in Drive</v>
      </c>
    </row>
    <row r="89" ht="15.75" customHeight="1">
      <c r="A89" s="10" t="s">
        <v>520</v>
      </c>
      <c r="B89" s="10" t="s">
        <v>444</v>
      </c>
      <c r="C89" s="10" t="s">
        <v>276</v>
      </c>
      <c r="D89" s="10" t="s">
        <v>277</v>
      </c>
      <c r="E89" s="10" t="s">
        <v>130</v>
      </c>
      <c r="F89" s="12" t="str">
        <f>HYPERLINK("https://drive.google.com/file/d/1EfYs3fwKAb4v5PHpc6RtYgST1O1lIQ6s/view","Open in Drive")</f>
        <v>Open in Drive</v>
      </c>
    </row>
    <row r="90" ht="15.75" customHeight="1">
      <c r="A90" s="10" t="s">
        <v>525</v>
      </c>
      <c r="B90" s="10" t="s">
        <v>444</v>
      </c>
      <c r="C90" s="10" t="s">
        <v>283</v>
      </c>
      <c r="D90" s="10" t="s">
        <v>284</v>
      </c>
      <c r="E90" s="10" t="s">
        <v>130</v>
      </c>
      <c r="F90" s="12" t="str">
        <f>HYPERLINK("https://drive.google.com/file/d/10zhHT_n9SsHGMXB0FH4d9Y9vHZstwk68/view","Open in Drive")</f>
        <v>Open in Drive</v>
      </c>
    </row>
    <row r="91" ht="15.75" customHeight="1">
      <c r="A91" s="10" t="s">
        <v>526</v>
      </c>
      <c r="B91" s="10" t="s">
        <v>444</v>
      </c>
      <c r="C91" s="10" t="s">
        <v>286</v>
      </c>
      <c r="D91" s="10" t="s">
        <v>287</v>
      </c>
      <c r="E91" s="10" t="s">
        <v>130</v>
      </c>
      <c r="F91" s="12" t="str">
        <f>HYPERLINK("https://drive.google.com/file/d/1ajnZge7dUKgi_EToDSd2mE_WDmyllDqH/view","Open in Drive")</f>
        <v>Open in Drive</v>
      </c>
    </row>
    <row r="92" ht="15.75" customHeight="1">
      <c r="A92" s="10" t="s">
        <v>531</v>
      </c>
      <c r="B92" s="10" t="s">
        <v>444</v>
      </c>
      <c r="C92" s="10" t="s">
        <v>292</v>
      </c>
      <c r="D92" s="10" t="s">
        <v>294</v>
      </c>
      <c r="E92" s="10" t="s">
        <v>130</v>
      </c>
      <c r="F92" s="12" t="str">
        <f>HYPERLINK("https://drive.google.com/file/d/1YDercs7pINp0p7UNAp8MJdfFYAW0CGwZ/view","Open in Drive")</f>
        <v>Open in Drive</v>
      </c>
    </row>
    <row r="93" ht="15.75" customHeight="1">
      <c r="A93" s="10" t="s">
        <v>532</v>
      </c>
      <c r="B93" s="10" t="s">
        <v>444</v>
      </c>
      <c r="C93" s="10" t="s">
        <v>297</v>
      </c>
      <c r="D93" s="10" t="s">
        <v>298</v>
      </c>
      <c r="E93" s="10" t="s">
        <v>130</v>
      </c>
      <c r="F93" s="12" t="str">
        <f>HYPERLINK("https://drive.google.com/file/d/1bpCM0l_dlFTSeXTyGk4u-MjvZ9bjjJgV/view","Open in Drive")</f>
        <v>Open in Drive</v>
      </c>
    </row>
    <row r="94" ht="15.75" customHeight="1">
      <c r="A94" s="10" t="s">
        <v>535</v>
      </c>
      <c r="B94" s="10" t="s">
        <v>444</v>
      </c>
      <c r="C94" s="10" t="s">
        <v>302</v>
      </c>
      <c r="D94" s="10" t="s">
        <v>303</v>
      </c>
      <c r="E94" s="10" t="s">
        <v>130</v>
      </c>
      <c r="F94" s="12" t="str">
        <f>HYPERLINK("https://drive.google.com/file/d/1IN2_O-hjDkNx_WsoCXGdyUHa7E_4O88g/view","Open in Drive")</f>
        <v>Open in Drive</v>
      </c>
    </row>
    <row r="95" ht="15.75" customHeight="1">
      <c r="A95" s="10" t="s">
        <v>538</v>
      </c>
      <c r="B95" s="10" t="s">
        <v>444</v>
      </c>
      <c r="C95" s="10" t="s">
        <v>308</v>
      </c>
      <c r="D95" s="10" t="s">
        <v>309</v>
      </c>
      <c r="E95" s="10" t="s">
        <v>130</v>
      </c>
      <c r="F95" s="12" t="str">
        <f>HYPERLINK("https://drive.google.com/file/d/1JSIKbNDgeuRwKBcM0Dk8m2ZVCzSU1DKF/view","Open in Drive")</f>
        <v>Open in Drive</v>
      </c>
    </row>
    <row r="96" ht="15.75" customHeight="1">
      <c r="A96" s="10" t="s">
        <v>540</v>
      </c>
      <c r="B96" s="10" t="s">
        <v>444</v>
      </c>
      <c r="C96" s="10" t="s">
        <v>314</v>
      </c>
      <c r="D96" s="10" t="s">
        <v>315</v>
      </c>
      <c r="E96" s="10" t="s">
        <v>130</v>
      </c>
      <c r="F96" s="12" t="str">
        <f>HYPERLINK("https://drive.google.com/file/d/1nhmjvCeOrE0YdBnogoT12McL_DGIPs55/view","Open in Drive")</f>
        <v>Open in Drive</v>
      </c>
    </row>
    <row r="97" ht="15.75" customHeight="1">
      <c r="A97" s="10" t="s">
        <v>544</v>
      </c>
      <c r="B97" s="10" t="s">
        <v>444</v>
      </c>
      <c r="C97" s="10" t="s">
        <v>320</v>
      </c>
      <c r="D97" s="10" t="s">
        <v>321</v>
      </c>
      <c r="E97" s="10" t="s">
        <v>130</v>
      </c>
      <c r="F97" s="12" t="str">
        <f>HYPERLINK("https://drive.google.com/file/d/1o0WDT-YyngAZDgheBGRNqGm4WaGnpCNH/view","Open in Drive")</f>
        <v>Open in Drive</v>
      </c>
    </row>
    <row r="98" ht="15.75" customHeight="1">
      <c r="A98" s="10" t="s">
        <v>547</v>
      </c>
      <c r="B98" s="10" t="s">
        <v>444</v>
      </c>
      <c r="C98" s="10" t="s">
        <v>323</v>
      </c>
      <c r="D98" s="10" t="s">
        <v>324</v>
      </c>
      <c r="E98" s="10" t="s">
        <v>130</v>
      </c>
      <c r="F98" s="12" t="str">
        <f>HYPERLINK("https://drive.google.com/file/d/1xuSWTTT3u89ZJ5S3nsFbY54wK6fxNqca/view","Open in Drive")</f>
        <v>Open in Drive</v>
      </c>
    </row>
    <row r="99" ht="15.75" customHeight="1">
      <c r="A99" s="10" t="s">
        <v>549</v>
      </c>
      <c r="B99" s="10" t="s">
        <v>444</v>
      </c>
      <c r="C99" s="10" t="s">
        <v>330</v>
      </c>
      <c r="D99" s="10" t="s">
        <v>331</v>
      </c>
      <c r="E99" s="10" t="s">
        <v>130</v>
      </c>
      <c r="F99" s="12" t="str">
        <f>HYPERLINK("https://drive.google.com/file/d/1FQO575j1O4kcyKWcDFmlHLIOdJLLli9z/view","Open in Drive")</f>
        <v>Open in Drive</v>
      </c>
    </row>
    <row r="100" ht="15.75" customHeight="1">
      <c r="A100" s="10" t="s">
        <v>553</v>
      </c>
      <c r="B100" s="10" t="s">
        <v>444</v>
      </c>
      <c r="C100" s="10" t="s">
        <v>334</v>
      </c>
      <c r="D100" s="10" t="s">
        <v>335</v>
      </c>
      <c r="E100" s="10" t="s">
        <v>130</v>
      </c>
      <c r="F100" s="12" t="str">
        <f>HYPERLINK("https://drive.google.com/file/d/1rs2B3fMTEp3ul2ESe1ceSdGn2jzwFvGY/view","Open in Drive")</f>
        <v>Open in Drive</v>
      </c>
    </row>
    <row r="101" ht="15.75" customHeight="1">
      <c r="A101" s="10" t="s">
        <v>554</v>
      </c>
      <c r="B101" s="10" t="s">
        <v>444</v>
      </c>
      <c r="C101" s="10" t="s">
        <v>341</v>
      </c>
      <c r="D101" s="10" t="s">
        <v>342</v>
      </c>
      <c r="E101" s="10" t="s">
        <v>130</v>
      </c>
      <c r="F101" s="12" t="str">
        <f>HYPERLINK("https://drive.google.com/file/d/1GFJkzV_WmPoc1agVgSl1q0wH0IU5IHtS/view","Open in Drive")</f>
        <v>Open in Drive</v>
      </c>
    </row>
    <row r="102" ht="15.75" customHeight="1">
      <c r="A102" s="10" t="s">
        <v>560</v>
      </c>
      <c r="B102" s="10" t="s">
        <v>444</v>
      </c>
      <c r="C102" s="10" t="s">
        <v>344</v>
      </c>
      <c r="D102" s="10" t="s">
        <v>345</v>
      </c>
      <c r="E102" s="10" t="s">
        <v>130</v>
      </c>
      <c r="F102" s="12" t="str">
        <f>HYPERLINK("https://drive.google.com/file/d/11IE4c6lo-p1x4BvQMkO_-JYmCD-w2Cfd/view","Open in Drive")</f>
        <v>Open in Drive</v>
      </c>
    </row>
    <row r="103" ht="15.75" customHeight="1">
      <c r="A103" s="10" t="s">
        <v>563</v>
      </c>
      <c r="B103" s="10" t="s">
        <v>444</v>
      </c>
      <c r="C103" s="10" t="s">
        <v>349</v>
      </c>
      <c r="D103" s="10" t="s">
        <v>350</v>
      </c>
      <c r="E103" s="10" t="s">
        <v>130</v>
      </c>
      <c r="F103" s="12" t="str">
        <f>HYPERLINK("https://drive.google.com/file/d/1MDQ65Qamf7WE_MKCsKcNxw4B-a-kOmri/view","Open in Drive")</f>
        <v>Open in Drive</v>
      </c>
    </row>
    <row r="104" ht="15.75" customHeight="1">
      <c r="A104" s="10" t="s">
        <v>564</v>
      </c>
      <c r="B104" s="10" t="s">
        <v>444</v>
      </c>
      <c r="C104" s="10" t="s">
        <v>352</v>
      </c>
      <c r="D104" s="10" t="s">
        <v>353</v>
      </c>
      <c r="E104" s="10" t="s">
        <v>130</v>
      </c>
      <c r="F104" s="12" t="str">
        <f>HYPERLINK("https://drive.google.com/file/d/1_cS6vkmmkhMVSxbgNwIqzxr_Z1wMHjvk/view","Open in Drive")</f>
        <v>Open in Drive</v>
      </c>
    </row>
    <row r="105" ht="15.75" customHeight="1">
      <c r="A105" s="10" t="s">
        <v>567</v>
      </c>
      <c r="B105" s="10" t="s">
        <v>444</v>
      </c>
      <c r="C105" s="10" t="s">
        <v>362</v>
      </c>
      <c r="D105" s="10" t="s">
        <v>363</v>
      </c>
      <c r="E105" s="10" t="s">
        <v>130</v>
      </c>
      <c r="F105" s="12" t="str">
        <f>HYPERLINK("https://drive.google.com/file/d/1XyAYvcWyRDa0Kp9zpUVG29P7dx0SMp9L/view","Open in Drive")</f>
        <v>Open in Drive</v>
      </c>
    </row>
    <row r="106" ht="15.75" customHeight="1">
      <c r="A106" s="10" t="s">
        <v>568</v>
      </c>
      <c r="B106" s="10" t="s">
        <v>444</v>
      </c>
      <c r="C106" s="10" t="s">
        <v>366</v>
      </c>
      <c r="D106" s="10" t="s">
        <v>367</v>
      </c>
      <c r="E106" s="10" t="s">
        <v>130</v>
      </c>
      <c r="F106" s="12" t="str">
        <f>HYPERLINK("https://drive.google.com/file/d/1vcQUeeUa-gnmeeXny9f5LpRtRFnF6v0_/view","Open in Drive")</f>
        <v>Open in Drive</v>
      </c>
    </row>
    <row r="107" ht="15.75" customHeight="1">
      <c r="A107" s="10" t="s">
        <v>573</v>
      </c>
      <c r="B107" s="10" t="s">
        <v>444</v>
      </c>
      <c r="C107" s="10" t="s">
        <v>371</v>
      </c>
      <c r="D107" s="10" t="s">
        <v>373</v>
      </c>
      <c r="E107" s="10" t="s">
        <v>130</v>
      </c>
      <c r="F107" s="12" t="str">
        <f>HYPERLINK("https://drive.google.com/file/d/1REnTmCE9zP8epb8llDUNKV_mAuXDIs7t/view","Open in Drive")</f>
        <v>Open in Drive</v>
      </c>
    </row>
    <row r="108" ht="15.75" customHeight="1">
      <c r="A108" s="10" t="s">
        <v>574</v>
      </c>
      <c r="B108" s="10" t="s">
        <v>444</v>
      </c>
      <c r="C108" s="10" t="s">
        <v>376</v>
      </c>
      <c r="D108" s="10" t="s">
        <v>377</v>
      </c>
      <c r="E108" s="10" t="s">
        <v>130</v>
      </c>
      <c r="F108" s="12" t="str">
        <f>HYPERLINK("https://drive.google.com/file/d/1IzMRnzdQSnlkKKne9WiSlkvWSz180G6m/view","Open in Drive")</f>
        <v>Open in Drive</v>
      </c>
    </row>
    <row r="109" ht="15.75" customHeight="1">
      <c r="A109" s="10" t="s">
        <v>576</v>
      </c>
      <c r="B109" s="10" t="s">
        <v>444</v>
      </c>
      <c r="C109" s="10" t="s">
        <v>380</v>
      </c>
      <c r="D109" s="10" t="s">
        <v>382</v>
      </c>
      <c r="E109" s="10" t="s">
        <v>130</v>
      </c>
      <c r="F109" s="12" t="str">
        <f>HYPERLINK("https://drive.google.com/file/d/16ejrmRJS3q9i2fr3BWN1ej27UNHliWP5/view","Open in Drive")</f>
        <v>Open in Drive</v>
      </c>
    </row>
    <row r="110" ht="15.75" customHeight="1">
      <c r="A110" s="10" t="s">
        <v>580</v>
      </c>
      <c r="B110" s="10" t="s">
        <v>444</v>
      </c>
      <c r="C110" s="10" t="s">
        <v>386</v>
      </c>
      <c r="D110" s="10" t="s">
        <v>387</v>
      </c>
      <c r="E110" s="10" t="s">
        <v>130</v>
      </c>
      <c r="F110" s="12" t="str">
        <f>HYPERLINK("https://drive.google.com/file/d/1NSgCDaFnhWGxLgi2gWJHeXnfVUSNeZQu/view","Open in Drive")</f>
        <v>Open in Drive</v>
      </c>
    </row>
    <row r="111" ht="15.75" customHeight="1">
      <c r="A111" s="10" t="s">
        <v>583</v>
      </c>
      <c r="B111" s="10" t="s">
        <v>444</v>
      </c>
      <c r="C111" s="10" t="s">
        <v>390</v>
      </c>
      <c r="D111" s="10" t="s">
        <v>391</v>
      </c>
      <c r="E111" s="10" t="s">
        <v>130</v>
      </c>
      <c r="F111" s="12" t="str">
        <f>HYPERLINK("https://drive.google.com/file/d/1tablnO6W-ZPs3oCVaB0wuYzy8WwzD1TM/view","Open in Drive")</f>
        <v>Open in Drive</v>
      </c>
    </row>
    <row r="112" ht="15.75" customHeight="1">
      <c r="A112" s="10" t="s">
        <v>585</v>
      </c>
      <c r="B112" s="10" t="s">
        <v>444</v>
      </c>
      <c r="C112" s="10" t="s">
        <v>396</v>
      </c>
      <c r="D112" s="10" t="s">
        <v>398</v>
      </c>
      <c r="E112" s="10" t="s">
        <v>130</v>
      </c>
      <c r="F112" s="12" t="str">
        <f>HYPERLINK("https://drive.google.com/file/d/1rc601AIREMzg-6l9MS4o_TnrsruRaLzs/view","Open in Drive")</f>
        <v>Open in Drive</v>
      </c>
    </row>
    <row r="113" ht="15.75" customHeight="1">
      <c r="A113" s="10" t="s">
        <v>589</v>
      </c>
      <c r="B113" s="10" t="s">
        <v>444</v>
      </c>
      <c r="C113" s="10" t="s">
        <v>403</v>
      </c>
      <c r="D113" s="10" t="s">
        <v>405</v>
      </c>
      <c r="E113" s="10" t="s">
        <v>130</v>
      </c>
      <c r="F113" s="12" t="str">
        <f>HYPERLINK("https://drive.google.com/file/d/17g3LcZGRSys1O47vdbd8OVaPIrTGtFCF/view","Open in Drive")</f>
        <v>Open in Drive</v>
      </c>
    </row>
    <row r="114" ht="15.75" customHeight="1">
      <c r="A114" s="10" t="s">
        <v>591</v>
      </c>
      <c r="B114" s="10" t="s">
        <v>444</v>
      </c>
      <c r="C114" s="10" t="s">
        <v>408</v>
      </c>
      <c r="D114" s="10" t="s">
        <v>409</v>
      </c>
      <c r="E114" s="10" t="s">
        <v>130</v>
      </c>
      <c r="F114" s="12" t="str">
        <f>HYPERLINK("https://drive.google.com/file/d/1wGVp2oQsFSLoFzX_FDcGIfBcA7jc7WDl/view","Open in Drive")</f>
        <v>Open in Drive</v>
      </c>
    </row>
    <row r="115" ht="15.75" customHeight="1">
      <c r="A115" s="10" t="s">
        <v>593</v>
      </c>
      <c r="B115" s="10" t="s">
        <v>444</v>
      </c>
      <c r="C115" s="10" t="s">
        <v>414</v>
      </c>
      <c r="D115" s="10" t="s">
        <v>415</v>
      </c>
      <c r="E115" s="10" t="s">
        <v>130</v>
      </c>
      <c r="F115" s="12" t="str">
        <f>HYPERLINK("https://drive.google.com/file/d/1XWnOf58hTvyS7ApLVt4tUWh4dUukTebJ/view","Open in Drive")</f>
        <v>Open in Drive</v>
      </c>
    </row>
    <row r="116" ht="15.75" customHeight="1">
      <c r="A116" s="10" t="s">
        <v>594</v>
      </c>
      <c r="B116" s="10" t="s">
        <v>444</v>
      </c>
      <c r="C116" s="10" t="s">
        <v>419</v>
      </c>
      <c r="D116" s="10" t="s">
        <v>420</v>
      </c>
      <c r="E116" s="10" t="s">
        <v>130</v>
      </c>
      <c r="F116" s="12" t="str">
        <f>HYPERLINK("https://drive.google.com/file/d/17Bf4mPxb2-OfkANQMtVpwYwObxSUkosx/view","Open in Drive")</f>
        <v>Open in Drive</v>
      </c>
    </row>
    <row r="117" ht="15.75" customHeight="1">
      <c r="A117" s="10" t="s">
        <v>595</v>
      </c>
      <c r="B117" s="10" t="s">
        <v>444</v>
      </c>
      <c r="C117" s="10" t="s">
        <v>424</v>
      </c>
      <c r="D117" s="10" t="s">
        <v>425</v>
      </c>
      <c r="E117" s="10" t="s">
        <v>130</v>
      </c>
      <c r="F117" s="12" t="str">
        <f>HYPERLINK("https://drive.google.com/file/d/1BkK3bI7ySACzo0Z3vlcuPYOnedKo4SpB/view","Open in Drive")</f>
        <v>Open in Drive</v>
      </c>
    </row>
    <row r="118" ht="15.75" customHeight="1">
      <c r="A118" s="10" t="s">
        <v>596</v>
      </c>
      <c r="B118" s="10" t="s">
        <v>444</v>
      </c>
      <c r="C118" s="10" t="s">
        <v>430</v>
      </c>
      <c r="D118" s="10" t="s">
        <v>431</v>
      </c>
      <c r="E118" s="10" t="s">
        <v>130</v>
      </c>
      <c r="F118" s="12" t="str">
        <f>HYPERLINK("https://drive.google.com/file/d/1W7uLnO4K9tp3lDyppi7wg1C5CNjb_sit/view","Open in Drive")</f>
        <v>Open in Drive</v>
      </c>
    </row>
    <row r="119" ht="15.75" customHeight="1">
      <c r="A119" s="10" t="s">
        <v>597</v>
      </c>
      <c r="B119" s="10" t="s">
        <v>444</v>
      </c>
      <c r="C119" s="10" t="s">
        <v>436</v>
      </c>
      <c r="D119" s="10" t="s">
        <v>437</v>
      </c>
      <c r="E119" s="10" t="s">
        <v>130</v>
      </c>
      <c r="F119" s="12" t="str">
        <f>HYPERLINK("https://drive.google.com/file/d/1KcksKJK9w-kN7Xxhgr1dryROVIGLypOS/view","Open in Drive")</f>
        <v>Open in Drive</v>
      </c>
    </row>
    <row r="120" ht="15.75" customHeight="1">
      <c r="A120" s="7" t="s">
        <v>598</v>
      </c>
      <c r="B120" s="8"/>
      <c r="C120" s="8"/>
      <c r="D120" s="8"/>
      <c r="E120" s="8"/>
      <c r="F120" s="8"/>
    </row>
    <row r="121" ht="15.75" customHeight="1">
      <c r="A121" s="10" t="s">
        <v>599</v>
      </c>
      <c r="B121" s="10" t="s">
        <v>600</v>
      </c>
      <c r="C121" s="10" t="s">
        <v>128</v>
      </c>
      <c r="D121" s="10" t="s">
        <v>129</v>
      </c>
      <c r="E121" s="10" t="s">
        <v>130</v>
      </c>
      <c r="F121" s="12" t="str">
        <f>HYPERLINK("https://drive.google.com/file/d/1x61GlxNTD2a-H3q2M4JfmwPj6d30A-DQ/view","Open in Drive")</f>
        <v>Open in Drive</v>
      </c>
    </row>
    <row r="122" ht="15.75" customHeight="1">
      <c r="A122" s="10" t="s">
        <v>601</v>
      </c>
      <c r="B122" s="10" t="s">
        <v>600</v>
      </c>
      <c r="C122" s="10" t="s">
        <v>135</v>
      </c>
      <c r="D122" s="10" t="s">
        <v>136</v>
      </c>
      <c r="E122" s="10" t="s">
        <v>130</v>
      </c>
      <c r="F122" s="12" t="str">
        <f>HYPERLINK("https://drive.google.com/file/d/1woROzrJiR3O1Atqud76tilCQNoc4jgCy/view","Open in Drive")</f>
        <v>Open in Drive</v>
      </c>
    </row>
    <row r="123" ht="15.75" customHeight="1">
      <c r="A123" s="10" t="s">
        <v>602</v>
      </c>
      <c r="B123" s="10" t="s">
        <v>600</v>
      </c>
      <c r="C123" s="10" t="s">
        <v>142</v>
      </c>
      <c r="D123" s="10" t="s">
        <v>143</v>
      </c>
      <c r="E123" s="10" t="s">
        <v>130</v>
      </c>
      <c r="F123" s="12" t="str">
        <f>HYPERLINK("https://drive.google.com/file/d/13jL-eQPWF1CF8UPMRvICcaF8RbkgaR6o/view","Open in Drive")</f>
        <v>Open in Drive</v>
      </c>
    </row>
    <row r="124" ht="15.75" customHeight="1">
      <c r="A124" s="10" t="s">
        <v>603</v>
      </c>
      <c r="B124" s="10" t="s">
        <v>600</v>
      </c>
      <c r="C124" s="10" t="s">
        <v>150</v>
      </c>
      <c r="D124" s="10" t="s">
        <v>151</v>
      </c>
      <c r="E124" s="10" t="s">
        <v>130</v>
      </c>
      <c r="F124" s="12" t="str">
        <f>HYPERLINK("https://drive.google.com/file/d/1jwYdrv6iKe0b1vCsZmXI_N_D36e7id2R/view","Open in Drive")</f>
        <v>Open in Drive</v>
      </c>
    </row>
    <row r="125" ht="15.75" customHeight="1">
      <c r="A125" s="10" t="s">
        <v>604</v>
      </c>
      <c r="B125" s="10" t="s">
        <v>600</v>
      </c>
      <c r="C125" s="10" t="s">
        <v>156</v>
      </c>
      <c r="D125" s="10" t="s">
        <v>157</v>
      </c>
      <c r="E125" s="10" t="s">
        <v>130</v>
      </c>
      <c r="F125" s="12" t="str">
        <f>HYPERLINK("https://drive.google.com/file/d/1igb_vmHmEbW5RPbs2ZATg_9HAfwEnuWM/view","Open in Drive")</f>
        <v>Open in Drive</v>
      </c>
    </row>
    <row r="126" ht="15.75" customHeight="1">
      <c r="A126" s="10" t="s">
        <v>605</v>
      </c>
      <c r="B126" s="10" t="s">
        <v>600</v>
      </c>
      <c r="C126" s="10" t="s">
        <v>163</v>
      </c>
      <c r="D126" s="10" t="s">
        <v>177</v>
      </c>
      <c r="E126" s="10" t="s">
        <v>130</v>
      </c>
      <c r="F126" s="12" t="str">
        <f>HYPERLINK("https://drive.google.com/file/d/1Jnj9ouKii9UE8lwNDlVTUtS2TMbq_X6E/view","Open in Drive")</f>
        <v>Open in Drive</v>
      </c>
    </row>
    <row r="127" ht="15.75" customHeight="1">
      <c r="A127" s="10" t="s">
        <v>606</v>
      </c>
      <c r="B127" s="10" t="s">
        <v>600</v>
      </c>
      <c r="C127" s="10" t="s">
        <v>183</v>
      </c>
      <c r="D127" s="10" t="s">
        <v>184</v>
      </c>
      <c r="E127" s="10" t="s">
        <v>130</v>
      </c>
      <c r="F127" s="12" t="str">
        <f>HYPERLINK("https://drive.google.com/file/d/1LnDKViRnKllPS_IH_M50tg7ReeQwEN06/view","Open in Drive")</f>
        <v>Open in Drive</v>
      </c>
    </row>
    <row r="128" ht="15.75" customHeight="1">
      <c r="A128" s="10" t="s">
        <v>607</v>
      </c>
      <c r="B128" s="10" t="s">
        <v>600</v>
      </c>
      <c r="C128" s="10" t="s">
        <v>192</v>
      </c>
      <c r="D128" s="10" t="s">
        <v>193</v>
      </c>
      <c r="E128" s="10" t="s">
        <v>130</v>
      </c>
      <c r="F128" s="12" t="str">
        <f>HYPERLINK("https://drive.google.com/file/d/1x921F0JnVPRnUC1-vsn4VF1sDRg9_xX0/view","Open in Drive")</f>
        <v>Open in Drive</v>
      </c>
    </row>
    <row r="129" ht="15.75" customHeight="1">
      <c r="A129" s="10" t="s">
        <v>608</v>
      </c>
      <c r="B129" s="10" t="s">
        <v>600</v>
      </c>
      <c r="C129" s="10" t="s">
        <v>198</v>
      </c>
      <c r="D129" s="10" t="s">
        <v>199</v>
      </c>
      <c r="E129" s="10" t="s">
        <v>130</v>
      </c>
      <c r="F129" s="12" t="str">
        <f>HYPERLINK("https://drive.google.com/file/d/1xg_ot6kzxftrGEYIB_sCsDwY1oTsb67q/view","Open in Drive")</f>
        <v>Open in Drive</v>
      </c>
    </row>
    <row r="130" ht="15.75" customHeight="1">
      <c r="A130" s="10" t="s">
        <v>609</v>
      </c>
      <c r="B130" s="10" t="s">
        <v>600</v>
      </c>
      <c r="C130" s="10" t="s">
        <v>208</v>
      </c>
      <c r="D130" s="10" t="s">
        <v>209</v>
      </c>
      <c r="E130" s="10" t="s">
        <v>130</v>
      </c>
      <c r="F130" s="12" t="str">
        <f>HYPERLINK("https://drive.google.com/file/d/1RLIqzsVqpj5HdxO-el7DHXJguTyHrNzw/view","Open in Drive")</f>
        <v>Open in Drive</v>
      </c>
    </row>
    <row r="131" ht="15.75" customHeight="1">
      <c r="A131" s="10" t="s">
        <v>610</v>
      </c>
      <c r="B131" s="10" t="s">
        <v>600</v>
      </c>
      <c r="C131" s="10" t="s">
        <v>215</v>
      </c>
      <c r="D131" s="10" t="s">
        <v>216</v>
      </c>
      <c r="E131" s="10" t="s">
        <v>130</v>
      </c>
      <c r="F131" s="12" t="str">
        <f>HYPERLINK("https://drive.google.com/file/d/1mse7PQqY_vzqs3oDomfg9dzSznCDclT1/view","Open in Drive")</f>
        <v>Open in Drive</v>
      </c>
    </row>
    <row r="132" ht="15.75" customHeight="1">
      <c r="A132" s="10" t="s">
        <v>611</v>
      </c>
      <c r="B132" s="10" t="s">
        <v>600</v>
      </c>
      <c r="C132" s="10" t="s">
        <v>219</v>
      </c>
      <c r="D132" s="10" t="s">
        <v>220</v>
      </c>
      <c r="E132" s="10" t="s">
        <v>130</v>
      </c>
      <c r="F132" s="12" t="str">
        <f>HYPERLINK("https://drive.google.com/file/d/1wwbGkjQEGnUMxteZezVAvedLEiQ6DZZj/view","Open in Drive")</f>
        <v>Open in Drive</v>
      </c>
    </row>
    <row r="133" ht="15.75" customHeight="1">
      <c r="A133" s="10" t="s">
        <v>612</v>
      </c>
      <c r="B133" s="10" t="s">
        <v>600</v>
      </c>
      <c r="C133" s="10" t="s">
        <v>228</v>
      </c>
      <c r="D133" s="10" t="s">
        <v>229</v>
      </c>
      <c r="E133" s="10" t="s">
        <v>130</v>
      </c>
      <c r="F133" s="12" t="str">
        <f>HYPERLINK("https://drive.google.com/file/d/13WHtSyl3gWVNmE8FVsW5dGpBnaLfvGpW/view","Open in Drive")</f>
        <v>Open in Drive</v>
      </c>
    </row>
    <row r="134" ht="15.75" customHeight="1">
      <c r="A134" s="10" t="s">
        <v>613</v>
      </c>
      <c r="B134" s="10" t="s">
        <v>600</v>
      </c>
      <c r="C134" s="10" t="s">
        <v>235</v>
      </c>
      <c r="D134" s="10" t="s">
        <v>237</v>
      </c>
      <c r="E134" s="10" t="s">
        <v>130</v>
      </c>
      <c r="F134" s="12" t="str">
        <f>HYPERLINK("https://drive.google.com/file/d/1OvP6zCaQFH7dFCi8XkxhTzUvfowyvgr7/view","Open in Drive")</f>
        <v>Open in Drive</v>
      </c>
    </row>
    <row r="135" ht="15.75" customHeight="1">
      <c r="A135" s="10" t="s">
        <v>614</v>
      </c>
      <c r="B135" s="10" t="s">
        <v>600</v>
      </c>
      <c r="C135" s="10" t="s">
        <v>243</v>
      </c>
      <c r="D135" s="10" t="s">
        <v>245</v>
      </c>
      <c r="E135" s="10" t="s">
        <v>130</v>
      </c>
      <c r="F135" s="12" t="str">
        <f>HYPERLINK("https://drive.google.com/file/d/1ujwbCtEvslfOoPLb06aaEGFpQVa0Eyml/view","Open in Drive")</f>
        <v>Open in Drive</v>
      </c>
    </row>
    <row r="136" ht="15.75" customHeight="1">
      <c r="A136" s="10" t="s">
        <v>615</v>
      </c>
      <c r="B136" s="10" t="s">
        <v>600</v>
      </c>
      <c r="C136" s="10" t="s">
        <v>251</v>
      </c>
      <c r="D136" s="10" t="s">
        <v>252</v>
      </c>
      <c r="E136" s="10" t="s">
        <v>130</v>
      </c>
      <c r="F136" s="12" t="str">
        <f>HYPERLINK("https://drive.google.com/file/d/1VWTDqXggIolDlg0KXM9VeaRlqEK3YYjc/view","Open in Drive")</f>
        <v>Open in Drive</v>
      </c>
    </row>
    <row r="137" ht="15.75" customHeight="1">
      <c r="A137" s="10" t="s">
        <v>616</v>
      </c>
      <c r="B137" s="10" t="s">
        <v>600</v>
      </c>
      <c r="C137" s="10" t="s">
        <v>258</v>
      </c>
      <c r="D137" s="10" t="s">
        <v>259</v>
      </c>
      <c r="E137" s="10" t="s">
        <v>130</v>
      </c>
      <c r="F137" s="12" t="str">
        <f>HYPERLINK("https://drive.google.com/file/d/1Izc5Idc6CPudfCVld-vu0My-PWWvKxX6/view","Open in Drive")</f>
        <v>Open in Drive</v>
      </c>
    </row>
    <row r="138" ht="15.75" customHeight="1">
      <c r="A138" s="10" t="s">
        <v>617</v>
      </c>
      <c r="B138" s="10" t="s">
        <v>600</v>
      </c>
      <c r="C138" s="10" t="s">
        <v>262</v>
      </c>
      <c r="D138" s="10" t="s">
        <v>263</v>
      </c>
      <c r="E138" s="10" t="s">
        <v>130</v>
      </c>
      <c r="F138" s="12" t="str">
        <f>HYPERLINK("https://drive.google.com/file/d/1OeavgNwHQ006_4hAYrLSOA2dkdNj6mfa/view","Open in Drive")</f>
        <v>Open in Drive</v>
      </c>
    </row>
    <row r="139" ht="15.75" customHeight="1">
      <c r="A139" s="10" t="s">
        <v>618</v>
      </c>
      <c r="B139" s="10" t="s">
        <v>600</v>
      </c>
      <c r="C139" s="10" t="s">
        <v>270</v>
      </c>
      <c r="D139" s="10" t="s">
        <v>271</v>
      </c>
      <c r="E139" s="10" t="s">
        <v>130</v>
      </c>
      <c r="F139" s="12" t="str">
        <f>HYPERLINK("https://drive.google.com/file/d/1Q7IiK2aT2GfHwDhdlKHA3hq4SRXyeQiX/view","Open in Drive")</f>
        <v>Open in Drive</v>
      </c>
    </row>
    <row r="140" ht="15.75" customHeight="1">
      <c r="A140" s="10" t="s">
        <v>619</v>
      </c>
      <c r="B140" s="10" t="s">
        <v>600</v>
      </c>
      <c r="C140" s="10" t="s">
        <v>276</v>
      </c>
      <c r="D140" s="10" t="s">
        <v>277</v>
      </c>
      <c r="E140" s="10" t="s">
        <v>130</v>
      </c>
      <c r="F140" s="12" t="str">
        <f>HYPERLINK("https://drive.google.com/file/d/1RVGJSyejKdSMAArbcLa2FYVafY9lb6KI/view","Open in Drive")</f>
        <v>Open in Drive</v>
      </c>
    </row>
    <row r="141" ht="15.75" customHeight="1">
      <c r="A141" s="10" t="s">
        <v>620</v>
      </c>
      <c r="B141" s="10" t="s">
        <v>600</v>
      </c>
      <c r="C141" s="10" t="s">
        <v>283</v>
      </c>
      <c r="D141" s="10" t="s">
        <v>284</v>
      </c>
      <c r="E141" s="10" t="s">
        <v>130</v>
      </c>
      <c r="F141" s="12" t="str">
        <f>HYPERLINK("https://drive.google.com/file/d/13GJd_G2MYyUSSulo-Am5Tn_9WoTW-cnP/view","Open in Drive")</f>
        <v>Open in Drive</v>
      </c>
    </row>
    <row r="142" ht="15.75" customHeight="1">
      <c r="A142" s="10" t="s">
        <v>621</v>
      </c>
      <c r="B142" s="10" t="s">
        <v>600</v>
      </c>
      <c r="C142" s="10" t="s">
        <v>286</v>
      </c>
      <c r="D142" s="10" t="s">
        <v>287</v>
      </c>
      <c r="E142" s="10" t="s">
        <v>130</v>
      </c>
      <c r="F142" s="12" t="str">
        <f>HYPERLINK("https://drive.google.com/file/d/1rPggXrYbHoE0AYBCjNP51QXxmW5b7XV2/view","Open in Drive")</f>
        <v>Open in Drive</v>
      </c>
    </row>
    <row r="143" ht="15.75" customHeight="1">
      <c r="A143" s="10" t="s">
        <v>622</v>
      </c>
      <c r="B143" s="10" t="s">
        <v>600</v>
      </c>
      <c r="C143" s="10" t="s">
        <v>292</v>
      </c>
      <c r="D143" s="10" t="s">
        <v>294</v>
      </c>
      <c r="E143" s="10" t="s">
        <v>130</v>
      </c>
      <c r="F143" s="12" t="str">
        <f>HYPERLINK("https://drive.google.com/file/d/1_nfBFVFNrwEHxM0if7WcAP3_NxAz7CBy/view","Open in Drive")</f>
        <v>Open in Drive</v>
      </c>
    </row>
    <row r="144" ht="15.75" customHeight="1">
      <c r="A144" s="10" t="s">
        <v>623</v>
      </c>
      <c r="B144" s="10" t="s">
        <v>600</v>
      </c>
      <c r="C144" s="10" t="s">
        <v>297</v>
      </c>
      <c r="D144" s="10" t="s">
        <v>298</v>
      </c>
      <c r="E144" s="10" t="s">
        <v>130</v>
      </c>
      <c r="F144" s="12" t="str">
        <f>HYPERLINK("https://drive.google.com/file/d/19HHQKOEl2D5CoTBBzZJsvkjtLWsLjBkv/view","Open in Drive")</f>
        <v>Open in Drive</v>
      </c>
    </row>
    <row r="145" ht="15.75" customHeight="1">
      <c r="A145" s="10" t="s">
        <v>624</v>
      </c>
      <c r="B145" s="10" t="s">
        <v>600</v>
      </c>
      <c r="C145" s="10" t="s">
        <v>302</v>
      </c>
      <c r="D145" s="10" t="s">
        <v>303</v>
      </c>
      <c r="E145" s="10" t="s">
        <v>130</v>
      </c>
      <c r="F145" s="12" t="str">
        <f>HYPERLINK("https://drive.google.com/file/d/1-RHiFQppQOtDQKpuRJQKZBw0fsRZAtNK/view","Open in Drive")</f>
        <v>Open in Drive</v>
      </c>
    </row>
    <row r="146" ht="15.75" customHeight="1">
      <c r="A146" s="10" t="s">
        <v>625</v>
      </c>
      <c r="B146" s="10" t="s">
        <v>600</v>
      </c>
      <c r="C146" s="10" t="s">
        <v>308</v>
      </c>
      <c r="D146" s="10" t="s">
        <v>309</v>
      </c>
      <c r="E146" s="10" t="s">
        <v>130</v>
      </c>
      <c r="F146" s="12" t="str">
        <f>HYPERLINK("https://drive.google.com/file/d/1APxR_cYPqB7uE3eDdAuyRcNe2BVee0iJ/view","Open in Drive")</f>
        <v>Open in Drive</v>
      </c>
    </row>
    <row r="147" ht="15.75" customHeight="1">
      <c r="A147" s="10" t="s">
        <v>626</v>
      </c>
      <c r="B147" s="10" t="s">
        <v>600</v>
      </c>
      <c r="C147" s="10" t="s">
        <v>314</v>
      </c>
      <c r="D147" s="10" t="s">
        <v>315</v>
      </c>
      <c r="E147" s="10" t="s">
        <v>130</v>
      </c>
      <c r="F147" s="12" t="str">
        <f>HYPERLINK("https://drive.google.com/file/d/1-PWPiC9s72d1-qah2sbndOar-mWfQ3lk/view","Open in Drive")</f>
        <v>Open in Drive</v>
      </c>
    </row>
    <row r="148" ht="15.75" customHeight="1">
      <c r="A148" s="10" t="s">
        <v>627</v>
      </c>
      <c r="B148" s="10" t="s">
        <v>600</v>
      </c>
      <c r="C148" s="10" t="s">
        <v>320</v>
      </c>
      <c r="D148" s="10" t="s">
        <v>321</v>
      </c>
      <c r="E148" s="10" t="s">
        <v>130</v>
      </c>
      <c r="F148" s="12" t="str">
        <f>HYPERLINK("https://drive.google.com/file/d/1t8blQQxP6McJnH-7q51LJNSuowcgO36J/view","Open in Drive")</f>
        <v>Open in Drive</v>
      </c>
    </row>
    <row r="149" ht="15.75" customHeight="1">
      <c r="A149" s="10" t="s">
        <v>628</v>
      </c>
      <c r="B149" s="10" t="s">
        <v>600</v>
      </c>
      <c r="C149" s="10" t="s">
        <v>323</v>
      </c>
      <c r="D149" s="10" t="s">
        <v>324</v>
      </c>
      <c r="E149" s="10" t="s">
        <v>130</v>
      </c>
      <c r="F149" s="12" t="str">
        <f>HYPERLINK("https://drive.google.com/file/d/1pJvRea3vWQPF7Jz47AfaEHSYlBwf_JMk/view","Open in Drive")</f>
        <v>Open in Drive</v>
      </c>
    </row>
    <row r="150" ht="15.75" customHeight="1">
      <c r="A150" s="10" t="s">
        <v>629</v>
      </c>
      <c r="B150" s="10" t="s">
        <v>600</v>
      </c>
      <c r="C150" s="10" t="s">
        <v>330</v>
      </c>
      <c r="D150" s="10" t="s">
        <v>331</v>
      </c>
      <c r="E150" s="10" t="s">
        <v>130</v>
      </c>
      <c r="F150" s="12" t="str">
        <f>HYPERLINK("https://drive.google.com/file/d/1wTnnpzdcZcFJ8mmzmq1daRuALN0ZhV7D/view","Open in Drive")</f>
        <v>Open in Drive</v>
      </c>
    </row>
    <row r="151" ht="15.75" customHeight="1">
      <c r="A151" s="10" t="s">
        <v>630</v>
      </c>
      <c r="B151" s="10" t="s">
        <v>600</v>
      </c>
      <c r="C151" s="10" t="s">
        <v>334</v>
      </c>
      <c r="D151" s="10" t="s">
        <v>335</v>
      </c>
      <c r="E151" s="10" t="s">
        <v>130</v>
      </c>
      <c r="F151" s="12" t="str">
        <f>HYPERLINK("https://drive.google.com/file/d/1rGCQ-sum2IkWCsyH7R6xac_dAx70obXX/view","Open in Drive")</f>
        <v>Open in Drive</v>
      </c>
    </row>
    <row r="152" ht="15.75" customHeight="1">
      <c r="A152" s="10" t="s">
        <v>631</v>
      </c>
      <c r="B152" s="10" t="s">
        <v>600</v>
      </c>
      <c r="C152" s="10" t="s">
        <v>341</v>
      </c>
      <c r="D152" s="10" t="s">
        <v>342</v>
      </c>
      <c r="E152" s="10" t="s">
        <v>130</v>
      </c>
      <c r="F152" s="12" t="str">
        <f>HYPERLINK("https://drive.google.com/file/d/1wpjx5WVQFnXy-B4MYAnaGM_zv5_A_sYc/view","Open in Drive")</f>
        <v>Open in Drive</v>
      </c>
    </row>
    <row r="153" ht="15.75" customHeight="1">
      <c r="A153" s="10" t="s">
        <v>632</v>
      </c>
      <c r="B153" s="10" t="s">
        <v>600</v>
      </c>
      <c r="C153" s="10" t="s">
        <v>344</v>
      </c>
      <c r="D153" s="10" t="s">
        <v>345</v>
      </c>
      <c r="E153" s="10" t="s">
        <v>130</v>
      </c>
      <c r="F153" s="12" t="str">
        <f>HYPERLINK("https://drive.google.com/file/d/1ehNkbb7PUSyW7eeU51BXypu7wZAfAmTl/view","Open in Drive")</f>
        <v>Open in Drive</v>
      </c>
    </row>
    <row r="154" ht="15.75" customHeight="1">
      <c r="A154" s="10" t="s">
        <v>633</v>
      </c>
      <c r="B154" s="10" t="s">
        <v>600</v>
      </c>
      <c r="C154" s="10" t="s">
        <v>349</v>
      </c>
      <c r="D154" s="10" t="s">
        <v>350</v>
      </c>
      <c r="E154" s="10" t="s">
        <v>130</v>
      </c>
      <c r="F154" s="12" t="str">
        <f>HYPERLINK("https://drive.google.com/file/d/1eKhNcQCtyASuwdqfFo_gGIHWRnhCHp7M/view","Open in Drive")</f>
        <v>Open in Drive</v>
      </c>
    </row>
    <row r="155" ht="15.75" customHeight="1">
      <c r="A155" s="10" t="s">
        <v>634</v>
      </c>
      <c r="B155" s="10" t="s">
        <v>600</v>
      </c>
      <c r="C155" s="10" t="s">
        <v>352</v>
      </c>
      <c r="D155" s="10" t="s">
        <v>353</v>
      </c>
      <c r="E155" s="10" t="s">
        <v>130</v>
      </c>
      <c r="F155" s="12" t="str">
        <f>HYPERLINK("https://drive.google.com/file/d/1dkir-EO_kq4HipKBRZabbBSgBETv8m_0/view","Open in Drive")</f>
        <v>Open in Drive</v>
      </c>
    </row>
    <row r="156" ht="15.75" customHeight="1">
      <c r="A156" s="10" t="s">
        <v>635</v>
      </c>
      <c r="B156" s="10" t="s">
        <v>600</v>
      </c>
      <c r="C156" s="10" t="s">
        <v>362</v>
      </c>
      <c r="D156" s="10" t="s">
        <v>363</v>
      </c>
      <c r="E156" s="10" t="s">
        <v>130</v>
      </c>
      <c r="F156" s="12" t="str">
        <f>HYPERLINK("https://drive.google.com/file/d/1DAD3twKKwlutNIzdMhwYNLitxq__dlSp/view","Open in Drive")</f>
        <v>Open in Drive</v>
      </c>
    </row>
    <row r="157" ht="15.75" customHeight="1">
      <c r="A157" s="10" t="s">
        <v>636</v>
      </c>
      <c r="B157" s="10" t="s">
        <v>600</v>
      </c>
      <c r="C157" s="10" t="s">
        <v>366</v>
      </c>
      <c r="D157" s="10" t="s">
        <v>367</v>
      </c>
      <c r="E157" s="10" t="s">
        <v>130</v>
      </c>
      <c r="F157" s="12" t="str">
        <f>HYPERLINK("https://drive.google.com/file/d/1f8K1j_-5mV4lJmYaNX9Nr3g9UHN1Zi0I/view","Open in Drive")</f>
        <v>Open in Drive</v>
      </c>
    </row>
    <row r="158" ht="15.75" customHeight="1">
      <c r="A158" s="10" t="s">
        <v>637</v>
      </c>
      <c r="B158" s="10" t="s">
        <v>600</v>
      </c>
      <c r="C158" s="10" t="s">
        <v>371</v>
      </c>
      <c r="D158" s="10" t="s">
        <v>373</v>
      </c>
      <c r="E158" s="10" t="s">
        <v>130</v>
      </c>
      <c r="F158" s="12" t="str">
        <f>HYPERLINK("https://drive.google.com/file/d/1tp7z6aT0VQrxdSYIqcpF4vO2zJJ9-Up_/view","Open in Drive")</f>
        <v>Open in Drive</v>
      </c>
    </row>
    <row r="159" ht="15.75" customHeight="1">
      <c r="A159" s="10" t="s">
        <v>638</v>
      </c>
      <c r="B159" s="10" t="s">
        <v>600</v>
      </c>
      <c r="C159" s="10" t="s">
        <v>376</v>
      </c>
      <c r="D159" s="10" t="s">
        <v>377</v>
      </c>
      <c r="E159" s="10" t="s">
        <v>130</v>
      </c>
      <c r="F159" s="12" t="str">
        <f>HYPERLINK("https://drive.google.com/file/d/1KOniIGaNNSfHlW0WqO2dCT5MRNMcXtT7/view","Open in Drive")</f>
        <v>Open in Drive</v>
      </c>
    </row>
    <row r="160" ht="15.75" customHeight="1">
      <c r="A160" s="10" t="s">
        <v>639</v>
      </c>
      <c r="B160" s="10" t="s">
        <v>600</v>
      </c>
      <c r="C160" s="10" t="s">
        <v>380</v>
      </c>
      <c r="D160" s="10" t="s">
        <v>382</v>
      </c>
      <c r="E160" s="10" t="s">
        <v>130</v>
      </c>
      <c r="F160" s="12" t="str">
        <f>HYPERLINK("https://drive.google.com/file/d/1tgF6FmD7qjSbIS-s5oqTQbn9tgHJyifA/view","Open in Drive")</f>
        <v>Open in Drive</v>
      </c>
    </row>
    <row r="161" ht="15.75" customHeight="1">
      <c r="A161" s="10" t="s">
        <v>640</v>
      </c>
      <c r="B161" s="10" t="s">
        <v>600</v>
      </c>
      <c r="C161" s="10" t="s">
        <v>386</v>
      </c>
      <c r="D161" s="10" t="s">
        <v>387</v>
      </c>
      <c r="E161" s="10" t="s">
        <v>130</v>
      </c>
      <c r="F161" s="12" t="str">
        <f>HYPERLINK("https://drive.google.com/file/d/11rP7ck_K9e7UahszR0tC7AGj4ploTV_1/view","Open in Drive")</f>
        <v>Open in Drive</v>
      </c>
    </row>
    <row r="162" ht="15.75" customHeight="1">
      <c r="A162" s="10" t="s">
        <v>641</v>
      </c>
      <c r="B162" s="10" t="s">
        <v>600</v>
      </c>
      <c r="C162" s="10" t="s">
        <v>390</v>
      </c>
      <c r="D162" s="10" t="s">
        <v>391</v>
      </c>
      <c r="E162" s="10" t="s">
        <v>130</v>
      </c>
      <c r="F162" s="12" t="str">
        <f>HYPERLINK("https://drive.google.com/file/d/1ceb57X69bhhZjzRh133XT-dRY38oG9oR/view","Open in Drive")</f>
        <v>Open in Drive</v>
      </c>
    </row>
    <row r="163" ht="15.75" customHeight="1">
      <c r="A163" s="10" t="s">
        <v>642</v>
      </c>
      <c r="B163" s="10" t="s">
        <v>600</v>
      </c>
      <c r="C163" s="10" t="s">
        <v>396</v>
      </c>
      <c r="D163" s="10" t="s">
        <v>398</v>
      </c>
      <c r="E163" s="10" t="s">
        <v>130</v>
      </c>
      <c r="F163" s="12" t="str">
        <f>HYPERLINK("https://drive.google.com/file/d/1iZ50ZtN9K9CBUfSYyY3Gn1b-cUGOXcmT/view","Open in Drive")</f>
        <v>Open in Drive</v>
      </c>
    </row>
    <row r="164" ht="15.75" customHeight="1">
      <c r="A164" s="10" t="s">
        <v>643</v>
      </c>
      <c r="B164" s="10" t="s">
        <v>600</v>
      </c>
      <c r="C164" s="10" t="s">
        <v>403</v>
      </c>
      <c r="D164" s="10" t="s">
        <v>405</v>
      </c>
      <c r="E164" s="10" t="s">
        <v>130</v>
      </c>
      <c r="F164" s="12" t="str">
        <f>HYPERLINK("https://drive.google.com/file/d/1u319XpHKP9-BHnnYiF1mirPUdo_PcuM8/view","Open in Drive")</f>
        <v>Open in Drive</v>
      </c>
    </row>
    <row r="165" ht="15.75" customHeight="1">
      <c r="A165" s="10" t="s">
        <v>644</v>
      </c>
      <c r="B165" s="10" t="s">
        <v>600</v>
      </c>
      <c r="C165" s="10" t="s">
        <v>408</v>
      </c>
      <c r="D165" s="10" t="s">
        <v>409</v>
      </c>
      <c r="E165" s="10" t="s">
        <v>130</v>
      </c>
      <c r="F165" s="12" t="str">
        <f>HYPERLINK("https://drive.google.com/file/d/1UmLLS5ZTI4DHDf5iuETDLlvbGTR7wwsA/view","Open in Drive")</f>
        <v>Open in Drive</v>
      </c>
    </row>
    <row r="166" ht="15.75" customHeight="1">
      <c r="A166" s="10" t="s">
        <v>645</v>
      </c>
      <c r="B166" s="10" t="s">
        <v>600</v>
      </c>
      <c r="C166" s="10" t="s">
        <v>414</v>
      </c>
      <c r="D166" s="10" t="s">
        <v>415</v>
      </c>
      <c r="E166" s="10" t="s">
        <v>130</v>
      </c>
      <c r="F166" s="12" t="str">
        <f>HYPERLINK("https://drive.google.com/file/d/1c52o0Y07f_ScJ57ei-7hg6QK54J_-eAe/view","Open in Drive")</f>
        <v>Open in Drive</v>
      </c>
    </row>
    <row r="167" ht="15.75" customHeight="1">
      <c r="A167" s="10" t="s">
        <v>646</v>
      </c>
      <c r="B167" s="10" t="s">
        <v>600</v>
      </c>
      <c r="C167" s="10" t="s">
        <v>419</v>
      </c>
      <c r="D167" s="10" t="s">
        <v>420</v>
      </c>
      <c r="E167" s="10" t="s">
        <v>130</v>
      </c>
      <c r="F167" s="12" t="str">
        <f>HYPERLINK("https://drive.google.com/file/d/1hpKLYsQALBmD5V-ucDpEs-L_GT5h0_7n/view","Open in Drive")</f>
        <v>Open in Drive</v>
      </c>
    </row>
    <row r="168" ht="15.75" customHeight="1">
      <c r="A168" s="10" t="s">
        <v>647</v>
      </c>
      <c r="B168" s="10" t="s">
        <v>600</v>
      </c>
      <c r="C168" s="10" t="s">
        <v>424</v>
      </c>
      <c r="D168" s="10" t="s">
        <v>425</v>
      </c>
      <c r="E168" s="10" t="s">
        <v>130</v>
      </c>
      <c r="F168" s="12" t="str">
        <f>HYPERLINK("https://drive.google.com/file/d/1XywBEulF0X3HMJCdXoFqNGiDii5VT4OR/view","Open in Drive")</f>
        <v>Open in Drive</v>
      </c>
    </row>
    <row r="169" ht="15.75" customHeight="1">
      <c r="A169" s="10" t="s">
        <v>648</v>
      </c>
      <c r="B169" s="10" t="s">
        <v>600</v>
      </c>
      <c r="C169" s="10" t="s">
        <v>430</v>
      </c>
      <c r="D169" s="10" t="s">
        <v>431</v>
      </c>
      <c r="E169" s="10" t="s">
        <v>130</v>
      </c>
      <c r="F169" s="12" t="str">
        <f>HYPERLINK("https://drive.google.com/file/d/1mXeF4b9IZo5-uQO6KeudVVKWuRmzOFKj/view","Open in Drive")</f>
        <v>Open in Drive</v>
      </c>
    </row>
    <row r="170" ht="15.75" customHeight="1">
      <c r="A170" s="10" t="s">
        <v>649</v>
      </c>
      <c r="B170" s="10" t="s">
        <v>600</v>
      </c>
      <c r="C170" s="10" t="s">
        <v>436</v>
      </c>
      <c r="D170" s="10" t="s">
        <v>437</v>
      </c>
      <c r="E170" s="10" t="s">
        <v>130</v>
      </c>
      <c r="F170" s="12" t="str">
        <f>HYPERLINK("https://drive.google.com/file/d/1QQdRPdXWF_TooeNZV-0_NwrIjVBYlOOk/view","Open in Drive")</f>
        <v>Open in Drive</v>
      </c>
    </row>
    <row r="171" ht="15.75" customHeight="1">
      <c r="A171" s="7" t="s">
        <v>650</v>
      </c>
      <c r="B171" s="8"/>
      <c r="C171" s="8"/>
      <c r="D171" s="8"/>
      <c r="E171" s="8"/>
      <c r="F171" s="8"/>
    </row>
    <row r="172" ht="15.75" customHeight="1">
      <c r="A172" s="10" t="s">
        <v>651</v>
      </c>
      <c r="B172" s="10" t="s">
        <v>652</v>
      </c>
      <c r="C172" s="10" t="s">
        <v>128</v>
      </c>
      <c r="D172" s="10" t="s">
        <v>129</v>
      </c>
      <c r="E172" s="10" t="s">
        <v>130</v>
      </c>
      <c r="F172" s="12" t="str">
        <f>HYPERLINK("https://drive.google.com/file/d/1x_x8_pWlH6cZlyhjR-o5szCWFHxSc1BE/view","Open in Drive")</f>
        <v>Open in Drive</v>
      </c>
    </row>
    <row r="173" ht="15.75" customHeight="1">
      <c r="A173" s="10" t="s">
        <v>653</v>
      </c>
      <c r="B173" s="10" t="s">
        <v>652</v>
      </c>
      <c r="C173" s="10" t="s">
        <v>135</v>
      </c>
      <c r="D173" s="10" t="s">
        <v>136</v>
      </c>
      <c r="E173" s="10" t="s">
        <v>130</v>
      </c>
      <c r="F173" s="12" t="str">
        <f>HYPERLINK("https://drive.google.com/file/d/1ezmRbbKdHF55TdIoRpDsyb5-P3QZ81JY/view","Open in Drive")</f>
        <v>Open in Drive</v>
      </c>
    </row>
    <row r="174" ht="15.75" customHeight="1">
      <c r="A174" s="10" t="s">
        <v>654</v>
      </c>
      <c r="B174" s="10" t="s">
        <v>652</v>
      </c>
      <c r="C174" s="10" t="s">
        <v>142</v>
      </c>
      <c r="D174" s="10" t="s">
        <v>143</v>
      </c>
      <c r="E174" s="10" t="s">
        <v>130</v>
      </c>
      <c r="F174" s="12" t="str">
        <f>HYPERLINK("https://drive.google.com/file/d/1h2KKQx_PpPNBhMXmZ6qoNzC3qbobwN6h/view","Open in Drive")</f>
        <v>Open in Drive</v>
      </c>
    </row>
    <row r="175" ht="15.75" customHeight="1">
      <c r="A175" s="10" t="s">
        <v>655</v>
      </c>
      <c r="B175" s="10" t="s">
        <v>652</v>
      </c>
      <c r="C175" s="10" t="s">
        <v>150</v>
      </c>
      <c r="D175" s="10" t="s">
        <v>151</v>
      </c>
      <c r="E175" s="10" t="s">
        <v>130</v>
      </c>
      <c r="F175" s="12" t="str">
        <f>HYPERLINK("https://drive.google.com/file/d/17_PHmDf2CaGTxPSBHHbQtdf8p6eYIKL_/view","Open in Drive")</f>
        <v>Open in Drive</v>
      </c>
    </row>
    <row r="176" ht="15.75" customHeight="1">
      <c r="A176" s="10" t="s">
        <v>656</v>
      </c>
      <c r="B176" s="10" t="s">
        <v>652</v>
      </c>
      <c r="C176" s="10" t="s">
        <v>156</v>
      </c>
      <c r="D176" s="10" t="s">
        <v>157</v>
      </c>
      <c r="E176" s="10" t="s">
        <v>130</v>
      </c>
      <c r="F176" s="12" t="str">
        <f>HYPERLINK("https://drive.google.com/file/d/1nSXaayh3ZSUKYErp3T573hIgtVyVeWXR/view","Open in Drive")</f>
        <v>Open in Drive</v>
      </c>
    </row>
    <row r="177" ht="15.75" customHeight="1">
      <c r="A177" s="10" t="s">
        <v>657</v>
      </c>
      <c r="B177" s="10" t="s">
        <v>652</v>
      </c>
      <c r="C177" s="10" t="s">
        <v>163</v>
      </c>
      <c r="D177" s="10" t="s">
        <v>177</v>
      </c>
      <c r="E177" s="10" t="s">
        <v>130</v>
      </c>
      <c r="F177" s="12" t="str">
        <f>HYPERLINK("https://drive.google.com/file/d/1atCuBwBLy6E1Kznva2BGLTWlUJ0FfTmj/view","Open in Drive")</f>
        <v>Open in Drive</v>
      </c>
    </row>
    <row r="178" ht="15.75" customHeight="1">
      <c r="A178" s="10" t="s">
        <v>658</v>
      </c>
      <c r="B178" s="10" t="s">
        <v>652</v>
      </c>
      <c r="C178" s="10" t="s">
        <v>183</v>
      </c>
      <c r="D178" s="10" t="s">
        <v>184</v>
      </c>
      <c r="E178" s="10" t="s">
        <v>130</v>
      </c>
      <c r="F178" s="12" t="str">
        <f>HYPERLINK("https://drive.google.com/file/d/1pUw9q_GHJB-VPkAElsE2fPUYnfKwIHIt/view","Open in Drive")</f>
        <v>Open in Drive</v>
      </c>
    </row>
    <row r="179" ht="15.75" customHeight="1">
      <c r="A179" s="10" t="s">
        <v>659</v>
      </c>
      <c r="B179" s="10" t="s">
        <v>652</v>
      </c>
      <c r="C179" s="10" t="s">
        <v>192</v>
      </c>
      <c r="D179" s="10" t="s">
        <v>193</v>
      </c>
      <c r="E179" s="10" t="s">
        <v>130</v>
      </c>
      <c r="F179" s="12" t="str">
        <f>HYPERLINK("https://drive.google.com/file/d/1dKFYGCIQtBOEvIRpH-dsU5zm1kAPr-FK/view","Open in Drive")</f>
        <v>Open in Drive</v>
      </c>
    </row>
    <row r="180" ht="15.75" customHeight="1">
      <c r="A180" s="10" t="s">
        <v>660</v>
      </c>
      <c r="B180" s="10" t="s">
        <v>652</v>
      </c>
      <c r="C180" s="10" t="s">
        <v>198</v>
      </c>
      <c r="D180" s="10" t="s">
        <v>199</v>
      </c>
      <c r="E180" s="10" t="s">
        <v>130</v>
      </c>
      <c r="F180" s="12" t="str">
        <f>HYPERLINK("https://drive.google.com/file/d/1qjYF6Q5vXd2XcujIKfDIKeAHAxmJB8nm/view","Open in Drive")</f>
        <v>Open in Drive</v>
      </c>
    </row>
    <row r="181" ht="15.75" customHeight="1">
      <c r="A181" s="10" t="s">
        <v>661</v>
      </c>
      <c r="B181" s="10" t="s">
        <v>652</v>
      </c>
      <c r="C181" s="10" t="s">
        <v>208</v>
      </c>
      <c r="D181" s="10" t="s">
        <v>209</v>
      </c>
      <c r="E181" s="10" t="s">
        <v>130</v>
      </c>
      <c r="F181" s="12" t="str">
        <f>HYPERLINK("https://drive.google.com/file/d/1lxf46UggnQU0W29fsF3E1q27bSdgP-rZ/view","Open in Drive")</f>
        <v>Open in Drive</v>
      </c>
    </row>
    <row r="182" ht="15.75" customHeight="1">
      <c r="A182" s="10" t="s">
        <v>662</v>
      </c>
      <c r="B182" s="10" t="s">
        <v>652</v>
      </c>
      <c r="C182" s="10" t="s">
        <v>215</v>
      </c>
      <c r="D182" s="10" t="s">
        <v>216</v>
      </c>
      <c r="E182" s="10" t="s">
        <v>130</v>
      </c>
      <c r="F182" s="12" t="str">
        <f>HYPERLINK("https://drive.google.com/file/d/1ipL-HTZexNxU7754H6p_AJF6hub9FzNx/view","Open in Drive")</f>
        <v>Open in Drive</v>
      </c>
    </row>
    <row r="183" ht="15.75" customHeight="1">
      <c r="A183" s="10" t="s">
        <v>663</v>
      </c>
      <c r="B183" s="10" t="s">
        <v>652</v>
      </c>
      <c r="C183" s="10" t="s">
        <v>219</v>
      </c>
      <c r="D183" s="10" t="s">
        <v>220</v>
      </c>
      <c r="E183" s="10" t="s">
        <v>130</v>
      </c>
      <c r="F183" s="12" t="str">
        <f>HYPERLINK("https://drive.google.com/file/d/15BSonceMT_fuTfwPQHiV5YaswmqQ3_Kv/view","Open in Drive")</f>
        <v>Open in Drive</v>
      </c>
    </row>
    <row r="184" ht="15.75" customHeight="1">
      <c r="A184" s="10" t="s">
        <v>664</v>
      </c>
      <c r="B184" s="10" t="s">
        <v>652</v>
      </c>
      <c r="C184" s="10" t="s">
        <v>228</v>
      </c>
      <c r="D184" s="10" t="s">
        <v>229</v>
      </c>
      <c r="E184" s="10" t="s">
        <v>130</v>
      </c>
      <c r="F184" s="12" t="str">
        <f>HYPERLINK("https://drive.google.com/file/d/18TLB6i6fPaC0kTNvrlLZXiNeItoGLpHQ/view","Open in Drive")</f>
        <v>Open in Drive</v>
      </c>
    </row>
    <row r="185" ht="15.75" customHeight="1">
      <c r="A185" s="10" t="s">
        <v>665</v>
      </c>
      <c r="B185" s="10" t="s">
        <v>652</v>
      </c>
      <c r="C185" s="10" t="s">
        <v>235</v>
      </c>
      <c r="D185" s="10" t="s">
        <v>237</v>
      </c>
      <c r="E185" s="10" t="s">
        <v>130</v>
      </c>
      <c r="F185" s="12" t="str">
        <f>HYPERLINK("https://drive.google.com/file/d/1morVFlOCqcgIjP5ZfwWZhfnTG5aEAgwS/view","Open in Drive")</f>
        <v>Open in Drive</v>
      </c>
    </row>
    <row r="186" ht="15.75" customHeight="1">
      <c r="A186" s="10" t="s">
        <v>666</v>
      </c>
      <c r="B186" s="10" t="s">
        <v>652</v>
      </c>
      <c r="C186" s="10" t="s">
        <v>243</v>
      </c>
      <c r="D186" s="10" t="s">
        <v>245</v>
      </c>
      <c r="E186" s="10" t="s">
        <v>130</v>
      </c>
      <c r="F186" s="12" t="str">
        <f>HYPERLINK("https://drive.google.com/file/d/1yR2ZGI1ZNCLu9TXif9BDeYLhRP4Y7cXz/view","Open in Drive")</f>
        <v>Open in Drive</v>
      </c>
    </row>
    <row r="187" ht="15.75" customHeight="1">
      <c r="A187" s="10" t="s">
        <v>667</v>
      </c>
      <c r="B187" s="10" t="s">
        <v>652</v>
      </c>
      <c r="C187" s="10" t="s">
        <v>251</v>
      </c>
      <c r="D187" s="10" t="s">
        <v>252</v>
      </c>
      <c r="E187" s="10" t="s">
        <v>130</v>
      </c>
      <c r="F187" s="12" t="str">
        <f>HYPERLINK("https://drive.google.com/file/d/14lp9mwO-PfOvzkuNvvU5RO5vqFax8-NU/view","Open in Drive")</f>
        <v>Open in Drive</v>
      </c>
    </row>
    <row r="188" ht="15.75" customHeight="1">
      <c r="A188" s="10" t="s">
        <v>668</v>
      </c>
      <c r="B188" s="10" t="s">
        <v>652</v>
      </c>
      <c r="C188" s="10" t="s">
        <v>258</v>
      </c>
      <c r="D188" s="10" t="s">
        <v>259</v>
      </c>
      <c r="E188" s="10" t="s">
        <v>130</v>
      </c>
      <c r="F188" s="12" t="str">
        <f>HYPERLINK("https://drive.google.com/file/d/1_t5TJKzDzksVpnSWgaPFt-44t5BXyIRZ/view","Open in Drive")</f>
        <v>Open in Drive</v>
      </c>
    </row>
    <row r="189" ht="15.75" customHeight="1">
      <c r="A189" s="10" t="s">
        <v>669</v>
      </c>
      <c r="B189" s="10" t="s">
        <v>652</v>
      </c>
      <c r="C189" s="10" t="s">
        <v>262</v>
      </c>
      <c r="D189" s="10" t="s">
        <v>263</v>
      </c>
      <c r="E189" s="10" t="s">
        <v>130</v>
      </c>
      <c r="F189" s="12" t="str">
        <f>HYPERLINK("https://drive.google.com/file/d/1dmdmSS6h0mMfNHry6FGtfmGKncb1MmdM/view","Open in Drive")</f>
        <v>Open in Drive</v>
      </c>
    </row>
    <row r="190" ht="15.75" customHeight="1">
      <c r="A190" s="10" t="s">
        <v>670</v>
      </c>
      <c r="B190" s="10" t="s">
        <v>652</v>
      </c>
      <c r="C190" s="10" t="s">
        <v>270</v>
      </c>
      <c r="D190" s="10" t="s">
        <v>271</v>
      </c>
      <c r="E190" s="10" t="s">
        <v>130</v>
      </c>
      <c r="F190" s="12" t="str">
        <f>HYPERLINK("https://drive.google.com/file/d/1UJs6f87i-6S18wLWTNfw7LRjA-kjZECg/view","Open in Drive")</f>
        <v>Open in Drive</v>
      </c>
    </row>
    <row r="191" ht="15.75" customHeight="1">
      <c r="A191" s="10" t="s">
        <v>671</v>
      </c>
      <c r="B191" s="10" t="s">
        <v>652</v>
      </c>
      <c r="C191" s="10" t="s">
        <v>276</v>
      </c>
      <c r="D191" s="10" t="s">
        <v>277</v>
      </c>
      <c r="E191" s="10" t="s">
        <v>130</v>
      </c>
      <c r="F191" s="12" t="str">
        <f>HYPERLINK("https://drive.google.com/file/d/104UHoSpbrwUa3hbOu2vGdFAKgxyuwrt4/view","Open in Drive")</f>
        <v>Open in Drive</v>
      </c>
    </row>
    <row r="192" ht="15.75" customHeight="1">
      <c r="A192" s="10" t="s">
        <v>672</v>
      </c>
      <c r="B192" s="10" t="s">
        <v>652</v>
      </c>
      <c r="C192" s="10" t="s">
        <v>283</v>
      </c>
      <c r="D192" s="10" t="s">
        <v>284</v>
      </c>
      <c r="E192" s="10" t="s">
        <v>130</v>
      </c>
      <c r="F192" s="12" t="str">
        <f>HYPERLINK("https://drive.google.com/file/d/156H29UiTbj4jUBCVSa7pE3txCpftBZYR/view","Open in Drive")</f>
        <v>Open in Drive</v>
      </c>
    </row>
    <row r="193" ht="15.75" customHeight="1">
      <c r="A193" s="10" t="s">
        <v>673</v>
      </c>
      <c r="B193" s="10" t="s">
        <v>652</v>
      </c>
      <c r="C193" s="10" t="s">
        <v>286</v>
      </c>
      <c r="D193" s="10" t="s">
        <v>287</v>
      </c>
      <c r="E193" s="10" t="s">
        <v>130</v>
      </c>
      <c r="F193" s="12" t="str">
        <f>HYPERLINK("https://drive.google.com/file/d/1BQ1p9PFAbRqXRMQcnt7z-MAqB477pDwa/view","Open in Drive")</f>
        <v>Open in Drive</v>
      </c>
    </row>
    <row r="194" ht="15.75" customHeight="1">
      <c r="A194" s="10" t="s">
        <v>674</v>
      </c>
      <c r="B194" s="10" t="s">
        <v>652</v>
      </c>
      <c r="C194" s="10" t="s">
        <v>292</v>
      </c>
      <c r="D194" s="10" t="s">
        <v>294</v>
      </c>
      <c r="E194" s="10" t="s">
        <v>130</v>
      </c>
      <c r="F194" s="12" t="str">
        <f>HYPERLINK("https://drive.google.com/file/d/1nV3HkZQN3kxm0X8vKz6zWAMaKiOoukIb/view","Open in Drive")</f>
        <v>Open in Drive</v>
      </c>
    </row>
    <row r="195" ht="15.75" customHeight="1">
      <c r="A195" s="10" t="s">
        <v>675</v>
      </c>
      <c r="B195" s="10" t="s">
        <v>652</v>
      </c>
      <c r="C195" s="10" t="s">
        <v>297</v>
      </c>
      <c r="D195" s="10" t="s">
        <v>298</v>
      </c>
      <c r="E195" s="10" t="s">
        <v>130</v>
      </c>
      <c r="F195" s="12" t="str">
        <f>HYPERLINK("https://drive.google.com/file/d/1cNdoE5D8QjxJ7dvoKD3A832Gij4wCU2e/view","Open in Drive")</f>
        <v>Open in Drive</v>
      </c>
    </row>
    <row r="196" ht="15.75" customHeight="1">
      <c r="A196" s="10" t="s">
        <v>676</v>
      </c>
      <c r="B196" s="10" t="s">
        <v>652</v>
      </c>
      <c r="C196" s="10" t="s">
        <v>302</v>
      </c>
      <c r="D196" s="10" t="s">
        <v>303</v>
      </c>
      <c r="E196" s="10" t="s">
        <v>130</v>
      </c>
      <c r="F196" s="12" t="str">
        <f>HYPERLINK("https://drive.google.com/file/d/1YVWrPMrR44En3mujtKaRsoDcQ6Jw9VlT/view","Open in Drive")</f>
        <v>Open in Drive</v>
      </c>
    </row>
    <row r="197" ht="15.75" customHeight="1">
      <c r="A197" s="10" t="s">
        <v>677</v>
      </c>
      <c r="B197" s="10" t="s">
        <v>652</v>
      </c>
      <c r="C197" s="10" t="s">
        <v>308</v>
      </c>
      <c r="D197" s="10" t="s">
        <v>309</v>
      </c>
      <c r="E197" s="10" t="s">
        <v>130</v>
      </c>
      <c r="F197" s="12" t="str">
        <f>HYPERLINK("https://drive.google.com/file/d/1C2gITHxbHaOtbf6cJgyHfChu_q9vyq2F/view","Open in Drive")</f>
        <v>Open in Drive</v>
      </c>
    </row>
    <row r="198" ht="15.75" customHeight="1">
      <c r="A198" s="10" t="s">
        <v>678</v>
      </c>
      <c r="B198" s="10" t="s">
        <v>652</v>
      </c>
      <c r="C198" s="10" t="s">
        <v>314</v>
      </c>
      <c r="D198" s="10" t="s">
        <v>315</v>
      </c>
      <c r="E198" s="10" t="s">
        <v>130</v>
      </c>
      <c r="F198" s="12" t="str">
        <f>HYPERLINK("https://drive.google.com/file/d/19GS9iIBh8GahDx2ASPndHhOMQUYutm51/view","Open in Drive")</f>
        <v>Open in Drive</v>
      </c>
    </row>
    <row r="199" ht="15.75" customHeight="1">
      <c r="A199" s="10" t="s">
        <v>679</v>
      </c>
      <c r="B199" s="10" t="s">
        <v>652</v>
      </c>
      <c r="C199" s="10" t="s">
        <v>320</v>
      </c>
      <c r="D199" s="10" t="s">
        <v>321</v>
      </c>
      <c r="E199" s="10" t="s">
        <v>130</v>
      </c>
      <c r="F199" s="12" t="str">
        <f>HYPERLINK("https://drive.google.com/file/d/1t7coYOXYAp5cESuwIw44BGIIotBcBfdE/view","Open in Drive")</f>
        <v>Open in Drive</v>
      </c>
    </row>
    <row r="200" ht="15.75" customHeight="1">
      <c r="A200" s="10" t="s">
        <v>680</v>
      </c>
      <c r="B200" s="10" t="s">
        <v>652</v>
      </c>
      <c r="C200" s="10" t="s">
        <v>323</v>
      </c>
      <c r="D200" s="10" t="s">
        <v>324</v>
      </c>
      <c r="E200" s="10" t="s">
        <v>130</v>
      </c>
      <c r="F200" s="12" t="str">
        <f>HYPERLINK("https://drive.google.com/file/d/1wPa9l2P3O4NAImra_ZDC3k4LO5nh2hbl/view","Open in Drive")</f>
        <v>Open in Drive</v>
      </c>
    </row>
    <row r="201" ht="15.75" customHeight="1">
      <c r="A201" s="10" t="s">
        <v>681</v>
      </c>
      <c r="B201" s="10" t="s">
        <v>652</v>
      </c>
      <c r="C201" s="10" t="s">
        <v>330</v>
      </c>
      <c r="D201" s="10" t="s">
        <v>331</v>
      </c>
      <c r="E201" s="10" t="s">
        <v>130</v>
      </c>
      <c r="F201" s="12" t="str">
        <f>HYPERLINK("https://drive.google.com/file/d/1BRGv8U_l6hPodhLkICpbkEvfHKhLh-EG/view","Open in Drive")</f>
        <v>Open in Drive</v>
      </c>
    </row>
    <row r="202" ht="15.75" customHeight="1">
      <c r="A202" s="10" t="s">
        <v>682</v>
      </c>
      <c r="B202" s="10" t="s">
        <v>652</v>
      </c>
      <c r="C202" s="10" t="s">
        <v>334</v>
      </c>
      <c r="D202" s="10" t="s">
        <v>335</v>
      </c>
      <c r="E202" s="10" t="s">
        <v>130</v>
      </c>
      <c r="F202" s="12" t="str">
        <f>HYPERLINK("https://drive.google.com/file/d/1t79WV8NESft0Dql1-HSX1_bTRqfc1HbU/view","Open in Drive")</f>
        <v>Open in Drive</v>
      </c>
    </row>
    <row r="203" ht="15.75" customHeight="1">
      <c r="A203" s="10" t="s">
        <v>683</v>
      </c>
      <c r="B203" s="10" t="s">
        <v>652</v>
      </c>
      <c r="C203" s="10" t="s">
        <v>341</v>
      </c>
      <c r="D203" s="10" t="s">
        <v>342</v>
      </c>
      <c r="E203" s="10" t="s">
        <v>130</v>
      </c>
      <c r="F203" s="12" t="str">
        <f>HYPERLINK("https://drive.google.com/file/d/1awbfBIf-bYGu6pqG2FeiZuYFeQARkapQ/view","Open in Drive")</f>
        <v>Open in Drive</v>
      </c>
    </row>
    <row r="204" ht="15.75" customHeight="1">
      <c r="A204" s="10" t="s">
        <v>684</v>
      </c>
      <c r="B204" s="10" t="s">
        <v>652</v>
      </c>
      <c r="C204" s="10" t="s">
        <v>344</v>
      </c>
      <c r="D204" s="10" t="s">
        <v>345</v>
      </c>
      <c r="E204" s="10" t="s">
        <v>130</v>
      </c>
      <c r="F204" s="12" t="str">
        <f>HYPERLINK("https://drive.google.com/file/d/1jHVEVQNDmU-UE9h0FddREvrguvr5-IEe/view","Open in Drive")</f>
        <v>Open in Drive</v>
      </c>
    </row>
    <row r="205" ht="15.75" customHeight="1">
      <c r="A205" s="10" t="s">
        <v>685</v>
      </c>
      <c r="B205" s="10" t="s">
        <v>652</v>
      </c>
      <c r="C205" s="10" t="s">
        <v>349</v>
      </c>
      <c r="D205" s="10" t="s">
        <v>350</v>
      </c>
      <c r="E205" s="10" t="s">
        <v>130</v>
      </c>
      <c r="F205" s="12" t="str">
        <f>HYPERLINK("https://drive.google.com/file/d/1l7fQNDB-phHcTAHDMe3dF_A7ihNASqLq/view","Open in Drive")</f>
        <v>Open in Drive</v>
      </c>
    </row>
    <row r="206" ht="15.75" customHeight="1">
      <c r="A206" s="10" t="s">
        <v>686</v>
      </c>
      <c r="B206" s="10" t="s">
        <v>652</v>
      </c>
      <c r="C206" s="10" t="s">
        <v>352</v>
      </c>
      <c r="D206" s="10" t="s">
        <v>353</v>
      </c>
      <c r="E206" s="10" t="s">
        <v>130</v>
      </c>
      <c r="F206" s="12" t="str">
        <f>HYPERLINK("https://drive.google.com/file/d/15CsEc_w0gvT2YEaLqeD3iJ301khSYlbE/view","Open in Drive")</f>
        <v>Open in Drive</v>
      </c>
    </row>
    <row r="207" ht="15.75" customHeight="1">
      <c r="A207" s="10" t="s">
        <v>687</v>
      </c>
      <c r="B207" s="10" t="s">
        <v>652</v>
      </c>
      <c r="C207" s="10" t="s">
        <v>362</v>
      </c>
      <c r="D207" s="10" t="s">
        <v>363</v>
      </c>
      <c r="E207" s="10" t="s">
        <v>130</v>
      </c>
      <c r="F207" s="12" t="str">
        <f>HYPERLINK("https://drive.google.com/file/d/1i9FR9NicxLUtpAEfIbtcAgaFKN1L4iip/view","Open in Drive")</f>
        <v>Open in Drive</v>
      </c>
    </row>
    <row r="208" ht="15.75" customHeight="1">
      <c r="A208" s="10" t="s">
        <v>688</v>
      </c>
      <c r="B208" s="10" t="s">
        <v>652</v>
      </c>
      <c r="C208" s="10" t="s">
        <v>366</v>
      </c>
      <c r="D208" s="10" t="s">
        <v>367</v>
      </c>
      <c r="E208" s="10" t="s">
        <v>130</v>
      </c>
      <c r="F208" s="12" t="str">
        <f>HYPERLINK("https://drive.google.com/file/d/1WxI7TKKoIwk_fCwf1OYgy2HDet1YaKqf/view","Open in Drive")</f>
        <v>Open in Drive</v>
      </c>
    </row>
    <row r="209" ht="15.75" customHeight="1">
      <c r="A209" s="10" t="s">
        <v>689</v>
      </c>
      <c r="B209" s="10" t="s">
        <v>652</v>
      </c>
      <c r="C209" s="10" t="s">
        <v>371</v>
      </c>
      <c r="D209" s="10" t="s">
        <v>373</v>
      </c>
      <c r="E209" s="10" t="s">
        <v>130</v>
      </c>
      <c r="F209" s="12" t="str">
        <f>HYPERLINK("https://drive.google.com/file/d/1UdhwmcsunTL0ya46mDLjPITfqOcRCopj/view","Open in Drive")</f>
        <v>Open in Drive</v>
      </c>
    </row>
    <row r="210" ht="15.75" customHeight="1">
      <c r="A210" s="10" t="s">
        <v>690</v>
      </c>
      <c r="B210" s="10" t="s">
        <v>652</v>
      </c>
      <c r="C210" s="10" t="s">
        <v>376</v>
      </c>
      <c r="D210" s="10" t="s">
        <v>377</v>
      </c>
      <c r="E210" s="10" t="s">
        <v>130</v>
      </c>
      <c r="F210" s="12" t="str">
        <f>HYPERLINK("https://drive.google.com/file/d/1TvVSJScwzl3Alm-50ijm_YPdF0-uke15/view","Open in Drive")</f>
        <v>Open in Drive</v>
      </c>
    </row>
    <row r="211" ht="15.75" customHeight="1">
      <c r="A211" s="10" t="s">
        <v>691</v>
      </c>
      <c r="B211" s="10" t="s">
        <v>652</v>
      </c>
      <c r="C211" s="10" t="s">
        <v>380</v>
      </c>
      <c r="D211" s="10" t="s">
        <v>382</v>
      </c>
      <c r="E211" s="10" t="s">
        <v>130</v>
      </c>
      <c r="F211" s="12" t="str">
        <f>HYPERLINK("https://drive.google.com/file/d/1xhkfVOV_tMDxB5LpMsKW_PojeTXjRn38/view","Open in Drive")</f>
        <v>Open in Drive</v>
      </c>
    </row>
    <row r="212" ht="15.75" customHeight="1">
      <c r="A212" s="10" t="s">
        <v>692</v>
      </c>
      <c r="B212" s="10" t="s">
        <v>652</v>
      </c>
      <c r="C212" s="10" t="s">
        <v>386</v>
      </c>
      <c r="D212" s="10" t="s">
        <v>387</v>
      </c>
      <c r="E212" s="10" t="s">
        <v>130</v>
      </c>
      <c r="F212" s="12" t="str">
        <f>HYPERLINK("https://drive.google.com/file/d/1z-Utq2EoHaWtxhDEEfuOkpYsDgMEck6b/view","Open in Drive")</f>
        <v>Open in Drive</v>
      </c>
    </row>
    <row r="213" ht="15.75" customHeight="1">
      <c r="A213" s="10" t="s">
        <v>693</v>
      </c>
      <c r="B213" s="10" t="s">
        <v>652</v>
      </c>
      <c r="C213" s="10" t="s">
        <v>390</v>
      </c>
      <c r="D213" s="10" t="s">
        <v>391</v>
      </c>
      <c r="E213" s="10" t="s">
        <v>130</v>
      </c>
      <c r="F213" s="12" t="str">
        <f>HYPERLINK("https://drive.google.com/file/d/1Xup52EdJAJ7FRzIDVv0NrfiXqUEu6Pxj/view","Open in Drive")</f>
        <v>Open in Drive</v>
      </c>
    </row>
    <row r="214" ht="15.75" customHeight="1">
      <c r="A214" s="10" t="s">
        <v>694</v>
      </c>
      <c r="B214" s="10" t="s">
        <v>652</v>
      </c>
      <c r="C214" s="10" t="s">
        <v>396</v>
      </c>
      <c r="D214" s="10" t="s">
        <v>398</v>
      </c>
      <c r="E214" s="10" t="s">
        <v>130</v>
      </c>
      <c r="F214" s="12" t="str">
        <f>HYPERLINK("https://drive.google.com/file/d/12CqN2NYQIS7vY5-XLs0MqGTrMsFsg7xz/view","Open in Drive")</f>
        <v>Open in Drive</v>
      </c>
    </row>
    <row r="215" ht="15.75" customHeight="1">
      <c r="A215" s="10" t="s">
        <v>695</v>
      </c>
      <c r="B215" s="10" t="s">
        <v>652</v>
      </c>
      <c r="C215" s="10" t="s">
        <v>403</v>
      </c>
      <c r="D215" s="10" t="s">
        <v>405</v>
      </c>
      <c r="E215" s="10" t="s">
        <v>130</v>
      </c>
      <c r="F215" s="12" t="str">
        <f>HYPERLINK("https://drive.google.com/file/d/1wfR6W2B_4W-s9EwMFrpSVTUg9ofKuRS1/view","Open in Drive")</f>
        <v>Open in Drive</v>
      </c>
    </row>
    <row r="216" ht="15.75" customHeight="1">
      <c r="A216" s="10" t="s">
        <v>696</v>
      </c>
      <c r="B216" s="10" t="s">
        <v>652</v>
      </c>
      <c r="C216" s="10" t="s">
        <v>408</v>
      </c>
      <c r="D216" s="10" t="s">
        <v>409</v>
      </c>
      <c r="E216" s="10" t="s">
        <v>130</v>
      </c>
      <c r="F216" s="12" t="str">
        <f>HYPERLINK("https://drive.google.com/file/d/1wmBkHISLnYl97TfsHpBYZi4A_JTTceW1/view","Open in Drive")</f>
        <v>Open in Drive</v>
      </c>
    </row>
    <row r="217" ht="15.75" customHeight="1">
      <c r="A217" s="10" t="s">
        <v>697</v>
      </c>
      <c r="B217" s="10" t="s">
        <v>652</v>
      </c>
      <c r="C217" s="10" t="s">
        <v>414</v>
      </c>
      <c r="D217" s="10" t="s">
        <v>415</v>
      </c>
      <c r="E217" s="10" t="s">
        <v>130</v>
      </c>
      <c r="F217" s="12" t="str">
        <f>HYPERLINK("https://drive.google.com/file/d/14Mj2j80J8jwBX8xz5hgAGTtJ-Yc9Bpgx/view","Open in Drive")</f>
        <v>Open in Drive</v>
      </c>
    </row>
    <row r="218" ht="15.75" customHeight="1">
      <c r="A218" s="10" t="s">
        <v>698</v>
      </c>
      <c r="B218" s="10" t="s">
        <v>652</v>
      </c>
      <c r="C218" s="10" t="s">
        <v>419</v>
      </c>
      <c r="D218" s="10" t="s">
        <v>420</v>
      </c>
      <c r="E218" s="10" t="s">
        <v>130</v>
      </c>
      <c r="F218" s="12" t="str">
        <f>HYPERLINK("https://drive.google.com/file/d/1YvVOWn-O3saodhvYzIZZeqPR6P8JXsC6/view","Open in Drive")</f>
        <v>Open in Drive</v>
      </c>
    </row>
    <row r="219" ht="15.75" customHeight="1">
      <c r="A219" s="10" t="s">
        <v>699</v>
      </c>
      <c r="B219" s="10" t="s">
        <v>652</v>
      </c>
      <c r="C219" s="10" t="s">
        <v>424</v>
      </c>
      <c r="D219" s="10" t="s">
        <v>425</v>
      </c>
      <c r="E219" s="10" t="s">
        <v>130</v>
      </c>
      <c r="F219" s="12" t="str">
        <f>HYPERLINK("https://drive.google.com/file/d/1Z1nGqK7vh0jiqrj9U_HmD0jW8CJxXSm9/view","Open in Drive")</f>
        <v>Open in Drive</v>
      </c>
    </row>
    <row r="220" ht="15.75" customHeight="1">
      <c r="A220" s="10" t="s">
        <v>700</v>
      </c>
      <c r="B220" s="10" t="s">
        <v>652</v>
      </c>
      <c r="C220" s="10" t="s">
        <v>430</v>
      </c>
      <c r="D220" s="10" t="s">
        <v>431</v>
      </c>
      <c r="E220" s="10" t="s">
        <v>130</v>
      </c>
      <c r="F220" s="12" t="str">
        <f>HYPERLINK("https://drive.google.com/file/d/1pOSspTYh0XpXzgberIPuST4hjXlP_RFs/view","Open in Drive")</f>
        <v>Open in Drive</v>
      </c>
    </row>
    <row r="221" ht="15.75" customHeight="1">
      <c r="A221" s="10" t="s">
        <v>701</v>
      </c>
      <c r="B221" s="10" t="s">
        <v>652</v>
      </c>
      <c r="C221" s="10" t="s">
        <v>436</v>
      </c>
      <c r="D221" s="10" t="s">
        <v>437</v>
      </c>
      <c r="E221" s="10" t="s">
        <v>130</v>
      </c>
      <c r="F221" s="12" t="str">
        <f>HYPERLINK("https://drive.google.com/file/d/1SgkTKIrnTtjXdDh7X5zenUqxc5tTVN7l/view","Open in Drive")</f>
        <v>Open in Drive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14"/>
    <col customWidth="1" min="2" max="2" width="36.71"/>
    <col customWidth="1" min="3" max="3" width="21.29"/>
    <col customWidth="1" min="4" max="26" width="8.71"/>
  </cols>
  <sheetData>
    <row r="1">
      <c r="A1" s="14" t="s">
        <v>59</v>
      </c>
    </row>
    <row r="3">
      <c r="A3" s="5" t="s">
        <v>2</v>
      </c>
      <c r="B3" s="5" t="s">
        <v>71</v>
      </c>
      <c r="C3" s="5" t="s">
        <v>14</v>
      </c>
    </row>
    <row r="4">
      <c r="A4" s="16" t="s">
        <v>78</v>
      </c>
      <c r="B4" s="16" t="s">
        <v>82</v>
      </c>
      <c r="C4" s="11" t="str">
        <f>HYPERLINK("https://drive.google.com/file/d/1RRgCDwHT00J9JYF2xopeHhZWzudQOX8H/view","Open in Drive")</f>
        <v>Open in Drive</v>
      </c>
    </row>
    <row r="5">
      <c r="A5" s="16" t="s">
        <v>98</v>
      </c>
      <c r="B5" s="16" t="s">
        <v>100</v>
      </c>
      <c r="C5" s="11" t="str">
        <f>HYPERLINK("https://drive.google.com/file/d/1KfWpHaBlWv38IfIw5H4Ir7VHSWntqpeR/view","Open in Drive")</f>
        <v>Open in Drive</v>
      </c>
    </row>
    <row r="6">
      <c r="A6" s="16" t="s">
        <v>107</v>
      </c>
      <c r="B6" s="16" t="s">
        <v>108</v>
      </c>
      <c r="C6" s="11" t="str">
        <f>HYPERLINK("https://drive.google.com/file/d/1Rm8U6gEectcHvsvxWPbSSKlUk8X2KO14/view","Open in Drive")</f>
        <v>Open in Drive</v>
      </c>
    </row>
    <row r="7">
      <c r="A7" s="16" t="s">
        <v>114</v>
      </c>
      <c r="B7" s="16" t="s">
        <v>115</v>
      </c>
      <c r="C7" s="11" t="str">
        <f>HYPERLINK("https://drive.google.com/file/d/1RCf2ymgeRhy0Vdjo-vTvahFdKFFuwCxN/view","Open in Drive")</f>
        <v>Open in Drive</v>
      </c>
    </row>
    <row r="8">
      <c r="A8" s="16" t="s">
        <v>119</v>
      </c>
      <c r="B8" s="16" t="s">
        <v>121</v>
      </c>
      <c r="C8" s="11" t="str">
        <f>HYPERLINK("https://drive.google.com/file/d/1RpVohSAnLNW27EasBVv5kVlyB6CaRjX2/view","Open in Drive")</f>
        <v>Open in Drive</v>
      </c>
    </row>
    <row r="9">
      <c r="A9" s="16" t="s">
        <v>131</v>
      </c>
      <c r="B9" s="16" t="s">
        <v>132</v>
      </c>
      <c r="C9" s="11" t="str">
        <f>HYPERLINK("https://drive.google.com/file/d/1Rjox0Z-LLqn-pBiTNmhX6FBJ-FnU7s2O/view","Open in Drive")</f>
        <v>Open in Drive</v>
      </c>
    </row>
    <row r="10">
      <c r="A10" s="16" t="s">
        <v>139</v>
      </c>
      <c r="B10" s="16" t="s">
        <v>140</v>
      </c>
      <c r="C10" s="11" t="str">
        <f>HYPERLINK("https://drive.google.com/file/d/1RkFfEDPaWO7d2U-7u9uE39KZ6ordtVUH/view","Open in Drive")</f>
        <v>Open in Drive</v>
      </c>
    </row>
    <row r="11">
      <c r="A11" s="16" t="s">
        <v>144</v>
      </c>
      <c r="B11" s="16" t="s">
        <v>145</v>
      </c>
      <c r="C11" s="11" t="str">
        <f>HYPERLINK("https://drive.google.com/file/d/1RQxEfpAFMqec6BENMlBi6Xins2nbNVg7/view","Open in Drive")</f>
        <v>Open in Drive</v>
      </c>
    </row>
    <row r="12">
      <c r="A12" s="16" t="s">
        <v>153</v>
      </c>
      <c r="B12" s="16" t="s">
        <v>154</v>
      </c>
      <c r="C12" s="11" t="str">
        <f>HYPERLINK("https://drive.google.com/file/d/1RrrVSisqqXqpbx-mdt9ZZjo3SzJGtJKi/view","Open in Drive")</f>
        <v>Open in Drive</v>
      </c>
    </row>
    <row r="13">
      <c r="A13" s="16" t="s">
        <v>158</v>
      </c>
      <c r="B13" s="16" t="s">
        <v>160</v>
      </c>
      <c r="C13" s="11" t="str">
        <f>HYPERLINK("https://drive.google.com/file/d/1SGtIObWdymKx2Vi0tKaYbkpg24JGn4vR/view","Open in Drive")</f>
        <v>Open in Drive</v>
      </c>
    </row>
    <row r="14">
      <c r="A14" s="16" t="s">
        <v>165</v>
      </c>
      <c r="B14" s="16" t="s">
        <v>166</v>
      </c>
      <c r="C14" s="11" t="str">
        <f>HYPERLINK("https://drive.google.com/file/d/1R_FvOAl9AGmlGmn_J8WeyOAxVrR9OCsz/view","Open in Drive")</f>
        <v>Open in Drive</v>
      </c>
    </row>
    <row r="15">
      <c r="A15" s="16" t="s">
        <v>169</v>
      </c>
      <c r="B15" s="16" t="s">
        <v>170</v>
      </c>
      <c r="C15" s="11" t="str">
        <f>HYPERLINK("https://drive.google.com/file/d/1RiNPTEAAZcmKWLsU99gns-TH7cJu5v6d/view","Open in Drive")</f>
        <v>Open in Drive</v>
      </c>
    </row>
    <row r="16">
      <c r="A16" s="16" t="s">
        <v>172</v>
      </c>
      <c r="B16" s="16" t="s">
        <v>173</v>
      </c>
      <c r="C16" s="11" t="str">
        <f>HYPERLINK("https://drive.google.com/file/d/1RnxQXyUI0bm7MryQOZk35nkGn59whh7Z/view","Open in Drive")</f>
        <v>Open in Drive</v>
      </c>
    </row>
    <row r="17">
      <c r="A17" s="16" t="s">
        <v>180</v>
      </c>
      <c r="B17" s="16" t="s">
        <v>181</v>
      </c>
      <c r="C17" s="11" t="str">
        <f>HYPERLINK("https://drive.google.com/file/d/1RW_UI625BojNcSMXs1hKFh13cm6vqXew/view","Open in Drive")</f>
        <v>Open in Drive</v>
      </c>
    </row>
    <row r="18">
      <c r="A18" s="16" t="s">
        <v>186</v>
      </c>
      <c r="B18" s="16" t="s">
        <v>187</v>
      </c>
      <c r="C18" s="11" t="str">
        <f>HYPERLINK("https://drive.google.com/file/d/1Qdy48k7zcMryZo4HSYJvTIk0-fzR-jCa/view","Open in Drive")</f>
        <v>Open in Drive</v>
      </c>
    </row>
    <row r="20">
      <c r="A20" s="14" t="s">
        <v>194</v>
      </c>
    </row>
    <row r="21" ht="15.75" customHeight="1">
      <c r="A21" s="16" t="s">
        <v>195</v>
      </c>
      <c r="C21" s="11" t="str">
        <f>HYPERLINK("https://drive.google.com/file/d/1Rr0SQA92X6CsYy8vH61uUKopg1uKGCo5/view","Open in Drive")</f>
        <v>Open in Drive</v>
      </c>
    </row>
    <row r="22" ht="15.75" customHeight="1">
      <c r="A22" s="16" t="s">
        <v>200</v>
      </c>
      <c r="C22" s="11" t="str">
        <f>HYPERLINK("https://drive.google.com/drive/folders/1SOhgyZeOU0VfK3NwKPi4AWBuX1JKQ5Ya","Open in Drive")</f>
        <v>Open in Drive</v>
      </c>
    </row>
    <row r="23" ht="15.75" customHeight="1">
      <c r="A23" s="16" t="s">
        <v>206</v>
      </c>
      <c r="C23" s="11" t="str">
        <f>HYPERLINK("https://drive.google.com/drive/folders/1Rhnvan1qacjLfHGzfOipMOTQnVoUcXMl","Open in Drive")</f>
        <v>Open in Drive</v>
      </c>
    </row>
    <row r="24" ht="15.75" customHeight="1">
      <c r="A24" s="16" t="s">
        <v>213</v>
      </c>
      <c r="C24" s="11" t="str">
        <f>HYPERLINK("https://drive.google.com/drive/folders/1Rj_qCbavX1OSLhKNA30LKvXXGu8fzo5E","Open in Drive")</f>
        <v>Open in Drive</v>
      </c>
    </row>
    <row r="25" ht="15.75" customHeight="1">
      <c r="A25" s="16" t="s">
        <v>217</v>
      </c>
      <c r="C25" s="11" t="str">
        <f>HYPERLINK("https://drive.google.com/drive/folders/1RjVAd0fE8bEpYqEnfKpKC4c774m1rrMq","Open in Drive")</f>
        <v>Open in Drive</v>
      </c>
    </row>
    <row r="26" ht="15.75" customHeight="1">
      <c r="A26" s="16" t="s">
        <v>226</v>
      </c>
      <c r="C26" s="11" t="str">
        <f>HYPERLINK("https://drive.google.com/file/d/1RIETKnniB_dIvH3T_pes1-d7_JkWbLp9/view","Open in Drive")</f>
        <v>Open in Drive</v>
      </c>
    </row>
    <row r="27" ht="15.75" customHeight="1">
      <c r="A27" s="16" t="s">
        <v>231</v>
      </c>
      <c r="C27" s="11" t="str">
        <f>HYPERLINK("https://drive.google.com/file/d/1MABNCuJSs0lgzW_lfYfnombw-FVS4hex/view","Open in Drive")</f>
        <v>Open in Drive</v>
      </c>
    </row>
    <row r="28" ht="15.75" customHeight="1"/>
    <row r="29" ht="15.75" customHeight="1">
      <c r="A29" s="14" t="s">
        <v>234</v>
      </c>
    </row>
    <row r="30" ht="15.75" customHeight="1">
      <c r="A30" s="16" t="s">
        <v>236</v>
      </c>
      <c r="C30" s="11" t="str">
        <f>HYPERLINK("https://drive.google.com/drive/folders/1LmuECDC4NHF6rz51Pg-YWdomMfgMCBVF","Open in Drive")</f>
        <v>Open in Drive</v>
      </c>
    </row>
    <row r="31" ht="15.75" customHeight="1">
      <c r="A31" s="16" t="s">
        <v>241</v>
      </c>
      <c r="C31" s="11" t="str">
        <f>HYPERLINK("https://docs.google.com/document/d/1-8LlHOmHCU-kSUsMxnjxvXeZnZTsYObpMmgGl_qeJvI/edit","Open")</f>
        <v>Open</v>
      </c>
    </row>
    <row r="32" ht="15.75" customHeight="1">
      <c r="A32" s="16" t="s">
        <v>248</v>
      </c>
      <c r="C32" s="11" t="str">
        <f>HYPERLINK("https://docs.google.com/document/d/1xhY5mZbV2wYJcEMjh5qyuElizhsm39ChSJJRPZILWFw/edit","Open")</f>
        <v>Open</v>
      </c>
    </row>
    <row r="33" ht="15.75" customHeight="1">
      <c r="A33" s="16" t="s">
        <v>249</v>
      </c>
      <c r="C33" s="11" t="str">
        <f>HYPERLINK("https://docs.google.com/spreadsheets/d/1p2hQO51IKzAnFUxkebVzu8BFrtYpO294ANoYIA-3qcg/edit","Open")</f>
        <v>Open</v>
      </c>
    </row>
    <row r="34" ht="15.75" customHeight="1">
      <c r="A34" s="16" t="s">
        <v>253</v>
      </c>
      <c r="C34" s="11" t="str">
        <f>HYPERLINK("https://drive.google.com/file/d/17fVvwe2Gq4dqcN8_5k0zTQAAeG1MeI-t/view","Open")</f>
        <v>Open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25" t="s">
        <v>465</v>
      </c>
    </row>
    <row r="2">
      <c r="A2" s="26"/>
    </row>
    <row r="3">
      <c r="A3" s="26" t="s">
        <v>469</v>
      </c>
    </row>
    <row r="4">
      <c r="A4" s="26" t="s">
        <v>470</v>
      </c>
    </row>
    <row r="5">
      <c r="A5" s="26"/>
    </row>
    <row r="6">
      <c r="A6" s="27" t="s">
        <v>475</v>
      </c>
    </row>
    <row r="7">
      <c r="A7" s="26" t="s">
        <v>477</v>
      </c>
    </row>
    <row r="8">
      <c r="A8" s="26" t="s">
        <v>479</v>
      </c>
    </row>
    <row r="9">
      <c r="A9" s="26" t="s">
        <v>480</v>
      </c>
    </row>
    <row r="10">
      <c r="A10" s="26" t="s">
        <v>483</v>
      </c>
    </row>
    <row r="11">
      <c r="A11" s="26"/>
    </row>
    <row r="12">
      <c r="A12" s="27" t="s">
        <v>487</v>
      </c>
    </row>
    <row r="13">
      <c r="A13" s="26" t="s">
        <v>489</v>
      </c>
    </row>
    <row r="14">
      <c r="A14" s="26" t="s">
        <v>490</v>
      </c>
    </row>
    <row r="15">
      <c r="A15" s="26" t="s">
        <v>491</v>
      </c>
    </row>
    <row r="16">
      <c r="A16" s="26" t="s">
        <v>492</v>
      </c>
    </row>
    <row r="17">
      <c r="A17" s="26" t="s">
        <v>493</v>
      </c>
    </row>
    <row r="18">
      <c r="A18" s="26"/>
    </row>
    <row r="19">
      <c r="A19" s="27" t="s">
        <v>495</v>
      </c>
    </row>
    <row r="20">
      <c r="A20" s="26" t="s">
        <v>497</v>
      </c>
    </row>
    <row r="21" ht="15.75" customHeight="1">
      <c r="A21" s="26" t="s">
        <v>501</v>
      </c>
    </row>
    <row r="22" ht="15.75" customHeight="1">
      <c r="A22" s="26" t="s">
        <v>502</v>
      </c>
    </row>
    <row r="23" ht="15.75" customHeight="1">
      <c r="A23" s="26" t="s">
        <v>504</v>
      </c>
    </row>
    <row r="24" ht="15.75" customHeight="1">
      <c r="A24" s="26" t="s">
        <v>505</v>
      </c>
    </row>
    <row r="25" ht="15.75" customHeight="1">
      <c r="A25" s="26"/>
    </row>
    <row r="26" ht="15.75" customHeight="1">
      <c r="A26" s="26" t="s">
        <v>506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2026-09-15T18:47:09Z</dcterms:created>
  <dc:creator>openpyxl</dc:creator>
</cp:coreProperties>
</file>