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pecies" sheetId="2" state="visible" r:id="rId4"/>
    <sheet name="Clips" sheetId="3" state="visible" r:id="rId5"/>
    <sheet name="Splits" sheetId="4" state="visible" r:id="rId6"/>
    <sheet name="eBird List" sheetId="5" state="visible" r:id="rId7"/>
    <sheet name="Site Audio" sheetId="6" state="visible" r:id="rId8"/>
    <sheet name="Open Issues" sheetId="7" state="visible" r:id="rId9"/>
    <sheet name="Data Dictionary" sheetId="8" state="visible" r:id="rId10"/>
    <sheet name="Data Sources" sheetId="9" state="visible" r:id="rId11"/>
  </sheets>
  <definedNames>
    <definedName function="false" hidden="true" localSheetId="2" name="_xlnm._FilterDatabase" vbProcedure="false">Clips!$A$1:$V$3321</definedName>
    <definedName function="false" hidden="true" localSheetId="4" name="_xlnm._FilterDatabase" vbProcedure="false">'eBird List'!$A$1:$L$510</definedName>
    <definedName function="false" hidden="true" localSheetId="5" name="_xlnm._FilterDatabase" vbProcedure="false">'Site Audio'!$A$1:$M$36</definedName>
    <definedName function="false" hidden="true" localSheetId="1" name="_xlnm._FilterDatabase" vbProcedure="false">Species!$A$1:$AG$256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datasets/laselva_v1/classes.csv and class_report.csv (class_id, names, eBird code, tier, sessions, recordists) and species/seed_species.csv, data-prep commit 3fe8b38, uploaded 2026-10-01. Site notes from species_data_summary.xlsx. Target species, counts, minutes, windows, weights and the three setup columns are formulas.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datasets/laselva_v1/manifest.csv (data-prep repo, commit 3fe8b38), 3,256 rows, uploaded 2026-10-01. The 64 site rows come from species_data_summary.xlsx and the Drive folder Species Song Extracts, read 2026-10-01. See the Data Sources tab.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species/la_selva_ebird.csv (data-prep commit 3fe8b38), 509 rows, uploaded 2026-10-01. Built from the eBird Basic Dataset, EBD_relJul-2026, localities containing "La Selva" inside 10.40-10.46 N, 84.03-83.99 W. Sorted by number of checklists.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Drive folder 2022-Jume-18_RegularMoth4_forest, file names, ids and sizes read 2026-10-01; time windows and notes from species_data_summary.xlsx. Sizes are as Drive shows them, so hours are estimates. Bytes per second (blue) is an input: 96,000 = 48 kHz, 16-bit, mono.</t>
        </r>
      </text>
    </comment>
  </commentList>
</comments>
</file>

<file path=xl/sharedStrings.xml><?xml version="1.0" encoding="utf-8"?>
<sst xmlns="http://schemas.openxmlformats.org/spreadsheetml/2006/main" count="41364" uniqueCount="10672">
  <si>
    <t xml:space="preserve">Total data summary: La Selva bird classifier</t>
  </si>
  <si>
    <t xml:space="preserve">Every recording the team holds, in one place: the 2022 AudioMoth site data, the Macaulay Library La Selva set and Xeno-canto set 2146. Made for model training and evaluation. ECE 534, Acoustic Bird Species Identification.</t>
  </si>
  <si>
    <t xml:space="preserve">Built 2026-10-01 from the laselva_v1 package (data-prep commit 3fe8b38), species_data_summary.xlsx and open_source_species_summary.xlsx. Counts are formulas over the Clips tab, so they follow any edit there.</t>
  </si>
  <si>
    <t xml:space="preserve">Parameters</t>
  </si>
  <si>
    <t xml:space="preserve">Blue cells are inputs. Formulas on the other tabs read them.</t>
  </si>
  <si>
    <t xml:space="preserve">Window length (s)</t>
  </si>
  <si>
    <t xml:space="preserve">Perch 2.0 input length</t>
  </si>
  <si>
    <t xml:space="preserve">Max windows per clip</t>
  </si>
  <si>
    <t xml:space="preserve">Cap used by examples/embed_perch.py (10 minutes)</t>
  </si>
  <si>
    <t xml:space="preserve">Priority-gap threshold</t>
  </si>
  <si>
    <t xml:space="preserve">A species with no audio is a priority gap at or above this checklist share</t>
  </si>
  <si>
    <t xml:space="preserve">eBird checklists at La Selva</t>
  </si>
  <si>
    <t xml:space="preserve">Source: species/la_selva_ebird.csv, EBD_relJul-2026</t>
  </si>
  <si>
    <t xml:space="preserve">Project goal</t>
  </si>
  <si>
    <t xml:space="preserve">Turn raw rainforest audio from La Selva into a time-stamped record of which bird species were present: find the windows with bird calls, rank the likely species, and flag calls that match no known species.</t>
  </si>
  <si>
    <t xml:space="preserve">Plan: frozen Perch 2.0 embeddings (5 s windows at 32 kHz) with a small site-specific head trained on the clips listed here.</t>
  </si>
  <si>
    <t xml:space="preserve">Which species to train on</t>
  </si>
  <si>
    <t xml:space="preserve">The class set is not decided yet. This sheet lists every species we hold audio for. That does not mean the model needs a class for each one.</t>
  </si>
  <si>
    <t xml:space="preserve">Target species are the birds in the professor's site extracts (Target species column on the Species tab). They are the only species we can check against real site audio.</t>
  </si>
  <si>
    <t xml:space="preserve">The extracts were cut from about three hours of a recording that runs over 150 hours. eBird lists several hundred species at La Selva (eBird List tab). The recorder will pick up many birds that are not targets.</t>
  </si>
  <si>
    <t xml:space="preserve">The other species are here for two reasons. They teach the model what the targets are not. And they let it flag a call as unknown. A model that knows only the targets will label every other bird as one of them.</t>
  </si>
  <si>
    <t xml:space="preserve">Target species</t>
  </si>
  <si>
    <t xml:space="preserve">Bird species in the site extracts. One label is uncertain (Chestnut-headed Oropendola).</t>
  </si>
  <si>
    <t xml:space="preserve">Target species with train data</t>
  </si>
  <si>
    <t xml:space="preserve">Great Green Macaw has none.</t>
  </si>
  <si>
    <t xml:space="preserve">Test clips of target species</t>
  </si>
  <si>
    <t xml:space="preserve">Score every setup on these clips.</t>
  </si>
  <si>
    <t xml:space="preserve">Setup</t>
  </si>
  <si>
    <t xml:space="preserve">Classes trained</t>
  </si>
  <si>
    <t xml:space="preserve">Target species with own class</t>
  </si>
  <si>
    <t xml:space="preserve">Other bird species used</t>
  </si>
  <si>
    <t xml:space="preserve">Train clips</t>
  </si>
  <si>
    <t xml:space="preserve">How it works</t>
  </si>
  <si>
    <t xml:space="preserve">1. Targets + other</t>
  </si>
  <si>
    <t xml:space="preserve">Each target species is a class. All other birds go into one class, other bird. Non-bird groups stay as they are. Most focused. It cannot name a non-target species.</t>
  </si>
  <si>
    <t xml:space="preserve">2. Core only</t>
  </si>
  <si>
    <t xml:space="preserve">Every species with 10 or more La Selva clips is a class. Rarer species are left out of training, including any target with fewer than 10 clips.</t>
  </si>
  <si>
    <t xml:space="preserve">3. All with train data</t>
  </si>
  <si>
    <t xml:space="preserve">Every species with a train clip is a class. This is the few-shot setup. Classes with very few clips add noise.</t>
  </si>
  <si>
    <t xml:space="preserve">The Species tab has one column per setup. It gives the class each species maps to. Blank means the species is left out of training in that setup.</t>
  </si>
  <si>
    <t xml:space="preserve">How to choose: the head trains in minutes on frozen embeddings. Train all three on the same embeddings and compare them on the test clips of the target species. Suggested start: setup 2.</t>
  </si>
  <si>
    <t xml:space="preserve">Tabs</t>
  </si>
  <si>
    <t xml:space="preserve">Species</t>
  </si>
  <si>
    <t xml:space="preserve">One row per class. Target species, clips by source, split sizes, train windows, class weights, and the class each species maps to in each setup.</t>
  </si>
  <si>
    <t xml:space="preserve">Clips</t>
  </si>
  <si>
    <t xml:space="preserve">One row per recording from all three sources, with split, label, QC flags and path. The training list.</t>
  </si>
  <si>
    <t xml:space="preserve">Splits</t>
  </si>
  <si>
    <t xml:space="preserve">Totals by split, tier and source. Class balance.</t>
  </si>
  <si>
    <t xml:space="preserve">eBird List</t>
  </si>
  <si>
    <t xml:space="preserve">The 509 species eBird has for La Selva, with how much audio we hold for each. Use it as the allow-list at inference. Shows the coverage gaps.</t>
  </si>
  <si>
    <t xml:space="preserve">Site Audio</t>
  </si>
  <si>
    <t xml:space="preserve">The AudioMoth recordings on Drive: raw files, two-hour and one-minute splits, extract folders.</t>
  </si>
  <si>
    <t xml:space="preserve">Open Issues</t>
  </si>
  <si>
    <t xml:space="preserve">Known problems in the data and what to do about each.</t>
  </si>
  <si>
    <t xml:space="preserve">Data Dictionary</t>
  </si>
  <si>
    <t xml:space="preserve">What every column means.</t>
  </si>
  <si>
    <t xml:space="preserve">Data Sources</t>
  </si>
  <si>
    <t xml:space="preserve">Where every table came from.</t>
  </si>
  <si>
    <t xml:space="preserve">Key numbers</t>
  </si>
  <si>
    <t xml:space="preserve">Recordings listed</t>
  </si>
  <si>
    <t xml:space="preserve">All three sources</t>
  </si>
  <si>
    <t xml:space="preserve">Clips in train, val or test</t>
  </si>
  <si>
    <t xml:space="preserve">Usable, labeled to species or non-bird group</t>
  </si>
  <si>
    <t xml:space="preserve">Train hours</t>
  </si>
  <si>
    <t xml:space="preserve">Train windows (5 s)</t>
  </si>
  <si>
    <t xml:space="preserve">Val clips</t>
  </si>
  <si>
    <t xml:space="preserve">Core classes only</t>
  </si>
  <si>
    <t xml:space="preserve">Val hours</t>
  </si>
  <si>
    <t xml:space="preserve">Test clips</t>
  </si>
  <si>
    <t xml:space="preserve">Test hours</t>
  </si>
  <si>
    <t xml:space="preserve">Classes with train data</t>
  </si>
  <si>
    <t xml:space="preserve">Birds and non-bird groups. The setup 3 class count</t>
  </si>
  <si>
    <t xml:space="preserve">Bird classes with train data</t>
  </si>
  <si>
    <t xml:space="preserve">Test-only classes</t>
  </si>
  <si>
    <t xml:space="preserve">Unknown at test time. For the open-set check</t>
  </si>
  <si>
    <t xml:space="preserve">Seed species</t>
  </si>
  <si>
    <t xml:space="preserve">species/seed_species.csv: the June 18 2022 log only. The target list also counts June 17</t>
  </si>
  <si>
    <t xml:space="preserve">Seed species with train data</t>
  </si>
  <si>
    <t xml:space="preserve">Great Green Macaw has none</t>
  </si>
  <si>
    <t xml:space="preserve">Site extracts</t>
  </si>
  <si>
    <t xml:space="preserve">Labeled by hand. A sanity set, not a test set</t>
  </si>
  <si>
    <t xml:space="preserve">Raw site audio, hours</t>
  </si>
  <si>
    <t xml:space="preserve">Estimate from file sizes. One file size is missing. Unlabeled</t>
  </si>
  <si>
    <t xml:space="preserve">eBird La Selva species</t>
  </si>
  <si>
    <t xml:space="preserve">eBird species with train clips</t>
  </si>
  <si>
    <t xml:space="preserve">eBird species with no audio</t>
  </si>
  <si>
    <t xml:space="preserve">Priority gaps</t>
  </si>
  <si>
    <t xml:space="preserve">No audio and common on checklists</t>
  </si>
  <si>
    <t xml:space="preserve">The three sources</t>
  </si>
  <si>
    <t xml:space="preserve">Source</t>
  </si>
  <si>
    <t xml:space="preserve">Recordings</t>
  </si>
  <si>
    <t xml:space="preserve">Hours</t>
  </si>
  <si>
    <t xml:space="preserve">Bird species</t>
  </si>
  <si>
    <t xml:space="preserve">Role</t>
  </si>
  <si>
    <t xml:space="preserve">Terms</t>
  </si>
  <si>
    <t xml:space="preserve">Site: AudioMoth at La Selva, June 11-18 2022</t>
  </si>
  <si>
    <t xml:space="preserve">not measured</t>
  </si>
  <si>
    <t xml:space="preserve">The target. Extracts are a sanity check. Raw audio is what the model must run on.</t>
  </si>
  <si>
    <t xml:space="preserve">Team data from Dr. Brooke.</t>
  </si>
  <si>
    <t xml:space="preserve">Macaulay Library: La Selva hotspot L436195</t>
  </si>
  <si>
    <t xml:space="preserve">Main training, val and test data. Recorded at the site, 1958-2026.</t>
  </si>
  <si>
    <t xml:space="preserve">Research use within the team only. No redistribution. Credit "Cornell Lab of Ornithology | Macaulay Library". Cite clips as Species (ML#####).</t>
  </si>
  <si>
    <t xml:space="preserve">Xeno-canto set 2146: Arenal and Monteverde, July 2016</t>
  </si>
  <si>
    <t xml:space="preserve">Extra train clips. Other sites and elevations, so train only.</t>
  </si>
  <si>
    <t xml:space="preserve">CC BY-NC-SA 4.0. Credit Bobby Wilcox and the XC numbers.</t>
  </si>
  <si>
    <t xml:space="preserve">eBird Basic Dataset, Costa Rica (not audio)</t>
  </si>
  <si>
    <t xml:space="preserve">Site species list. Allow-list and priors.</t>
  </si>
  <si>
    <t xml:space="preserve">Cite: eBird Basic Dataset. Version: EBD_relJul-2026. Cornell Lab of Ornithology, Ithaca, New York. Jul 2026.</t>
  </si>
  <si>
    <t xml:space="preserve">How to train from this sheet</t>
  </si>
  <si>
    <t xml:space="preserve">1. Pick a class setup (Which species to train on, above). Use that setup column on the Species tab to map each label to a class.</t>
  </si>
  <si>
    <t xml:space="preserve">2. Audio: download laselva_v1_audio.zip from the Drive Data folder, or copy macaulay/flac and data-prep/xc_flac from the LaCie. The unzipped folder is the audio root. Every path on the Clips tab is relative to it.</t>
  </si>
  <si>
    <t xml:space="preserve">3. Format: FLAC, 32 kHz, mono, 16-bit. Perch takes 5 s windows. Pad clips under 5 s to one window. Normalize level per window.</t>
  </si>
  <si>
    <t xml:space="preserve">4. Train on split = train. Choose models on val. Report on test. Never tune on test. The splits keep each session and species together, so there is no leakage.</t>
  </si>
  <si>
    <t xml:space="preserve">5. Balance: use balanced class weights or balanced sampling. The Class weight column on the Species tab is for setup 3.</t>
  </si>
  <si>
    <t xml:space="preserve">6. Multi-label: other_species lists other birds in a clip. Do not count them as false positives.</t>
  </si>
  <si>
    <t xml:space="preserve">7. Inference: limit outputs to the eBird List tab plus Great Green Macaw.</t>
  </si>
  <si>
    <t xml:space="preserve">8. Report on test, at clip level: macro ROC-AUC, class-mean average precision, top-1 overall and by tier, and open-set ROC-AUC on the test-only classes. Report the same numbers for the target species alone. See HANDOVER.md section 6.</t>
  </si>
  <si>
    <t xml:space="preserve">9. Site check: run the model on the site extracts (split = site_sanity) and on the raw audio, and listen to the top detections.</t>
  </si>
  <si>
    <t xml:space="preserve">10. For code, use datasets/laselva_v1/manifest.csv in the data-prep repo with scripts/load_dataset.py. It holds the same train, val and test rows as the Clips tab.</t>
  </si>
  <si>
    <t xml:space="preserve">class_id</t>
  </si>
  <si>
    <t xml:space="preserve">Scientific name</t>
  </si>
  <si>
    <t xml:space="preserve">eBird code</t>
  </si>
  <si>
    <t xml:space="preserve">Kind</t>
  </si>
  <si>
    <t xml:space="preserve">Tier (laselva_v1)</t>
  </si>
  <si>
    <t xml:space="preserve">On eBird La Selva list</t>
  </si>
  <si>
    <t xml:space="preserve">La Selva checklist share</t>
  </si>
  <si>
    <t xml:space="preserve">Macaulay clips</t>
  </si>
  <si>
    <t xml:space="preserve">Xeno-canto clips</t>
  </si>
  <si>
    <t xml:space="preserve">Total recordings</t>
  </si>
  <si>
    <t xml:space="preserve">Excluded by QC</t>
  </si>
  <si>
    <t xml:space="preserve">Train min</t>
  </si>
  <si>
    <t xml:space="preserve">Val min</t>
  </si>
  <si>
    <t xml:space="preserve">Test min</t>
  </si>
  <si>
    <t xml:space="preserve">Class weight (setup 3)</t>
  </si>
  <si>
    <t xml:space="preserve">Role in splits</t>
  </si>
  <si>
    <t xml:space="preserve">Setup 1: targets + other</t>
  </si>
  <si>
    <t xml:space="preserve">Setup 2: core only</t>
  </si>
  <si>
    <t xml:space="preserve">Setup 3: all with train data</t>
  </si>
  <si>
    <t xml:space="preserve">Sessions</t>
  </si>
  <si>
    <t xml:space="preserve">Recordists</t>
  </si>
  <si>
    <t xml:space="preserve">Mean Macaulay rating</t>
  </si>
  <si>
    <t xml:space="preserve">Multi-label clips</t>
  </si>
  <si>
    <t xml:space="preserve">Short clips (&lt;5 s)</t>
  </si>
  <si>
    <t xml:space="preserve">Notes</t>
  </si>
  <si>
    <t xml:space="preserve">White-breasted Wood-Wren</t>
  </si>
  <si>
    <t xml:space="preserve">Henicorhina leucosticta</t>
  </si>
  <si>
    <t xml:space="preserve">wbwwre1</t>
  </si>
  <si>
    <t xml:space="preserve">bird</t>
  </si>
  <si>
    <t xml:space="preserve">core</t>
  </si>
  <si>
    <t xml:space="preserve">yes</t>
  </si>
  <si>
    <t xml:space="preserve">Site: Best-covered site species, both days; one duplicate pair (Bird 12/13), one partial, two cuts labeled by filename</t>
  </si>
  <si>
    <t xml:space="preserve">Yellow-throated Toucan</t>
  </si>
  <si>
    <t xml:space="preserve">Ramphastos ambiguus</t>
  </si>
  <si>
    <t xml:space="preserve">bkmtou1</t>
  </si>
  <si>
    <t xml:space="preserve">Site: One uncertain (Bird 19, mixed with tinamou)</t>
  </si>
  <si>
    <t xml:space="preserve">Great Tinamou</t>
  </si>
  <si>
    <t xml:space="preserve">Tinamus major</t>
  </si>
  <si>
    <t xml:space="preserve">gretin1</t>
  </si>
  <si>
    <t xml:space="preserve">Site: June 18 Bird 1 and June 17 Bird 6 are solos; the other two are uncertain or mixed</t>
  </si>
  <si>
    <t xml:space="preserve">Cocoa Woodcreeper</t>
  </si>
  <si>
    <t xml:space="preserve">Xiphorhynchus susurrans</t>
  </si>
  <si>
    <t xml:space="preserve">cocwoo1</t>
  </si>
  <si>
    <t xml:space="preserve">Rufous Motmot</t>
  </si>
  <si>
    <t xml:space="preserve">Baryphthengus martii</t>
  </si>
  <si>
    <t xml:space="preserve">rufmot1</t>
  </si>
  <si>
    <t xml:space="preserve">Chestnut-backed Antbird</t>
  </si>
  <si>
    <t xml:space="preserve">Poliocrania exsul</t>
  </si>
  <si>
    <t xml:space="preserve">chbant1</t>
  </si>
  <si>
    <t xml:space="preserve">Site: Extract has a second call at 11:42:09</t>
  </si>
  <si>
    <t xml:space="preserve">Olive-backed Euphonia</t>
  </si>
  <si>
    <t xml:space="preserve">Euphonia gouldi</t>
  </si>
  <si>
    <t xml:space="preserve">olbeup1</t>
  </si>
  <si>
    <t xml:space="preserve">Bay Wren</t>
  </si>
  <si>
    <t xml:space="preserve">Cantorchilus nigricapillus</t>
  </si>
  <si>
    <t xml:space="preserve">baywre1</t>
  </si>
  <si>
    <t xml:space="preserve">Black-crowned Antshrike</t>
  </si>
  <si>
    <t xml:space="preserve">Thamnophilus atrinucha</t>
  </si>
  <si>
    <t xml:space="preserve">wesant1</t>
  </si>
  <si>
    <t xml:space="preserve">Black-throated Wren</t>
  </si>
  <si>
    <t xml:space="preserve">Pheugopedius atrogularis</t>
  </si>
  <si>
    <t xml:space="preserve">bltwre1</t>
  </si>
  <si>
    <t xml:space="preserve">Bright-rumped Attila</t>
  </si>
  <si>
    <t xml:space="preserve">Attila spadiceus</t>
  </si>
  <si>
    <t xml:space="preserve">brratt1</t>
  </si>
  <si>
    <t xml:space="preserve">Broad-billed Motmot</t>
  </si>
  <si>
    <t xml:space="preserve">Electron platyrhynchum</t>
  </si>
  <si>
    <t xml:space="preserve">brbmot1</t>
  </si>
  <si>
    <t xml:space="preserve">Site: Bird 8 overlaps an ibis call</t>
  </si>
  <si>
    <t xml:space="preserve">Stripe-breasted Wren</t>
  </si>
  <si>
    <t xml:space="preserve">Cantorchilus thoracicus</t>
  </si>
  <si>
    <t xml:space="preserve">stbwre1</t>
  </si>
  <si>
    <t xml:space="preserve">Red-throated Ant-Tanager</t>
  </si>
  <si>
    <t xml:space="preserve">Driophlox fuscicauda</t>
  </si>
  <si>
    <t xml:space="preserve">rtatan1</t>
  </si>
  <si>
    <t xml:space="preserve">White-collared Manakin</t>
  </si>
  <si>
    <t xml:space="preserve">Manacus candei</t>
  </si>
  <si>
    <t xml:space="preserve">whcman1</t>
  </si>
  <si>
    <t xml:space="preserve">Slaty-tailed Trogon</t>
  </si>
  <si>
    <t xml:space="preserve">Trogon massena</t>
  </si>
  <si>
    <t xml:space="preserve">slttro1</t>
  </si>
  <si>
    <t xml:space="preserve">Crested Guan</t>
  </si>
  <si>
    <t xml:space="preserve">Penelope purpurascens</t>
  </si>
  <si>
    <t xml:space="preserve">cregua1</t>
  </si>
  <si>
    <t xml:space="preserve">Buff-rumped Warbler</t>
  </si>
  <si>
    <t xml:space="preserve">Myiothlypis fulvicauda</t>
  </si>
  <si>
    <t xml:space="preserve">burwar1</t>
  </si>
  <si>
    <t xml:space="preserve">Montezuma Oropendola</t>
  </si>
  <si>
    <t xml:space="preserve">Psarocolius montezuma</t>
  </si>
  <si>
    <t xml:space="preserve">monoro1</t>
  </si>
  <si>
    <t xml:space="preserve">Scarlet-rumped Cacique</t>
  </si>
  <si>
    <t xml:space="preserve">Cacicus uropygialis</t>
  </si>
  <si>
    <t xml:space="preserve">scrcac2</t>
  </si>
  <si>
    <t xml:space="preserve">Middle American Screech-Owl</t>
  </si>
  <si>
    <t xml:space="preserve">Megascops guatemalae</t>
  </si>
  <si>
    <t xml:space="preserve">vesowl</t>
  </si>
  <si>
    <t xml:space="preserve">Rufous-tailed Jacamar</t>
  </si>
  <si>
    <t xml:space="preserve">Galbula ruficauda</t>
  </si>
  <si>
    <t xml:space="preserve">rutjac1</t>
  </si>
  <si>
    <t xml:space="preserve">Black-faced Grosbeak</t>
  </si>
  <si>
    <t xml:space="preserve">Caryothraustes poliogaster</t>
  </si>
  <si>
    <t xml:space="preserve">blfgro1</t>
  </si>
  <si>
    <t xml:space="preserve">Red-lored Amazon</t>
  </si>
  <si>
    <t xml:space="preserve">Amazona autumnalis</t>
  </si>
  <si>
    <t xml:space="preserve">relpar10</t>
  </si>
  <si>
    <t xml:space="preserve">Site: Logged as Red lored parrot; both flagged Multiple birds? in the log</t>
  </si>
  <si>
    <t xml:space="preserve">Dusky Antbird</t>
  </si>
  <si>
    <t xml:space="preserve">Cercomacroides tyrannina</t>
  </si>
  <si>
    <t xml:space="preserve">dusant1</t>
  </si>
  <si>
    <t xml:space="preserve">Ochre-bellied Flycatcher</t>
  </si>
  <si>
    <t xml:space="preserve">Mionectes oleagineus</t>
  </si>
  <si>
    <t xml:space="preserve">ocbfly1</t>
  </si>
  <si>
    <t xml:space="preserve">Orange-billed Sparrow</t>
  </si>
  <si>
    <t xml:space="preserve">Arremon aurantiirostris</t>
  </si>
  <si>
    <t xml:space="preserve">orbspa2</t>
  </si>
  <si>
    <t xml:space="preserve">Common Pauraque</t>
  </si>
  <si>
    <t xml:space="preserve">Nyctidromus albicollis</t>
  </si>
  <si>
    <t xml:space="preserve">compau</t>
  </si>
  <si>
    <t xml:space="preserve">Black-capped Pygmy-Tyrant</t>
  </si>
  <si>
    <t xml:space="preserve">Myiornis atricapillus</t>
  </si>
  <si>
    <t xml:space="preserve">bcptyr1</t>
  </si>
  <si>
    <t xml:space="preserve">Slaty-breasted Tinamou</t>
  </si>
  <si>
    <t xml:space="preserve">Crypturellus boucardi</t>
  </si>
  <si>
    <t xml:space="preserve">slbtin1</t>
  </si>
  <si>
    <t xml:space="preserve">Keel-billed Toucan</t>
  </si>
  <si>
    <t xml:space="preserve">Ramphastos sulfuratus</t>
  </si>
  <si>
    <t xml:space="preserve">kebtou1</t>
  </si>
  <si>
    <t xml:space="preserve">Short-billed Pigeon</t>
  </si>
  <si>
    <t xml:space="preserve">Patagioenas nigrirostris</t>
  </si>
  <si>
    <t xml:space="preserve">shbpig</t>
  </si>
  <si>
    <t xml:space="preserve">Gray-capped Flycatcher</t>
  </si>
  <si>
    <t xml:space="preserve">Myiozetetes granadensis</t>
  </si>
  <si>
    <t xml:space="preserve">grcfly1</t>
  </si>
  <si>
    <t xml:space="preserve">Green Ibis</t>
  </si>
  <si>
    <t xml:space="preserve">Mesembrinibis cayennensis</t>
  </si>
  <si>
    <t xml:space="preserve">greibi1</t>
  </si>
  <si>
    <t xml:space="preserve">Site: Bird 7 overlaps a motmot call</t>
  </si>
  <si>
    <t xml:space="preserve">Pale-billed Woodpecker</t>
  </si>
  <si>
    <t xml:space="preserve">Campephilus guatemalensis</t>
  </si>
  <si>
    <t xml:space="preserve">pabwoo1</t>
  </si>
  <si>
    <t xml:space="preserve">Scarlet-rumped Tanager</t>
  </si>
  <si>
    <t xml:space="preserve">Ramphocelus passerinii</t>
  </si>
  <si>
    <t xml:space="preserve">pastan1</t>
  </si>
  <si>
    <t xml:space="preserve">Wedge-billed Woodcreeper</t>
  </si>
  <si>
    <t xml:space="preserve">Glyphorynchus spirurus</t>
  </si>
  <si>
    <t xml:space="preserve">webwoo2</t>
  </si>
  <si>
    <t xml:space="preserve">Fasciated Antshrike</t>
  </si>
  <si>
    <t xml:space="preserve">Cymbilaimus lineatus</t>
  </si>
  <si>
    <t xml:space="preserve">fasant1</t>
  </si>
  <si>
    <t xml:space="preserve">Semiplumbeous Hawk</t>
  </si>
  <si>
    <t xml:space="preserve">Leucopternis semiplumbeus</t>
  </si>
  <si>
    <t xml:space="preserve">semhaw</t>
  </si>
  <si>
    <t xml:space="preserve">Black-faced Antthrush</t>
  </si>
  <si>
    <t xml:space="preserve">Formicarius analis</t>
  </si>
  <si>
    <t xml:space="preserve">blfant1</t>
  </si>
  <si>
    <t xml:space="preserve">Boat-billed Flycatcher</t>
  </si>
  <si>
    <t xml:space="preserve">Megarynchus pitangua</t>
  </si>
  <si>
    <t xml:space="preserve">bobfly1</t>
  </si>
  <si>
    <t xml:space="preserve">Chestnut-colored Woodpecker</t>
  </si>
  <si>
    <t xml:space="preserve">Celeus castaneus</t>
  </si>
  <si>
    <t xml:space="preserve">chcwoo1</t>
  </si>
  <si>
    <t xml:space="preserve">Dusky-faced Tanager</t>
  </si>
  <si>
    <t xml:space="preserve">Mitrospingus cassinii</t>
  </si>
  <si>
    <t xml:space="preserve">duftan1</t>
  </si>
  <si>
    <t xml:space="preserve">Central American Pygmy-Owl</t>
  </si>
  <si>
    <t xml:space="preserve">Glaucidium griseiceps</t>
  </si>
  <si>
    <t xml:space="preserve">capowl1</t>
  </si>
  <si>
    <t xml:space="preserve">Golden-hooded Tanager</t>
  </si>
  <si>
    <t xml:space="preserve">Stilpnia larvata</t>
  </si>
  <si>
    <t xml:space="preserve">gohtan1</t>
  </si>
  <si>
    <t xml:space="preserve">Great Kiskadee</t>
  </si>
  <si>
    <t xml:space="preserve">Pitangus sulphuratus</t>
  </si>
  <si>
    <t xml:space="preserve">grekis</t>
  </si>
  <si>
    <t xml:space="preserve">Northern Barred-Woodcreeper</t>
  </si>
  <si>
    <t xml:space="preserve">Dendrocolaptes sanctithomae</t>
  </si>
  <si>
    <t xml:space="preserve">nobwoo1</t>
  </si>
  <si>
    <t xml:space="preserve">Red-capped Manakin</t>
  </si>
  <si>
    <t xml:space="preserve">Ceratopipra mentalis</t>
  </si>
  <si>
    <t xml:space="preserve">recman1</t>
  </si>
  <si>
    <t xml:space="preserve">Common Tody-Flycatcher</t>
  </si>
  <si>
    <t xml:space="preserve">Todirostrum cinereum</t>
  </si>
  <si>
    <t xml:space="preserve">cotfly1</t>
  </si>
  <si>
    <t xml:space="preserve">Crested Owl</t>
  </si>
  <si>
    <t xml:space="preserve">Lophostrix cristata</t>
  </si>
  <si>
    <t xml:space="preserve">creowl1</t>
  </si>
  <si>
    <t xml:space="preserve">Buff-throated Saltator</t>
  </si>
  <si>
    <t xml:space="preserve">Saltator maximus</t>
  </si>
  <si>
    <t xml:space="preserve">butsal1</t>
  </si>
  <si>
    <t xml:space="preserve">Cinnamon Becard</t>
  </si>
  <si>
    <t xml:space="preserve">Pachyramphus cinnamomeus</t>
  </si>
  <si>
    <t xml:space="preserve">cinbec1</t>
  </si>
  <si>
    <t xml:space="preserve">Gartered Violaceous Trogon</t>
  </si>
  <si>
    <t xml:space="preserve">Trogon caligatus</t>
  </si>
  <si>
    <t xml:space="preserve">gartro1</t>
  </si>
  <si>
    <t xml:space="preserve">White-ringed Flycatcher</t>
  </si>
  <si>
    <t xml:space="preserve">Conopias albovittatus</t>
  </si>
  <si>
    <t xml:space="preserve">whrfly</t>
  </si>
  <si>
    <t xml:space="preserve">Graceful Black-throated Trogon</t>
  </si>
  <si>
    <t xml:space="preserve">Trogon tenellus</t>
  </si>
  <si>
    <t xml:space="preserve">bkttro7</t>
  </si>
  <si>
    <t xml:space="preserve">Mealy Amazon</t>
  </si>
  <si>
    <t xml:space="preserve">Amazona farinosa</t>
  </si>
  <si>
    <t xml:space="preserve">meapar</t>
  </si>
  <si>
    <t xml:space="preserve">Site: Logged as Mealy parrot</t>
  </si>
  <si>
    <t xml:space="preserve">Social Flycatcher</t>
  </si>
  <si>
    <t xml:space="preserve">Myiozetetes similis</t>
  </si>
  <si>
    <t xml:space="preserve">socfly3</t>
  </si>
  <si>
    <t xml:space="preserve">Clay-colored Thrush</t>
  </si>
  <si>
    <t xml:space="preserve">Turdus grayi</t>
  </si>
  <si>
    <t xml:space="preserve">clcrob</t>
  </si>
  <si>
    <t xml:space="preserve">Lesser Greenlet</t>
  </si>
  <si>
    <t xml:space="preserve">Pachysylvia decurtata</t>
  </si>
  <si>
    <t xml:space="preserve">lesgre1</t>
  </si>
  <si>
    <t xml:space="preserve">Long-billed Gnatwren</t>
  </si>
  <si>
    <t xml:space="preserve">Ramphocaenus melanurus</t>
  </si>
  <si>
    <t xml:space="preserve">lobgna5</t>
  </si>
  <si>
    <t xml:space="preserve">Black-striped Sparrow</t>
  </si>
  <si>
    <t xml:space="preserve">Arremonops conirostris</t>
  </si>
  <si>
    <t xml:space="preserve">blsspa1</t>
  </si>
  <si>
    <t xml:space="preserve">Long-tailed Tyrant</t>
  </si>
  <si>
    <t xml:space="preserve">Colonia colonus</t>
  </si>
  <si>
    <t xml:space="preserve">lottyr1</t>
  </si>
  <si>
    <t xml:space="preserve">Spectacled Owl</t>
  </si>
  <si>
    <t xml:space="preserve">Pulsatrix perspicillata</t>
  </si>
  <si>
    <t xml:space="preserve">speowl1</t>
  </si>
  <si>
    <t xml:space="preserve">Three-wattled Bellbird</t>
  </si>
  <si>
    <t xml:space="preserve">Procnias tricarunculatus</t>
  </si>
  <si>
    <t xml:space="preserve">thwbel</t>
  </si>
  <si>
    <t xml:space="preserve">Black-cheeked Woodpecker</t>
  </si>
  <si>
    <t xml:space="preserve">Melanerpes pucherani</t>
  </si>
  <si>
    <t xml:space="preserve">blcwoo1</t>
  </si>
  <si>
    <t xml:space="preserve">Canebrake Wren</t>
  </si>
  <si>
    <t xml:space="preserve">Cantorchilus zeledoni</t>
  </si>
  <si>
    <t xml:space="preserve">plawre3</t>
  </si>
  <si>
    <t xml:space="preserve">Chestnut-headed Oropendola</t>
  </si>
  <si>
    <t xml:space="preserve">Psarocolius wagleri</t>
  </si>
  <si>
    <t xml:space="preserve">chhoro1</t>
  </si>
  <si>
    <t xml:space="preserve">Site: Single uncertain extract (log: Maybe oropendola?)</t>
  </si>
  <si>
    <t xml:space="preserve">Little Tinamou</t>
  </si>
  <si>
    <t xml:space="preserve">Crypturellus soui</t>
  </si>
  <si>
    <t xml:space="preserve">littin1</t>
  </si>
  <si>
    <t xml:space="preserve">Purple-throated Fruitcrow</t>
  </si>
  <si>
    <t xml:space="preserve">Querula purpurata</t>
  </si>
  <si>
    <t xml:space="preserve">putfru1</t>
  </si>
  <si>
    <t xml:space="preserve">Rufous Mourner</t>
  </si>
  <si>
    <t xml:space="preserve">Rhytipterna holerythra</t>
  </si>
  <si>
    <t xml:space="preserve">rufmou1</t>
  </si>
  <si>
    <t xml:space="preserve">Thicket Antpitta</t>
  </si>
  <si>
    <t xml:space="preserve">Myrmothera dives</t>
  </si>
  <si>
    <t xml:space="preserve">thiant1</t>
  </si>
  <si>
    <t xml:space="preserve">Xeno-canto label Thicket Antpitta (Hylopezus dives)</t>
  </si>
  <si>
    <t xml:space="preserve">Band-backed Wren</t>
  </si>
  <si>
    <t xml:space="preserve">Campylorhynchus zonatus</t>
  </si>
  <si>
    <t xml:space="preserve">babwre1</t>
  </si>
  <si>
    <t xml:space="preserve">Cinnamon Woodpecker</t>
  </si>
  <si>
    <t xml:space="preserve">Celeus loricatus</t>
  </si>
  <si>
    <t xml:space="preserve">cinwoo1</t>
  </si>
  <si>
    <t xml:space="preserve">Laughing Falcon</t>
  </si>
  <si>
    <t xml:space="preserve">Herpetotheres cachinnans</t>
  </si>
  <si>
    <t xml:space="preserve">laufal1</t>
  </si>
  <si>
    <t xml:space="preserve">Long-billed Hermit</t>
  </si>
  <si>
    <t xml:space="preserve">Phaethornis longirostris</t>
  </si>
  <si>
    <t xml:space="preserve">lobher</t>
  </si>
  <si>
    <t xml:space="preserve">Northern Plain-Xenops</t>
  </si>
  <si>
    <t xml:space="preserve">Xenops mexicanus</t>
  </si>
  <si>
    <t xml:space="preserve">plaxen2</t>
  </si>
  <si>
    <t xml:space="preserve">Plain-brown Woodcreeper</t>
  </si>
  <si>
    <t xml:space="preserve">Dendrocincla fuliginosa</t>
  </si>
  <si>
    <t xml:space="preserve">plbwoo1</t>
  </si>
  <si>
    <t xml:space="preserve">White-crowned Parrot</t>
  </si>
  <si>
    <t xml:space="preserve">Pionus senilis</t>
  </si>
  <si>
    <t xml:space="preserve">whcpar</t>
  </si>
  <si>
    <t xml:space="preserve">White-fronted Nunbird</t>
  </si>
  <si>
    <t xml:space="preserve">Monasa morphoeus</t>
  </si>
  <si>
    <t xml:space="preserve">whfnun1</t>
  </si>
  <si>
    <t xml:space="preserve">Wood Thrush</t>
  </si>
  <si>
    <t xml:space="preserve">Hylocichla mustelina</t>
  </si>
  <si>
    <t xml:space="preserve">woothr</t>
  </si>
  <si>
    <t xml:space="preserve">Bananaquit</t>
  </si>
  <si>
    <t xml:space="preserve">Coereba flaveola</t>
  </si>
  <si>
    <t xml:space="preserve">banana</t>
  </si>
  <si>
    <t xml:space="preserve">few_shot</t>
  </si>
  <si>
    <t xml:space="preserve">Blue-black Grosbeak</t>
  </si>
  <si>
    <t xml:space="preserve">Cyanoloxia cyanoides</t>
  </si>
  <si>
    <t xml:space="preserve">bubgro1</t>
  </si>
  <si>
    <t xml:space="preserve">Collared Forest-Falcon</t>
  </si>
  <si>
    <t xml:space="preserve">Micrastur semitorquatus</t>
  </si>
  <si>
    <t xml:space="preserve">coffal1</t>
  </si>
  <si>
    <t xml:space="preserve">Rufous-tailed Hummingbird</t>
  </si>
  <si>
    <t xml:space="preserve">Amazilia tzacatl</t>
  </si>
  <si>
    <t xml:space="preserve">rtlhum</t>
  </si>
  <si>
    <t xml:space="preserve">Slaty-backed Forest-Falcon</t>
  </si>
  <si>
    <t xml:space="preserve">Micrastur mirandollei</t>
  </si>
  <si>
    <t xml:space="preserve">sbffal1</t>
  </si>
  <si>
    <t xml:space="preserve">Stripe-throated Hermit</t>
  </si>
  <si>
    <t xml:space="preserve">Phaethornis striigularis</t>
  </si>
  <si>
    <t xml:space="preserve">stther2</t>
  </si>
  <si>
    <t xml:space="preserve">Yellow-crowned Euphonia</t>
  </si>
  <si>
    <t xml:space="preserve">Euphonia luteicapilla</t>
  </si>
  <si>
    <t xml:space="preserve">yeceup1</t>
  </si>
  <si>
    <t xml:space="preserve">Fawn-throated Foliage-gleaner</t>
  </si>
  <si>
    <t xml:space="preserve">Automolus cervinigularis</t>
  </si>
  <si>
    <t xml:space="preserve">butfog3</t>
  </si>
  <si>
    <t xml:space="preserve">Great Potoo</t>
  </si>
  <si>
    <t xml:space="preserve">Nyctibius grandis</t>
  </si>
  <si>
    <t xml:space="preserve">grepot1</t>
  </si>
  <si>
    <t xml:space="preserve">Olive-crowned Yellowthroat</t>
  </si>
  <si>
    <t xml:space="preserve">Geothlypis semiflava</t>
  </si>
  <si>
    <t xml:space="preserve">olcyel2</t>
  </si>
  <si>
    <t xml:space="preserve">Orange-chinned Parakeet</t>
  </si>
  <si>
    <t xml:space="preserve">Brotogeris jugularis</t>
  </si>
  <si>
    <t xml:space="preserve">orcpar</t>
  </si>
  <si>
    <t xml:space="preserve">Slate-colored Grosbeak</t>
  </si>
  <si>
    <t xml:space="preserve">Saltator grossus</t>
  </si>
  <si>
    <t xml:space="preserve">slcgro1</t>
  </si>
  <si>
    <t xml:space="preserve">Black-striped Woodcreeper</t>
  </si>
  <si>
    <t xml:space="preserve">Xiphorhynchus lachrymosus</t>
  </si>
  <si>
    <t xml:space="preserve">blswoo1</t>
  </si>
  <si>
    <t xml:space="preserve">Site: Log note: Unique call</t>
  </si>
  <si>
    <t xml:space="preserve">Mistletoe Tyrannulet</t>
  </si>
  <si>
    <t xml:space="preserve">Zimmerius parvus</t>
  </si>
  <si>
    <t xml:space="preserve">paltyr3</t>
  </si>
  <si>
    <t xml:space="preserve">Mottled Owl</t>
  </si>
  <si>
    <t xml:space="preserve">Strix virgata</t>
  </si>
  <si>
    <t xml:space="preserve">motowl</t>
  </si>
  <si>
    <t xml:space="preserve">Palm Tanager</t>
  </si>
  <si>
    <t xml:space="preserve">Thraupis palmarum</t>
  </si>
  <si>
    <t xml:space="preserve">paltan1</t>
  </si>
  <si>
    <t xml:space="preserve">Piratic Flycatcher</t>
  </si>
  <si>
    <t xml:space="preserve">Legatus leucophaius</t>
  </si>
  <si>
    <t xml:space="preserve">pirfly1</t>
  </si>
  <si>
    <t xml:space="preserve">Slaty Spinetail</t>
  </si>
  <si>
    <t xml:space="preserve">Synallaxis brachyura</t>
  </si>
  <si>
    <t xml:space="preserve">slaspi1</t>
  </si>
  <si>
    <t xml:space="preserve">Southern House Wren</t>
  </si>
  <si>
    <t xml:space="preserve">Troglodytes musculus</t>
  </si>
  <si>
    <t xml:space="preserve">houwre4</t>
  </si>
  <si>
    <t xml:space="preserve">Xeno-canto label House Wren (Troglodytes aedon)</t>
  </si>
  <si>
    <t xml:space="preserve">Spotted Antbird</t>
  </si>
  <si>
    <t xml:space="preserve">Hylophylax naevioides</t>
  </si>
  <si>
    <t xml:space="preserve">spoant1</t>
  </si>
  <si>
    <t xml:space="preserve">Streak-headed Woodcreeper</t>
  </si>
  <si>
    <t xml:space="preserve">Lepidocolaptes souleyetii</t>
  </si>
  <si>
    <t xml:space="preserve">sthwoo1</t>
  </si>
  <si>
    <t xml:space="preserve">Thick-billed Seed-Finch</t>
  </si>
  <si>
    <t xml:space="preserve">Sporophila funerea</t>
  </si>
  <si>
    <t xml:space="preserve">tbsfin1</t>
  </si>
  <si>
    <t xml:space="preserve">White-throated Crake</t>
  </si>
  <si>
    <t xml:space="preserve">Laterallus albigularis</t>
  </si>
  <si>
    <t xml:space="preserve">whtcra1</t>
  </si>
  <si>
    <t xml:space="preserve">Yellow-winged Flatbill</t>
  </si>
  <si>
    <t xml:space="preserve">Tolmomyias flavotectus</t>
  </si>
  <si>
    <t xml:space="preserve">yemfly2</t>
  </si>
  <si>
    <t xml:space="preserve">Gray-headed Kite</t>
  </si>
  <si>
    <t xml:space="preserve">Leptodon cayanensis</t>
  </si>
  <si>
    <t xml:space="preserve">grhkit1</t>
  </si>
  <si>
    <t xml:space="preserve">Great Antshrike</t>
  </si>
  <si>
    <t xml:space="preserve">Taraba major</t>
  </si>
  <si>
    <t xml:space="preserve">greant1</t>
  </si>
  <si>
    <t xml:space="preserve">Green Honeycreeper</t>
  </si>
  <si>
    <t xml:space="preserve">Chlorophanes spiza</t>
  </si>
  <si>
    <t xml:space="preserve">grehon1</t>
  </si>
  <si>
    <t xml:space="preserve">Kentucky Warbler</t>
  </si>
  <si>
    <t xml:space="preserve">Geothlypis formosa</t>
  </si>
  <si>
    <t xml:space="preserve">kenwar</t>
  </si>
  <si>
    <t xml:space="preserve">Ocellated Antbird</t>
  </si>
  <si>
    <t xml:space="preserve">Phaenostictus mcleannani</t>
  </si>
  <si>
    <t xml:space="preserve">oceant1</t>
  </si>
  <si>
    <t xml:space="preserve">Short-tailed Nighthawk</t>
  </si>
  <si>
    <t xml:space="preserve">Lurocalis semitorquatus</t>
  </si>
  <si>
    <t xml:space="preserve">shtnig2</t>
  </si>
  <si>
    <t xml:space="preserve">Acadian Flycatcher</t>
  </si>
  <si>
    <t xml:space="preserve">Empidonax virescens</t>
  </si>
  <si>
    <t xml:space="preserve">acafly</t>
  </si>
  <si>
    <t xml:space="preserve">Black-headed Saltator</t>
  </si>
  <si>
    <t xml:space="preserve">Saltator atriceps</t>
  </si>
  <si>
    <t xml:space="preserve">blhsal1</t>
  </si>
  <si>
    <t xml:space="preserve">Blue-chested Hummingbird</t>
  </si>
  <si>
    <t xml:space="preserve">Polyerata amabilis</t>
  </si>
  <si>
    <t xml:space="preserve">blchum1</t>
  </si>
  <si>
    <t xml:space="preserve">Checker-throated Stipplethroat</t>
  </si>
  <si>
    <t xml:space="preserve">Epinecrophylla fulviventris</t>
  </si>
  <si>
    <t xml:space="preserve">chtant1</t>
  </si>
  <si>
    <t xml:space="preserve">Dusky-capped Flycatcher</t>
  </si>
  <si>
    <t xml:space="preserve">Myiarchus tuberculifer</t>
  </si>
  <si>
    <t xml:space="preserve">ducfly</t>
  </si>
  <si>
    <t xml:space="preserve">Great Crested Flycatcher</t>
  </si>
  <si>
    <t xml:space="preserve">Myiarchus crinitus</t>
  </si>
  <si>
    <t xml:space="preserve">grcfly</t>
  </si>
  <si>
    <t xml:space="preserve">Nightingale Wren</t>
  </si>
  <si>
    <t xml:space="preserve">Microcerculus philomela</t>
  </si>
  <si>
    <t xml:space="preserve">nigwre1</t>
  </si>
  <si>
    <t xml:space="preserve">White-whiskered Puffbird</t>
  </si>
  <si>
    <t xml:space="preserve">Malacoptila panamensis</t>
  </si>
  <si>
    <t xml:space="preserve">whwpuf1</t>
  </si>
  <si>
    <t xml:space="preserve">Band-tailed Barbthroat</t>
  </si>
  <si>
    <t xml:space="preserve">Threnetes ruckeri</t>
  </si>
  <si>
    <t xml:space="preserve">batbar1</t>
  </si>
  <si>
    <t xml:space="preserve">Black Hawk-Eagle</t>
  </si>
  <si>
    <t xml:space="preserve">Spizaetus tyrannus</t>
  </si>
  <si>
    <t xml:space="preserve">blheag1</t>
  </si>
  <si>
    <t xml:space="preserve">Chestnut-sided Warbler</t>
  </si>
  <si>
    <t xml:space="preserve">Setophaga pensylvanica</t>
  </si>
  <si>
    <t xml:space="preserve">chswar</t>
  </si>
  <si>
    <t xml:space="preserve">Cinnamon-bellied Saltator</t>
  </si>
  <si>
    <t xml:space="preserve">Saltator grandis</t>
  </si>
  <si>
    <t xml:space="preserve">grasal2</t>
  </si>
  <si>
    <t xml:space="preserve">Collared Aracari</t>
  </si>
  <si>
    <t xml:space="preserve">Pteroglossus torquatus</t>
  </si>
  <si>
    <t xml:space="preserve">colara2</t>
  </si>
  <si>
    <t xml:space="preserve">Crimson-collared Tanager</t>
  </si>
  <si>
    <t xml:space="preserve">Ramphocelus sanguinolentus</t>
  </si>
  <si>
    <t xml:space="preserve">crctan1</t>
  </si>
  <si>
    <t xml:space="preserve">Gray-chested Dove</t>
  </si>
  <si>
    <t xml:space="preserve">Leptotila cassinii</t>
  </si>
  <si>
    <t xml:space="preserve">grcdov1</t>
  </si>
  <si>
    <t xml:space="preserve">Great Curassow</t>
  </si>
  <si>
    <t xml:space="preserve">Crax rubra</t>
  </si>
  <si>
    <t xml:space="preserve">grecur1</t>
  </si>
  <si>
    <t xml:space="preserve">Keel-billed Motmot</t>
  </si>
  <si>
    <t xml:space="preserve">Electron carinatum</t>
  </si>
  <si>
    <t xml:space="preserve">kebmot1</t>
  </si>
  <si>
    <t xml:space="preserve">Olive-throated Parakeet</t>
  </si>
  <si>
    <t xml:space="preserve">Eupsittula nana</t>
  </si>
  <si>
    <t xml:space="preserve">oltpar1</t>
  </si>
  <si>
    <t xml:space="preserve">Variable Seedeater</t>
  </si>
  <si>
    <t xml:space="preserve">Sporophila corvina</t>
  </si>
  <si>
    <t xml:space="preserve">varsee3</t>
  </si>
  <si>
    <t xml:space="preserve">Barred Antshrike</t>
  </si>
  <si>
    <t xml:space="preserve">Thamnophilus doliatus</t>
  </si>
  <si>
    <t xml:space="preserve">barant1</t>
  </si>
  <si>
    <t xml:space="preserve">Black-headed Tody-Flycatcher</t>
  </si>
  <si>
    <t xml:space="preserve">Todirostrum nigriceps</t>
  </si>
  <si>
    <t xml:space="preserve">bhtfly1</t>
  </si>
  <si>
    <t xml:space="preserve">Blue-gray Tanager</t>
  </si>
  <si>
    <t xml:space="preserve">Thraupis episcopus</t>
  </si>
  <si>
    <t xml:space="preserve">bugtan</t>
  </si>
  <si>
    <t xml:space="preserve">Common Squirrel-Cuckoo</t>
  </si>
  <si>
    <t xml:space="preserve">Piaya cayana</t>
  </si>
  <si>
    <t xml:space="preserve">squcuc1</t>
  </si>
  <si>
    <t xml:space="preserve">Crimson-fronted Parakeet</t>
  </si>
  <si>
    <t xml:space="preserve">Psittacara finschi</t>
  </si>
  <si>
    <t xml:space="preserve">crfpar</t>
  </si>
  <si>
    <t xml:space="preserve">Eye-ringed Flatbill</t>
  </si>
  <si>
    <t xml:space="preserve">Rhynchocyclus brevirostris</t>
  </si>
  <si>
    <t xml:space="preserve">eyrfla1</t>
  </si>
  <si>
    <t xml:space="preserve">Gray-headed Chachalaca</t>
  </si>
  <si>
    <t xml:space="preserve">Ortalis cinereiceps</t>
  </si>
  <si>
    <t xml:space="preserve">grhcha1</t>
  </si>
  <si>
    <t xml:space="preserve">Lattice-tailed Trogon</t>
  </si>
  <si>
    <t xml:space="preserve">Trogon clathratus</t>
  </si>
  <si>
    <t xml:space="preserve">lattro1</t>
  </si>
  <si>
    <t xml:space="preserve">Northern Tropical Pewee</t>
  </si>
  <si>
    <t xml:space="preserve">Contopus bogotensis</t>
  </si>
  <si>
    <t xml:space="preserve">tropew4</t>
  </si>
  <si>
    <t xml:space="preserve">Rufous Piha</t>
  </si>
  <si>
    <t xml:space="preserve">Lipaugus unirufus</t>
  </si>
  <si>
    <t xml:space="preserve">rufpih1</t>
  </si>
  <si>
    <t xml:space="preserve">Scaled Pigeon</t>
  </si>
  <si>
    <t xml:space="preserve">Patagioenas speciosa</t>
  </si>
  <si>
    <t xml:space="preserve">scapig2</t>
  </si>
  <si>
    <t xml:space="preserve">Song Wren</t>
  </si>
  <si>
    <t xml:space="preserve">Cyphorhinus phaeocephalus</t>
  </si>
  <si>
    <t xml:space="preserve">sonwre1</t>
  </si>
  <si>
    <t xml:space="preserve">Streak-crowned Antvireo</t>
  </si>
  <si>
    <t xml:space="preserve">Dysithamnus striaticeps</t>
  </si>
  <si>
    <t xml:space="preserve">stcant1</t>
  </si>
  <si>
    <t xml:space="preserve">Striped Cuckoo</t>
  </si>
  <si>
    <t xml:space="preserve">Tapera naevia</t>
  </si>
  <si>
    <t xml:space="preserve">strcuc1</t>
  </si>
  <si>
    <t xml:space="preserve">Bicolored Antbird</t>
  </si>
  <si>
    <t xml:space="preserve">Gymnopithys bicolor</t>
  </si>
  <si>
    <t xml:space="preserve">bicant2</t>
  </si>
  <si>
    <t xml:space="preserve">Black-cowled Oriole</t>
  </si>
  <si>
    <t xml:space="preserve">Icterus prosthemelas</t>
  </si>
  <si>
    <t xml:space="preserve">bkcori</t>
  </si>
  <si>
    <t xml:space="preserve">Blue Ground Dove</t>
  </si>
  <si>
    <t xml:space="preserve">Claravis pretiosa</t>
  </si>
  <si>
    <t xml:space="preserve">blgdov1</t>
  </si>
  <si>
    <t xml:space="preserve">Brown-hooded Parrot</t>
  </si>
  <si>
    <t xml:space="preserve">Pyrilia haematotis</t>
  </si>
  <si>
    <t xml:space="preserve">brhpar1</t>
  </si>
  <si>
    <t xml:space="preserve">Common Potoo</t>
  </si>
  <si>
    <t xml:space="preserve">Nyctibius griseus</t>
  </si>
  <si>
    <t xml:space="preserve">compot1</t>
  </si>
  <si>
    <t xml:space="preserve">Gray-rumped Swift</t>
  </si>
  <si>
    <t xml:space="preserve">Chaetura cinereiventris</t>
  </si>
  <si>
    <t xml:space="preserve">grrswi1</t>
  </si>
  <si>
    <t xml:space="preserve">Green Shrike-Vireo</t>
  </si>
  <si>
    <t xml:space="preserve">Vireolanius pulchellus</t>
  </si>
  <si>
    <t xml:space="preserve">grsvir1</t>
  </si>
  <si>
    <t xml:space="preserve">Melodious Blackbird</t>
  </si>
  <si>
    <t xml:space="preserve">Dives dives</t>
  </si>
  <si>
    <t xml:space="preserve">avibase-19784EAF</t>
  </si>
  <si>
    <t xml:space="preserve">singleton</t>
  </si>
  <si>
    <t xml:space="preserve">Nicaraguan Seed-Finch</t>
  </si>
  <si>
    <t xml:space="preserve">Sporophila nuttingi</t>
  </si>
  <si>
    <t xml:space="preserve">nisfin1</t>
  </si>
  <si>
    <t xml:space="preserve">Ringed Kingfisher</t>
  </si>
  <si>
    <t xml:space="preserve">Megaceryle torquata</t>
  </si>
  <si>
    <t xml:space="preserve">rinkin1</t>
  </si>
  <si>
    <t xml:space="preserve">Rufous-winged Woodpecker</t>
  </si>
  <si>
    <t xml:space="preserve">Piculus simplex</t>
  </si>
  <si>
    <t xml:space="preserve">ruwwoo1</t>
  </si>
  <si>
    <t xml:space="preserve">Scarlet Macaw</t>
  </si>
  <si>
    <t xml:space="preserve">Ara macao</t>
  </si>
  <si>
    <t xml:space="preserve">scamac1</t>
  </si>
  <si>
    <t xml:space="preserve">Summer Tanager</t>
  </si>
  <si>
    <t xml:space="preserve">Piranga rubra</t>
  </si>
  <si>
    <t xml:space="preserve">sumtan</t>
  </si>
  <si>
    <t xml:space="preserve">White-ruffed Manakin</t>
  </si>
  <si>
    <t xml:space="preserve">Corapipo altera</t>
  </si>
  <si>
    <t xml:space="preserve">whrman1</t>
  </si>
  <si>
    <t xml:space="preserve">Yellow-bellied Elaenia</t>
  </si>
  <si>
    <t xml:space="preserve">Elaenia flavogaster</t>
  </si>
  <si>
    <t xml:space="preserve">yebela1</t>
  </si>
  <si>
    <t xml:space="preserve">Yellow-billed Cacique</t>
  </si>
  <si>
    <t xml:space="preserve">Amblycercus holosericeus</t>
  </si>
  <si>
    <t xml:space="preserve">yebcac2</t>
  </si>
  <si>
    <t xml:space="preserve">Black-and-white Owl</t>
  </si>
  <si>
    <t xml:space="preserve">Strix nigrolineata</t>
  </si>
  <si>
    <t xml:space="preserve">bawowl1</t>
  </si>
  <si>
    <t xml:space="preserve">Brown Jay</t>
  </si>
  <si>
    <t xml:space="preserve">Cyanocorax morio</t>
  </si>
  <si>
    <t xml:space="preserve">avibase-AD6BFD7E</t>
  </si>
  <si>
    <t xml:space="preserve">Xeno-canto label Brown Jay (Psilorhinus morio)</t>
  </si>
  <si>
    <t xml:space="preserve">Cabanis's Wren</t>
  </si>
  <si>
    <t xml:space="preserve">Cantorchilus modestus</t>
  </si>
  <si>
    <t xml:space="preserve">offsite</t>
  </si>
  <si>
    <t xml:space="preserve">Xeno-canto only (Arenal, Monteverde). No eBird record at La Selva</t>
  </si>
  <si>
    <t xml:space="preserve">Eastern Wood-Pewee</t>
  </si>
  <si>
    <t xml:space="preserve">Contopus virens</t>
  </si>
  <si>
    <t xml:space="preserve">eawpew</t>
  </si>
  <si>
    <t xml:space="preserve">Gray-crowned Yellowthroat</t>
  </si>
  <si>
    <t xml:space="preserve">Geothlypis poliocephala</t>
  </si>
  <si>
    <t xml:space="preserve">gycyel</t>
  </si>
  <si>
    <t xml:space="preserve">Green Kingfisher</t>
  </si>
  <si>
    <t xml:space="preserve">Chloroceryle americana</t>
  </si>
  <si>
    <t xml:space="preserve">grnkin</t>
  </si>
  <si>
    <t xml:space="preserve">Masked Tityra</t>
  </si>
  <si>
    <t xml:space="preserve">Tityra semifasciata</t>
  </si>
  <si>
    <t xml:space="preserve">mastit1</t>
  </si>
  <si>
    <t xml:space="preserve">Northern Bentbill</t>
  </si>
  <si>
    <t xml:space="preserve">Oncostoma cinereigulare</t>
  </si>
  <si>
    <t xml:space="preserve">norben1</t>
  </si>
  <si>
    <t xml:space="preserve">Orange-billed Nightingale-Thrush</t>
  </si>
  <si>
    <t xml:space="preserve">Catharus aurantiirostris</t>
  </si>
  <si>
    <t xml:space="preserve">Plain-colored Tanager</t>
  </si>
  <si>
    <t xml:space="preserve">Tangara inornata</t>
  </si>
  <si>
    <t xml:space="preserve">plctan1</t>
  </si>
  <si>
    <t xml:space="preserve">Rufous-and-white Wren</t>
  </si>
  <si>
    <t xml:space="preserve">Thryophilus rufalbus</t>
  </si>
  <si>
    <t xml:space="preserve">Scaly-breasted Hummingbird</t>
  </si>
  <si>
    <t xml:space="preserve">Phaeochroa cuvierii</t>
  </si>
  <si>
    <t xml:space="preserve">avibase-058A126E</t>
  </si>
  <si>
    <t xml:space="preserve">Smoky-brown Woodpecker</t>
  </si>
  <si>
    <t xml:space="preserve">Leuconotopicus fumigatus</t>
  </si>
  <si>
    <t xml:space="preserve">smbwoo1</t>
  </si>
  <si>
    <t xml:space="preserve">Southern Rough-winged Swallow</t>
  </si>
  <si>
    <t xml:space="preserve">Stelgidopteryx ruficollis</t>
  </si>
  <si>
    <t xml:space="preserve">srwswa1</t>
  </si>
  <si>
    <t xml:space="preserve">Sunbittern</t>
  </si>
  <si>
    <t xml:space="preserve">Eurypyga helias</t>
  </si>
  <si>
    <t xml:space="preserve">sunbit1</t>
  </si>
  <si>
    <t xml:space="preserve">Tropical Kingbird</t>
  </si>
  <si>
    <t xml:space="preserve">Tyrannus melancholicus</t>
  </si>
  <si>
    <t xml:space="preserve">trokin</t>
  </si>
  <si>
    <t xml:space="preserve">White-flanked Antwren</t>
  </si>
  <si>
    <t xml:space="preserve">Myrmotherula axillaris</t>
  </si>
  <si>
    <t xml:space="preserve">whfant21</t>
  </si>
  <si>
    <t xml:space="preserve">Yellow Tyrannulet</t>
  </si>
  <si>
    <t xml:space="preserve">Capsiempis flaveola</t>
  </si>
  <si>
    <t xml:space="preserve">yeltyr1</t>
  </si>
  <si>
    <t xml:space="preserve">Yellow-olive Flatbill</t>
  </si>
  <si>
    <t xml:space="preserve">Tolmomyias sulphurescens</t>
  </si>
  <si>
    <t xml:space="preserve">yeofly1</t>
  </si>
  <si>
    <t xml:space="preserve">Yellow-tailed Oriole</t>
  </si>
  <si>
    <t xml:space="preserve">Icterus mesomelas</t>
  </si>
  <si>
    <t xml:space="preserve">yetori1</t>
  </si>
  <si>
    <t xml:space="preserve">Bare-throated Tiger-Heron</t>
  </si>
  <si>
    <t xml:space="preserve">Tigrisoma mexicanum</t>
  </si>
  <si>
    <t xml:space="preserve">btther1</t>
  </si>
  <si>
    <t xml:space="preserve">Barred Forest-Falcon</t>
  </si>
  <si>
    <t xml:space="preserve">Micrastur ruficollis</t>
  </si>
  <si>
    <t xml:space="preserve">baffal1</t>
  </si>
  <si>
    <t xml:space="preserve">Bat Falcon</t>
  </si>
  <si>
    <t xml:space="preserve">Falco rufigularis</t>
  </si>
  <si>
    <t xml:space="preserve">batfal1</t>
  </si>
  <si>
    <t xml:space="preserve">Black-headed Nightingale-Thrush</t>
  </si>
  <si>
    <t xml:space="preserve">Catharus mexicanus</t>
  </si>
  <si>
    <t xml:space="preserve">avibase-259F7A06</t>
  </si>
  <si>
    <t xml:space="preserve">Xeno-canto only (Arenal, Monteverde). On the eBird La Selva list</t>
  </si>
  <si>
    <t xml:space="preserve">Gray-breasted Crake</t>
  </si>
  <si>
    <t xml:space="preserve">Laterallus exilis</t>
  </si>
  <si>
    <t xml:space="preserve">grbcra1</t>
  </si>
  <si>
    <t xml:space="preserve">few_shot_single_session</t>
  </si>
  <si>
    <t xml:space="preserve">Gray-breasted Wood-Wren</t>
  </si>
  <si>
    <t xml:space="preserve">Henicorhina leucophrys</t>
  </si>
  <si>
    <t xml:space="preserve">Hooded Warbler</t>
  </si>
  <si>
    <t xml:space="preserve">Setophaga citrina</t>
  </si>
  <si>
    <t xml:space="preserve">hoowar</t>
  </si>
  <si>
    <t xml:space="preserve">Long-tailed Manakin</t>
  </si>
  <si>
    <t xml:space="preserve">Chiroxiphia linearis</t>
  </si>
  <si>
    <t xml:space="preserve">Louisiana Waterthrush</t>
  </si>
  <si>
    <t xml:space="preserve">Parkesia motacilla</t>
  </si>
  <si>
    <t xml:space="preserve">louwat</t>
  </si>
  <si>
    <t xml:space="preserve">Ruddy Ground Dove</t>
  </si>
  <si>
    <t xml:space="preserve">Columbina talpacoti</t>
  </si>
  <si>
    <t xml:space="preserve">rugdov</t>
  </si>
  <si>
    <t xml:space="preserve">Streak-chested Antpitta</t>
  </si>
  <si>
    <t xml:space="preserve">Hylopezus perspicillatus</t>
  </si>
  <si>
    <t xml:space="preserve">stcant6</t>
  </si>
  <si>
    <t xml:space="preserve">Tawny-faced Gnatwren</t>
  </si>
  <si>
    <t xml:space="preserve">Microbates cinereiventris</t>
  </si>
  <si>
    <t xml:space="preserve">tafgna1</t>
  </si>
  <si>
    <t xml:space="preserve">Uniform Crake</t>
  </si>
  <si>
    <t xml:space="preserve">Amaurolimnas concolor</t>
  </si>
  <si>
    <t xml:space="preserve">unicra1</t>
  </si>
  <si>
    <t xml:space="preserve">White-browed Gnatcatcher</t>
  </si>
  <si>
    <t xml:space="preserve">Polioptila bilineata</t>
  </si>
  <si>
    <t xml:space="preserve">trogna2</t>
  </si>
  <si>
    <t xml:space="preserve">White-shouldered Tanager</t>
  </si>
  <si>
    <t xml:space="preserve">Loriotus luctuosus</t>
  </si>
  <si>
    <t xml:space="preserve">whstan1</t>
  </si>
  <si>
    <t xml:space="preserve">White-tipped Dove</t>
  </si>
  <si>
    <t xml:space="preserve">Leptotila verreauxi</t>
  </si>
  <si>
    <t xml:space="preserve">whtdov</t>
  </si>
  <si>
    <t xml:space="preserve">White-winged Becard</t>
  </si>
  <si>
    <t xml:space="preserve">Pachyramphus polychopterus</t>
  </si>
  <si>
    <t xml:space="preserve">whwbec1</t>
  </si>
  <si>
    <t xml:space="preserve">Yellow-throated Euphonia</t>
  </si>
  <si>
    <t xml:space="preserve">Euphonia hirundinacea</t>
  </si>
  <si>
    <t xml:space="preserve">avibase-3CD68A81</t>
  </si>
  <si>
    <t xml:space="preserve">Amazon Kingfisher</t>
  </si>
  <si>
    <t xml:space="preserve">Chloroceryle amazona</t>
  </si>
  <si>
    <t xml:space="preserve">amakin1</t>
  </si>
  <si>
    <t xml:space="preserve">American Pygmy Kingfisher</t>
  </si>
  <si>
    <t xml:space="preserve">Chloroceryle aenea</t>
  </si>
  <si>
    <t xml:space="preserve">ampkin1</t>
  </si>
  <si>
    <t xml:space="preserve">Bay-breasted Warbler</t>
  </si>
  <si>
    <t xml:space="preserve">Setophaga castanea</t>
  </si>
  <si>
    <t xml:space="preserve">babwar</t>
  </si>
  <si>
    <t xml:space="preserve">Bicolored Hawk</t>
  </si>
  <si>
    <t xml:space="preserve">Astur bicolor</t>
  </si>
  <si>
    <t xml:space="preserve">bichaw2</t>
  </si>
  <si>
    <t xml:space="preserve">Black Vulture</t>
  </si>
  <si>
    <t xml:space="preserve">Coragyps atratus</t>
  </si>
  <si>
    <t xml:space="preserve">blkvul</t>
  </si>
  <si>
    <t xml:space="preserve">Black-banded Woodcreeper</t>
  </si>
  <si>
    <t xml:space="preserve">Dendrocolaptes picumnus</t>
  </si>
  <si>
    <t xml:space="preserve">bkbwoo10</t>
  </si>
  <si>
    <t xml:space="preserve">Not on the eBird La Selva list. One old Macaulay clip. Check the label</t>
  </si>
  <si>
    <t xml:space="preserve">Blue Dacnis</t>
  </si>
  <si>
    <t xml:space="preserve">Dacnis cayana</t>
  </si>
  <si>
    <t xml:space="preserve">bludac1</t>
  </si>
  <si>
    <t xml:space="preserve">Blue-black Grassquit</t>
  </si>
  <si>
    <t xml:space="preserve">Volatinia jacarina</t>
  </si>
  <si>
    <t xml:space="preserve">blbgra1</t>
  </si>
  <si>
    <t xml:space="preserve">Blue-headed Parrot</t>
  </si>
  <si>
    <t xml:space="preserve">Pionus menstruus</t>
  </si>
  <si>
    <t xml:space="preserve">blhpar1</t>
  </si>
  <si>
    <t xml:space="preserve">Bronze-tailed Plumeleteer</t>
  </si>
  <si>
    <t xml:space="preserve">Chalybura urochrysia</t>
  </si>
  <si>
    <t xml:space="preserve">brtplu1</t>
  </si>
  <si>
    <t xml:space="preserve">Bronzy Hermit</t>
  </si>
  <si>
    <t xml:space="preserve">Glaucis aeneus</t>
  </si>
  <si>
    <t xml:space="preserve">broher</t>
  </si>
  <si>
    <t xml:space="preserve">Collared Trogon</t>
  </si>
  <si>
    <t xml:space="preserve">Trogon collaris</t>
  </si>
  <si>
    <t xml:space="preserve">avibase-A1458984</t>
  </si>
  <si>
    <t xml:space="preserve">Common Ground Dove</t>
  </si>
  <si>
    <t xml:space="preserve">Columbina passerina</t>
  </si>
  <si>
    <t xml:space="preserve">cogdov</t>
  </si>
  <si>
    <t xml:space="preserve">Coppery-headed Emerald</t>
  </si>
  <si>
    <t xml:space="preserve">Microchera cupreiceps</t>
  </si>
  <si>
    <t xml:space="preserve">Costa Rican Warbler</t>
  </si>
  <si>
    <t xml:space="preserve">Basileuterus melanotis</t>
  </si>
  <si>
    <t xml:space="preserve">Crested Caracara</t>
  </si>
  <si>
    <t xml:space="preserve">Caracara plancus</t>
  </si>
  <si>
    <t xml:space="preserve">y00678</t>
  </si>
  <si>
    <t xml:space="preserve">Crowned Woodnymph</t>
  </si>
  <si>
    <t xml:space="preserve">Thalurania colombica</t>
  </si>
  <si>
    <t xml:space="preserve">crowoo1</t>
  </si>
  <si>
    <t xml:space="preserve">Double-toothed Kite</t>
  </si>
  <si>
    <t xml:space="preserve">Harpagus bidentatus</t>
  </si>
  <si>
    <t xml:space="preserve">dotkit1</t>
  </si>
  <si>
    <t xml:space="preserve">Golden-crowned Spadebill</t>
  </si>
  <si>
    <t xml:space="preserve">Platyrinchus coronatus</t>
  </si>
  <si>
    <t xml:space="preserve">gocspa1</t>
  </si>
  <si>
    <t xml:space="preserve">Gray Hawk</t>
  </si>
  <si>
    <t xml:space="preserve">Buteo plagiatus</t>
  </si>
  <si>
    <t xml:space="preserve">gryhaw2</t>
  </si>
  <si>
    <t xml:space="preserve">Gray-fronted Dove</t>
  </si>
  <si>
    <t xml:space="preserve">Leptotila rufaxilla</t>
  </si>
  <si>
    <t xml:space="preserve">grfdov1</t>
  </si>
  <si>
    <t xml:space="preserve">Gray-headed Piprites</t>
  </si>
  <si>
    <t xml:space="preserve">Piprites griseiceps</t>
  </si>
  <si>
    <t xml:space="preserve">grhpip1</t>
  </si>
  <si>
    <t xml:space="preserve">Great Jacamar</t>
  </si>
  <si>
    <t xml:space="preserve">Jacamerops aureus</t>
  </si>
  <si>
    <t xml:space="preserve">grejac2</t>
  </si>
  <si>
    <t xml:space="preserve">Groove-billed Ani</t>
  </si>
  <si>
    <t xml:space="preserve">Crotophaga sulcirostris</t>
  </si>
  <si>
    <t xml:space="preserve">grbani</t>
  </si>
  <si>
    <t xml:space="preserve">Mourning Warbler</t>
  </si>
  <si>
    <t xml:space="preserve">Geothlypis philadelphia</t>
  </si>
  <si>
    <t xml:space="preserve">mouwar</t>
  </si>
  <si>
    <t xml:space="preserve">Northern Waterthrush</t>
  </si>
  <si>
    <t xml:space="preserve">Parkesia noveboracensis</t>
  </si>
  <si>
    <t xml:space="preserve">norwat</t>
  </si>
  <si>
    <t xml:space="preserve">Ochre-crowned Greenlet</t>
  </si>
  <si>
    <t xml:space="preserve">Tunchiornis ochraceiceps</t>
  </si>
  <si>
    <t xml:space="preserve">tacgre2</t>
  </si>
  <si>
    <t xml:space="preserve">Ornate Hawk-Eagle</t>
  </si>
  <si>
    <t xml:space="preserve">Spizaetus ornatus</t>
  </si>
  <si>
    <t xml:space="preserve">orheag1</t>
  </si>
  <si>
    <t xml:space="preserve">Pied Puffbird</t>
  </si>
  <si>
    <t xml:space="preserve">Notharchus tectus</t>
  </si>
  <si>
    <t xml:space="preserve">piepuf1</t>
  </si>
  <si>
    <t xml:space="preserve">Purple Gallinule</t>
  </si>
  <si>
    <t xml:space="preserve">Porphyrio martinica</t>
  </si>
  <si>
    <t xml:space="preserve">purgal2</t>
  </si>
  <si>
    <t xml:space="preserve">Red-billed Pigeon</t>
  </si>
  <si>
    <t xml:space="preserve">Patagioenas flavirostris</t>
  </si>
  <si>
    <t xml:space="preserve">rebpig1</t>
  </si>
  <si>
    <t xml:space="preserve">Red-crowned Ant-Tanager</t>
  </si>
  <si>
    <t xml:space="preserve">Habia rubica</t>
  </si>
  <si>
    <t xml:space="preserve">recant1</t>
  </si>
  <si>
    <t xml:space="preserve">Red-throated Caracara</t>
  </si>
  <si>
    <t xml:space="preserve">Ibycter americanus</t>
  </si>
  <si>
    <t xml:space="preserve">retcar2</t>
  </si>
  <si>
    <t xml:space="preserve">Resplendent Quetzal</t>
  </si>
  <si>
    <t xml:space="preserve">Pharomachrus mocinno</t>
  </si>
  <si>
    <t xml:space="preserve">avibase-1F414281</t>
  </si>
  <si>
    <t xml:space="preserve">Scale-crested Pygmy-Tyrant</t>
  </si>
  <si>
    <t xml:space="preserve">Lophotriccus pileatus</t>
  </si>
  <si>
    <t xml:space="preserve">scptyr1</t>
  </si>
  <si>
    <t xml:space="preserve">Shining Honeycreeper</t>
  </si>
  <si>
    <t xml:space="preserve">Cyanerpes lucidus</t>
  </si>
  <si>
    <t xml:space="preserve">shihon1</t>
  </si>
  <si>
    <t xml:space="preserve">Slate-throated Redstart</t>
  </si>
  <si>
    <t xml:space="preserve">Myioborus miniatus</t>
  </si>
  <si>
    <t xml:space="preserve">Speckled Mourner</t>
  </si>
  <si>
    <t xml:space="preserve">Laniocera rufescens</t>
  </si>
  <si>
    <t xml:space="preserve">spemou1</t>
  </si>
  <si>
    <t xml:space="preserve">Sulphur-bellied Flycatcher</t>
  </si>
  <si>
    <t xml:space="preserve">Myiodynastes luteiventris</t>
  </si>
  <si>
    <t xml:space="preserve">avibase-9DBB70D5</t>
  </si>
  <si>
    <t xml:space="preserve">Sulphur-rumped Flycatcher</t>
  </si>
  <si>
    <t xml:space="preserve">Myiobius sulphureipygius</t>
  </si>
  <si>
    <t xml:space="preserve">surfly1</t>
  </si>
  <si>
    <t xml:space="preserve">Tropical Royal Flycatcher</t>
  </si>
  <si>
    <t xml:space="preserve">Onychorhynchus coronatus</t>
  </si>
  <si>
    <t xml:space="preserve">royfly1</t>
  </si>
  <si>
    <t xml:space="preserve">Velvety Manakin</t>
  </si>
  <si>
    <t xml:space="preserve">Lepidothrix velutina</t>
  </si>
  <si>
    <t xml:space="preserve">bucman1</t>
  </si>
  <si>
    <t xml:space="preserve">Violet-headed Hummingbird</t>
  </si>
  <si>
    <t xml:space="preserve">Klais guimeti</t>
  </si>
  <si>
    <t xml:space="preserve">vihhum1</t>
  </si>
  <si>
    <t xml:space="preserve">White-fronted Amazon</t>
  </si>
  <si>
    <t xml:space="preserve">Amazona albifrons</t>
  </si>
  <si>
    <t xml:space="preserve">whfpar1</t>
  </si>
  <si>
    <t xml:space="preserve">White-necked Puffbird</t>
  </si>
  <si>
    <t xml:space="preserve">Notharchus hyperrhynchus</t>
  </si>
  <si>
    <t xml:space="preserve">whnpuf2</t>
  </si>
  <si>
    <t xml:space="preserve">White-throated Magpie-Jay</t>
  </si>
  <si>
    <t xml:space="preserve">Cyanocorax formosus</t>
  </si>
  <si>
    <t xml:space="preserve">avibase-F0B23CDA</t>
  </si>
  <si>
    <t xml:space="preserve">Xeno-canto only (Arenal, Monteverde). On the eBird La Selva list. Xeno-canto label White-throated Magpie-Jay (Calocitta formosa)</t>
  </si>
  <si>
    <t xml:space="preserve">White-throated Spadebill</t>
  </si>
  <si>
    <t xml:space="preserve">Platyrinchus mystaceus</t>
  </si>
  <si>
    <t xml:space="preserve">avibase-F0BFC39B</t>
  </si>
  <si>
    <t xml:space="preserve">White-throated Thrush</t>
  </si>
  <si>
    <t xml:space="preserve">Turdus assimilis</t>
  </si>
  <si>
    <t xml:space="preserve">avibase-0A8145AC</t>
  </si>
  <si>
    <t xml:space="preserve">Yellow-bellied Flycatcher</t>
  </si>
  <si>
    <t xml:space="preserve">Empidonax flaviventris</t>
  </si>
  <si>
    <t xml:space="preserve">yebfly</t>
  </si>
  <si>
    <t xml:space="preserve">Yellow-faced Grassquit</t>
  </si>
  <si>
    <t xml:space="preserve">Tiaris olivaceus</t>
  </si>
  <si>
    <t xml:space="preserve">avibase-A8E1B59A</t>
  </si>
  <si>
    <t xml:space="preserve">Great Green Macaw</t>
  </si>
  <si>
    <t xml:space="preserve">Ara ambiguus</t>
  </si>
  <si>
    <t xml:space="preserve">no class (no training audio)</t>
  </si>
  <si>
    <t xml:space="preserve">Site: No clean solo: only an overlap with a wood-wren (Bird 15). No Macaulay or Xeno-canto audio. eBird hides it as a sensitive species, so add it to the allow-list by hand</t>
  </si>
  <si>
    <t xml:space="preserve">Ruddy-tailed Flycatcher</t>
  </si>
  <si>
    <t xml:space="preserve">Terenotriccus erythrurus</t>
  </si>
  <si>
    <t xml:space="preserve">rutfly2</t>
  </si>
  <si>
    <t xml:space="preserve">no class (only clip failed QC)</t>
  </si>
  <si>
    <t xml:space="preserve">Only Macaulay clip is silent and was excluded, so there is no class</t>
  </si>
  <si>
    <t xml:space="preserve">nonbird:bat</t>
  </si>
  <si>
    <t xml:space="preserve">nonbird</t>
  </si>
  <si>
    <t xml:space="preserve">nonbird:frog</t>
  </si>
  <si>
    <t xml:space="preserve">Site: Site frogs: Pristimantis, Scinax, Craugastor, Dendropsophus, Leptodactylus; 6 were filed as Bird in the log</t>
  </si>
  <si>
    <t xml:space="preserve">nonbird:mammal</t>
  </si>
  <si>
    <t xml:space="preserve">Site: Site: one spider monkey, filed as Bird 6</t>
  </si>
  <si>
    <t xml:space="preserve">nonbird:insect</t>
  </si>
  <si>
    <t xml:space="preserve">Site: Site: cicada? (June 18 Bird 29) and cricket (June 17 Bird 5), filed as Bird</t>
  </si>
  <si>
    <t xml:space="preserve">nonbird:other</t>
  </si>
  <si>
    <t xml:space="preserve">Holds 3 Harlequin Treefrog clips and 1 unidentified. The treefrog clips belong in nonbird:frog</t>
  </si>
  <si>
    <t xml:space="preserve">nonbird:reptile</t>
  </si>
  <si>
    <t xml:space="preserve">clip_id</t>
  </si>
  <si>
    <t xml:space="preserve">source</t>
  </si>
  <si>
    <t xml:space="preserve">split</t>
  </si>
  <si>
    <t xml:space="preserve">tier</t>
  </si>
  <si>
    <t xml:space="preserve">kind</t>
  </si>
  <si>
    <t xml:space="preserve">label</t>
  </si>
  <si>
    <t xml:space="preserve">scientific_name</t>
  </si>
  <si>
    <t xml:space="preserve">duration_s</t>
  </si>
  <si>
    <t xml:space="preserve">windows_5s</t>
  </si>
  <si>
    <t xml:space="preserve">usable</t>
  </si>
  <si>
    <t xml:space="preserve">qc_flags</t>
  </si>
  <si>
    <t xml:space="preserve">ml_rating</t>
  </si>
  <si>
    <t xml:space="preserve">xc_quality</t>
  </si>
  <si>
    <t xml:space="preserve">other_species</t>
  </si>
  <si>
    <t xml:space="preserve">session</t>
  </si>
  <si>
    <t xml:space="preserve">recordist</t>
  </si>
  <si>
    <t xml:space="preserve">date</t>
  </si>
  <si>
    <t xml:space="preserve">time</t>
  </si>
  <si>
    <t xml:space="preserve">path</t>
  </si>
  <si>
    <t xml:space="preserve">link</t>
  </si>
  <si>
    <t xml:space="preserve">source_note</t>
  </si>
  <si>
    <t xml:space="preserve">ML451633081</t>
  </si>
  <si>
    <t xml:space="preserve">macaulay</t>
  </si>
  <si>
    <t xml:space="preserve">train</t>
  </si>
  <si>
    <t xml:space="preserve">S108082001</t>
  </si>
  <si>
    <t xml:space="preserve">Scott Ramos</t>
  </si>
  <si>
    <t xml:space="preserve">07:57</t>
  </si>
  <si>
    <t xml:space="preserve">macaulay/flac/451633081.flac</t>
  </si>
  <si>
    <t xml:space="preserve">ML610572704</t>
  </si>
  <si>
    <t xml:space="preserve">S153010893</t>
  </si>
  <si>
    <t xml:space="preserve">James (Jim) Holmes</t>
  </si>
  <si>
    <t xml:space="preserve">08:33</t>
  </si>
  <si>
    <t xml:space="preserve">macaulay/flac/610572704.flac</t>
  </si>
  <si>
    <t xml:space="preserve">ML613449753</t>
  </si>
  <si>
    <t xml:space="preserve">S158742702</t>
  </si>
  <si>
    <t xml:space="preserve">Jonathan Irons</t>
  </si>
  <si>
    <t xml:space="preserve">05:48</t>
  </si>
  <si>
    <t xml:space="preserve">macaulay/flac/613449753.flac</t>
  </si>
  <si>
    <t xml:space="preserve">ML616362035</t>
  </si>
  <si>
    <t xml:space="preserve">S158742701</t>
  </si>
  <si>
    <t xml:space="preserve">Daniel Irons</t>
  </si>
  <si>
    <t xml:space="preserve">macaulay/flac/616362035.flac</t>
  </si>
  <si>
    <t xml:space="preserve">ML647391460</t>
  </si>
  <si>
    <t xml:space="preserve">S289444341</t>
  </si>
  <si>
    <t xml:space="preserve">Daniel Garrigues</t>
  </si>
  <si>
    <t xml:space="preserve">05:55</t>
  </si>
  <si>
    <t xml:space="preserve">macaulay/flac/647391460.flac</t>
  </si>
  <si>
    <t xml:space="preserve">ML650033264</t>
  </si>
  <si>
    <t xml:space="preserve">S296765381</t>
  </si>
  <si>
    <t xml:space="preserve">Michele Carnerie</t>
  </si>
  <si>
    <t xml:space="preserve">08:55</t>
  </si>
  <si>
    <t xml:space="preserve">macaulay/flac/650033264.flac</t>
  </si>
  <si>
    <t xml:space="preserve">ML179453331</t>
  </si>
  <si>
    <t xml:space="preserve">S58331872</t>
  </si>
  <si>
    <t xml:space="preserve">Gabriel Leite</t>
  </si>
  <si>
    <t xml:space="preserve">06:05</t>
  </si>
  <si>
    <t xml:space="preserve">macaulay/flac/179453331.flac</t>
  </si>
  <si>
    <t xml:space="preserve">ML209453</t>
  </si>
  <si>
    <t xml:space="preserve">David L. Ross, Jr.|1993-06-02</t>
  </si>
  <si>
    <t xml:space="preserve">David L. Ross, Jr.</t>
  </si>
  <si>
    <t xml:space="preserve">06:24</t>
  </si>
  <si>
    <t xml:space="preserve">macaulay/flac/209453.flac</t>
  </si>
  <si>
    <t xml:space="preserve">group label: Bananaquit (Continental)</t>
  </si>
  <si>
    <t xml:space="preserve">ML398721531</t>
  </si>
  <si>
    <t xml:space="preserve">S99174412</t>
  </si>
  <si>
    <t xml:space="preserve">08:06</t>
  </si>
  <si>
    <t xml:space="preserve">macaulay/flac/398721531.flac</t>
  </si>
  <si>
    <t xml:space="preserve">ML400115311</t>
  </si>
  <si>
    <t xml:space="preserve">S99116569</t>
  </si>
  <si>
    <t xml:space="preserve">David Garrigues</t>
  </si>
  <si>
    <t xml:space="preserve">08:57</t>
  </si>
  <si>
    <t xml:space="preserve">macaulay/flac/400115311.flac</t>
  </si>
  <si>
    <t xml:space="preserve">ML400116341</t>
  </si>
  <si>
    <t xml:space="preserve">macaulay/flac/400116341.flac</t>
  </si>
  <si>
    <t xml:space="preserve">ML631029332</t>
  </si>
  <si>
    <t xml:space="preserve">S214513262</t>
  </si>
  <si>
    <t xml:space="preserve">Danny Zapata</t>
  </si>
  <si>
    <t xml:space="preserve">06:55</t>
  </si>
  <si>
    <t xml:space="preserve">macaulay/flac/631029332.flac</t>
  </si>
  <si>
    <t xml:space="preserve">ML72650</t>
  </si>
  <si>
    <t xml:space="preserve">David L. Ross, Jr.|1991-03-02</t>
  </si>
  <si>
    <t xml:space="preserve">00:00</t>
  </si>
  <si>
    <t xml:space="preserve">macaulay/flac/72650.flac</t>
  </si>
  <si>
    <t xml:space="preserve">XC331385</t>
  </si>
  <si>
    <t xml:space="preserve">xeno-canto</t>
  </si>
  <si>
    <t xml:space="preserve">B</t>
  </si>
  <si>
    <t xml:space="preserve">xc|2016-07-26|Arenal Observatory Lodge, Fortuna, Costa Rica</t>
  </si>
  <si>
    <t xml:space="preserve">Bobby Wilcox</t>
  </si>
  <si>
    <t xml:space="preserve">06:00</t>
  </si>
  <si>
    <t xml:space="preserve">data-prep/xc_flac/Coereba_flaveola/XC331385.flac</t>
  </si>
  <si>
    <t xml:space="preserve">song; Arenal Observatory Lodge, Fortuna, Costa Rica, 750 m</t>
  </si>
  <si>
    <t xml:space="preserve">XC331386</t>
  </si>
  <si>
    <t xml:space="preserve">07:00</t>
  </si>
  <si>
    <t xml:space="preserve">data-prep/xc_flac/Coereba_flaveola/XC331386.flac</t>
  </si>
  <si>
    <t xml:space="preserve">XC331387</t>
  </si>
  <si>
    <t xml:space="preserve">xc|2016-07-27|Arenal Observatory Lodge, Fortuna, Costa Rica</t>
  </si>
  <si>
    <t xml:space="preserve">09:00</t>
  </si>
  <si>
    <t xml:space="preserve">data-prep/xc_flac/Coereba_flaveola/XC331387.flac</t>
  </si>
  <si>
    <t xml:space="preserve">ML101754181</t>
  </si>
  <si>
    <t xml:space="preserve">S45909101</t>
  </si>
  <si>
    <t xml:space="preserve">Daniel Leger</t>
  </si>
  <si>
    <t xml:space="preserve">05:34</t>
  </si>
  <si>
    <t xml:space="preserve">macaulay/flac/101754181.flac</t>
  </si>
  <si>
    <t xml:space="preserve">ML129902741</t>
  </si>
  <si>
    <t xml:space="preserve">S50711026</t>
  </si>
  <si>
    <t xml:space="preserve">05:24</t>
  </si>
  <si>
    <t xml:space="preserve">macaulay/flac/129902741.flac</t>
  </si>
  <si>
    <t xml:space="preserve">ML299658</t>
  </si>
  <si>
    <t xml:space="preserve">Peter Boesman|2010-03-14</t>
  </si>
  <si>
    <t xml:space="preserve">Peter Boesman</t>
  </si>
  <si>
    <t xml:space="preserve">10:15</t>
  </si>
  <si>
    <t xml:space="preserve">macaulay/flac/299658.flac</t>
  </si>
  <si>
    <t xml:space="preserve">ML498004891</t>
  </si>
  <si>
    <t xml:space="preserve">S121380874</t>
  </si>
  <si>
    <t xml:space="preserve">Guy Kirwan</t>
  </si>
  <si>
    <t xml:space="preserve">05:30</t>
  </si>
  <si>
    <t xml:space="preserve">macaulay/flac/498004891.flac</t>
  </si>
  <si>
    <t xml:space="preserve">ML609056498</t>
  </si>
  <si>
    <t xml:space="preserve">S150731416</t>
  </si>
  <si>
    <t xml:space="preserve">Pam Rasmussen</t>
  </si>
  <si>
    <t xml:space="preserve">macaulay/flac/609056498.flac</t>
  </si>
  <si>
    <t xml:space="preserve">ML609056507</t>
  </si>
  <si>
    <t xml:space="preserve">macaulay/flac/609056507.flac</t>
  </si>
  <si>
    <t xml:space="preserve">ML609056531</t>
  </si>
  <si>
    <t xml:space="preserve">S150731418</t>
  </si>
  <si>
    <t xml:space="preserve">macaulay/flac/609056531.flac</t>
  </si>
  <si>
    <t xml:space="preserve">ML662832601</t>
  </si>
  <si>
    <t xml:space="preserve">short</t>
  </si>
  <si>
    <t xml:space="preserve">S49623205</t>
  </si>
  <si>
    <t xml:space="preserve">Brian Henderson</t>
  </si>
  <si>
    <t xml:space="preserve">05:19</t>
  </si>
  <si>
    <t xml:space="preserve">macaulay/flac/662832601.flac</t>
  </si>
  <si>
    <t xml:space="preserve">ML203939461</t>
  </si>
  <si>
    <t xml:space="preserve">S65091208</t>
  </si>
  <si>
    <t xml:space="preserve">Scott Olmstead</t>
  </si>
  <si>
    <t xml:space="preserve">macaulay/flac/203939461.flac</t>
  </si>
  <si>
    <t xml:space="preserve">ML215350</t>
  </si>
  <si>
    <t xml:space="preserve">David L. Ross, Jr.|1989-02-16</t>
  </si>
  <si>
    <t xml:space="preserve">07:07</t>
  </si>
  <si>
    <t xml:space="preserve">macaulay/flac/215350.flac</t>
  </si>
  <si>
    <t xml:space="preserve">ML266211851</t>
  </si>
  <si>
    <t xml:space="preserve">S73497653</t>
  </si>
  <si>
    <t xml:space="preserve">Dale Forbes</t>
  </si>
  <si>
    <t xml:space="preserve">08:12</t>
  </si>
  <si>
    <t xml:space="preserve">macaulay/flac/266211851.flac</t>
  </si>
  <si>
    <t xml:space="preserve">ML289833511</t>
  </si>
  <si>
    <t xml:space="preserve">S77724984</t>
  </si>
  <si>
    <t xml:space="preserve">macaulay/flac/289833511.flac</t>
  </si>
  <si>
    <t xml:space="preserve">ML51736</t>
  </si>
  <si>
    <t xml:space="preserve">Paul Coopmans|1990-03-12</t>
  </si>
  <si>
    <t xml:space="preserve">Paul Coopmans</t>
  </si>
  <si>
    <t xml:space="preserve">14:30</t>
  </si>
  <si>
    <t xml:space="preserve">macaulay/flac/51736.flac</t>
  </si>
  <si>
    <t xml:space="preserve">ML470892901</t>
  </si>
  <si>
    <t xml:space="preserve">S49450925</t>
  </si>
  <si>
    <t xml:space="preserve">Andrew Core</t>
  </si>
  <si>
    <t xml:space="preserve">16:45</t>
  </si>
  <si>
    <t xml:space="preserve">macaulay/flac/470892901.flac</t>
  </si>
  <si>
    <t xml:space="preserve">ML154654951</t>
  </si>
  <si>
    <t xml:space="preserve">S55333958</t>
  </si>
  <si>
    <t xml:space="preserve">05:45</t>
  </si>
  <si>
    <t xml:space="preserve">macaulay/flac/154654951.flac</t>
  </si>
  <si>
    <t xml:space="preserve">ML614027533</t>
  </si>
  <si>
    <t xml:space="preserve">Pale-billed Woodpecker; Social Flycatcher</t>
  </si>
  <si>
    <t xml:space="preserve">S158360108</t>
  </si>
  <si>
    <t xml:space="preserve">Cody Limber</t>
  </si>
  <si>
    <t xml:space="preserve">06:36</t>
  </si>
  <si>
    <t xml:space="preserve">macaulay/flac/614027533.flac</t>
  </si>
  <si>
    <t xml:space="preserve">ML639176250</t>
  </si>
  <si>
    <t xml:space="preserve">S257989499</t>
  </si>
  <si>
    <t xml:space="preserve">Kelly Krechmer</t>
  </si>
  <si>
    <t xml:space="preserve">05:00</t>
  </si>
  <si>
    <t xml:space="preserve">macaulay/flac/639176250.flac</t>
  </si>
  <si>
    <t xml:space="preserve">ML643526738</t>
  </si>
  <si>
    <t xml:space="preserve">macaulay/flac/643526738.flac</t>
  </si>
  <si>
    <t xml:space="preserve">ML215326</t>
  </si>
  <si>
    <t xml:space="preserve">David L. Ross, Jr.|1989-02-14</t>
  </si>
  <si>
    <t xml:space="preserve">08:40</t>
  </si>
  <si>
    <t xml:space="preserve">macaulay/flac/215326.flac</t>
  </si>
  <si>
    <t xml:space="preserve">ML57463</t>
  </si>
  <si>
    <t xml:space="preserve">David L. Ross, Jr.|1991-02-20</t>
  </si>
  <si>
    <t xml:space="preserve">07:20</t>
  </si>
  <si>
    <t xml:space="preserve">macaulay/flac/57463.flac</t>
  </si>
  <si>
    <t xml:space="preserve">ML147242611</t>
  </si>
  <si>
    <t xml:space="preserve">S53806744</t>
  </si>
  <si>
    <t xml:space="preserve">05:35</t>
  </si>
  <si>
    <t xml:space="preserve">macaulay/flac/147242611.flac</t>
  </si>
  <si>
    <t xml:space="preserve">ML185749</t>
  </si>
  <si>
    <t xml:space="preserve">Kristof Zyskowski|2001-03-19</t>
  </si>
  <si>
    <t xml:space="preserve">Kristof Zyskowski</t>
  </si>
  <si>
    <t xml:space="preserve">07:04</t>
  </si>
  <si>
    <t xml:space="preserve">macaulay/flac/185749.flac</t>
  </si>
  <si>
    <t xml:space="preserve">group label: Bay Wren (Central American)</t>
  </si>
  <si>
    <t xml:space="preserve">ML209480</t>
  </si>
  <si>
    <t xml:space="preserve">David L. Ross, Jr.|1993-06-05</t>
  </si>
  <si>
    <t xml:space="preserve">macaulay/flac/209480.flac</t>
  </si>
  <si>
    <t xml:space="preserve">ML215324</t>
  </si>
  <si>
    <t xml:space="preserve">06:45</t>
  </si>
  <si>
    <t xml:space="preserve">macaulay/flac/215324.flac</t>
  </si>
  <si>
    <t xml:space="preserve">ML215373</t>
  </si>
  <si>
    <t xml:space="preserve">David L. Ross, Jr.|1989-02-17</t>
  </si>
  <si>
    <t xml:space="preserve">10:08</t>
  </si>
  <si>
    <t xml:space="preserve">macaulay/flac/215373.flac</t>
  </si>
  <si>
    <t xml:space="preserve">ML215389</t>
  </si>
  <si>
    <t xml:space="preserve">David L. Ross, Jr.|1989-02-18</t>
  </si>
  <si>
    <t xml:space="preserve">macaulay/flac/215389.flac</t>
  </si>
  <si>
    <t xml:space="preserve">ML215391</t>
  </si>
  <si>
    <t xml:space="preserve">08:04</t>
  </si>
  <si>
    <t xml:space="preserve">macaulay/flac/215391.flac</t>
  </si>
  <si>
    <t xml:space="preserve">ML266307571</t>
  </si>
  <si>
    <t xml:space="preserve">S73535656</t>
  </si>
  <si>
    <t xml:space="preserve">14:59</t>
  </si>
  <si>
    <t xml:space="preserve">macaulay/flac/266307571.flac</t>
  </si>
  <si>
    <t xml:space="preserve">ML28137</t>
  </si>
  <si>
    <t xml:space="preserve">Arnoud B. van den Berg|1981-05-29</t>
  </si>
  <si>
    <t xml:space="preserve">Arnoud B. van den Berg</t>
  </si>
  <si>
    <t xml:space="preserve">05:40</t>
  </si>
  <si>
    <t xml:space="preserve">macaulay/flac/28137.flac</t>
  </si>
  <si>
    <t xml:space="preserve">ML299560</t>
  </si>
  <si>
    <t xml:space="preserve">Peter Boesman|2010-03-13</t>
  </si>
  <si>
    <t xml:space="preserve">macaulay/flac/299560.flac</t>
  </si>
  <si>
    <t xml:space="preserve">ML398720271</t>
  </si>
  <si>
    <t xml:space="preserve">S99081308</t>
  </si>
  <si>
    <t xml:space="preserve">05:43</t>
  </si>
  <si>
    <t xml:space="preserve">macaulay/flac/398720271.flac</t>
  </si>
  <si>
    <t xml:space="preserve">ML492654411</t>
  </si>
  <si>
    <t xml:space="preserve">S120327557</t>
  </si>
  <si>
    <t xml:space="preserve">Carlos Ulate</t>
  </si>
  <si>
    <t xml:space="preserve">15:58</t>
  </si>
  <si>
    <t xml:space="preserve">macaulay/flac/492654411.flac</t>
  </si>
  <si>
    <t xml:space="preserve">ML492654441</t>
  </si>
  <si>
    <t xml:space="preserve">macaulay/flac/492654441.flac</t>
  </si>
  <si>
    <t xml:space="preserve">ML498000951</t>
  </si>
  <si>
    <t xml:space="preserve">S121380288</t>
  </si>
  <si>
    <t xml:space="preserve">macaulay/flac/498000951.flac</t>
  </si>
  <si>
    <t xml:space="preserve">ML543397781</t>
  </si>
  <si>
    <t xml:space="preserve">S126307560</t>
  </si>
  <si>
    <t xml:space="preserve">Eric Cameron</t>
  </si>
  <si>
    <t xml:space="preserve">macaulay/flac/543397781.flac</t>
  </si>
  <si>
    <t xml:space="preserve">ML57484</t>
  </si>
  <si>
    <t xml:space="preserve">David L. Ross, Jr.|1991-02-23</t>
  </si>
  <si>
    <t xml:space="preserve">07:27</t>
  </si>
  <si>
    <t xml:space="preserve">macaulay/flac/57484.flac</t>
  </si>
  <si>
    <t xml:space="preserve">ML597713071</t>
  </si>
  <si>
    <t xml:space="preserve">S123469840</t>
  </si>
  <si>
    <t xml:space="preserve">Luke Berg</t>
  </si>
  <si>
    <t xml:space="preserve">15:54</t>
  </si>
  <si>
    <t xml:space="preserve">macaulay/flac/597713071.flac</t>
  </si>
  <si>
    <t xml:space="preserve">ML597933031</t>
  </si>
  <si>
    <t xml:space="preserve">S123522333</t>
  </si>
  <si>
    <t xml:space="preserve">macaulay/flac/597933031.flac</t>
  </si>
  <si>
    <t xml:space="preserve">ML597933051</t>
  </si>
  <si>
    <t xml:space="preserve">macaulay/flac/597933051.flac</t>
  </si>
  <si>
    <t xml:space="preserve">ML597933081</t>
  </si>
  <si>
    <t xml:space="preserve">macaulay/flac/597933081.flac</t>
  </si>
  <si>
    <t xml:space="preserve">ML599674221</t>
  </si>
  <si>
    <t xml:space="preserve">S123600515</t>
  </si>
  <si>
    <t xml:space="preserve">macaulay/flac/599674221.flac</t>
  </si>
  <si>
    <t xml:space="preserve">ML609056489</t>
  </si>
  <si>
    <t xml:space="preserve">macaulay/flac/609056489.flac</t>
  </si>
  <si>
    <t xml:space="preserve">ML609056539</t>
  </si>
  <si>
    <t xml:space="preserve">macaulay/flac/609056539.flac</t>
  </si>
  <si>
    <t xml:space="preserve">ML611511607</t>
  </si>
  <si>
    <t xml:space="preserve">S154791593</t>
  </si>
  <si>
    <t xml:space="preserve">la h</t>
  </si>
  <si>
    <t xml:space="preserve">08:24</t>
  </si>
  <si>
    <t xml:space="preserve">macaulay/flac/611511607.flac</t>
  </si>
  <si>
    <t xml:space="preserve">ML616236266</t>
  </si>
  <si>
    <t xml:space="preserve">Montezuma Oropendola; Bright-rumped Attila; Short-billed Pigeon; Chestnut-backed Antbird; Black-crowned Antshrike; Great Tinamou</t>
  </si>
  <si>
    <t xml:space="preserve">S165341406</t>
  </si>
  <si>
    <t xml:space="preserve">Sam Jones</t>
  </si>
  <si>
    <t xml:space="preserve">macaulay/flac/616236266.flac</t>
  </si>
  <si>
    <t xml:space="preserve">ML647443207</t>
  </si>
  <si>
    <t xml:space="preserve">macaulay/flac/647443207.flac</t>
  </si>
  <si>
    <t xml:space="preserve">ML647443214</t>
  </si>
  <si>
    <t xml:space="preserve">macaulay/flac/647443214.flac</t>
  </si>
  <si>
    <t xml:space="preserve">ML648568728</t>
  </si>
  <si>
    <t xml:space="preserve">S292808654</t>
  </si>
  <si>
    <t xml:space="preserve">Ryan Leys</t>
  </si>
  <si>
    <t xml:space="preserve">06:32</t>
  </si>
  <si>
    <t xml:space="preserve">macaulay/flac/648568728.flac</t>
  </si>
  <si>
    <t xml:space="preserve">ML653762417</t>
  </si>
  <si>
    <t xml:space="preserve">S296592850</t>
  </si>
  <si>
    <t xml:space="preserve">John Reynolds</t>
  </si>
  <si>
    <t xml:space="preserve">07:40</t>
  </si>
  <si>
    <t xml:space="preserve">macaulay/flac/653762417.flac</t>
  </si>
  <si>
    <t xml:space="preserve">ML72624</t>
  </si>
  <si>
    <t xml:space="preserve">David L. Ross, Jr.|1991-02-28</t>
  </si>
  <si>
    <t xml:space="preserve">macaulay/flac/72624.flac</t>
  </si>
  <si>
    <t xml:space="preserve">ML72625</t>
  </si>
  <si>
    <t xml:space="preserve">12:30</t>
  </si>
  <si>
    <t xml:space="preserve">macaulay/flac/72625.flac</t>
  </si>
  <si>
    <t xml:space="preserve">ML72665</t>
  </si>
  <si>
    <t xml:space="preserve">David L. Ross, Jr.|1991-03-03</t>
  </si>
  <si>
    <t xml:space="preserve">macaulay/flac/72665.flac</t>
  </si>
  <si>
    <t xml:space="preserve">ML76625</t>
  </si>
  <si>
    <t xml:space="preserve">Curtis Marantz|1991-04-02</t>
  </si>
  <si>
    <t xml:space="preserve">Curtis Marantz</t>
  </si>
  <si>
    <t xml:space="preserve">08:11</t>
  </si>
  <si>
    <t xml:space="preserve">macaulay/flac/76625.flac</t>
  </si>
  <si>
    <t xml:space="preserve">ML76626</t>
  </si>
  <si>
    <t xml:space="preserve">09:10</t>
  </si>
  <si>
    <t xml:space="preserve">macaulay/flac/76626.flac</t>
  </si>
  <si>
    <t xml:space="preserve">ML9257</t>
  </si>
  <si>
    <t xml:space="preserve">L. Irby Davis|1958-03-30</t>
  </si>
  <si>
    <t xml:space="preserve">L. Irby Davis</t>
  </si>
  <si>
    <t xml:space="preserve">macaulay/flac/9257.flac</t>
  </si>
  <si>
    <t xml:space="preserve">ML215398</t>
  </si>
  <si>
    <t xml:space="preserve">12:59</t>
  </si>
  <si>
    <t xml:space="preserve">macaulay/flac/215398.flac</t>
  </si>
  <si>
    <t xml:space="preserve">ML597933821</t>
  </si>
  <si>
    <t xml:space="preserve">macaulay/flac/597933821.flac</t>
  </si>
  <si>
    <t xml:space="preserve">ML652627151</t>
  </si>
  <si>
    <t xml:space="preserve">Ocellated Antbird; Spotted Antbird; Cinnamon Woodpecker; Orange-chinned Parakeet</t>
  </si>
  <si>
    <t xml:space="preserve">S298451530</t>
  </si>
  <si>
    <t xml:space="preserve">Juan Diego Vargas</t>
  </si>
  <si>
    <t xml:space="preserve">08:17</t>
  </si>
  <si>
    <t xml:space="preserve">macaulay/flac/652627151.flac</t>
  </si>
  <si>
    <t xml:space="preserve">ML215357</t>
  </si>
  <si>
    <t xml:space="preserve">10:26</t>
  </si>
  <si>
    <t xml:space="preserve">macaulay/flac/215357.flac</t>
  </si>
  <si>
    <t xml:space="preserve">ML413656301</t>
  </si>
  <si>
    <t xml:space="preserve">S100932976</t>
  </si>
  <si>
    <t xml:space="preserve">Derek Heins</t>
  </si>
  <si>
    <t xml:space="preserve">08:15</t>
  </si>
  <si>
    <t xml:space="preserve">macaulay/flac/413656301.flac</t>
  </si>
  <si>
    <t xml:space="preserve">ML553731161</t>
  </si>
  <si>
    <t xml:space="preserve">S120520804</t>
  </si>
  <si>
    <t xml:space="preserve">Josep del Hoyo</t>
  </si>
  <si>
    <t xml:space="preserve">macaulay/flac/553731161.flac</t>
  </si>
  <si>
    <t xml:space="preserve">ML614485257</t>
  </si>
  <si>
    <t xml:space="preserve">S160783343</t>
  </si>
  <si>
    <t xml:space="preserve">Leonel Palma González</t>
  </si>
  <si>
    <t xml:space="preserve">06:12</t>
  </si>
  <si>
    <t xml:space="preserve">macaulay/flac/614485257.flac</t>
  </si>
  <si>
    <t xml:space="preserve">ML621760300</t>
  </si>
  <si>
    <t xml:space="preserve">S154453241</t>
  </si>
  <si>
    <t xml:space="preserve">Guilherme Melo</t>
  </si>
  <si>
    <t xml:space="preserve">05:41</t>
  </si>
  <si>
    <t xml:space="preserve">macaulay/flac/621760300.flac</t>
  </si>
  <si>
    <t xml:space="preserve">ML434305051</t>
  </si>
  <si>
    <t xml:space="preserve">S105992612</t>
  </si>
  <si>
    <t xml:space="preserve">Stephen Mirick</t>
  </si>
  <si>
    <t xml:space="preserve">18:58</t>
  </si>
  <si>
    <t xml:space="preserve">macaulay/flac/434305051.flac</t>
  </si>
  <si>
    <t xml:space="preserve">ML651247967</t>
  </si>
  <si>
    <t xml:space="preserve">S302094593</t>
  </si>
  <si>
    <t xml:space="preserve">Ben Douglas</t>
  </si>
  <si>
    <t xml:space="preserve">19:35</t>
  </si>
  <si>
    <t xml:space="preserve">macaulay/flac/651247967.flac</t>
  </si>
  <si>
    <t xml:space="preserve">ML179452891</t>
  </si>
  <si>
    <t xml:space="preserve">macaulay/flac/179452891.flac</t>
  </si>
  <si>
    <t xml:space="preserve">ML185566</t>
  </si>
  <si>
    <t xml:space="preserve">David L. Ross, Jr.|1996-05-24</t>
  </si>
  <si>
    <t xml:space="preserve">07:55</t>
  </si>
  <si>
    <t xml:space="preserve">macaulay/flac/185566.flac</t>
  </si>
  <si>
    <t xml:space="preserve">ML285628</t>
  </si>
  <si>
    <t xml:space="preserve">Peter Boesman|1991-12-25</t>
  </si>
  <si>
    <t xml:space="preserve">08:00</t>
  </si>
  <si>
    <t xml:space="preserve">macaulay/flac/285628.flac</t>
  </si>
  <si>
    <t xml:space="preserve">ML299638</t>
  </si>
  <si>
    <t xml:space="preserve">08:45</t>
  </si>
  <si>
    <t xml:space="preserve">macaulay/flac/299638.flac</t>
  </si>
  <si>
    <t xml:space="preserve">ML299639</t>
  </si>
  <si>
    <t xml:space="preserve">08:50</t>
  </si>
  <si>
    <t xml:space="preserve">macaulay/flac/299639.flac</t>
  </si>
  <si>
    <t xml:space="preserve">ML32600991</t>
  </si>
  <si>
    <t xml:space="preserve">S30284138</t>
  </si>
  <si>
    <t xml:space="preserve">Dave Slager</t>
  </si>
  <si>
    <t xml:space="preserve">07:45</t>
  </si>
  <si>
    <t xml:space="preserve">macaulay/flac/32600991.flac</t>
  </si>
  <si>
    <t xml:space="preserve">ML516200181</t>
  </si>
  <si>
    <t xml:space="preserve">S123569426</t>
  </si>
  <si>
    <t xml:space="preserve">Chace Scholten</t>
  </si>
  <si>
    <t xml:space="preserve">macaulay/flac/516200181.flac</t>
  </si>
  <si>
    <t xml:space="preserve">ML543646231</t>
  </si>
  <si>
    <t xml:space="preserve">S130526421</t>
  </si>
  <si>
    <t xml:space="preserve">Cheryl Rosenfeld</t>
  </si>
  <si>
    <t xml:space="preserve">06:13</t>
  </si>
  <si>
    <t xml:space="preserve">macaulay/flac/543646231.flac</t>
  </si>
  <si>
    <t xml:space="preserve">ML57487</t>
  </si>
  <si>
    <t xml:space="preserve">09:30</t>
  </si>
  <si>
    <t xml:space="preserve">macaulay/flac/57487.flac</t>
  </si>
  <si>
    <t xml:space="preserve">ML612315883</t>
  </si>
  <si>
    <t xml:space="preserve">S156496251</t>
  </si>
  <si>
    <t xml:space="preserve">05:44</t>
  </si>
  <si>
    <t xml:space="preserve">macaulay/flac/612315883.flac</t>
  </si>
  <si>
    <t xml:space="preserve">ML612714058</t>
  </si>
  <si>
    <t xml:space="preserve">S125977598</t>
  </si>
  <si>
    <t xml:space="preserve">Patrick Shure</t>
  </si>
  <si>
    <t xml:space="preserve">06:40</t>
  </si>
  <si>
    <t xml:space="preserve">macaulay/flac/612714058.flac</t>
  </si>
  <si>
    <t xml:space="preserve">ML613430295</t>
  </si>
  <si>
    <t xml:space="preserve">S158674250</t>
  </si>
  <si>
    <t xml:space="preserve">05:53</t>
  </si>
  <si>
    <t xml:space="preserve">macaulay/flac/613430295.flac</t>
  </si>
  <si>
    <t xml:space="preserve">ML614213831</t>
  </si>
  <si>
    <t xml:space="preserve">S108414042</t>
  </si>
  <si>
    <t xml:space="preserve">Jasen Liu</t>
  </si>
  <si>
    <t xml:space="preserve">14:36</t>
  </si>
  <si>
    <t xml:space="preserve">macaulay/flac/614213831.flac</t>
  </si>
  <si>
    <t xml:space="preserve">ML616167709</t>
  </si>
  <si>
    <t xml:space="preserve">S165204507</t>
  </si>
  <si>
    <t xml:space="preserve">Natalie Carusillo</t>
  </si>
  <si>
    <t xml:space="preserve">07:24</t>
  </si>
  <si>
    <t xml:space="preserve">macaulay/flac/616167709.flac</t>
  </si>
  <si>
    <t xml:space="preserve">ML616773253</t>
  </si>
  <si>
    <t xml:space="preserve">S163140888</t>
  </si>
  <si>
    <t xml:space="preserve">Adam Betuel</t>
  </si>
  <si>
    <t xml:space="preserve">15:17</t>
  </si>
  <si>
    <t xml:space="preserve">macaulay/flac/616773253.flac</t>
  </si>
  <si>
    <t xml:space="preserve">ML621760288</t>
  </si>
  <si>
    <t xml:space="preserve">macaulay/flac/621760288.flac</t>
  </si>
  <si>
    <t xml:space="preserve">ML647328035</t>
  </si>
  <si>
    <t xml:space="preserve">S289444427</t>
  </si>
  <si>
    <t xml:space="preserve">macaulay/flac/647328035.flac</t>
  </si>
  <si>
    <t xml:space="preserve">ML647391454</t>
  </si>
  <si>
    <t xml:space="preserve">macaulay/flac/647391454.flac</t>
  </si>
  <si>
    <t xml:space="preserve">ML652627237</t>
  </si>
  <si>
    <t xml:space="preserve">macaulay/flac/652627237.flac</t>
  </si>
  <si>
    <t xml:space="preserve">ML654137636</t>
  </si>
  <si>
    <t xml:space="preserve">S311083522</t>
  </si>
  <si>
    <t xml:space="preserve">Kellen Apuna</t>
  </si>
  <si>
    <t xml:space="preserve">06:58</t>
  </si>
  <si>
    <t xml:space="preserve">macaulay/flac/654137636.flac</t>
  </si>
  <si>
    <t xml:space="preserve">ML654444547</t>
  </si>
  <si>
    <t xml:space="preserve">S310828559</t>
  </si>
  <si>
    <t xml:space="preserve">Jason Vassallo</t>
  </si>
  <si>
    <t xml:space="preserve">macaulay/flac/654444547.flac</t>
  </si>
  <si>
    <t xml:space="preserve">ML661386375</t>
  </si>
  <si>
    <t xml:space="preserve">S372458653</t>
  </si>
  <si>
    <t xml:space="preserve">Neil Gilbert</t>
  </si>
  <si>
    <t xml:space="preserve">08:08</t>
  </si>
  <si>
    <t xml:space="preserve">macaulay/flac/661386375.flac</t>
  </si>
  <si>
    <t xml:space="preserve">ML155117131</t>
  </si>
  <si>
    <t xml:space="preserve">S55549572</t>
  </si>
  <si>
    <t xml:space="preserve">05:25</t>
  </si>
  <si>
    <t xml:space="preserve">macaulay/flac/155117131.flac</t>
  </si>
  <si>
    <t xml:space="preserve">ML471206811</t>
  </si>
  <si>
    <t xml:space="preserve">S49480496</t>
  </si>
  <si>
    <t xml:space="preserve">05:03</t>
  </si>
  <si>
    <t xml:space="preserve">macaulay/flac/471206811.flac</t>
  </si>
  <si>
    <t xml:space="preserve">ML609061865</t>
  </si>
  <si>
    <t xml:space="preserve">S150731424</t>
  </si>
  <si>
    <t xml:space="preserve">macaulay/flac/609061865.flac</t>
  </si>
  <si>
    <t xml:space="preserve">ML642978186</t>
  </si>
  <si>
    <t xml:space="preserve">S187153411</t>
  </si>
  <si>
    <t xml:space="preserve">Fernando T Rico</t>
  </si>
  <si>
    <t xml:space="preserve">06:30</t>
  </si>
  <si>
    <t xml:space="preserve">macaulay/flac/642978186.flac</t>
  </si>
  <si>
    <t xml:space="preserve">ML647328157</t>
  </si>
  <si>
    <t xml:space="preserve">Gartered Violaceous Trogon; Great Kiskadee</t>
  </si>
  <si>
    <t xml:space="preserve">S289565272</t>
  </si>
  <si>
    <t xml:space="preserve">macaulay/flac/647328157.flac</t>
  </si>
  <si>
    <t xml:space="preserve">ML647328621</t>
  </si>
  <si>
    <t xml:space="preserve">macaulay/flac/647328621.flac</t>
  </si>
  <si>
    <t xml:space="preserve">ML647328632</t>
  </si>
  <si>
    <t xml:space="preserve">Red-lored Amazon; Rufous Mourner</t>
  </si>
  <si>
    <t xml:space="preserve">macaulay/flac/647328632.flac</t>
  </si>
  <si>
    <t xml:space="preserve">ML654112574</t>
  </si>
  <si>
    <t xml:space="preserve">S316383780</t>
  </si>
  <si>
    <t xml:space="preserve">Kevin Hayes</t>
  </si>
  <si>
    <t xml:space="preserve">06:42</t>
  </si>
  <si>
    <t xml:space="preserve">macaulay/flac/654112574.flac</t>
  </si>
  <si>
    <t xml:space="preserve">ML654319633</t>
  </si>
  <si>
    <t xml:space="preserve">S317493374</t>
  </si>
  <si>
    <t xml:space="preserve">14:00</t>
  </si>
  <si>
    <t xml:space="preserve">macaulay/flac/654319633.flac</t>
  </si>
  <si>
    <t xml:space="preserve">ML145172011</t>
  </si>
  <si>
    <t xml:space="preserve">S53512522</t>
  </si>
  <si>
    <t xml:space="preserve">macaulay/flac/145172011.flac</t>
  </si>
  <si>
    <t xml:space="preserve">ML609059021</t>
  </si>
  <si>
    <t xml:space="preserve">S150731420</t>
  </si>
  <si>
    <t xml:space="preserve">macaulay/flac/609059021.flac</t>
  </si>
  <si>
    <t xml:space="preserve">ML661734240</t>
  </si>
  <si>
    <t xml:space="preserve">S372105025</t>
  </si>
  <si>
    <t xml:space="preserve">Nate *Neil's Daddy* Shipley</t>
  </si>
  <si>
    <t xml:space="preserve">macaulay/flac/661734240.flac</t>
  </si>
  <si>
    <t xml:space="preserve">ML127811181</t>
  </si>
  <si>
    <t xml:space="preserve">S50567848</t>
  </si>
  <si>
    <t xml:space="preserve">Scott Connop</t>
  </si>
  <si>
    <t xml:space="preserve">macaulay/flac/127811181.flac</t>
  </si>
  <si>
    <t xml:space="preserve">ML299565</t>
  </si>
  <si>
    <t xml:space="preserve">10:30</t>
  </si>
  <si>
    <t xml:space="preserve">macaulay/flac/299565.flac</t>
  </si>
  <si>
    <t xml:space="preserve">ML338510071</t>
  </si>
  <si>
    <t xml:space="preserve">S86850768</t>
  </si>
  <si>
    <t xml:space="preserve">Gary Rosenberg</t>
  </si>
  <si>
    <t xml:space="preserve">macaulay/flac/338510071.flac</t>
  </si>
  <si>
    <t xml:space="preserve">ML358076201</t>
  </si>
  <si>
    <t xml:space="preserve">S92437695</t>
  </si>
  <si>
    <t xml:space="preserve">macaulay/flac/358076201.flac</t>
  </si>
  <si>
    <t xml:space="preserve">ML531097431</t>
  </si>
  <si>
    <t xml:space="preserve">S102770295</t>
  </si>
  <si>
    <t xml:space="preserve">13:06</t>
  </si>
  <si>
    <t xml:space="preserve">macaulay/flac/531097431.flac</t>
  </si>
  <si>
    <t xml:space="preserve">ML531101531</t>
  </si>
  <si>
    <t xml:space="preserve">S102793660</t>
  </si>
  <si>
    <t xml:space="preserve">05:50</t>
  </si>
  <si>
    <t xml:space="preserve">macaulay/flac/531101531.flac</t>
  </si>
  <si>
    <t xml:space="preserve">ML531224861</t>
  </si>
  <si>
    <t xml:space="preserve">S102900059</t>
  </si>
  <si>
    <t xml:space="preserve">06:14</t>
  </si>
  <si>
    <t xml:space="preserve">macaulay/flac/531224861.flac</t>
  </si>
  <si>
    <t xml:space="preserve">ML531229271</t>
  </si>
  <si>
    <t xml:space="preserve">S103092740</t>
  </si>
  <si>
    <t xml:space="preserve">macaulay/flac/531229271.flac</t>
  </si>
  <si>
    <t xml:space="preserve">ML543399061</t>
  </si>
  <si>
    <t xml:space="preserve">S126309329</t>
  </si>
  <si>
    <t xml:space="preserve">macaulay/flac/543399061.flac</t>
  </si>
  <si>
    <t xml:space="preserve">ML558898631</t>
  </si>
  <si>
    <t xml:space="preserve">S132544013</t>
  </si>
  <si>
    <t xml:space="preserve">08:29</t>
  </si>
  <si>
    <t xml:space="preserve">macaulay/flac/558898631.flac</t>
  </si>
  <si>
    <t xml:space="preserve">ML597940511</t>
  </si>
  <si>
    <t xml:space="preserve">macaulay/flac/597940511.flac</t>
  </si>
  <si>
    <t xml:space="preserve">ML609059104</t>
  </si>
  <si>
    <t xml:space="preserve">S150731422</t>
  </si>
  <si>
    <t xml:space="preserve">macaulay/flac/609059104.flac</t>
  </si>
  <si>
    <t xml:space="preserve">ML610544189</t>
  </si>
  <si>
    <t xml:space="preserve">S153010134</t>
  </si>
  <si>
    <t xml:space="preserve">05:23</t>
  </si>
  <si>
    <t xml:space="preserve">macaulay/flac/610544189.flac</t>
  </si>
  <si>
    <t xml:space="preserve">ML610751567</t>
  </si>
  <si>
    <t xml:space="preserve">S153757842</t>
  </si>
  <si>
    <t xml:space="preserve">Doug Woodby</t>
  </si>
  <si>
    <t xml:space="preserve">13:16</t>
  </si>
  <si>
    <t xml:space="preserve">macaulay/flac/610751567.flac</t>
  </si>
  <si>
    <t xml:space="preserve">ML612713744</t>
  </si>
  <si>
    <t xml:space="preserve">macaulay/flac/612713744.flac</t>
  </si>
  <si>
    <t xml:space="preserve">ML613375461</t>
  </si>
  <si>
    <t xml:space="preserve">macaulay/flac/613375461.flac</t>
  </si>
  <si>
    <t xml:space="preserve">ML614213795</t>
  </si>
  <si>
    <t xml:space="preserve">S108414149</t>
  </si>
  <si>
    <t xml:space="preserve">macaulay/flac/614213795.flac</t>
  </si>
  <si>
    <t xml:space="preserve">ML617954178</t>
  </si>
  <si>
    <t xml:space="preserve">S149562671</t>
  </si>
  <si>
    <t xml:space="preserve">Kathryn Dick</t>
  </si>
  <si>
    <t xml:space="preserve">13:00</t>
  </si>
  <si>
    <t xml:space="preserve">macaulay/flac/617954178.flac</t>
  </si>
  <si>
    <t xml:space="preserve">ML620508859</t>
  </si>
  <si>
    <t xml:space="preserve">S128870338</t>
  </si>
  <si>
    <t xml:space="preserve">Krzysztof Ostrowski</t>
  </si>
  <si>
    <t xml:space="preserve">06:15</t>
  </si>
  <si>
    <t xml:space="preserve">macaulay/flac/620508859.flac</t>
  </si>
  <si>
    <t xml:space="preserve">ML621760019</t>
  </si>
  <si>
    <t xml:space="preserve">S154453242</t>
  </si>
  <si>
    <t xml:space="preserve">macaulay/flac/621760019.flac</t>
  </si>
  <si>
    <t xml:space="preserve">ML621760285</t>
  </si>
  <si>
    <t xml:space="preserve">macaulay/flac/621760285.flac</t>
  </si>
  <si>
    <t xml:space="preserve">ML626342334</t>
  </si>
  <si>
    <t xml:space="preserve">S202417008</t>
  </si>
  <si>
    <t xml:space="preserve">Johan Chaves</t>
  </si>
  <si>
    <t xml:space="preserve">07:18</t>
  </si>
  <si>
    <t xml:space="preserve">macaulay/flac/626342334.flac</t>
  </si>
  <si>
    <t xml:space="preserve">ML632692558</t>
  </si>
  <si>
    <t xml:space="preserve">S215725485</t>
  </si>
  <si>
    <t xml:space="preserve">Mészáros József</t>
  </si>
  <si>
    <t xml:space="preserve">05:26</t>
  </si>
  <si>
    <t xml:space="preserve">macaulay/flac/632692558.flac</t>
  </si>
  <si>
    <t xml:space="preserve">ML639219135</t>
  </si>
  <si>
    <t xml:space="preserve">S158812831</t>
  </si>
  <si>
    <t xml:space="preserve">Andrew DeMarco</t>
  </si>
  <si>
    <t xml:space="preserve">06:20</t>
  </si>
  <si>
    <t xml:space="preserve">macaulay/flac/639219135.flac</t>
  </si>
  <si>
    <t xml:space="preserve">ML642419960</t>
  </si>
  <si>
    <t xml:space="preserve">S275334633</t>
  </si>
  <si>
    <t xml:space="preserve">Nagahisa MIta</t>
  </si>
  <si>
    <t xml:space="preserve">macaulay/flac/642419960.flac</t>
  </si>
  <si>
    <t xml:space="preserve">ML643860476</t>
  </si>
  <si>
    <t xml:space="preserve">S277669676</t>
  </si>
  <si>
    <t xml:space="preserve">Shane Sumasgutner</t>
  </si>
  <si>
    <t xml:space="preserve">macaulay/flac/643860476.flac</t>
  </si>
  <si>
    <t xml:space="preserve">ML645778972</t>
  </si>
  <si>
    <t xml:space="preserve">S285921360</t>
  </si>
  <si>
    <t xml:space="preserve">Noel Ureña</t>
  </si>
  <si>
    <t xml:space="preserve">macaulay/flac/645778972.flac</t>
  </si>
  <si>
    <t xml:space="preserve">ML647329066</t>
  </si>
  <si>
    <t xml:space="preserve">macaulay/flac/647329066.flac</t>
  </si>
  <si>
    <t xml:space="preserve">ML648704598</t>
  </si>
  <si>
    <t xml:space="preserve">S278197788</t>
  </si>
  <si>
    <t xml:space="preserve">Charles Hundertmark</t>
  </si>
  <si>
    <t xml:space="preserve">09:16</t>
  </si>
  <si>
    <t xml:space="preserve">macaulay/flac/648704598.flac</t>
  </si>
  <si>
    <t xml:space="preserve">ML648782504</t>
  </si>
  <si>
    <t xml:space="preserve">S278376296</t>
  </si>
  <si>
    <t xml:space="preserve">09:21</t>
  </si>
  <si>
    <t xml:space="preserve">macaulay/flac/648782504.flac</t>
  </si>
  <si>
    <t xml:space="preserve">ML648782505</t>
  </si>
  <si>
    <t xml:space="preserve">macaulay/flac/648782505.flac</t>
  </si>
  <si>
    <t xml:space="preserve">ML649980462</t>
  </si>
  <si>
    <t xml:space="preserve">S225232525</t>
  </si>
  <si>
    <t xml:space="preserve">Jack Yanko</t>
  </si>
  <si>
    <t xml:space="preserve">macaulay/flac/649980462.flac</t>
  </si>
  <si>
    <t xml:space="preserve">ML654361614</t>
  </si>
  <si>
    <t xml:space="preserve">S313033363</t>
  </si>
  <si>
    <t xml:space="preserve">Chris Leys</t>
  </si>
  <si>
    <t xml:space="preserve">macaulay/flac/654361614.flac</t>
  </si>
  <si>
    <t xml:space="preserve">ML72631</t>
  </si>
  <si>
    <t xml:space="preserve">David L. Ross, Jr.|1995-03-01</t>
  </si>
  <si>
    <t xml:space="preserve">macaulay/flac/72631.flac</t>
  </si>
  <si>
    <t xml:space="preserve">ML76624</t>
  </si>
  <si>
    <t xml:space="preserve">07:39</t>
  </si>
  <si>
    <t xml:space="preserve">macaulay/flac/76624.flac</t>
  </si>
  <si>
    <t xml:space="preserve">ML102483581</t>
  </si>
  <si>
    <t xml:space="preserve">S46041413</t>
  </si>
  <si>
    <t xml:space="preserve">macaulay/flac/102483581.flac</t>
  </si>
  <si>
    <t xml:space="preserve">ML124418521</t>
  </si>
  <si>
    <t xml:space="preserve">S47757459</t>
  </si>
  <si>
    <t xml:space="preserve">10:00</t>
  </si>
  <si>
    <t xml:space="preserve">macaulay/flac/124418521.flac</t>
  </si>
  <si>
    <t xml:space="preserve">ML185736</t>
  </si>
  <si>
    <t xml:space="preserve">Kristof Zyskowski|2001-03-18</t>
  </si>
  <si>
    <t xml:space="preserve">08:30</t>
  </si>
  <si>
    <t xml:space="preserve">macaulay/flac/185736.flac</t>
  </si>
  <si>
    <t xml:space="preserve">ML285626</t>
  </si>
  <si>
    <t xml:space="preserve">macaulay/flac/285626.flac</t>
  </si>
  <si>
    <t xml:space="preserve">ML285752</t>
  </si>
  <si>
    <t xml:space="preserve">Peter Boesman|1992-12-25</t>
  </si>
  <si>
    <t xml:space="preserve">macaulay/flac/285752.flac</t>
  </si>
  <si>
    <t xml:space="preserve">ML336536431</t>
  </si>
  <si>
    <t xml:space="preserve">S87745203</t>
  </si>
  <si>
    <t xml:space="preserve">macaulay/flac/336536431.flac</t>
  </si>
  <si>
    <t xml:space="preserve">ML51724</t>
  </si>
  <si>
    <t xml:space="preserve">Paul Coopmans|1989-11-09</t>
  </si>
  <si>
    <t xml:space="preserve">06:25</t>
  </si>
  <si>
    <t xml:space="preserve">macaulay/flac/51724.flac</t>
  </si>
  <si>
    <t xml:space="preserve">ML57373</t>
  </si>
  <si>
    <t xml:space="preserve">David L. Ross, Jr.|1989-02-20</t>
  </si>
  <si>
    <t xml:space="preserve">17:30</t>
  </si>
  <si>
    <t xml:space="preserve">macaulay/flac/57373.flac</t>
  </si>
  <si>
    <t xml:space="preserve">ML57374</t>
  </si>
  <si>
    <t xml:space="preserve">macaulay/flac/57374.flac</t>
  </si>
  <si>
    <t xml:space="preserve">ML57481</t>
  </si>
  <si>
    <t xml:space="preserve">David L. Ross, Jr.|1991-02-22</t>
  </si>
  <si>
    <t xml:space="preserve">macaulay/flac/57481.flac</t>
  </si>
  <si>
    <t xml:space="preserve">ML618153152</t>
  </si>
  <si>
    <t xml:space="preserve">S149563700</t>
  </si>
  <si>
    <t xml:space="preserve">13:10</t>
  </si>
  <si>
    <t xml:space="preserve">macaulay/flac/618153152.flac</t>
  </si>
  <si>
    <t xml:space="preserve">ML642419965</t>
  </si>
  <si>
    <t xml:space="preserve">macaulay/flac/642419965.flac</t>
  </si>
  <si>
    <t xml:space="preserve">ML7067</t>
  </si>
  <si>
    <t xml:space="preserve">L. Irby Davis|1958-03-29</t>
  </si>
  <si>
    <t xml:space="preserve">macaulay/flac/7067.flac</t>
  </si>
  <si>
    <t xml:space="preserve">ML72600</t>
  </si>
  <si>
    <t xml:space="preserve">David L. Ross, Jr.|1991-02-25</t>
  </si>
  <si>
    <t xml:space="preserve">macaulay/flac/72600.flac</t>
  </si>
  <si>
    <t xml:space="preserve">ML72602</t>
  </si>
  <si>
    <t xml:space="preserve">David L. Ross, Jr.|1991-02-26</t>
  </si>
  <si>
    <t xml:space="preserve">macaulay/flac/72602.flac</t>
  </si>
  <si>
    <t xml:space="preserve">ML99563831</t>
  </si>
  <si>
    <t xml:space="preserve">S45494096</t>
  </si>
  <si>
    <t xml:space="preserve">07:21</t>
  </si>
  <si>
    <t xml:space="preserve">macaulay/flac/99563831.flac</t>
  </si>
  <si>
    <t xml:space="preserve">ML128131021</t>
  </si>
  <si>
    <t xml:space="preserve">S41808811</t>
  </si>
  <si>
    <t xml:space="preserve">07:15</t>
  </si>
  <si>
    <t xml:space="preserve">macaulay/flac/128131021.flac</t>
  </si>
  <si>
    <t xml:space="preserve">ML143860561</t>
  </si>
  <si>
    <t xml:space="preserve">S52496553</t>
  </si>
  <si>
    <t xml:space="preserve">macaulay/flac/143860561.flac</t>
  </si>
  <si>
    <t xml:space="preserve">ML209481</t>
  </si>
  <si>
    <t xml:space="preserve">06:01</t>
  </si>
  <si>
    <t xml:space="preserve">macaulay/flac/209481.flac</t>
  </si>
  <si>
    <t xml:space="preserve">ML28121</t>
  </si>
  <si>
    <t xml:space="preserve">Arnoud B. van den Berg|1981-05-27</t>
  </si>
  <si>
    <t xml:space="preserve">15:40</t>
  </si>
  <si>
    <t xml:space="preserve">macaulay/flac/28121.flac</t>
  </si>
  <si>
    <t xml:space="preserve">ML39226</t>
  </si>
  <si>
    <t xml:space="preserve">Ted Parker|1983-03-29</t>
  </si>
  <si>
    <t xml:space="preserve">Ted Parker</t>
  </si>
  <si>
    <t xml:space="preserve">macaulay/flac/39226.flac</t>
  </si>
  <si>
    <t xml:space="preserve">ML458626181</t>
  </si>
  <si>
    <t xml:space="preserve">S110718859</t>
  </si>
  <si>
    <t xml:space="preserve">Ashley Strong</t>
  </si>
  <si>
    <t xml:space="preserve">21:33</t>
  </si>
  <si>
    <t xml:space="preserve">macaulay/flac/458626181.flac</t>
  </si>
  <si>
    <t xml:space="preserve">ML51738</t>
  </si>
  <si>
    <t xml:space="preserve">Scarlet-rumped Tanager (Passerini's)</t>
  </si>
  <si>
    <t xml:space="preserve">Paul Coopmans|1990-03-10</t>
  </si>
  <si>
    <t xml:space="preserve">09:35</t>
  </si>
  <si>
    <t xml:space="preserve">macaulay/flac/51738.flac</t>
  </si>
  <si>
    <t xml:space="preserve">ML609056535</t>
  </si>
  <si>
    <t xml:space="preserve">S150731417</t>
  </si>
  <si>
    <t xml:space="preserve">macaulay/flac/609056535.flac</t>
  </si>
  <si>
    <t xml:space="preserve">ML609056536</t>
  </si>
  <si>
    <t xml:space="preserve">macaulay/flac/609056536.flac</t>
  </si>
  <si>
    <t xml:space="preserve">ML609056540</t>
  </si>
  <si>
    <t xml:space="preserve">macaulay/flac/609056540.flac</t>
  </si>
  <si>
    <t xml:space="preserve">ML631021606</t>
  </si>
  <si>
    <t xml:space="preserve">Clay-colored Thrush; Keel-billed Toucan</t>
  </si>
  <si>
    <t xml:space="preserve">S214328107</t>
  </si>
  <si>
    <t xml:space="preserve">16:52</t>
  </si>
  <si>
    <t xml:space="preserve">macaulay/flac/631021606.flac</t>
  </si>
  <si>
    <t xml:space="preserve">ML639175970</t>
  </si>
  <si>
    <t xml:space="preserve">macaulay/flac/639175970.flac</t>
  </si>
  <si>
    <t xml:space="preserve">ML642659129</t>
  </si>
  <si>
    <t xml:space="preserve">S214378771</t>
  </si>
  <si>
    <t xml:space="preserve">Anthony Arce</t>
  </si>
  <si>
    <t xml:space="preserve">07:44</t>
  </si>
  <si>
    <t xml:space="preserve">macaulay/flac/642659129.flac</t>
  </si>
  <si>
    <t xml:space="preserve">ML643527064</t>
  </si>
  <si>
    <t xml:space="preserve">macaulay/flac/643527064.flac</t>
  </si>
  <si>
    <t xml:space="preserve">ML644618385</t>
  </si>
  <si>
    <t xml:space="preserve">S216762646</t>
  </si>
  <si>
    <t xml:space="preserve">Etienne Pracht</t>
  </si>
  <si>
    <t xml:space="preserve">macaulay/flac/644618385.flac</t>
  </si>
  <si>
    <t xml:space="preserve">ML647329260</t>
  </si>
  <si>
    <t xml:space="preserve">Scarlet-rumped Cacique; Buff-throated Saltator; Graceful Black-throated Trogon</t>
  </si>
  <si>
    <t xml:space="preserve">S289565060</t>
  </si>
  <si>
    <t xml:space="preserve">08:51</t>
  </si>
  <si>
    <t xml:space="preserve">macaulay/flac/647329260.flac</t>
  </si>
  <si>
    <t xml:space="preserve">ML647329563</t>
  </si>
  <si>
    <t xml:space="preserve">Scarlet-rumped Tanager; Yellow-throated Toucan; Graceful Black-throated Trogon</t>
  </si>
  <si>
    <t xml:space="preserve">macaulay/flac/647329563.flac</t>
  </si>
  <si>
    <t xml:space="preserve">ML647329807</t>
  </si>
  <si>
    <t xml:space="preserve">Scarlet-rumped Tanager; Silver-throated Tanager</t>
  </si>
  <si>
    <t xml:space="preserve">macaulay/flac/647329807.flac</t>
  </si>
  <si>
    <t xml:space="preserve">ML651257816</t>
  </si>
  <si>
    <t xml:space="preserve">S220821893</t>
  </si>
  <si>
    <t xml:space="preserve">Christopher Lindsey</t>
  </si>
  <si>
    <t xml:space="preserve">05:52</t>
  </si>
  <si>
    <t xml:space="preserve">macaulay/flac/651257816.flac</t>
  </si>
  <si>
    <t xml:space="preserve">ML654239955</t>
  </si>
  <si>
    <t xml:space="preserve">macaulay/flac/654239955.flac</t>
  </si>
  <si>
    <t xml:space="preserve">ML654321143</t>
  </si>
  <si>
    <t xml:space="preserve">macaulay/flac/654321143.flac</t>
  </si>
  <si>
    <t xml:space="preserve">ML654659009</t>
  </si>
  <si>
    <t xml:space="preserve">S319627484</t>
  </si>
  <si>
    <t xml:space="preserve">11:53</t>
  </si>
  <si>
    <t xml:space="preserve">macaulay/flac/654659009.flac</t>
  </si>
  <si>
    <t xml:space="preserve">ML72651</t>
  </si>
  <si>
    <t xml:space="preserve">macaulay/flac/72651.flac</t>
  </si>
  <si>
    <t xml:space="preserve">XC332446</t>
  </si>
  <si>
    <t xml:space="preserve">A</t>
  </si>
  <si>
    <t xml:space="preserve">xc|2016-07-30|Reserva Curi-Cancha, Monteverde</t>
  </si>
  <si>
    <t xml:space="preserve">11:00</t>
  </si>
  <si>
    <t xml:space="preserve">data-prep/xc_flac/Catharus_mexicanus/XC332446.flac</t>
  </si>
  <si>
    <t xml:space="preserve">song; Reserva Curi-Cancha, Monteverde, 1500 m</t>
  </si>
  <si>
    <t xml:space="preserve">XC332447</t>
  </si>
  <si>
    <t xml:space="preserve">data-prep/xc_flac/Catharus_mexicanus/XC332447.flac</t>
  </si>
  <si>
    <t xml:space="preserve">ML102589951</t>
  </si>
  <si>
    <t xml:space="preserve">S46042457</t>
  </si>
  <si>
    <t xml:space="preserve">macaulay/flac/102589951.flac</t>
  </si>
  <si>
    <t xml:space="preserve">ML102590171</t>
  </si>
  <si>
    <t xml:space="preserve">macaulay/flac/102590171.flac</t>
  </si>
  <si>
    <t xml:space="preserve">ML151643741</t>
  </si>
  <si>
    <t xml:space="preserve">S54979311</t>
  </si>
  <si>
    <t xml:space="preserve">macaulay/flac/151643741.flac</t>
  </si>
  <si>
    <t xml:space="preserve">ML57492</t>
  </si>
  <si>
    <t xml:space="preserve">macaulay/flac/57492.flac</t>
  </si>
  <si>
    <t xml:space="preserve">ML639164743</t>
  </si>
  <si>
    <t xml:space="preserve">S257248524</t>
  </si>
  <si>
    <t xml:space="preserve">macaulay/flac/639164743.flac</t>
  </si>
  <si>
    <t xml:space="preserve">ML72641</t>
  </si>
  <si>
    <t xml:space="preserve">macaulay/flac/72641.flac</t>
  </si>
  <si>
    <t xml:space="preserve">ML127826561</t>
  </si>
  <si>
    <t xml:space="preserve">S42555846</t>
  </si>
  <si>
    <t xml:space="preserve">macaulay/flac/127826561.flac</t>
  </si>
  <si>
    <t xml:space="preserve">ML184766</t>
  </si>
  <si>
    <t xml:space="preserve">David L. Ross, Jr.|1996-05-21</t>
  </si>
  <si>
    <t xml:space="preserve">15:37</t>
  </si>
  <si>
    <t xml:space="preserve">macaulay/flac/184766.flac</t>
  </si>
  <si>
    <t xml:space="preserve">ML49770121</t>
  </si>
  <si>
    <t xml:space="preserve">S34601569</t>
  </si>
  <si>
    <t xml:space="preserve">Audrey Whitlock</t>
  </si>
  <si>
    <t xml:space="preserve">06:19</t>
  </si>
  <si>
    <t xml:space="preserve">macaulay/flac/49770121.flac</t>
  </si>
  <si>
    <t xml:space="preserve">ML549039681</t>
  </si>
  <si>
    <t xml:space="preserve">S130406594</t>
  </si>
  <si>
    <t xml:space="preserve">Robin Duska</t>
  </si>
  <si>
    <t xml:space="preserve">13:18</t>
  </si>
  <si>
    <t xml:space="preserve">macaulay/flac/549039681.flac</t>
  </si>
  <si>
    <t xml:space="preserve">ML145618791</t>
  </si>
  <si>
    <t xml:space="preserve">macaulay/flac/145618791.flac</t>
  </si>
  <si>
    <t xml:space="preserve">ML148846911</t>
  </si>
  <si>
    <t xml:space="preserve">S54444813</t>
  </si>
  <si>
    <t xml:space="preserve">macaulay/flac/148846911.flac</t>
  </si>
  <si>
    <t xml:space="preserve">ML151641981</t>
  </si>
  <si>
    <t xml:space="preserve">macaulay/flac/151641981.flac</t>
  </si>
  <si>
    <t xml:space="preserve">ML152036171</t>
  </si>
  <si>
    <t xml:space="preserve">S55119913</t>
  </si>
  <si>
    <t xml:space="preserve">macaulay/flac/152036171.flac</t>
  </si>
  <si>
    <t xml:space="preserve">ML654113494</t>
  </si>
  <si>
    <t xml:space="preserve">macaulay/flac/654113494.flac</t>
  </si>
  <si>
    <t xml:space="preserve">ML72643</t>
  </si>
  <si>
    <t xml:space="preserve">macaulay/flac/72643.flac</t>
  </si>
  <si>
    <t xml:space="preserve">ML76630</t>
  </si>
  <si>
    <t xml:space="preserve">Curtis Marantz|1991-04-03</t>
  </si>
  <si>
    <t xml:space="preserve">macaulay/flac/76630.flac</t>
  </si>
  <si>
    <t xml:space="preserve">ML76631</t>
  </si>
  <si>
    <t xml:space="preserve">macaulay/flac/76631.flac</t>
  </si>
  <si>
    <t xml:space="preserve">XC331434</t>
  </si>
  <si>
    <t xml:space="preserve">16:30</t>
  </si>
  <si>
    <t xml:space="preserve">data-prep/xc_flac/Arremonops_conirostris/XC331434.flac</t>
  </si>
  <si>
    <t xml:space="preserve">XC331470</t>
  </si>
  <si>
    <t xml:space="preserve">C</t>
  </si>
  <si>
    <t xml:space="preserve">data-prep/xc_flac/Arremonops_conirostris/XC331470.flac</t>
  </si>
  <si>
    <t xml:space="preserve">call; Arenal Observatory Lodge, Fortuna, Costa Rica, 750 m</t>
  </si>
  <si>
    <t xml:space="preserve">ML130853551</t>
  </si>
  <si>
    <t xml:space="preserve">S50922943</t>
  </si>
  <si>
    <t xml:space="preserve">macaulay/flac/130853551.flac</t>
  </si>
  <si>
    <t xml:space="preserve">ML144448311</t>
  </si>
  <si>
    <t xml:space="preserve">macaulay/flac/144448311.flac</t>
  </si>
  <si>
    <t xml:space="preserve">ML209705</t>
  </si>
  <si>
    <t xml:space="preserve">David L. Ross, Jr.|1993-06-08</t>
  </si>
  <si>
    <t xml:space="preserve">macaulay/flac/209705.flac</t>
  </si>
  <si>
    <t xml:space="preserve">ML215421</t>
  </si>
  <si>
    <t xml:space="preserve">David L. Ross, Jr.|1989-02-19</t>
  </si>
  <si>
    <t xml:space="preserve">macaulay/flac/215421.flac</t>
  </si>
  <si>
    <t xml:space="preserve">ML28150</t>
  </si>
  <si>
    <t xml:space="preserve">Arnoud B. van den Berg|1981-05-26</t>
  </si>
  <si>
    <t xml:space="preserve">16:50</t>
  </si>
  <si>
    <t xml:space="preserve">macaulay/flac/28150.flac</t>
  </si>
  <si>
    <t xml:space="preserve">ML299602</t>
  </si>
  <si>
    <t xml:space="preserve">17:15</t>
  </si>
  <si>
    <t xml:space="preserve">macaulay/flac/299602.flac</t>
  </si>
  <si>
    <t xml:space="preserve">ML299611</t>
  </si>
  <si>
    <t xml:space="preserve">macaulay/flac/299611.flac</t>
  </si>
  <si>
    <t xml:space="preserve">ML97867091</t>
  </si>
  <si>
    <t xml:space="preserve">S45170989</t>
  </si>
  <si>
    <t xml:space="preserve">05:38</t>
  </si>
  <si>
    <t xml:space="preserve">macaulay/flac/97867091.flac</t>
  </si>
  <si>
    <t xml:space="preserve">ML108212331</t>
  </si>
  <si>
    <t xml:space="preserve">S46643047</t>
  </si>
  <si>
    <t xml:space="preserve">Mary Beth Stowe</t>
  </si>
  <si>
    <t xml:space="preserve">macaulay/flac/108212331.flac</t>
  </si>
  <si>
    <t xml:space="preserve">ML143855361</t>
  </si>
  <si>
    <t xml:space="preserve">macaulay/flac/143855361.flac</t>
  </si>
  <si>
    <t xml:space="preserve">ML184787</t>
  </si>
  <si>
    <t xml:space="preserve">David L. Ross, Jr.|1996-05-23</t>
  </si>
  <si>
    <t xml:space="preserve">10:03</t>
  </si>
  <si>
    <t xml:space="preserve">macaulay/flac/184787.flac</t>
  </si>
  <si>
    <t xml:space="preserve">ML196079131</t>
  </si>
  <si>
    <t xml:space="preserve">S62421619</t>
  </si>
  <si>
    <t xml:space="preserve">Benjamin Althouse</t>
  </si>
  <si>
    <t xml:space="preserve">macaulay/flac/196079131.flac</t>
  </si>
  <si>
    <t xml:space="preserve">ML209483</t>
  </si>
  <si>
    <t xml:space="preserve">07:13</t>
  </si>
  <si>
    <t xml:space="preserve">macaulay/flac/209483.flac</t>
  </si>
  <si>
    <t xml:space="preserve">ML209497</t>
  </si>
  <si>
    <t xml:space="preserve">David L. Ross, Jr.|1993-06-07</t>
  </si>
  <si>
    <t xml:space="preserve">macaulay/flac/209497.flac</t>
  </si>
  <si>
    <t xml:space="preserve">ML209499</t>
  </si>
  <si>
    <t xml:space="preserve">macaulay/flac/209499.flac</t>
  </si>
  <si>
    <t xml:space="preserve">ML266287481</t>
  </si>
  <si>
    <t xml:space="preserve">S73535988</t>
  </si>
  <si>
    <t xml:space="preserve">05:10</t>
  </si>
  <si>
    <t xml:space="preserve">macaulay/flac/266287481.flac</t>
  </si>
  <si>
    <t xml:space="preserve">ML267811691</t>
  </si>
  <si>
    <t xml:space="preserve">macaulay/flac/267811691.flac</t>
  </si>
  <si>
    <t xml:space="preserve">ML299590</t>
  </si>
  <si>
    <t xml:space="preserve">17:00</t>
  </si>
  <si>
    <t xml:space="preserve">macaulay/flac/299590.flac</t>
  </si>
  <si>
    <t xml:space="preserve">ML299661</t>
  </si>
  <si>
    <t xml:space="preserve">11:10</t>
  </si>
  <si>
    <t xml:space="preserve">macaulay/flac/299661.flac</t>
  </si>
  <si>
    <t xml:space="preserve">ML31392</t>
  </si>
  <si>
    <t xml:space="preserve">Barbara Spencer|1983-03-30</t>
  </si>
  <si>
    <t xml:space="preserve">Barbara Spencer</t>
  </si>
  <si>
    <t xml:space="preserve">macaulay/flac/31392.flac</t>
  </si>
  <si>
    <t xml:space="preserve">ML32601261</t>
  </si>
  <si>
    <t xml:space="preserve">S30243947</t>
  </si>
  <si>
    <t xml:space="preserve">macaulay/flac/32601261.flac</t>
  </si>
  <si>
    <t xml:space="preserve">ML348001231</t>
  </si>
  <si>
    <t xml:space="preserve">S89950983</t>
  </si>
  <si>
    <t xml:space="preserve">macaulay/flac/348001231.flac</t>
  </si>
  <si>
    <t xml:space="preserve">ML348002331</t>
  </si>
  <si>
    <t xml:space="preserve">macaulay/flac/348002331.flac</t>
  </si>
  <si>
    <t xml:space="preserve">ML398720201</t>
  </si>
  <si>
    <t xml:space="preserve">macaulay/flac/398720201.flac</t>
  </si>
  <si>
    <t xml:space="preserve">ML413652651</t>
  </si>
  <si>
    <t xml:space="preserve">short;clipping</t>
  </si>
  <si>
    <t xml:space="preserve">macaulay/flac/413652651.flac</t>
  </si>
  <si>
    <t xml:space="preserve">ML56617</t>
  </si>
  <si>
    <t xml:space="preserve">S38793492</t>
  </si>
  <si>
    <t xml:space="preserve">Linda Macaulay</t>
  </si>
  <si>
    <t xml:space="preserve">06:50</t>
  </si>
  <si>
    <t xml:space="preserve">macaulay/flac/56617.flac</t>
  </si>
  <si>
    <t xml:space="preserve">ML57493</t>
  </si>
  <si>
    <t xml:space="preserve">macaulay/flac/57493.flac</t>
  </si>
  <si>
    <t xml:space="preserve">ML57494</t>
  </si>
  <si>
    <t xml:space="preserve">09:12</t>
  </si>
  <si>
    <t xml:space="preserve">macaulay/flac/57494.flac</t>
  </si>
  <si>
    <t xml:space="preserve">ML597934651</t>
  </si>
  <si>
    <t xml:space="preserve">macaulay/flac/597934651.flac</t>
  </si>
  <si>
    <t xml:space="preserve">ML621760411</t>
  </si>
  <si>
    <t xml:space="preserve">macaulay/flac/621760411.flac</t>
  </si>
  <si>
    <t xml:space="preserve">ML628653638</t>
  </si>
  <si>
    <t xml:space="preserve">S189874456</t>
  </si>
  <si>
    <t xml:space="preserve">macaulay/flac/628653638.flac</t>
  </si>
  <si>
    <t xml:space="preserve">ML631297414</t>
  </si>
  <si>
    <t xml:space="preserve">S215441696</t>
  </si>
  <si>
    <t xml:space="preserve">macaulay/flac/631297414.flac</t>
  </si>
  <si>
    <t xml:space="preserve">ML643750436</t>
  </si>
  <si>
    <t xml:space="preserve">S266577809</t>
  </si>
  <si>
    <t xml:space="preserve">Johannes Mayer</t>
  </si>
  <si>
    <t xml:space="preserve">04:58</t>
  </si>
  <si>
    <t xml:space="preserve">macaulay/flac/643750436.flac</t>
  </si>
  <si>
    <t xml:space="preserve">ML643750437</t>
  </si>
  <si>
    <t xml:space="preserve">macaulay/flac/643750437.flac</t>
  </si>
  <si>
    <t xml:space="preserve">ML648628585</t>
  </si>
  <si>
    <t xml:space="preserve">S278061898</t>
  </si>
  <si>
    <t xml:space="preserve">14:06</t>
  </si>
  <si>
    <t xml:space="preserve">macaulay/flac/648628585.flac</t>
  </si>
  <si>
    <t xml:space="preserve">ML654112309</t>
  </si>
  <si>
    <t xml:space="preserve">macaulay/flac/654112309.flac</t>
  </si>
  <si>
    <t xml:space="preserve">ML654318759</t>
  </si>
  <si>
    <t xml:space="preserve">macaulay/flac/654318759.flac</t>
  </si>
  <si>
    <t xml:space="preserve">ML72617</t>
  </si>
  <si>
    <t xml:space="preserve">David L. Ross, Jr.|1991-02-27</t>
  </si>
  <si>
    <t xml:space="preserve">09:15</t>
  </si>
  <si>
    <t xml:space="preserve">macaulay/flac/72617.flac</t>
  </si>
  <si>
    <t xml:space="preserve">ML72618</t>
  </si>
  <si>
    <t xml:space="preserve">macaulay/flac/72618.flac</t>
  </si>
  <si>
    <t xml:space="preserve">ML72621</t>
  </si>
  <si>
    <t xml:space="preserve">macaulay/flac/72621.flac</t>
  </si>
  <si>
    <t xml:space="preserve">ML99574971</t>
  </si>
  <si>
    <t xml:space="preserve">macaulay/flac/99574971.flac</t>
  </si>
  <si>
    <t xml:space="preserve">XC331388</t>
  </si>
  <si>
    <t xml:space="preserve">data-prep/xc_flac/Pheugopedius_atrogularis/XC331388.flac</t>
  </si>
  <si>
    <t xml:space="preserve">XC331389</t>
  </si>
  <si>
    <t xml:space="preserve">data-prep/xc_flac/Pheugopedius_atrogularis/XC331389.flac</t>
  </si>
  <si>
    <t xml:space="preserve">ML147183471</t>
  </si>
  <si>
    <t xml:space="preserve">S53456213</t>
  </si>
  <si>
    <t xml:space="preserve">matthew sabatine</t>
  </si>
  <si>
    <t xml:space="preserve">macaulay/flac/147183471.flac</t>
  </si>
  <si>
    <t xml:space="preserve">ML471211651</t>
  </si>
  <si>
    <t xml:space="preserve">S49448040</t>
  </si>
  <si>
    <t xml:space="preserve">macaulay/flac/471211651.flac</t>
  </si>
  <si>
    <t xml:space="preserve">ML498003591</t>
  </si>
  <si>
    <t xml:space="preserve">macaulay/flac/498003591.flac</t>
  </si>
  <si>
    <t xml:space="preserve">ML128078481</t>
  </si>
  <si>
    <t xml:space="preserve">S42575185</t>
  </si>
  <si>
    <t xml:space="preserve">macaulay/flac/128078481.flac</t>
  </si>
  <si>
    <t xml:space="preserve">ML299571</t>
  </si>
  <si>
    <t xml:space="preserve">12:00</t>
  </si>
  <si>
    <t xml:space="preserve">macaulay/flac/299571.flac</t>
  </si>
  <si>
    <t xml:space="preserve">ML32449111</t>
  </si>
  <si>
    <t xml:space="preserve">S30363382</t>
  </si>
  <si>
    <t xml:space="preserve">13:15</t>
  </si>
  <si>
    <t xml:space="preserve">macaulay/flac/32449111.flac</t>
  </si>
  <si>
    <t xml:space="preserve">ML609059102</t>
  </si>
  <si>
    <t xml:space="preserve">macaulay/flac/609059102.flac</t>
  </si>
  <si>
    <t xml:space="preserve">ML613950713</t>
  </si>
  <si>
    <t xml:space="preserve">S158300829</t>
  </si>
  <si>
    <t xml:space="preserve">15:42</t>
  </si>
  <si>
    <t xml:space="preserve">macaulay/flac/613950713.flac</t>
  </si>
  <si>
    <t xml:space="preserve">ML89665121</t>
  </si>
  <si>
    <t xml:space="preserve">S43316075</t>
  </si>
  <si>
    <t xml:space="preserve">06:52</t>
  </si>
  <si>
    <t xml:space="preserve">macaulay/flac/89665121.flac</t>
  </si>
  <si>
    <t xml:space="preserve">XC331643</t>
  </si>
  <si>
    <t xml:space="preserve">xc|2016-07-28|Hotel Castillo del Arenal, El Castillo</t>
  </si>
  <si>
    <t xml:space="preserve">data-prep/xc_flac/Cyanoloxia_cyanoides/XC331643.flac</t>
  </si>
  <si>
    <t xml:space="preserve">song; Hotel Castillo del Arenal, El Castillo, 600 m</t>
  </si>
  <si>
    <t xml:space="preserve">ML179453631</t>
  </si>
  <si>
    <t xml:space="preserve">S58307253</t>
  </si>
  <si>
    <t xml:space="preserve">06:06</t>
  </si>
  <si>
    <t xml:space="preserve">macaulay/flac/179453631.flac</t>
  </si>
  <si>
    <t xml:space="preserve">ML28131</t>
  </si>
  <si>
    <t xml:space="preserve">Arnoud B. van den Berg|1981-05-28</t>
  </si>
  <si>
    <t xml:space="preserve">16:00</t>
  </si>
  <si>
    <t xml:space="preserve">macaulay/flac/28131.flac</t>
  </si>
  <si>
    <t xml:space="preserve">ML462751101</t>
  </si>
  <si>
    <t xml:space="preserve">S105437231</t>
  </si>
  <si>
    <t xml:space="preserve">Joshua van der Meulen</t>
  </si>
  <si>
    <t xml:space="preserve">05:09</t>
  </si>
  <si>
    <t xml:space="preserve">macaulay/flac/462751101.flac</t>
  </si>
  <si>
    <t xml:space="preserve">ML624011248</t>
  </si>
  <si>
    <t xml:space="preserve">S195902859</t>
  </si>
  <si>
    <t xml:space="preserve">Dallas Levey</t>
  </si>
  <si>
    <t xml:space="preserve">macaulay/flac/624011248.flac</t>
  </si>
  <si>
    <t xml:space="preserve">ML636754280</t>
  </si>
  <si>
    <t xml:space="preserve">S221716404</t>
  </si>
  <si>
    <t xml:space="preserve">macaulay/flac/636754280.flac</t>
  </si>
  <si>
    <t xml:space="preserve">ML654240101</t>
  </si>
  <si>
    <t xml:space="preserve">macaulay/flac/654240101.flac</t>
  </si>
  <si>
    <t xml:space="preserve">ML155580321</t>
  </si>
  <si>
    <t xml:space="preserve">macaulay/flac/155580321.flac</t>
  </si>
  <si>
    <t xml:space="preserve">ML266311471</t>
  </si>
  <si>
    <t xml:space="preserve">macaulay/flac/266311471.flac</t>
  </si>
  <si>
    <t xml:space="preserve">ML299648</t>
  </si>
  <si>
    <t xml:space="preserve">09:25</t>
  </si>
  <si>
    <t xml:space="preserve">macaulay/flac/299648.flac</t>
  </si>
  <si>
    <t xml:space="preserve">XC332386</t>
  </si>
  <si>
    <t xml:space="preserve">xc|2016-07-30|Monteverde, Provincia de Puntarenas</t>
  </si>
  <si>
    <t xml:space="preserve">data-prep/xc_flac/Thraupis_episcopus/XC332386.flac</t>
  </si>
  <si>
    <t xml:space="preserve">song; Monteverde, Provincia de Puntarenas, 1400 m</t>
  </si>
  <si>
    <t xml:space="preserve">ML110447811</t>
  </si>
  <si>
    <t xml:space="preserve">macaulay/flac/110447811.flac</t>
  </si>
  <si>
    <t xml:space="preserve">ML145615371</t>
  </si>
  <si>
    <t xml:space="preserve">macaulay/flac/145615371.flac</t>
  </si>
  <si>
    <t xml:space="preserve">ML147429221</t>
  </si>
  <si>
    <t xml:space="preserve">macaulay/flac/147429221.flac</t>
  </si>
  <si>
    <t xml:space="preserve">ML299563</t>
  </si>
  <si>
    <t xml:space="preserve">macaulay/flac/299563.flac</t>
  </si>
  <si>
    <t xml:space="preserve">ML299586</t>
  </si>
  <si>
    <t xml:space="preserve">macaulay/flac/299586.flac</t>
  </si>
  <si>
    <t xml:space="preserve">ML299587</t>
  </si>
  <si>
    <t xml:space="preserve">macaulay/flac/299587.flac</t>
  </si>
  <si>
    <t xml:space="preserve">ML465954181</t>
  </si>
  <si>
    <t xml:space="preserve">S114690392</t>
  </si>
  <si>
    <t xml:space="preserve">Martin Stoner</t>
  </si>
  <si>
    <t xml:space="preserve">17:09</t>
  </si>
  <si>
    <t xml:space="preserve">macaulay/flac/465954181.flac</t>
  </si>
  <si>
    <t xml:space="preserve">ML498004851</t>
  </si>
  <si>
    <t xml:space="preserve">macaulay/flac/498004851.flac</t>
  </si>
  <si>
    <t xml:space="preserve">group label: Boat-billed Flycatcher (Northern)</t>
  </si>
  <si>
    <t xml:space="preserve">ML539024691</t>
  </si>
  <si>
    <t xml:space="preserve">S126262374</t>
  </si>
  <si>
    <t xml:space="preserve">macaulay/flac/539024691.flac</t>
  </si>
  <si>
    <t xml:space="preserve">ML543401081</t>
  </si>
  <si>
    <t xml:space="preserve">S126334814</t>
  </si>
  <si>
    <t xml:space="preserve">15:30</t>
  </si>
  <si>
    <t xml:space="preserve">macaulay/flac/543401081.flac</t>
  </si>
  <si>
    <t xml:space="preserve">ML56619</t>
  </si>
  <si>
    <t xml:space="preserve">macaulay/flac/56619.flac</t>
  </si>
  <si>
    <t xml:space="preserve">ML609059107</t>
  </si>
  <si>
    <t xml:space="preserve">macaulay/flac/609059107.flac</t>
  </si>
  <si>
    <t xml:space="preserve">ML636345020</t>
  </si>
  <si>
    <t xml:space="preserve">S189874457</t>
  </si>
  <si>
    <t xml:space="preserve">macaulay/flac/636345020.flac</t>
  </si>
  <si>
    <t xml:space="preserve">ML643644086</t>
  </si>
  <si>
    <t xml:space="preserve">S257554850</t>
  </si>
  <si>
    <t xml:space="preserve">macaulay/flac/643644086.flac</t>
  </si>
  <si>
    <t xml:space="preserve">ML646457278</t>
  </si>
  <si>
    <t xml:space="preserve">S286382521</t>
  </si>
  <si>
    <t xml:space="preserve">macaulay/flac/646457278.flac</t>
  </si>
  <si>
    <t xml:space="preserve">XC332270</t>
  </si>
  <si>
    <t xml:space="preserve">xc|2016-07-30|Hotel El Bosque, Monteverde, Puntarenas</t>
  </si>
  <si>
    <t xml:space="preserve">data-prep/xc_flac/Megarynchus_pitangua/XC332270.flac</t>
  </si>
  <si>
    <t xml:space="preserve">call; Hotel El Bosque, Monteverde, Puntarenas, 1400 m</t>
  </si>
  <si>
    <t xml:space="preserve">ML102588961</t>
  </si>
  <si>
    <t xml:space="preserve">macaulay/flac/102588961.flac</t>
  </si>
  <si>
    <t xml:space="preserve">ML144453521</t>
  </si>
  <si>
    <t xml:space="preserve">macaulay/flac/144453521.flac</t>
  </si>
  <si>
    <t xml:space="preserve">ML144841551</t>
  </si>
  <si>
    <t xml:space="preserve">macaulay/flac/144841551.flac</t>
  </si>
  <si>
    <t xml:space="preserve">ML156785351</t>
  </si>
  <si>
    <t xml:space="preserve">macaulay/flac/156785351.flac</t>
  </si>
  <si>
    <t xml:space="preserve">ML156788801</t>
  </si>
  <si>
    <t xml:space="preserve">S55957177</t>
  </si>
  <si>
    <t xml:space="preserve">macaulay/flac/156788801.flac</t>
  </si>
  <si>
    <t xml:space="preserve">ML156789171</t>
  </si>
  <si>
    <t xml:space="preserve">macaulay/flac/156789171.flac</t>
  </si>
  <si>
    <t xml:space="preserve">ML215345</t>
  </si>
  <si>
    <t xml:space="preserve">05:46</t>
  </si>
  <si>
    <t xml:space="preserve">macaulay/flac/215345.flac</t>
  </si>
  <si>
    <t xml:space="preserve">group label: Bright-rumped Attila (Northern)</t>
  </si>
  <si>
    <t xml:space="preserve">ML215413</t>
  </si>
  <si>
    <t xml:space="preserve">07:17</t>
  </si>
  <si>
    <t xml:space="preserve">macaulay/flac/215413.flac</t>
  </si>
  <si>
    <t xml:space="preserve">ML531223801</t>
  </si>
  <si>
    <t xml:space="preserve">macaulay/flac/531223801.flac</t>
  </si>
  <si>
    <t xml:space="preserve">ML531224091</t>
  </si>
  <si>
    <t xml:space="preserve">macaulay/flac/531224091.flac</t>
  </si>
  <si>
    <t xml:space="preserve">ML531224591</t>
  </si>
  <si>
    <t xml:space="preserve">macaulay/flac/531224591.flac</t>
  </si>
  <si>
    <t xml:space="preserve">ML531229571</t>
  </si>
  <si>
    <t xml:space="preserve">macaulay/flac/531229571.flac</t>
  </si>
  <si>
    <t xml:space="preserve">ML539990861</t>
  </si>
  <si>
    <t xml:space="preserve">S122130645</t>
  </si>
  <si>
    <t xml:space="preserve">J Berner</t>
  </si>
  <si>
    <t xml:space="preserve">06:07</t>
  </si>
  <si>
    <t xml:space="preserve">macaulay/flac/539990861.flac</t>
  </si>
  <si>
    <t xml:space="preserve">ML552878871</t>
  </si>
  <si>
    <t xml:space="preserve">S130894277</t>
  </si>
  <si>
    <t xml:space="preserve">Scott Tuthill</t>
  </si>
  <si>
    <t xml:space="preserve">06:44</t>
  </si>
  <si>
    <t xml:space="preserve">macaulay/flac/552878871.flac</t>
  </si>
  <si>
    <t xml:space="preserve">ML613430515</t>
  </si>
  <si>
    <t xml:space="preserve">S158544746</t>
  </si>
  <si>
    <t xml:space="preserve">16:01</t>
  </si>
  <si>
    <t xml:space="preserve">macaulay/flac/613430515.flac</t>
  </si>
  <si>
    <t xml:space="preserve">ML614020209</t>
  </si>
  <si>
    <t xml:space="preserve">S158287114</t>
  </si>
  <si>
    <t xml:space="preserve">12:35</t>
  </si>
  <si>
    <t xml:space="preserve">macaulay/flac/614020209.flac</t>
  </si>
  <si>
    <t xml:space="preserve">ML615003327</t>
  </si>
  <si>
    <t xml:space="preserve">S160415099</t>
  </si>
  <si>
    <t xml:space="preserve">Dennis Mersky</t>
  </si>
  <si>
    <t xml:space="preserve">macaulay/flac/615003327.flac</t>
  </si>
  <si>
    <t xml:space="preserve">ML615222589</t>
  </si>
  <si>
    <t xml:space="preserve">S133987000</t>
  </si>
  <si>
    <t xml:space="preserve">Kathryn Hyndman</t>
  </si>
  <si>
    <t xml:space="preserve">08:13</t>
  </si>
  <si>
    <t xml:space="preserve">macaulay/flac/615222589.flac</t>
  </si>
  <si>
    <t xml:space="preserve">ML630268902</t>
  </si>
  <si>
    <t xml:space="preserve">S211965863</t>
  </si>
  <si>
    <t xml:space="preserve">Ken Cox</t>
  </si>
  <si>
    <t xml:space="preserve">macaulay/flac/630268902.flac</t>
  </si>
  <si>
    <t xml:space="preserve">ML632692470</t>
  </si>
  <si>
    <t xml:space="preserve">macaulay/flac/632692470.flac</t>
  </si>
  <si>
    <t xml:space="preserve">ML632692588</t>
  </si>
  <si>
    <t xml:space="preserve">macaulay/flac/632692588.flac</t>
  </si>
  <si>
    <t xml:space="preserve">ML633877497</t>
  </si>
  <si>
    <t xml:space="preserve">S220785006</t>
  </si>
  <si>
    <t xml:space="preserve">Matthew Grube</t>
  </si>
  <si>
    <t xml:space="preserve">macaulay/flac/633877497.flac</t>
  </si>
  <si>
    <t xml:space="preserve">ML638950777</t>
  </si>
  <si>
    <t xml:space="preserve">S158813165</t>
  </si>
  <si>
    <t xml:space="preserve">macaulay/flac/638950777.flac</t>
  </si>
  <si>
    <t xml:space="preserve">ML643527679</t>
  </si>
  <si>
    <t xml:space="preserve">S257673357</t>
  </si>
  <si>
    <t xml:space="preserve">17:08</t>
  </si>
  <si>
    <t xml:space="preserve">macaulay/flac/643527679.flac</t>
  </si>
  <si>
    <t xml:space="preserve">ML645560924</t>
  </si>
  <si>
    <t xml:space="preserve">S205572692</t>
  </si>
  <si>
    <t xml:space="preserve">macaulay/flac/645560924.flac</t>
  </si>
  <si>
    <t xml:space="preserve">ML646477785</t>
  </si>
  <si>
    <t xml:space="preserve">macaulay/flac/646477785.flac</t>
  </si>
  <si>
    <t xml:space="preserve">ML648831722</t>
  </si>
  <si>
    <t xml:space="preserve">S281845303</t>
  </si>
  <si>
    <t xml:space="preserve">05:36</t>
  </si>
  <si>
    <t xml:space="preserve">macaulay/flac/648831722.flac</t>
  </si>
  <si>
    <t xml:space="preserve">ML648831723</t>
  </si>
  <si>
    <t xml:space="preserve">macaulay/flac/648831723.flac</t>
  </si>
  <si>
    <t xml:space="preserve">ML650740209</t>
  </si>
  <si>
    <t xml:space="preserve">macaulay/flac/650740209.flac</t>
  </si>
  <si>
    <t xml:space="preserve">ML654319821</t>
  </si>
  <si>
    <t xml:space="preserve">macaulay/flac/654319821.flac</t>
  </si>
  <si>
    <t xml:space="preserve">ML654440888</t>
  </si>
  <si>
    <t xml:space="preserve">S312585520</t>
  </si>
  <si>
    <t xml:space="preserve">David Provencher</t>
  </si>
  <si>
    <t xml:space="preserve">16:20</t>
  </si>
  <si>
    <t xml:space="preserve">macaulay/flac/654440888.flac</t>
  </si>
  <si>
    <t xml:space="preserve">ML99569601</t>
  </si>
  <si>
    <t xml:space="preserve">macaulay/flac/99569601.flac</t>
  </si>
  <si>
    <t xml:space="preserve">ML99570751</t>
  </si>
  <si>
    <t xml:space="preserve">macaulay/flac/99570751.flac</t>
  </si>
  <si>
    <t xml:space="preserve">ML169970561</t>
  </si>
  <si>
    <t xml:space="preserve">S52745664</t>
  </si>
  <si>
    <t xml:space="preserve">Oliver Burton</t>
  </si>
  <si>
    <t xml:space="preserve">05:29</t>
  </si>
  <si>
    <t xml:space="preserve">macaulay/flac/169970561.flac</t>
  </si>
  <si>
    <t xml:space="preserve">ML184790</t>
  </si>
  <si>
    <t xml:space="preserve">macaulay/flac/184790.flac</t>
  </si>
  <si>
    <t xml:space="preserve">group label: Broad-billed Motmot (Broad-billed)</t>
  </si>
  <si>
    <t xml:space="preserve">ML185745</t>
  </si>
  <si>
    <t xml:space="preserve">14:58</t>
  </si>
  <si>
    <t xml:space="preserve">macaulay/flac/185745.flac</t>
  </si>
  <si>
    <t xml:space="preserve">ML215347</t>
  </si>
  <si>
    <t xml:space="preserve">06:02</t>
  </si>
  <si>
    <t xml:space="preserve">macaulay/flac/215347.flac</t>
  </si>
  <si>
    <t xml:space="preserve">ML215363</t>
  </si>
  <si>
    <t xml:space="preserve">macaulay/flac/215363.flac</t>
  </si>
  <si>
    <t xml:space="preserve">ML215366</t>
  </si>
  <si>
    <t xml:space="preserve">06:41</t>
  </si>
  <si>
    <t xml:space="preserve">macaulay/flac/215366.flac</t>
  </si>
  <si>
    <t xml:space="preserve">ML215378</t>
  </si>
  <si>
    <t xml:space="preserve">macaulay/flac/215378.flac</t>
  </si>
  <si>
    <t xml:space="preserve">ML215407</t>
  </si>
  <si>
    <t xml:space="preserve">macaulay/flac/215407.flac</t>
  </si>
  <si>
    <t xml:space="preserve">ML246604421</t>
  </si>
  <si>
    <t xml:space="preserve">Rufous Motmot; White-breasted Wood-Wren</t>
  </si>
  <si>
    <t xml:space="preserve">S52745665</t>
  </si>
  <si>
    <t xml:space="preserve">Henry Burton</t>
  </si>
  <si>
    <t xml:space="preserve">macaulay/flac/246604421.flac</t>
  </si>
  <si>
    <t xml:space="preserve">ML246604471</t>
  </si>
  <si>
    <t xml:space="preserve">macaulay/flac/246604471.flac</t>
  </si>
  <si>
    <t xml:space="preserve">ML297140161</t>
  </si>
  <si>
    <t xml:space="preserve">S77708948</t>
  </si>
  <si>
    <t xml:space="preserve">Richard Garrigues</t>
  </si>
  <si>
    <t xml:space="preserve">macaulay/flac/297140161.flac</t>
  </si>
  <si>
    <t xml:space="preserve">ML299667</t>
  </si>
  <si>
    <t xml:space="preserve">16:40</t>
  </si>
  <si>
    <t xml:space="preserve">macaulay/flac/299667.flac</t>
  </si>
  <si>
    <t xml:space="preserve">ML403414711</t>
  </si>
  <si>
    <t xml:space="preserve">S99081378</t>
  </si>
  <si>
    <t xml:space="preserve">macaulay/flac/403414711.flac</t>
  </si>
  <si>
    <t xml:space="preserve">ML458626651</t>
  </si>
  <si>
    <t xml:space="preserve">macaulay/flac/458626651.flac</t>
  </si>
  <si>
    <t xml:space="preserve">ML470740181</t>
  </si>
  <si>
    <t xml:space="preserve">S49480602</t>
  </si>
  <si>
    <t xml:space="preserve">macaulay/flac/470740181.flac</t>
  </si>
  <si>
    <t xml:space="preserve">ML609056484</t>
  </si>
  <si>
    <t xml:space="preserve">macaulay/flac/609056484.flac</t>
  </si>
  <si>
    <t xml:space="preserve">ML609056526</t>
  </si>
  <si>
    <t xml:space="preserve">macaulay/flac/609056526.flac</t>
  </si>
  <si>
    <t xml:space="preserve">ML610572546</t>
  </si>
  <si>
    <t xml:space="preserve">macaulay/flac/610572546.flac</t>
  </si>
  <si>
    <t xml:space="preserve">ML612188681</t>
  </si>
  <si>
    <t xml:space="preserve">S155339478</t>
  </si>
  <si>
    <t xml:space="preserve">Ken Blankenship</t>
  </si>
  <si>
    <t xml:space="preserve">15:31</t>
  </si>
  <si>
    <t xml:space="preserve">macaulay/flac/612188681.flac</t>
  </si>
  <si>
    <t xml:space="preserve">ML612188690</t>
  </si>
  <si>
    <t xml:space="preserve">macaulay/flac/612188690.flac</t>
  </si>
  <si>
    <t xml:space="preserve">ML613430413</t>
  </si>
  <si>
    <t xml:space="preserve">macaulay/flac/613430413.flac</t>
  </si>
  <si>
    <t xml:space="preserve">ML615348425</t>
  </si>
  <si>
    <t xml:space="preserve">S153341898</t>
  </si>
  <si>
    <t xml:space="preserve">Bobby Wilcox | Rockjumper Birding Tours</t>
  </si>
  <si>
    <t xml:space="preserve">07:22</t>
  </si>
  <si>
    <t xml:space="preserve">macaulay/flac/615348425.flac</t>
  </si>
  <si>
    <t xml:space="preserve">ML628729131</t>
  </si>
  <si>
    <t xml:space="preserve">S189874454</t>
  </si>
  <si>
    <t xml:space="preserve">macaulay/flac/628729131.flac</t>
  </si>
  <si>
    <t xml:space="preserve">ML630078667</t>
  </si>
  <si>
    <t xml:space="preserve">S207254693</t>
  </si>
  <si>
    <t xml:space="preserve">12:42</t>
  </si>
  <si>
    <t xml:space="preserve">macaulay/flac/630078667.flac</t>
  </si>
  <si>
    <t xml:space="preserve">ML635111594</t>
  </si>
  <si>
    <t xml:space="preserve">S158648892</t>
  </si>
  <si>
    <t xml:space="preserve">Sophia Sperduto</t>
  </si>
  <si>
    <t xml:space="preserve">08:27</t>
  </si>
  <si>
    <t xml:space="preserve">macaulay/flac/635111594.flac</t>
  </si>
  <si>
    <t xml:space="preserve">ML643860470</t>
  </si>
  <si>
    <t xml:space="preserve">macaulay/flac/643860470.flac</t>
  </si>
  <si>
    <t xml:space="preserve">ML647391399</t>
  </si>
  <si>
    <t xml:space="preserve">macaulay/flac/647391399.flac</t>
  </si>
  <si>
    <t xml:space="preserve">ML649795118</t>
  </si>
  <si>
    <t xml:space="preserve">S293796836</t>
  </si>
  <si>
    <t xml:space="preserve">Ieva Upmane</t>
  </si>
  <si>
    <t xml:space="preserve">08:58</t>
  </si>
  <si>
    <t xml:space="preserve">macaulay/flac/649795118.flac</t>
  </si>
  <si>
    <t xml:space="preserve">ML651257651</t>
  </si>
  <si>
    <t xml:space="preserve">macaulay/flac/651257651.flac</t>
  </si>
  <si>
    <t xml:space="preserve">ML653762068</t>
  </si>
  <si>
    <t xml:space="preserve">S296332791</t>
  </si>
  <si>
    <t xml:space="preserve">15:09</t>
  </si>
  <si>
    <t xml:space="preserve">macaulay/flac/653762068.flac</t>
  </si>
  <si>
    <t xml:space="preserve">ML654603698</t>
  </si>
  <si>
    <t xml:space="preserve">S319391157</t>
  </si>
  <si>
    <t xml:space="preserve">07:32</t>
  </si>
  <si>
    <t xml:space="preserve">macaulay/flac/654603698.flac</t>
  </si>
  <si>
    <t xml:space="preserve">ML654655160</t>
  </si>
  <si>
    <t xml:space="preserve">macaulay/flac/654655160.flac</t>
  </si>
  <si>
    <t xml:space="preserve">ML76610</t>
  </si>
  <si>
    <t xml:space="preserve">Curtis Marantz|1991-04-01</t>
  </si>
  <si>
    <t xml:space="preserve">macaulay/flac/76610.flac</t>
  </si>
  <si>
    <t xml:space="preserve">XC331311</t>
  </si>
  <si>
    <t xml:space="preserve">xc|2016-07-24|Arenal Observatory Lodge, Fortuna, Costa Rica</t>
  </si>
  <si>
    <t xml:space="preserve">data-prep/xc_flac/Psilorhinus_morio/XC331311.flac</t>
  </si>
  <si>
    <t xml:space="preserve">alarm call, call; Arenal Observatory Lodge, Fortuna, Costa Rica, 750 m; Xeno-canto label Brown Jay (Psilorhinus morio)</t>
  </si>
  <si>
    <t xml:space="preserve">XC332502</t>
  </si>
  <si>
    <t xml:space="preserve">15:00</t>
  </si>
  <si>
    <t xml:space="preserve">data-prep/xc_flac/Psilorhinus_morio/XC332502.flac</t>
  </si>
  <si>
    <t xml:space="preserve">call; Reserva Curi-Cancha, Monteverde, 1500 m; Xeno-canto label Brown Jay (Psilorhinus morio)</t>
  </si>
  <si>
    <t xml:space="preserve">ML145175731</t>
  </si>
  <si>
    <t xml:space="preserve">macaulay/flac/145175731.flac</t>
  </si>
  <si>
    <t xml:space="preserve">ML148045831</t>
  </si>
  <si>
    <t xml:space="preserve">S54246024</t>
  </si>
  <si>
    <t xml:space="preserve">macaulay/flac/148045831.flac</t>
  </si>
  <si>
    <t xml:space="preserve">ML654600356</t>
  </si>
  <si>
    <t xml:space="preserve">S319375078</t>
  </si>
  <si>
    <t xml:space="preserve">macaulay/flac/654600356.flac</t>
  </si>
  <si>
    <t xml:space="preserve">ML153384531</t>
  </si>
  <si>
    <t xml:space="preserve">macaulay/flac/153384531.flac</t>
  </si>
  <si>
    <t xml:space="preserve">ML184020</t>
  </si>
  <si>
    <t xml:space="preserve">Slaty-tailed Trogon; White-crowned Parrot</t>
  </si>
  <si>
    <t xml:space="preserve">Curtis Marantz|1995-03-26</t>
  </si>
  <si>
    <t xml:space="preserve">macaulay/flac/184020.flac</t>
  </si>
  <si>
    <t xml:space="preserve">ML215337</t>
  </si>
  <si>
    <t xml:space="preserve">David L. Ross, Jr.|1989-02-15</t>
  </si>
  <si>
    <t xml:space="preserve">06:03</t>
  </si>
  <si>
    <t xml:space="preserve">macaulay/flac/215337.flac</t>
  </si>
  <si>
    <t xml:space="preserve">ML299544</t>
  </si>
  <si>
    <t xml:space="preserve">06:10</t>
  </si>
  <si>
    <t xml:space="preserve">macaulay/flac/299544.flac</t>
  </si>
  <si>
    <t xml:space="preserve">ML299622</t>
  </si>
  <si>
    <t xml:space="preserve">macaulay/flac/299622.flac</t>
  </si>
  <si>
    <t xml:space="preserve">ML299623</t>
  </si>
  <si>
    <t xml:space="preserve">macaulay/flac/299623.flac</t>
  </si>
  <si>
    <t xml:space="preserve">ML471212031</t>
  </si>
  <si>
    <t xml:space="preserve">macaulay/flac/471212031.flac</t>
  </si>
  <si>
    <t xml:space="preserve">ML531235601</t>
  </si>
  <si>
    <t xml:space="preserve">S103332815</t>
  </si>
  <si>
    <t xml:space="preserve">macaulay/flac/531235601.flac</t>
  </si>
  <si>
    <t xml:space="preserve">ML597933201</t>
  </si>
  <si>
    <t xml:space="preserve">macaulay/flac/597933201.flac</t>
  </si>
  <si>
    <t xml:space="preserve">ML609056496</t>
  </si>
  <si>
    <t xml:space="preserve">macaulay/flac/609056496.flac</t>
  </si>
  <si>
    <t xml:space="preserve">ML612315923</t>
  </si>
  <si>
    <t xml:space="preserve">macaulay/flac/612315923.flac</t>
  </si>
  <si>
    <t xml:space="preserve">ML613430099</t>
  </si>
  <si>
    <t xml:space="preserve">S158706794</t>
  </si>
  <si>
    <t xml:space="preserve">macaulay/flac/613430099.flac</t>
  </si>
  <si>
    <t xml:space="preserve">ML620169126</t>
  </si>
  <si>
    <t xml:space="preserve">S153165692</t>
  </si>
  <si>
    <t xml:space="preserve">Ben Sampson</t>
  </si>
  <si>
    <t xml:space="preserve">macaulay/flac/620169126.flac</t>
  </si>
  <si>
    <t xml:space="preserve">ML626933329</t>
  </si>
  <si>
    <t xml:space="preserve">S202566637</t>
  </si>
  <si>
    <t xml:space="preserve">Arun Bose</t>
  </si>
  <si>
    <t xml:space="preserve">macaulay/flac/626933329.flac</t>
  </si>
  <si>
    <t xml:space="preserve">ML630101122</t>
  </si>
  <si>
    <t xml:space="preserve">S207435209</t>
  </si>
  <si>
    <t xml:space="preserve">macaulay/flac/630101122.flac</t>
  </si>
  <si>
    <t xml:space="preserve">ML630101123</t>
  </si>
  <si>
    <t xml:space="preserve">macaulay/flac/630101123.flac</t>
  </si>
  <si>
    <t xml:space="preserve">ML639162337</t>
  </si>
  <si>
    <t xml:space="preserve">macaulay/flac/639162337.flac</t>
  </si>
  <si>
    <t xml:space="preserve">ML639219100</t>
  </si>
  <si>
    <t xml:space="preserve">macaulay/flac/639219100.flac</t>
  </si>
  <si>
    <t xml:space="preserve">ML642977891</t>
  </si>
  <si>
    <t xml:space="preserve">macaulay/flac/642977891.flac</t>
  </si>
  <si>
    <t xml:space="preserve">ML643643024</t>
  </si>
  <si>
    <t xml:space="preserve">macaulay/flac/643643024.flac</t>
  </si>
  <si>
    <t xml:space="preserve">ML643643641</t>
  </si>
  <si>
    <t xml:space="preserve">macaulay/flac/643643641.flac</t>
  </si>
  <si>
    <t xml:space="preserve">ML646457274</t>
  </si>
  <si>
    <t xml:space="preserve">macaulay/flac/646457274.flac</t>
  </si>
  <si>
    <t xml:space="preserve">ML646457276</t>
  </si>
  <si>
    <t xml:space="preserve">macaulay/flac/646457276.flac</t>
  </si>
  <si>
    <t xml:space="preserve">ML661712384</t>
  </si>
  <si>
    <t xml:space="preserve">S372458656</t>
  </si>
  <si>
    <t xml:space="preserve">macaulay/flac/661712384.flac</t>
  </si>
  <si>
    <t xml:space="preserve">XC331463</t>
  </si>
  <si>
    <t xml:space="preserve">data-prep/xc_flac/Myiothlypis_fulvicauda/XC331463.flac</t>
  </si>
  <si>
    <t xml:space="preserve">ML143086661</t>
  </si>
  <si>
    <t xml:space="preserve">S51217448</t>
  </si>
  <si>
    <t xml:space="preserve">Nick Kiehl</t>
  </si>
  <si>
    <t xml:space="preserve">macaulay/flac/143086661.flac</t>
  </si>
  <si>
    <t xml:space="preserve">ML152749291</t>
  </si>
  <si>
    <t xml:space="preserve">macaulay/flac/152749291.flac</t>
  </si>
  <si>
    <t xml:space="preserve">ML209452</t>
  </si>
  <si>
    <t xml:space="preserve">macaulay/flac/209452.flac</t>
  </si>
  <si>
    <t xml:space="preserve">ML299552</t>
  </si>
  <si>
    <t xml:space="preserve">macaulay/flac/299552.flac</t>
  </si>
  <si>
    <t xml:space="preserve">ML542517281</t>
  </si>
  <si>
    <t xml:space="preserve">S130092121</t>
  </si>
  <si>
    <t xml:space="preserve">Kathy Bonilla</t>
  </si>
  <si>
    <t xml:space="preserve">macaulay/flac/542517281.flac</t>
  </si>
  <si>
    <t xml:space="preserve">ML543398291</t>
  </si>
  <si>
    <t xml:space="preserve">macaulay/flac/543398291.flac</t>
  </si>
  <si>
    <t xml:space="preserve">ML609056493</t>
  </si>
  <si>
    <t xml:space="preserve">macaulay/flac/609056493.flac</t>
  </si>
  <si>
    <t xml:space="preserve">ML609056500</t>
  </si>
  <si>
    <t xml:space="preserve">macaulay/flac/609056500.flac</t>
  </si>
  <si>
    <t xml:space="preserve">ML621759534</t>
  </si>
  <si>
    <t xml:space="preserve">macaulay/flac/621759534.flac</t>
  </si>
  <si>
    <t xml:space="preserve">ML639219107</t>
  </si>
  <si>
    <t xml:space="preserve">macaulay/flac/639219107.flac</t>
  </si>
  <si>
    <t xml:space="preserve">ML72642</t>
  </si>
  <si>
    <t xml:space="preserve">macaulay/flac/72642.flac</t>
  </si>
  <si>
    <t xml:space="preserve">XC331642</t>
  </si>
  <si>
    <t xml:space="preserve">data-prep/xc_flac/Saltator_maximus/XC331642.flac</t>
  </si>
  <si>
    <t xml:space="preserve">XC332139</t>
  </si>
  <si>
    <t xml:space="preserve">xc|2016-07-28|Hotel El Bosque, Monteverde, Puntarenas</t>
  </si>
  <si>
    <t xml:space="preserve">data-prep/xc_flac/Cantorchilus_modestus/XC332139.flac</t>
  </si>
  <si>
    <t xml:space="preserve">XC332140</t>
  </si>
  <si>
    <t xml:space="preserve">xc|2016-07-29|Hotel El Bosque, Monteverde, Puntarenas</t>
  </si>
  <si>
    <t xml:space="preserve">data-prep/xc_flac/Cantorchilus_modestus/XC332140.flac</t>
  </si>
  <si>
    <t xml:space="preserve">song; Hotel El Bosque, Monteverde, Puntarenas, 1400 m</t>
  </si>
  <si>
    <t xml:space="preserve">XC332144</t>
  </si>
  <si>
    <t xml:space="preserve">data-prep/xc_flac/Cantorchilus_modestus/XC332144.flac</t>
  </si>
  <si>
    <t xml:space="preserve">ML178675661</t>
  </si>
  <si>
    <t xml:space="preserve">S46073430</t>
  </si>
  <si>
    <t xml:space="preserve">07:42</t>
  </si>
  <si>
    <t xml:space="preserve">macaulay/flac/178675661.flac</t>
  </si>
  <si>
    <t xml:space="preserve">ML209459</t>
  </si>
  <si>
    <t xml:space="preserve">David L. Ross, Jr.|1993-06-03</t>
  </si>
  <si>
    <t xml:space="preserve">macaulay/flac/209459.flac</t>
  </si>
  <si>
    <t xml:space="preserve">ML348069041</t>
  </si>
  <si>
    <t xml:space="preserve">S86981238</t>
  </si>
  <si>
    <t xml:space="preserve">macaulay/flac/348069041.flac</t>
  </si>
  <si>
    <t xml:space="preserve">ML56616</t>
  </si>
  <si>
    <t xml:space="preserve">macaulay/flac/56616.flac</t>
  </si>
  <si>
    <t xml:space="preserve">ML609056573</t>
  </si>
  <si>
    <t xml:space="preserve">macaulay/flac/609056573.flac</t>
  </si>
  <si>
    <t xml:space="preserve">ML72636</t>
  </si>
  <si>
    <t xml:space="preserve">David L. Ross, Jr.|1991-03-01</t>
  </si>
  <si>
    <t xml:space="preserve">18:33</t>
  </si>
  <si>
    <t xml:space="preserve">macaulay/flac/72636.flac</t>
  </si>
  <si>
    <t xml:space="preserve">ML72647</t>
  </si>
  <si>
    <t xml:space="preserve">macaulay/flac/72647.flac</t>
  </si>
  <si>
    <t xml:space="preserve">ML72649</t>
  </si>
  <si>
    <t xml:space="preserve">macaulay/flac/72649.flac</t>
  </si>
  <si>
    <t xml:space="preserve">ML72653</t>
  </si>
  <si>
    <t xml:space="preserve">10:20</t>
  </si>
  <si>
    <t xml:space="preserve">macaulay/flac/72653.flac</t>
  </si>
  <si>
    <t xml:space="preserve">ML179452371</t>
  </si>
  <si>
    <t xml:space="preserve">macaulay/flac/179452371.flac</t>
  </si>
  <si>
    <t xml:space="preserve">ML215383</t>
  </si>
  <si>
    <t xml:space="preserve">20:39</t>
  </si>
  <si>
    <t xml:space="preserve">macaulay/flac/215383.flac</t>
  </si>
  <si>
    <t xml:space="preserve">ML215435</t>
  </si>
  <si>
    <t xml:space="preserve">02:36</t>
  </si>
  <si>
    <t xml:space="preserve">macaulay/flac/215435.flac</t>
  </si>
  <si>
    <t xml:space="preserve">ML299642</t>
  </si>
  <si>
    <t xml:space="preserve">macaulay/flac/299642.flac</t>
  </si>
  <si>
    <t xml:space="preserve">ML358078461</t>
  </si>
  <si>
    <t xml:space="preserve">macaulay/flac/358078461.flac</t>
  </si>
  <si>
    <t xml:space="preserve">ML498000921</t>
  </si>
  <si>
    <t xml:space="preserve">macaulay/flac/498000921.flac</t>
  </si>
  <si>
    <t xml:space="preserve">ML557812661</t>
  </si>
  <si>
    <t xml:space="preserve">S133486037</t>
  </si>
  <si>
    <t xml:space="preserve">04:12</t>
  </si>
  <si>
    <t xml:space="preserve">macaulay/flac/557812661.flac</t>
  </si>
  <si>
    <t xml:space="preserve">ML577718621</t>
  </si>
  <si>
    <t xml:space="preserve">S133486827</t>
  </si>
  <si>
    <t xml:space="preserve">John Drummond</t>
  </si>
  <si>
    <t xml:space="preserve">macaulay/flac/577718621.flac</t>
  </si>
  <si>
    <t xml:space="preserve">ML623832021</t>
  </si>
  <si>
    <t xml:space="preserve">S195411948</t>
  </si>
  <si>
    <t xml:space="preserve">14:28</t>
  </si>
  <si>
    <t xml:space="preserve">macaulay/flac/623832021.flac</t>
  </si>
  <si>
    <t xml:space="preserve">ML626522384</t>
  </si>
  <si>
    <t xml:space="preserve">S203144685</t>
  </si>
  <si>
    <t xml:space="preserve">06:04</t>
  </si>
  <si>
    <t xml:space="preserve">macaulay/flac/626522384.flac</t>
  </si>
  <si>
    <t xml:space="preserve">ML647331145</t>
  </si>
  <si>
    <t xml:space="preserve">S289457587</t>
  </si>
  <si>
    <t xml:space="preserve">22:16</t>
  </si>
  <si>
    <t xml:space="preserve">macaulay/flac/647331145.flac</t>
  </si>
  <si>
    <t xml:space="preserve">ML647331236</t>
  </si>
  <si>
    <t xml:space="preserve">macaulay/flac/647331236.flac</t>
  </si>
  <si>
    <t xml:space="preserve">ML647331341</t>
  </si>
  <si>
    <t xml:space="preserve">macaulay/flac/647331341.flac</t>
  </si>
  <si>
    <t xml:space="preserve">ML653762364</t>
  </si>
  <si>
    <t xml:space="preserve">S296501774</t>
  </si>
  <si>
    <t xml:space="preserve">19:00</t>
  </si>
  <si>
    <t xml:space="preserve">macaulay/flac/653762364.flac</t>
  </si>
  <si>
    <t xml:space="preserve">ML129892671</t>
  </si>
  <si>
    <t xml:space="preserve">S50698854</t>
  </si>
  <si>
    <t xml:space="preserve">macaulay/flac/129892671.flac</t>
  </si>
  <si>
    <t xml:space="preserve">ML249457</t>
  </si>
  <si>
    <t xml:space="preserve">White-flanked Antwren; Streak-crowned Antvireo</t>
  </si>
  <si>
    <t xml:space="preserve">Tom Schulenberg|1986-04-04</t>
  </si>
  <si>
    <t xml:space="preserve">Tom Schulenberg</t>
  </si>
  <si>
    <t xml:space="preserve">macaulay/flac/249457.flac</t>
  </si>
  <si>
    <t xml:space="preserve">ML289817171</t>
  </si>
  <si>
    <t xml:space="preserve">S77647603</t>
  </si>
  <si>
    <t xml:space="preserve">08:52</t>
  </si>
  <si>
    <t xml:space="preserve">macaulay/flac/289817171.flac</t>
  </si>
  <si>
    <t xml:space="preserve">ML647331435</t>
  </si>
  <si>
    <t xml:space="preserve">macaulay/flac/647331435.flac</t>
  </si>
  <si>
    <t xml:space="preserve">ML647331504</t>
  </si>
  <si>
    <t xml:space="preserve">macaulay/flac/647331504.flac</t>
  </si>
  <si>
    <t xml:space="preserve">ML647391381</t>
  </si>
  <si>
    <t xml:space="preserve">macaulay/flac/647391381.flac</t>
  </si>
  <si>
    <t xml:space="preserve">ML103128581</t>
  </si>
  <si>
    <t xml:space="preserve">S46102402</t>
  </si>
  <si>
    <t xml:space="preserve">macaulay/flac/103128581.flac</t>
  </si>
  <si>
    <t xml:space="preserve">ML145622101</t>
  </si>
  <si>
    <t xml:space="preserve">macaulay/flac/145622101.flac</t>
  </si>
  <si>
    <t xml:space="preserve">ML145623491</t>
  </si>
  <si>
    <t xml:space="preserve">macaulay/flac/145623491.flac</t>
  </si>
  <si>
    <t xml:space="preserve">ML184050</t>
  </si>
  <si>
    <t xml:space="preserve">Slaty-breasted Tinamou; Great Tinamou; Mantled Howler Monkey</t>
  </si>
  <si>
    <t xml:space="preserve">Curtis Marantz|</t>
  </si>
  <si>
    <t xml:space="preserve">macaulay/flac/184050.flac</t>
  </si>
  <si>
    <t xml:space="preserve">group label: Chestnut-backed Antbird (Chestnut-backed)</t>
  </si>
  <si>
    <t xml:space="preserve">ML215386</t>
  </si>
  <si>
    <t xml:space="preserve">macaulay/flac/215386.flac</t>
  </si>
  <si>
    <t xml:space="preserve">ML28132</t>
  </si>
  <si>
    <t xml:space="preserve">macaulay/flac/28132.flac</t>
  </si>
  <si>
    <t xml:space="preserve">ML299640</t>
  </si>
  <si>
    <t xml:space="preserve">macaulay/flac/299640.flac</t>
  </si>
  <si>
    <t xml:space="preserve">ML32449281</t>
  </si>
  <si>
    <t xml:space="preserve">S30417002</t>
  </si>
  <si>
    <t xml:space="preserve">macaulay/flac/32449281.flac</t>
  </si>
  <si>
    <t xml:space="preserve">ML336532861</t>
  </si>
  <si>
    <t xml:space="preserve">macaulay/flac/336532861.flac</t>
  </si>
  <si>
    <t xml:space="preserve">ML336534191</t>
  </si>
  <si>
    <t xml:space="preserve">macaulay/flac/336534191.flac</t>
  </si>
  <si>
    <t xml:space="preserve">ML338492511</t>
  </si>
  <si>
    <t xml:space="preserve">S86849322</t>
  </si>
  <si>
    <t xml:space="preserve">macaulay/flac/338492511.flac</t>
  </si>
  <si>
    <t xml:space="preserve">ML485897321</t>
  </si>
  <si>
    <t xml:space="preserve">S117380778</t>
  </si>
  <si>
    <t xml:space="preserve">Erick Barbato</t>
  </si>
  <si>
    <t xml:space="preserve">macaulay/flac/485897321.flac</t>
  </si>
  <si>
    <t xml:space="preserve">ML498000971</t>
  </si>
  <si>
    <t xml:space="preserve">macaulay/flac/498000971.flac</t>
  </si>
  <si>
    <t xml:space="preserve">ML539998471</t>
  </si>
  <si>
    <t xml:space="preserve">macaulay/flac/539998471.flac</t>
  </si>
  <si>
    <t xml:space="preserve">ML597933441</t>
  </si>
  <si>
    <t xml:space="preserve">macaulay/flac/597933441.flac</t>
  </si>
  <si>
    <t xml:space="preserve">ML607939871</t>
  </si>
  <si>
    <t xml:space="preserve">S147942542</t>
  </si>
  <si>
    <t xml:space="preserve">Nolan A. Walker</t>
  </si>
  <si>
    <t xml:space="preserve">macaulay/flac/607939871.flac</t>
  </si>
  <si>
    <t xml:space="preserve">ML610541278</t>
  </si>
  <si>
    <t xml:space="preserve">S152922197</t>
  </si>
  <si>
    <t xml:space="preserve">macaulay/flac/610541278.flac</t>
  </si>
  <si>
    <t xml:space="preserve">ML610571987</t>
  </si>
  <si>
    <t xml:space="preserve">macaulay/flac/610571987.flac</t>
  </si>
  <si>
    <t xml:space="preserve">ML610571989</t>
  </si>
  <si>
    <t xml:space="preserve">macaulay/flac/610571989.flac</t>
  </si>
  <si>
    <t xml:space="preserve">ML610571999</t>
  </si>
  <si>
    <t xml:space="preserve">macaulay/flac/610571999.flac</t>
  </si>
  <si>
    <t xml:space="preserve">ML611871872</t>
  </si>
  <si>
    <t xml:space="preserve">S155094719</t>
  </si>
  <si>
    <t xml:space="preserve">Gina Turone 🐩</t>
  </si>
  <si>
    <t xml:space="preserve">07:59</t>
  </si>
  <si>
    <t xml:space="preserve">macaulay/flac/611871872.flac</t>
  </si>
  <si>
    <t xml:space="preserve">ML611871924</t>
  </si>
  <si>
    <t xml:space="preserve">macaulay/flac/611871924.flac</t>
  </si>
  <si>
    <t xml:space="preserve">ML613430060</t>
  </si>
  <si>
    <t xml:space="preserve">S158712504</t>
  </si>
  <si>
    <t xml:space="preserve">12:24</t>
  </si>
  <si>
    <t xml:space="preserve">macaulay/flac/613430060.flac</t>
  </si>
  <si>
    <t xml:space="preserve">ML613430357</t>
  </si>
  <si>
    <t xml:space="preserve">macaulay/flac/613430357.flac</t>
  </si>
  <si>
    <t xml:space="preserve">ML620169784</t>
  </si>
  <si>
    <t xml:space="preserve">macaulay/flac/620169784.flac</t>
  </si>
  <si>
    <t xml:space="preserve">ML621760303</t>
  </si>
  <si>
    <t xml:space="preserve">macaulay/flac/621760303.flac</t>
  </si>
  <si>
    <t xml:space="preserve">ML626930810</t>
  </si>
  <si>
    <t xml:space="preserve">S202477496</t>
  </si>
  <si>
    <t xml:space="preserve">05:22</t>
  </si>
  <si>
    <t xml:space="preserve">macaulay/flac/626930810.flac</t>
  </si>
  <si>
    <t xml:space="preserve">ML626930811</t>
  </si>
  <si>
    <t xml:space="preserve">Wood Thrush; Orange-billed Sparrow</t>
  </si>
  <si>
    <t xml:space="preserve">macaulay/flac/626930811.flac</t>
  </si>
  <si>
    <t xml:space="preserve">ML631664546</t>
  </si>
  <si>
    <t xml:space="preserve">macaulay/flac/631664546.flac</t>
  </si>
  <si>
    <t xml:space="preserve">ML632692760</t>
  </si>
  <si>
    <t xml:space="preserve">macaulay/flac/632692760.flac</t>
  </si>
  <si>
    <t xml:space="preserve">ML632692770</t>
  </si>
  <si>
    <t xml:space="preserve">macaulay/flac/632692770.flac</t>
  </si>
  <si>
    <t xml:space="preserve">ML638982557</t>
  </si>
  <si>
    <t xml:space="preserve">S158812746</t>
  </si>
  <si>
    <t xml:space="preserve">14:03</t>
  </si>
  <si>
    <t xml:space="preserve">macaulay/flac/638982557.flac</t>
  </si>
  <si>
    <t xml:space="preserve">ML638982572</t>
  </si>
  <si>
    <t xml:space="preserve">macaulay/flac/638982572.flac</t>
  </si>
  <si>
    <t xml:space="preserve">ML639165195</t>
  </si>
  <si>
    <t xml:space="preserve">S257303877</t>
  </si>
  <si>
    <t xml:space="preserve">16:09</t>
  </si>
  <si>
    <t xml:space="preserve">macaulay/flac/639165195.flac</t>
  </si>
  <si>
    <t xml:space="preserve">ML639170577</t>
  </si>
  <si>
    <t xml:space="preserve">macaulay/flac/639170577.flac</t>
  </si>
  <si>
    <t xml:space="preserve">ML643633366</t>
  </si>
  <si>
    <t xml:space="preserve">S257622924</t>
  </si>
  <si>
    <t xml:space="preserve">macaulay/flac/643633366.flac</t>
  </si>
  <si>
    <t xml:space="preserve">ML648568567</t>
  </si>
  <si>
    <t xml:space="preserve">macaulay/flac/648568567.flac</t>
  </si>
  <si>
    <t xml:space="preserve">ML648568678</t>
  </si>
  <si>
    <t xml:space="preserve">macaulay/flac/648568678.flac</t>
  </si>
  <si>
    <t xml:space="preserve">ML129903341</t>
  </si>
  <si>
    <t xml:space="preserve">macaulay/flac/129903341.flac</t>
  </si>
  <si>
    <t xml:space="preserve">ML169970601</t>
  </si>
  <si>
    <t xml:space="preserve">macaulay/flac/169970601.flac</t>
  </si>
  <si>
    <t xml:space="preserve">ML179452611</t>
  </si>
  <si>
    <t xml:space="preserve">macaulay/flac/179452611.flac</t>
  </si>
  <si>
    <t xml:space="preserve">ML184018</t>
  </si>
  <si>
    <t xml:space="preserve">Social Flycatcher; Piratic Flycatcher; Short-billed Pigeon; Cocoa Woodcreeper; Southern House Wren; Yellow-bellied Elaenia</t>
  </si>
  <si>
    <t xml:space="preserve">macaulay/flac/184018.flac</t>
  </si>
  <si>
    <t xml:space="preserve">ML193406661</t>
  </si>
  <si>
    <t xml:space="preserve">S62278949</t>
  </si>
  <si>
    <t xml:space="preserve">14:19</t>
  </si>
  <si>
    <t xml:space="preserve">macaulay/flac/193406661.flac</t>
  </si>
  <si>
    <t xml:space="preserve">ML215338</t>
  </si>
  <si>
    <t xml:space="preserve">09:44</t>
  </si>
  <si>
    <t xml:space="preserve">macaulay/flac/215338.flac</t>
  </si>
  <si>
    <t xml:space="preserve">ML215438</t>
  </si>
  <si>
    <t xml:space="preserve">macaulay/flac/215438.flac</t>
  </si>
  <si>
    <t xml:space="preserve">ML28145</t>
  </si>
  <si>
    <t xml:space="preserve">macaulay/flac/28145.flac</t>
  </si>
  <si>
    <t xml:space="preserve">ML621760012</t>
  </si>
  <si>
    <t xml:space="preserve">macaulay/flac/621760012.flac</t>
  </si>
  <si>
    <t xml:space="preserve">ML621760013</t>
  </si>
  <si>
    <t xml:space="preserve">macaulay/flac/621760013.flac</t>
  </si>
  <si>
    <t xml:space="preserve">ML621760014</t>
  </si>
  <si>
    <t xml:space="preserve">macaulay/flac/621760014.flac</t>
  </si>
  <si>
    <t xml:space="preserve">ML641982392</t>
  </si>
  <si>
    <t xml:space="preserve">S272279308</t>
  </si>
  <si>
    <t xml:space="preserve">Mitchell Dart</t>
  </si>
  <si>
    <t xml:space="preserve">macaulay/flac/641982392.flac</t>
  </si>
  <si>
    <t xml:space="preserve">ML647496729</t>
  </si>
  <si>
    <t xml:space="preserve">Graceful Black-throated Trogon; Orange-billed Sparrow</t>
  </si>
  <si>
    <t xml:space="preserve">macaulay/flac/647496729.flac</t>
  </si>
  <si>
    <t xml:space="preserve">ML653258716</t>
  </si>
  <si>
    <t xml:space="preserve">S311561703</t>
  </si>
  <si>
    <t xml:space="preserve">Diego Rodríguez C.</t>
  </si>
  <si>
    <t xml:space="preserve">05:28</t>
  </si>
  <si>
    <t xml:space="preserve">macaulay/flac/653258716.flac</t>
  </si>
  <si>
    <t xml:space="preserve">ML662399124</t>
  </si>
  <si>
    <t xml:space="preserve">S332635933</t>
  </si>
  <si>
    <t xml:space="preserve">macaulay/flac/662399124.flac</t>
  </si>
  <si>
    <t xml:space="preserve">ML193405831</t>
  </si>
  <si>
    <t xml:space="preserve">macaulay/flac/193405831.flac</t>
  </si>
  <si>
    <t xml:space="preserve">ML268165121</t>
  </si>
  <si>
    <t xml:space="preserve">S73560031</t>
  </si>
  <si>
    <t xml:space="preserve">07:46</t>
  </si>
  <si>
    <t xml:space="preserve">macaulay/flac/268165121.flac</t>
  </si>
  <si>
    <t xml:space="preserve">ML609056547</t>
  </si>
  <si>
    <t xml:space="preserve">macaulay/flac/609056547.flac</t>
  </si>
  <si>
    <t xml:space="preserve">ML621760229</t>
  </si>
  <si>
    <t xml:space="preserve">macaulay/flac/621760229.flac</t>
  </si>
  <si>
    <t xml:space="preserve">ML627957501</t>
  </si>
  <si>
    <t xml:space="preserve">S205425696</t>
  </si>
  <si>
    <t xml:space="preserve">macaulay/flac/627957501.flac</t>
  </si>
  <si>
    <t xml:space="preserve">ML627957502</t>
  </si>
  <si>
    <t xml:space="preserve">macaulay/flac/627957502.flac</t>
  </si>
  <si>
    <t xml:space="preserve">ML649900004</t>
  </si>
  <si>
    <t xml:space="preserve">S294263793</t>
  </si>
  <si>
    <t xml:space="preserve">macaulay/flac/649900004.flac</t>
  </si>
  <si>
    <t xml:space="preserve">ML654746707</t>
  </si>
  <si>
    <t xml:space="preserve">S320335848</t>
  </si>
  <si>
    <t xml:space="preserve">09:26</t>
  </si>
  <si>
    <t xml:space="preserve">macaulay/flac/654746707.flac</t>
  </si>
  <si>
    <t xml:space="preserve">ML660493212</t>
  </si>
  <si>
    <t xml:space="preserve">S360964873</t>
  </si>
  <si>
    <t xml:space="preserve">13:47</t>
  </si>
  <si>
    <t xml:space="preserve">macaulay/flac/660493212.flac</t>
  </si>
  <si>
    <t xml:space="preserve">ML39234</t>
  </si>
  <si>
    <t xml:space="preserve">Ted Parker|1983-03-30</t>
  </si>
  <si>
    <t xml:space="preserve">macaulay/flac/39234.flac</t>
  </si>
  <si>
    <t xml:space="preserve">ML51722</t>
  </si>
  <si>
    <t xml:space="preserve">macaulay/flac/51722.flac</t>
  </si>
  <si>
    <t xml:space="preserve">ML610540419</t>
  </si>
  <si>
    <t xml:space="preserve">S152925158</t>
  </si>
  <si>
    <t xml:space="preserve">06:59</t>
  </si>
  <si>
    <t xml:space="preserve">macaulay/flac/610540419.flac</t>
  </si>
  <si>
    <t xml:space="preserve">ML621760355</t>
  </si>
  <si>
    <t xml:space="preserve">S154453280</t>
  </si>
  <si>
    <t xml:space="preserve">07:28</t>
  </si>
  <si>
    <t xml:space="preserve">macaulay/flac/621760355.flac</t>
  </si>
  <si>
    <t xml:space="preserve">ML647565698</t>
  </si>
  <si>
    <t xml:space="preserve">macaulay/flac/647565698.flac</t>
  </si>
  <si>
    <t xml:space="preserve">ML184774</t>
  </si>
  <si>
    <t xml:space="preserve">David L. Ross, Jr.|1996-05-22</t>
  </si>
  <si>
    <t xml:space="preserve">16:02</t>
  </si>
  <si>
    <t xml:space="preserve">macaulay/flac/184774.flac</t>
  </si>
  <si>
    <t xml:space="preserve">ML184776</t>
  </si>
  <si>
    <t xml:space="preserve">16:13</t>
  </si>
  <si>
    <t xml:space="preserve">macaulay/flac/184776.flac</t>
  </si>
  <si>
    <t xml:space="preserve">ML209451</t>
  </si>
  <si>
    <t xml:space="preserve">05:01</t>
  </si>
  <si>
    <t xml:space="preserve">macaulay/flac/209451.flac</t>
  </si>
  <si>
    <t xml:space="preserve">ML299656</t>
  </si>
  <si>
    <t xml:space="preserve">macaulay/flac/299656.flac</t>
  </si>
  <si>
    <t xml:space="preserve">ML609056492</t>
  </si>
  <si>
    <t xml:space="preserve">macaulay/flac/609056492.flac</t>
  </si>
  <si>
    <t xml:space="preserve">ML614213628</t>
  </si>
  <si>
    <t xml:space="preserve">S108343195</t>
  </si>
  <si>
    <t xml:space="preserve">16:59</t>
  </si>
  <si>
    <t xml:space="preserve">macaulay/flac/614213628.flac</t>
  </si>
  <si>
    <t xml:space="preserve">ML627955432</t>
  </si>
  <si>
    <t xml:space="preserve">S205301486</t>
  </si>
  <si>
    <t xml:space="preserve">15:10</t>
  </si>
  <si>
    <t xml:space="preserve">macaulay/flac/627955432.flac</t>
  </si>
  <si>
    <t xml:space="preserve">ML654240020</t>
  </si>
  <si>
    <t xml:space="preserve">macaulay/flac/654240020.flac</t>
  </si>
  <si>
    <t xml:space="preserve">ML654318165</t>
  </si>
  <si>
    <t xml:space="preserve">macaulay/flac/654318165.flac</t>
  </si>
  <si>
    <t xml:space="preserve">ML654515246</t>
  </si>
  <si>
    <t xml:space="preserve">S312860972</t>
  </si>
  <si>
    <t xml:space="preserve">E R</t>
  </si>
  <si>
    <t xml:space="preserve">05:58</t>
  </si>
  <si>
    <t xml:space="preserve">macaulay/flac/654515246.flac</t>
  </si>
  <si>
    <t xml:space="preserve">ML662831494</t>
  </si>
  <si>
    <t xml:space="preserve">macaulay/flac/662831494.flac</t>
  </si>
  <si>
    <t xml:space="preserve">XC331390</t>
  </si>
  <si>
    <t xml:space="preserve">data-prep/xc_flac/Pachyramphus_cinnamomeus/XC331390.flac</t>
  </si>
  <si>
    <t xml:space="preserve">ML621759970</t>
  </si>
  <si>
    <t xml:space="preserve">macaulay/flac/621759970.flac</t>
  </si>
  <si>
    <t xml:space="preserve">ML621760275</t>
  </si>
  <si>
    <t xml:space="preserve">macaulay/flac/621760275.flac</t>
  </si>
  <si>
    <t xml:space="preserve">ML647448221</t>
  </si>
  <si>
    <t xml:space="preserve">macaulay/flac/647448221.flac</t>
  </si>
  <si>
    <t xml:space="preserve">ML647496788</t>
  </si>
  <si>
    <t xml:space="preserve">macaulay/flac/647496788.flac</t>
  </si>
  <si>
    <t xml:space="preserve">ML647496829</t>
  </si>
  <si>
    <t xml:space="preserve">White-tipped Dove; Red-lored Amazon</t>
  </si>
  <si>
    <t xml:space="preserve">macaulay/flac/647496829.flac</t>
  </si>
  <si>
    <t xml:space="preserve">ML647496897</t>
  </si>
  <si>
    <t xml:space="preserve">Gartered Violaceous Trogon; White-tipped Dove</t>
  </si>
  <si>
    <t xml:space="preserve">macaulay/flac/647496897.flac</t>
  </si>
  <si>
    <t xml:space="preserve">ML654240196</t>
  </si>
  <si>
    <t xml:space="preserve">S302874637</t>
  </si>
  <si>
    <t xml:space="preserve">macaulay/flac/654240196.flac</t>
  </si>
  <si>
    <t xml:space="preserve">ML661712317</t>
  </si>
  <si>
    <t xml:space="preserve">macaulay/flac/661712317.flac</t>
  </si>
  <si>
    <t xml:space="preserve">ML102589191</t>
  </si>
  <si>
    <t xml:space="preserve">macaulay/flac/102589191.flac</t>
  </si>
  <si>
    <t xml:space="preserve">ML151643141</t>
  </si>
  <si>
    <t xml:space="preserve">macaulay/flac/151643141.flac</t>
  </si>
  <si>
    <t xml:space="preserve">ML152036951</t>
  </si>
  <si>
    <t xml:space="preserve">macaulay/flac/152036951.flac</t>
  </si>
  <si>
    <t xml:space="preserve">ML155580131</t>
  </si>
  <si>
    <t xml:space="preserve">macaulay/flac/155580131.flac</t>
  </si>
  <si>
    <t xml:space="preserve">ML209472</t>
  </si>
  <si>
    <t xml:space="preserve">David L. Ross, Jr.|1993-06-04</t>
  </si>
  <si>
    <t xml:space="preserve">macaulay/flac/209472.flac</t>
  </si>
  <si>
    <t xml:space="preserve">ML184029</t>
  </si>
  <si>
    <t xml:space="preserve">16:37</t>
  </si>
  <si>
    <t xml:space="preserve">macaulay/flac/184029.flac</t>
  </si>
  <si>
    <t xml:space="preserve">ML597934701</t>
  </si>
  <si>
    <t xml:space="preserve">macaulay/flac/597934701.flac</t>
  </si>
  <si>
    <t xml:space="preserve">ML609056506</t>
  </si>
  <si>
    <t xml:space="preserve">macaulay/flac/609056506.flac</t>
  </si>
  <si>
    <t xml:space="preserve">ML609059016</t>
  </si>
  <si>
    <t xml:space="preserve">S150731419</t>
  </si>
  <si>
    <t xml:space="preserve">macaulay/flac/609059016.flac</t>
  </si>
  <si>
    <t xml:space="preserve">ML623042280</t>
  </si>
  <si>
    <t xml:space="preserve">S189874453</t>
  </si>
  <si>
    <t xml:space="preserve">macaulay/flac/623042280.flac</t>
  </si>
  <si>
    <t xml:space="preserve">ML623181371</t>
  </si>
  <si>
    <t xml:space="preserve">macaulay/flac/623181371.flac</t>
  </si>
  <si>
    <t xml:space="preserve">ML638982128</t>
  </si>
  <si>
    <t xml:space="preserve">macaulay/flac/638982128.flac</t>
  </si>
  <si>
    <t xml:space="preserve">ML639171055</t>
  </si>
  <si>
    <t xml:space="preserve">macaulay/flac/639171055.flac</t>
  </si>
  <si>
    <t xml:space="preserve">ML643641407</t>
  </si>
  <si>
    <t xml:space="preserve">macaulay/flac/643641407.flac</t>
  </si>
  <si>
    <t xml:space="preserve">ML653762597</t>
  </si>
  <si>
    <t xml:space="preserve">S296625401</t>
  </si>
  <si>
    <t xml:space="preserve">15:14</t>
  </si>
  <si>
    <t xml:space="preserve">macaulay/flac/653762597.flac</t>
  </si>
  <si>
    <t xml:space="preserve">ML97859841</t>
  </si>
  <si>
    <t xml:space="preserve">macaulay/flac/97859841.flac</t>
  </si>
  <si>
    <t xml:space="preserve">XC331431</t>
  </si>
  <si>
    <t xml:space="preserve">data-prep/xc_flac/Turdus_grayi/XC331431.flac</t>
  </si>
  <si>
    <t xml:space="preserve">ML151640791</t>
  </si>
  <si>
    <t xml:space="preserve">macaulay/flac/151640791.flac</t>
  </si>
  <si>
    <t xml:space="preserve">ML151849721</t>
  </si>
  <si>
    <t xml:space="preserve">macaulay/flac/151849721.flac</t>
  </si>
  <si>
    <t xml:space="preserve">ML184005</t>
  </si>
  <si>
    <t xml:space="preserve">Common Tody-Flycatcher; Piratic Flycatcher; Great Kiskadee; Gray-capped Flycatcher; Clay-colored Thrush; Montezuma Oropendola</t>
  </si>
  <si>
    <t xml:space="preserve">Curtis Marantz|1995-03-23</t>
  </si>
  <si>
    <t xml:space="preserve">macaulay/flac/184005.flac</t>
  </si>
  <si>
    <t xml:space="preserve">group label: Cocoa Woodcreeper (Lawrence's)</t>
  </si>
  <si>
    <t xml:space="preserve">ML184006</t>
  </si>
  <si>
    <t xml:space="preserve">Clay-colored Thrush; amazon sp.; Social Flycatcher; Gray-capped Flycatcher; Black-cheeked Woodpecker; Black-throated Wren; Keel-billed Toucan; Olive-backed Euphonia</t>
  </si>
  <si>
    <t xml:space="preserve">Curtis Marantz|1995-03-24</t>
  </si>
  <si>
    <t xml:space="preserve">macaulay/flac/184006.flac</t>
  </si>
  <si>
    <t xml:space="preserve">ML184010</t>
  </si>
  <si>
    <t xml:space="preserve">13:32</t>
  </si>
  <si>
    <t xml:space="preserve">macaulay/flac/184010.flac</t>
  </si>
  <si>
    <t xml:space="preserve">ML184011</t>
  </si>
  <si>
    <t xml:space="preserve">Clay-colored Thrush; Montezuma Oropendola; Pale-vented Pigeon; Great Kiskadee</t>
  </si>
  <si>
    <t xml:space="preserve">Curtis Marantz|1995-03-25</t>
  </si>
  <si>
    <t xml:space="preserve">macaulay/flac/184011.flac</t>
  </si>
  <si>
    <t xml:space="preserve">ML184017</t>
  </si>
  <si>
    <t xml:space="preserve">Clay-colored Thrush; Black-faced Grosbeak; Montezuma Oropendola; Great Kiskadee; Gray-capped Flycatcher; Little Tinamou</t>
  </si>
  <si>
    <t xml:space="preserve">05:33</t>
  </si>
  <si>
    <t xml:space="preserve">macaulay/flac/184017.flac</t>
  </si>
  <si>
    <t xml:space="preserve">ML184019</t>
  </si>
  <si>
    <t xml:space="preserve">Buff-throated Saltator; Piratic Flycatcher; Great Kiskadee; Short-billed Pigeon; Clay-colored Thrush; Southern House Wren</t>
  </si>
  <si>
    <t xml:space="preserve">05:59</t>
  </si>
  <si>
    <t xml:space="preserve">macaulay/flac/184019.flac</t>
  </si>
  <si>
    <t xml:space="preserve">ML184030</t>
  </si>
  <si>
    <t xml:space="preserve">Clay-colored Thrush; Olive-backed Euphonia; Lesser Greenlet; Black-faced Grosbeak; Great Kiskadee; Piratic Flycatcher; Golden-hooded Tanager; Social Flycatcher; Black-throated Wren</t>
  </si>
  <si>
    <t xml:space="preserve">16:55</t>
  </si>
  <si>
    <t xml:space="preserve">macaulay/flac/184030.flac</t>
  </si>
  <si>
    <t xml:space="preserve">ML184245</t>
  </si>
  <si>
    <t xml:space="preserve">Bright-rumped Attila; Scarlet-rumped Tanager (Passerini's); Tropical Kingbird; Black-throated Wren; Black-striped Sparrow; Green Ibis; Clay-colored Thrush; Montezuma Oropendola</t>
  </si>
  <si>
    <t xml:space="preserve">Curtis Marantz|1995-04-23</t>
  </si>
  <si>
    <t xml:space="preserve">05:20</t>
  </si>
  <si>
    <t xml:space="preserve">macaulay/flac/184245.flac</t>
  </si>
  <si>
    <t xml:space="preserve">ML185746</t>
  </si>
  <si>
    <t xml:space="preserve">15:25</t>
  </si>
  <si>
    <t xml:space="preserve">macaulay/flac/185746.flac</t>
  </si>
  <si>
    <t xml:space="preserve">ML203941411</t>
  </si>
  <si>
    <t xml:space="preserve">S65091286</t>
  </si>
  <si>
    <t xml:space="preserve">macaulay/flac/203941411.flac</t>
  </si>
  <si>
    <t xml:space="preserve">ML28158</t>
  </si>
  <si>
    <t xml:space="preserve">macaulay/flac/28158.flac</t>
  </si>
  <si>
    <t xml:space="preserve">ML289816001</t>
  </si>
  <si>
    <t xml:space="preserve">S77622413</t>
  </si>
  <si>
    <t xml:space="preserve">macaulay/flac/289816001.flac</t>
  </si>
  <si>
    <t xml:space="preserve">ML32448641</t>
  </si>
  <si>
    <t xml:space="preserve">macaulay/flac/32448641.flac</t>
  </si>
  <si>
    <t xml:space="preserve">ML471206431</t>
  </si>
  <si>
    <t xml:space="preserve">macaulay/flac/471206431.flac</t>
  </si>
  <si>
    <t xml:space="preserve">ML492880471</t>
  </si>
  <si>
    <t xml:space="preserve">S120227673</t>
  </si>
  <si>
    <t xml:space="preserve">05:05</t>
  </si>
  <si>
    <t xml:space="preserve">macaulay/flac/492880471.flac</t>
  </si>
  <si>
    <t xml:space="preserve">ML531098861</t>
  </si>
  <si>
    <t xml:space="preserve">macaulay/flac/531098861.flac</t>
  </si>
  <si>
    <t xml:space="preserve">ML543400931</t>
  </si>
  <si>
    <t xml:space="preserve">macaulay/flac/543400931.flac</t>
  </si>
  <si>
    <t xml:space="preserve">ML553696071</t>
  </si>
  <si>
    <t xml:space="preserve">S132442569</t>
  </si>
  <si>
    <t xml:space="preserve">12:38</t>
  </si>
  <si>
    <t xml:space="preserve">macaulay/flac/553696071.flac</t>
  </si>
  <si>
    <t xml:space="preserve">ML597934261</t>
  </si>
  <si>
    <t xml:space="preserve">macaulay/flac/597934261.flac</t>
  </si>
  <si>
    <t xml:space="preserve">ML612714881</t>
  </si>
  <si>
    <t xml:space="preserve">S126023108</t>
  </si>
  <si>
    <t xml:space="preserve">macaulay/flac/612714881.flac</t>
  </si>
  <si>
    <t xml:space="preserve">ML616167559</t>
  </si>
  <si>
    <t xml:space="preserve">S165204538</t>
  </si>
  <si>
    <t xml:space="preserve">14:02</t>
  </si>
  <si>
    <t xml:space="preserve">macaulay/flac/616167559.flac</t>
  </si>
  <si>
    <t xml:space="preserve">ML617983555</t>
  </si>
  <si>
    <t xml:space="preserve">S149561675</t>
  </si>
  <si>
    <t xml:space="preserve">macaulay/flac/617983555.flac</t>
  </si>
  <si>
    <t xml:space="preserve">ML621759330</t>
  </si>
  <si>
    <t xml:space="preserve">S153443026</t>
  </si>
  <si>
    <t xml:space="preserve">macaulay/flac/621759330.flac</t>
  </si>
  <si>
    <t xml:space="preserve">ML622575665</t>
  </si>
  <si>
    <t xml:space="preserve">macaulay/flac/622575665.flac</t>
  </si>
  <si>
    <t xml:space="preserve">ML627957696</t>
  </si>
  <si>
    <t xml:space="preserve">S205426369</t>
  </si>
  <si>
    <t xml:space="preserve">16:14</t>
  </si>
  <si>
    <t xml:space="preserve">macaulay/flac/627957696.flac</t>
  </si>
  <si>
    <t xml:space="preserve">ML634072587</t>
  </si>
  <si>
    <t xml:space="preserve">Great Kiskadee; Broad-billed Motmot; Bright-rumped Attila; Scarlet-rumped Cacique; Clay-colored Thrush; Great Tinamou</t>
  </si>
  <si>
    <t xml:space="preserve">S215606637</t>
  </si>
  <si>
    <t xml:space="preserve">17:21</t>
  </si>
  <si>
    <t xml:space="preserve">macaulay/flac/634072587.flac</t>
  </si>
  <si>
    <t xml:space="preserve">ML639078933</t>
  </si>
  <si>
    <t xml:space="preserve">S260221370</t>
  </si>
  <si>
    <t xml:space="preserve">10:17</t>
  </si>
  <si>
    <t xml:space="preserve">macaulay/flac/639078933.flac</t>
  </si>
  <si>
    <t xml:space="preserve">ML639078934</t>
  </si>
  <si>
    <t xml:space="preserve">macaulay/flac/639078934.flac</t>
  </si>
  <si>
    <t xml:space="preserve">ML639176041</t>
  </si>
  <si>
    <t xml:space="preserve">macaulay/flac/639176041.flac</t>
  </si>
  <si>
    <t xml:space="preserve">ML648333551</t>
  </si>
  <si>
    <t xml:space="preserve">S128870340</t>
  </si>
  <si>
    <t xml:space="preserve">macaulay/flac/648333551.flac</t>
  </si>
  <si>
    <t xml:space="preserve">ML654320353</t>
  </si>
  <si>
    <t xml:space="preserve">macaulay/flac/654320353.flac</t>
  </si>
  <si>
    <t xml:space="preserve">ML654599405</t>
  </si>
  <si>
    <t xml:space="preserve">macaulay/flac/654599405.flac</t>
  </si>
  <si>
    <t xml:space="preserve">ML654599952</t>
  </si>
  <si>
    <t xml:space="preserve">macaulay/flac/654599952.flac</t>
  </si>
  <si>
    <t xml:space="preserve">ML654658840</t>
  </si>
  <si>
    <t xml:space="preserve">macaulay/flac/654658840.flac</t>
  </si>
  <si>
    <t xml:space="preserve">ML654659127</t>
  </si>
  <si>
    <t xml:space="preserve">macaulay/flac/654659127.flac</t>
  </si>
  <si>
    <t xml:space="preserve">ML655713688</t>
  </si>
  <si>
    <t xml:space="preserve">S95424646</t>
  </si>
  <si>
    <t xml:space="preserve">Jenny Sharland</t>
  </si>
  <si>
    <t xml:space="preserve">09:02</t>
  </si>
  <si>
    <t xml:space="preserve">macaulay/flac/655713688.flac</t>
  </si>
  <si>
    <t xml:space="preserve">ML6994</t>
  </si>
  <si>
    <t xml:space="preserve">macaulay/flac/6994.flac</t>
  </si>
  <si>
    <t xml:space="preserve">ML97068241</t>
  </si>
  <si>
    <t xml:space="preserve">S45059028</t>
  </si>
  <si>
    <t xml:space="preserve">macaulay/flac/97068241.flac</t>
  </si>
  <si>
    <t xml:space="preserve">ML97468721</t>
  </si>
  <si>
    <t xml:space="preserve">macaulay/flac/97468721.flac</t>
  </si>
  <si>
    <t xml:space="preserve">ML179453761</t>
  </si>
  <si>
    <t xml:space="preserve">macaulay/flac/179453761.flac</t>
  </si>
  <si>
    <t xml:space="preserve">group label: Collared Aracari</t>
  </si>
  <si>
    <t xml:space="preserve">ML215370</t>
  </si>
  <si>
    <t xml:space="preserve">macaulay/flac/215370.flac</t>
  </si>
  <si>
    <t xml:space="preserve">ML46104491</t>
  </si>
  <si>
    <t xml:space="preserve">S33775442</t>
  </si>
  <si>
    <t xml:space="preserve">Will Sweet</t>
  </si>
  <si>
    <t xml:space="preserve">macaulay/flac/46104491.flac</t>
  </si>
  <si>
    <t xml:space="preserve">ML621760096</t>
  </si>
  <si>
    <t xml:space="preserve">macaulay/flac/621760096.flac</t>
  </si>
  <si>
    <t xml:space="preserve">ML639219134</t>
  </si>
  <si>
    <t xml:space="preserve">macaulay/flac/639219134.flac</t>
  </si>
  <si>
    <t xml:space="preserve">ML153720491</t>
  </si>
  <si>
    <t xml:space="preserve">macaulay/flac/153720491.flac</t>
  </si>
  <si>
    <t xml:space="preserve">ML179453751</t>
  </si>
  <si>
    <t xml:space="preserve">macaulay/flac/179453751.flac</t>
  </si>
  <si>
    <t xml:space="preserve">ML193367371</t>
  </si>
  <si>
    <t xml:space="preserve">S62091482</t>
  </si>
  <si>
    <t xml:space="preserve">Mike Ostrowski</t>
  </si>
  <si>
    <t xml:space="preserve">macaulay/flac/193367371.flac</t>
  </si>
  <si>
    <t xml:space="preserve">ML193406161</t>
  </si>
  <si>
    <t xml:space="preserve">macaulay/flac/193406161.flac</t>
  </si>
  <si>
    <t xml:space="preserve">ML289815781</t>
  </si>
  <si>
    <t xml:space="preserve">macaulay/flac/289815781.flac</t>
  </si>
  <si>
    <t xml:space="preserve">ML45569031</t>
  </si>
  <si>
    <t xml:space="preserve">S33609955</t>
  </si>
  <si>
    <t xml:space="preserve">macaulay/flac/45569031.flac</t>
  </si>
  <si>
    <t xml:space="preserve">ML619786771</t>
  </si>
  <si>
    <t xml:space="preserve">S155083091</t>
  </si>
  <si>
    <t xml:space="preserve">05:15</t>
  </si>
  <si>
    <t xml:space="preserve">macaulay/flac/619786771.flac</t>
  </si>
  <si>
    <t xml:space="preserve">XC332450</t>
  </si>
  <si>
    <t xml:space="preserve">13:30</t>
  </si>
  <si>
    <t xml:space="preserve">data-prep/xc_flac/Trogon_collaris/XC332450.flac</t>
  </si>
  <si>
    <t xml:space="preserve">call; Reserva Curi-Cancha, Monteverde, 1500 m</t>
  </si>
  <si>
    <t xml:space="preserve">ML143086151</t>
  </si>
  <si>
    <t xml:space="preserve">S51188778</t>
  </si>
  <si>
    <t xml:space="preserve">16:42</t>
  </si>
  <si>
    <t xml:space="preserve">macaulay/flac/143086151.flac</t>
  </si>
  <si>
    <t xml:space="preserve">ML513741521</t>
  </si>
  <si>
    <t xml:space="preserve">S124078760</t>
  </si>
  <si>
    <t xml:space="preserve">20:34</t>
  </si>
  <si>
    <t xml:space="preserve">macaulay/flac/513741521.flac</t>
  </si>
  <si>
    <t xml:space="preserve">ML531097351</t>
  </si>
  <si>
    <t xml:space="preserve">macaulay/flac/531097351.flac</t>
  </si>
  <si>
    <t xml:space="preserve">ML531098501</t>
  </si>
  <si>
    <t xml:space="preserve">macaulay/flac/531098501.flac</t>
  </si>
  <si>
    <t xml:space="preserve">ML538702141</t>
  </si>
  <si>
    <t xml:space="preserve">S129455184</t>
  </si>
  <si>
    <t xml:space="preserve">18:00</t>
  </si>
  <si>
    <t xml:space="preserve">macaulay/flac/538702141.flac</t>
  </si>
  <si>
    <t xml:space="preserve">ML539976961</t>
  </si>
  <si>
    <t xml:space="preserve">S122116039</t>
  </si>
  <si>
    <t xml:space="preserve">13:45</t>
  </si>
  <si>
    <t xml:space="preserve">macaulay/flac/539976961.flac</t>
  </si>
  <si>
    <t xml:space="preserve">ML543401271</t>
  </si>
  <si>
    <t xml:space="preserve">macaulay/flac/543401271.flac</t>
  </si>
  <si>
    <t xml:space="preserve">ML597934951</t>
  </si>
  <si>
    <t xml:space="preserve">macaulay/flac/597934951.flac</t>
  </si>
  <si>
    <t xml:space="preserve">ML609056541</t>
  </si>
  <si>
    <t xml:space="preserve">macaulay/flac/609056541.flac</t>
  </si>
  <si>
    <t xml:space="preserve">ML609059017</t>
  </si>
  <si>
    <t xml:space="preserve">macaulay/flac/609059017.flac</t>
  </si>
  <si>
    <t xml:space="preserve">ML612712908</t>
  </si>
  <si>
    <t xml:space="preserve">S125907218</t>
  </si>
  <si>
    <t xml:space="preserve">17:55</t>
  </si>
  <si>
    <t xml:space="preserve">macaulay/flac/612712908.flac</t>
  </si>
  <si>
    <t xml:space="preserve">ML613429629</t>
  </si>
  <si>
    <t xml:space="preserve">S158680071</t>
  </si>
  <si>
    <t xml:space="preserve">19:59</t>
  </si>
  <si>
    <t xml:space="preserve">macaulay/flac/613429629.flac</t>
  </si>
  <si>
    <t xml:space="preserve">ML615003540</t>
  </si>
  <si>
    <t xml:space="preserve">macaulay/flac/615003540.flac</t>
  </si>
  <si>
    <t xml:space="preserve">ML618271502</t>
  </si>
  <si>
    <t xml:space="preserve">S157206511</t>
  </si>
  <si>
    <t xml:space="preserve">Dalton Spencer</t>
  </si>
  <si>
    <t xml:space="preserve">22:07</t>
  </si>
  <si>
    <t xml:space="preserve">macaulay/flac/618271502.flac</t>
  </si>
  <si>
    <t xml:space="preserve">ML621759932</t>
  </si>
  <si>
    <t xml:space="preserve">macaulay/flac/621759932.flac</t>
  </si>
  <si>
    <t xml:space="preserve">ML625818089</t>
  </si>
  <si>
    <t xml:space="preserve">S199446740</t>
  </si>
  <si>
    <t xml:space="preserve">James Mitchell</t>
  </si>
  <si>
    <t xml:space="preserve">macaulay/flac/625818089.flac</t>
  </si>
  <si>
    <t xml:space="preserve">ML628599001</t>
  </si>
  <si>
    <t xml:space="preserve">S189874458</t>
  </si>
  <si>
    <t xml:space="preserve">19:15</t>
  </si>
  <si>
    <t xml:space="preserve">macaulay/flac/628599001.flac</t>
  </si>
  <si>
    <t xml:space="preserve">ML630277781</t>
  </si>
  <si>
    <t xml:space="preserve">S210690213</t>
  </si>
  <si>
    <t xml:space="preserve">Ed Stubbs</t>
  </si>
  <si>
    <t xml:space="preserve">19:08</t>
  </si>
  <si>
    <t xml:space="preserve">macaulay/flac/630277781.flac</t>
  </si>
  <si>
    <t xml:space="preserve">ML642419735</t>
  </si>
  <si>
    <t xml:space="preserve">macaulay/flac/642419735.flac</t>
  </si>
  <si>
    <t xml:space="preserve">ML654441782</t>
  </si>
  <si>
    <t xml:space="preserve">S310466698</t>
  </si>
  <si>
    <t xml:space="preserve">macaulay/flac/654441782.flac</t>
  </si>
  <si>
    <t xml:space="preserve">ML663617868</t>
  </si>
  <si>
    <t xml:space="preserve">S386639137</t>
  </si>
  <si>
    <t xml:space="preserve">Benjamin Weihe</t>
  </si>
  <si>
    <t xml:space="preserve">macaulay/flac/663617868.flac</t>
  </si>
  <si>
    <t xml:space="preserve">ML209494</t>
  </si>
  <si>
    <t xml:space="preserve">David L. Ross, Jr.|1993-06-06</t>
  </si>
  <si>
    <t xml:space="preserve">21:22</t>
  </si>
  <si>
    <t xml:space="preserve">macaulay/flac/209494.flac</t>
  </si>
  <si>
    <t xml:space="preserve">ML215360</t>
  </si>
  <si>
    <t xml:space="preserve">20:47</t>
  </si>
  <si>
    <t xml:space="preserve">macaulay/flac/215360.flac</t>
  </si>
  <si>
    <t xml:space="preserve">ML57349</t>
  </si>
  <si>
    <t xml:space="preserve">01:34</t>
  </si>
  <si>
    <t xml:space="preserve">macaulay/flac/57349.flac</t>
  </si>
  <si>
    <t xml:space="preserve">ML299663</t>
  </si>
  <si>
    <t xml:space="preserve">13:20</t>
  </si>
  <si>
    <t xml:space="preserve">macaulay/flac/299663.flac</t>
  </si>
  <si>
    <t xml:space="preserve">ML400113631</t>
  </si>
  <si>
    <t xml:space="preserve">S99082137</t>
  </si>
  <si>
    <t xml:space="preserve">macaulay/flac/400113631.flac</t>
  </si>
  <si>
    <t xml:space="preserve">ML643641351</t>
  </si>
  <si>
    <t xml:space="preserve">macaulay/flac/643641351.flac</t>
  </si>
  <si>
    <t xml:space="preserve">ML663970966</t>
  </si>
  <si>
    <t xml:space="preserve">S210321576</t>
  </si>
  <si>
    <t xml:space="preserve">David Chernack</t>
  </si>
  <si>
    <t xml:space="preserve">06:08</t>
  </si>
  <si>
    <t xml:space="preserve">macaulay/flac/663970966.flac</t>
  </si>
  <si>
    <t xml:space="preserve">ML102589421</t>
  </si>
  <si>
    <t xml:space="preserve">macaulay/flac/102589421.flac</t>
  </si>
  <si>
    <t xml:space="preserve">ML148844601</t>
  </si>
  <si>
    <t xml:space="preserve">macaulay/flac/148844601.flac</t>
  </si>
  <si>
    <t xml:space="preserve">ML148844781</t>
  </si>
  <si>
    <t xml:space="preserve">macaulay/flac/148844781.flac</t>
  </si>
  <si>
    <t xml:space="preserve">ML148845081</t>
  </si>
  <si>
    <t xml:space="preserve">macaulay/flac/148845081.flac</t>
  </si>
  <si>
    <t xml:space="preserve">ML152252991</t>
  </si>
  <si>
    <t xml:space="preserve">macaulay/flac/152252991.flac</t>
  </si>
  <si>
    <t xml:space="preserve">ML184250</t>
  </si>
  <si>
    <t xml:space="preserve">Social Flycatcher; Tropical Kingbird; Clay-colored Thrush; Orange-chinned Parakeet; Cinnamon Becard</t>
  </si>
  <si>
    <t xml:space="preserve">macaulay/flac/184250.flac</t>
  </si>
  <si>
    <t xml:space="preserve">ML184775</t>
  </si>
  <si>
    <t xml:space="preserve">Cinnamon Becard; Blue-gray Tanager</t>
  </si>
  <si>
    <t xml:space="preserve">macaulay/flac/184775.flac</t>
  </si>
  <si>
    <t xml:space="preserve">ML299655</t>
  </si>
  <si>
    <t xml:space="preserve">macaulay/flac/299655.flac</t>
  </si>
  <si>
    <t xml:space="preserve">ML543397751</t>
  </si>
  <si>
    <t xml:space="preserve">macaulay/flac/543397751.flac</t>
  </si>
  <si>
    <t xml:space="preserve">ML642913297</t>
  </si>
  <si>
    <t xml:space="preserve">S203899057</t>
  </si>
  <si>
    <t xml:space="preserve">macaulay/flac/642913297.flac</t>
  </si>
  <si>
    <t xml:space="preserve">ML72673</t>
  </si>
  <si>
    <t xml:space="preserve">macaulay/flac/72673.flac</t>
  </si>
  <si>
    <t xml:space="preserve">ML98010231</t>
  </si>
  <si>
    <t xml:space="preserve">macaulay/flac/98010231.flac</t>
  </si>
  <si>
    <t xml:space="preserve">XC331449</t>
  </si>
  <si>
    <t xml:space="preserve">data-prep/xc_flac/Todirostrum_cinereum/XC331449.flac</t>
  </si>
  <si>
    <t xml:space="preserve">XC332265</t>
  </si>
  <si>
    <t xml:space="preserve">D</t>
  </si>
  <si>
    <t xml:space="preserve">xc|2016-07-29|Reserva Curi-Cancha, Monteverde</t>
  </si>
  <si>
    <t xml:space="preserve">data-prep/xc_flac/Microchera_cupreiceps/XC332265.flac</t>
  </si>
  <si>
    <t xml:space="preserve">XC332499</t>
  </si>
  <si>
    <t xml:space="preserve">data-prep/xc_flac/Basileuterus_melanotis/XC332499.flac</t>
  </si>
  <si>
    <t xml:space="preserve">ML143072191</t>
  </si>
  <si>
    <t xml:space="preserve">S51306477</t>
  </si>
  <si>
    <t xml:space="preserve">macaulay/flac/143072191.flac</t>
  </si>
  <si>
    <t xml:space="preserve">ML143072211</t>
  </si>
  <si>
    <t xml:space="preserve">macaulay/flac/143072211.flac</t>
  </si>
  <si>
    <t xml:space="preserve">ML150736831</t>
  </si>
  <si>
    <t xml:space="preserve">macaulay/flac/150736831.flac</t>
  </si>
  <si>
    <t xml:space="preserve">ML215318</t>
  </si>
  <si>
    <t xml:space="preserve">macaulay/flac/215318.flac</t>
  </si>
  <si>
    <t xml:space="preserve">ML215320</t>
  </si>
  <si>
    <t xml:space="preserve">macaulay/flac/215320.flac</t>
  </si>
  <si>
    <t xml:space="preserve">ML215387</t>
  </si>
  <si>
    <t xml:space="preserve">06:23</t>
  </si>
  <si>
    <t xml:space="preserve">macaulay/flac/215387.flac</t>
  </si>
  <si>
    <t xml:space="preserve">ML28149</t>
  </si>
  <si>
    <t xml:space="preserve">16:10</t>
  </si>
  <si>
    <t xml:space="preserve">macaulay/flac/28149.flac</t>
  </si>
  <si>
    <t xml:space="preserve">ML299606</t>
  </si>
  <si>
    <t xml:space="preserve">17:50</t>
  </si>
  <si>
    <t xml:space="preserve">macaulay/flac/299606.flac</t>
  </si>
  <si>
    <t xml:space="preserve">ML299641</t>
  </si>
  <si>
    <t xml:space="preserve">macaulay/flac/299641.flac</t>
  </si>
  <si>
    <t xml:space="preserve">ML498003311</t>
  </si>
  <si>
    <t xml:space="preserve">macaulay/flac/498003311.flac</t>
  </si>
  <si>
    <t xml:space="preserve">ML597713211</t>
  </si>
  <si>
    <t xml:space="preserve">macaulay/flac/597713211.flac</t>
  </si>
  <si>
    <t xml:space="preserve">ML609059022</t>
  </si>
  <si>
    <t xml:space="preserve">macaulay/flac/609059022.flac</t>
  </si>
  <si>
    <t xml:space="preserve">ML609059099</t>
  </si>
  <si>
    <t xml:space="preserve">S150731421</t>
  </si>
  <si>
    <t xml:space="preserve">macaulay/flac/609059099.flac</t>
  </si>
  <si>
    <t xml:space="preserve">ML610541036</t>
  </si>
  <si>
    <t xml:space="preserve">macaulay/flac/610541036.flac</t>
  </si>
  <si>
    <t xml:space="preserve">ML612364958</t>
  </si>
  <si>
    <t xml:space="preserve">S156540712</t>
  </si>
  <si>
    <t xml:space="preserve">macaulay/flac/612364958.flac</t>
  </si>
  <si>
    <t xml:space="preserve">ML613429877</t>
  </si>
  <si>
    <t xml:space="preserve">macaulay/flac/613429877.flac</t>
  </si>
  <si>
    <t xml:space="preserve">ML613429887</t>
  </si>
  <si>
    <t xml:space="preserve">macaulay/flac/613429887.flac</t>
  </si>
  <si>
    <t xml:space="preserve">ML619568095</t>
  </si>
  <si>
    <t xml:space="preserve">S158236917</t>
  </si>
  <si>
    <t xml:space="preserve">Alison Robey</t>
  </si>
  <si>
    <t xml:space="preserve">macaulay/flac/619568095.flac</t>
  </si>
  <si>
    <t xml:space="preserve">ML630171327</t>
  </si>
  <si>
    <t xml:space="preserve">macaulay/flac/630171327.flac</t>
  </si>
  <si>
    <t xml:space="preserve">ML632430804</t>
  </si>
  <si>
    <t xml:space="preserve">Long-billed Hermit; Green Ibis; Mealy Amazon; Yellow-throated Toucan; White-browed Gnatcatcher</t>
  </si>
  <si>
    <t xml:space="preserve">S219709306</t>
  </si>
  <si>
    <t xml:space="preserve">macaulay/flac/632430804.flac</t>
  </si>
  <si>
    <t xml:space="preserve">ML650740157</t>
  </si>
  <si>
    <t xml:space="preserve">macaulay/flac/650740157.flac</t>
  </si>
  <si>
    <t xml:space="preserve">ML651348554</t>
  </si>
  <si>
    <t xml:space="preserve">Yellow-throated Toucan; Red-lored Amazon</t>
  </si>
  <si>
    <t xml:space="preserve">S299302622</t>
  </si>
  <si>
    <t xml:space="preserve">Anne McCormack</t>
  </si>
  <si>
    <t xml:space="preserve">08:20</t>
  </si>
  <si>
    <t xml:space="preserve">macaulay/flac/651348554.flac</t>
  </si>
  <si>
    <t xml:space="preserve">ML651373847</t>
  </si>
  <si>
    <t xml:space="preserve">S297120633</t>
  </si>
  <si>
    <t xml:space="preserve">Alice Z.</t>
  </si>
  <si>
    <t xml:space="preserve">05:51</t>
  </si>
  <si>
    <t xml:space="preserve">macaulay/flac/651373847.flac</t>
  </si>
  <si>
    <t xml:space="preserve">ML654657115</t>
  </si>
  <si>
    <t xml:space="preserve">macaulay/flac/654657115.flac</t>
  </si>
  <si>
    <t xml:space="preserve">ML658279997</t>
  </si>
  <si>
    <t xml:space="preserve">S266465502</t>
  </si>
  <si>
    <t xml:space="preserve">14:37</t>
  </si>
  <si>
    <t xml:space="preserve">macaulay/flac/658279997.flac</t>
  </si>
  <si>
    <t xml:space="preserve">XC331367</t>
  </si>
  <si>
    <t xml:space="preserve">data-prep/xc_flac/Penelope_purpurascens/XC331367.flac</t>
  </si>
  <si>
    <t xml:space="preserve">ML211132</t>
  </si>
  <si>
    <t xml:space="preserve">David L. Ross, Jr.|1993-06-09</t>
  </si>
  <si>
    <t xml:space="preserve">macaulay/flac/211132.flac</t>
  </si>
  <si>
    <t xml:space="preserve">ML215304</t>
  </si>
  <si>
    <t xml:space="preserve">05:06</t>
  </si>
  <si>
    <t xml:space="preserve">macaulay/flac/215304.flac</t>
  </si>
  <si>
    <t xml:space="preserve">ML215343</t>
  </si>
  <si>
    <t xml:space="preserve">macaulay/flac/215343.flac</t>
  </si>
  <si>
    <t xml:space="preserve">ML215359</t>
  </si>
  <si>
    <t xml:space="preserve">19:50</t>
  </si>
  <si>
    <t xml:space="preserve">macaulay/flac/215359.flac</t>
  </si>
  <si>
    <t xml:space="preserve">ML215361</t>
  </si>
  <si>
    <t xml:space="preserve">21:25</t>
  </si>
  <si>
    <t xml:space="preserve">macaulay/flac/215361.flac</t>
  </si>
  <si>
    <t xml:space="preserve">ML215428</t>
  </si>
  <si>
    <t xml:space="preserve">20:57</t>
  </si>
  <si>
    <t xml:space="preserve">macaulay/flac/215428.flac</t>
  </si>
  <si>
    <t xml:space="preserve">ML215434</t>
  </si>
  <si>
    <t xml:space="preserve">00:18</t>
  </si>
  <si>
    <t xml:space="preserve">macaulay/flac/215434.flac</t>
  </si>
  <si>
    <t xml:space="preserve">ML531241281</t>
  </si>
  <si>
    <t xml:space="preserve">macaulay/flac/531241281.flac</t>
  </si>
  <si>
    <t xml:space="preserve">ML543580931</t>
  </si>
  <si>
    <t xml:space="preserve">S130493126</t>
  </si>
  <si>
    <t xml:space="preserve">19:26</t>
  </si>
  <si>
    <t xml:space="preserve">macaulay/flac/543580931.flac</t>
  </si>
  <si>
    <t xml:space="preserve">ML57470</t>
  </si>
  <si>
    <t xml:space="preserve">macaulay/flac/57470.flac</t>
  </si>
  <si>
    <t xml:space="preserve">ML597713461</t>
  </si>
  <si>
    <t xml:space="preserve">S123478615</t>
  </si>
  <si>
    <t xml:space="preserve">19:25</t>
  </si>
  <si>
    <t xml:space="preserve">macaulay/flac/597713461.flac</t>
  </si>
  <si>
    <t xml:space="preserve">ML617547161</t>
  </si>
  <si>
    <t xml:space="preserve">Broad-billed Motmot; Black-crowned Antshrike; Chestnut-backed Antbird; Collared Forest-Falcon; White-necked Puffbird</t>
  </si>
  <si>
    <t xml:space="preserve">S165413392</t>
  </si>
  <si>
    <t xml:space="preserve">macaulay/flac/617547161.flac</t>
  </si>
  <si>
    <t xml:space="preserve">ML647148928</t>
  </si>
  <si>
    <t xml:space="preserve">S225445847</t>
  </si>
  <si>
    <t xml:space="preserve">19:09</t>
  </si>
  <si>
    <t xml:space="preserve">macaulay/flac/647148928.flac</t>
  </si>
  <si>
    <t xml:space="preserve">ML514042491</t>
  </si>
  <si>
    <t xml:space="preserve">S124150368</t>
  </si>
  <si>
    <t xml:space="preserve">macaulay/flac/514042491.flac</t>
  </si>
  <si>
    <t xml:space="preserve">ML647331675</t>
  </si>
  <si>
    <t xml:space="preserve">Social Flycatcher; Yellow-throated Toucan</t>
  </si>
  <si>
    <t xml:space="preserve">macaulay/flac/647331675.flac</t>
  </si>
  <si>
    <t xml:space="preserve">ML647335529</t>
  </si>
  <si>
    <t xml:space="preserve">macaulay/flac/647335529.flac</t>
  </si>
  <si>
    <t xml:space="preserve">ML647335590</t>
  </si>
  <si>
    <t xml:space="preserve">macaulay/flac/647335590.flac</t>
  </si>
  <si>
    <t xml:space="preserve">ML647336051</t>
  </si>
  <si>
    <t xml:space="preserve">Social Flycatcher; Yellow-crowned Euphonia; Yellow-throated Toucan</t>
  </si>
  <si>
    <t xml:space="preserve">macaulay/flac/647336051.flac</t>
  </si>
  <si>
    <t xml:space="preserve">ML123825661</t>
  </si>
  <si>
    <t xml:space="preserve">S49844497</t>
  </si>
  <si>
    <t xml:space="preserve">Mike  Hudson</t>
  </si>
  <si>
    <t xml:space="preserve">14:39</t>
  </si>
  <si>
    <t xml:space="preserve">macaulay/flac/123825661.flac</t>
  </si>
  <si>
    <t xml:space="preserve">ML28140</t>
  </si>
  <si>
    <t xml:space="preserve">macaulay/flac/28140.flac</t>
  </si>
  <si>
    <t xml:space="preserve">ML648628517</t>
  </si>
  <si>
    <t xml:space="preserve">macaulay/flac/648628517.flac</t>
  </si>
  <si>
    <t xml:space="preserve">ML648780729</t>
  </si>
  <si>
    <t xml:space="preserve">Yellow-throated Toucan; Rufous-tailed Hummingbird; Bright-rumped Attila; Clay-colored Thrush</t>
  </si>
  <si>
    <t xml:space="preserve">S278310929</t>
  </si>
  <si>
    <t xml:space="preserve">macaulay/flac/648780729.flac</t>
  </si>
  <si>
    <t xml:space="preserve">ML102484871</t>
  </si>
  <si>
    <t xml:space="preserve">macaulay/flac/102484871.flac</t>
  </si>
  <si>
    <t xml:space="preserve">ML184788</t>
  </si>
  <si>
    <t xml:space="preserve">10:05</t>
  </si>
  <si>
    <t xml:space="preserve">macaulay/flac/184788.flac</t>
  </si>
  <si>
    <t xml:space="preserve">group label: Dusky Antbird (tyrannina/crepera)</t>
  </si>
  <si>
    <t xml:space="preserve">ML185748</t>
  </si>
  <si>
    <t xml:space="preserve">macaulay/flac/185748.flac</t>
  </si>
  <si>
    <t xml:space="preserve">ML297143321</t>
  </si>
  <si>
    <t xml:space="preserve">S77735354</t>
  </si>
  <si>
    <t xml:space="preserve">macaulay/flac/297143321.flac</t>
  </si>
  <si>
    <t xml:space="preserve">ML297143331</t>
  </si>
  <si>
    <t xml:space="preserve">macaulay/flac/297143331.flac</t>
  </si>
  <si>
    <t xml:space="preserve">ML449606321</t>
  </si>
  <si>
    <t xml:space="preserve">S110119804</t>
  </si>
  <si>
    <t xml:space="preserve">15:15</t>
  </si>
  <si>
    <t xml:space="preserve">macaulay/flac/449606321.flac</t>
  </si>
  <si>
    <t xml:space="preserve">ML470168411</t>
  </si>
  <si>
    <t xml:space="preserve">S113940735</t>
  </si>
  <si>
    <t xml:space="preserve">Cameron Chevalier</t>
  </si>
  <si>
    <t xml:space="preserve">13:24</t>
  </si>
  <si>
    <t xml:space="preserve">macaulay/flac/470168411.flac</t>
  </si>
  <si>
    <t xml:space="preserve">ML57497</t>
  </si>
  <si>
    <t xml:space="preserve">07:11</t>
  </si>
  <si>
    <t xml:space="preserve">macaulay/flac/57497.flac</t>
  </si>
  <si>
    <t xml:space="preserve">ML597933391</t>
  </si>
  <si>
    <t xml:space="preserve">macaulay/flac/597933391.flac</t>
  </si>
  <si>
    <t xml:space="preserve">ML609056563</t>
  </si>
  <si>
    <t xml:space="preserve">macaulay/flac/609056563.flac</t>
  </si>
  <si>
    <t xml:space="preserve">ML609056566</t>
  </si>
  <si>
    <t xml:space="preserve">macaulay/flac/609056566.flac</t>
  </si>
  <si>
    <t xml:space="preserve">ML611524231</t>
  </si>
  <si>
    <t xml:space="preserve">S129570755</t>
  </si>
  <si>
    <t xml:space="preserve">Henry Lehman</t>
  </si>
  <si>
    <t xml:space="preserve">06:09</t>
  </si>
  <si>
    <t xml:space="preserve">macaulay/flac/611524231.flac</t>
  </si>
  <si>
    <t xml:space="preserve">ML614046358</t>
  </si>
  <si>
    <t xml:space="preserve">S159341370</t>
  </si>
  <si>
    <t xml:space="preserve">Liling Warren</t>
  </si>
  <si>
    <t xml:space="preserve">06:35</t>
  </si>
  <si>
    <t xml:space="preserve">macaulay/flac/614046358.flac</t>
  </si>
  <si>
    <t xml:space="preserve">ML615003597</t>
  </si>
  <si>
    <t xml:space="preserve">S160506841</t>
  </si>
  <si>
    <t xml:space="preserve">macaulay/flac/615003597.flac</t>
  </si>
  <si>
    <t xml:space="preserve">ML615067297</t>
  </si>
  <si>
    <t xml:space="preserve">Yellow-throated Toucan (Chestnut-mandibled)</t>
  </si>
  <si>
    <t xml:space="preserve">S153621289</t>
  </si>
  <si>
    <t xml:space="preserve">macaulay/flac/615067297.flac</t>
  </si>
  <si>
    <t xml:space="preserve">ML618152480</t>
  </si>
  <si>
    <t xml:space="preserve">S149562842</t>
  </si>
  <si>
    <t xml:space="preserve">macaulay/flac/618152480.flac</t>
  </si>
  <si>
    <t xml:space="preserve">ML622517779</t>
  </si>
  <si>
    <t xml:space="preserve">S189490847</t>
  </si>
  <si>
    <t xml:space="preserve">Owen Robertson</t>
  </si>
  <si>
    <t xml:space="preserve">macaulay/flac/622517779.flac</t>
  </si>
  <si>
    <t xml:space="preserve">ML623652892</t>
  </si>
  <si>
    <t xml:space="preserve">S194460408</t>
  </si>
  <si>
    <t xml:space="preserve">Adan Marin 🐍</t>
  </si>
  <si>
    <t xml:space="preserve">09:01</t>
  </si>
  <si>
    <t xml:space="preserve">macaulay/flac/623652892.flac</t>
  </si>
  <si>
    <t xml:space="preserve">ML623652916</t>
  </si>
  <si>
    <t xml:space="preserve">S194339694</t>
  </si>
  <si>
    <t xml:space="preserve">13:57</t>
  </si>
  <si>
    <t xml:space="preserve">macaulay/flac/623652916.flac</t>
  </si>
  <si>
    <t xml:space="preserve">ML628721211</t>
  </si>
  <si>
    <t xml:space="preserve">macaulay/flac/628721211.flac</t>
  </si>
  <si>
    <t xml:space="preserve">ML631662783</t>
  </si>
  <si>
    <t xml:space="preserve">macaulay/flac/631662783.flac</t>
  </si>
  <si>
    <t xml:space="preserve">ML661204474</t>
  </si>
  <si>
    <t xml:space="preserve">S53662090</t>
  </si>
  <si>
    <t xml:space="preserve">Fernando del Valle</t>
  </si>
  <si>
    <t xml:space="preserve">macaulay/flac/661204474.flac</t>
  </si>
  <si>
    <t xml:space="preserve">ML152252021</t>
  </si>
  <si>
    <t xml:space="preserve">macaulay/flac/152252021.flac</t>
  </si>
  <si>
    <t xml:space="preserve">ML157035561</t>
  </si>
  <si>
    <t xml:space="preserve">macaulay/flac/157035561.flac</t>
  </si>
  <si>
    <t xml:space="preserve">ML299604</t>
  </si>
  <si>
    <t xml:space="preserve">macaulay/flac/299604.flac</t>
  </si>
  <si>
    <t xml:space="preserve">ML543401141</t>
  </si>
  <si>
    <t xml:space="preserve">macaulay/flac/543401141.flac</t>
  </si>
  <si>
    <t xml:space="preserve">ML597934881</t>
  </si>
  <si>
    <t xml:space="preserve">macaulay/flac/597934881.flac</t>
  </si>
  <si>
    <t xml:space="preserve">ML97066421</t>
  </si>
  <si>
    <t xml:space="preserve">macaulay/flac/97066421.flac</t>
  </si>
  <si>
    <t xml:space="preserve">ML150738441</t>
  </si>
  <si>
    <t xml:space="preserve">macaulay/flac/150738441.flac</t>
  </si>
  <si>
    <t xml:space="preserve">ML152753281</t>
  </si>
  <si>
    <t xml:space="preserve">macaulay/flac/152753281.flac</t>
  </si>
  <si>
    <t xml:space="preserve">ML179453921</t>
  </si>
  <si>
    <t xml:space="preserve">macaulay/flac/179453921.flac</t>
  </si>
  <si>
    <t xml:space="preserve">ML26397</t>
  </si>
  <si>
    <t xml:space="preserve">Black-faced Antthrush; Chestnut-backed Antbird</t>
  </si>
  <si>
    <t xml:space="preserve">Arnoud B. van den Berg|1981-05-30</t>
  </si>
  <si>
    <t xml:space="preserve">macaulay/flac/26397.flac</t>
  </si>
  <si>
    <t xml:space="preserve">ML289819451</t>
  </si>
  <si>
    <t xml:space="preserve">S77708571</t>
  </si>
  <si>
    <t xml:space="preserve">macaulay/flac/289819451.flac</t>
  </si>
  <si>
    <t xml:space="preserve">ML297140711</t>
  </si>
  <si>
    <t xml:space="preserve">macaulay/flac/297140711.flac</t>
  </si>
  <si>
    <t xml:space="preserve">ML306059561</t>
  </si>
  <si>
    <t xml:space="preserve">S80751449</t>
  </si>
  <si>
    <t xml:space="preserve">macaulay/flac/306059561.flac</t>
  </si>
  <si>
    <t xml:space="preserve">ML338504411</t>
  </si>
  <si>
    <t xml:space="preserve">macaulay/flac/338504411.flac</t>
  </si>
  <si>
    <t xml:space="preserve">ML348002801</t>
  </si>
  <si>
    <t xml:space="preserve">macaulay/flac/348002801.flac</t>
  </si>
  <si>
    <t xml:space="preserve">ML471210181</t>
  </si>
  <si>
    <t xml:space="preserve">S49448090</t>
  </si>
  <si>
    <t xml:space="preserve">macaulay/flac/471210181.flac</t>
  </si>
  <si>
    <t xml:space="preserve">ML514042681</t>
  </si>
  <si>
    <t xml:space="preserve">macaulay/flac/514042681.flac</t>
  </si>
  <si>
    <t xml:space="preserve">ML609059108</t>
  </si>
  <si>
    <t xml:space="preserve">S150731423</t>
  </si>
  <si>
    <t xml:space="preserve">macaulay/flac/609059108.flac</t>
  </si>
  <si>
    <t xml:space="preserve">ML613171016</t>
  </si>
  <si>
    <t xml:space="preserve">S156526287</t>
  </si>
  <si>
    <t xml:space="preserve">macaulay/flac/613171016.flac</t>
  </si>
  <si>
    <t xml:space="preserve">ML627958260</t>
  </si>
  <si>
    <t xml:space="preserve">S205545520</t>
  </si>
  <si>
    <t xml:space="preserve">macaulay/flac/627958260.flac</t>
  </si>
  <si>
    <t xml:space="preserve">ML651311587</t>
  </si>
  <si>
    <t xml:space="preserve">S302181744</t>
  </si>
  <si>
    <t xml:space="preserve">Pablo Rojas Rodríguez</t>
  </si>
  <si>
    <t xml:space="preserve">05:47</t>
  </si>
  <si>
    <t xml:space="preserve">macaulay/flac/651311587.flac</t>
  </si>
  <si>
    <t xml:space="preserve">ML492725501</t>
  </si>
  <si>
    <t xml:space="preserve">macaulay/flac/492725501.flac</t>
  </si>
  <si>
    <t xml:space="preserve">ML662832791</t>
  </si>
  <si>
    <t xml:space="preserve">macaulay/flac/662832791.flac</t>
  </si>
  <si>
    <t xml:space="preserve">ML179453701</t>
  </si>
  <si>
    <t xml:space="preserve">macaulay/flac/179453701.flac</t>
  </si>
  <si>
    <t xml:space="preserve">ML299619</t>
  </si>
  <si>
    <t xml:space="preserve">macaulay/flac/299619.flac</t>
  </si>
  <si>
    <t xml:space="preserve">ML299621</t>
  </si>
  <si>
    <t xml:space="preserve">macaulay/flac/299621.flac</t>
  </si>
  <si>
    <t xml:space="preserve">ML631698844</t>
  </si>
  <si>
    <t xml:space="preserve">S209249132</t>
  </si>
  <si>
    <t xml:space="preserve">Sam Wilson</t>
  </si>
  <si>
    <t xml:space="preserve">macaulay/flac/631698844.flac</t>
  </si>
  <si>
    <t xml:space="preserve">ML129952321</t>
  </si>
  <si>
    <t xml:space="preserve">S41205334</t>
  </si>
  <si>
    <t xml:space="preserve">macaulay/flac/129952321.flac</t>
  </si>
  <si>
    <t xml:space="preserve">ML193419031</t>
  </si>
  <si>
    <t xml:space="preserve">S62306821</t>
  </si>
  <si>
    <t xml:space="preserve">05:17</t>
  </si>
  <si>
    <t xml:space="preserve">macaulay/flac/193419031.flac</t>
  </si>
  <si>
    <t xml:space="preserve">ML209482</t>
  </si>
  <si>
    <t xml:space="preserve">macaulay/flac/209482.flac</t>
  </si>
  <si>
    <t xml:space="preserve">ML28105</t>
  </si>
  <si>
    <t xml:space="preserve">Arnoud B. van den Berg|1981-06-02</t>
  </si>
  <si>
    <t xml:space="preserve">macaulay/flac/28105.flac</t>
  </si>
  <si>
    <t xml:space="preserve">ML285629</t>
  </si>
  <si>
    <t xml:space="preserve">macaulay/flac/285629.flac</t>
  </si>
  <si>
    <t xml:space="preserve">ML289817971</t>
  </si>
  <si>
    <t xml:space="preserve">macaulay/flac/289817971.flac</t>
  </si>
  <si>
    <t xml:space="preserve">ML289833751</t>
  </si>
  <si>
    <t xml:space="preserve">macaulay/flac/289833751.flac</t>
  </si>
  <si>
    <t xml:space="preserve">ML297140571</t>
  </si>
  <si>
    <t xml:space="preserve">macaulay/flac/297140571.flac</t>
  </si>
  <si>
    <t xml:space="preserve">ML49769831</t>
  </si>
  <si>
    <t xml:space="preserve">macaulay/flac/49769831.flac</t>
  </si>
  <si>
    <t xml:space="preserve">ML609410590</t>
  </si>
  <si>
    <t xml:space="preserve">S49013452</t>
  </si>
  <si>
    <t xml:space="preserve">Chris Fischer</t>
  </si>
  <si>
    <t xml:space="preserve">05:12</t>
  </si>
  <si>
    <t xml:space="preserve">macaulay/flac/609410590.flac</t>
  </si>
  <si>
    <t xml:space="preserve">ML614019758</t>
  </si>
  <si>
    <t xml:space="preserve">S158181852</t>
  </si>
  <si>
    <t xml:space="preserve">macaulay/flac/614019758.flac</t>
  </si>
  <si>
    <t xml:space="preserve">ML630190503</t>
  </si>
  <si>
    <t xml:space="preserve">S211984457</t>
  </si>
  <si>
    <t xml:space="preserve">macaulay/flac/630190503.flac</t>
  </si>
  <si>
    <t xml:space="preserve">ML639163682</t>
  </si>
  <si>
    <t xml:space="preserve">Lesser Greenlet; White-collared Manakin</t>
  </si>
  <si>
    <t xml:space="preserve">macaulay/flac/639163682.flac</t>
  </si>
  <si>
    <t xml:space="preserve">ML642659152</t>
  </si>
  <si>
    <t xml:space="preserve">macaulay/flac/642659152.flac</t>
  </si>
  <si>
    <t xml:space="preserve">ML643658336</t>
  </si>
  <si>
    <t xml:space="preserve">macaulay/flac/643658336.flac</t>
  </si>
  <si>
    <t xml:space="preserve">ML643658466</t>
  </si>
  <si>
    <t xml:space="preserve">macaulay/flac/643658466.flac</t>
  </si>
  <si>
    <t xml:space="preserve">ML654443045</t>
  </si>
  <si>
    <t xml:space="preserve">macaulay/flac/654443045.flac</t>
  </si>
  <si>
    <t xml:space="preserve">ML215301</t>
  </si>
  <si>
    <t xml:space="preserve">David L. Ross, Jr.|1989-02-12</t>
  </si>
  <si>
    <t xml:space="preserve">macaulay/flac/215301.flac</t>
  </si>
  <si>
    <t xml:space="preserve">group label: Fawn-throated Foliage-gleaner (hypophaeus)</t>
  </si>
  <si>
    <t xml:space="preserve">ML336559841</t>
  </si>
  <si>
    <t xml:space="preserve">macaulay/flac/336559841.flac</t>
  </si>
  <si>
    <t xml:space="preserve">ML347768251</t>
  </si>
  <si>
    <t xml:space="preserve">S89900720</t>
  </si>
  <si>
    <t xml:space="preserve">macaulay/flac/347768251.flac</t>
  </si>
  <si>
    <t xml:space="preserve">ML57485</t>
  </si>
  <si>
    <t xml:space="preserve">macaulay/flac/57485.flac</t>
  </si>
  <si>
    <t xml:space="preserve">ML57486</t>
  </si>
  <si>
    <t xml:space="preserve">08:37</t>
  </si>
  <si>
    <t xml:space="preserve">macaulay/flac/57486.flac</t>
  </si>
  <si>
    <t xml:space="preserve">ML72661</t>
  </si>
  <si>
    <t xml:space="preserve">06:57</t>
  </si>
  <si>
    <t xml:space="preserve">macaulay/flac/72661.flac</t>
  </si>
  <si>
    <t xml:space="preserve">ML145171261</t>
  </si>
  <si>
    <t xml:space="preserve">macaulay/flac/145171261.flac</t>
  </si>
  <si>
    <t xml:space="preserve">ML299630</t>
  </si>
  <si>
    <t xml:space="preserve">07:30</t>
  </si>
  <si>
    <t xml:space="preserve">macaulay/flac/299630.flac</t>
  </si>
  <si>
    <t xml:space="preserve">ML543398731</t>
  </si>
  <si>
    <t xml:space="preserve">macaulay/flac/543398731.flac</t>
  </si>
  <si>
    <t xml:space="preserve">ML621760045</t>
  </si>
  <si>
    <t xml:space="preserve">macaulay/flac/621760045.flac</t>
  </si>
  <si>
    <t xml:space="preserve">ML630087493</t>
  </si>
  <si>
    <t xml:space="preserve">macaulay/flac/630087493.flac</t>
  </si>
  <si>
    <t xml:space="preserve">ML630171996</t>
  </si>
  <si>
    <t xml:space="preserve">S209994555</t>
  </si>
  <si>
    <t xml:space="preserve">08:02</t>
  </si>
  <si>
    <t xml:space="preserve">macaulay/flac/630171996.flac</t>
  </si>
  <si>
    <t xml:space="preserve">ML643643850</t>
  </si>
  <si>
    <t xml:space="preserve">macaulay/flac/643643850.flac</t>
  </si>
  <si>
    <t xml:space="preserve">ML646458238</t>
  </si>
  <si>
    <t xml:space="preserve">macaulay/flac/646458238.flac</t>
  </si>
  <si>
    <t xml:space="preserve">ML647570665</t>
  </si>
  <si>
    <t xml:space="preserve">Great Kiskadee; Social Flycatcher</t>
  </si>
  <si>
    <t xml:space="preserve">macaulay/flac/647570665.flac</t>
  </si>
  <si>
    <t xml:space="preserve">ML647570774</t>
  </si>
  <si>
    <t xml:space="preserve">Great Kiskadee; Red-lored Amazon</t>
  </si>
  <si>
    <t xml:space="preserve">macaulay/flac/647570774.flac</t>
  </si>
  <si>
    <t xml:space="preserve">ML654444540</t>
  </si>
  <si>
    <t xml:space="preserve">macaulay/flac/654444540.flac</t>
  </si>
  <si>
    <t xml:space="preserve">ML655862147</t>
  </si>
  <si>
    <t xml:space="preserve">Social Flycatcher; Montezuma Oropendola</t>
  </si>
  <si>
    <t xml:space="preserve">macaulay/flac/655862147.flac</t>
  </si>
  <si>
    <t xml:space="preserve">ML144844141</t>
  </si>
  <si>
    <t xml:space="preserve">macaulay/flac/144844141.flac</t>
  </si>
  <si>
    <t xml:space="preserve">ML154144041</t>
  </si>
  <si>
    <t xml:space="preserve">macaulay/flac/154144041.flac</t>
  </si>
  <si>
    <t xml:space="preserve">ML215328</t>
  </si>
  <si>
    <t xml:space="preserve">macaulay/flac/215328.flac</t>
  </si>
  <si>
    <t xml:space="preserve">ML289815281</t>
  </si>
  <si>
    <t xml:space="preserve">macaulay/flac/289815281.flac</t>
  </si>
  <si>
    <t xml:space="preserve">ML299649</t>
  </si>
  <si>
    <t xml:space="preserve">macaulay/flac/299649.flac</t>
  </si>
  <si>
    <t xml:space="preserve">ML299660</t>
  </si>
  <si>
    <t xml:space="preserve">macaulay/flac/299660.flac</t>
  </si>
  <si>
    <t xml:space="preserve">ML45453941</t>
  </si>
  <si>
    <t xml:space="preserve">S33607035</t>
  </si>
  <si>
    <t xml:space="preserve">macaulay/flac/45453941.flac</t>
  </si>
  <si>
    <t xml:space="preserve">ML542522841</t>
  </si>
  <si>
    <t xml:space="preserve">S128323123</t>
  </si>
  <si>
    <t xml:space="preserve">macaulay/flac/542522841.flac</t>
  </si>
  <si>
    <t xml:space="preserve">ML549044421</t>
  </si>
  <si>
    <t xml:space="preserve">macaulay/flac/549044421.flac</t>
  </si>
  <si>
    <t xml:space="preserve">ML612365001</t>
  </si>
  <si>
    <t xml:space="preserve">macaulay/flac/612365001.flac</t>
  </si>
  <si>
    <t xml:space="preserve">ML630349826</t>
  </si>
  <si>
    <t xml:space="preserve">macaulay/flac/630349826.flac</t>
  </si>
  <si>
    <t xml:space="preserve">ML646459959</t>
  </si>
  <si>
    <t xml:space="preserve">macaulay/flac/646459959.flac</t>
  </si>
  <si>
    <t xml:space="preserve">ML647336477</t>
  </si>
  <si>
    <t xml:space="preserve">Yellow-throated Toucan; Social Flycatcher</t>
  </si>
  <si>
    <t xml:space="preserve">S289447683</t>
  </si>
  <si>
    <t xml:space="preserve">16:56</t>
  </si>
  <si>
    <t xml:space="preserve">macaulay/flac/647336477.flac</t>
  </si>
  <si>
    <t xml:space="preserve">ML654603769</t>
  </si>
  <si>
    <t xml:space="preserve">macaulay/flac/654603769.flac</t>
  </si>
  <si>
    <t xml:space="preserve">ML32704891</t>
  </si>
  <si>
    <t xml:space="preserve">S30212583</t>
  </si>
  <si>
    <t xml:space="preserve">macaulay/flac/32704891.flac</t>
  </si>
  <si>
    <t xml:space="preserve">ML515649331</t>
  </si>
  <si>
    <t xml:space="preserve">S124187467</t>
  </si>
  <si>
    <t xml:space="preserve">macaulay/flac/515649331.flac</t>
  </si>
  <si>
    <t xml:space="preserve">ML610541433</t>
  </si>
  <si>
    <t xml:space="preserve">macaulay/flac/610541433.flac</t>
  </si>
  <si>
    <t xml:space="preserve">ML610572821</t>
  </si>
  <si>
    <t xml:space="preserve">macaulay/flac/610572821.flac</t>
  </si>
  <si>
    <t xml:space="preserve">ML614020108</t>
  </si>
  <si>
    <t xml:space="preserve">S158236916</t>
  </si>
  <si>
    <t xml:space="preserve">macaulay/flac/614020108.flac</t>
  </si>
  <si>
    <t xml:space="preserve">ML614027099</t>
  </si>
  <si>
    <t xml:space="preserve">macaulay/flac/614027099.flac</t>
  </si>
  <si>
    <t xml:space="preserve">ML623161900</t>
  </si>
  <si>
    <t xml:space="preserve">S192953294</t>
  </si>
  <si>
    <t xml:space="preserve">Bruce Young</t>
  </si>
  <si>
    <t xml:space="preserve">macaulay/flac/623161900.flac</t>
  </si>
  <si>
    <t xml:space="preserve">ML647329633</t>
  </si>
  <si>
    <t xml:space="preserve">Black-faced Grosbeak; Yellow-throated Toucan; Scarlet-rumped Cacique; Great Kiskadee</t>
  </si>
  <si>
    <t xml:space="preserve">macaulay/flac/647329633.flac</t>
  </si>
  <si>
    <t xml:space="preserve">ML647448070</t>
  </si>
  <si>
    <t xml:space="preserve">macaulay/flac/647448070.flac</t>
  </si>
  <si>
    <t xml:space="preserve">ML76615</t>
  </si>
  <si>
    <t xml:space="preserve">macaulay/flac/76615.flac</t>
  </si>
  <si>
    <t xml:space="preserve">ML89671661</t>
  </si>
  <si>
    <t xml:space="preserve">macaulay/flac/89671661.flac</t>
  </si>
  <si>
    <t xml:space="preserve">ML209464</t>
  </si>
  <si>
    <t xml:space="preserve">macaulay/flac/209464.flac</t>
  </si>
  <si>
    <t xml:space="preserve">ML209466</t>
  </si>
  <si>
    <t xml:space="preserve">18:18</t>
  </si>
  <si>
    <t xml:space="preserve">macaulay/flac/209466.flac</t>
  </si>
  <si>
    <t xml:space="preserve">XC332230</t>
  </si>
  <si>
    <t xml:space="preserve">data-prep/xc_flac/Henicorhina_leucophrys/XC332230.flac</t>
  </si>
  <si>
    <t xml:space="preserve">XC332449</t>
  </si>
  <si>
    <t xml:space="preserve">data-prep/xc_flac/Henicorhina_leucophrys/XC332449.flac</t>
  </si>
  <si>
    <t xml:space="preserve">ML128376981</t>
  </si>
  <si>
    <t xml:space="preserve">macaulay/flac/128376981.flac</t>
  </si>
  <si>
    <t xml:space="preserve">ML155116521</t>
  </si>
  <si>
    <t xml:space="preserve">macaulay/flac/155116521.flac</t>
  </si>
  <si>
    <t xml:space="preserve">ML156784301</t>
  </si>
  <si>
    <t xml:space="preserve">macaulay/flac/156784301.flac</t>
  </si>
  <si>
    <t xml:space="preserve">ML56620</t>
  </si>
  <si>
    <t xml:space="preserve">macaulay/flac/56620.flac</t>
  </si>
  <si>
    <t xml:space="preserve">ML609056485</t>
  </si>
  <si>
    <t xml:space="preserve">macaulay/flac/609056485.flac</t>
  </si>
  <si>
    <t xml:space="preserve">ML609056514</t>
  </si>
  <si>
    <t xml:space="preserve">macaulay/flac/609056514.flac</t>
  </si>
  <si>
    <t xml:space="preserve">ML615065452</t>
  </si>
  <si>
    <t xml:space="preserve">S153657262</t>
  </si>
  <si>
    <t xml:space="preserve">macaulay/flac/615065452.flac</t>
  </si>
  <si>
    <t xml:space="preserve">ML622217057</t>
  </si>
  <si>
    <t xml:space="preserve">S190055409</t>
  </si>
  <si>
    <t xml:space="preserve">macaulay/flac/622217057.flac</t>
  </si>
  <si>
    <t xml:space="preserve">ML627958275</t>
  </si>
  <si>
    <t xml:space="preserve">macaulay/flac/627958275.flac</t>
  </si>
  <si>
    <t xml:space="preserve">ML646459466</t>
  </si>
  <si>
    <t xml:space="preserve">macaulay/flac/646459466.flac</t>
  </si>
  <si>
    <t xml:space="preserve">ML647483044</t>
  </si>
  <si>
    <t xml:space="preserve">Red-lored Amazon; Clay-colored Thrush</t>
  </si>
  <si>
    <t xml:space="preserve">macaulay/flac/647483044.flac</t>
  </si>
  <si>
    <t xml:space="preserve">ML654318296</t>
  </si>
  <si>
    <t xml:space="preserve">macaulay/flac/654318296.flac</t>
  </si>
  <si>
    <t xml:space="preserve">ML662831476</t>
  </si>
  <si>
    <t xml:space="preserve">macaulay/flac/662831476.flac</t>
  </si>
  <si>
    <t xml:space="preserve">ML74218</t>
  </si>
  <si>
    <t xml:space="preserve">David L. Ross, Jr.|1988-03-27</t>
  </si>
  <si>
    <t xml:space="preserve">macaulay/flac/74218.flac</t>
  </si>
  <si>
    <t xml:space="preserve">ML76606</t>
  </si>
  <si>
    <t xml:space="preserve">macaulay/flac/76606.flac</t>
  </si>
  <si>
    <t xml:space="preserve">ML97470351</t>
  </si>
  <si>
    <t xml:space="preserve">macaulay/flac/97470351.flac</t>
  </si>
  <si>
    <t xml:space="preserve">XC331460</t>
  </si>
  <si>
    <t xml:space="preserve">data-prep/xc_flac/Myiozetetes_granadensis/XC331460.flac</t>
  </si>
  <si>
    <t xml:space="preserve">ML176633861</t>
  </si>
  <si>
    <t xml:space="preserve">macaulay/flac/176633861.flac</t>
  </si>
  <si>
    <t xml:space="preserve">ML299548</t>
  </si>
  <si>
    <t xml:space="preserve">macaulay/flac/299548.flac</t>
  </si>
  <si>
    <t xml:space="preserve">ML654444587</t>
  </si>
  <si>
    <t xml:space="preserve">macaulay/flac/654444587.flac</t>
  </si>
  <si>
    <t xml:space="preserve">ML654747757</t>
  </si>
  <si>
    <t xml:space="preserve">macaulay/flac/654747757.flac</t>
  </si>
  <si>
    <t xml:space="preserve">ML89665171</t>
  </si>
  <si>
    <t xml:space="preserve">macaulay/flac/89665171.flac</t>
  </si>
  <si>
    <t xml:space="preserve">ML74198</t>
  </si>
  <si>
    <t xml:space="preserve">David L. Ross, Jr.|1988-03-21</t>
  </si>
  <si>
    <t xml:space="preserve">macaulay/flac/74198.flac</t>
  </si>
  <si>
    <t xml:space="preserve">XC332260</t>
  </si>
  <si>
    <t xml:space="preserve">data-prep/xc_flac/Geothlypis_poliocephala/XC332260.flac</t>
  </si>
  <si>
    <t xml:space="preserve">ML145172931</t>
  </si>
  <si>
    <t xml:space="preserve">macaulay/flac/145172931.flac</t>
  </si>
  <si>
    <t xml:space="preserve">ML209704</t>
  </si>
  <si>
    <t xml:space="preserve">macaulay/flac/209704.flac</t>
  </si>
  <si>
    <t xml:space="preserve">ML72606</t>
  </si>
  <si>
    <t xml:space="preserve">macaulay/flac/72606.flac</t>
  </si>
  <si>
    <t xml:space="preserve">XC331639</t>
  </si>
  <si>
    <t xml:space="preserve">data-prep/xc_flac/Ortalis_cinereiceps/XC331639.flac</t>
  </si>
  <si>
    <t xml:space="preserve">alarm call; Hotel El Bosque, Monteverde, Puntarenas, 1400 m</t>
  </si>
  <si>
    <t xml:space="preserve">ML32601241</t>
  </si>
  <si>
    <t xml:space="preserve">macaulay/flac/32601241.flac</t>
  </si>
  <si>
    <t xml:space="preserve">ML647443317</t>
  </si>
  <si>
    <t xml:space="preserve">macaulay/flac/647443317.flac</t>
  </si>
  <si>
    <t xml:space="preserve">ML647567616</t>
  </si>
  <si>
    <t xml:space="preserve">macaulay/flac/647567616.flac</t>
  </si>
  <si>
    <t xml:space="preserve">ML647567748</t>
  </si>
  <si>
    <t xml:space="preserve">macaulay/flac/647567748.flac</t>
  </si>
  <si>
    <t xml:space="preserve">ML647567831</t>
  </si>
  <si>
    <t xml:space="preserve">macaulay/flac/647567831.flac</t>
  </si>
  <si>
    <t xml:space="preserve">ML652037936</t>
  </si>
  <si>
    <t xml:space="preserve">S289512509</t>
  </si>
  <si>
    <t xml:space="preserve">macaulay/flac/652037936.flac</t>
  </si>
  <si>
    <t xml:space="preserve">ML654438249</t>
  </si>
  <si>
    <t xml:space="preserve">macaulay/flac/654438249.flac</t>
  </si>
  <si>
    <t xml:space="preserve">ML249423</t>
  </si>
  <si>
    <t xml:space="preserve">Tom Schulenberg|1986-04-01</t>
  </si>
  <si>
    <t xml:space="preserve">macaulay/flac/249423.flac</t>
  </si>
  <si>
    <t xml:space="preserve">ML249433</t>
  </si>
  <si>
    <t xml:space="preserve">Tom Schulenberg|1986-04-02</t>
  </si>
  <si>
    <t xml:space="preserve">macaulay/flac/249433.flac</t>
  </si>
  <si>
    <t xml:space="preserve">group label: Gray-rumped Swift (phaeopygos)</t>
  </si>
  <si>
    <t xml:space="preserve">ML597934421</t>
  </si>
  <si>
    <t xml:space="preserve">macaulay/flac/597934421.flac</t>
  </si>
  <si>
    <t xml:space="preserve">ML130155901</t>
  </si>
  <si>
    <t xml:space="preserve">macaulay/flac/130155901.flac</t>
  </si>
  <si>
    <t xml:space="preserve">ML145237251</t>
  </si>
  <si>
    <t xml:space="preserve">S53565589</t>
  </si>
  <si>
    <t xml:space="preserve">Taylor Sturm</t>
  </si>
  <si>
    <t xml:space="preserve">macaulay/flac/145237251.flac</t>
  </si>
  <si>
    <t xml:space="preserve">ML145618121</t>
  </si>
  <si>
    <t xml:space="preserve">macaulay/flac/145618121.flac</t>
  </si>
  <si>
    <t xml:space="preserve">ML147183551</t>
  </si>
  <si>
    <t xml:space="preserve">macaulay/flac/147183551.flac</t>
  </si>
  <si>
    <t xml:space="preserve">ML299561</t>
  </si>
  <si>
    <t xml:space="preserve">macaulay/flac/299561.flac</t>
  </si>
  <si>
    <t xml:space="preserve">ML299562</t>
  </si>
  <si>
    <t xml:space="preserve">macaulay/flac/299562.flac</t>
  </si>
  <si>
    <t xml:space="preserve">ML97861781</t>
  </si>
  <si>
    <t xml:space="preserve">macaulay/flac/97861781.flac</t>
  </si>
  <si>
    <t xml:space="preserve">ML299553</t>
  </si>
  <si>
    <t xml:space="preserve">macaulay/flac/299553.flac</t>
  </si>
  <si>
    <t xml:space="preserve">ML619208813</t>
  </si>
  <si>
    <t xml:space="preserve">S172794240</t>
  </si>
  <si>
    <t xml:space="preserve">Abby Perkins</t>
  </si>
  <si>
    <t xml:space="preserve">17:11</t>
  </si>
  <si>
    <t xml:space="preserve">macaulay/flac/619208813.flac</t>
  </si>
  <si>
    <t xml:space="preserve">ML621760082</t>
  </si>
  <si>
    <t xml:space="preserve">macaulay/flac/621760082.flac</t>
  </si>
  <si>
    <t xml:space="preserve">ML630390537</t>
  </si>
  <si>
    <t xml:space="preserve">Graceful Black-throated Trogon; Mealy Amazon; Bright-rumped Attila; Yellow-throated Toucan</t>
  </si>
  <si>
    <t xml:space="preserve">S212492245</t>
  </si>
  <si>
    <t xml:space="preserve">05:54</t>
  </si>
  <si>
    <t xml:space="preserve">macaulay/flac/630390537.flac</t>
  </si>
  <si>
    <t xml:space="preserve">ML632692699</t>
  </si>
  <si>
    <t xml:space="preserve">macaulay/flac/632692699.flac</t>
  </si>
  <si>
    <t xml:space="preserve">ML638982457</t>
  </si>
  <si>
    <t xml:space="preserve">macaulay/flac/638982457.flac</t>
  </si>
  <si>
    <t xml:space="preserve">ML127701331</t>
  </si>
  <si>
    <t xml:space="preserve">S42568446</t>
  </si>
  <si>
    <t xml:space="preserve">macaulay/flac/127701331.flac</t>
  </si>
  <si>
    <t xml:space="preserve">ML266216791</t>
  </si>
  <si>
    <t xml:space="preserve">S73489357</t>
  </si>
  <si>
    <t xml:space="preserve">macaulay/flac/266216791.flac</t>
  </si>
  <si>
    <t xml:space="preserve">ML285621</t>
  </si>
  <si>
    <t xml:space="preserve">macaulay/flac/285621.flac</t>
  </si>
  <si>
    <t xml:space="preserve">ML470745041</t>
  </si>
  <si>
    <t xml:space="preserve">macaulay/flac/470745041.flac</t>
  </si>
  <si>
    <t xml:space="preserve">ML621760410</t>
  </si>
  <si>
    <t xml:space="preserve">macaulay/flac/621760410.flac</t>
  </si>
  <si>
    <t xml:space="preserve">ML150741091</t>
  </si>
  <si>
    <t xml:space="preserve">macaulay/flac/150741091.flac</t>
  </si>
  <si>
    <t xml:space="preserve">ML471206881</t>
  </si>
  <si>
    <t xml:space="preserve">macaulay/flac/471206881.flac</t>
  </si>
  <si>
    <t xml:space="preserve">ML609056512</t>
  </si>
  <si>
    <t xml:space="preserve">macaulay/flac/609056512.flac</t>
  </si>
  <si>
    <t xml:space="preserve">ML610540441</t>
  </si>
  <si>
    <t xml:space="preserve">macaulay/flac/610540441.flac</t>
  </si>
  <si>
    <t xml:space="preserve">ML619788348</t>
  </si>
  <si>
    <t xml:space="preserve">macaulay/flac/619788348.flac</t>
  </si>
  <si>
    <t xml:space="preserve">ML642913319</t>
  </si>
  <si>
    <t xml:space="preserve">macaulay/flac/642913319.flac</t>
  </si>
  <si>
    <t xml:space="preserve">ML642978376</t>
  </si>
  <si>
    <t xml:space="preserve">macaulay/flac/642978376.flac</t>
  </si>
  <si>
    <t xml:space="preserve">ML643661165</t>
  </si>
  <si>
    <t xml:space="preserve">macaulay/flac/643661165.flac</t>
  </si>
  <si>
    <t xml:space="preserve">ML648194080</t>
  </si>
  <si>
    <t xml:space="preserve">macaulay/flac/648194080.flac</t>
  </si>
  <si>
    <t xml:space="preserve">ML650763034</t>
  </si>
  <si>
    <t xml:space="preserve">macaulay/flac/650763034.flac</t>
  </si>
  <si>
    <t xml:space="preserve">ML98265701</t>
  </si>
  <si>
    <t xml:space="preserve">macaulay/flac/98265701.flac</t>
  </si>
  <si>
    <t xml:space="preserve">ML98266421</t>
  </si>
  <si>
    <t xml:space="preserve">macaulay/flac/98266421.flac</t>
  </si>
  <si>
    <t xml:space="preserve">ML98267121</t>
  </si>
  <si>
    <t xml:space="preserve">macaulay/flac/98267121.flac</t>
  </si>
  <si>
    <t xml:space="preserve">ML99938741</t>
  </si>
  <si>
    <t xml:space="preserve">S45506900</t>
  </si>
  <si>
    <t xml:space="preserve">David W Foster</t>
  </si>
  <si>
    <t xml:space="preserve">06:56</t>
  </si>
  <si>
    <t xml:space="preserve">macaulay/flac/99938741.flac</t>
  </si>
  <si>
    <t xml:space="preserve">ML215405</t>
  </si>
  <si>
    <t xml:space="preserve">22:06</t>
  </si>
  <si>
    <t xml:space="preserve">macaulay/flac/215405.flac</t>
  </si>
  <si>
    <t xml:space="preserve">ML215432</t>
  </si>
  <si>
    <t xml:space="preserve">22:24</t>
  </si>
  <si>
    <t xml:space="preserve">macaulay/flac/215432.flac</t>
  </si>
  <si>
    <t xml:space="preserve">ML299607</t>
  </si>
  <si>
    <t xml:space="preserve">macaulay/flac/299607.flac</t>
  </si>
  <si>
    <t xml:space="preserve">ML299608</t>
  </si>
  <si>
    <t xml:space="preserve">macaulay/flac/299608.flac</t>
  </si>
  <si>
    <t xml:space="preserve">ML618109233</t>
  </si>
  <si>
    <t xml:space="preserve">S149560464</t>
  </si>
  <si>
    <t xml:space="preserve">17:42</t>
  </si>
  <si>
    <t xml:space="preserve">macaulay/flac/618109233.flac</t>
  </si>
  <si>
    <t xml:space="preserve">ML626932104</t>
  </si>
  <si>
    <t xml:space="preserve">macaulay/flac/626932104.flac</t>
  </si>
  <si>
    <t xml:space="preserve">ML123824981</t>
  </si>
  <si>
    <t xml:space="preserve">S49983800</t>
  </si>
  <si>
    <t xml:space="preserve">17:05</t>
  </si>
  <si>
    <t xml:space="preserve">macaulay/flac/123824981.flac</t>
  </si>
  <si>
    <t xml:space="preserve">ML123824991</t>
  </si>
  <si>
    <t xml:space="preserve">macaulay/flac/123824991.flac</t>
  </si>
  <si>
    <t xml:space="preserve">ML193422041</t>
  </si>
  <si>
    <t xml:space="preserve">S62326538</t>
  </si>
  <si>
    <t xml:space="preserve">macaulay/flac/193422041.flac</t>
  </si>
  <si>
    <t xml:space="preserve">ML215321</t>
  </si>
  <si>
    <t xml:space="preserve">macaulay/flac/215321.flac</t>
  </si>
  <si>
    <t xml:space="preserve">ML215423</t>
  </si>
  <si>
    <t xml:space="preserve">macaulay/flac/215423.flac</t>
  </si>
  <si>
    <t xml:space="preserve">ML285633</t>
  </si>
  <si>
    <t xml:space="preserve">macaulay/flac/285633.flac</t>
  </si>
  <si>
    <t xml:space="preserve">ML299646</t>
  </si>
  <si>
    <t xml:space="preserve">macaulay/flac/299646.flac</t>
  </si>
  <si>
    <t xml:space="preserve">ML32601161</t>
  </si>
  <si>
    <t xml:space="preserve">S30203037</t>
  </si>
  <si>
    <t xml:space="preserve">macaulay/flac/32601161.flac</t>
  </si>
  <si>
    <t xml:space="preserve">ML32601171</t>
  </si>
  <si>
    <t xml:space="preserve">macaulay/flac/32601171.flac</t>
  </si>
  <si>
    <t xml:space="preserve">ML42499311</t>
  </si>
  <si>
    <t xml:space="preserve">S22176624</t>
  </si>
  <si>
    <t xml:space="preserve">Jeff Ellerbusch</t>
  </si>
  <si>
    <t xml:space="preserve">macaulay/flac/42499311.flac</t>
  </si>
  <si>
    <t xml:space="preserve">ML470892911</t>
  </si>
  <si>
    <t xml:space="preserve">macaulay/flac/470892911.flac</t>
  </si>
  <si>
    <t xml:space="preserve">ML470892921</t>
  </si>
  <si>
    <t xml:space="preserve">macaulay/flac/470892921.flac</t>
  </si>
  <si>
    <t xml:space="preserve">ML508814281</t>
  </si>
  <si>
    <t xml:space="preserve">S116879401</t>
  </si>
  <si>
    <t xml:space="preserve">Simone Littledale</t>
  </si>
  <si>
    <t xml:space="preserve">macaulay/flac/508814281.flac</t>
  </si>
  <si>
    <t xml:space="preserve">ML531230351</t>
  </si>
  <si>
    <t xml:space="preserve">macaulay/flac/531230351.flac</t>
  </si>
  <si>
    <t xml:space="preserve">ML531231601</t>
  </si>
  <si>
    <t xml:space="preserve">macaulay/flac/531231601.flac</t>
  </si>
  <si>
    <t xml:space="preserve">ML539024371</t>
  </si>
  <si>
    <t xml:space="preserve">macaulay/flac/539024371.flac</t>
  </si>
  <si>
    <t xml:space="preserve">ML543400981</t>
  </si>
  <si>
    <t xml:space="preserve">macaulay/flac/543400981.flac</t>
  </si>
  <si>
    <t xml:space="preserve">ML549350641</t>
  </si>
  <si>
    <t xml:space="preserve">S130491614</t>
  </si>
  <si>
    <t xml:space="preserve">macaulay/flac/549350641.flac</t>
  </si>
  <si>
    <t xml:space="preserve">ML57315</t>
  </si>
  <si>
    <t xml:space="preserve">17:40</t>
  </si>
  <si>
    <t xml:space="preserve">macaulay/flac/57315.flac</t>
  </si>
  <si>
    <t xml:space="preserve">ML57317</t>
  </si>
  <si>
    <t xml:space="preserve">macaulay/flac/57317.flac</t>
  </si>
  <si>
    <t xml:space="preserve">ML57318</t>
  </si>
  <si>
    <t xml:space="preserve">David L. Ross, Jr.|1990-02-08</t>
  </si>
  <si>
    <t xml:space="preserve">06:34</t>
  </si>
  <si>
    <t xml:space="preserve">macaulay/flac/57318.flac</t>
  </si>
  <si>
    <t xml:space="preserve">ML57491</t>
  </si>
  <si>
    <t xml:space="preserve">David L. Ross, Jr.|1991-02-24</t>
  </si>
  <si>
    <t xml:space="preserve">macaulay/flac/57491.flac</t>
  </si>
  <si>
    <t xml:space="preserve">ML58713</t>
  </si>
  <si>
    <t xml:space="preserve">Paul A. Schwartz|1972-02-01</t>
  </si>
  <si>
    <t xml:space="preserve">Paul A. Schwartz</t>
  </si>
  <si>
    <t xml:space="preserve">macaulay/flac/58713.flac</t>
  </si>
  <si>
    <t xml:space="preserve">ML597713221</t>
  </si>
  <si>
    <t xml:space="preserve">macaulay/flac/597713221.flac</t>
  </si>
  <si>
    <t xml:space="preserve">ML609056534</t>
  </si>
  <si>
    <t xml:space="preserve">macaulay/flac/609056534.flac</t>
  </si>
  <si>
    <t xml:space="preserve">ML611524277</t>
  </si>
  <si>
    <t xml:space="preserve">S129516601</t>
  </si>
  <si>
    <t xml:space="preserve">05:56</t>
  </si>
  <si>
    <t xml:space="preserve">macaulay/flac/611524277.flac</t>
  </si>
  <si>
    <t xml:space="preserve">ML614020328</t>
  </si>
  <si>
    <t xml:space="preserve">macaulay/flac/614020328.flac</t>
  </si>
  <si>
    <t xml:space="preserve">ML614020340</t>
  </si>
  <si>
    <t xml:space="preserve">macaulay/flac/614020340.flac</t>
  </si>
  <si>
    <t xml:space="preserve">ML614213210</t>
  </si>
  <si>
    <t xml:space="preserve">S108343202</t>
  </si>
  <si>
    <t xml:space="preserve">17:27</t>
  </si>
  <si>
    <t xml:space="preserve">macaulay/flac/614213210.flac</t>
  </si>
  <si>
    <t xml:space="preserve">ML618010006</t>
  </si>
  <si>
    <t xml:space="preserve">macaulay/flac/618010006.flac</t>
  </si>
  <si>
    <t xml:space="preserve">ML619568190</t>
  </si>
  <si>
    <t xml:space="preserve">S158262846</t>
  </si>
  <si>
    <t xml:space="preserve">08:10</t>
  </si>
  <si>
    <t xml:space="preserve">macaulay/flac/619568190.flac</t>
  </si>
  <si>
    <t xml:space="preserve">ML620357353</t>
  </si>
  <si>
    <t xml:space="preserve">S181117760</t>
  </si>
  <si>
    <t xml:space="preserve">Nicholas March</t>
  </si>
  <si>
    <t xml:space="preserve">16:07</t>
  </si>
  <si>
    <t xml:space="preserve">macaulay/flac/620357353.flac</t>
  </si>
  <si>
    <t xml:space="preserve">ML621759928</t>
  </si>
  <si>
    <t xml:space="preserve">macaulay/flac/621759928.flac</t>
  </si>
  <si>
    <t xml:space="preserve">ML621759929</t>
  </si>
  <si>
    <t xml:space="preserve">macaulay/flac/621759929.flac</t>
  </si>
  <si>
    <t xml:space="preserve">ML638950841</t>
  </si>
  <si>
    <t xml:space="preserve">macaulay/flac/638950841.flac</t>
  </si>
  <si>
    <t xml:space="preserve">ML647566116</t>
  </si>
  <si>
    <t xml:space="preserve">Chestnut-backed Antbird; Chestnut-sided Warbler</t>
  </si>
  <si>
    <t xml:space="preserve">macaulay/flac/647566116.flac</t>
  </si>
  <si>
    <t xml:space="preserve">ML647566125</t>
  </si>
  <si>
    <t xml:space="preserve">macaulay/flac/647566125.flac</t>
  </si>
  <si>
    <t xml:space="preserve">ML648493779</t>
  </si>
  <si>
    <t xml:space="preserve">S290916268</t>
  </si>
  <si>
    <t xml:space="preserve">Garrett Yocklin</t>
  </si>
  <si>
    <t xml:space="preserve">macaulay/flac/648493779.flac</t>
  </si>
  <si>
    <t xml:space="preserve">ML648494032</t>
  </si>
  <si>
    <t xml:space="preserve">macaulay/flac/648494032.flac</t>
  </si>
  <si>
    <t xml:space="preserve">ML648568089</t>
  </si>
  <si>
    <t xml:space="preserve">S292505010</t>
  </si>
  <si>
    <t xml:space="preserve">macaulay/flac/648568089.flac</t>
  </si>
  <si>
    <t xml:space="preserve">ML654478370</t>
  </si>
  <si>
    <t xml:space="preserve">S308161423</t>
  </si>
  <si>
    <t xml:space="preserve">Bob Greenleaf</t>
  </si>
  <si>
    <t xml:space="preserve">08:16</t>
  </si>
  <si>
    <t xml:space="preserve">macaulay/flac/654478370.flac</t>
  </si>
  <si>
    <t xml:space="preserve">ML661734223</t>
  </si>
  <si>
    <t xml:space="preserve">macaulay/flac/661734223.flac</t>
  </si>
  <si>
    <t xml:space="preserve">ML76613</t>
  </si>
  <si>
    <t xml:space="preserve">macaulay/flac/76613.flac</t>
  </si>
  <si>
    <t xml:space="preserve">ML875</t>
  </si>
  <si>
    <t xml:space="preserve">Guianan Violaceous Trogon</t>
  </si>
  <si>
    <t xml:space="preserve">macaulay/flac/875.flac</t>
  </si>
  <si>
    <t xml:space="preserve">ML249462</t>
  </si>
  <si>
    <t xml:space="preserve">macaulay/flac/249462.flac</t>
  </si>
  <si>
    <t xml:space="preserve">ML368118381</t>
  </si>
  <si>
    <t xml:space="preserve">S94417311</t>
  </si>
  <si>
    <t xml:space="preserve">Diego Ramírez</t>
  </si>
  <si>
    <t xml:space="preserve">macaulay/flac/368118381.flac</t>
  </si>
  <si>
    <t xml:space="preserve">ML368384201</t>
  </si>
  <si>
    <t xml:space="preserve">S94417312</t>
  </si>
  <si>
    <t xml:space="preserve">macaulay/flac/368384201.flac</t>
  </si>
  <si>
    <t xml:space="preserve">ML39236</t>
  </si>
  <si>
    <t xml:space="preserve">macaulay/flac/39236.flac</t>
  </si>
  <si>
    <t xml:space="preserve">ML627957602</t>
  </si>
  <si>
    <t xml:space="preserve">macaulay/flac/627957602.flac</t>
  </si>
  <si>
    <t xml:space="preserve">ML627957603</t>
  </si>
  <si>
    <t xml:space="preserve">macaulay/flac/627957603.flac</t>
  </si>
  <si>
    <t xml:space="preserve">ML627957736</t>
  </si>
  <si>
    <t xml:space="preserve">macaulay/flac/627957736.flac</t>
  </si>
  <si>
    <t xml:space="preserve">ML143083231</t>
  </si>
  <si>
    <t xml:space="preserve">S51280164</t>
  </si>
  <si>
    <t xml:space="preserve">macaulay/flac/143083231.flac</t>
  </si>
  <si>
    <t xml:space="preserve">ML543400851</t>
  </si>
  <si>
    <t xml:space="preserve">macaulay/flac/543400851.flac</t>
  </si>
  <si>
    <t xml:space="preserve">ML543645881</t>
  </si>
  <si>
    <t xml:space="preserve">macaulay/flac/543645881.flac</t>
  </si>
  <si>
    <t xml:space="preserve">ML557806361</t>
  </si>
  <si>
    <t xml:space="preserve">Common Pauraque; Laughing Falcon</t>
  </si>
  <si>
    <t xml:space="preserve">S133366267</t>
  </si>
  <si>
    <t xml:space="preserve">18:05</t>
  </si>
  <si>
    <t xml:space="preserve">macaulay/flac/557806361.flac</t>
  </si>
  <si>
    <t xml:space="preserve">ML609059019</t>
  </si>
  <si>
    <t xml:space="preserve">macaulay/flac/609059019.flac</t>
  </si>
  <si>
    <t xml:space="preserve">ML612553595</t>
  </si>
  <si>
    <t xml:space="preserve">S156496959</t>
  </si>
  <si>
    <t xml:space="preserve">macaulay/flac/612553595.flac</t>
  </si>
  <si>
    <t xml:space="preserve">ML613430545</t>
  </si>
  <si>
    <t xml:space="preserve">macaulay/flac/613430545.flac</t>
  </si>
  <si>
    <t xml:space="preserve">ML614194979</t>
  </si>
  <si>
    <t xml:space="preserve">S144267231</t>
  </si>
  <si>
    <t xml:space="preserve">macaulay/flac/614194979.flac</t>
  </si>
  <si>
    <t xml:space="preserve">ML614545460</t>
  </si>
  <si>
    <t xml:space="preserve">S160709087</t>
  </si>
  <si>
    <t xml:space="preserve">Ryan Mandelbaum</t>
  </si>
  <si>
    <t xml:space="preserve">macaulay/flac/614545460.flac</t>
  </si>
  <si>
    <t xml:space="preserve">ML615067010</t>
  </si>
  <si>
    <t xml:space="preserve">macaulay/flac/615067010.flac</t>
  </si>
  <si>
    <t xml:space="preserve">ML615104023</t>
  </si>
  <si>
    <t xml:space="preserve">macaulay/flac/615104023.flac</t>
  </si>
  <si>
    <t xml:space="preserve">ML618152042</t>
  </si>
  <si>
    <t xml:space="preserve">S149562506</t>
  </si>
  <si>
    <t xml:space="preserve">17:59</t>
  </si>
  <si>
    <t xml:space="preserve">macaulay/flac/618152042.flac</t>
  </si>
  <si>
    <t xml:space="preserve">ML621760400</t>
  </si>
  <si>
    <t xml:space="preserve">macaulay/flac/621760400.flac</t>
  </si>
  <si>
    <t xml:space="preserve">ML628584414</t>
  </si>
  <si>
    <t xml:space="preserve">macaulay/flac/628584414.flac</t>
  </si>
  <si>
    <t xml:space="preserve">ML628584415</t>
  </si>
  <si>
    <t xml:space="preserve">macaulay/flac/628584415.flac</t>
  </si>
  <si>
    <t xml:space="preserve">ML639165012</t>
  </si>
  <si>
    <t xml:space="preserve">macaulay/flac/639165012.flac</t>
  </si>
  <si>
    <t xml:space="preserve">ML398719601</t>
  </si>
  <si>
    <t xml:space="preserve">macaulay/flac/398719601.flac</t>
  </si>
  <si>
    <t xml:space="preserve">ML72623</t>
  </si>
  <si>
    <t xml:space="preserve">macaulay/flac/72623.flac</t>
  </si>
  <si>
    <t xml:space="preserve">ML249429</t>
  </si>
  <si>
    <t xml:space="preserve">macaulay/flac/249429.flac</t>
  </si>
  <si>
    <t xml:space="preserve">ML249446</t>
  </si>
  <si>
    <t xml:space="preserve">Tom Schulenberg|1986-04-03</t>
  </si>
  <si>
    <t xml:space="preserve">macaulay/flac/249446.flac</t>
  </si>
  <si>
    <t xml:space="preserve">ML348001711</t>
  </si>
  <si>
    <t xml:space="preserve">macaulay/flac/348001711.flac</t>
  </si>
  <si>
    <t xml:space="preserve">ML193423241</t>
  </si>
  <si>
    <t xml:space="preserve">macaulay/flac/193423241.flac</t>
  </si>
  <si>
    <t xml:space="preserve">ML193418441</t>
  </si>
  <si>
    <t xml:space="preserve">macaulay/flac/193418441.flac</t>
  </si>
  <si>
    <t xml:space="preserve">ML289818391</t>
  </si>
  <si>
    <t xml:space="preserve">macaulay/flac/289818391.flac</t>
  </si>
  <si>
    <t xml:space="preserve">ML358804331</t>
  </si>
  <si>
    <t xml:space="preserve">S77709046</t>
  </si>
  <si>
    <t xml:space="preserve">macaulay/flac/358804331.flac</t>
  </si>
  <si>
    <t xml:space="preserve">ML398719541</t>
  </si>
  <si>
    <t xml:space="preserve">macaulay/flac/398719541.flac</t>
  </si>
  <si>
    <t xml:space="preserve">ML612715142</t>
  </si>
  <si>
    <t xml:space="preserve">macaulay/flac/612715142.flac</t>
  </si>
  <si>
    <t xml:space="preserve">ML137859791</t>
  </si>
  <si>
    <t xml:space="preserve">macaulay/flac/137859791.flac</t>
  </si>
  <si>
    <t xml:space="preserve">ML184782</t>
  </si>
  <si>
    <t xml:space="preserve">08:28</t>
  </si>
  <si>
    <t xml:space="preserve">macaulay/flac/184782.flac</t>
  </si>
  <si>
    <t xml:space="preserve">ML215351</t>
  </si>
  <si>
    <t xml:space="preserve">07:31</t>
  </si>
  <si>
    <t xml:space="preserve">macaulay/flac/215351.flac</t>
  </si>
  <si>
    <t xml:space="preserve">ML215353</t>
  </si>
  <si>
    <t xml:space="preserve">macaulay/flac/215353.flac</t>
  </si>
  <si>
    <t xml:space="preserve">ML215390</t>
  </si>
  <si>
    <t xml:space="preserve">macaulay/flac/215390.flac</t>
  </si>
  <si>
    <t xml:space="preserve">ML299615</t>
  </si>
  <si>
    <t xml:space="preserve">macaulay/flac/299615.flac</t>
  </si>
  <si>
    <t xml:space="preserve">ML458621941</t>
  </si>
  <si>
    <t xml:space="preserve">S112290921</t>
  </si>
  <si>
    <t xml:space="preserve">08:03</t>
  </si>
  <si>
    <t xml:space="preserve">macaulay/flac/458621941.flac</t>
  </si>
  <si>
    <t xml:space="preserve">ML609056488</t>
  </si>
  <si>
    <t xml:space="preserve">macaulay/flac/609056488.flac</t>
  </si>
  <si>
    <t xml:space="preserve">ML609056532</t>
  </si>
  <si>
    <t xml:space="preserve">macaulay/flac/609056532.flac</t>
  </si>
  <si>
    <t xml:space="preserve">ML613429970</t>
  </si>
  <si>
    <t xml:space="preserve">macaulay/flac/613429970.flac</t>
  </si>
  <si>
    <t xml:space="preserve">ML639170359</t>
  </si>
  <si>
    <t xml:space="preserve">macaulay/flac/639170359.flac</t>
  </si>
  <si>
    <t xml:space="preserve">ML642419924</t>
  </si>
  <si>
    <t xml:space="preserve">macaulay/flac/642419924.flac</t>
  </si>
  <si>
    <t xml:space="preserve">ML646457277</t>
  </si>
  <si>
    <t xml:space="preserve">macaulay/flac/646457277.flac</t>
  </si>
  <si>
    <t xml:space="preserve">ML647391467</t>
  </si>
  <si>
    <t xml:space="preserve">macaulay/flac/647391467.flac</t>
  </si>
  <si>
    <t xml:space="preserve">ML647570570</t>
  </si>
  <si>
    <t xml:space="preserve">macaulay/flac/647570570.flac</t>
  </si>
  <si>
    <t xml:space="preserve">ML648628493</t>
  </si>
  <si>
    <t xml:space="preserve">Boat-billed Flycatcher; Gray-capped Flycatcher; Bananaquit</t>
  </si>
  <si>
    <t xml:space="preserve">macaulay/flac/648628493.flac</t>
  </si>
  <si>
    <t xml:space="preserve">ML653762560</t>
  </si>
  <si>
    <t xml:space="preserve">macaulay/flac/653762560.flac</t>
  </si>
  <si>
    <t xml:space="preserve">ML74219</t>
  </si>
  <si>
    <t xml:space="preserve">16:08</t>
  </si>
  <si>
    <t xml:space="preserve">macaulay/flac/74219.flac</t>
  </si>
  <si>
    <t xml:space="preserve">XC332512</t>
  </si>
  <si>
    <t xml:space="preserve">data-prep/xc_flac/Ramphastos_sulfuratus/XC332512.flac</t>
  </si>
  <si>
    <t xml:space="preserve">XC332528</t>
  </si>
  <si>
    <t xml:space="preserve">data-prep/xc_flac/Ramphastos_sulfuratus/XC332528.flac</t>
  </si>
  <si>
    <t xml:space="preserve">ML289835861</t>
  </si>
  <si>
    <t xml:space="preserve">S77742389</t>
  </si>
  <si>
    <t xml:space="preserve">09:36</t>
  </si>
  <si>
    <t xml:space="preserve">macaulay/flac/289835861.flac</t>
  </si>
  <si>
    <t xml:space="preserve">ML492658781</t>
  </si>
  <si>
    <t xml:space="preserve">S120228113</t>
  </si>
  <si>
    <t xml:space="preserve">macaulay/flac/492658781.flac</t>
  </si>
  <si>
    <t xml:space="preserve">ML626355525</t>
  </si>
  <si>
    <t xml:space="preserve">macaulay/flac/626355525.flac</t>
  </si>
  <si>
    <t xml:space="preserve">ML647330561</t>
  </si>
  <si>
    <t xml:space="preserve">macaulay/flac/647330561.flac</t>
  </si>
  <si>
    <t xml:space="preserve">ML647391498</t>
  </si>
  <si>
    <t xml:space="preserve">macaulay/flac/647391498.flac</t>
  </si>
  <si>
    <t xml:space="preserve">ML647482832</t>
  </si>
  <si>
    <t xml:space="preserve">macaulay/flac/647482832.flac</t>
  </si>
  <si>
    <t xml:space="preserve">ML662832689</t>
  </si>
  <si>
    <t xml:space="preserve">macaulay/flac/662832689.flac</t>
  </si>
  <si>
    <t xml:space="preserve">ML215354</t>
  </si>
  <si>
    <t xml:space="preserve">08:34</t>
  </si>
  <si>
    <t xml:space="preserve">macaulay/flac/215354.flac</t>
  </si>
  <si>
    <t xml:space="preserve">ML215356</t>
  </si>
  <si>
    <t xml:space="preserve">macaulay/flac/215356.flac</t>
  </si>
  <si>
    <t xml:space="preserve">ML272472</t>
  </si>
  <si>
    <t xml:space="preserve">Tom Schulenberg|1988-03-20</t>
  </si>
  <si>
    <t xml:space="preserve">macaulay/flac/272472.flac</t>
  </si>
  <si>
    <t xml:space="preserve">ML39221</t>
  </si>
  <si>
    <t xml:space="preserve">macaulay/flac/39221.flac</t>
  </si>
  <si>
    <t xml:space="preserve">ML129901821</t>
  </si>
  <si>
    <t xml:space="preserve">macaulay/flac/129901821.flac</t>
  </si>
  <si>
    <t xml:space="preserve">ML613449698</t>
  </si>
  <si>
    <t xml:space="preserve">macaulay/flac/613449698.flac</t>
  </si>
  <si>
    <t xml:space="preserve">ML615348373</t>
  </si>
  <si>
    <t xml:space="preserve">S153341704</t>
  </si>
  <si>
    <t xml:space="preserve">06:16</t>
  </si>
  <si>
    <t xml:space="preserve">macaulay/flac/615348373.flac</t>
  </si>
  <si>
    <t xml:space="preserve">ML619568255</t>
  </si>
  <si>
    <t xml:space="preserve">S158429241</t>
  </si>
  <si>
    <t xml:space="preserve">macaulay/flac/619568255.flac</t>
  </si>
  <si>
    <t xml:space="preserve">ML622575964</t>
  </si>
  <si>
    <t xml:space="preserve">macaulay/flac/622575964.flac</t>
  </si>
  <si>
    <t xml:space="preserve">ML630218252</t>
  </si>
  <si>
    <t xml:space="preserve">S207309839</t>
  </si>
  <si>
    <t xml:space="preserve">macaulay/flac/630218252.flac</t>
  </si>
  <si>
    <t xml:space="preserve">ML64438011</t>
  </si>
  <si>
    <t xml:space="preserve">S38182690</t>
  </si>
  <si>
    <t xml:space="preserve">Sandi Jacques</t>
  </si>
  <si>
    <t xml:space="preserve">macaulay/flac/64438011.flac</t>
  </si>
  <si>
    <t xml:space="preserve">ML72652</t>
  </si>
  <si>
    <t xml:space="preserve">09:40</t>
  </si>
  <si>
    <t xml:space="preserve">macaulay/flac/72652.flac</t>
  </si>
  <si>
    <t xml:space="preserve">ML100770811</t>
  </si>
  <si>
    <t xml:space="preserve">S45668484</t>
  </si>
  <si>
    <t xml:space="preserve">macaulay/flac/100770811.flac</t>
  </si>
  <si>
    <t xml:space="preserve">ML299651</t>
  </si>
  <si>
    <t xml:space="preserve">macaulay/flac/299651.flac</t>
  </si>
  <si>
    <t xml:space="preserve">ML531232301</t>
  </si>
  <si>
    <t xml:space="preserve">macaulay/flac/531232301.flac</t>
  </si>
  <si>
    <t xml:space="preserve">ML538695151</t>
  </si>
  <si>
    <t xml:space="preserve">S126377405</t>
  </si>
  <si>
    <t xml:space="preserve">macaulay/flac/538695151.flac</t>
  </si>
  <si>
    <t xml:space="preserve">ML597934101</t>
  </si>
  <si>
    <t xml:space="preserve">macaulay/flac/597934101.flac</t>
  </si>
  <si>
    <t xml:space="preserve">ML630168611</t>
  </si>
  <si>
    <t xml:space="preserve">S210025897</t>
  </si>
  <si>
    <t xml:space="preserve">macaulay/flac/630168611.flac</t>
  </si>
  <si>
    <t xml:space="preserve">ML631662887</t>
  </si>
  <si>
    <t xml:space="preserve">macaulay/flac/631662887.flac</t>
  </si>
  <si>
    <t xml:space="preserve">ML639164351</t>
  </si>
  <si>
    <t xml:space="preserve">macaulay/flac/639164351.flac</t>
  </si>
  <si>
    <t xml:space="preserve">ML639219073</t>
  </si>
  <si>
    <t xml:space="preserve">macaulay/flac/639219073.flac</t>
  </si>
  <si>
    <t xml:space="preserve">ML639219074</t>
  </si>
  <si>
    <t xml:space="preserve">macaulay/flac/639219074.flac</t>
  </si>
  <si>
    <t xml:space="preserve">ML643856271</t>
  </si>
  <si>
    <t xml:space="preserve">S222964532</t>
  </si>
  <si>
    <t xml:space="preserve">David Southall</t>
  </si>
  <si>
    <t xml:space="preserve">macaulay/flac/643856271.flac</t>
  </si>
  <si>
    <t xml:space="preserve">XC332387</t>
  </si>
  <si>
    <t xml:space="preserve">data-prep/xc_flac/Pachysylvia_decurtata/XC332387.flac</t>
  </si>
  <si>
    <t xml:space="preserve">call, song; Reserva Curi-Cancha, Monteverde, 1500 m</t>
  </si>
  <si>
    <t xml:space="preserve">ML133780271</t>
  </si>
  <si>
    <t xml:space="preserve">S50561761</t>
  </si>
  <si>
    <t xml:space="preserve">macaulay/flac/133780271.flac</t>
  </si>
  <si>
    <t xml:space="preserve">ML193421751</t>
  </si>
  <si>
    <t xml:space="preserve">S62322025</t>
  </si>
  <si>
    <t xml:space="preserve">05:42</t>
  </si>
  <si>
    <t xml:space="preserve">macaulay/flac/193421751.flac</t>
  </si>
  <si>
    <t xml:space="preserve">ML285635</t>
  </si>
  <si>
    <t xml:space="preserve">macaulay/flac/285635.flac</t>
  </si>
  <si>
    <t xml:space="preserve">ML610572569</t>
  </si>
  <si>
    <t xml:space="preserve">S152996949</t>
  </si>
  <si>
    <t xml:space="preserve">07:06</t>
  </si>
  <si>
    <t xml:space="preserve">macaulay/flac/610572569.flac</t>
  </si>
  <si>
    <t xml:space="preserve">ML615003829</t>
  </si>
  <si>
    <t xml:space="preserve">S161405620</t>
  </si>
  <si>
    <t xml:space="preserve">macaulay/flac/615003829.flac</t>
  </si>
  <si>
    <t xml:space="preserve">ML628584426</t>
  </si>
  <si>
    <t xml:space="preserve">macaulay/flac/628584426.flac</t>
  </si>
  <si>
    <t xml:space="preserve">ML628584427</t>
  </si>
  <si>
    <t xml:space="preserve">macaulay/flac/628584427.flac</t>
  </si>
  <si>
    <t xml:space="preserve">ML628584428</t>
  </si>
  <si>
    <t xml:space="preserve">macaulay/flac/628584428.flac</t>
  </si>
  <si>
    <t xml:space="preserve">ML628599475</t>
  </si>
  <si>
    <t xml:space="preserve">macaulay/flac/628599475.flac</t>
  </si>
  <si>
    <t xml:space="preserve">ML193419861</t>
  </si>
  <si>
    <t xml:space="preserve">macaulay/flac/193419861.flac</t>
  </si>
  <si>
    <t xml:space="preserve">ML609059106</t>
  </si>
  <si>
    <t xml:space="preserve">macaulay/flac/609059106.flac</t>
  </si>
  <si>
    <t xml:space="preserve">ML611512745</t>
  </si>
  <si>
    <t xml:space="preserve">macaulay/flac/611512745.flac</t>
  </si>
  <si>
    <t xml:space="preserve">ML611513030</t>
  </si>
  <si>
    <t xml:space="preserve">macaulay/flac/611513030.flac</t>
  </si>
  <si>
    <t xml:space="preserve">ML613718014</t>
  </si>
  <si>
    <t xml:space="preserve">S158907114</t>
  </si>
  <si>
    <t xml:space="preserve">Graham Deese</t>
  </si>
  <si>
    <t xml:space="preserve">macaulay/flac/613718014.flac</t>
  </si>
  <si>
    <t xml:space="preserve">ML614020159</t>
  </si>
  <si>
    <t xml:space="preserve">macaulay/flac/614020159.flac</t>
  </si>
  <si>
    <t xml:space="preserve">ML621760397</t>
  </si>
  <si>
    <t xml:space="preserve">macaulay/flac/621760397.flac</t>
  </si>
  <si>
    <t xml:space="preserve">group label: Long-billed Gnatwren (rufiventris Group)</t>
  </si>
  <si>
    <t xml:space="preserve">ML627957627</t>
  </si>
  <si>
    <t xml:space="preserve">macaulay/flac/627957627.flac</t>
  </si>
  <si>
    <t xml:space="preserve">ML630258199</t>
  </si>
  <si>
    <t xml:space="preserve">S168314735</t>
  </si>
  <si>
    <t xml:space="preserve">Alex Mann</t>
  </si>
  <si>
    <t xml:space="preserve">macaulay/flac/630258199.flac</t>
  </si>
  <si>
    <t xml:space="preserve">ML643661138</t>
  </si>
  <si>
    <t xml:space="preserve">macaulay/flac/643661138.flac</t>
  </si>
  <si>
    <t xml:space="preserve">ML648627696</t>
  </si>
  <si>
    <t xml:space="preserve">Streak-headed Woodcreeper; Rufous-tailed Jacamar</t>
  </si>
  <si>
    <t xml:space="preserve">S278012955</t>
  </si>
  <si>
    <t xml:space="preserve">10:44</t>
  </si>
  <si>
    <t xml:space="preserve">macaulay/flac/648627696.flac</t>
  </si>
  <si>
    <t xml:space="preserve">ML655861621</t>
  </si>
  <si>
    <t xml:space="preserve">macaulay/flac/655861621.flac</t>
  </si>
  <si>
    <t xml:space="preserve">ML135382971</t>
  </si>
  <si>
    <t xml:space="preserve">macaulay/flac/135382971.flac</t>
  </si>
  <si>
    <t xml:space="preserve">ML267822831</t>
  </si>
  <si>
    <t xml:space="preserve">macaulay/flac/267822831.flac</t>
  </si>
  <si>
    <t xml:space="preserve">ML285636</t>
  </si>
  <si>
    <t xml:space="preserve">macaulay/flac/285636.flac</t>
  </si>
  <si>
    <t xml:space="preserve">ML299635</t>
  </si>
  <si>
    <t xml:space="preserve">macaulay/flac/299635.flac</t>
  </si>
  <si>
    <t xml:space="preserve">ML632692658</t>
  </si>
  <si>
    <t xml:space="preserve">macaulay/flac/632692658.flac</t>
  </si>
  <si>
    <t xml:space="preserve">ML654600215</t>
  </si>
  <si>
    <t xml:space="preserve">macaulay/flac/654600215.flac</t>
  </si>
  <si>
    <t xml:space="preserve">ML76634</t>
  </si>
  <si>
    <t xml:space="preserve">macaulay/flac/76634.flac</t>
  </si>
  <si>
    <t xml:space="preserve">group label: Long-billed Hermit (Central American)</t>
  </si>
  <si>
    <t xml:space="preserve">ML98488021</t>
  </si>
  <si>
    <t xml:space="preserve">macaulay/flac/98488021.flac</t>
  </si>
  <si>
    <t xml:space="preserve">XC332572</t>
  </si>
  <si>
    <t xml:space="preserve">xc|2016-07-31|Children's Eternal Rain Forest Bajo del Tigre</t>
  </si>
  <si>
    <t xml:space="preserve">data-prep/xc_flac/Chiroxiphia_linearis/XC332572.flac</t>
  </si>
  <si>
    <t xml:space="preserve">call; Children's Eternal Rain Forest Bajo del Tigre, 1400 m</t>
  </si>
  <si>
    <t xml:space="preserve">XC332573</t>
  </si>
  <si>
    <t xml:space="preserve">data-prep/xc_flac/Chiroxiphia_linearis/XC332573.flac</t>
  </si>
  <si>
    <t xml:space="preserve">ML143083551</t>
  </si>
  <si>
    <t xml:space="preserve">S51233631</t>
  </si>
  <si>
    <t xml:space="preserve">17:49</t>
  </si>
  <si>
    <t xml:space="preserve">macaulay/flac/143083551.flac</t>
  </si>
  <si>
    <t xml:space="preserve">ML184765</t>
  </si>
  <si>
    <t xml:space="preserve">macaulay/flac/184765.flac</t>
  </si>
  <si>
    <t xml:space="preserve">ML470892931</t>
  </si>
  <si>
    <t xml:space="preserve">macaulay/flac/470892931.flac</t>
  </si>
  <si>
    <t xml:space="preserve">ML597934381</t>
  </si>
  <si>
    <t xml:space="preserve">macaulay/flac/597934381.flac</t>
  </si>
  <si>
    <t xml:space="preserve">ML609056567</t>
  </si>
  <si>
    <t xml:space="preserve">macaulay/flac/609056567.flac</t>
  </si>
  <si>
    <t xml:space="preserve">ML628653387</t>
  </si>
  <si>
    <t xml:space="preserve">macaulay/flac/628653387.flac</t>
  </si>
  <si>
    <t xml:space="preserve">ML628653388</t>
  </si>
  <si>
    <t xml:space="preserve">macaulay/flac/628653388.flac</t>
  </si>
  <si>
    <t xml:space="preserve">ML631664487</t>
  </si>
  <si>
    <t xml:space="preserve">macaulay/flac/631664487.flac</t>
  </si>
  <si>
    <t xml:space="preserve">ML654443036</t>
  </si>
  <si>
    <t xml:space="preserve">macaulay/flac/654443036.flac</t>
  </si>
  <si>
    <t xml:space="preserve">ML99572391</t>
  </si>
  <si>
    <t xml:space="preserve">macaulay/flac/99572391.flac</t>
  </si>
  <si>
    <t xml:space="preserve">ML646193389</t>
  </si>
  <si>
    <t xml:space="preserve">macaulay/flac/646193389.flac</t>
  </si>
  <si>
    <t xml:space="preserve">ML193406341</t>
  </si>
  <si>
    <t xml:space="preserve">macaulay/flac/193406341.flac</t>
  </si>
  <si>
    <t xml:space="preserve">ML28129</t>
  </si>
  <si>
    <t xml:space="preserve">Short-billed Pigeon; Guianan Violaceous Trogon</t>
  </si>
  <si>
    <t xml:space="preserve">14:15</t>
  </si>
  <si>
    <t xml:space="preserve">macaulay/flac/28129.flac</t>
  </si>
  <si>
    <t xml:space="preserve">ML103130471</t>
  </si>
  <si>
    <t xml:space="preserve">macaulay/flac/103130471.flac</t>
  </si>
  <si>
    <t xml:space="preserve">ML184780</t>
  </si>
  <si>
    <t xml:space="preserve">macaulay/flac/184780.flac</t>
  </si>
  <si>
    <t xml:space="preserve">group label: Mealy Amazon (Northern)</t>
  </si>
  <si>
    <t xml:space="preserve">ML454613041</t>
  </si>
  <si>
    <t xml:space="preserve">S108173553</t>
  </si>
  <si>
    <t xml:space="preserve">macaulay/flac/454613041.flac</t>
  </si>
  <si>
    <t xml:space="preserve">ML547762141</t>
  </si>
  <si>
    <t xml:space="preserve">S126357231</t>
  </si>
  <si>
    <t xml:space="preserve">Lester Fonseca Gonzalez</t>
  </si>
  <si>
    <t xml:space="preserve">macaulay/flac/547762141.flac</t>
  </si>
  <si>
    <t xml:space="preserve">ML612714814</t>
  </si>
  <si>
    <t xml:space="preserve">macaulay/flac/612714814.flac</t>
  </si>
  <si>
    <t xml:space="preserve">ML621760246</t>
  </si>
  <si>
    <t xml:space="preserve">macaulay/flac/621760246.flac</t>
  </si>
  <si>
    <t xml:space="preserve">ML630390151</t>
  </si>
  <si>
    <t xml:space="preserve">Yellow-throated Toucan; Long-billed Hermit</t>
  </si>
  <si>
    <t xml:space="preserve">macaulay/flac/630390151.flac</t>
  </si>
  <si>
    <t xml:space="preserve">ML639165317</t>
  </si>
  <si>
    <t xml:space="preserve">macaulay/flac/639165317.flac</t>
  </si>
  <si>
    <t xml:space="preserve">ML649980431</t>
  </si>
  <si>
    <t xml:space="preserve">macaulay/flac/649980431.flac</t>
  </si>
  <si>
    <t xml:space="preserve">ML653762587</t>
  </si>
  <si>
    <t xml:space="preserve">macaulay/flac/653762587.flac</t>
  </si>
  <si>
    <t xml:space="preserve">ML654658552</t>
  </si>
  <si>
    <t xml:space="preserve">macaulay/flac/654658552.flac</t>
  </si>
  <si>
    <t xml:space="preserve">XC331320</t>
  </si>
  <si>
    <t xml:space="preserve">data-prep/xc_flac/Dives_dives/XC331320.flac</t>
  </si>
  <si>
    <t xml:space="preserve">XC331322</t>
  </si>
  <si>
    <t xml:space="preserve">xc|2016-07-25|Arenal Observatory Lodge, Fortuna, Costa Rica</t>
  </si>
  <si>
    <t xml:space="preserve">data-prep/xc_flac/Dives_dives/XC331322.flac</t>
  </si>
  <si>
    <t xml:space="preserve">XC331323</t>
  </si>
  <si>
    <t xml:space="preserve">data-prep/xc_flac/Dives_dives/XC331323.flac</t>
  </si>
  <si>
    <t xml:space="preserve">ML193415211</t>
  </si>
  <si>
    <t xml:space="preserve">S62282679</t>
  </si>
  <si>
    <t xml:space="preserve">20:24</t>
  </si>
  <si>
    <t xml:space="preserve">macaulay/flac/193415211.flac</t>
  </si>
  <si>
    <t xml:space="preserve">ML211131</t>
  </si>
  <si>
    <t xml:space="preserve">macaulay/flac/211131.flac</t>
  </si>
  <si>
    <t xml:space="preserve">group label: Middle American Screech-Owl (Vermiculated)</t>
  </si>
  <si>
    <t xml:space="preserve">ML215342</t>
  </si>
  <si>
    <t xml:space="preserve">21:00</t>
  </si>
  <si>
    <t xml:space="preserve">macaulay/flac/215342.flac</t>
  </si>
  <si>
    <t xml:space="preserve">ML215381</t>
  </si>
  <si>
    <t xml:space="preserve">20:00</t>
  </si>
  <si>
    <t xml:space="preserve">macaulay/flac/215381.flac</t>
  </si>
  <si>
    <t xml:space="preserve">ML215406</t>
  </si>
  <si>
    <t xml:space="preserve">macaulay/flac/215406.flac</t>
  </si>
  <si>
    <t xml:space="preserve">ML215424</t>
  </si>
  <si>
    <t xml:space="preserve">macaulay/flac/215424.flac</t>
  </si>
  <si>
    <t xml:space="preserve">ML215427</t>
  </si>
  <si>
    <t xml:space="preserve">19:34</t>
  </si>
  <si>
    <t xml:space="preserve">macaulay/flac/215427.flac</t>
  </si>
  <si>
    <t xml:space="preserve">ML215430</t>
  </si>
  <si>
    <t xml:space="preserve">macaulay/flac/215430.flac</t>
  </si>
  <si>
    <t xml:space="preserve">ML215433</t>
  </si>
  <si>
    <t xml:space="preserve">11:24</t>
  </si>
  <si>
    <t xml:space="preserve">macaulay/flac/215433.flac</t>
  </si>
  <si>
    <t xml:space="preserve">ML403397771</t>
  </si>
  <si>
    <t xml:space="preserve">S99024694</t>
  </si>
  <si>
    <t xml:space="preserve">19:55</t>
  </si>
  <si>
    <t xml:space="preserve">macaulay/flac/403397771.flac</t>
  </si>
  <si>
    <t xml:space="preserve">ML403397971</t>
  </si>
  <si>
    <t xml:space="preserve">macaulay/flac/403397971.flac</t>
  </si>
  <si>
    <t xml:space="preserve">ML434305401</t>
  </si>
  <si>
    <t xml:space="preserve">clipping</t>
  </si>
  <si>
    <t xml:space="preserve">macaulay/flac/434305401.flac</t>
  </si>
  <si>
    <t xml:space="preserve">ML454235481</t>
  </si>
  <si>
    <t xml:space="preserve">S111538242</t>
  </si>
  <si>
    <t xml:space="preserve">Fabian Torres</t>
  </si>
  <si>
    <t xml:space="preserve">23:17</t>
  </si>
  <si>
    <t xml:space="preserve">macaulay/flac/454235481.flac</t>
  </si>
  <si>
    <t xml:space="preserve">ML462753711</t>
  </si>
  <si>
    <t xml:space="preserve">S105407261</t>
  </si>
  <si>
    <t xml:space="preserve">19:49</t>
  </si>
  <si>
    <t xml:space="preserve">macaulay/flac/462753711.flac</t>
  </si>
  <si>
    <t xml:space="preserve">ML597713361</t>
  </si>
  <si>
    <t xml:space="preserve">macaulay/flac/597713361.flac</t>
  </si>
  <si>
    <t xml:space="preserve">ML619567963</t>
  </si>
  <si>
    <t xml:space="preserve">S158198131</t>
  </si>
  <si>
    <t xml:space="preserve">18:42</t>
  </si>
  <si>
    <t xml:space="preserve">macaulay/flac/619567963.flac</t>
  </si>
  <si>
    <t xml:space="preserve">ML623901259</t>
  </si>
  <si>
    <t xml:space="preserve">S190830944</t>
  </si>
  <si>
    <t xml:space="preserve">Caleb Villar</t>
  </si>
  <si>
    <t xml:space="preserve">macaulay/flac/623901259.flac</t>
  </si>
  <si>
    <t xml:space="preserve">ML626341703</t>
  </si>
  <si>
    <t xml:space="preserve">S202317211</t>
  </si>
  <si>
    <t xml:space="preserve">macaulay/flac/626341703.flac</t>
  </si>
  <si>
    <t xml:space="preserve">ML627957918</t>
  </si>
  <si>
    <t xml:space="preserve">S205436827</t>
  </si>
  <si>
    <t xml:space="preserve">21:30</t>
  </si>
  <si>
    <t xml:space="preserve">macaulay/flac/627957918.flac</t>
  </si>
  <si>
    <t xml:space="preserve">ML629629644</t>
  </si>
  <si>
    <t xml:space="preserve">S207280292</t>
  </si>
  <si>
    <t xml:space="preserve">19:30</t>
  </si>
  <si>
    <t xml:space="preserve">macaulay/flac/629629644.flac</t>
  </si>
  <si>
    <t xml:space="preserve">ML654513006</t>
  </si>
  <si>
    <t xml:space="preserve">macaulay/flac/654513006.flac</t>
  </si>
  <si>
    <t xml:space="preserve">ML658279553</t>
  </si>
  <si>
    <t xml:space="preserve">S266493127</t>
  </si>
  <si>
    <t xml:space="preserve">18:51</t>
  </si>
  <si>
    <t xml:space="preserve">macaulay/flac/658279553.flac</t>
  </si>
  <si>
    <t xml:space="preserve">ML72676</t>
  </si>
  <si>
    <t xml:space="preserve">macaulay/flac/72676.flac</t>
  </si>
  <si>
    <t xml:space="preserve">ML76629</t>
  </si>
  <si>
    <t xml:space="preserve">macaulay/flac/76629.flac</t>
  </si>
  <si>
    <t xml:space="preserve">ML155579101</t>
  </si>
  <si>
    <t xml:space="preserve">macaulay/flac/155579101.flac</t>
  </si>
  <si>
    <t xml:space="preserve">ML179453811</t>
  </si>
  <si>
    <t xml:space="preserve">macaulay/flac/179453811.flac</t>
  </si>
  <si>
    <t xml:space="preserve">ML203941401</t>
  </si>
  <si>
    <t xml:space="preserve">macaulay/flac/203941401.flac</t>
  </si>
  <si>
    <t xml:space="preserve">ML32448431</t>
  </si>
  <si>
    <t xml:space="preserve">macaulay/flac/32448431.flac</t>
  </si>
  <si>
    <t xml:space="preserve">ML32702841</t>
  </si>
  <si>
    <t xml:space="preserve">S30417005</t>
  </si>
  <si>
    <t xml:space="preserve">16:43</t>
  </si>
  <si>
    <t xml:space="preserve">macaulay/flac/32702841.flac</t>
  </si>
  <si>
    <t xml:space="preserve">ML609056537</t>
  </si>
  <si>
    <t xml:space="preserve">macaulay/flac/609056537.flac</t>
  </si>
  <si>
    <t xml:space="preserve">ML609061863</t>
  </si>
  <si>
    <t xml:space="preserve">macaulay/flac/609061863.flac</t>
  </si>
  <si>
    <t xml:space="preserve">ML72645</t>
  </si>
  <si>
    <t xml:space="preserve">07:35</t>
  </si>
  <si>
    <t xml:space="preserve">macaulay/flac/72645.flac</t>
  </si>
  <si>
    <t xml:space="preserve">ML137859711</t>
  </si>
  <si>
    <t xml:space="preserve">macaulay/flac/137859711.flac</t>
  </si>
  <si>
    <t xml:space="preserve">ML215329</t>
  </si>
  <si>
    <t xml:space="preserve">10:48</t>
  </si>
  <si>
    <t xml:space="preserve">macaulay/flac/215329.flac</t>
  </si>
  <si>
    <t xml:space="preserve">ML215331</t>
  </si>
  <si>
    <t xml:space="preserve">11:30</t>
  </si>
  <si>
    <t xml:space="preserve">macaulay/flac/215331.flac</t>
  </si>
  <si>
    <t xml:space="preserve">ML215334</t>
  </si>
  <si>
    <t xml:space="preserve">11:33</t>
  </si>
  <si>
    <t xml:space="preserve">macaulay/flac/215334.flac</t>
  </si>
  <si>
    <t xml:space="preserve">ML457850491</t>
  </si>
  <si>
    <t xml:space="preserve">S110796011</t>
  </si>
  <si>
    <t xml:space="preserve">08:14</t>
  </si>
  <si>
    <t xml:space="preserve">macaulay/flac/457850491.flac</t>
  </si>
  <si>
    <t xml:space="preserve">ML498005021</t>
  </si>
  <si>
    <t xml:space="preserve">macaulay/flac/498005021.flac</t>
  </si>
  <si>
    <t xml:space="preserve">ML531097761</t>
  </si>
  <si>
    <t xml:space="preserve">macaulay/flac/531097761.flac</t>
  </si>
  <si>
    <t xml:space="preserve">ML609056516</t>
  </si>
  <si>
    <t xml:space="preserve">macaulay/flac/609056516.flac</t>
  </si>
  <si>
    <t xml:space="preserve">ML609056529</t>
  </si>
  <si>
    <t xml:space="preserve">macaulay/flac/609056529.flac</t>
  </si>
  <si>
    <t xml:space="preserve">ML609061868</t>
  </si>
  <si>
    <t xml:space="preserve">macaulay/flac/609061868.flac</t>
  </si>
  <si>
    <t xml:space="preserve">ML613374654</t>
  </si>
  <si>
    <t xml:space="preserve">macaulay/flac/613374654.flac</t>
  </si>
  <si>
    <t xml:space="preserve">ML613449715</t>
  </si>
  <si>
    <t xml:space="preserve">macaulay/flac/613449715.flac</t>
  </si>
  <si>
    <t xml:space="preserve">ML630268926</t>
  </si>
  <si>
    <t xml:space="preserve">macaulay/flac/630268926.flac</t>
  </si>
  <si>
    <t xml:space="preserve">ML631663227</t>
  </si>
  <si>
    <t xml:space="preserve">macaulay/flac/631663227.flac</t>
  </si>
  <si>
    <t xml:space="preserve">ML636344930</t>
  </si>
  <si>
    <t xml:space="preserve">macaulay/flac/636344930.flac</t>
  </si>
  <si>
    <t xml:space="preserve">ML639219067</t>
  </si>
  <si>
    <t xml:space="preserve">macaulay/flac/639219067.flac</t>
  </si>
  <si>
    <t xml:space="preserve">ML648782429</t>
  </si>
  <si>
    <t xml:space="preserve">Social Flycatcher; Scarlet-rumped Tanager; White-tipped Dove; Rufous-tailed Hummingbird</t>
  </si>
  <si>
    <t xml:space="preserve">macaulay/flac/648782429.flac</t>
  </si>
  <si>
    <t xml:space="preserve">ML648831558</t>
  </si>
  <si>
    <t xml:space="preserve">macaulay/flac/648831558.flac</t>
  </si>
  <si>
    <t xml:space="preserve">ML649900007</t>
  </si>
  <si>
    <t xml:space="preserve">macaulay/flac/649900007.flac</t>
  </si>
  <si>
    <t xml:space="preserve">ML655198760</t>
  </si>
  <si>
    <t xml:space="preserve">S309280922</t>
  </si>
  <si>
    <t xml:space="preserve">Dana Sterner</t>
  </si>
  <si>
    <t xml:space="preserve">macaulay/flac/655198760.flac</t>
  </si>
  <si>
    <t xml:space="preserve">ML72628</t>
  </si>
  <si>
    <t xml:space="preserve">10:11</t>
  </si>
  <si>
    <t xml:space="preserve">macaulay/flac/72628.flac</t>
  </si>
  <si>
    <t xml:space="preserve">ML72644</t>
  </si>
  <si>
    <t xml:space="preserve">macaulay/flac/72644.flac</t>
  </si>
  <si>
    <t xml:space="preserve">ML98489441</t>
  </si>
  <si>
    <t xml:space="preserve">macaulay/flac/98489441.flac</t>
  </si>
  <si>
    <t xml:space="preserve">XC331372</t>
  </si>
  <si>
    <t xml:space="preserve">data-prep/xc_flac/Psarocolius_montezuma/XC331372.flac</t>
  </si>
  <si>
    <t xml:space="preserve">XC331640</t>
  </si>
  <si>
    <t xml:space="preserve">xc|2016-07-27|Hotel Castillo del Arenal, El Castillo</t>
  </si>
  <si>
    <t xml:space="preserve">data-prep/xc_flac/Psarocolius_montezuma/XC331640.flac</t>
  </si>
  <si>
    <t xml:space="preserve">ML129416771</t>
  </si>
  <si>
    <t xml:space="preserve">S50670282</t>
  </si>
  <si>
    <t xml:space="preserve">20:30</t>
  </si>
  <si>
    <t xml:space="preserve">macaulay/flac/129416771.flac</t>
  </si>
  <si>
    <t xml:space="preserve">ML193415061</t>
  </si>
  <si>
    <t xml:space="preserve">macaulay/flac/193415061.flac</t>
  </si>
  <si>
    <t xml:space="preserve">ML266313911</t>
  </si>
  <si>
    <t xml:space="preserve">macaulay/flac/266313911.flac</t>
  </si>
  <si>
    <t xml:space="preserve">ML605851921</t>
  </si>
  <si>
    <t xml:space="preserve">S147830403</t>
  </si>
  <si>
    <t xml:space="preserve">Ana Abarca</t>
  </si>
  <si>
    <t xml:space="preserve">19:52</t>
  </si>
  <si>
    <t xml:space="preserve">macaulay/flac/605851921.flac</t>
  </si>
  <si>
    <t xml:space="preserve">ML632692381</t>
  </si>
  <si>
    <t xml:space="preserve">S215624304</t>
  </si>
  <si>
    <t xml:space="preserve">macaulay/flac/632692381.flac</t>
  </si>
  <si>
    <t xml:space="preserve">ML632692382</t>
  </si>
  <si>
    <t xml:space="preserve">macaulay/flac/632692382.flac</t>
  </si>
  <si>
    <t xml:space="preserve">ML647484175</t>
  </si>
  <si>
    <t xml:space="preserve">macaulay/flac/647484175.flac</t>
  </si>
  <si>
    <t xml:space="preserve">ML92238871</t>
  </si>
  <si>
    <t xml:space="preserve">S43996092</t>
  </si>
  <si>
    <t xml:space="preserve">Bruno Drolet</t>
  </si>
  <si>
    <t xml:space="preserve">04:15</t>
  </si>
  <si>
    <t xml:space="preserve">macaulay/flac/92238871.flac</t>
  </si>
  <si>
    <t xml:space="preserve">ML133508971</t>
  </si>
  <si>
    <t xml:space="preserve">macaulay/flac/133508971.flac</t>
  </si>
  <si>
    <t xml:space="preserve">ML348067861</t>
  </si>
  <si>
    <t xml:space="preserve">macaulay/flac/348067861.flac</t>
  </si>
  <si>
    <t xml:space="preserve">ML72634</t>
  </si>
  <si>
    <t xml:space="preserve">18:13</t>
  </si>
  <si>
    <t xml:space="preserve">macaulay/flac/72634.flac</t>
  </si>
  <si>
    <t xml:space="preserve">ML102739381</t>
  </si>
  <si>
    <t xml:space="preserve">macaulay/flac/102739381.flac</t>
  </si>
  <si>
    <t xml:space="preserve">ML103063651</t>
  </si>
  <si>
    <t xml:space="preserve">S46102221</t>
  </si>
  <si>
    <t xml:space="preserve">macaulay/flac/103063651.flac</t>
  </si>
  <si>
    <t xml:space="preserve">ML28138</t>
  </si>
  <si>
    <t xml:space="preserve">Short-billed Pigeon; Black-faced Antthrush; Slaty-tailed Trogon</t>
  </si>
  <si>
    <t xml:space="preserve">macaulay/flac/28138.flac</t>
  </si>
  <si>
    <t xml:space="preserve">ML336541631</t>
  </si>
  <si>
    <t xml:space="preserve">macaulay/flac/336541631.flac</t>
  </si>
  <si>
    <t xml:space="preserve">XC331336</t>
  </si>
  <si>
    <t xml:space="preserve">data-prep/xc_flac/Microcerculus_philomela/XC331336.flac</t>
  </si>
  <si>
    <t xml:space="preserve">XC331356</t>
  </si>
  <si>
    <t xml:space="preserve">data-prep/xc_flac/Microcerculus_philomela/XC331356.flac</t>
  </si>
  <si>
    <t xml:space="preserve">ML147183401</t>
  </si>
  <si>
    <t xml:space="preserve">S53396895</t>
  </si>
  <si>
    <t xml:space="preserve">15:26</t>
  </si>
  <si>
    <t xml:space="preserve">macaulay/flac/147183401.flac</t>
  </si>
  <si>
    <t xml:space="preserve">ML215333</t>
  </si>
  <si>
    <t xml:space="preserve">macaulay/flac/215333.flac</t>
  </si>
  <si>
    <t xml:space="preserve">ML215425</t>
  </si>
  <si>
    <t xml:space="preserve">macaulay/flac/215425.flac</t>
  </si>
  <si>
    <t xml:space="preserve">ML266313001</t>
  </si>
  <si>
    <t xml:space="preserve">macaulay/flac/266313001.flac</t>
  </si>
  <si>
    <t xml:space="preserve">ML267827471</t>
  </si>
  <si>
    <t xml:space="preserve">macaulay/flac/267827471.flac</t>
  </si>
  <si>
    <t xml:space="preserve">ML28135</t>
  </si>
  <si>
    <t xml:space="preserve">macaulay/flac/28135.flac</t>
  </si>
  <si>
    <t xml:space="preserve">ML28136</t>
  </si>
  <si>
    <t xml:space="preserve">macaulay/flac/28136.flac</t>
  </si>
  <si>
    <t xml:space="preserve">ML289815651</t>
  </si>
  <si>
    <t xml:space="preserve">macaulay/flac/289815651.flac</t>
  </si>
  <si>
    <t xml:space="preserve">ML609056530</t>
  </si>
  <si>
    <t xml:space="preserve">macaulay/flac/609056530.flac</t>
  </si>
  <si>
    <t xml:space="preserve">ML609059015</t>
  </si>
  <si>
    <t xml:space="preserve">macaulay/flac/609059015.flac</t>
  </si>
  <si>
    <t xml:space="preserve">ML615087863</t>
  </si>
  <si>
    <t xml:space="preserve">S153499916</t>
  </si>
  <si>
    <t xml:space="preserve">macaulay/flac/615087863.flac</t>
  </si>
  <si>
    <t xml:space="preserve">group label: Northern Barred-Woodcreeper (Western)</t>
  </si>
  <si>
    <t xml:space="preserve">ML631387850</t>
  </si>
  <si>
    <t xml:space="preserve">Yellow-throated Toucan; Olive-backed Euphonia; White-breasted Wood-Wren; Ochre-bellied Flycatcher</t>
  </si>
  <si>
    <t xml:space="preserve">S215778989</t>
  </si>
  <si>
    <t xml:space="preserve">macaulay/flac/631387850.flac</t>
  </si>
  <si>
    <t xml:space="preserve">ML647329971</t>
  </si>
  <si>
    <t xml:space="preserve">Graceful Black-throated Trogon; Great Kiskadee</t>
  </si>
  <si>
    <t xml:space="preserve">macaulay/flac/647329971.flac</t>
  </si>
  <si>
    <t xml:space="preserve">ML661712102</t>
  </si>
  <si>
    <t xml:space="preserve">S372390450</t>
  </si>
  <si>
    <t xml:space="preserve">macaulay/flac/661712102.flac</t>
  </si>
  <si>
    <t xml:space="preserve">ML249458</t>
  </si>
  <si>
    <t xml:space="preserve">macaulay/flac/249458.flac</t>
  </si>
  <si>
    <t xml:space="preserve">ML31393</t>
  </si>
  <si>
    <t xml:space="preserve">macaulay/flac/31393.flac</t>
  </si>
  <si>
    <t xml:space="preserve">ML285630</t>
  </si>
  <si>
    <t xml:space="preserve">macaulay/flac/285630.flac</t>
  </si>
  <si>
    <t xml:space="preserve">group label: Northern Plain-Xenops</t>
  </si>
  <si>
    <t xml:space="preserve">ML299554</t>
  </si>
  <si>
    <t xml:space="preserve">macaulay/flac/299554.flac</t>
  </si>
  <si>
    <t xml:space="preserve">ML299556</t>
  </si>
  <si>
    <t xml:space="preserve">macaulay/flac/299556.flac</t>
  </si>
  <si>
    <t xml:space="preserve">ML597934341</t>
  </si>
  <si>
    <t xml:space="preserve">macaulay/flac/597934341.flac</t>
  </si>
  <si>
    <t xml:space="preserve">ML638982498</t>
  </si>
  <si>
    <t xml:space="preserve">macaulay/flac/638982498.flac</t>
  </si>
  <si>
    <t xml:space="preserve">ML647448045</t>
  </si>
  <si>
    <t xml:space="preserve">macaulay/flac/647448045.flac</t>
  </si>
  <si>
    <t xml:space="preserve">ML647568417</t>
  </si>
  <si>
    <t xml:space="preserve">macaulay/flac/647568417.flac</t>
  </si>
  <si>
    <t xml:space="preserve">ML654443078</t>
  </si>
  <si>
    <t xml:space="preserve">S310828573</t>
  </si>
  <si>
    <t xml:space="preserve">15:18</t>
  </si>
  <si>
    <t xml:space="preserve">macaulay/flac/654443078.flac</t>
  </si>
  <si>
    <t xml:space="preserve">ML131395781</t>
  </si>
  <si>
    <t xml:space="preserve">macaulay/flac/131395781.flac</t>
  </si>
  <si>
    <t xml:space="preserve">ML144843581</t>
  </si>
  <si>
    <t xml:space="preserve">macaulay/flac/144843581.flac</t>
  </si>
  <si>
    <t xml:space="preserve">ML145174501</t>
  </si>
  <si>
    <t xml:space="preserve">macaulay/flac/145174501.flac</t>
  </si>
  <si>
    <t xml:space="preserve">ML184770</t>
  </si>
  <si>
    <t xml:space="preserve">macaulay/flac/184770.flac</t>
  </si>
  <si>
    <t xml:space="preserve">ML130029311</t>
  </si>
  <si>
    <t xml:space="preserve">macaulay/flac/130029311.flac</t>
  </si>
  <si>
    <t xml:space="preserve">ML143859861</t>
  </si>
  <si>
    <t xml:space="preserve">macaulay/flac/143859861.flac</t>
  </si>
  <si>
    <t xml:space="preserve">ML215397</t>
  </si>
  <si>
    <t xml:space="preserve">macaulay/flac/215397.flac</t>
  </si>
  <si>
    <t xml:space="preserve">ML215400</t>
  </si>
  <si>
    <t xml:space="preserve">14:11</t>
  </si>
  <si>
    <t xml:space="preserve">macaulay/flac/215400.flac</t>
  </si>
  <si>
    <t xml:space="preserve">ML39224</t>
  </si>
  <si>
    <t xml:space="preserve">macaulay/flac/39224.flac</t>
  </si>
  <si>
    <t xml:space="preserve">ML649882500</t>
  </si>
  <si>
    <t xml:space="preserve">S294263732</t>
  </si>
  <si>
    <t xml:space="preserve">macaulay/flac/649882500.flac</t>
  </si>
  <si>
    <t xml:space="preserve">ML663970282</t>
  </si>
  <si>
    <t xml:space="preserve">macaulay/flac/663970282.flac</t>
  </si>
  <si>
    <t xml:space="preserve">ML101390161</t>
  </si>
  <si>
    <t xml:space="preserve">macaulay/flac/101390161.flac</t>
  </si>
  <si>
    <t xml:space="preserve">ML102029661</t>
  </si>
  <si>
    <t xml:space="preserve">S46035422</t>
  </si>
  <si>
    <t xml:space="preserve">macaulay/flac/102029661.flac</t>
  </si>
  <si>
    <t xml:space="preserve">ML102867861</t>
  </si>
  <si>
    <t xml:space="preserve">macaulay/flac/102867861.flac</t>
  </si>
  <si>
    <t xml:space="preserve">ML103117491</t>
  </si>
  <si>
    <t xml:space="preserve">macaulay/flac/103117491.flac</t>
  </si>
  <si>
    <t xml:space="preserve">ML143077981</t>
  </si>
  <si>
    <t xml:space="preserve">macaulay/flac/143077981.flac</t>
  </si>
  <si>
    <t xml:space="preserve">ML143859101</t>
  </si>
  <si>
    <t xml:space="preserve">macaulay/flac/143859101.flac</t>
  </si>
  <si>
    <t xml:space="preserve">ML144151721</t>
  </si>
  <si>
    <t xml:space="preserve">macaulay/flac/144151721.flac</t>
  </si>
  <si>
    <t xml:space="preserve">ML147239181</t>
  </si>
  <si>
    <t xml:space="preserve">macaulay/flac/147239181.flac</t>
  </si>
  <si>
    <t xml:space="preserve">ML153389591</t>
  </si>
  <si>
    <t xml:space="preserve">macaulay/flac/153389591.flac</t>
  </si>
  <si>
    <t xml:space="preserve">ML153722071</t>
  </si>
  <si>
    <t xml:space="preserve">macaulay/flac/153722071.flac</t>
  </si>
  <si>
    <t xml:space="preserve">ML157036071</t>
  </si>
  <si>
    <t xml:space="preserve">macaulay/flac/157036071.flac</t>
  </si>
  <si>
    <t xml:space="preserve">ML306066291</t>
  </si>
  <si>
    <t xml:space="preserve">S80756195</t>
  </si>
  <si>
    <t xml:space="preserve">macaulay/flac/306066291.flac</t>
  </si>
  <si>
    <t xml:space="preserve">ML462750941</t>
  </si>
  <si>
    <t xml:space="preserve">macaulay/flac/462750941.flac</t>
  </si>
  <si>
    <t xml:space="preserve">ML51739</t>
  </si>
  <si>
    <t xml:space="preserve">Short-billed Pigeon; Slaty-backed Forest-Falcon</t>
  </si>
  <si>
    <t xml:space="preserve">macaulay/flac/51739.flac</t>
  </si>
  <si>
    <t xml:space="preserve">ML609056542</t>
  </si>
  <si>
    <t xml:space="preserve">macaulay/flac/609056542.flac</t>
  </si>
  <si>
    <t xml:space="preserve">ML632692671</t>
  </si>
  <si>
    <t xml:space="preserve">macaulay/flac/632692671.flac</t>
  </si>
  <si>
    <t xml:space="preserve">ML76616</t>
  </si>
  <si>
    <t xml:space="preserve">macaulay/flac/76616.flac</t>
  </si>
  <si>
    <t xml:space="preserve">ML76617</t>
  </si>
  <si>
    <t xml:space="preserve">macaulay/flac/76617.flac</t>
  </si>
  <si>
    <t xml:space="preserve">ML76619</t>
  </si>
  <si>
    <t xml:space="preserve">macaulay/flac/76619.flac</t>
  </si>
  <si>
    <t xml:space="preserve">ML89665181</t>
  </si>
  <si>
    <t xml:space="preserve">macaulay/flac/89665181.flac</t>
  </si>
  <si>
    <t xml:space="preserve">ML92294651</t>
  </si>
  <si>
    <t xml:space="preserve">S43995973</t>
  </si>
  <si>
    <t xml:space="preserve">08:35</t>
  </si>
  <si>
    <t xml:space="preserve">macaulay/flac/92294651.flac</t>
  </si>
  <si>
    <t xml:space="preserve">ML97878621</t>
  </si>
  <si>
    <t xml:space="preserve">macaulay/flac/97878621.flac</t>
  </si>
  <si>
    <t xml:space="preserve">ML148041911</t>
  </si>
  <si>
    <t xml:space="preserve">macaulay/flac/148041911.flac</t>
  </si>
  <si>
    <t xml:space="preserve">ML215339</t>
  </si>
  <si>
    <t xml:space="preserve">16:22</t>
  </si>
  <si>
    <t xml:space="preserve">macaulay/flac/215339.flac</t>
  </si>
  <si>
    <t xml:space="preserve">ML215393</t>
  </si>
  <si>
    <t xml:space="preserve">09:14</t>
  </si>
  <si>
    <t xml:space="preserve">macaulay/flac/215393.flac</t>
  </si>
  <si>
    <t xml:space="preserve">ML252739561</t>
  </si>
  <si>
    <t xml:space="preserve">S71732466</t>
  </si>
  <si>
    <t xml:space="preserve">macaulay/flac/252739561.flac</t>
  </si>
  <si>
    <t xml:space="preserve">ML299578</t>
  </si>
  <si>
    <t xml:space="preserve">14:20</t>
  </si>
  <si>
    <t xml:space="preserve">macaulay/flac/299578.flac</t>
  </si>
  <si>
    <t xml:space="preserve">ML299600</t>
  </si>
  <si>
    <t xml:space="preserve">macaulay/flac/299600.flac</t>
  </si>
  <si>
    <t xml:space="preserve">ML315004171</t>
  </si>
  <si>
    <t xml:space="preserve">S50267775</t>
  </si>
  <si>
    <t xml:space="preserve">Andrew Tyrrell</t>
  </si>
  <si>
    <t xml:space="preserve">macaulay/flac/315004171.flac</t>
  </si>
  <si>
    <t xml:space="preserve">ML498004981</t>
  </si>
  <si>
    <t xml:space="preserve">macaulay/flac/498004981.flac</t>
  </si>
  <si>
    <t xml:space="preserve">ML51711</t>
  </si>
  <si>
    <t xml:space="preserve">10:40</t>
  </si>
  <si>
    <t xml:space="preserve">macaulay/flac/51711.flac</t>
  </si>
  <si>
    <t xml:space="preserve">ML531237471</t>
  </si>
  <si>
    <t xml:space="preserve">macaulay/flac/531237471.flac</t>
  </si>
  <si>
    <t xml:space="preserve">ML597933661</t>
  </si>
  <si>
    <t xml:space="preserve">macaulay/flac/597933661.flac</t>
  </si>
  <si>
    <t xml:space="preserve">ML599674191</t>
  </si>
  <si>
    <t xml:space="preserve">macaulay/flac/599674191.flac</t>
  </si>
  <si>
    <t xml:space="preserve">ML609056543</t>
  </si>
  <si>
    <t xml:space="preserve">macaulay/flac/609056543.flac</t>
  </si>
  <si>
    <t xml:space="preserve">ML609059018</t>
  </si>
  <si>
    <t xml:space="preserve">macaulay/flac/609059018.flac</t>
  </si>
  <si>
    <t xml:space="preserve">ML610540481</t>
  </si>
  <si>
    <t xml:space="preserve">macaulay/flac/610540481.flac</t>
  </si>
  <si>
    <t xml:space="preserve">ML610542492</t>
  </si>
  <si>
    <t xml:space="preserve">macaulay/flac/610542492.flac</t>
  </si>
  <si>
    <t xml:space="preserve">ML610572699</t>
  </si>
  <si>
    <t xml:space="preserve">macaulay/flac/610572699.flac</t>
  </si>
  <si>
    <t xml:space="preserve">ML612710670</t>
  </si>
  <si>
    <t xml:space="preserve">S157245765</t>
  </si>
  <si>
    <t xml:space="preserve">Pam Bruns &amp; Ken Smith</t>
  </si>
  <si>
    <t xml:space="preserve">08:25</t>
  </si>
  <si>
    <t xml:space="preserve">macaulay/flac/612710670.flac</t>
  </si>
  <si>
    <t xml:space="preserve">ML612714205</t>
  </si>
  <si>
    <t xml:space="preserve">macaulay/flac/612714205.flac</t>
  </si>
  <si>
    <t xml:space="preserve">ML614019858</t>
  </si>
  <si>
    <t xml:space="preserve">macaulay/flac/614019858.flac</t>
  </si>
  <si>
    <t xml:space="preserve">ML621759993</t>
  </si>
  <si>
    <t xml:space="preserve">macaulay/flac/621759993.flac</t>
  </si>
  <si>
    <t xml:space="preserve">ML623042662</t>
  </si>
  <si>
    <t xml:space="preserve">macaulay/flac/623042662.flac</t>
  </si>
  <si>
    <t xml:space="preserve">ML631021740</t>
  </si>
  <si>
    <t xml:space="preserve">Bright-rumped Attila; Scarlet-rumped Tanager (Passerini's); Social Flycatcher</t>
  </si>
  <si>
    <t xml:space="preserve">macaulay/flac/631021740.flac</t>
  </si>
  <si>
    <t xml:space="preserve">ML639219132</t>
  </si>
  <si>
    <t xml:space="preserve">macaulay/flac/639219132.flac</t>
  </si>
  <si>
    <t xml:space="preserve">ML642914760</t>
  </si>
  <si>
    <t xml:space="preserve">macaulay/flac/642914760.flac</t>
  </si>
  <si>
    <t xml:space="preserve">ML643650573</t>
  </si>
  <si>
    <t xml:space="preserve">macaulay/flac/643650573.flac</t>
  </si>
  <si>
    <t xml:space="preserve">ML645279039</t>
  </si>
  <si>
    <t xml:space="preserve">S283322641</t>
  </si>
  <si>
    <t xml:space="preserve">Clive Harris</t>
  </si>
  <si>
    <t xml:space="preserve">07:48</t>
  </si>
  <si>
    <t xml:space="preserve">macaulay/flac/645279039.flac</t>
  </si>
  <si>
    <t xml:space="preserve">ML646460580</t>
  </si>
  <si>
    <t xml:space="preserve">macaulay/flac/646460580.flac</t>
  </si>
  <si>
    <t xml:space="preserve">ML647390070</t>
  </si>
  <si>
    <t xml:space="preserve">S289620043</t>
  </si>
  <si>
    <t xml:space="preserve">macaulay/flac/647390070.flac</t>
  </si>
  <si>
    <t xml:space="preserve">ML647390469</t>
  </si>
  <si>
    <t xml:space="preserve">S289620118</t>
  </si>
  <si>
    <t xml:space="preserve">06:47</t>
  </si>
  <si>
    <t xml:space="preserve">macaulay/flac/647390469.flac</t>
  </si>
  <si>
    <t xml:space="preserve">ML647568317</t>
  </si>
  <si>
    <t xml:space="preserve">macaulay/flac/647568317.flac</t>
  </si>
  <si>
    <t xml:space="preserve">ML648832658</t>
  </si>
  <si>
    <t xml:space="preserve">Buff-throated Saltator; Bananaquit; Rufous-tailed Hummingbird</t>
  </si>
  <si>
    <t xml:space="preserve">macaulay/flac/648832658.flac</t>
  </si>
  <si>
    <t xml:space="preserve">ML653762233</t>
  </si>
  <si>
    <t xml:space="preserve">S296436854</t>
  </si>
  <si>
    <t xml:space="preserve">macaulay/flac/653762233.flac</t>
  </si>
  <si>
    <t xml:space="preserve">ML654444569</t>
  </si>
  <si>
    <t xml:space="preserve">macaulay/flac/654444569.flac</t>
  </si>
  <si>
    <t xml:space="preserve">ML656125116</t>
  </si>
  <si>
    <t xml:space="preserve">S329464612</t>
  </si>
  <si>
    <t xml:space="preserve">12:10</t>
  </si>
  <si>
    <t xml:space="preserve">macaulay/flac/656125116.flac</t>
  </si>
  <si>
    <t xml:space="preserve">ML76628</t>
  </si>
  <si>
    <t xml:space="preserve">11:43</t>
  </si>
  <si>
    <t xml:space="preserve">macaulay/flac/76628.flac</t>
  </si>
  <si>
    <t xml:space="preserve">ML99581141</t>
  </si>
  <si>
    <t xml:space="preserve">macaulay/flac/99581141.flac</t>
  </si>
  <si>
    <t xml:space="preserve">ML31397</t>
  </si>
  <si>
    <t xml:space="preserve">Barbara Spencer|1983-03-31</t>
  </si>
  <si>
    <t xml:space="preserve">09:45</t>
  </si>
  <si>
    <t xml:space="preserve">macaulay/flac/31397.flac</t>
  </si>
  <si>
    <t xml:space="preserve">group label: Olive-crowned Yellowthroat (Baird's)</t>
  </si>
  <si>
    <t xml:space="preserve">ML32600711</t>
  </si>
  <si>
    <t xml:space="preserve">S30346097</t>
  </si>
  <si>
    <t xml:space="preserve">macaulay/flac/32600711.flac</t>
  </si>
  <si>
    <t xml:space="preserve">ML403406751</t>
  </si>
  <si>
    <t xml:space="preserve">macaulay/flac/403406751.flac</t>
  </si>
  <si>
    <t xml:space="preserve">ML610540376</t>
  </si>
  <si>
    <t xml:space="preserve">macaulay/flac/610540376.flac</t>
  </si>
  <si>
    <t xml:space="preserve">ML610907910</t>
  </si>
  <si>
    <t xml:space="preserve">S152820728</t>
  </si>
  <si>
    <t xml:space="preserve">David Jimenez T.</t>
  </si>
  <si>
    <t xml:space="preserve">macaulay/flac/610907910.flac</t>
  </si>
  <si>
    <t xml:space="preserve">ML650078158</t>
  </si>
  <si>
    <t xml:space="preserve">Great Kiskadee; Fasciated Antshrike</t>
  </si>
  <si>
    <t xml:space="preserve">S293806413</t>
  </si>
  <si>
    <t xml:space="preserve">Edwin Campbell - www.whitehawkbirding.com</t>
  </si>
  <si>
    <t xml:space="preserve">macaulay/flac/650078158.flac</t>
  </si>
  <si>
    <t xml:space="preserve">ML177720191</t>
  </si>
  <si>
    <t xml:space="preserve">macaulay/flac/177720191.flac</t>
  </si>
  <si>
    <t xml:space="preserve">ML185569</t>
  </si>
  <si>
    <t xml:space="preserve">09:54</t>
  </si>
  <si>
    <t xml:space="preserve">macaulay/flac/185569.flac</t>
  </si>
  <si>
    <t xml:space="preserve">group label: Olive-throated Parakeet (Aztec)</t>
  </si>
  <si>
    <t xml:space="preserve">ML72657</t>
  </si>
  <si>
    <t xml:space="preserve">18:09</t>
  </si>
  <si>
    <t xml:space="preserve">macaulay/flac/72657.flac</t>
  </si>
  <si>
    <t xml:space="preserve">ML72659</t>
  </si>
  <si>
    <t xml:space="preserve">macaulay/flac/72659.flac</t>
  </si>
  <si>
    <t xml:space="preserve">ML72662</t>
  </si>
  <si>
    <t xml:space="preserve">David L. Ross, Jr.|</t>
  </si>
  <si>
    <t xml:space="preserve">macaulay/flac/72662.flac</t>
  </si>
  <si>
    <t xml:space="preserve">XC331646</t>
  </si>
  <si>
    <t xml:space="preserve">data-prep/xc_flac/Catharus_aurantiirostris/XC331646.flac</t>
  </si>
  <si>
    <t xml:space="preserve">XC332568</t>
  </si>
  <si>
    <t xml:space="preserve">data-prep/xc_flac/Catharus_aurantiirostris/XC332568.flac</t>
  </si>
  <si>
    <t xml:space="preserve">song; Children's Eternal Rain Forest Bajo del Tigre, 1400 m</t>
  </si>
  <si>
    <t xml:space="preserve">XC332569</t>
  </si>
  <si>
    <t xml:space="preserve">data-prep/xc_flac/Catharus_aurantiirostris/XC332569.flac</t>
  </si>
  <si>
    <t xml:space="preserve">ML185576</t>
  </si>
  <si>
    <t xml:space="preserve">Bright-rumped Attila; Stripe-breasted Wren; Strawberry Poison Dart Frog</t>
  </si>
  <si>
    <t xml:space="preserve">David L. Ross, Jr.|1996-05-25</t>
  </si>
  <si>
    <t xml:space="preserve">macaulay/flac/185576.flac</t>
  </si>
  <si>
    <t xml:space="preserve">group label: Orange-billed Sparrow (aurantiirostris Group)</t>
  </si>
  <si>
    <t xml:space="preserve">ML193417321</t>
  </si>
  <si>
    <t xml:space="preserve">macaulay/flac/193417321.flac</t>
  </si>
  <si>
    <t xml:space="preserve">ML193417401</t>
  </si>
  <si>
    <t xml:space="preserve">macaulay/flac/193417401.flac</t>
  </si>
  <si>
    <t xml:space="preserve">ML299665</t>
  </si>
  <si>
    <t xml:space="preserve">macaulay/flac/299665.flac</t>
  </si>
  <si>
    <t xml:space="preserve">ML338491121</t>
  </si>
  <si>
    <t xml:space="preserve">macaulay/flac/338491121.flac</t>
  </si>
  <si>
    <t xml:space="preserve">ML462750961</t>
  </si>
  <si>
    <t xml:space="preserve">macaulay/flac/462750961.flac</t>
  </si>
  <si>
    <t xml:space="preserve">ML471206741</t>
  </si>
  <si>
    <t xml:space="preserve">macaulay/flac/471206741.flac</t>
  </si>
  <si>
    <t xml:space="preserve">ML471206971</t>
  </si>
  <si>
    <t xml:space="preserve">macaulay/flac/471206971.flac</t>
  </si>
  <si>
    <t xml:space="preserve">ML57489</t>
  </si>
  <si>
    <t xml:space="preserve">macaulay/flac/57489.flac</t>
  </si>
  <si>
    <t xml:space="preserve">ML597934301</t>
  </si>
  <si>
    <t xml:space="preserve">macaulay/flac/597934301.flac</t>
  </si>
  <si>
    <t xml:space="preserve">ML609056549</t>
  </si>
  <si>
    <t xml:space="preserve">macaulay/flac/609056549.flac</t>
  </si>
  <si>
    <t xml:space="preserve">ML612553627</t>
  </si>
  <si>
    <t xml:space="preserve">macaulay/flac/612553627.flac</t>
  </si>
  <si>
    <t xml:space="preserve">ML621760338</t>
  </si>
  <si>
    <t xml:space="preserve">macaulay/flac/621760338.flac</t>
  </si>
  <si>
    <t xml:space="preserve">ML623181373</t>
  </si>
  <si>
    <t xml:space="preserve">macaulay/flac/623181373.flac</t>
  </si>
  <si>
    <t xml:space="preserve">ML624891253</t>
  </si>
  <si>
    <t xml:space="preserve">macaulay/flac/624891253.flac</t>
  </si>
  <si>
    <t xml:space="preserve">ML628721212</t>
  </si>
  <si>
    <t xml:space="preserve">macaulay/flac/628721212.flac</t>
  </si>
  <si>
    <t xml:space="preserve">ML631698954</t>
  </si>
  <si>
    <t xml:space="preserve">macaulay/flac/631698954.flac</t>
  </si>
  <si>
    <t xml:space="preserve">ML639164964</t>
  </si>
  <si>
    <t xml:space="preserve">macaulay/flac/639164964.flac</t>
  </si>
  <si>
    <t xml:space="preserve">ML639169362</t>
  </si>
  <si>
    <t xml:space="preserve">macaulay/flac/639169362.flac</t>
  </si>
  <si>
    <t xml:space="preserve">ML639170524</t>
  </si>
  <si>
    <t xml:space="preserve">macaulay/flac/639170524.flac</t>
  </si>
  <si>
    <t xml:space="preserve">ML639170640</t>
  </si>
  <si>
    <t xml:space="preserve">macaulay/flac/639170640.flac</t>
  </si>
  <si>
    <t xml:space="preserve">ML661712103</t>
  </si>
  <si>
    <t xml:space="preserve">macaulay/flac/661712103.flac</t>
  </si>
  <si>
    <t xml:space="preserve">ML143086471</t>
  </si>
  <si>
    <t xml:space="preserve">macaulay/flac/143086471.flac</t>
  </si>
  <si>
    <t xml:space="preserve">ML266309471</t>
  </si>
  <si>
    <t xml:space="preserve">macaulay/flac/266309471.flac</t>
  </si>
  <si>
    <t xml:space="preserve">ML465953801</t>
  </si>
  <si>
    <t xml:space="preserve">S114664412</t>
  </si>
  <si>
    <t xml:space="preserve">12:16</t>
  </si>
  <si>
    <t xml:space="preserve">macaulay/flac/465953801.flac</t>
  </si>
  <si>
    <t xml:space="preserve">ML543399411</t>
  </si>
  <si>
    <t xml:space="preserve">S126320438</t>
  </si>
  <si>
    <t xml:space="preserve">13:14</t>
  </si>
  <si>
    <t xml:space="preserve">macaulay/flac/543399411.flac</t>
  </si>
  <si>
    <t xml:space="preserve">ML609056548</t>
  </si>
  <si>
    <t xml:space="preserve">macaulay/flac/609056548.flac</t>
  </si>
  <si>
    <t xml:space="preserve">ML612710643</t>
  </si>
  <si>
    <t xml:space="preserve">macaulay/flac/612710643.flac</t>
  </si>
  <si>
    <t xml:space="preserve">ML643642620</t>
  </si>
  <si>
    <t xml:space="preserve">macaulay/flac/643642620.flac</t>
  </si>
  <si>
    <t xml:space="preserve">ML648704544</t>
  </si>
  <si>
    <t xml:space="preserve">macaulay/flac/648704544.flac</t>
  </si>
  <si>
    <t xml:space="preserve">XC331362</t>
  </si>
  <si>
    <t xml:space="preserve">data-prep/xc_flac/Brotogeris_jugularis/XC331362.flac</t>
  </si>
  <si>
    <t xml:space="preserve">ML193419411</t>
  </si>
  <si>
    <t xml:space="preserve">macaulay/flac/193419411.flac</t>
  </si>
  <si>
    <t xml:space="preserve">ML417108941</t>
  </si>
  <si>
    <t xml:space="preserve">S102181916</t>
  </si>
  <si>
    <t xml:space="preserve">10:02</t>
  </si>
  <si>
    <t xml:space="preserve">macaulay/flac/417108941.flac</t>
  </si>
  <si>
    <t xml:space="preserve">ML462753791</t>
  </si>
  <si>
    <t xml:space="preserve">S105397241</t>
  </si>
  <si>
    <t xml:space="preserve">14:56</t>
  </si>
  <si>
    <t xml:space="preserve">macaulay/flac/462753791.flac</t>
  </si>
  <si>
    <t xml:space="preserve">ML531237791</t>
  </si>
  <si>
    <t xml:space="preserve">macaulay/flac/531237791.flac</t>
  </si>
  <si>
    <t xml:space="preserve">ML597934151</t>
  </si>
  <si>
    <t xml:space="preserve">macaulay/flac/597934151.flac</t>
  </si>
  <si>
    <t xml:space="preserve">ML597934161</t>
  </si>
  <si>
    <t xml:space="preserve">macaulay/flac/597934161.flac</t>
  </si>
  <si>
    <t xml:space="preserve">ML612553609</t>
  </si>
  <si>
    <t xml:space="preserve">macaulay/flac/612553609.flac</t>
  </si>
  <si>
    <t xml:space="preserve">ML614027561</t>
  </si>
  <si>
    <t xml:space="preserve">macaulay/flac/614027561.flac</t>
  </si>
  <si>
    <t xml:space="preserve">ML621760291</t>
  </si>
  <si>
    <t xml:space="preserve">macaulay/flac/621760291.flac</t>
  </si>
  <si>
    <t xml:space="preserve">ML623468375</t>
  </si>
  <si>
    <t xml:space="preserve">S194339988</t>
  </si>
  <si>
    <t xml:space="preserve">10:21</t>
  </si>
  <si>
    <t xml:space="preserve">macaulay/flac/623468375.flac</t>
  </si>
  <si>
    <t xml:space="preserve">ML627957367</t>
  </si>
  <si>
    <t xml:space="preserve">macaulay/flac/627957367.flac</t>
  </si>
  <si>
    <t xml:space="preserve">ML630087468</t>
  </si>
  <si>
    <t xml:space="preserve">macaulay/flac/630087468.flac</t>
  </si>
  <si>
    <t xml:space="preserve">ML632348747</t>
  </si>
  <si>
    <t xml:space="preserve">S205426082</t>
  </si>
  <si>
    <t xml:space="preserve">macaulay/flac/632348747.flac</t>
  </si>
  <si>
    <t xml:space="preserve">ML638119577</t>
  </si>
  <si>
    <t xml:space="preserve">S155041088</t>
  </si>
  <si>
    <t xml:space="preserve">07:29</t>
  </si>
  <si>
    <t xml:space="preserve">macaulay/flac/638119577.flac</t>
  </si>
  <si>
    <t xml:space="preserve">ML638982415</t>
  </si>
  <si>
    <t xml:space="preserve">S158835054</t>
  </si>
  <si>
    <t xml:space="preserve">macaulay/flac/638982415.flac</t>
  </si>
  <si>
    <t xml:space="preserve">ML99569061</t>
  </si>
  <si>
    <t xml:space="preserve">macaulay/flac/99569061.flac</t>
  </si>
  <si>
    <t xml:space="preserve">ML266312131</t>
  </si>
  <si>
    <t xml:space="preserve">macaulay/flac/266312131.flac</t>
  </si>
  <si>
    <t xml:space="preserve">ML610540341</t>
  </si>
  <si>
    <t xml:space="preserve">macaulay/flac/610540341.flac</t>
  </si>
  <si>
    <t xml:space="preserve">ML610540645</t>
  </si>
  <si>
    <t xml:space="preserve">macaulay/flac/610540645.flac</t>
  </si>
  <si>
    <t xml:space="preserve">ML610540775</t>
  </si>
  <si>
    <t xml:space="preserve">macaulay/flac/610540775.flac</t>
  </si>
  <si>
    <t xml:space="preserve">ML630218446</t>
  </si>
  <si>
    <t xml:space="preserve">macaulay/flac/630218446.flac</t>
  </si>
  <si>
    <t xml:space="preserve">ML632692411</t>
  </si>
  <si>
    <t xml:space="preserve">macaulay/flac/632692411.flac</t>
  </si>
  <si>
    <t xml:space="preserve">ML643641221</t>
  </si>
  <si>
    <t xml:space="preserve">macaulay/flac/643641221.flac</t>
  </si>
  <si>
    <t xml:space="preserve">ML144842341</t>
  </si>
  <si>
    <t xml:space="preserve">macaulay/flac/144842341.flac</t>
  </si>
  <si>
    <t xml:space="preserve">ML148847641</t>
  </si>
  <si>
    <t xml:space="preserve">macaulay/flac/148847641.flac</t>
  </si>
  <si>
    <t xml:space="preserve">ML153396041</t>
  </si>
  <si>
    <t xml:space="preserve">macaulay/flac/153396041.flac</t>
  </si>
  <si>
    <t xml:space="preserve">ML154661181</t>
  </si>
  <si>
    <t xml:space="preserve">macaulay/flac/154661181.flac</t>
  </si>
  <si>
    <t xml:space="preserve">ML155577251</t>
  </si>
  <si>
    <t xml:space="preserve">macaulay/flac/155577251.flac</t>
  </si>
  <si>
    <t xml:space="preserve">ML643641858</t>
  </si>
  <si>
    <t xml:space="preserve">S257633069</t>
  </si>
  <si>
    <t xml:space="preserve">10:39</t>
  </si>
  <si>
    <t xml:space="preserve">macaulay/flac/643641858.flac</t>
  </si>
  <si>
    <t xml:space="preserve">ML98011571</t>
  </si>
  <si>
    <t xml:space="preserve">macaulay/flac/98011571.flac</t>
  </si>
  <si>
    <t xml:space="preserve">ML98012551</t>
  </si>
  <si>
    <t xml:space="preserve">macaulay/flac/98012551.flac</t>
  </si>
  <si>
    <t xml:space="preserve">ML299613</t>
  </si>
  <si>
    <t xml:space="preserve">macaulay/flac/299613.flac</t>
  </si>
  <si>
    <t xml:space="preserve">ML32600911</t>
  </si>
  <si>
    <t xml:space="preserve">S30397706</t>
  </si>
  <si>
    <t xml:space="preserve">14:45</t>
  </si>
  <si>
    <t xml:space="preserve">macaulay/flac/32600911.flac</t>
  </si>
  <si>
    <t xml:space="preserve">ML624011479</t>
  </si>
  <si>
    <t xml:space="preserve">S195983212</t>
  </si>
  <si>
    <t xml:space="preserve">14:10</t>
  </si>
  <si>
    <t xml:space="preserve">macaulay/flac/624011479.flac</t>
  </si>
  <si>
    <t xml:space="preserve">ML639164597</t>
  </si>
  <si>
    <t xml:space="preserve">macaulay/flac/639164597.flac</t>
  </si>
  <si>
    <t xml:space="preserve">ML647483264</t>
  </si>
  <si>
    <t xml:space="preserve">macaulay/flac/647483264.flac</t>
  </si>
  <si>
    <t xml:space="preserve">ML647483640</t>
  </si>
  <si>
    <t xml:space="preserve">Black-faced Grosbeak; Red-throated Ant-Tanager</t>
  </si>
  <si>
    <t xml:space="preserve">macaulay/flac/647483640.flac</t>
  </si>
  <si>
    <t xml:space="preserve">ML76618</t>
  </si>
  <si>
    <t xml:space="preserve">macaulay/flac/76618.flac</t>
  </si>
  <si>
    <t xml:space="preserve">group label: Plain-brown Woodcreeper (Plain-brown)</t>
  </si>
  <si>
    <t xml:space="preserve">ML76620</t>
  </si>
  <si>
    <t xml:space="preserve">macaulay/flac/76620.flac</t>
  </si>
  <si>
    <t xml:space="preserve">ML184135</t>
  </si>
  <si>
    <t xml:space="preserve">Olive-backed Euphonia; Montezuma Oropendola; Keel-billed Toucan; Golden-hooded Tanager</t>
  </si>
  <si>
    <t xml:space="preserve">Curtis Marantz|1995-04-10</t>
  </si>
  <si>
    <t xml:space="preserve">16:26</t>
  </si>
  <si>
    <t xml:space="preserve">macaulay/flac/184135.flac</t>
  </si>
  <si>
    <t xml:space="preserve">ML39237</t>
  </si>
  <si>
    <t xml:space="preserve">macaulay/flac/39237.flac</t>
  </si>
  <si>
    <t xml:space="preserve">ML185753</t>
  </si>
  <si>
    <t xml:space="preserve">11:50</t>
  </si>
  <si>
    <t xml:space="preserve">macaulay/flac/185753.flac</t>
  </si>
  <si>
    <t xml:space="preserve">ML285637</t>
  </si>
  <si>
    <t xml:space="preserve">macaulay/flac/285637.flac</t>
  </si>
  <si>
    <t xml:space="preserve">ML299574</t>
  </si>
  <si>
    <t xml:space="preserve">macaulay/flac/299574.flac</t>
  </si>
  <si>
    <t xml:space="preserve">ML539026011</t>
  </si>
  <si>
    <t xml:space="preserve">macaulay/flac/539026011.flac</t>
  </si>
  <si>
    <t xml:space="preserve">ML639219066</t>
  </si>
  <si>
    <t xml:space="preserve">macaulay/flac/639219066.flac</t>
  </si>
  <si>
    <t xml:space="preserve">ML648704685</t>
  </si>
  <si>
    <t xml:space="preserve">macaulay/flac/648704685.flac</t>
  </si>
  <si>
    <t xml:space="preserve">ML648704686</t>
  </si>
  <si>
    <t xml:space="preserve">macaulay/flac/648704686.flac</t>
  </si>
  <si>
    <t xml:space="preserve">ML658758966</t>
  </si>
  <si>
    <t xml:space="preserve">S348961685</t>
  </si>
  <si>
    <t xml:space="preserve">German Aguilar Vega</t>
  </si>
  <si>
    <t xml:space="preserve">09:49</t>
  </si>
  <si>
    <t xml:space="preserve">macaulay/flac/658758966.flac</t>
  </si>
  <si>
    <t xml:space="preserve">ML661734558</t>
  </si>
  <si>
    <t xml:space="preserve">S372104836</t>
  </si>
  <si>
    <t xml:space="preserve">macaulay/flac/661734558.flac</t>
  </si>
  <si>
    <t xml:space="preserve">ML100771121</t>
  </si>
  <si>
    <t xml:space="preserve">macaulay/flac/100771121.flac</t>
  </si>
  <si>
    <t xml:space="preserve">ML150958101</t>
  </si>
  <si>
    <t xml:space="preserve">macaulay/flac/150958101.flac</t>
  </si>
  <si>
    <t xml:space="preserve">ML184210</t>
  </si>
  <si>
    <t xml:space="preserve">Curtis Marantz|1995-04-17</t>
  </si>
  <si>
    <t xml:space="preserve">macaulay/flac/184210.flac</t>
  </si>
  <si>
    <t xml:space="preserve">ML184277</t>
  </si>
  <si>
    <t xml:space="preserve">Yellow-throated Toucan (Chestnut-mandibled); Short-billed Pigeon; Montezuma Oropendola; Keel-billed Toucan</t>
  </si>
  <si>
    <t xml:space="preserve">Curtis Marantz|1995-04-25</t>
  </si>
  <si>
    <t xml:space="preserve">08:41</t>
  </si>
  <si>
    <t xml:space="preserve">macaulay/flac/184277.flac</t>
  </si>
  <si>
    <t xml:space="preserve">ML184279</t>
  </si>
  <si>
    <t xml:space="preserve">Yellow-throated Toucan (Chestnut-mandibled); Short-billed Pigeon; Bright-rumped Attila; Black-faced Antthrush</t>
  </si>
  <si>
    <t xml:space="preserve">macaulay/flac/184279.flac</t>
  </si>
  <si>
    <t xml:space="preserve">ML185744</t>
  </si>
  <si>
    <t xml:space="preserve">macaulay/flac/185744.flac</t>
  </si>
  <si>
    <t xml:space="preserve">ML215415</t>
  </si>
  <si>
    <t xml:space="preserve">08:05</t>
  </si>
  <si>
    <t xml:space="preserve">macaulay/flac/215415.flac</t>
  </si>
  <si>
    <t xml:space="preserve">ML531236911</t>
  </si>
  <si>
    <t xml:space="preserve">macaulay/flac/531236911.flac</t>
  </si>
  <si>
    <t xml:space="preserve">ML543398801</t>
  </si>
  <si>
    <t xml:space="preserve">macaulay/flac/543398801.flac</t>
  </si>
  <si>
    <t xml:space="preserve">ML621760298</t>
  </si>
  <si>
    <t xml:space="preserve">macaulay/flac/621760298.flac</t>
  </si>
  <si>
    <t xml:space="preserve">ML631664545</t>
  </si>
  <si>
    <t xml:space="preserve">macaulay/flac/631664545.flac</t>
  </si>
  <si>
    <t xml:space="preserve">ML653762239</t>
  </si>
  <si>
    <t xml:space="preserve">macaulay/flac/653762239.flac</t>
  </si>
  <si>
    <t xml:space="preserve">ML654657445</t>
  </si>
  <si>
    <t xml:space="preserve">macaulay/flac/654657445.flac</t>
  </si>
  <si>
    <t xml:space="preserve">ML74215</t>
  </si>
  <si>
    <t xml:space="preserve">11:34</t>
  </si>
  <si>
    <t xml:space="preserve">macaulay/flac/74215.flac</t>
  </si>
  <si>
    <t xml:space="preserve">ML101754391</t>
  </si>
  <si>
    <t xml:space="preserve">macaulay/flac/101754391.flac</t>
  </si>
  <si>
    <t xml:space="preserve">ML123825761</t>
  </si>
  <si>
    <t xml:space="preserve">macaulay/flac/123825761.flac</t>
  </si>
  <si>
    <t xml:space="preserve">ML123825781</t>
  </si>
  <si>
    <t xml:space="preserve">macaulay/flac/123825781.flac</t>
  </si>
  <si>
    <t xml:space="preserve">ML179452831</t>
  </si>
  <si>
    <t xml:space="preserve">macaulay/flac/179452831.flac</t>
  </si>
  <si>
    <t xml:space="preserve">ML209470</t>
  </si>
  <si>
    <t xml:space="preserve">06:21</t>
  </si>
  <si>
    <t xml:space="preserve">macaulay/flac/209470.flac</t>
  </si>
  <si>
    <t xml:space="preserve">group label: Red-lored Amazon</t>
  </si>
  <si>
    <t xml:space="preserve">ML215322</t>
  </si>
  <si>
    <t xml:space="preserve">06:18</t>
  </si>
  <si>
    <t xml:space="preserve">macaulay/flac/215322.flac</t>
  </si>
  <si>
    <t xml:space="preserve">ML266218521</t>
  </si>
  <si>
    <t xml:space="preserve">macaulay/flac/266218521.flac</t>
  </si>
  <si>
    <t xml:space="preserve">ML266218531</t>
  </si>
  <si>
    <t xml:space="preserve">macaulay/flac/266218531.flac</t>
  </si>
  <si>
    <t xml:space="preserve">ML299616</t>
  </si>
  <si>
    <t xml:space="preserve">macaulay/flac/299616.flac</t>
  </si>
  <si>
    <t xml:space="preserve">ML45567141</t>
  </si>
  <si>
    <t xml:space="preserve">macaulay/flac/45567141.flac</t>
  </si>
  <si>
    <t xml:space="preserve">ML465954401</t>
  </si>
  <si>
    <t xml:space="preserve">macaulay/flac/465954401.flac</t>
  </si>
  <si>
    <t xml:space="preserve">ML543400951</t>
  </si>
  <si>
    <t xml:space="preserve">macaulay/flac/543400951.flac</t>
  </si>
  <si>
    <t xml:space="preserve">ML614020300</t>
  </si>
  <si>
    <t xml:space="preserve">macaulay/flac/614020300.flac</t>
  </si>
  <si>
    <t xml:space="preserve">ML621759522</t>
  </si>
  <si>
    <t xml:space="preserve">macaulay/flac/621759522.flac</t>
  </si>
  <si>
    <t xml:space="preserve">ML621759523</t>
  </si>
  <si>
    <t xml:space="preserve">macaulay/flac/621759523.flac</t>
  </si>
  <si>
    <t xml:space="preserve">ML621759987</t>
  </si>
  <si>
    <t xml:space="preserve">macaulay/flac/621759987.flac</t>
  </si>
  <si>
    <t xml:space="preserve">ML623072484</t>
  </si>
  <si>
    <t xml:space="preserve">macaulay/flac/623072484.flac</t>
  </si>
  <si>
    <t xml:space="preserve">ML628653635</t>
  </si>
  <si>
    <t xml:space="preserve">macaulay/flac/628653635.flac</t>
  </si>
  <si>
    <t xml:space="preserve">ML640139428</t>
  </si>
  <si>
    <t xml:space="preserve">macaulay/flac/640139428.flac</t>
  </si>
  <si>
    <t xml:space="preserve">ML647328864</t>
  </si>
  <si>
    <t xml:space="preserve">macaulay/flac/647328864.flac</t>
  </si>
  <si>
    <t xml:space="preserve">ML647390508</t>
  </si>
  <si>
    <t xml:space="preserve">macaulay/flac/647390508.flac</t>
  </si>
  <si>
    <t xml:space="preserve">ML648628565</t>
  </si>
  <si>
    <t xml:space="preserve">macaulay/flac/648628565.flac</t>
  </si>
  <si>
    <t xml:space="preserve">XC331641</t>
  </si>
  <si>
    <t xml:space="preserve">data-prep/xc_flac/Amazona_autumnalis/XC331641.flac</t>
  </si>
  <si>
    <t xml:space="preserve">call; Hotel Castillo del Arenal, El Castillo, 600 m</t>
  </si>
  <si>
    <t xml:space="preserve">ML102872601</t>
  </si>
  <si>
    <t xml:space="preserve">macaulay/flac/102872601.flac</t>
  </si>
  <si>
    <t xml:space="preserve">ML103120051</t>
  </si>
  <si>
    <t xml:space="preserve">macaulay/flac/103120051.flac</t>
  </si>
  <si>
    <t xml:space="preserve">ML129443171</t>
  </si>
  <si>
    <t xml:space="preserve">macaulay/flac/129443171.flac</t>
  </si>
  <si>
    <t xml:space="preserve">ML137864231</t>
  </si>
  <si>
    <t xml:space="preserve">macaulay/flac/137864231.flac</t>
  </si>
  <si>
    <t xml:space="preserve">ML177875821</t>
  </si>
  <si>
    <t xml:space="preserve">macaulay/flac/177875821.flac</t>
  </si>
  <si>
    <t xml:space="preserve">ML228671631</t>
  </si>
  <si>
    <t xml:space="preserve">S64752267</t>
  </si>
  <si>
    <t xml:space="preserve">Nick Athanas</t>
  </si>
  <si>
    <t xml:space="preserve">macaulay/flac/228671631.flac</t>
  </si>
  <si>
    <t xml:space="preserve">ML299551</t>
  </si>
  <si>
    <t xml:space="preserve">macaulay/flac/299551.flac</t>
  </si>
  <si>
    <t xml:space="preserve">ML299669</t>
  </si>
  <si>
    <t xml:space="preserve">Peter Boesman|2010-03-15</t>
  </si>
  <si>
    <t xml:space="preserve">macaulay/flac/299669.flac</t>
  </si>
  <si>
    <t xml:space="preserve">ML455552761</t>
  </si>
  <si>
    <t xml:space="preserve">S110903558</t>
  </si>
  <si>
    <t xml:space="preserve">Evan Griffis</t>
  </si>
  <si>
    <t xml:space="preserve">16:46</t>
  </si>
  <si>
    <t xml:space="preserve">macaulay/flac/455552761.flac</t>
  </si>
  <si>
    <t xml:space="preserve">ML457850981</t>
  </si>
  <si>
    <t xml:space="preserve">macaulay/flac/457850981.flac</t>
  </si>
  <si>
    <t xml:space="preserve">ML462751461</t>
  </si>
  <si>
    <t xml:space="preserve">macaulay/flac/462751461.flac</t>
  </si>
  <si>
    <t xml:space="preserve">ML543764741</t>
  </si>
  <si>
    <t xml:space="preserve">macaulay/flac/543764741.flac</t>
  </si>
  <si>
    <t xml:space="preserve">ML543764751</t>
  </si>
  <si>
    <t xml:space="preserve">macaulay/flac/543764751.flac</t>
  </si>
  <si>
    <t xml:space="preserve">ML543764761</t>
  </si>
  <si>
    <t xml:space="preserve">macaulay/flac/543764761.flac</t>
  </si>
  <si>
    <t xml:space="preserve">ML543764771</t>
  </si>
  <si>
    <t xml:space="preserve">macaulay/flac/543764771.flac</t>
  </si>
  <si>
    <t xml:space="preserve">ML557647481</t>
  </si>
  <si>
    <t xml:space="preserve">S132931769</t>
  </si>
  <si>
    <t xml:space="preserve">Danny Alfaro</t>
  </si>
  <si>
    <t xml:space="preserve">13:17</t>
  </si>
  <si>
    <t xml:space="preserve">macaulay/flac/557647481.flac</t>
  </si>
  <si>
    <t xml:space="preserve">ML597934431</t>
  </si>
  <si>
    <t xml:space="preserve">macaulay/flac/597934431.flac</t>
  </si>
  <si>
    <t xml:space="preserve">ML597934451</t>
  </si>
  <si>
    <t xml:space="preserve">macaulay/flac/597934451.flac</t>
  </si>
  <si>
    <t xml:space="preserve">ML609056527</t>
  </si>
  <si>
    <t xml:space="preserve">macaulay/flac/609056527.flac</t>
  </si>
  <si>
    <t xml:space="preserve">group label: Red-throated Ant-Tanager (Red-throated)</t>
  </si>
  <si>
    <t xml:space="preserve">ML609056528</t>
  </si>
  <si>
    <t xml:space="preserve">macaulay/flac/609056528.flac</t>
  </si>
  <si>
    <t xml:space="preserve">ML609056568</t>
  </si>
  <si>
    <t xml:space="preserve">macaulay/flac/609056568.flac</t>
  </si>
  <si>
    <t xml:space="preserve">ML609056575</t>
  </si>
  <si>
    <t xml:space="preserve">macaulay/flac/609056575.flac</t>
  </si>
  <si>
    <t xml:space="preserve">ML610572563</t>
  </si>
  <si>
    <t xml:space="preserve">macaulay/flac/610572563.flac</t>
  </si>
  <si>
    <t xml:space="preserve">ML614213693</t>
  </si>
  <si>
    <t xml:space="preserve">macaulay/flac/614213693.flac</t>
  </si>
  <si>
    <t xml:space="preserve">ML639170969</t>
  </si>
  <si>
    <t xml:space="preserve">macaulay/flac/639170969.flac</t>
  </si>
  <si>
    <t xml:space="preserve">ML647391428</t>
  </si>
  <si>
    <t xml:space="preserve">macaulay/flac/647391428.flac</t>
  </si>
  <si>
    <t xml:space="preserve">ML647848180</t>
  </si>
  <si>
    <t xml:space="preserve">S291229032</t>
  </si>
  <si>
    <t xml:space="preserve">Lily Glaeser</t>
  </si>
  <si>
    <t xml:space="preserve">macaulay/flac/647848180.flac</t>
  </si>
  <si>
    <t xml:space="preserve">ML654318446</t>
  </si>
  <si>
    <t xml:space="preserve">macaulay/flac/654318446.flac</t>
  </si>
  <si>
    <t xml:space="preserve">ML654361338</t>
  </si>
  <si>
    <t xml:space="preserve">S313143416</t>
  </si>
  <si>
    <t xml:space="preserve">17:06</t>
  </si>
  <si>
    <t xml:space="preserve">macaulay/flac/654361338.flac</t>
  </si>
  <si>
    <t xml:space="preserve">ML654361339</t>
  </si>
  <si>
    <t xml:space="preserve">macaulay/flac/654361339.flac</t>
  </si>
  <si>
    <t xml:space="preserve">XC332262</t>
  </si>
  <si>
    <t xml:space="preserve">data-prep/xc_flac/Pharomachrus_mocinno/XC332262.flac</t>
  </si>
  <si>
    <t xml:space="preserve">alarm call; Reserva Curi-Cancha, Monteverde, 1500 m</t>
  </si>
  <si>
    <t xml:space="preserve">ML639165049</t>
  </si>
  <si>
    <t xml:space="preserve">macaulay/flac/639165049.flac</t>
  </si>
  <si>
    <t xml:space="preserve">ML643660879</t>
  </si>
  <si>
    <t xml:space="preserve">macaulay/flac/643660879.flac</t>
  </si>
  <si>
    <t xml:space="preserve">ML647571356</t>
  </si>
  <si>
    <t xml:space="preserve">macaulay/flac/647571356.flac</t>
  </si>
  <si>
    <t xml:space="preserve">ML209473</t>
  </si>
  <si>
    <t xml:space="preserve">macaulay/flac/209473.flac</t>
  </si>
  <si>
    <t xml:space="preserve">ML102310921</t>
  </si>
  <si>
    <t xml:space="preserve">macaulay/flac/102310921.flac</t>
  </si>
  <si>
    <t xml:space="preserve">ML143072471</t>
  </si>
  <si>
    <t xml:space="preserve">macaulay/flac/143072471.flac</t>
  </si>
  <si>
    <t xml:space="preserve">ML179452581</t>
  </si>
  <si>
    <t xml:space="preserve">macaulay/flac/179452581.flac</t>
  </si>
  <si>
    <t xml:space="preserve">ML193418581</t>
  </si>
  <si>
    <t xml:space="preserve">macaulay/flac/193418581.flac</t>
  </si>
  <si>
    <t xml:space="preserve">ML193418641</t>
  </si>
  <si>
    <t xml:space="preserve">macaulay/flac/193418641.flac</t>
  </si>
  <si>
    <t xml:space="preserve">ML215408</t>
  </si>
  <si>
    <t xml:space="preserve">macaulay/flac/215408.flac</t>
  </si>
  <si>
    <t xml:space="preserve">ML215409</t>
  </si>
  <si>
    <t xml:space="preserve">tinamou sp.; Three-wattled Bellbird; Crested Guan</t>
  </si>
  <si>
    <t xml:space="preserve">macaulay/flac/215409.flac</t>
  </si>
  <si>
    <t xml:space="preserve">ML215436</t>
  </si>
  <si>
    <t xml:space="preserve">macaulay/flac/215436.flac</t>
  </si>
  <si>
    <t xml:space="preserve">ML28123</t>
  </si>
  <si>
    <t xml:space="preserve">macaulay/flac/28123.flac</t>
  </si>
  <si>
    <t xml:space="preserve">ML28124</t>
  </si>
  <si>
    <t xml:space="preserve">macaulay/flac/28124.flac</t>
  </si>
  <si>
    <t xml:space="preserve">ML336563291</t>
  </si>
  <si>
    <t xml:space="preserve">S87752588</t>
  </si>
  <si>
    <t xml:space="preserve">macaulay/flac/336563291.flac</t>
  </si>
  <si>
    <t xml:space="preserve">ML417110801</t>
  </si>
  <si>
    <t xml:space="preserve">S102181880</t>
  </si>
  <si>
    <t xml:space="preserve">07:58</t>
  </si>
  <si>
    <t xml:space="preserve">macaulay/flac/417110801.flac</t>
  </si>
  <si>
    <t xml:space="preserve">ML455551011</t>
  </si>
  <si>
    <t xml:space="preserve">S110738813</t>
  </si>
  <si>
    <t xml:space="preserve">macaulay/flac/455551011.flac</t>
  </si>
  <si>
    <t xml:space="preserve">ML462751491</t>
  </si>
  <si>
    <t xml:space="preserve">macaulay/flac/462751491.flac</t>
  </si>
  <si>
    <t xml:space="preserve">ML531228861</t>
  </si>
  <si>
    <t xml:space="preserve">macaulay/flac/531228861.flac</t>
  </si>
  <si>
    <t xml:space="preserve">ML540259751</t>
  </si>
  <si>
    <t xml:space="preserve">macaulay/flac/540259751.flac</t>
  </si>
  <si>
    <t xml:space="preserve">ML552846171</t>
  </si>
  <si>
    <t xml:space="preserve">S130908763</t>
  </si>
  <si>
    <t xml:space="preserve">07:53</t>
  </si>
  <si>
    <t xml:space="preserve">macaulay/flac/552846171.flac</t>
  </si>
  <si>
    <t xml:space="preserve">ML597933301</t>
  </si>
  <si>
    <t xml:space="preserve">macaulay/flac/597933301.flac</t>
  </si>
  <si>
    <t xml:space="preserve">ML609056509</t>
  </si>
  <si>
    <t xml:space="preserve">macaulay/flac/609056509.flac</t>
  </si>
  <si>
    <t xml:space="preserve">ML609061866</t>
  </si>
  <si>
    <t xml:space="preserve">macaulay/flac/609061866.flac</t>
  </si>
  <si>
    <t xml:space="preserve">ML611872030</t>
  </si>
  <si>
    <t xml:space="preserve">macaulay/flac/611872030.flac</t>
  </si>
  <si>
    <t xml:space="preserve">ML612177320</t>
  </si>
  <si>
    <t xml:space="preserve">S155019163</t>
  </si>
  <si>
    <t xml:space="preserve">macaulay/flac/612177320.flac</t>
  </si>
  <si>
    <t xml:space="preserve">ML615004972</t>
  </si>
  <si>
    <t xml:space="preserve">macaulay/flac/615004972.flac</t>
  </si>
  <si>
    <t xml:space="preserve">ML628080790</t>
  </si>
  <si>
    <t xml:space="preserve">S206532353</t>
  </si>
  <si>
    <t xml:space="preserve">Brennan Stokkermans</t>
  </si>
  <si>
    <t xml:space="preserve">macaulay/flac/628080790.flac</t>
  </si>
  <si>
    <t xml:space="preserve">ML630101127</t>
  </si>
  <si>
    <t xml:space="preserve">macaulay/flac/630101127.flac</t>
  </si>
  <si>
    <t xml:space="preserve">ML631698426</t>
  </si>
  <si>
    <t xml:space="preserve">macaulay/flac/631698426.flac</t>
  </si>
  <si>
    <t xml:space="preserve">ML632348730</t>
  </si>
  <si>
    <t xml:space="preserve">macaulay/flac/632348730.flac</t>
  </si>
  <si>
    <t xml:space="preserve">ML643642578</t>
  </si>
  <si>
    <t xml:space="preserve">macaulay/flac/643642578.flac</t>
  </si>
  <si>
    <t xml:space="preserve">ML646478016</t>
  </si>
  <si>
    <t xml:space="preserve">macaulay/flac/646478016.flac</t>
  </si>
  <si>
    <t xml:space="preserve">ML647568746</t>
  </si>
  <si>
    <t xml:space="preserve">macaulay/flac/647568746.flac</t>
  </si>
  <si>
    <t xml:space="preserve">ML647568751</t>
  </si>
  <si>
    <t xml:space="preserve">Broad-billed Motmot; Montezuma Oropendola</t>
  </si>
  <si>
    <t xml:space="preserve">macaulay/flac/647568751.flac</t>
  </si>
  <si>
    <t xml:space="preserve">ML647568757</t>
  </si>
  <si>
    <t xml:space="preserve">macaulay/flac/647568757.flac</t>
  </si>
  <si>
    <t xml:space="preserve">ML648780679</t>
  </si>
  <si>
    <t xml:space="preserve">Buff-throated Saltator; Montezuma Oropendola</t>
  </si>
  <si>
    <t xml:space="preserve">macaulay/flac/648780679.flac</t>
  </si>
  <si>
    <t xml:space="preserve">ML652037543</t>
  </si>
  <si>
    <t xml:space="preserve">macaulay/flac/652037543.flac</t>
  </si>
  <si>
    <t xml:space="preserve">ML6615</t>
  </si>
  <si>
    <t xml:space="preserve">macaulay/flac/6615.flac</t>
  </si>
  <si>
    <t xml:space="preserve">ML661712323</t>
  </si>
  <si>
    <t xml:space="preserve">macaulay/flac/661712323.flac</t>
  </si>
  <si>
    <t xml:space="preserve">ML72603</t>
  </si>
  <si>
    <t xml:space="preserve">macaulay/flac/72603.flac</t>
  </si>
  <si>
    <t xml:space="preserve">ML76611</t>
  </si>
  <si>
    <t xml:space="preserve">macaulay/flac/76611.flac</t>
  </si>
  <si>
    <t xml:space="preserve">ML76636</t>
  </si>
  <si>
    <t xml:space="preserve">macaulay/flac/76636.flac</t>
  </si>
  <si>
    <t xml:space="preserve">ML246391641</t>
  </si>
  <si>
    <t xml:space="preserve">macaulay/flac/246391641.flac</t>
  </si>
  <si>
    <t xml:space="preserve">ML299614</t>
  </si>
  <si>
    <t xml:space="preserve">macaulay/flac/299614.flac</t>
  </si>
  <si>
    <t xml:space="preserve">ML348004861</t>
  </si>
  <si>
    <t xml:space="preserve">macaulay/flac/348004861.flac</t>
  </si>
  <si>
    <t xml:space="preserve">ML531240421</t>
  </si>
  <si>
    <t xml:space="preserve">macaulay/flac/531240421.flac</t>
  </si>
  <si>
    <t xml:space="preserve">ML609061869</t>
  </si>
  <si>
    <t xml:space="preserve">macaulay/flac/609061869.flac</t>
  </si>
  <si>
    <t xml:space="preserve">ML609061870</t>
  </si>
  <si>
    <t xml:space="preserve">macaulay/flac/609061870.flac</t>
  </si>
  <si>
    <t xml:space="preserve">ML609061871</t>
  </si>
  <si>
    <t xml:space="preserve">macaulay/flac/609061871.flac</t>
  </si>
  <si>
    <t xml:space="preserve">ML647328965</t>
  </si>
  <si>
    <t xml:space="preserve">Black-cheeked Woodpecker; Red-lored Amazon</t>
  </si>
  <si>
    <t xml:space="preserve">macaulay/flac/647328965.flac</t>
  </si>
  <si>
    <t xml:space="preserve">ML654740934</t>
  </si>
  <si>
    <t xml:space="preserve">S320273875</t>
  </si>
  <si>
    <t xml:space="preserve">macaulay/flac/654740934.flac</t>
  </si>
  <si>
    <t xml:space="preserve">ML144153781</t>
  </si>
  <si>
    <t xml:space="preserve">macaulay/flac/144153781.flac</t>
  </si>
  <si>
    <t xml:space="preserve">ML144450141</t>
  </si>
  <si>
    <t xml:space="preserve">macaulay/flac/144450141.flac</t>
  </si>
  <si>
    <t xml:space="preserve">ML144452571</t>
  </si>
  <si>
    <t xml:space="preserve">macaulay/flac/144452571.flac</t>
  </si>
  <si>
    <t xml:space="preserve">ML249441</t>
  </si>
  <si>
    <t xml:space="preserve">macaulay/flac/249441.flac</t>
  </si>
  <si>
    <t xml:space="preserve">XC332163</t>
  </si>
  <si>
    <t xml:space="preserve">data-prep/xc_flac/Thryophilus_rufalbus/XC332163.flac</t>
  </si>
  <si>
    <t xml:space="preserve">XC332164</t>
  </si>
  <si>
    <t xml:space="preserve">data-prep/xc_flac/Thryophilus_rufalbus/XC332164.flac</t>
  </si>
  <si>
    <t xml:space="preserve">alarm call, call; Hotel El Bosque, Monteverde, Puntarenas, 1400 m</t>
  </si>
  <si>
    <t xml:space="preserve">XC332567</t>
  </si>
  <si>
    <t xml:space="preserve">data-prep/xc_flac/Thryophilus_rufalbus/XC332567.flac</t>
  </si>
  <si>
    <t xml:space="preserve">ML100358671</t>
  </si>
  <si>
    <t xml:space="preserve">macaulay/flac/100358671.flac</t>
  </si>
  <si>
    <t xml:space="preserve">ML100359471</t>
  </si>
  <si>
    <t xml:space="preserve">macaulay/flac/100359471.flac</t>
  </si>
  <si>
    <t xml:space="preserve">ML609056544</t>
  </si>
  <si>
    <t xml:space="preserve">macaulay/flac/609056544.flac</t>
  </si>
  <si>
    <t xml:space="preserve">ML642601108</t>
  </si>
  <si>
    <t xml:space="preserve">S49659082</t>
  </si>
  <si>
    <t xml:space="preserve">05:49</t>
  </si>
  <si>
    <t xml:space="preserve">macaulay/flac/642601108.flac</t>
  </si>
  <si>
    <t xml:space="preserve">ML642913274</t>
  </si>
  <si>
    <t xml:space="preserve">macaulay/flac/642913274.flac</t>
  </si>
  <si>
    <t xml:space="preserve">ML643526536</t>
  </si>
  <si>
    <t xml:space="preserve">S257989351</t>
  </si>
  <si>
    <t xml:space="preserve">macaulay/flac/643526536.flac</t>
  </si>
  <si>
    <t xml:space="preserve">XC332268</t>
  </si>
  <si>
    <t xml:space="preserve">data-prep/xc_flac/Amazilia_tzacatl/XC332268.flac</t>
  </si>
  <si>
    <t xml:space="preserve">ML134272631</t>
  </si>
  <si>
    <t xml:space="preserve">macaulay/flac/134272631.flac</t>
  </si>
  <si>
    <t xml:space="preserve">ML289834051</t>
  </si>
  <si>
    <t xml:space="preserve">macaulay/flac/289834051.flac</t>
  </si>
  <si>
    <t xml:space="preserve">ML514041981</t>
  </si>
  <si>
    <t xml:space="preserve">macaulay/flac/514041981.flac</t>
  </si>
  <si>
    <t xml:space="preserve">ML542528561</t>
  </si>
  <si>
    <t xml:space="preserve">S128291028</t>
  </si>
  <si>
    <t xml:space="preserve">14:53</t>
  </si>
  <si>
    <t xml:space="preserve">macaulay/flac/542528561.flac</t>
  </si>
  <si>
    <t xml:space="preserve">ML543397691</t>
  </si>
  <si>
    <t xml:space="preserve">macaulay/flac/543397691.flac</t>
  </si>
  <si>
    <t xml:space="preserve">ML543399621</t>
  </si>
  <si>
    <t xml:space="preserve">macaulay/flac/543399621.flac</t>
  </si>
  <si>
    <t xml:space="preserve">ML597713161</t>
  </si>
  <si>
    <t xml:space="preserve">macaulay/flac/597713161.flac</t>
  </si>
  <si>
    <t xml:space="preserve">ML609056564</t>
  </si>
  <si>
    <t xml:space="preserve">macaulay/flac/609056564.flac</t>
  </si>
  <si>
    <t xml:space="preserve">group label: Rufous-tailed Jacamar (Black-chinned)</t>
  </si>
  <si>
    <t xml:space="preserve">ML609056565</t>
  </si>
  <si>
    <t xml:space="preserve">macaulay/flac/609056565.flac</t>
  </si>
  <si>
    <t xml:space="preserve">ML609056570</t>
  </si>
  <si>
    <t xml:space="preserve">macaulay/flac/609056570.flac</t>
  </si>
  <si>
    <t xml:space="preserve">ML609059105</t>
  </si>
  <si>
    <t xml:space="preserve">macaulay/flac/609059105.flac</t>
  </si>
  <si>
    <t xml:space="preserve">ML614896562</t>
  </si>
  <si>
    <t xml:space="preserve">S160906872</t>
  </si>
  <si>
    <t xml:space="preserve">Jonny Logas</t>
  </si>
  <si>
    <t xml:space="preserve">macaulay/flac/614896562.flac</t>
  </si>
  <si>
    <t xml:space="preserve">ML621760351</t>
  </si>
  <si>
    <t xml:space="preserve">macaulay/flac/621760351.flac</t>
  </si>
  <si>
    <t xml:space="preserve">ML627957459</t>
  </si>
  <si>
    <t xml:space="preserve">macaulay/flac/627957459.flac</t>
  </si>
  <si>
    <t xml:space="preserve">ML628721210</t>
  </si>
  <si>
    <t xml:space="preserve">macaulay/flac/628721210.flac</t>
  </si>
  <si>
    <t xml:space="preserve">ML632348735</t>
  </si>
  <si>
    <t xml:space="preserve">macaulay/flac/632348735.flac</t>
  </si>
  <si>
    <t xml:space="preserve">ML638982471</t>
  </si>
  <si>
    <t xml:space="preserve">macaulay/flac/638982471.flac</t>
  </si>
  <si>
    <t xml:space="preserve">ML639162245</t>
  </si>
  <si>
    <t xml:space="preserve">macaulay/flac/639162245.flac</t>
  </si>
  <si>
    <t xml:space="preserve">ML646522173</t>
  </si>
  <si>
    <t xml:space="preserve">macaulay/flac/646522173.flac</t>
  </si>
  <si>
    <t xml:space="preserve">ML647390213</t>
  </si>
  <si>
    <t xml:space="preserve">macaulay/flac/647390213.flac</t>
  </si>
  <si>
    <t xml:space="preserve">ML647443201</t>
  </si>
  <si>
    <t xml:space="preserve">macaulay/flac/647443201.flac</t>
  </si>
  <si>
    <t xml:space="preserve">ML648628021</t>
  </si>
  <si>
    <t xml:space="preserve">S278069471</t>
  </si>
  <si>
    <t xml:space="preserve">13:25</t>
  </si>
  <si>
    <t xml:space="preserve">macaulay/flac/648628021.flac</t>
  </si>
  <si>
    <t xml:space="preserve">ML648628597</t>
  </si>
  <si>
    <t xml:space="preserve">macaulay/flac/648628597.flac</t>
  </si>
  <si>
    <t xml:space="preserve">ML654747839</t>
  </si>
  <si>
    <t xml:space="preserve">macaulay/flac/654747839.flac</t>
  </si>
  <si>
    <t xml:space="preserve">ML31395</t>
  </si>
  <si>
    <t xml:space="preserve">macaulay/flac/31395.flac</t>
  </si>
  <si>
    <t xml:space="preserve">ML39239</t>
  </si>
  <si>
    <t xml:space="preserve">macaulay/flac/39239.flac</t>
  </si>
  <si>
    <t xml:space="preserve">ML533478191</t>
  </si>
  <si>
    <t xml:space="preserve">S127223725</t>
  </si>
  <si>
    <t xml:space="preserve">Daniel Mesa</t>
  </si>
  <si>
    <t xml:space="preserve">09:55</t>
  </si>
  <si>
    <t xml:space="preserve">macaulay/flac/533478191.flac</t>
  </si>
  <si>
    <t xml:space="preserve">ML647497058</t>
  </si>
  <si>
    <t xml:space="preserve">Yellow-throated Toucan; Scarlet-rumped Tanager</t>
  </si>
  <si>
    <t xml:space="preserve">macaulay/flac/647497058.flac</t>
  </si>
  <si>
    <t xml:space="preserve">ML647497061</t>
  </si>
  <si>
    <t xml:space="preserve">Buff-throated Saltator; Social Flycatcher</t>
  </si>
  <si>
    <t xml:space="preserve">macaulay/flac/647497061.flac</t>
  </si>
  <si>
    <t xml:space="preserve">ML652627094</t>
  </si>
  <si>
    <t xml:space="preserve">macaulay/flac/652627094.flac</t>
  </si>
  <si>
    <t xml:space="preserve">ML654113078</t>
  </si>
  <si>
    <t xml:space="preserve">macaulay/flac/654113078.flac</t>
  </si>
  <si>
    <t xml:space="preserve">XC331334</t>
  </si>
  <si>
    <t xml:space="preserve">data-prep/xc_flac/Phaeochroa_cuvierii/XC331334.flac</t>
  </si>
  <si>
    <t xml:space="preserve">XC331436</t>
  </si>
  <si>
    <t xml:space="preserve">data-prep/xc_flac/Phaeochroa_cuvierii/XC331436.flac</t>
  </si>
  <si>
    <t xml:space="preserve">ML643526505</t>
  </si>
  <si>
    <t xml:space="preserve">macaulay/flac/643526505.flac</t>
  </si>
  <si>
    <t xml:space="preserve">ML648628542</t>
  </si>
  <si>
    <t xml:space="preserve">macaulay/flac/648628542.flac</t>
  </si>
  <si>
    <t xml:space="preserve">ML648628543</t>
  </si>
  <si>
    <t xml:space="preserve">macaulay/flac/648628543.flac</t>
  </si>
  <si>
    <t xml:space="preserve">ML12402</t>
  </si>
  <si>
    <t xml:space="preserve">macaulay/flac/12402.flac</t>
  </si>
  <si>
    <t xml:space="preserve">group label: Scarlet-rumped Cacique (Scarlet-rumped)</t>
  </si>
  <si>
    <t xml:space="preserve">ML129459021</t>
  </si>
  <si>
    <t xml:space="preserve">macaulay/flac/129459021.flac</t>
  </si>
  <si>
    <t xml:space="preserve">ML147243351</t>
  </si>
  <si>
    <t xml:space="preserve">macaulay/flac/147243351.flac</t>
  </si>
  <si>
    <t xml:space="preserve">ML185743</t>
  </si>
  <si>
    <t xml:space="preserve">13:40</t>
  </si>
  <si>
    <t xml:space="preserve">macaulay/flac/185743.flac</t>
  </si>
  <si>
    <t xml:space="preserve">ML215332</t>
  </si>
  <si>
    <t xml:space="preserve">macaulay/flac/215332.flac</t>
  </si>
  <si>
    <t xml:space="preserve">ML28148</t>
  </si>
  <si>
    <t xml:space="preserve">15:20</t>
  </si>
  <si>
    <t xml:space="preserve">macaulay/flac/28148.flac</t>
  </si>
  <si>
    <t xml:space="preserve">ML299644</t>
  </si>
  <si>
    <t xml:space="preserve">09:05</t>
  </si>
  <si>
    <t xml:space="preserve">macaulay/flac/299644.flac</t>
  </si>
  <si>
    <t xml:space="preserve">group label: Scarlet-rumped Cacique (Subtropical)</t>
  </si>
  <si>
    <t xml:space="preserve">ML299664</t>
  </si>
  <si>
    <t xml:space="preserve">macaulay/flac/299664.flac</t>
  </si>
  <si>
    <t xml:space="preserve">ML299666</t>
  </si>
  <si>
    <t xml:space="preserve">macaulay/flac/299666.flac</t>
  </si>
  <si>
    <t xml:space="preserve">ML306063651</t>
  </si>
  <si>
    <t xml:space="preserve">macaulay/flac/306063651.flac</t>
  </si>
  <si>
    <t xml:space="preserve">ML51723</t>
  </si>
  <si>
    <t xml:space="preserve">Cinnamon Woodpecker; Slaty-breasted Tinamou</t>
  </si>
  <si>
    <t xml:space="preserve">macaulay/flac/51723.flac</t>
  </si>
  <si>
    <t xml:space="preserve">ML553696491</t>
  </si>
  <si>
    <t xml:space="preserve">macaulay/flac/553696491.flac</t>
  </si>
  <si>
    <t xml:space="preserve">ML614027344</t>
  </si>
  <si>
    <t xml:space="preserve">macaulay/flac/614027344.flac</t>
  </si>
  <si>
    <t xml:space="preserve">ML628598626</t>
  </si>
  <si>
    <t xml:space="preserve">macaulay/flac/628598626.flac</t>
  </si>
  <si>
    <t xml:space="preserve">ML647330916</t>
  </si>
  <si>
    <t xml:space="preserve">macaulay/flac/647330916.flac</t>
  </si>
  <si>
    <t xml:space="preserve">ML647390085</t>
  </si>
  <si>
    <t xml:space="preserve">macaulay/flac/647390085.flac</t>
  </si>
  <si>
    <t xml:space="preserve">ML647447979</t>
  </si>
  <si>
    <t xml:space="preserve">macaulay/flac/647447979.flac</t>
  </si>
  <si>
    <t xml:space="preserve">ML647489479</t>
  </si>
  <si>
    <t xml:space="preserve">S289250523</t>
  </si>
  <si>
    <t xml:space="preserve">14:05</t>
  </si>
  <si>
    <t xml:space="preserve">macaulay/flac/647489479.flac</t>
  </si>
  <si>
    <t xml:space="preserve">ML647568895</t>
  </si>
  <si>
    <t xml:space="preserve">macaulay/flac/647568895.flac</t>
  </si>
  <si>
    <t xml:space="preserve">ML648628425</t>
  </si>
  <si>
    <t xml:space="preserve">Boat-billed Flycatcher; Social Flycatcher; Gray-capped Flycatcher; Great Kiskadee</t>
  </si>
  <si>
    <t xml:space="preserve">macaulay/flac/648628425.flac</t>
  </si>
  <si>
    <t xml:space="preserve">ML648782472</t>
  </si>
  <si>
    <t xml:space="preserve">macaulay/flac/648782472.flac</t>
  </si>
  <si>
    <t xml:space="preserve">ML652036969</t>
  </si>
  <si>
    <t xml:space="preserve">Rufous Motmot; Montezuma Oropendola</t>
  </si>
  <si>
    <t xml:space="preserve">macaulay/flac/652036969.flac</t>
  </si>
  <si>
    <t xml:space="preserve">ML653762806</t>
  </si>
  <si>
    <t xml:space="preserve">S296786902</t>
  </si>
  <si>
    <t xml:space="preserve">macaulay/flac/653762806.flac</t>
  </si>
  <si>
    <t xml:space="preserve">ML654515537</t>
  </si>
  <si>
    <t xml:space="preserve">macaulay/flac/654515537.flac</t>
  </si>
  <si>
    <t xml:space="preserve">ML99577541</t>
  </si>
  <si>
    <t xml:space="preserve">macaulay/flac/99577541.flac</t>
  </si>
  <si>
    <t xml:space="preserve">ML100360091</t>
  </si>
  <si>
    <t xml:space="preserve">macaulay/flac/100360091.flac</t>
  </si>
  <si>
    <t xml:space="preserve">group label: Scarlet-rumped Tanager (Passerini's)</t>
  </si>
  <si>
    <t xml:space="preserve">ML101638791</t>
  </si>
  <si>
    <t xml:space="preserve">macaulay/flac/101638791.flac</t>
  </si>
  <si>
    <t xml:space="preserve">ML143078551</t>
  </si>
  <si>
    <t xml:space="preserve">macaulay/flac/143078551.flac</t>
  </si>
  <si>
    <t xml:space="preserve">ML246009581</t>
  </si>
  <si>
    <t xml:space="preserve">Montezuma Oropendola; Dusky-capped Flycatcher</t>
  </si>
  <si>
    <t xml:space="preserve">S41212675</t>
  </si>
  <si>
    <t xml:space="preserve">macaulay/flac/246009581.flac</t>
  </si>
  <si>
    <t xml:space="preserve">ML299555</t>
  </si>
  <si>
    <t xml:space="preserve">macaulay/flac/299555.flac</t>
  </si>
  <si>
    <t xml:space="preserve">ML299591</t>
  </si>
  <si>
    <t xml:space="preserve">macaulay/flac/299591.flac</t>
  </si>
  <si>
    <t xml:space="preserve">ML299592</t>
  </si>
  <si>
    <t xml:space="preserve">macaulay/flac/299592.flac</t>
  </si>
  <si>
    <t xml:space="preserve">ML498005091</t>
  </si>
  <si>
    <t xml:space="preserve">macaulay/flac/498005091.flac</t>
  </si>
  <si>
    <t xml:space="preserve">ML57499</t>
  </si>
  <si>
    <t xml:space="preserve">macaulay/flac/57499.flac</t>
  </si>
  <si>
    <t xml:space="preserve">ML609056497</t>
  </si>
  <si>
    <t xml:space="preserve">macaulay/flac/609056497.flac</t>
  </si>
  <si>
    <t xml:space="preserve">ML628776558</t>
  </si>
  <si>
    <t xml:space="preserve">macaulay/flac/628776558.flac</t>
  </si>
  <si>
    <t xml:space="preserve">ML631021687</t>
  </si>
  <si>
    <t xml:space="preserve">Clay-colored Thrush; Montezuma Oropendola</t>
  </si>
  <si>
    <t xml:space="preserve">macaulay/flac/631021687.flac</t>
  </si>
  <si>
    <t xml:space="preserve">ML639165391</t>
  </si>
  <si>
    <t xml:space="preserve">macaulay/flac/639165391.flac</t>
  </si>
  <si>
    <t xml:space="preserve">ML646460581</t>
  </si>
  <si>
    <t xml:space="preserve">macaulay/flac/646460581.flac</t>
  </si>
  <si>
    <t xml:space="preserve">ML647329587</t>
  </si>
  <si>
    <t xml:space="preserve">Great Kiskadee; Graceful Black-throated Trogon; Black-faced Grosbeak</t>
  </si>
  <si>
    <t xml:space="preserve">macaulay/flac/647329587.flac</t>
  </si>
  <si>
    <t xml:space="preserve">ML650762748</t>
  </si>
  <si>
    <t xml:space="preserve">macaulay/flac/650762748.flac</t>
  </si>
  <si>
    <t xml:space="preserve">ML654444572</t>
  </si>
  <si>
    <t xml:space="preserve">macaulay/flac/654444572.flac</t>
  </si>
  <si>
    <t xml:space="preserve">XC331462</t>
  </si>
  <si>
    <t xml:space="preserve">data-prep/xc_flac/Ramphocelus_passerinii/XC331462.flac</t>
  </si>
  <si>
    <t xml:space="preserve">ML129894581</t>
  </si>
  <si>
    <t xml:space="preserve">macaulay/flac/129894581.flac</t>
  </si>
  <si>
    <t xml:space="preserve">ML155116981</t>
  </si>
  <si>
    <t xml:space="preserve">macaulay/flac/155116981.flac</t>
  </si>
  <si>
    <t xml:space="preserve">ML285625</t>
  </si>
  <si>
    <t xml:space="preserve">macaulay/flac/285625.flac</t>
  </si>
  <si>
    <t xml:space="preserve">ML299597</t>
  </si>
  <si>
    <t xml:space="preserve">macaulay/flac/299597.flac</t>
  </si>
  <si>
    <t xml:space="preserve">ML299598</t>
  </si>
  <si>
    <t xml:space="preserve">macaulay/flac/299598.flac</t>
  </si>
  <si>
    <t xml:space="preserve">ML498003741</t>
  </si>
  <si>
    <t xml:space="preserve">macaulay/flac/498003741.flac</t>
  </si>
  <si>
    <t xml:space="preserve">ML514042211</t>
  </si>
  <si>
    <t xml:space="preserve">macaulay/flac/514042211.flac</t>
  </si>
  <si>
    <t xml:space="preserve">ML51712</t>
  </si>
  <si>
    <t xml:space="preserve">16:15</t>
  </si>
  <si>
    <t xml:space="preserve">macaulay/flac/51712.flac</t>
  </si>
  <si>
    <t xml:space="preserve">ML597933691</t>
  </si>
  <si>
    <t xml:space="preserve">macaulay/flac/597933691.flac</t>
  </si>
  <si>
    <t xml:space="preserve">ML631699097</t>
  </si>
  <si>
    <t xml:space="preserve">macaulay/flac/631699097.flac</t>
  </si>
  <si>
    <t xml:space="preserve">ML647570212</t>
  </si>
  <si>
    <t xml:space="preserve">macaulay/flac/647570212.flac</t>
  </si>
  <si>
    <t xml:space="preserve">ML654239846</t>
  </si>
  <si>
    <t xml:space="preserve">macaulay/flac/654239846.flac</t>
  </si>
  <si>
    <t xml:space="preserve">ML654239847</t>
  </si>
  <si>
    <t xml:space="preserve">White-fronted Nunbird; Rufous Motmot; Broad-billed Motmot</t>
  </si>
  <si>
    <t xml:space="preserve">macaulay/flac/654239847.flac</t>
  </si>
  <si>
    <t xml:space="preserve">ML654441787</t>
  </si>
  <si>
    <t xml:space="preserve">macaulay/flac/654441787.flac</t>
  </si>
  <si>
    <t xml:space="preserve">ML661734313</t>
  </si>
  <si>
    <t xml:space="preserve">macaulay/flac/661734313.flac</t>
  </si>
  <si>
    <t xml:space="preserve">ML663970065</t>
  </si>
  <si>
    <t xml:space="preserve">macaulay/flac/663970065.flac</t>
  </si>
  <si>
    <t xml:space="preserve">ML81552211</t>
  </si>
  <si>
    <t xml:space="preserve">S41820009</t>
  </si>
  <si>
    <t xml:space="preserve">Gaetan Dupont</t>
  </si>
  <si>
    <t xml:space="preserve">macaulay/flac/81552211.flac</t>
  </si>
  <si>
    <t xml:space="preserve">ML123826261</t>
  </si>
  <si>
    <t xml:space="preserve">S49875728</t>
  </si>
  <si>
    <t xml:space="preserve">macaulay/flac/123826261.flac</t>
  </si>
  <si>
    <t xml:space="preserve">ML193422271</t>
  </si>
  <si>
    <t xml:space="preserve">macaulay/flac/193422271.flac</t>
  </si>
  <si>
    <t xml:space="preserve">ML215388</t>
  </si>
  <si>
    <t xml:space="preserve">macaulay/flac/215388.flac</t>
  </si>
  <si>
    <t xml:space="preserve">ML299631</t>
  </si>
  <si>
    <t xml:space="preserve">macaulay/flac/299631.flac</t>
  </si>
  <si>
    <t xml:space="preserve">ML498003181</t>
  </si>
  <si>
    <t xml:space="preserve">macaulay/flac/498003181.flac</t>
  </si>
  <si>
    <t xml:space="preserve">ML531226111</t>
  </si>
  <si>
    <t xml:space="preserve">macaulay/flac/531226111.flac</t>
  </si>
  <si>
    <t xml:space="preserve">ML531226121</t>
  </si>
  <si>
    <t xml:space="preserve">macaulay/flac/531226121.flac</t>
  </si>
  <si>
    <t xml:space="preserve">ML542523351</t>
  </si>
  <si>
    <t xml:space="preserve">S128321676</t>
  </si>
  <si>
    <t xml:space="preserve">macaulay/flac/542523351.flac</t>
  </si>
  <si>
    <t xml:space="preserve">ML613430004</t>
  </si>
  <si>
    <t xml:space="preserve">macaulay/flac/613430004.flac</t>
  </si>
  <si>
    <t xml:space="preserve">ML613824265</t>
  </si>
  <si>
    <t xml:space="preserve">S157254772</t>
  </si>
  <si>
    <t xml:space="preserve">Danny Tipton</t>
  </si>
  <si>
    <t xml:space="preserve">08:19</t>
  </si>
  <si>
    <t xml:space="preserve">macaulay/flac/613824265.flac</t>
  </si>
  <si>
    <t xml:space="preserve">ML622517915</t>
  </si>
  <si>
    <t xml:space="preserve">Bright-rumped Attila; Red-lored Amazon; Dusky-capped Flycatcher</t>
  </si>
  <si>
    <t xml:space="preserve">S189490849</t>
  </si>
  <si>
    <t xml:space="preserve">macaulay/flac/622517915.flac</t>
  </si>
  <si>
    <t xml:space="preserve">ML628597311</t>
  </si>
  <si>
    <t xml:space="preserve">macaulay/flac/628597311.flac</t>
  </si>
  <si>
    <t xml:space="preserve">ML632692740</t>
  </si>
  <si>
    <t xml:space="preserve">macaulay/flac/632692740.flac</t>
  </si>
  <si>
    <t xml:space="preserve">ML642594450</t>
  </si>
  <si>
    <t xml:space="preserve">macaulay/flac/642594450.flac</t>
  </si>
  <si>
    <t xml:space="preserve">ML643526591</t>
  </si>
  <si>
    <t xml:space="preserve">macaulay/flac/643526591.flac</t>
  </si>
  <si>
    <t xml:space="preserve">ML648831761</t>
  </si>
  <si>
    <t xml:space="preserve">Scarlet-rumped Tanager; Clay-colored Thrush; Gray-capped Flycatcher; Buff-throated Saltator</t>
  </si>
  <si>
    <t xml:space="preserve">macaulay/flac/648831761.flac</t>
  </si>
  <si>
    <t xml:space="preserve">ML653762451</t>
  </si>
  <si>
    <t xml:space="preserve">macaulay/flac/653762451.flac</t>
  </si>
  <si>
    <t xml:space="preserve">ML653762573</t>
  </si>
  <si>
    <t xml:space="preserve">macaulay/flac/653762573.flac</t>
  </si>
  <si>
    <t xml:space="preserve">ML89664951</t>
  </si>
  <si>
    <t xml:space="preserve">S43308028</t>
  </si>
  <si>
    <t xml:space="preserve">macaulay/flac/89664951.flac</t>
  </si>
  <si>
    <t xml:space="preserve">ML99573431</t>
  </si>
  <si>
    <t xml:space="preserve">macaulay/flac/99573431.flac</t>
  </si>
  <si>
    <t xml:space="preserve">ML184115</t>
  </si>
  <si>
    <t xml:space="preserve">Rufous Motmot; Broad-billed Motmot</t>
  </si>
  <si>
    <t xml:space="preserve">Curtis Marantz|1995-04-09</t>
  </si>
  <si>
    <t xml:space="preserve">macaulay/flac/184115.flac</t>
  </si>
  <si>
    <t xml:space="preserve">group label: Short-tailed Nighthawk (Short-tailed)</t>
  </si>
  <si>
    <t xml:space="preserve">ML288866451</t>
  </si>
  <si>
    <t xml:space="preserve">S77611573</t>
  </si>
  <si>
    <t xml:space="preserve">14:51</t>
  </si>
  <si>
    <t xml:space="preserve">macaulay/flac/288866451.flac</t>
  </si>
  <si>
    <t xml:space="preserve">ML288866461</t>
  </si>
  <si>
    <t xml:space="preserve">macaulay/flac/288866461.flac</t>
  </si>
  <si>
    <t xml:space="preserve">ML299541</t>
  </si>
  <si>
    <t xml:space="preserve">04:50</t>
  </si>
  <si>
    <t xml:space="preserve">macaulay/flac/299541.flac</t>
  </si>
  <si>
    <t xml:space="preserve">ML299610</t>
  </si>
  <si>
    <t xml:space="preserve">macaulay/flac/299610.flac</t>
  </si>
  <si>
    <t xml:space="preserve">ML655156841</t>
  </si>
  <si>
    <t xml:space="preserve">S322181056</t>
  </si>
  <si>
    <t xml:space="preserve">Jeisson Figueroa Sandi</t>
  </si>
  <si>
    <t xml:space="preserve">04:57</t>
  </si>
  <si>
    <t xml:space="preserve">macaulay/flac/655156841.flac</t>
  </si>
  <si>
    <t xml:space="preserve">ML101755501</t>
  </si>
  <si>
    <t xml:space="preserve">macaulay/flac/101755501.flac</t>
  </si>
  <si>
    <t xml:space="preserve">ML215414</t>
  </si>
  <si>
    <t xml:space="preserve">macaulay/flac/215414.flac</t>
  </si>
  <si>
    <t xml:space="preserve">ML579609141</t>
  </si>
  <si>
    <t xml:space="preserve">S135245360</t>
  </si>
  <si>
    <t xml:space="preserve">macaulay/flac/579609141.flac</t>
  </si>
  <si>
    <t xml:space="preserve">ML613449732</t>
  </si>
  <si>
    <t xml:space="preserve">macaulay/flac/613449732.flac</t>
  </si>
  <si>
    <t xml:space="preserve">ML654812886</t>
  </si>
  <si>
    <t xml:space="preserve">macaulay/flac/654812886.flac</t>
  </si>
  <si>
    <t xml:space="preserve">ML74217</t>
  </si>
  <si>
    <t xml:space="preserve">macaulay/flac/74217.flac</t>
  </si>
  <si>
    <t xml:space="preserve">XC332165</t>
  </si>
  <si>
    <t xml:space="preserve">data-prep/xc_flac/Myioborus_miniatus/XC332165.flac</t>
  </si>
  <si>
    <t xml:space="preserve">ML150739741</t>
  </si>
  <si>
    <t xml:space="preserve">macaulay/flac/150739741.flac</t>
  </si>
  <si>
    <t xml:space="preserve">ML154655531</t>
  </si>
  <si>
    <t xml:space="preserve">macaulay/flac/154655531.flac</t>
  </si>
  <si>
    <t xml:space="preserve">ML185747</t>
  </si>
  <si>
    <t xml:space="preserve">macaulay/flac/185747.flac</t>
  </si>
  <si>
    <t xml:space="preserve">ML28144</t>
  </si>
  <si>
    <t xml:space="preserve">macaulay/flac/28144.flac</t>
  </si>
  <si>
    <t xml:space="preserve">ML293055041</t>
  </si>
  <si>
    <t xml:space="preserve">S49630792</t>
  </si>
  <si>
    <t xml:space="preserve">macaulay/flac/293055041.flac</t>
  </si>
  <si>
    <t xml:space="preserve">ML347763141</t>
  </si>
  <si>
    <t xml:space="preserve">S89861762</t>
  </si>
  <si>
    <t xml:space="preserve">macaulay/flac/347763141.flac</t>
  </si>
  <si>
    <t xml:space="preserve">ML57462</t>
  </si>
  <si>
    <t xml:space="preserve">macaulay/flac/57462.flac</t>
  </si>
  <si>
    <t xml:space="preserve">XC331381</t>
  </si>
  <si>
    <t xml:space="preserve">data-prep/xc_flac/Synallaxis_brachyura/XC331381.flac</t>
  </si>
  <si>
    <t xml:space="preserve">ML266126481</t>
  </si>
  <si>
    <t xml:space="preserve">S74105158</t>
  </si>
  <si>
    <t xml:space="preserve">Jorge Gabriel Campos</t>
  </si>
  <si>
    <t xml:space="preserve">macaulay/flac/266126481.flac</t>
  </si>
  <si>
    <t xml:space="preserve">ML285749</t>
  </si>
  <si>
    <t xml:space="preserve">macaulay/flac/285749.flac</t>
  </si>
  <si>
    <t xml:space="preserve">ML57467</t>
  </si>
  <si>
    <t xml:space="preserve">David L. Ross, Jr.|1991-02-21</t>
  </si>
  <si>
    <t xml:space="preserve">macaulay/flac/57467.flac</t>
  </si>
  <si>
    <t xml:space="preserve">ML57468</t>
  </si>
  <si>
    <t xml:space="preserve">18:24</t>
  </si>
  <si>
    <t xml:space="preserve">macaulay/flac/57468.flac</t>
  </si>
  <si>
    <t xml:space="preserve">ML57472</t>
  </si>
  <si>
    <t xml:space="preserve">macaulay/flac/57472.flac</t>
  </si>
  <si>
    <t xml:space="preserve">ML641445630</t>
  </si>
  <si>
    <t xml:space="preserve">S271850975</t>
  </si>
  <si>
    <t xml:space="preserve">macaulay/flac/641445630.flac</t>
  </si>
  <si>
    <t xml:space="preserve">ML641448012</t>
  </si>
  <si>
    <t xml:space="preserve">S271857382</t>
  </si>
  <si>
    <t xml:space="preserve">Avery Dart</t>
  </si>
  <si>
    <t xml:space="preserve">macaulay/flac/641448012.flac</t>
  </si>
  <si>
    <t xml:space="preserve">ML123825011</t>
  </si>
  <si>
    <t xml:space="preserve">macaulay/flac/123825011.flac</t>
  </si>
  <si>
    <t xml:space="preserve">ML144010781</t>
  </si>
  <si>
    <t xml:space="preserve">macaulay/flac/144010781.flac</t>
  </si>
  <si>
    <t xml:space="preserve">ML145226871</t>
  </si>
  <si>
    <t xml:space="preserve">S53517451</t>
  </si>
  <si>
    <t xml:space="preserve">macaulay/flac/145226871.flac</t>
  </si>
  <si>
    <t xml:space="preserve">ML179452311</t>
  </si>
  <si>
    <t xml:space="preserve">macaulay/flac/179452311.flac</t>
  </si>
  <si>
    <t xml:space="preserve">ML193405631</t>
  </si>
  <si>
    <t xml:space="preserve">macaulay/flac/193405631.flac</t>
  </si>
  <si>
    <t xml:space="preserve">ML209487</t>
  </si>
  <si>
    <t xml:space="preserve">Strawberry Poison Dart Frog; Mantled Howler Monkey</t>
  </si>
  <si>
    <t xml:space="preserve">macaulay/flac/209487.flac</t>
  </si>
  <si>
    <t xml:space="preserve">ML215376</t>
  </si>
  <si>
    <t xml:space="preserve">11:12</t>
  </si>
  <si>
    <t xml:space="preserve">macaulay/flac/215376.flac</t>
  </si>
  <si>
    <t xml:space="preserve">ML218807991</t>
  </si>
  <si>
    <t xml:space="preserve">S65801758</t>
  </si>
  <si>
    <t xml:space="preserve">12:19</t>
  </si>
  <si>
    <t xml:space="preserve">macaulay/flac/218807991.flac</t>
  </si>
  <si>
    <t xml:space="preserve">ML218808001</t>
  </si>
  <si>
    <t xml:space="preserve">macaulay/flac/218808001.flac</t>
  </si>
  <si>
    <t xml:space="preserve">ML285624</t>
  </si>
  <si>
    <t xml:space="preserve">macaulay/flac/285624.flac</t>
  </si>
  <si>
    <t xml:space="preserve">ML289817011</t>
  </si>
  <si>
    <t xml:space="preserve">macaulay/flac/289817011.flac</t>
  </si>
  <si>
    <t xml:space="preserve">ML498003141</t>
  </si>
  <si>
    <t xml:space="preserve">macaulay/flac/498003141.flac</t>
  </si>
  <si>
    <t xml:space="preserve">ML51721</t>
  </si>
  <si>
    <t xml:space="preserve">macaulay/flac/51721.flac</t>
  </si>
  <si>
    <t xml:space="preserve">ML56618</t>
  </si>
  <si>
    <t xml:space="preserve">macaulay/flac/56618.flac</t>
  </si>
  <si>
    <t xml:space="preserve">ML621759620</t>
  </si>
  <si>
    <t xml:space="preserve">macaulay/flac/621759620.flac</t>
  </si>
  <si>
    <t xml:space="preserve">ML621760371</t>
  </si>
  <si>
    <t xml:space="preserve">macaulay/flac/621760371.flac</t>
  </si>
  <si>
    <t xml:space="preserve">ML621760373</t>
  </si>
  <si>
    <t xml:space="preserve">macaulay/flac/621760373.flac</t>
  </si>
  <si>
    <t xml:space="preserve">ML637857687</t>
  </si>
  <si>
    <t xml:space="preserve">S243608861</t>
  </si>
  <si>
    <t xml:space="preserve">08:21</t>
  </si>
  <si>
    <t xml:space="preserve">macaulay/flac/637857687.flac</t>
  </si>
  <si>
    <t xml:space="preserve">ML647448245</t>
  </si>
  <si>
    <t xml:space="preserve">macaulay/flac/647448245.flac</t>
  </si>
  <si>
    <t xml:space="preserve">ML661386363</t>
  </si>
  <si>
    <t xml:space="preserve">macaulay/flac/661386363.flac</t>
  </si>
  <si>
    <t xml:space="preserve">ML661712326</t>
  </si>
  <si>
    <t xml:space="preserve">macaulay/flac/661712326.flac</t>
  </si>
  <si>
    <t xml:space="preserve">ML662400056</t>
  </si>
  <si>
    <t xml:space="preserve">S332792521</t>
  </si>
  <si>
    <t xml:space="preserve">macaulay/flac/662400056.flac</t>
  </si>
  <si>
    <t xml:space="preserve">ML147241121</t>
  </si>
  <si>
    <t xml:space="preserve">macaulay/flac/147241121.flac</t>
  </si>
  <si>
    <t xml:space="preserve">ML185742</t>
  </si>
  <si>
    <t xml:space="preserve">macaulay/flac/185742.flac</t>
  </si>
  <si>
    <t xml:space="preserve">group label: Slaty-tailed Trogon (Massena)</t>
  </si>
  <si>
    <t xml:space="preserve">ML215319</t>
  </si>
  <si>
    <t xml:space="preserve">macaulay/flac/215319.flac</t>
  </si>
  <si>
    <t xml:space="preserve">ML228672001</t>
  </si>
  <si>
    <t xml:space="preserve">macaulay/flac/228672001.flac</t>
  </si>
  <si>
    <t xml:space="preserve">ML28108</t>
  </si>
  <si>
    <t xml:space="preserve">Scarlet-rumped Cacique; Short-billed Pigeon; Montezuma Oropendola; Great Tinamou</t>
  </si>
  <si>
    <t xml:space="preserve">macaulay/flac/28108.flac</t>
  </si>
  <si>
    <t xml:space="preserve">ML28141</t>
  </si>
  <si>
    <t xml:space="preserve">macaulay/flac/28141.flac</t>
  </si>
  <si>
    <t xml:space="preserve">ML28142</t>
  </si>
  <si>
    <t xml:space="preserve">macaulay/flac/28142.flac</t>
  </si>
  <si>
    <t xml:space="preserve">ML299579</t>
  </si>
  <si>
    <t xml:space="preserve">macaulay/flac/299579.flac</t>
  </si>
  <si>
    <t xml:space="preserve">ML338487481</t>
  </si>
  <si>
    <t xml:space="preserve">macaulay/flac/338487481.flac</t>
  </si>
  <si>
    <t xml:space="preserve">ML471206761</t>
  </si>
  <si>
    <t xml:space="preserve">macaulay/flac/471206761.flac</t>
  </si>
  <si>
    <t xml:space="preserve">ML49769711</t>
  </si>
  <si>
    <t xml:space="preserve">macaulay/flac/49769711.flac</t>
  </si>
  <si>
    <t xml:space="preserve">ML531097691</t>
  </si>
  <si>
    <t xml:space="preserve">macaulay/flac/531097691.flac</t>
  </si>
  <si>
    <t xml:space="preserve">ML531239851</t>
  </si>
  <si>
    <t xml:space="preserve">macaulay/flac/531239851.flac</t>
  </si>
  <si>
    <t xml:space="preserve">ML553696641</t>
  </si>
  <si>
    <t xml:space="preserve">macaulay/flac/553696641.flac</t>
  </si>
  <si>
    <t xml:space="preserve">ML587398491</t>
  </si>
  <si>
    <t xml:space="preserve">S133440422</t>
  </si>
  <si>
    <t xml:space="preserve">macaulay/flac/587398491.flac</t>
  </si>
  <si>
    <t xml:space="preserve">ML610543045</t>
  </si>
  <si>
    <t xml:space="preserve">macaulay/flac/610543045.flac</t>
  </si>
  <si>
    <t xml:space="preserve">ML627958313</t>
  </si>
  <si>
    <t xml:space="preserve">macaulay/flac/627958313.flac</t>
  </si>
  <si>
    <t xml:space="preserve">ML630168048</t>
  </si>
  <si>
    <t xml:space="preserve">S211955056</t>
  </si>
  <si>
    <t xml:space="preserve">macaulay/flac/630168048.flac</t>
  </si>
  <si>
    <t xml:space="preserve">ML632357063</t>
  </si>
  <si>
    <t xml:space="preserve">S205546018</t>
  </si>
  <si>
    <t xml:space="preserve">macaulay/flac/632357063.flac</t>
  </si>
  <si>
    <t xml:space="preserve">ML632861416</t>
  </si>
  <si>
    <t xml:space="preserve">S215088965</t>
  </si>
  <si>
    <t xml:space="preserve">Jodi Chambers</t>
  </si>
  <si>
    <t xml:space="preserve">macaulay/flac/632861416.flac</t>
  </si>
  <si>
    <t xml:space="preserve">ML650763705</t>
  </si>
  <si>
    <t xml:space="preserve">macaulay/flac/650763705.flac</t>
  </si>
  <si>
    <t xml:space="preserve">ML652038141</t>
  </si>
  <si>
    <t xml:space="preserve">macaulay/flac/652038141.flac</t>
  </si>
  <si>
    <t xml:space="preserve">ML653762316</t>
  </si>
  <si>
    <t xml:space="preserve">macaulay/flac/653762316.flac</t>
  </si>
  <si>
    <t xml:space="preserve">ML654320065</t>
  </si>
  <si>
    <t xml:space="preserve">macaulay/flac/654320065.flac</t>
  </si>
  <si>
    <t xml:space="preserve">ML654320169</t>
  </si>
  <si>
    <t xml:space="preserve">macaulay/flac/654320169.flac</t>
  </si>
  <si>
    <t xml:space="preserve">ML654604908</t>
  </si>
  <si>
    <t xml:space="preserve">S319398927</t>
  </si>
  <si>
    <t xml:space="preserve">macaulay/flac/654604908.flac</t>
  </si>
  <si>
    <t xml:space="preserve">ML72675</t>
  </si>
  <si>
    <t xml:space="preserve">macaulay/flac/72675.flac</t>
  </si>
  <si>
    <t xml:space="preserve">ML630218266</t>
  </si>
  <si>
    <t xml:space="preserve">macaulay/flac/630218266.flac</t>
  </si>
  <si>
    <t xml:space="preserve">ML662832613</t>
  </si>
  <si>
    <t xml:space="preserve">macaulay/flac/662832613.flac</t>
  </si>
  <si>
    <t xml:space="preserve">ML215442</t>
  </si>
  <si>
    <t xml:space="preserve">David L. Ross, Jr.|1989-02-21</t>
  </si>
  <si>
    <t xml:space="preserve">macaulay/flac/215442.flac</t>
  </si>
  <si>
    <t xml:space="preserve">group label: Social Flycatcher (Vermilion-crowned)</t>
  </si>
  <si>
    <t xml:space="preserve">ML240321401</t>
  </si>
  <si>
    <t xml:space="preserve">macaulay/flac/240321401.flac</t>
  </si>
  <si>
    <t xml:space="preserve">ML299647</t>
  </si>
  <si>
    <t xml:space="preserve">09:20</t>
  </si>
  <si>
    <t xml:space="preserve">macaulay/flac/299647.flac</t>
  </si>
  <si>
    <t xml:space="preserve">ML616167465</t>
  </si>
  <si>
    <t xml:space="preserve">S165204529</t>
  </si>
  <si>
    <t xml:space="preserve">macaulay/flac/616167465.flac</t>
  </si>
  <si>
    <t xml:space="preserve">ML623042667</t>
  </si>
  <si>
    <t xml:space="preserve">macaulay/flac/623042667.flac</t>
  </si>
  <si>
    <t xml:space="preserve">ML630938988</t>
  </si>
  <si>
    <t xml:space="preserve">Bright-rumped Attila; Olive-backed Euphonia; Scarlet-rumped Tanager (Passerini's); Mealy Amazon</t>
  </si>
  <si>
    <t xml:space="preserve">macaulay/flac/630938988.flac</t>
  </si>
  <si>
    <t xml:space="preserve">ML636344940</t>
  </si>
  <si>
    <t xml:space="preserve">macaulay/flac/636344940.flac</t>
  </si>
  <si>
    <t xml:space="preserve">ML642913203</t>
  </si>
  <si>
    <t xml:space="preserve">macaulay/flac/642913203.flac</t>
  </si>
  <si>
    <t xml:space="preserve">ML646457275</t>
  </si>
  <si>
    <t xml:space="preserve">macaulay/flac/646457275.flac</t>
  </si>
  <si>
    <t xml:space="preserve">ML648194113</t>
  </si>
  <si>
    <t xml:space="preserve">macaulay/flac/648194113.flac</t>
  </si>
  <si>
    <t xml:space="preserve">ML654321523</t>
  </si>
  <si>
    <t xml:space="preserve">macaulay/flac/654321523.flac</t>
  </si>
  <si>
    <t xml:space="preserve">ML127988001</t>
  </si>
  <si>
    <t xml:space="preserve">macaulay/flac/127988001.flac</t>
  </si>
  <si>
    <t xml:space="preserve">ML249448</t>
  </si>
  <si>
    <t xml:space="preserve">macaulay/flac/249448.flac</t>
  </si>
  <si>
    <t xml:space="preserve">ML28154</t>
  </si>
  <si>
    <t xml:space="preserve">macaulay/flac/28154.flac</t>
  </si>
  <si>
    <t xml:space="preserve">ML51709</t>
  </si>
  <si>
    <t xml:space="preserve">macaulay/flac/51709.flac</t>
  </si>
  <si>
    <t xml:space="preserve">ML103062991</t>
  </si>
  <si>
    <t xml:space="preserve">macaulay/flac/103062991.flac</t>
  </si>
  <si>
    <t xml:space="preserve">group label: Southern House Wren</t>
  </si>
  <si>
    <t xml:space="preserve">ML137859971</t>
  </si>
  <si>
    <t xml:space="preserve">macaulay/flac/137859971.flac</t>
  </si>
  <si>
    <t xml:space="preserve">ML268177561</t>
  </si>
  <si>
    <t xml:space="preserve">macaulay/flac/268177561.flac</t>
  </si>
  <si>
    <t xml:space="preserve">ML632692518</t>
  </si>
  <si>
    <t xml:space="preserve">macaulay/flac/632692518.flac</t>
  </si>
  <si>
    <t xml:space="preserve">ML72610</t>
  </si>
  <si>
    <t xml:space="preserve">macaulay/flac/72610.flac</t>
  </si>
  <si>
    <t xml:space="preserve">XC331326</t>
  </si>
  <si>
    <t xml:space="preserve">data-prep/xc_flac/Troglodytes_aedon/XC331326.flac</t>
  </si>
  <si>
    <t xml:space="preserve">song; Arenal Observatory Lodge, Fortuna, Costa Rica, 750 m; Xeno-canto label House Wren (Troglodytes aedon)</t>
  </si>
  <si>
    <t xml:space="preserve">XC331333</t>
  </si>
  <si>
    <t xml:space="preserve">data-prep/xc_flac/Troglodytes_aedon/XC331333.flac</t>
  </si>
  <si>
    <t xml:space="preserve">XC332269</t>
  </si>
  <si>
    <t xml:space="preserve">data-prep/xc_flac/Troglodytes_aedon/XC332269.flac</t>
  </si>
  <si>
    <t xml:space="preserve">song; Hotel El Bosque, Monteverde, Puntarenas, 1400 m; Xeno-canto label House Wren (Troglodytes aedon)</t>
  </si>
  <si>
    <t xml:space="preserve">ML627957720</t>
  </si>
  <si>
    <t xml:space="preserve">macaulay/flac/627957720.flac</t>
  </si>
  <si>
    <t xml:space="preserve">ML627957721</t>
  </si>
  <si>
    <t xml:space="preserve">macaulay/flac/627957721.flac</t>
  </si>
  <si>
    <t xml:space="preserve">ML129417111</t>
  </si>
  <si>
    <t xml:space="preserve">macaulay/flac/129417111.flac</t>
  </si>
  <si>
    <t xml:space="preserve">ML31388</t>
  </si>
  <si>
    <t xml:space="preserve">Barbara Spencer|1983-03-27</t>
  </si>
  <si>
    <t xml:space="preserve">macaulay/flac/31388.flac</t>
  </si>
  <si>
    <t xml:space="preserve">ML42577221</t>
  </si>
  <si>
    <t xml:space="preserve">S22165054</t>
  </si>
  <si>
    <t xml:space="preserve">macaulay/flac/42577221.flac</t>
  </si>
  <si>
    <t xml:space="preserve">ML576855411</t>
  </si>
  <si>
    <t xml:space="preserve">S138608659</t>
  </si>
  <si>
    <t xml:space="preserve">Jon Isacoff</t>
  </si>
  <si>
    <t xml:space="preserve">19:21</t>
  </si>
  <si>
    <t xml:space="preserve">macaulay/flac/576855411.flac</t>
  </si>
  <si>
    <t xml:space="preserve">ML609056479</t>
  </si>
  <si>
    <t xml:space="preserve">macaulay/flac/609056479.flac</t>
  </si>
  <si>
    <t xml:space="preserve">ML609056483</t>
  </si>
  <si>
    <t xml:space="preserve">macaulay/flac/609056483.flac</t>
  </si>
  <si>
    <t xml:space="preserve">ML609056546</t>
  </si>
  <si>
    <t xml:space="preserve">macaulay/flac/609056546.flac</t>
  </si>
  <si>
    <t xml:space="preserve">ML612285543</t>
  </si>
  <si>
    <t xml:space="preserve">S156415455</t>
  </si>
  <si>
    <t xml:space="preserve">macaulay/flac/612285543.flac</t>
  </si>
  <si>
    <t xml:space="preserve">ML631292639</t>
  </si>
  <si>
    <t xml:space="preserve">S215464654</t>
  </si>
  <si>
    <t xml:space="preserve">05:07</t>
  </si>
  <si>
    <t xml:space="preserve">macaulay/flac/631292639.flac</t>
  </si>
  <si>
    <t xml:space="preserve">ML654663065</t>
  </si>
  <si>
    <t xml:space="preserve">S319773619</t>
  </si>
  <si>
    <t xml:space="preserve">18:46</t>
  </si>
  <si>
    <t xml:space="preserve">macaulay/flac/654663065.flac</t>
  </si>
  <si>
    <t xml:space="preserve">ML129886831</t>
  </si>
  <si>
    <t xml:space="preserve">macaulay/flac/129886831.flac</t>
  </si>
  <si>
    <t xml:space="preserve">ML148484611</t>
  </si>
  <si>
    <t xml:space="preserve">S51541501</t>
  </si>
  <si>
    <t xml:space="preserve">David Robinson</t>
  </si>
  <si>
    <t xml:space="preserve">macaulay/flac/148484611.flac</t>
  </si>
  <si>
    <t xml:space="preserve">ML538647791</t>
  </si>
  <si>
    <t xml:space="preserve">macaulay/flac/538647791.flac</t>
  </si>
  <si>
    <t xml:space="preserve">ML613430260</t>
  </si>
  <si>
    <t xml:space="preserve">macaulay/flac/613430260.flac</t>
  </si>
  <si>
    <t xml:space="preserve">ML621760001</t>
  </si>
  <si>
    <t xml:space="preserve">macaulay/flac/621760001.flac</t>
  </si>
  <si>
    <t xml:space="preserve">ML621760089</t>
  </si>
  <si>
    <t xml:space="preserve">macaulay/flac/621760089.flac</t>
  </si>
  <si>
    <t xml:space="preserve">ML663617842</t>
  </si>
  <si>
    <t xml:space="preserve">macaulay/flac/663617842.flac</t>
  </si>
  <si>
    <t xml:space="preserve">XC331600</t>
  </si>
  <si>
    <t xml:space="preserve">data-prep/xc_flac/Hylophylax_naevioides/XC331600.flac</t>
  </si>
  <si>
    <t xml:space="preserve">alarm call, call; Arenal Observatory Lodge, Fortuna, Costa Rica, 750 m</t>
  </si>
  <si>
    <t xml:space="preserve">ML28157</t>
  </si>
  <si>
    <t xml:space="preserve">Short-billed Pigeon; White-fronted Nunbird</t>
  </si>
  <si>
    <t xml:space="preserve">macaulay/flac/28157.flac</t>
  </si>
  <si>
    <t xml:space="preserve">group label: Streak-chested Antpitta (Atlantic Slope)</t>
  </si>
  <si>
    <t xml:space="preserve">ML249440</t>
  </si>
  <si>
    <t xml:space="preserve">macaulay/flac/249440.flac</t>
  </si>
  <si>
    <t xml:space="preserve">ML249456</t>
  </si>
  <si>
    <t xml:space="preserve">Checker-throated Stipplethroat; White-flanked Antwren; Song Wren</t>
  </si>
  <si>
    <t xml:space="preserve">macaulay/flac/249456.flac</t>
  </si>
  <si>
    <t xml:space="preserve">ML285627</t>
  </si>
  <si>
    <t xml:space="preserve">macaulay/flac/285627.flac</t>
  </si>
  <si>
    <t xml:space="preserve">ML336650811</t>
  </si>
  <si>
    <t xml:space="preserve">macaulay/flac/336650811.flac</t>
  </si>
  <si>
    <t xml:space="preserve">ML129494221</t>
  </si>
  <si>
    <t xml:space="preserve">macaulay/flac/129494221.flac</t>
  </si>
  <si>
    <t xml:space="preserve">ML293078391</t>
  </si>
  <si>
    <t xml:space="preserve">macaulay/flac/293078391.flac</t>
  </si>
  <si>
    <t xml:space="preserve">ML609056495</t>
  </si>
  <si>
    <t xml:space="preserve">macaulay/flac/609056495.flac</t>
  </si>
  <si>
    <t xml:space="preserve">ML609056503</t>
  </si>
  <si>
    <t xml:space="preserve">macaulay/flac/609056503.flac</t>
  </si>
  <si>
    <t xml:space="preserve">ML618147374</t>
  </si>
  <si>
    <t xml:space="preserve">S149560893</t>
  </si>
  <si>
    <t xml:space="preserve">macaulay/flac/618147374.flac</t>
  </si>
  <si>
    <t xml:space="preserve">ML621759967</t>
  </si>
  <si>
    <t xml:space="preserve">macaulay/flac/621759967.flac</t>
  </si>
  <si>
    <t xml:space="preserve">ML654319713</t>
  </si>
  <si>
    <t xml:space="preserve">macaulay/flac/654319713.flac</t>
  </si>
  <si>
    <t xml:space="preserve">XC331469</t>
  </si>
  <si>
    <t xml:space="preserve">data-prep/xc_flac/Lepidocolaptes_souleyetii/XC331469.flac</t>
  </si>
  <si>
    <t xml:space="preserve">ML129512041</t>
  </si>
  <si>
    <t xml:space="preserve">macaulay/flac/129512041.flac</t>
  </si>
  <si>
    <t xml:space="preserve">ML145621391</t>
  </si>
  <si>
    <t xml:space="preserve">macaulay/flac/145621391.flac</t>
  </si>
  <si>
    <t xml:space="preserve">ML145625701</t>
  </si>
  <si>
    <t xml:space="preserve">macaulay/flac/145625701.flac</t>
  </si>
  <si>
    <t xml:space="preserve">ML147183361</t>
  </si>
  <si>
    <t xml:space="preserve">macaulay/flac/147183361.flac</t>
  </si>
  <si>
    <t xml:space="preserve">ML147239611</t>
  </si>
  <si>
    <t xml:space="preserve">macaulay/flac/147239611.flac</t>
  </si>
  <si>
    <t xml:space="preserve">ML153382291</t>
  </si>
  <si>
    <t xml:space="preserve">macaulay/flac/153382291.flac</t>
  </si>
  <si>
    <t xml:space="preserve">ML26395</t>
  </si>
  <si>
    <t xml:space="preserve">macaulay/flac/26395.flac</t>
  </si>
  <si>
    <t xml:space="preserve">ML28109</t>
  </si>
  <si>
    <t xml:space="preserve">macaulay/flac/28109.flac</t>
  </si>
  <si>
    <t xml:space="preserve">ML28122</t>
  </si>
  <si>
    <t xml:space="preserve">15:45</t>
  </si>
  <si>
    <t xml:space="preserve">macaulay/flac/28122.flac</t>
  </si>
  <si>
    <t xml:space="preserve">ML28125</t>
  </si>
  <si>
    <t xml:space="preserve">macaulay/flac/28125.flac</t>
  </si>
  <si>
    <t xml:space="preserve">ML28153</t>
  </si>
  <si>
    <t xml:space="preserve">White-breasted Wood-Wren; Chestnut-backed Antbird; Little Hermit</t>
  </si>
  <si>
    <t xml:space="preserve">macaulay/flac/28153.flac</t>
  </si>
  <si>
    <t xml:space="preserve">ML299626</t>
  </si>
  <si>
    <t xml:space="preserve">macaulay/flac/299626.flac</t>
  </si>
  <si>
    <t xml:space="preserve">ML32600981</t>
  </si>
  <si>
    <t xml:space="preserve">macaulay/flac/32600981.flac</t>
  </si>
  <si>
    <t xml:space="preserve">ML338493651</t>
  </si>
  <si>
    <t xml:space="preserve">macaulay/flac/338493651.flac</t>
  </si>
  <si>
    <t xml:space="preserve">ML338500851</t>
  </si>
  <si>
    <t xml:space="preserve">macaulay/flac/338500851.flac</t>
  </si>
  <si>
    <t xml:space="preserve">ML403163461</t>
  </si>
  <si>
    <t xml:space="preserve">Wood Thrush; White-collared Manakin; Red-lored Amazon; Mealy Amazon</t>
  </si>
  <si>
    <t xml:space="preserve">S99014043</t>
  </si>
  <si>
    <t xml:space="preserve">16:19</t>
  </si>
  <si>
    <t xml:space="preserve">macaulay/flac/403163461.flac</t>
  </si>
  <si>
    <t xml:space="preserve">ML457850461</t>
  </si>
  <si>
    <t xml:space="preserve">macaulay/flac/457850461.flac</t>
  </si>
  <si>
    <t xml:space="preserve">ML609056504</t>
  </si>
  <si>
    <t xml:space="preserve">macaulay/flac/609056504.flac</t>
  </si>
  <si>
    <t xml:space="preserve">ML609056550</t>
  </si>
  <si>
    <t xml:space="preserve">macaulay/flac/609056550.flac</t>
  </si>
  <si>
    <t xml:space="preserve">ML609056551</t>
  </si>
  <si>
    <t xml:space="preserve">macaulay/flac/609056551.flac</t>
  </si>
  <si>
    <t xml:space="preserve">ML610541255</t>
  </si>
  <si>
    <t xml:space="preserve">macaulay/flac/610541255.flac</t>
  </si>
  <si>
    <t xml:space="preserve">ML623071931</t>
  </si>
  <si>
    <t xml:space="preserve">macaulay/flac/623071931.flac</t>
  </si>
  <si>
    <t xml:space="preserve">ML623071932</t>
  </si>
  <si>
    <t xml:space="preserve">macaulay/flac/623071932.flac</t>
  </si>
  <si>
    <t xml:space="preserve">ML623072201</t>
  </si>
  <si>
    <t xml:space="preserve">macaulay/flac/623072201.flac</t>
  </si>
  <si>
    <t xml:space="preserve">ML628597323</t>
  </si>
  <si>
    <t xml:space="preserve">macaulay/flac/628597323.flac</t>
  </si>
  <si>
    <t xml:space="preserve">ML642419995</t>
  </si>
  <si>
    <t xml:space="preserve">macaulay/flac/642419995.flac</t>
  </si>
  <si>
    <t xml:space="preserve">ML648195982</t>
  </si>
  <si>
    <t xml:space="preserve">Pale-billed Woodpecker; Short-billed Pigeon</t>
  </si>
  <si>
    <t xml:space="preserve">macaulay/flac/648195982.flac</t>
  </si>
  <si>
    <t xml:space="preserve">ML648333840</t>
  </si>
  <si>
    <t xml:space="preserve">macaulay/flac/648333840.flac</t>
  </si>
  <si>
    <t xml:space="preserve">ML654600146</t>
  </si>
  <si>
    <t xml:space="preserve">macaulay/flac/654600146.flac</t>
  </si>
  <si>
    <t xml:space="preserve">ML658280835</t>
  </si>
  <si>
    <t xml:space="preserve">macaulay/flac/658280835.flac</t>
  </si>
  <si>
    <t xml:space="preserve">ML661734554</t>
  </si>
  <si>
    <t xml:space="preserve">macaulay/flac/661734554.flac</t>
  </si>
  <si>
    <t xml:space="preserve">XC331314</t>
  </si>
  <si>
    <t xml:space="preserve">data-prep/xc_flac/Cantorchilus_thoracicus/XC331314.flac</t>
  </si>
  <si>
    <t xml:space="preserve">call, people talking in background; Arenal Observatory Lodge, Fortuna, Costa Rica, 750 m</t>
  </si>
  <si>
    <t xml:space="preserve">XC331465</t>
  </si>
  <si>
    <t xml:space="preserve">data-prep/xc_flac/Cantorchilus_thoracicus/XC331465.flac</t>
  </si>
  <si>
    <t xml:space="preserve">ML623042233</t>
  </si>
  <si>
    <t xml:space="preserve">macaulay/flac/623042233.flac</t>
  </si>
  <si>
    <t xml:space="preserve">ML623042234</t>
  </si>
  <si>
    <t xml:space="preserve">macaulay/flac/623042234.flac</t>
  </si>
  <si>
    <t xml:space="preserve">ML623042235</t>
  </si>
  <si>
    <t xml:space="preserve">macaulay/flac/623042235.flac</t>
  </si>
  <si>
    <t xml:space="preserve">ML623042673</t>
  </si>
  <si>
    <t xml:space="preserve">macaulay/flac/623042673.flac</t>
  </si>
  <si>
    <t xml:space="preserve">ML628584444</t>
  </si>
  <si>
    <t xml:space="preserve">macaulay/flac/628584444.flac</t>
  </si>
  <si>
    <t xml:space="preserve">ML648568596</t>
  </si>
  <si>
    <t xml:space="preserve">macaulay/flac/648568596.flac</t>
  </si>
  <si>
    <t xml:space="preserve">ML660518406</t>
  </si>
  <si>
    <t xml:space="preserve">S303111167</t>
  </si>
  <si>
    <t xml:space="preserve">macaulay/flac/660518406.flac</t>
  </si>
  <si>
    <t xml:space="preserve">ML127771081</t>
  </si>
  <si>
    <t xml:space="preserve">macaulay/flac/127771081.flac</t>
  </si>
  <si>
    <t xml:space="preserve">ML72670</t>
  </si>
  <si>
    <t xml:space="preserve">macaulay/flac/72670.flac</t>
  </si>
  <si>
    <t xml:space="preserve">ML72671</t>
  </si>
  <si>
    <t xml:space="preserve">macaulay/flac/72671.flac</t>
  </si>
  <si>
    <t xml:space="preserve">ML72672</t>
  </si>
  <si>
    <t xml:space="preserve">macaulay/flac/72672.flac</t>
  </si>
  <si>
    <t xml:space="preserve">XC331328</t>
  </si>
  <si>
    <t xml:space="preserve">data-prep/xc_flac/Myiodynastes_luteiventris/XC331328.flac</t>
  </si>
  <si>
    <t xml:space="preserve">ML400101161</t>
  </si>
  <si>
    <t xml:space="preserve">macaulay/flac/400101161.flac</t>
  </si>
  <si>
    <t xml:space="preserve">ML470892891</t>
  </si>
  <si>
    <t xml:space="preserve">S49450943</t>
  </si>
  <si>
    <t xml:space="preserve">macaulay/flac/470892891.flac</t>
  </si>
  <si>
    <t xml:space="preserve">ML614020267</t>
  </si>
  <si>
    <t xml:space="preserve">macaulay/flac/614020267.flac</t>
  </si>
  <si>
    <t xml:space="preserve">ML150735761</t>
  </si>
  <si>
    <t xml:space="preserve">macaulay/flac/150735761.flac</t>
  </si>
  <si>
    <t xml:space="preserve">ML72461241</t>
  </si>
  <si>
    <t xml:space="preserve">S18542864</t>
  </si>
  <si>
    <t xml:space="preserve">"Chia" Cory Chiappone ⚡️</t>
  </si>
  <si>
    <t xml:space="preserve">macaulay/flac/72461241.flac</t>
  </si>
  <si>
    <t xml:space="preserve">ML72663</t>
  </si>
  <si>
    <t xml:space="preserve">macaulay/flac/72663.flac</t>
  </si>
  <si>
    <t xml:space="preserve">ML129750241</t>
  </si>
  <si>
    <t xml:space="preserve">S42590110</t>
  </si>
  <si>
    <t xml:space="preserve">macaulay/flac/129750241.flac</t>
  </si>
  <si>
    <t xml:space="preserve">ML209468</t>
  </si>
  <si>
    <t xml:space="preserve">05:13</t>
  </si>
  <si>
    <t xml:space="preserve">macaulay/flac/209468.flac</t>
  </si>
  <si>
    <t xml:space="preserve">ML609061862</t>
  </si>
  <si>
    <t xml:space="preserve">macaulay/flac/609061862.flac</t>
  </si>
  <si>
    <t xml:space="preserve">ML72646</t>
  </si>
  <si>
    <t xml:space="preserve">macaulay/flac/72646.flac</t>
  </si>
  <si>
    <t xml:space="preserve">ML72654</t>
  </si>
  <si>
    <t xml:space="preserve">macaulay/flac/72654.flac</t>
  </si>
  <si>
    <t xml:space="preserve">ML72669</t>
  </si>
  <si>
    <t xml:space="preserve">macaulay/flac/72669.flac</t>
  </si>
  <si>
    <t xml:space="preserve">ML74223</t>
  </si>
  <si>
    <t xml:space="preserve">David L. Ross, Jr.|1988-03-31</t>
  </si>
  <si>
    <t xml:space="preserve">macaulay/flac/74223.flac</t>
  </si>
  <si>
    <t xml:space="preserve">ML102482911</t>
  </si>
  <si>
    <t xml:space="preserve">macaulay/flac/102482911.flac</t>
  </si>
  <si>
    <t xml:space="preserve">ML285631</t>
  </si>
  <si>
    <t xml:space="preserve">macaulay/flac/285631.flac</t>
  </si>
  <si>
    <t xml:space="preserve">ML31389</t>
  </si>
  <si>
    <t xml:space="preserve">Barbara Spencer|1983-03-29</t>
  </si>
  <si>
    <t xml:space="preserve">macaulay/flac/31389.flac</t>
  </si>
  <si>
    <t xml:space="preserve">ML357415231</t>
  </si>
  <si>
    <t xml:space="preserve">S92419035</t>
  </si>
  <si>
    <t xml:space="preserve">macaulay/flac/357415231.flac</t>
  </si>
  <si>
    <t xml:space="preserve">ML39218</t>
  </si>
  <si>
    <t xml:space="preserve">Ted Parker|1983-03-28</t>
  </si>
  <si>
    <t xml:space="preserve">macaulay/flac/39218.flac</t>
  </si>
  <si>
    <t xml:space="preserve">ML39220</t>
  </si>
  <si>
    <t xml:space="preserve">macaulay/flac/39220.flac</t>
  </si>
  <si>
    <t xml:space="preserve">ML57483</t>
  </si>
  <si>
    <t xml:space="preserve">macaulay/flac/57483.flac</t>
  </si>
  <si>
    <t xml:space="preserve">ML79053</t>
  </si>
  <si>
    <t xml:space="preserve">macaulay/flac/79053.flac</t>
  </si>
  <si>
    <t xml:space="preserve">XC331355</t>
  </si>
  <si>
    <t xml:space="preserve">data-prep/xc_flac/Hylopezus_dives/XC331355.flac</t>
  </si>
  <si>
    <t xml:space="preserve">song; Arenal Observatory Lodge, Fortuna, Costa Rica, 750 m; Xeno-canto label Thicket Antpitta (Hylopezus dives)</t>
  </si>
  <si>
    <t xml:space="preserve">ML103122641</t>
  </si>
  <si>
    <t xml:space="preserve">macaulay/flac/103122641.flac</t>
  </si>
  <si>
    <t xml:space="preserve">ML185750</t>
  </si>
  <si>
    <t xml:space="preserve">09:50</t>
  </si>
  <si>
    <t xml:space="preserve">macaulay/flac/185750.flac</t>
  </si>
  <si>
    <t xml:space="preserve">ML215323</t>
  </si>
  <si>
    <t xml:space="preserve">06:31</t>
  </si>
  <si>
    <t xml:space="preserve">macaulay/flac/215323.flac</t>
  </si>
  <si>
    <t xml:space="preserve">ML241792461</t>
  </si>
  <si>
    <t xml:space="preserve">macaulay/flac/241792461.flac</t>
  </si>
  <si>
    <t xml:space="preserve">ML498000981</t>
  </si>
  <si>
    <t xml:space="preserve">macaulay/flac/498000981.flac</t>
  </si>
  <si>
    <t xml:space="preserve">ML533478751</t>
  </si>
  <si>
    <t xml:space="preserve">S127782301</t>
  </si>
  <si>
    <t xml:space="preserve">macaulay/flac/533478751.flac</t>
  </si>
  <si>
    <t xml:space="preserve">ML99566181</t>
  </si>
  <si>
    <t xml:space="preserve">macaulay/flac/99566181.flac</t>
  </si>
  <si>
    <t xml:space="preserve">XC331252</t>
  </si>
  <si>
    <t xml:space="preserve">data-prep/xc_flac/Procnias_tricarunculatus/XC331252.flac</t>
  </si>
  <si>
    <t xml:space="preserve">XC332147</t>
  </si>
  <si>
    <t xml:space="preserve">data-prep/xc_flac/Procnias_tricarunculatus/XC332147.flac</t>
  </si>
  <si>
    <t xml:space="preserve">XC332261</t>
  </si>
  <si>
    <t xml:space="preserve">data-prep/xc_flac/Procnias_tricarunculatus/XC332261.flac</t>
  </si>
  <si>
    <t xml:space="preserve">ML184196</t>
  </si>
  <si>
    <t xml:space="preserve">Striped Cuckoo; Yellow-crowned Euphonia; Common Tody-Flycatcher; Southern House Wren; Yellow-bellied Elaenia; Great Kiskadee; Black-striped Sparrow</t>
  </si>
  <si>
    <t xml:space="preserve">Curtis Marantz|1995-04-16</t>
  </si>
  <si>
    <t xml:space="preserve">06:22</t>
  </si>
  <si>
    <t xml:space="preserve">macaulay/flac/184196.flac</t>
  </si>
  <si>
    <t xml:space="preserve">ML98268241</t>
  </si>
  <si>
    <t xml:space="preserve">macaulay/flac/98268241.flac</t>
  </si>
  <si>
    <t xml:space="preserve">ML72666</t>
  </si>
  <si>
    <t xml:space="preserve">macaulay/flac/72666.flac</t>
  </si>
  <si>
    <t xml:space="preserve">ML152252481</t>
  </si>
  <si>
    <t xml:space="preserve">macaulay/flac/152252481.flac</t>
  </si>
  <si>
    <t xml:space="preserve">ML155578341</t>
  </si>
  <si>
    <t xml:space="preserve">macaulay/flac/155578341.flac</t>
  </si>
  <si>
    <t xml:space="preserve">ML179453241</t>
  </si>
  <si>
    <t xml:space="preserve">macaulay/flac/179453241.flac</t>
  </si>
  <si>
    <t xml:space="preserve">ML621760281</t>
  </si>
  <si>
    <t xml:space="preserve">macaulay/flac/621760281.flac</t>
  </si>
  <si>
    <t xml:space="preserve">group label: Variable Seedeater (Black)</t>
  </si>
  <si>
    <t xml:space="preserve">XC331354</t>
  </si>
  <si>
    <t xml:space="preserve">data-prep/xc_flac/Sporophila_corvina/XC331354.flac</t>
  </si>
  <si>
    <t xml:space="preserve">ML184783</t>
  </si>
  <si>
    <t xml:space="preserve">macaulay/flac/184783.flac</t>
  </si>
  <si>
    <t xml:space="preserve">group label: Wedge-billed Woodcreeper (pectoralis Group)</t>
  </si>
  <si>
    <t xml:space="preserve">ML215369</t>
  </si>
  <si>
    <t xml:space="preserve">07:36</t>
  </si>
  <si>
    <t xml:space="preserve">macaulay/flac/215369.flac</t>
  </si>
  <si>
    <t xml:space="preserve">ML215380</t>
  </si>
  <si>
    <t xml:space="preserve">17:29</t>
  </si>
  <si>
    <t xml:space="preserve">macaulay/flac/215380.flac</t>
  </si>
  <si>
    <t xml:space="preserve">ML28126</t>
  </si>
  <si>
    <t xml:space="preserve">macaulay/flac/28126.flac</t>
  </si>
  <si>
    <t xml:space="preserve">ML28151</t>
  </si>
  <si>
    <t xml:space="preserve">macaulay/flac/28151.flac</t>
  </si>
  <si>
    <t xml:space="preserve">ML289816671</t>
  </si>
  <si>
    <t xml:space="preserve">macaulay/flac/289816671.flac</t>
  </si>
  <si>
    <t xml:space="preserve">ML299624</t>
  </si>
  <si>
    <t xml:space="preserve">macaulay/flac/299624.flac</t>
  </si>
  <si>
    <t xml:space="preserve">ML57480</t>
  </si>
  <si>
    <t xml:space="preserve">macaulay/flac/57480.flac</t>
  </si>
  <si>
    <t xml:space="preserve">ML610572538</t>
  </si>
  <si>
    <t xml:space="preserve">macaulay/flac/610572538.flac</t>
  </si>
  <si>
    <t xml:space="preserve">ML611791513</t>
  </si>
  <si>
    <t xml:space="preserve">S155591673</t>
  </si>
  <si>
    <t xml:space="preserve">Laura Mae</t>
  </si>
  <si>
    <t xml:space="preserve">15:01</t>
  </si>
  <si>
    <t xml:space="preserve">macaulay/flac/611791513.flac</t>
  </si>
  <si>
    <t xml:space="preserve">ML630218418</t>
  </si>
  <si>
    <t xml:space="preserve">S207394673</t>
  </si>
  <si>
    <t xml:space="preserve">13:04</t>
  </si>
  <si>
    <t xml:space="preserve">macaulay/flac/630218418.flac</t>
  </si>
  <si>
    <t xml:space="preserve">ML631274965</t>
  </si>
  <si>
    <t xml:space="preserve">S214502133</t>
  </si>
  <si>
    <t xml:space="preserve">Lilian Saul</t>
  </si>
  <si>
    <t xml:space="preserve">macaulay/flac/631274965.flac</t>
  </si>
  <si>
    <t xml:space="preserve">ML643527280</t>
  </si>
  <si>
    <t xml:space="preserve">macaulay/flac/643527280.flac</t>
  </si>
  <si>
    <t xml:space="preserve">ML647448286</t>
  </si>
  <si>
    <t xml:space="preserve">macaulay/flac/647448286.flac</t>
  </si>
  <si>
    <t xml:space="preserve">ML648704611</t>
  </si>
  <si>
    <t xml:space="preserve">macaulay/flac/648704611.flac</t>
  </si>
  <si>
    <t xml:space="preserve">ML76632</t>
  </si>
  <si>
    <t xml:space="preserve">macaulay/flac/76632.flac</t>
  </si>
  <si>
    <t xml:space="preserve">ML100769661</t>
  </si>
  <si>
    <t xml:space="preserve">macaulay/flac/100769661.flac</t>
  </si>
  <si>
    <t xml:space="preserve">ML100770321</t>
  </si>
  <si>
    <t xml:space="preserve">macaulay/flac/100770321.flac</t>
  </si>
  <si>
    <t xml:space="preserve">ML101754261</t>
  </si>
  <si>
    <t xml:space="preserve">macaulay/flac/101754261.flac</t>
  </si>
  <si>
    <t xml:space="preserve">ML101754631</t>
  </si>
  <si>
    <t xml:space="preserve">macaulay/flac/101754631.flac</t>
  </si>
  <si>
    <t xml:space="preserve">ML101754851</t>
  </si>
  <si>
    <t xml:space="preserve">macaulay/flac/101754851.flac</t>
  </si>
  <si>
    <t xml:space="preserve">ML102739831</t>
  </si>
  <si>
    <t xml:space="preserve">macaulay/flac/102739831.flac</t>
  </si>
  <si>
    <t xml:space="preserve">ML102866821</t>
  </si>
  <si>
    <t xml:space="preserve">macaulay/flac/102866821.flac</t>
  </si>
  <si>
    <t xml:space="preserve">ML102867221</t>
  </si>
  <si>
    <t xml:space="preserve">macaulay/flac/102867221.flac</t>
  </si>
  <si>
    <t xml:space="preserve">ML103064421</t>
  </si>
  <si>
    <t xml:space="preserve">macaulay/flac/103064421.flac</t>
  </si>
  <si>
    <t xml:space="preserve">ML103064611</t>
  </si>
  <si>
    <t xml:space="preserve">macaulay/flac/103064611.flac</t>
  </si>
  <si>
    <t xml:space="preserve">ML103124851</t>
  </si>
  <si>
    <t xml:space="preserve">macaulay/flac/103124851.flac</t>
  </si>
  <si>
    <t xml:space="preserve">ML103126501</t>
  </si>
  <si>
    <t xml:space="preserve">macaulay/flac/103126501.flac</t>
  </si>
  <si>
    <t xml:space="preserve">ML129887981</t>
  </si>
  <si>
    <t xml:space="preserve">macaulay/flac/129887981.flac</t>
  </si>
  <si>
    <t xml:space="preserve">ML143857241</t>
  </si>
  <si>
    <t xml:space="preserve">macaulay/flac/143857241.flac</t>
  </si>
  <si>
    <t xml:space="preserve">ML143858561</t>
  </si>
  <si>
    <t xml:space="preserve">macaulay/flac/143858561.flac</t>
  </si>
  <si>
    <t xml:space="preserve">ML144155361</t>
  </si>
  <si>
    <t xml:space="preserve">macaulay/flac/144155361.flac</t>
  </si>
  <si>
    <t xml:space="preserve">ML147720201</t>
  </si>
  <si>
    <t xml:space="preserve">macaulay/flac/147720201.flac</t>
  </si>
  <si>
    <t xml:space="preserve">ML148041581</t>
  </si>
  <si>
    <t xml:space="preserve">macaulay/flac/148041581.flac</t>
  </si>
  <si>
    <t xml:space="preserve">ML184781</t>
  </si>
  <si>
    <t xml:space="preserve">07:26</t>
  </si>
  <si>
    <t xml:space="preserve">macaulay/flac/184781.flac</t>
  </si>
  <si>
    <t xml:space="preserve">group label: White-breasted Wood-Wren (Cherrie's)</t>
  </si>
  <si>
    <t xml:space="preserve">ML185737</t>
  </si>
  <si>
    <t xml:space="preserve">macaulay/flac/185737.flac</t>
  </si>
  <si>
    <t xml:space="preserve">ML215365</t>
  </si>
  <si>
    <t xml:space="preserve">macaulay/flac/215365.flac</t>
  </si>
  <si>
    <t xml:space="preserve">ML215392</t>
  </si>
  <si>
    <t xml:space="preserve">08:31</t>
  </si>
  <si>
    <t xml:space="preserve">macaulay/flac/215392.flac</t>
  </si>
  <si>
    <t xml:space="preserve">ML215410</t>
  </si>
  <si>
    <t xml:space="preserve">macaulay/flac/215410.flac</t>
  </si>
  <si>
    <t xml:space="preserve">ML215417</t>
  </si>
  <si>
    <t xml:space="preserve">macaulay/flac/215417.flac</t>
  </si>
  <si>
    <t xml:space="preserve">ML215437</t>
  </si>
  <si>
    <t xml:space="preserve">macaulay/flac/215437.flac</t>
  </si>
  <si>
    <t xml:space="preserve">ML215440</t>
  </si>
  <si>
    <t xml:space="preserve">macaulay/flac/215440.flac</t>
  </si>
  <si>
    <t xml:space="preserve">ML246391841</t>
  </si>
  <si>
    <t xml:space="preserve">macaulay/flac/246391841.flac</t>
  </si>
  <si>
    <t xml:space="preserve">ML246604431</t>
  </si>
  <si>
    <t xml:space="preserve">macaulay/flac/246604431.flac</t>
  </si>
  <si>
    <t xml:space="preserve">ML267832611</t>
  </si>
  <si>
    <t xml:space="preserve">macaulay/flac/267832611.flac</t>
  </si>
  <si>
    <t xml:space="preserve">ML285623</t>
  </si>
  <si>
    <t xml:space="preserve">macaulay/flac/285623.flac</t>
  </si>
  <si>
    <t xml:space="preserve">ML299577</t>
  </si>
  <si>
    <t xml:space="preserve">macaulay/flac/299577.flac</t>
  </si>
  <si>
    <t xml:space="preserve">ML299585</t>
  </si>
  <si>
    <t xml:space="preserve">macaulay/flac/299585.flac</t>
  </si>
  <si>
    <t xml:space="preserve">ML336561601</t>
  </si>
  <si>
    <t xml:space="preserve">macaulay/flac/336561601.flac</t>
  </si>
  <si>
    <t xml:space="preserve">ML39222</t>
  </si>
  <si>
    <t xml:space="preserve">macaulay/flac/39222.flac</t>
  </si>
  <si>
    <t xml:space="preserve">ML395893711</t>
  </si>
  <si>
    <t xml:space="preserve">S63883620</t>
  </si>
  <si>
    <t xml:space="preserve">Doug Hitchcox</t>
  </si>
  <si>
    <t xml:space="preserve">macaulay/flac/395893711.flac</t>
  </si>
  <si>
    <t xml:space="preserve">ML413664931</t>
  </si>
  <si>
    <t xml:space="preserve">macaulay/flac/413664931.flac</t>
  </si>
  <si>
    <t xml:space="preserve">ML417108531</t>
  </si>
  <si>
    <t xml:space="preserve">S102613256</t>
  </si>
  <si>
    <t xml:space="preserve">12:48</t>
  </si>
  <si>
    <t xml:space="preserve">macaulay/flac/417108531.flac</t>
  </si>
  <si>
    <t xml:space="preserve">ML455550661</t>
  </si>
  <si>
    <t xml:space="preserve">S110675397</t>
  </si>
  <si>
    <t xml:space="preserve">macaulay/flac/455550661.flac</t>
  </si>
  <si>
    <t xml:space="preserve">ML498004951</t>
  </si>
  <si>
    <t xml:space="preserve">macaulay/flac/498004951.flac</t>
  </si>
  <si>
    <t xml:space="preserve">ML510042481</t>
  </si>
  <si>
    <t xml:space="preserve">S123327961</t>
  </si>
  <si>
    <t xml:space="preserve">macaulay/flac/510042481.flac</t>
  </si>
  <si>
    <t xml:space="preserve">ML51710</t>
  </si>
  <si>
    <t xml:space="preserve">macaulay/flac/51710.flac</t>
  </si>
  <si>
    <t xml:space="preserve">ML531101711</t>
  </si>
  <si>
    <t xml:space="preserve">macaulay/flac/531101711.flac</t>
  </si>
  <si>
    <t xml:space="preserve">ML531227981</t>
  </si>
  <si>
    <t xml:space="preserve">macaulay/flac/531227981.flac</t>
  </si>
  <si>
    <t xml:space="preserve">ML531228461</t>
  </si>
  <si>
    <t xml:space="preserve">macaulay/flac/531228461.flac</t>
  </si>
  <si>
    <t xml:space="preserve">ML539532201</t>
  </si>
  <si>
    <t xml:space="preserve">macaulay/flac/539532201.flac</t>
  </si>
  <si>
    <t xml:space="preserve">ML543401011</t>
  </si>
  <si>
    <t xml:space="preserve">macaulay/flac/543401011.flac</t>
  </si>
  <si>
    <t xml:space="preserve">ML581262521</t>
  </si>
  <si>
    <t xml:space="preserve">S129264446</t>
  </si>
  <si>
    <t xml:space="preserve">Hannah Willis</t>
  </si>
  <si>
    <t xml:space="preserve">macaulay/flac/581262521.flac</t>
  </si>
  <si>
    <t xml:space="preserve">ML597933411</t>
  </si>
  <si>
    <t xml:space="preserve">macaulay/flac/597933411.flac</t>
  </si>
  <si>
    <t xml:space="preserve">ML597934601</t>
  </si>
  <si>
    <t xml:space="preserve">macaulay/flac/597934601.flac</t>
  </si>
  <si>
    <t xml:space="preserve">ML610296912</t>
  </si>
  <si>
    <t xml:space="preserve">S152925203</t>
  </si>
  <si>
    <t xml:space="preserve">macaulay/flac/610296912.flac</t>
  </si>
  <si>
    <t xml:space="preserve">ML610542479</t>
  </si>
  <si>
    <t xml:space="preserve">macaulay/flac/610542479.flac</t>
  </si>
  <si>
    <t xml:space="preserve">ML610542485</t>
  </si>
  <si>
    <t xml:space="preserve">macaulay/flac/610542485.flac</t>
  </si>
  <si>
    <t xml:space="preserve">ML610542490</t>
  </si>
  <si>
    <t xml:space="preserve">macaulay/flac/610542490.flac</t>
  </si>
  <si>
    <t xml:space="preserve">ML610571980</t>
  </si>
  <si>
    <t xml:space="preserve">macaulay/flac/610571980.flac</t>
  </si>
  <si>
    <t xml:space="preserve">ML610571982</t>
  </si>
  <si>
    <t xml:space="preserve">macaulay/flac/610571982.flac</t>
  </si>
  <si>
    <t xml:space="preserve">ML613170990</t>
  </si>
  <si>
    <t xml:space="preserve">macaulay/flac/613170990.flac</t>
  </si>
  <si>
    <t xml:space="preserve">ML613430602</t>
  </si>
  <si>
    <t xml:space="preserve">macaulay/flac/613430602.flac</t>
  </si>
  <si>
    <t xml:space="preserve">ML614020236</t>
  </si>
  <si>
    <t xml:space="preserve">macaulay/flac/614020236.flac</t>
  </si>
  <si>
    <t xml:space="preserve">ML614113347</t>
  </si>
  <si>
    <t xml:space="preserve">S108322144</t>
  </si>
  <si>
    <t xml:space="preserve">macaulay/flac/614113347.flac</t>
  </si>
  <si>
    <t xml:space="preserve">ML614213367</t>
  </si>
  <si>
    <t xml:space="preserve">macaulay/flac/614213367.flac</t>
  </si>
  <si>
    <t xml:space="preserve">ML615005387</t>
  </si>
  <si>
    <t xml:space="preserve">macaulay/flac/615005387.flac</t>
  </si>
  <si>
    <t xml:space="preserve">ML615222681</t>
  </si>
  <si>
    <t xml:space="preserve">macaulay/flac/615222681.flac</t>
  </si>
  <si>
    <t xml:space="preserve">ML628653636</t>
  </si>
  <si>
    <t xml:space="preserve">macaulay/flac/628653636.flac</t>
  </si>
  <si>
    <t xml:space="preserve">ML630997873</t>
  </si>
  <si>
    <t xml:space="preserve">macaulay/flac/630997873.flac</t>
  </si>
  <si>
    <t xml:space="preserve">ML638950925</t>
  </si>
  <si>
    <t xml:space="preserve">macaulay/flac/638950925.flac</t>
  </si>
  <si>
    <t xml:space="preserve">ML639171006</t>
  </si>
  <si>
    <t xml:space="preserve">Lesser Greenlet; Dusky-capped Flycatcher</t>
  </si>
  <si>
    <t xml:space="preserve">macaulay/flac/639171006.flac</t>
  </si>
  <si>
    <t xml:space="preserve">ML643526854</t>
  </si>
  <si>
    <t xml:space="preserve">macaulay/flac/643526854.flac</t>
  </si>
  <si>
    <t xml:space="preserve">ML643527088</t>
  </si>
  <si>
    <t xml:space="preserve">macaulay/flac/643527088.flac</t>
  </si>
  <si>
    <t xml:space="preserve">ML647571158</t>
  </si>
  <si>
    <t xml:space="preserve">macaulay/flac/647571158.flac</t>
  </si>
  <si>
    <t xml:space="preserve">ML652408361</t>
  </si>
  <si>
    <t xml:space="preserve">S300742976</t>
  </si>
  <si>
    <t xml:space="preserve">Matt Toenies</t>
  </si>
  <si>
    <t xml:space="preserve">06:17</t>
  </si>
  <si>
    <t xml:space="preserve">macaulay/flac/652408361.flac</t>
  </si>
  <si>
    <t xml:space="preserve">ML654657478</t>
  </si>
  <si>
    <t xml:space="preserve">macaulay/flac/654657478.flac</t>
  </si>
  <si>
    <t xml:space="preserve">ML72612</t>
  </si>
  <si>
    <t xml:space="preserve">macaulay/flac/72612.flac</t>
  </si>
  <si>
    <t xml:space="preserve">ML72674</t>
  </si>
  <si>
    <t xml:space="preserve">macaulay/flac/72674.flac</t>
  </si>
  <si>
    <t xml:space="preserve">ML74199</t>
  </si>
  <si>
    <t xml:space="preserve">macaulay/flac/74199.flac</t>
  </si>
  <si>
    <t xml:space="preserve">ML97068861</t>
  </si>
  <si>
    <t xml:space="preserve">macaulay/flac/97068861.flac</t>
  </si>
  <si>
    <t xml:space="preserve">ML97862591</t>
  </si>
  <si>
    <t xml:space="preserve">macaulay/flac/97862591.flac</t>
  </si>
  <si>
    <t xml:space="preserve">ML97864181</t>
  </si>
  <si>
    <t xml:space="preserve">macaulay/flac/97864181.flac</t>
  </si>
  <si>
    <t xml:space="preserve">ML97865161</t>
  </si>
  <si>
    <t xml:space="preserve">macaulay/flac/97865161.flac</t>
  </si>
  <si>
    <t xml:space="preserve">ML97879171</t>
  </si>
  <si>
    <t xml:space="preserve">macaulay/flac/97879171.flac</t>
  </si>
  <si>
    <t xml:space="preserve">ML98486821</t>
  </si>
  <si>
    <t xml:space="preserve">macaulay/flac/98486821.flac</t>
  </si>
  <si>
    <t xml:space="preserve">ML98488531</t>
  </si>
  <si>
    <t xml:space="preserve">macaulay/flac/98488531.flac</t>
  </si>
  <si>
    <t xml:space="preserve">ML597933981</t>
  </si>
  <si>
    <t xml:space="preserve">macaulay/flac/597933981.flac</t>
  </si>
  <si>
    <t xml:space="preserve">ML185739</t>
  </si>
  <si>
    <t xml:space="preserve">macaulay/flac/185739.flac</t>
  </si>
  <si>
    <t xml:space="preserve">ML185751</t>
  </si>
  <si>
    <t xml:space="preserve">macaulay/flac/185751.flac</t>
  </si>
  <si>
    <t xml:space="preserve">ML193419801</t>
  </si>
  <si>
    <t xml:space="preserve">macaulay/flac/193419801.flac</t>
  </si>
  <si>
    <t xml:space="preserve">ML193422911</t>
  </si>
  <si>
    <t xml:space="preserve">macaulay/flac/193422911.flac</t>
  </si>
  <si>
    <t xml:space="preserve">ML28159</t>
  </si>
  <si>
    <t xml:space="preserve">Short-billed Pigeon; Northern Bentbill; Montezuma Oropendola</t>
  </si>
  <si>
    <t xml:space="preserve">macaulay/flac/28159.flac</t>
  </si>
  <si>
    <t xml:space="preserve">ML285622</t>
  </si>
  <si>
    <t xml:space="preserve">macaulay/flac/285622.flac</t>
  </si>
  <si>
    <t xml:space="preserve">ML39232</t>
  </si>
  <si>
    <t xml:space="preserve">macaulay/flac/39232.flac</t>
  </si>
  <si>
    <t xml:space="preserve">ML451633031</t>
  </si>
  <si>
    <t xml:space="preserve">macaulay/flac/451633031.flac</t>
  </si>
  <si>
    <t xml:space="preserve">ML465851601</t>
  </si>
  <si>
    <t xml:space="preserve">macaulay/flac/465851601.flac</t>
  </si>
  <si>
    <t xml:space="preserve">ML467900581</t>
  </si>
  <si>
    <t xml:space="preserve">S114231233</t>
  </si>
  <si>
    <t xml:space="preserve">Jack Noble</t>
  </si>
  <si>
    <t xml:space="preserve">macaulay/flac/467900581.flac</t>
  </si>
  <si>
    <t xml:space="preserve">ML531098791</t>
  </si>
  <si>
    <t xml:space="preserve">macaulay/flac/531098791.flac</t>
  </si>
  <si>
    <t xml:space="preserve">ML531226441</t>
  </si>
  <si>
    <t xml:space="preserve">macaulay/flac/531226441.flac</t>
  </si>
  <si>
    <t xml:space="preserve">ML531226451</t>
  </si>
  <si>
    <t xml:space="preserve">macaulay/flac/531226451.flac</t>
  </si>
  <si>
    <t xml:space="preserve">ML531226461</t>
  </si>
  <si>
    <t xml:space="preserve">macaulay/flac/531226461.flac</t>
  </si>
  <si>
    <t xml:space="preserve">ML543645951</t>
  </si>
  <si>
    <t xml:space="preserve">macaulay/flac/543645951.flac</t>
  </si>
  <si>
    <t xml:space="preserve">ML553696811</t>
  </si>
  <si>
    <t xml:space="preserve">macaulay/flac/553696811.flac</t>
  </si>
  <si>
    <t xml:space="preserve">ML609056562</t>
  </si>
  <si>
    <t xml:space="preserve">macaulay/flac/609056562.flac</t>
  </si>
  <si>
    <t xml:space="preserve">ML612553623</t>
  </si>
  <si>
    <t xml:space="preserve">macaulay/flac/612553623.flac</t>
  </si>
  <si>
    <t xml:space="preserve">ML614019801</t>
  </si>
  <si>
    <t xml:space="preserve">macaulay/flac/614019801.flac</t>
  </si>
  <si>
    <t xml:space="preserve">ML614019824</t>
  </si>
  <si>
    <t xml:space="preserve">macaulay/flac/614019824.flac</t>
  </si>
  <si>
    <t xml:space="preserve">ML614377553</t>
  </si>
  <si>
    <t xml:space="preserve">Social Flycatcher; Gray-capped Flycatcher; Short-billed Pigeon</t>
  </si>
  <si>
    <t xml:space="preserve">macaulay/flac/614377553.flac</t>
  </si>
  <si>
    <t xml:space="preserve">ML626929950</t>
  </si>
  <si>
    <t xml:space="preserve">macaulay/flac/626929950.flac</t>
  </si>
  <si>
    <t xml:space="preserve">ML639219062</t>
  </si>
  <si>
    <t xml:space="preserve">macaulay/flac/639219062.flac</t>
  </si>
  <si>
    <t xml:space="preserve">ML647489688</t>
  </si>
  <si>
    <t xml:space="preserve">macaulay/flac/647489688.flac</t>
  </si>
  <si>
    <t xml:space="preserve">ML648194924</t>
  </si>
  <si>
    <t xml:space="preserve">macaulay/flac/648194924.flac</t>
  </si>
  <si>
    <t xml:space="preserve">ML648832637</t>
  </si>
  <si>
    <t xml:space="preserve">Scarlet-rumped Tanager; Common Tody-Flycatcher; Rufous-tailed Hummingbird; Social Flycatcher; Bananaquit</t>
  </si>
  <si>
    <t xml:space="preserve">macaulay/flac/648832637.flac</t>
  </si>
  <si>
    <t xml:space="preserve">ML651258024</t>
  </si>
  <si>
    <t xml:space="preserve">macaulay/flac/651258024.flac</t>
  </si>
  <si>
    <t xml:space="preserve">ML662832002</t>
  </si>
  <si>
    <t xml:space="preserve">macaulay/flac/662832002.flac</t>
  </si>
  <si>
    <t xml:space="preserve">ML72655</t>
  </si>
  <si>
    <t xml:space="preserve">macaulay/flac/72655.flac</t>
  </si>
  <si>
    <t xml:space="preserve">ML99575841</t>
  </si>
  <si>
    <t xml:space="preserve">macaulay/flac/99575841.flac</t>
  </si>
  <si>
    <t xml:space="preserve">ML597934721</t>
  </si>
  <si>
    <t xml:space="preserve">macaulay/flac/597934721.flac</t>
  </si>
  <si>
    <t xml:space="preserve">ML609056545</t>
  </si>
  <si>
    <t xml:space="preserve">macaulay/flac/609056545.flac</t>
  </si>
  <si>
    <t xml:space="preserve">ML609061872</t>
  </si>
  <si>
    <t xml:space="preserve">macaulay/flac/609061872.flac</t>
  </si>
  <si>
    <t xml:space="preserve">ML623072511</t>
  </si>
  <si>
    <t xml:space="preserve">macaulay/flac/623072511.flac</t>
  </si>
  <si>
    <t xml:space="preserve">ML647448257</t>
  </si>
  <si>
    <t xml:space="preserve">macaulay/flac/647448257.flac</t>
  </si>
  <si>
    <t xml:space="preserve">ML647482695</t>
  </si>
  <si>
    <t xml:space="preserve">macaulay/flac/647482695.flac</t>
  </si>
  <si>
    <t xml:space="preserve">ML647571211</t>
  </si>
  <si>
    <t xml:space="preserve">macaulay/flac/647571211.flac</t>
  </si>
  <si>
    <t xml:space="preserve">ML652036536</t>
  </si>
  <si>
    <t xml:space="preserve">macaulay/flac/652036536.flac</t>
  </si>
  <si>
    <t xml:space="preserve">ML39242</t>
  </si>
  <si>
    <t xml:space="preserve">macaulay/flac/39242.flac</t>
  </si>
  <si>
    <t xml:space="preserve">group label: White-flanked Antwren (Black-backed)</t>
  </si>
  <si>
    <t xml:space="preserve">ML617546443</t>
  </si>
  <si>
    <t xml:space="preserve">Short-billed Pigeon; Chestnut-backed Antbird; Lesser Greenlet</t>
  </si>
  <si>
    <t xml:space="preserve">macaulay/flac/617546443.flac</t>
  </si>
  <si>
    <t xml:space="preserve">ML193405701</t>
  </si>
  <si>
    <t xml:space="preserve">macaulay/flac/193405701.flac</t>
  </si>
  <si>
    <t xml:space="preserve">ML209485</t>
  </si>
  <si>
    <t xml:space="preserve">15:38</t>
  </si>
  <si>
    <t xml:space="preserve">macaulay/flac/209485.flac</t>
  </si>
  <si>
    <t xml:space="preserve">group label: White-fronted Nunbird (Costa Rican)</t>
  </si>
  <si>
    <t xml:space="preserve">ML215395</t>
  </si>
  <si>
    <t xml:space="preserve">Rufous Piha; Rufous Mourner</t>
  </si>
  <si>
    <t xml:space="preserve">macaulay/flac/215395.flac</t>
  </si>
  <si>
    <t xml:space="preserve">ML215399</t>
  </si>
  <si>
    <t xml:space="preserve">macaulay/flac/215399.flac</t>
  </si>
  <si>
    <t xml:space="preserve">ML297140311</t>
  </si>
  <si>
    <t xml:space="preserve">macaulay/flac/297140311.flac</t>
  </si>
  <si>
    <t xml:space="preserve">ML654444560</t>
  </si>
  <si>
    <t xml:space="preserve">macaulay/flac/654444560.flac</t>
  </si>
  <si>
    <t xml:space="preserve">ML661327867</t>
  </si>
  <si>
    <t xml:space="preserve">S372104830</t>
  </si>
  <si>
    <t xml:space="preserve">macaulay/flac/661327867.flac</t>
  </si>
  <si>
    <t xml:space="preserve">ML6708</t>
  </si>
  <si>
    <t xml:space="preserve">Short-billed Pigeon; Keel-billed Toucan</t>
  </si>
  <si>
    <t xml:space="preserve">macaulay/flac/6708.flac</t>
  </si>
  <si>
    <t xml:space="preserve">ML127961791</t>
  </si>
  <si>
    <t xml:space="preserve">macaulay/flac/127961791.flac</t>
  </si>
  <si>
    <t xml:space="preserve">ML184789</t>
  </si>
  <si>
    <t xml:space="preserve">10:14</t>
  </si>
  <si>
    <t xml:space="preserve">macaulay/flac/184789.flac</t>
  </si>
  <si>
    <t xml:space="preserve">ML249430</t>
  </si>
  <si>
    <t xml:space="preserve">macaulay/flac/249430.flac</t>
  </si>
  <si>
    <t xml:space="preserve">ML249431</t>
  </si>
  <si>
    <t xml:space="preserve">macaulay/flac/249431.flac</t>
  </si>
  <si>
    <t xml:space="preserve">ML28130</t>
  </si>
  <si>
    <t xml:space="preserve">macaulay/flac/28130.flac</t>
  </si>
  <si>
    <t xml:space="preserve">ML299637</t>
  </si>
  <si>
    <t xml:space="preserve">macaulay/flac/299637.flac</t>
  </si>
  <si>
    <t xml:space="preserve">ML299662</t>
  </si>
  <si>
    <t xml:space="preserve">macaulay/flac/299662.flac</t>
  </si>
  <si>
    <t xml:space="preserve">ML32601091</t>
  </si>
  <si>
    <t xml:space="preserve">S30324684</t>
  </si>
  <si>
    <t xml:space="preserve">macaulay/flac/32601091.flac</t>
  </si>
  <si>
    <t xml:space="preserve">ML338506041</t>
  </si>
  <si>
    <t xml:space="preserve">macaulay/flac/338506041.flac</t>
  </si>
  <si>
    <t xml:space="preserve">ML57465</t>
  </si>
  <si>
    <t xml:space="preserve">macaulay/flac/57465.flac</t>
  </si>
  <si>
    <t xml:space="preserve">ML654470058</t>
  </si>
  <si>
    <t xml:space="preserve">S311189786</t>
  </si>
  <si>
    <t xml:space="preserve">macaulay/flac/654470058.flac</t>
  </si>
  <si>
    <t xml:space="preserve">ML654509733</t>
  </si>
  <si>
    <t xml:space="preserve">macaulay/flac/654509733.flac</t>
  </si>
  <si>
    <t xml:space="preserve">ML642914863</t>
  </si>
  <si>
    <t xml:space="preserve">macaulay/flac/642914863.flac</t>
  </si>
  <si>
    <t xml:space="preserve">ML647489671</t>
  </si>
  <si>
    <t xml:space="preserve">macaulay/flac/647489671.flac</t>
  </si>
  <si>
    <t xml:space="preserve">ML648568380</t>
  </si>
  <si>
    <t xml:space="preserve">S292651618</t>
  </si>
  <si>
    <t xml:space="preserve">macaulay/flac/648568380.flac</t>
  </si>
  <si>
    <t xml:space="preserve">ML663479315</t>
  </si>
  <si>
    <t xml:space="preserve">S311152723</t>
  </si>
  <si>
    <t xml:space="preserve">08:18</t>
  </si>
  <si>
    <t xml:space="preserve">macaulay/flac/663479315.flac</t>
  </si>
  <si>
    <t xml:space="preserve">ML663479316</t>
  </si>
  <si>
    <t xml:space="preserve">macaulay/flac/663479316.flac</t>
  </si>
  <si>
    <t xml:space="preserve">ML152037451</t>
  </si>
  <si>
    <t xml:space="preserve">macaulay/flac/152037451.flac</t>
  </si>
  <si>
    <t xml:space="preserve">ML215325</t>
  </si>
  <si>
    <t xml:space="preserve">macaulay/flac/215325.flac</t>
  </si>
  <si>
    <t xml:space="preserve">group label: White-throated Crake (Gray-faced)</t>
  </si>
  <si>
    <t xml:space="preserve">ML215327</t>
  </si>
  <si>
    <t xml:space="preserve">macaulay/flac/215327.flac</t>
  </si>
  <si>
    <t xml:space="preserve">ML249421</t>
  </si>
  <si>
    <t xml:space="preserve">macaulay/flac/249421.flac</t>
  </si>
  <si>
    <t xml:space="preserve">group label: White-throated Crake (Rufous-faced)</t>
  </si>
  <si>
    <t xml:space="preserve">ML249424</t>
  </si>
  <si>
    <t xml:space="preserve">macaulay/flac/249424.flac</t>
  </si>
  <si>
    <t xml:space="preserve">ML31396</t>
  </si>
  <si>
    <t xml:space="preserve">macaulay/flac/31396.flac</t>
  </si>
  <si>
    <t xml:space="preserve">ML72633</t>
  </si>
  <si>
    <t xml:space="preserve">macaulay/flac/72633.flac</t>
  </si>
  <si>
    <t xml:space="preserve">XC332138</t>
  </si>
  <si>
    <t xml:space="preserve">data-prep/xc_flac/Calocitta_formosa/XC332138.flac</t>
  </si>
  <si>
    <t xml:space="preserve">call; Hotel Castillo del Arenal, El Castillo, 600 m; Xeno-canto label White-throated Magpie-Jay (Calocitta formosa)</t>
  </si>
  <si>
    <t xml:space="preserve">XC332506</t>
  </si>
  <si>
    <t xml:space="preserve">data-prep/xc_flac/Platyrinchus_mystaceus/XC332506.flac</t>
  </si>
  <si>
    <t xml:space="preserve">XC332575</t>
  </si>
  <si>
    <t xml:space="preserve">data-prep/xc_flac/Turdus_assimilis/XC332575.flac</t>
  </si>
  <si>
    <t xml:space="preserve">ML639219060</t>
  </si>
  <si>
    <t xml:space="preserve">macaulay/flac/639219060.flac</t>
  </si>
  <si>
    <t xml:space="preserve">ML631662854</t>
  </si>
  <si>
    <t xml:space="preserve">macaulay/flac/631662854.flac</t>
  </si>
  <si>
    <t xml:space="preserve">ML654603931</t>
  </si>
  <si>
    <t xml:space="preserve">macaulay/flac/654603931.flac</t>
  </si>
  <si>
    <t xml:space="preserve">ML656695342</t>
  </si>
  <si>
    <t xml:space="preserve">S325031042</t>
  </si>
  <si>
    <t xml:space="preserve">macaulay/flac/656695342.flac</t>
  </si>
  <si>
    <t xml:space="preserve">ML656695494</t>
  </si>
  <si>
    <t xml:space="preserve">macaulay/flac/656695494.flac</t>
  </si>
  <si>
    <t xml:space="preserve">ML92290261</t>
  </si>
  <si>
    <t xml:space="preserve">S43958482</t>
  </si>
  <si>
    <t xml:space="preserve">15:19</t>
  </si>
  <si>
    <t xml:space="preserve">macaulay/flac/92290261.flac</t>
  </si>
  <si>
    <t xml:space="preserve">ML72648</t>
  </si>
  <si>
    <t xml:space="preserve">07:52</t>
  </si>
  <si>
    <t xml:space="preserve">macaulay/flac/72648.flac</t>
  </si>
  <si>
    <t xml:space="preserve">ML193406801</t>
  </si>
  <si>
    <t xml:space="preserve">macaulay/flac/193406801.flac</t>
  </si>
  <si>
    <t xml:space="preserve">ML299620</t>
  </si>
  <si>
    <t xml:space="preserve">macaulay/flac/299620.flac</t>
  </si>
  <si>
    <t xml:space="preserve">ML539536641</t>
  </si>
  <si>
    <t xml:space="preserve">macaulay/flac/539536641.flac</t>
  </si>
  <si>
    <t xml:space="preserve">ML597713311</t>
  </si>
  <si>
    <t xml:space="preserve">macaulay/flac/597713311.flac</t>
  </si>
  <si>
    <t xml:space="preserve">ML621759623</t>
  </si>
  <si>
    <t xml:space="preserve">macaulay/flac/621759623.flac</t>
  </si>
  <si>
    <t xml:space="preserve">ML647483796</t>
  </si>
  <si>
    <t xml:space="preserve">macaulay/flac/647483796.flac</t>
  </si>
  <si>
    <t xml:space="preserve">ML647483835</t>
  </si>
  <si>
    <t xml:space="preserve">macaulay/flac/647483835.flac</t>
  </si>
  <si>
    <t xml:space="preserve">ML647489013</t>
  </si>
  <si>
    <t xml:space="preserve">macaulay/flac/647489013.flac</t>
  </si>
  <si>
    <t xml:space="preserve">ML157035341</t>
  </si>
  <si>
    <t xml:space="preserve">macaulay/flac/157035341.flac</t>
  </si>
  <si>
    <t xml:space="preserve">ML57464</t>
  </si>
  <si>
    <t xml:space="preserve">David L. Ross, Jr.|1991-02-02</t>
  </si>
  <si>
    <t xml:space="preserve">macaulay/flac/57464.flac</t>
  </si>
  <si>
    <t xml:space="preserve">ML155580631</t>
  </si>
  <si>
    <t xml:space="preserve">macaulay/flac/155580631.flac</t>
  </si>
  <si>
    <t xml:space="preserve">ML609061873</t>
  </si>
  <si>
    <t xml:space="preserve">macaulay/flac/609061873.flac</t>
  </si>
  <si>
    <t xml:space="preserve">ML74197</t>
  </si>
  <si>
    <t xml:space="preserve">09:07</t>
  </si>
  <si>
    <t xml:space="preserve">macaulay/flac/74197.flac</t>
  </si>
  <si>
    <t xml:space="preserve">ML209479</t>
  </si>
  <si>
    <t xml:space="preserve">05:11</t>
  </si>
  <si>
    <t xml:space="preserve">macaulay/flac/209479.flac</t>
  </si>
  <si>
    <t xml:space="preserve">group label: Yellow-billed Cacique (Prevost's)</t>
  </si>
  <si>
    <t xml:space="preserve">ML72605</t>
  </si>
  <si>
    <t xml:space="preserve">macaulay/flac/72605.flac</t>
  </si>
  <si>
    <t xml:space="preserve">ML76603</t>
  </si>
  <si>
    <t xml:space="preserve">macaulay/flac/76603.flac</t>
  </si>
  <si>
    <t xml:space="preserve">ML470124441</t>
  </si>
  <si>
    <t xml:space="preserve">macaulay/flac/470124441.flac</t>
  </si>
  <si>
    <t xml:space="preserve">ML610540465</t>
  </si>
  <si>
    <t xml:space="preserve">macaulay/flac/610540465.flac</t>
  </si>
  <si>
    <t xml:space="preserve">ML647489658</t>
  </si>
  <si>
    <t xml:space="preserve">macaulay/flac/647489658.flac</t>
  </si>
  <si>
    <t xml:space="preserve">ML647566891</t>
  </si>
  <si>
    <t xml:space="preserve">macaulay/flac/647566891.flac</t>
  </si>
  <si>
    <t xml:space="preserve">ML647566968</t>
  </si>
  <si>
    <t xml:space="preserve">macaulay/flac/647566968.flac</t>
  </si>
  <si>
    <t xml:space="preserve">ML647567114</t>
  </si>
  <si>
    <t xml:space="preserve">macaulay/flac/647567114.flac</t>
  </si>
  <si>
    <t xml:space="preserve">ML647567119</t>
  </si>
  <si>
    <t xml:space="preserve">macaulay/flac/647567119.flac</t>
  </si>
  <si>
    <t xml:space="preserve">XC332166</t>
  </si>
  <si>
    <t xml:space="preserve">data-prep/xc_flac/Tiaris_olivaceus/XC332166.flac</t>
  </si>
  <si>
    <t xml:space="preserve">ML299652</t>
  </si>
  <si>
    <t xml:space="preserve">macaulay/flac/299652.flac</t>
  </si>
  <si>
    <t xml:space="preserve">ML299653</t>
  </si>
  <si>
    <t xml:space="preserve">macaulay/flac/299653.flac</t>
  </si>
  <si>
    <t xml:space="preserve">ML132789311</t>
  </si>
  <si>
    <t xml:space="preserve">macaulay/flac/132789311.flac</t>
  </si>
  <si>
    <t xml:space="preserve">ML184015</t>
  </si>
  <si>
    <t xml:space="preserve">Great Kiskadee; Montezuma Oropendola; Pale-vented Pigeon; Black-headed Saltator; Barred Antshrike</t>
  </si>
  <si>
    <t xml:space="preserve">macaulay/flac/184015.flac</t>
  </si>
  <si>
    <t xml:space="preserve">XC332384</t>
  </si>
  <si>
    <t xml:space="preserve">data-prep/xc_flac/Euphonia_hirundinacea/XC332384.flac</t>
  </si>
  <si>
    <t xml:space="preserve">ML143083321</t>
  </si>
  <si>
    <t xml:space="preserve">macaulay/flac/143083321.flac</t>
  </si>
  <si>
    <t xml:space="preserve">ML184278</t>
  </si>
  <si>
    <t xml:space="preserve">Montezuma Oropendola; Red-capped Manakin; Short-billed Pigeon</t>
  </si>
  <si>
    <t xml:space="preserve">macaulay/flac/184278.flac</t>
  </si>
  <si>
    <t xml:space="preserve">group label: Yellow-throated Toucan (Chestnut-mandibled)</t>
  </si>
  <si>
    <t xml:space="preserve">ML215302</t>
  </si>
  <si>
    <t xml:space="preserve">David L. Ross, Jr.|1989-02-13</t>
  </si>
  <si>
    <t xml:space="preserve">macaulay/flac/215302.flac</t>
  </si>
  <si>
    <t xml:space="preserve">ML215352</t>
  </si>
  <si>
    <t xml:space="preserve">macaulay/flac/215352.flac</t>
  </si>
  <si>
    <t xml:space="preserve">ML299636</t>
  </si>
  <si>
    <t xml:space="preserve">macaulay/flac/299636.flac</t>
  </si>
  <si>
    <t xml:space="preserve">ML306051841</t>
  </si>
  <si>
    <t xml:space="preserve">macaulay/flac/306051841.flac</t>
  </si>
  <si>
    <t xml:space="preserve">ML306052831</t>
  </si>
  <si>
    <t xml:space="preserve">macaulay/flac/306052831.flac</t>
  </si>
  <si>
    <t xml:space="preserve">ML368341651</t>
  </si>
  <si>
    <t xml:space="preserve">S94395097</t>
  </si>
  <si>
    <t xml:space="preserve">15:51</t>
  </si>
  <si>
    <t xml:space="preserve">macaulay/flac/368341651.flac</t>
  </si>
  <si>
    <t xml:space="preserve">ML458621431</t>
  </si>
  <si>
    <t xml:space="preserve">macaulay/flac/458621431.flac</t>
  </si>
  <si>
    <t xml:space="preserve">ML458625821</t>
  </si>
  <si>
    <t xml:space="preserve">macaulay/flac/458625821.flac</t>
  </si>
  <si>
    <t xml:space="preserve">ML46104241</t>
  </si>
  <si>
    <t xml:space="preserve">S33606753</t>
  </si>
  <si>
    <t xml:space="preserve">macaulay/flac/46104241.flac</t>
  </si>
  <si>
    <t xml:space="preserve">ML531097511</t>
  </si>
  <si>
    <t xml:space="preserve">macaulay/flac/531097511.flac</t>
  </si>
  <si>
    <t xml:space="preserve">ML531224231</t>
  </si>
  <si>
    <t xml:space="preserve">macaulay/flac/531224231.flac</t>
  </si>
  <si>
    <t xml:space="preserve">ML531229831</t>
  </si>
  <si>
    <t xml:space="preserve">macaulay/flac/531229831.flac</t>
  </si>
  <si>
    <t xml:space="preserve">ML540257231</t>
  </si>
  <si>
    <t xml:space="preserve">macaulay/flac/540257231.flac</t>
  </si>
  <si>
    <t xml:space="preserve">ML543398101</t>
  </si>
  <si>
    <t xml:space="preserve">macaulay/flac/543398101.flac</t>
  </si>
  <si>
    <t xml:space="preserve">ML597934491</t>
  </si>
  <si>
    <t xml:space="preserve">macaulay/flac/597934491.flac</t>
  </si>
  <si>
    <t xml:space="preserve">ML597934771</t>
  </si>
  <si>
    <t xml:space="preserve">macaulay/flac/597934771.flac</t>
  </si>
  <si>
    <t xml:space="preserve">ML609061861</t>
  </si>
  <si>
    <t xml:space="preserve">macaulay/flac/609061861.flac</t>
  </si>
  <si>
    <t xml:space="preserve">ML610540334</t>
  </si>
  <si>
    <t xml:space="preserve">macaulay/flac/610540334.flac</t>
  </si>
  <si>
    <t xml:space="preserve">ML611791341</t>
  </si>
  <si>
    <t xml:space="preserve">S155598518</t>
  </si>
  <si>
    <t xml:space="preserve">macaulay/flac/611791341.flac</t>
  </si>
  <si>
    <t xml:space="preserve">ML613430318</t>
  </si>
  <si>
    <t xml:space="preserve">macaulay/flac/613430318.flac</t>
  </si>
  <si>
    <t xml:space="preserve">ML613589387</t>
  </si>
  <si>
    <t xml:space="preserve">S127187875</t>
  </si>
  <si>
    <t xml:space="preserve">Kandace Glanville</t>
  </si>
  <si>
    <t xml:space="preserve">macaulay/flac/613589387.flac</t>
  </si>
  <si>
    <t xml:space="preserve">ML614019893</t>
  </si>
  <si>
    <t xml:space="preserve">macaulay/flac/614019893.flac</t>
  </si>
  <si>
    <t xml:space="preserve">ML614019974</t>
  </si>
  <si>
    <t xml:space="preserve">S158187181</t>
  </si>
  <si>
    <t xml:space="preserve">16:32</t>
  </si>
  <si>
    <t xml:space="preserve">macaulay/flac/614019974.flac</t>
  </si>
  <si>
    <t xml:space="preserve">ML615087541</t>
  </si>
  <si>
    <t xml:space="preserve">S153556523</t>
  </si>
  <si>
    <t xml:space="preserve">macaulay/flac/615087541.flac</t>
  </si>
  <si>
    <t xml:space="preserve">ML616235784</t>
  </si>
  <si>
    <t xml:space="preserve">S165343489</t>
  </si>
  <si>
    <t xml:space="preserve">macaulay/flac/616235784.flac</t>
  </si>
  <si>
    <t xml:space="preserve">ML619567891</t>
  </si>
  <si>
    <t xml:space="preserve">S158187182</t>
  </si>
  <si>
    <t xml:space="preserve">macaulay/flac/619567891.flac</t>
  </si>
  <si>
    <t xml:space="preserve">ML619786334</t>
  </si>
  <si>
    <t xml:space="preserve">S155060517</t>
  </si>
  <si>
    <t xml:space="preserve">macaulay/flac/619786334.flac</t>
  </si>
  <si>
    <t xml:space="preserve">ML620357363</t>
  </si>
  <si>
    <t xml:space="preserve">macaulay/flac/620357363.flac</t>
  </si>
  <si>
    <t xml:space="preserve">ML621759500</t>
  </si>
  <si>
    <t xml:space="preserve">macaulay/flac/621759500.flac</t>
  </si>
  <si>
    <t xml:space="preserve">ML621760029</t>
  </si>
  <si>
    <t xml:space="preserve">macaulay/flac/621760029.flac</t>
  </si>
  <si>
    <t xml:space="preserve">ML621760382</t>
  </si>
  <si>
    <t xml:space="preserve">macaulay/flac/621760382.flac</t>
  </si>
  <si>
    <t xml:space="preserve">ML622575671</t>
  </si>
  <si>
    <t xml:space="preserve">macaulay/flac/622575671.flac</t>
  </si>
  <si>
    <t xml:space="preserve">ML623123833</t>
  </si>
  <si>
    <t xml:space="preserve">S189840804</t>
  </si>
  <si>
    <t xml:space="preserve">Mark Frigo</t>
  </si>
  <si>
    <t xml:space="preserve">macaulay/flac/623123833.flac</t>
  </si>
  <si>
    <t xml:space="preserve">ML624890275</t>
  </si>
  <si>
    <t xml:space="preserve">macaulay/flac/624890275.flac</t>
  </si>
  <si>
    <t xml:space="preserve">ML624890598</t>
  </si>
  <si>
    <t xml:space="preserve">macaulay/flac/624890598.flac</t>
  </si>
  <si>
    <t xml:space="preserve">ML624891261</t>
  </si>
  <si>
    <t xml:space="preserve">macaulay/flac/624891261.flac</t>
  </si>
  <si>
    <t xml:space="preserve">ML632692579</t>
  </si>
  <si>
    <t xml:space="preserve">macaulay/flac/632692579.flac</t>
  </si>
  <si>
    <t xml:space="preserve">ML632692611</t>
  </si>
  <si>
    <t xml:space="preserve">macaulay/flac/632692611.flac</t>
  </si>
  <si>
    <t xml:space="preserve">ML632692637</t>
  </si>
  <si>
    <t xml:space="preserve">macaulay/flac/632692637.flac</t>
  </si>
  <si>
    <t xml:space="preserve">ML639170713</t>
  </si>
  <si>
    <t xml:space="preserve">macaulay/flac/639170713.flac</t>
  </si>
  <si>
    <t xml:space="preserve">ML639170782</t>
  </si>
  <si>
    <t xml:space="preserve">macaulay/flac/639170782.flac</t>
  </si>
  <si>
    <t xml:space="preserve">ML639171136</t>
  </si>
  <si>
    <t xml:space="preserve">macaulay/flac/639171136.flac</t>
  </si>
  <si>
    <t xml:space="preserve">ML639219057</t>
  </si>
  <si>
    <t xml:space="preserve">macaulay/flac/639219057.flac</t>
  </si>
  <si>
    <t xml:space="preserve">ML642373433</t>
  </si>
  <si>
    <t xml:space="preserve">S275193439</t>
  </si>
  <si>
    <t xml:space="preserve">macaulay/flac/642373433.flac</t>
  </si>
  <si>
    <t xml:space="preserve">ML643643947</t>
  </si>
  <si>
    <t xml:space="preserve">macaulay/flac/643643947.flac</t>
  </si>
  <si>
    <t xml:space="preserve">ML643644133</t>
  </si>
  <si>
    <t xml:space="preserve">macaulay/flac/643644133.flac</t>
  </si>
  <si>
    <t xml:space="preserve">ML643644333</t>
  </si>
  <si>
    <t xml:space="preserve">macaulay/flac/643644333.flac</t>
  </si>
  <si>
    <t xml:space="preserve">ML651374335</t>
  </si>
  <si>
    <t xml:space="preserve">macaulay/flac/651374335.flac</t>
  </si>
  <si>
    <t xml:space="preserve">ML663970452</t>
  </si>
  <si>
    <t xml:space="preserve">macaulay/flac/663970452.flac</t>
  </si>
  <si>
    <t xml:space="preserve">ML663970550</t>
  </si>
  <si>
    <t xml:space="preserve">macaulay/flac/663970550.flac</t>
  </si>
  <si>
    <t xml:space="preserve">ML6767</t>
  </si>
  <si>
    <t xml:space="preserve">macaulay/flac/6767.flac</t>
  </si>
  <si>
    <t xml:space="preserve">ML98859851</t>
  </si>
  <si>
    <t xml:space="preserve">macaulay/flac/98859851.flac</t>
  </si>
  <si>
    <t xml:space="preserve">XC331335</t>
  </si>
  <si>
    <t xml:space="preserve">data-prep/xc_flac/Ramphastos_ambiguus/XC331335.flac</t>
  </si>
  <si>
    <t xml:space="preserve">ML299582</t>
  </si>
  <si>
    <t xml:space="preserve">macaulay/flac/299582.flac</t>
  </si>
  <si>
    <t xml:space="preserve">ML299583</t>
  </si>
  <si>
    <t xml:space="preserve">macaulay/flac/299583.flac</t>
  </si>
  <si>
    <t xml:space="preserve">ML299584</t>
  </si>
  <si>
    <t xml:space="preserve">macaulay/flac/299584.flac</t>
  </si>
  <si>
    <t xml:space="preserve">ML338509041</t>
  </si>
  <si>
    <t xml:space="preserve">macaulay/flac/338509041.flac</t>
  </si>
  <si>
    <t xml:space="preserve">ML597933231</t>
  </si>
  <si>
    <t xml:space="preserve">macaulay/flac/597933231.flac</t>
  </si>
  <si>
    <t xml:space="preserve">ML621759997</t>
  </si>
  <si>
    <t xml:space="preserve">macaulay/flac/621759997.flac</t>
  </si>
  <si>
    <t xml:space="preserve">ML621760273</t>
  </si>
  <si>
    <t xml:space="preserve">macaulay/flac/621760273.flac</t>
  </si>
  <si>
    <t xml:space="preserve">ML104005</t>
  </si>
  <si>
    <t xml:space="preserve">Neoeptesicus furinalis</t>
  </si>
  <si>
    <t xml:space="preserve">Christian C. Voigt|2000-07-08</t>
  </si>
  <si>
    <t xml:space="preserve">Christian C. Voigt</t>
  </si>
  <si>
    <t xml:space="preserve">20:35</t>
  </si>
  <si>
    <t xml:space="preserve">macaulay/flac/104005.flac</t>
  </si>
  <si>
    <t xml:space="preserve">Argentine Brown Bat (species)</t>
  </si>
  <si>
    <t xml:space="preserve">ML104006</t>
  </si>
  <si>
    <t xml:space="preserve">20:44</t>
  </si>
  <si>
    <t xml:space="preserve">macaulay/flac/104006.flac</t>
  </si>
  <si>
    <t xml:space="preserve">ML104007</t>
  </si>
  <si>
    <t xml:space="preserve">macaulay/flac/104007.flac</t>
  </si>
  <si>
    <t xml:space="preserve">ML104008</t>
  </si>
  <si>
    <t xml:space="preserve">macaulay/flac/104008.flac</t>
  </si>
  <si>
    <t xml:space="preserve">ML104009</t>
  </si>
  <si>
    <t xml:space="preserve">21:18</t>
  </si>
  <si>
    <t xml:space="preserve">macaulay/flac/104009.flac</t>
  </si>
  <si>
    <t xml:space="preserve">ML104010</t>
  </si>
  <si>
    <t xml:space="preserve">21:26</t>
  </si>
  <si>
    <t xml:space="preserve">macaulay/flac/104010.flac</t>
  </si>
  <si>
    <t xml:space="preserve">ML104011</t>
  </si>
  <si>
    <t xml:space="preserve">Trachops cirrhosus</t>
  </si>
  <si>
    <t xml:space="preserve">macaulay/flac/104011.flac</t>
  </si>
  <si>
    <t xml:space="preserve">fringe-lipped bat (species)</t>
  </si>
  <si>
    <t xml:space="preserve">ML104012</t>
  </si>
  <si>
    <t xml:space="preserve">Saccopteryx leptura</t>
  </si>
  <si>
    <t xml:space="preserve">22:08</t>
  </si>
  <si>
    <t xml:space="preserve">macaulay/flac/104012.flac</t>
  </si>
  <si>
    <t xml:space="preserve">Lesser Sac-winged Bat (species)</t>
  </si>
  <si>
    <t xml:space="preserve">ML104013</t>
  </si>
  <si>
    <t xml:space="preserve">23:28</t>
  </si>
  <si>
    <t xml:space="preserve">macaulay/flac/104013.flac</t>
  </si>
  <si>
    <t xml:space="preserve">ML104014</t>
  </si>
  <si>
    <t xml:space="preserve">23:21</t>
  </si>
  <si>
    <t xml:space="preserve">macaulay/flac/104014.flac</t>
  </si>
  <si>
    <t xml:space="preserve">ML104015</t>
  </si>
  <si>
    <t xml:space="preserve">23:25</t>
  </si>
  <si>
    <t xml:space="preserve">macaulay/flac/104015.flac</t>
  </si>
  <si>
    <t xml:space="preserve">ML104016</t>
  </si>
  <si>
    <t xml:space="preserve">Artibeus</t>
  </si>
  <si>
    <t xml:space="preserve">23:35</t>
  </si>
  <si>
    <t xml:space="preserve">macaulay/flac/104016.flac</t>
  </si>
  <si>
    <t xml:space="preserve">Neotropical Fruit Bats (genus)</t>
  </si>
  <si>
    <t xml:space="preserve">ML104017</t>
  </si>
  <si>
    <t xml:space="preserve">23:44</t>
  </si>
  <si>
    <t xml:space="preserve">macaulay/flac/104017.flac</t>
  </si>
  <si>
    <t xml:space="preserve">ML104056</t>
  </si>
  <si>
    <t xml:space="preserve">Rhogeessa tumida</t>
  </si>
  <si>
    <t xml:space="preserve">Christian C. Voigt|2000-07-13</t>
  </si>
  <si>
    <t xml:space="preserve">19:53</t>
  </si>
  <si>
    <t xml:space="preserve">macaulay/flac/104056.flac</t>
  </si>
  <si>
    <t xml:space="preserve">black-winged little yellow bat (species)</t>
  </si>
  <si>
    <t xml:space="preserve">ML104058</t>
  </si>
  <si>
    <t xml:space="preserve">Rhynchonycteris naso</t>
  </si>
  <si>
    <t xml:space="preserve">Christian C. Voigt|2000-07-06</t>
  </si>
  <si>
    <t xml:space="preserve">16:11</t>
  </si>
  <si>
    <t xml:space="preserve">macaulay/flac/104058.flac</t>
  </si>
  <si>
    <t xml:space="preserve">Proboscis Bat (species)</t>
  </si>
  <si>
    <t xml:space="preserve">ML104059</t>
  </si>
  <si>
    <t xml:space="preserve">Chiroptera</t>
  </si>
  <si>
    <t xml:space="preserve">macaulay/flac/104059.flac</t>
  </si>
  <si>
    <t xml:space="preserve">Bats (order)</t>
  </si>
  <si>
    <t xml:space="preserve">ML104060</t>
  </si>
  <si>
    <t xml:space="preserve">macaulay/flac/104060.flac</t>
  </si>
  <si>
    <t xml:space="preserve">ML104061</t>
  </si>
  <si>
    <t xml:space="preserve">macaulay/flac/104061.flac</t>
  </si>
  <si>
    <t xml:space="preserve">ML104062</t>
  </si>
  <si>
    <t xml:space="preserve">macaulay/flac/104062.flac</t>
  </si>
  <si>
    <t xml:space="preserve">ML104063</t>
  </si>
  <si>
    <t xml:space="preserve">Saccopteryx bilineata</t>
  </si>
  <si>
    <t xml:space="preserve">macaulay/flac/104063.flac</t>
  </si>
  <si>
    <t xml:space="preserve">Greater Sac-winged Bat (species)</t>
  </si>
  <si>
    <t xml:space="preserve">ML104064</t>
  </si>
  <si>
    <t xml:space="preserve">macaulay/flac/104064.flac</t>
  </si>
  <si>
    <t xml:space="preserve">ML104065</t>
  </si>
  <si>
    <t xml:space="preserve">macaulay/flac/104065.flac</t>
  </si>
  <si>
    <t xml:space="preserve">ML104066</t>
  </si>
  <si>
    <t xml:space="preserve">macaulay/flac/104066.flac</t>
  </si>
  <si>
    <t xml:space="preserve">ML104067</t>
  </si>
  <si>
    <t xml:space="preserve">macaulay/flac/104067.flac</t>
  </si>
  <si>
    <t xml:space="preserve">ML104068</t>
  </si>
  <si>
    <t xml:space="preserve">macaulay/flac/104068.flac</t>
  </si>
  <si>
    <t xml:space="preserve">ML104069</t>
  </si>
  <si>
    <t xml:space="preserve">macaulay/flac/104069.flac</t>
  </si>
  <si>
    <t xml:space="preserve">ML104070</t>
  </si>
  <si>
    <t xml:space="preserve">17:45</t>
  </si>
  <si>
    <t xml:space="preserve">macaulay/flac/104070.flac</t>
  </si>
  <si>
    <t xml:space="preserve">ML104071</t>
  </si>
  <si>
    <t xml:space="preserve">macaulay/flac/104071.flac</t>
  </si>
  <si>
    <t xml:space="preserve">ML104072</t>
  </si>
  <si>
    <t xml:space="preserve">macaulay/flac/104072.flac</t>
  </si>
  <si>
    <t xml:space="preserve">ML104073</t>
  </si>
  <si>
    <t xml:space="preserve">17:58</t>
  </si>
  <si>
    <t xml:space="preserve">macaulay/flac/104073.flac</t>
  </si>
  <si>
    <t xml:space="preserve">ML104074</t>
  </si>
  <si>
    <t xml:space="preserve">macaulay/flac/104074.flac</t>
  </si>
  <si>
    <t xml:space="preserve">ML104075</t>
  </si>
  <si>
    <t xml:space="preserve">macaulay/flac/104075.flac</t>
  </si>
  <si>
    <t xml:space="preserve">ML104076</t>
  </si>
  <si>
    <t xml:space="preserve">18:08</t>
  </si>
  <si>
    <t xml:space="preserve">macaulay/flac/104076.flac</t>
  </si>
  <si>
    <t xml:space="preserve">ML104077</t>
  </si>
  <si>
    <t xml:space="preserve">macaulay/flac/104077.flac</t>
  </si>
  <si>
    <t xml:space="preserve">ML104078</t>
  </si>
  <si>
    <t xml:space="preserve">Christian C. Voigt|2000-07-07</t>
  </si>
  <si>
    <t xml:space="preserve">macaulay/flac/104078.flac</t>
  </si>
  <si>
    <t xml:space="preserve">ML104079</t>
  </si>
  <si>
    <t xml:space="preserve">macaulay/flac/104079.flac</t>
  </si>
  <si>
    <t xml:space="preserve">ML104080</t>
  </si>
  <si>
    <t xml:space="preserve">Christian C. Voigt|2000-07-09</t>
  </si>
  <si>
    <t xml:space="preserve">macaulay/flac/104080.flac</t>
  </si>
  <si>
    <t xml:space="preserve">ML104081</t>
  </si>
  <si>
    <t xml:space="preserve">macaulay/flac/104081.flac</t>
  </si>
  <si>
    <t xml:space="preserve">ML104082</t>
  </si>
  <si>
    <t xml:space="preserve">Desmodus rotundus</t>
  </si>
  <si>
    <t xml:space="preserve">16:39</t>
  </si>
  <si>
    <t xml:space="preserve">macaulay/flac/104082.flac</t>
  </si>
  <si>
    <t xml:space="preserve">Common Vampire Bat (species)</t>
  </si>
  <si>
    <t xml:space="preserve">ML104083</t>
  </si>
  <si>
    <t xml:space="preserve">17:10</t>
  </si>
  <si>
    <t xml:space="preserve">macaulay/flac/104083.flac</t>
  </si>
  <si>
    <t xml:space="preserve">ML104084</t>
  </si>
  <si>
    <t xml:space="preserve">macaulay/flac/104084.flac</t>
  </si>
  <si>
    <t xml:space="preserve">ML104085</t>
  </si>
  <si>
    <t xml:space="preserve">macaulay/flac/104085.flac</t>
  </si>
  <si>
    <t xml:space="preserve">ML104086</t>
  </si>
  <si>
    <t xml:space="preserve">macaulay/flac/104086.flac</t>
  </si>
  <si>
    <t xml:space="preserve">ML104087</t>
  </si>
  <si>
    <t xml:space="preserve">macaulay/flac/104087.flac</t>
  </si>
  <si>
    <t xml:space="preserve">ML104088</t>
  </si>
  <si>
    <t xml:space="preserve">18:03</t>
  </si>
  <si>
    <t xml:space="preserve">macaulay/flac/104088.flac</t>
  </si>
  <si>
    <t xml:space="preserve">ML104089</t>
  </si>
  <si>
    <t xml:space="preserve">macaulay/flac/104089.flac</t>
  </si>
  <si>
    <t xml:space="preserve">ML104091</t>
  </si>
  <si>
    <t xml:space="preserve">18:14</t>
  </si>
  <si>
    <t xml:space="preserve">macaulay/flac/104091.flac</t>
  </si>
  <si>
    <t xml:space="preserve">ML104092</t>
  </si>
  <si>
    <t xml:space="preserve">18:20</t>
  </si>
  <si>
    <t xml:space="preserve">macaulay/flac/104092.flac</t>
  </si>
  <si>
    <t xml:space="preserve">ML104098</t>
  </si>
  <si>
    <t xml:space="preserve">macaulay/flac/104098.flac</t>
  </si>
  <si>
    <t xml:space="preserve">ML104099</t>
  </si>
  <si>
    <t xml:space="preserve">macaulay/flac/104099.flac</t>
  </si>
  <si>
    <t xml:space="preserve">ML104100</t>
  </si>
  <si>
    <t xml:space="preserve">macaulay/flac/104100.flac</t>
  </si>
  <si>
    <t xml:space="preserve">ML104101</t>
  </si>
  <si>
    <t xml:space="preserve">macaulay/flac/104101.flac</t>
  </si>
  <si>
    <t xml:space="preserve">ML104102</t>
  </si>
  <si>
    <t xml:space="preserve">macaulay/flac/104102.flac</t>
  </si>
  <si>
    <t xml:space="preserve">ML104103</t>
  </si>
  <si>
    <t xml:space="preserve">macaulay/flac/104103.flac</t>
  </si>
  <si>
    <t xml:space="preserve">ML104104</t>
  </si>
  <si>
    <t xml:space="preserve">macaulay/flac/104104.flac</t>
  </si>
  <si>
    <t xml:space="preserve">ML104105</t>
  </si>
  <si>
    <t xml:space="preserve">macaulay/flac/104105.flac</t>
  </si>
  <si>
    <t xml:space="preserve">ML104106</t>
  </si>
  <si>
    <t xml:space="preserve">macaulay/flac/104106.flac</t>
  </si>
  <si>
    <t xml:space="preserve">ML104107</t>
  </si>
  <si>
    <t xml:space="preserve">Christian C. Voigt|2000-07-14</t>
  </si>
  <si>
    <t xml:space="preserve">macaulay/flac/104107.flac</t>
  </si>
  <si>
    <t xml:space="preserve">ML104108</t>
  </si>
  <si>
    <t xml:space="preserve">macaulay/flac/104108.flac</t>
  </si>
  <si>
    <t xml:space="preserve">ML104109</t>
  </si>
  <si>
    <t xml:space="preserve">macaulay/flac/104109.flac</t>
  </si>
  <si>
    <t xml:space="preserve">ML104110</t>
  </si>
  <si>
    <t xml:space="preserve">macaulay/flac/104110.flac</t>
  </si>
  <si>
    <t xml:space="preserve">ML104111</t>
  </si>
  <si>
    <t xml:space="preserve">macaulay/flac/104111.flac</t>
  </si>
  <si>
    <t xml:space="preserve">ML104112</t>
  </si>
  <si>
    <t xml:space="preserve">macaulay/flac/104112.flac</t>
  </si>
  <si>
    <t xml:space="preserve">ML104113</t>
  </si>
  <si>
    <t xml:space="preserve">macaulay/flac/104113.flac</t>
  </si>
  <si>
    <t xml:space="preserve">ML104114</t>
  </si>
  <si>
    <t xml:space="preserve">18:10</t>
  </si>
  <si>
    <t xml:space="preserve">macaulay/flac/104114.flac</t>
  </si>
  <si>
    <t xml:space="preserve">ML104115</t>
  </si>
  <si>
    <t xml:space="preserve">18:21</t>
  </si>
  <si>
    <t xml:space="preserve">macaulay/flac/104115.flac</t>
  </si>
  <si>
    <t xml:space="preserve">ML104116</t>
  </si>
  <si>
    <t xml:space="preserve">macaulay/flac/104116.flac</t>
  </si>
  <si>
    <t xml:space="preserve">ML104117</t>
  </si>
  <si>
    <t xml:space="preserve">macaulay/flac/104117.flac</t>
  </si>
  <si>
    <t xml:space="preserve">ML104118</t>
  </si>
  <si>
    <t xml:space="preserve">18:30</t>
  </si>
  <si>
    <t xml:space="preserve">macaulay/flac/104118.flac</t>
  </si>
  <si>
    <t xml:space="preserve">ML104119</t>
  </si>
  <si>
    <t xml:space="preserve">macaulay/flac/104119.flac</t>
  </si>
  <si>
    <t xml:space="preserve">ML104120</t>
  </si>
  <si>
    <t xml:space="preserve">macaulay/flac/104120.flac</t>
  </si>
  <si>
    <t xml:space="preserve">ML104121</t>
  </si>
  <si>
    <t xml:space="preserve">macaulay/flac/104121.flac</t>
  </si>
  <si>
    <t xml:space="preserve">ML104123</t>
  </si>
  <si>
    <t xml:space="preserve">Christian C. Voigt|2000-07-15</t>
  </si>
  <si>
    <t xml:space="preserve">macaulay/flac/104123.flac</t>
  </si>
  <si>
    <t xml:space="preserve">ML104126</t>
  </si>
  <si>
    <t xml:space="preserve">19:10</t>
  </si>
  <si>
    <t xml:space="preserve">macaulay/flac/104126.flac</t>
  </si>
  <si>
    <t xml:space="preserve">ML104127</t>
  </si>
  <si>
    <t xml:space="preserve">macaulay/flac/104127.flac</t>
  </si>
  <si>
    <t xml:space="preserve">ML104128</t>
  </si>
  <si>
    <t xml:space="preserve">Myotis</t>
  </si>
  <si>
    <t xml:space="preserve">macaulay/flac/104128.flac</t>
  </si>
  <si>
    <t xml:space="preserve">Mouse-eared Bats (genus)</t>
  </si>
  <si>
    <t xml:space="preserve">ML104129</t>
  </si>
  <si>
    <t xml:space="preserve">Christian C. Voigt|2000-07-17</t>
  </si>
  <si>
    <t xml:space="preserve">19:16</t>
  </si>
  <si>
    <t xml:space="preserve">macaulay/flac/104129.flac</t>
  </si>
  <si>
    <t xml:space="preserve">ML104130</t>
  </si>
  <si>
    <t xml:space="preserve">19:23</t>
  </si>
  <si>
    <t xml:space="preserve">macaulay/flac/104130.flac</t>
  </si>
  <si>
    <t xml:space="preserve">ML104131</t>
  </si>
  <si>
    <t xml:space="preserve">19:39</t>
  </si>
  <si>
    <t xml:space="preserve">macaulay/flac/104131.flac</t>
  </si>
  <si>
    <t xml:space="preserve">ML104132</t>
  </si>
  <si>
    <t xml:space="preserve">19:40</t>
  </si>
  <si>
    <t xml:space="preserve">macaulay/flac/104132.flac</t>
  </si>
  <si>
    <t xml:space="preserve">ML104133</t>
  </si>
  <si>
    <t xml:space="preserve">macaulay/flac/104133.flac</t>
  </si>
  <si>
    <t xml:space="preserve">ML104134</t>
  </si>
  <si>
    <t xml:space="preserve">20:01</t>
  </si>
  <si>
    <t xml:space="preserve">macaulay/flac/104134.flac</t>
  </si>
  <si>
    <t xml:space="preserve">ML104135</t>
  </si>
  <si>
    <t xml:space="preserve">20:03</t>
  </si>
  <si>
    <t xml:space="preserve">macaulay/flac/104135.flac</t>
  </si>
  <si>
    <t xml:space="preserve">ML104136</t>
  </si>
  <si>
    <t xml:space="preserve">20:05</t>
  </si>
  <si>
    <t xml:space="preserve">macaulay/flac/104136.flac</t>
  </si>
  <si>
    <t xml:space="preserve">ML104137</t>
  </si>
  <si>
    <t xml:space="preserve">20:10</t>
  </si>
  <si>
    <t xml:space="preserve">macaulay/flac/104137.flac</t>
  </si>
  <si>
    <t xml:space="preserve">ML104138</t>
  </si>
  <si>
    <t xml:space="preserve">20:27</t>
  </si>
  <si>
    <t xml:space="preserve">macaulay/flac/104138.flac</t>
  </si>
  <si>
    <t xml:space="preserve">ML104139</t>
  </si>
  <si>
    <t xml:space="preserve">20:40</t>
  </si>
  <si>
    <t xml:space="preserve">macaulay/flac/104139.flac</t>
  </si>
  <si>
    <t xml:space="preserve">ML104140</t>
  </si>
  <si>
    <t xml:space="preserve">20:45</t>
  </si>
  <si>
    <t xml:space="preserve">macaulay/flac/104140.flac</t>
  </si>
  <si>
    <t xml:space="preserve">ML104141</t>
  </si>
  <si>
    <t xml:space="preserve">20:55</t>
  </si>
  <si>
    <t xml:space="preserve">macaulay/flac/104141.flac</t>
  </si>
  <si>
    <t xml:space="preserve">ML104142</t>
  </si>
  <si>
    <t xml:space="preserve">21:03</t>
  </si>
  <si>
    <t xml:space="preserve">macaulay/flac/104142.flac</t>
  </si>
  <si>
    <t xml:space="preserve">ML104143</t>
  </si>
  <si>
    <t xml:space="preserve">21:15</t>
  </si>
  <si>
    <t xml:space="preserve">macaulay/flac/104143.flac</t>
  </si>
  <si>
    <t xml:space="preserve">ML104144</t>
  </si>
  <si>
    <t xml:space="preserve">21:21</t>
  </si>
  <si>
    <t xml:space="preserve">macaulay/flac/104144.flac</t>
  </si>
  <si>
    <t xml:space="preserve">ML104145</t>
  </si>
  <si>
    <t xml:space="preserve">macaulay/flac/104145.flac</t>
  </si>
  <si>
    <t xml:space="preserve">ML104146</t>
  </si>
  <si>
    <t xml:space="preserve">21:39</t>
  </si>
  <si>
    <t xml:space="preserve">macaulay/flac/104146.flac</t>
  </si>
  <si>
    <t xml:space="preserve">ML104147</t>
  </si>
  <si>
    <t xml:space="preserve">Gardnerycteris crenulata</t>
  </si>
  <si>
    <t xml:space="preserve">23:00</t>
  </si>
  <si>
    <t xml:space="preserve">macaulay/flac/104147.flac</t>
  </si>
  <si>
    <t xml:space="preserve">striped hairy-nosed bat (species)</t>
  </si>
  <si>
    <t xml:space="preserve">ML104148</t>
  </si>
  <si>
    <t xml:space="preserve">Christian C. Voigt|2000-07-18</t>
  </si>
  <si>
    <t xml:space="preserve">17:23</t>
  </si>
  <si>
    <t xml:space="preserve">macaulay/flac/104148.flac</t>
  </si>
  <si>
    <t xml:space="preserve">ML104149</t>
  </si>
  <si>
    <t xml:space="preserve">macaulay/flac/104149.flac</t>
  </si>
  <si>
    <t xml:space="preserve">ML104150</t>
  </si>
  <si>
    <t xml:space="preserve">macaulay/flac/104150.flac</t>
  </si>
  <si>
    <t xml:space="preserve">ML104151</t>
  </si>
  <si>
    <t xml:space="preserve">17:31</t>
  </si>
  <si>
    <t xml:space="preserve">macaulay/flac/104151.flac</t>
  </si>
  <si>
    <t xml:space="preserve">ML104152</t>
  </si>
  <si>
    <t xml:space="preserve">17:33</t>
  </si>
  <si>
    <t xml:space="preserve">macaulay/flac/104152.flac</t>
  </si>
  <si>
    <t xml:space="preserve">ML104153</t>
  </si>
  <si>
    <t xml:space="preserve">17:35</t>
  </si>
  <si>
    <t xml:space="preserve">macaulay/flac/104153.flac</t>
  </si>
  <si>
    <t xml:space="preserve">ML104154</t>
  </si>
  <si>
    <t xml:space="preserve">17:38</t>
  </si>
  <si>
    <t xml:space="preserve">macaulay/flac/104154.flac</t>
  </si>
  <si>
    <t xml:space="preserve">ML104155</t>
  </si>
  <si>
    <t xml:space="preserve">17:41</t>
  </si>
  <si>
    <t xml:space="preserve">macaulay/flac/104155.flac</t>
  </si>
  <si>
    <t xml:space="preserve">ML104156</t>
  </si>
  <si>
    <t xml:space="preserve">17:43</t>
  </si>
  <si>
    <t xml:space="preserve">macaulay/flac/104156.flac</t>
  </si>
  <si>
    <t xml:space="preserve">ML104157</t>
  </si>
  <si>
    <t xml:space="preserve">macaulay/flac/104157.flac</t>
  </si>
  <si>
    <t xml:space="preserve">ML104158</t>
  </si>
  <si>
    <t xml:space="preserve">17:47</t>
  </si>
  <si>
    <t xml:space="preserve">macaulay/flac/104158.flac</t>
  </si>
  <si>
    <t xml:space="preserve">ML104159</t>
  </si>
  <si>
    <t xml:space="preserve">macaulay/flac/104159.flac</t>
  </si>
  <si>
    <t xml:space="preserve">ML104160</t>
  </si>
  <si>
    <t xml:space="preserve">17:53</t>
  </si>
  <si>
    <t xml:space="preserve">macaulay/flac/104160.flac</t>
  </si>
  <si>
    <t xml:space="preserve">ML104161</t>
  </si>
  <si>
    <t xml:space="preserve">17:56</t>
  </si>
  <si>
    <t xml:space="preserve">macaulay/flac/104161.flac</t>
  </si>
  <si>
    <t xml:space="preserve">ML104162</t>
  </si>
  <si>
    <t xml:space="preserve">macaulay/flac/104162.flac</t>
  </si>
  <si>
    <t xml:space="preserve">ML104163</t>
  </si>
  <si>
    <t xml:space="preserve">macaulay/flac/104163.flac</t>
  </si>
  <si>
    <t xml:space="preserve">ML104164</t>
  </si>
  <si>
    <t xml:space="preserve">macaulay/flac/104164.flac</t>
  </si>
  <si>
    <t xml:space="preserve">ML104165</t>
  </si>
  <si>
    <t xml:space="preserve">macaulay/flac/104165.flac</t>
  </si>
  <si>
    <t xml:space="preserve">ML104176</t>
  </si>
  <si>
    <t xml:space="preserve">Christian C. Voigt|2000-07-20</t>
  </si>
  <si>
    <t xml:space="preserve">macaulay/flac/104176.flac</t>
  </si>
  <si>
    <t xml:space="preserve">ML104177</t>
  </si>
  <si>
    <t xml:space="preserve">macaulay/flac/104177.flac</t>
  </si>
  <si>
    <t xml:space="preserve">ML104178</t>
  </si>
  <si>
    <t xml:space="preserve">macaulay/flac/104178.flac</t>
  </si>
  <si>
    <t xml:space="preserve">ML104179</t>
  </si>
  <si>
    <t xml:space="preserve">macaulay/flac/104179.flac</t>
  </si>
  <si>
    <t xml:space="preserve">ML104180</t>
  </si>
  <si>
    <t xml:space="preserve">macaulay/flac/104180.flac</t>
  </si>
  <si>
    <t xml:space="preserve">ML104181</t>
  </si>
  <si>
    <t xml:space="preserve">macaulay/flac/104181.flac</t>
  </si>
  <si>
    <t xml:space="preserve">ML104182</t>
  </si>
  <si>
    <t xml:space="preserve">macaulay/flac/104182.flac</t>
  </si>
  <si>
    <t xml:space="preserve">ML104183</t>
  </si>
  <si>
    <t xml:space="preserve">macaulay/flac/104183.flac</t>
  </si>
  <si>
    <t xml:space="preserve">ML104184</t>
  </si>
  <si>
    <t xml:space="preserve">macaulay/flac/104184.flac</t>
  </si>
  <si>
    <t xml:space="preserve">ML104185</t>
  </si>
  <si>
    <t xml:space="preserve">macaulay/flac/104185.flac</t>
  </si>
  <si>
    <t xml:space="preserve">ML104186</t>
  </si>
  <si>
    <t xml:space="preserve">macaulay/flac/104186.flac</t>
  </si>
  <si>
    <t xml:space="preserve">ML104187</t>
  </si>
  <si>
    <t xml:space="preserve">macaulay/flac/104187.flac</t>
  </si>
  <si>
    <t xml:space="preserve">ML104188</t>
  </si>
  <si>
    <t xml:space="preserve">macaulay/flac/104188.flac</t>
  </si>
  <si>
    <t xml:space="preserve">ML166870</t>
  </si>
  <si>
    <t xml:space="preserve">Hypopachus pictiventris</t>
  </si>
  <si>
    <t xml:space="preserve">Olive Snouted Tree Frog</t>
  </si>
  <si>
    <t xml:space="preserve">David L. Ross, Jr.|1996-05-11</t>
  </si>
  <si>
    <t xml:space="preserve">23:40</t>
  </si>
  <si>
    <t xml:space="preserve">macaulay/flac/166870.flac</t>
  </si>
  <si>
    <t xml:space="preserve">Southern Narrow-mouthed Toad (species)</t>
  </si>
  <si>
    <t xml:space="preserve">ML166871</t>
  </si>
  <si>
    <t xml:space="preserve">Scinax elaeochroa</t>
  </si>
  <si>
    <t xml:space="preserve">Smoky Jungle Frog; Typical Cicadas</t>
  </si>
  <si>
    <t xml:space="preserve">13:39</t>
  </si>
  <si>
    <t xml:space="preserve">macaulay/flac/166871.flac</t>
  </si>
  <si>
    <t xml:space="preserve">Olive Snouted Tree Frog (species)</t>
  </si>
  <si>
    <t xml:space="preserve">ML166873</t>
  </si>
  <si>
    <t xml:space="preserve">Anura</t>
  </si>
  <si>
    <t xml:space="preserve">macaulay/flac/166873.flac</t>
  </si>
  <si>
    <t xml:space="preserve">Frogs and Toads (order)</t>
  </si>
  <si>
    <t xml:space="preserve">ML166874</t>
  </si>
  <si>
    <t xml:space="preserve">macaulay/flac/166874.flac</t>
  </si>
  <si>
    <t xml:space="preserve">ML166876</t>
  </si>
  <si>
    <t xml:space="preserve">Phyllobates lugubris</t>
  </si>
  <si>
    <t xml:space="preserve">Strawberry Poison Dart Frog; Smoky Jungle Frog</t>
  </si>
  <si>
    <t xml:space="preserve">macaulay/flac/166876.flac</t>
  </si>
  <si>
    <t xml:space="preserve">Striped Poison Dart Frog (species)</t>
  </si>
  <si>
    <t xml:space="preserve">ML166877</t>
  </si>
  <si>
    <t xml:space="preserve">Strawberry Poison Dart Frog; Smoky Jungle Frog; Chestnut-backed Antbird; Mealy Amazon</t>
  </si>
  <si>
    <t xml:space="preserve">16:35</t>
  </si>
  <si>
    <t xml:space="preserve">macaulay/flac/166877.flac</t>
  </si>
  <si>
    <t xml:space="preserve">ML166878</t>
  </si>
  <si>
    <t xml:space="preserve">Smoky Jungle Frog; Great Curassow</t>
  </si>
  <si>
    <t xml:space="preserve">17:17</t>
  </si>
  <si>
    <t xml:space="preserve">macaulay/flac/166878.flac</t>
  </si>
  <si>
    <t xml:space="preserve">ML166879</t>
  </si>
  <si>
    <t xml:space="preserve">Smoky Jungle Frog</t>
  </si>
  <si>
    <t xml:space="preserve">17:26</t>
  </si>
  <si>
    <t xml:space="preserve">macaulay/flac/166879.flac</t>
  </si>
  <si>
    <t xml:space="preserve">ML166880</t>
  </si>
  <si>
    <t xml:space="preserve">Smilisca baudinii</t>
  </si>
  <si>
    <t xml:space="preserve">Harlequin Treefrog; Smoky Jungle Frog; Southern Narrow-mouthed Toad</t>
  </si>
  <si>
    <t xml:space="preserve">21:10</t>
  </si>
  <si>
    <t xml:space="preserve">macaulay/flac/166880.flac</t>
  </si>
  <si>
    <t xml:space="preserve">Mexican Smilisca (species)</t>
  </si>
  <si>
    <t xml:space="preserve">ML166896</t>
  </si>
  <si>
    <t xml:space="preserve">Frogs and Toads</t>
  </si>
  <si>
    <t xml:space="preserve">David L. Ross, Jr.|1996-05-14</t>
  </si>
  <si>
    <t xml:space="preserve">00:55</t>
  </si>
  <si>
    <t xml:space="preserve">macaulay/flac/166896.flac</t>
  </si>
  <si>
    <t xml:space="preserve">ML166897</t>
  </si>
  <si>
    <t xml:space="preserve">01:22</t>
  </si>
  <si>
    <t xml:space="preserve">macaulay/flac/166897.flac</t>
  </si>
  <si>
    <t xml:space="preserve">ML166898</t>
  </si>
  <si>
    <t xml:space="preserve">Centrolenidae</t>
  </si>
  <si>
    <t xml:space="preserve">01:46</t>
  </si>
  <si>
    <t xml:space="preserve">macaulay/flac/166898.flac</t>
  </si>
  <si>
    <t xml:space="preserve">Glass Frogs (family)</t>
  </si>
  <si>
    <t xml:space="preserve">ML166899</t>
  </si>
  <si>
    <t xml:space="preserve">02:46</t>
  </si>
  <si>
    <t xml:space="preserve">macaulay/flac/166899.flac</t>
  </si>
  <si>
    <t xml:space="preserve">ML184728</t>
  </si>
  <si>
    <t xml:space="preserve">David L. Ross, Jr.|1996-05-18</t>
  </si>
  <si>
    <t xml:space="preserve">00:05</t>
  </si>
  <si>
    <t xml:space="preserve">macaulay/flac/184728.flac</t>
  </si>
  <si>
    <t xml:space="preserve">ML184729</t>
  </si>
  <si>
    <t xml:space="preserve">Tink Frog; Harlequin Treefrog</t>
  </si>
  <si>
    <t xml:space="preserve">00:40</t>
  </si>
  <si>
    <t xml:space="preserve">macaulay/flac/184729.flac</t>
  </si>
  <si>
    <t xml:space="preserve">ML209702</t>
  </si>
  <si>
    <t xml:space="preserve">00:10</t>
  </si>
  <si>
    <t xml:space="preserve">macaulay/flac/209702.flac</t>
  </si>
  <si>
    <t xml:space="preserve">ML209703</t>
  </si>
  <si>
    <t xml:space="preserve">macaulay/flac/209703.flac</t>
  </si>
  <si>
    <t xml:space="preserve">ML211130</t>
  </si>
  <si>
    <t xml:space="preserve">Leptodactylus savagei</t>
  </si>
  <si>
    <t xml:space="preserve">macaulay/flac/211130.flac</t>
  </si>
  <si>
    <t xml:space="preserve">Savage's Thin-toed Frog (species)</t>
  </si>
  <si>
    <t xml:space="preserve">ML57476</t>
  </si>
  <si>
    <t xml:space="preserve">Oophaga pumilio</t>
  </si>
  <si>
    <t xml:space="preserve">10:27</t>
  </si>
  <si>
    <t xml:space="preserve">macaulay/flac/57476.flac</t>
  </si>
  <si>
    <t xml:space="preserve">Strawberry Poison Dart Frog (species)</t>
  </si>
  <si>
    <t xml:space="preserve">ML57488</t>
  </si>
  <si>
    <t xml:space="preserve">10:22</t>
  </si>
  <si>
    <t xml:space="preserve">macaulay/flac/57488.flac</t>
  </si>
  <si>
    <t xml:space="preserve">ML648706166</t>
  </si>
  <si>
    <t xml:space="preserve">Diasporus</t>
  </si>
  <si>
    <t xml:space="preserve">S278421567</t>
  </si>
  <si>
    <t xml:space="preserve">macaulay/flac/648706166.flac</t>
  </si>
  <si>
    <t xml:space="preserve">Dink Frogs (genus)</t>
  </si>
  <si>
    <t xml:space="preserve">ML648706167</t>
  </si>
  <si>
    <t xml:space="preserve">macaulay/flac/648706167.flac</t>
  </si>
  <si>
    <t xml:space="preserve">ML662398905</t>
  </si>
  <si>
    <t xml:space="preserve">macaulay/flac/662398905.flac</t>
  </si>
  <si>
    <t xml:space="preserve">ML662398906</t>
  </si>
  <si>
    <t xml:space="preserve">macaulay/flac/662398906.flac</t>
  </si>
  <si>
    <t xml:space="preserve">ML72622</t>
  </si>
  <si>
    <t xml:space="preserve">macaulay/flac/72622.flac</t>
  </si>
  <si>
    <t xml:space="preserve">ML72626</t>
  </si>
  <si>
    <t xml:space="preserve">macaulay/flac/72626.flac</t>
  </si>
  <si>
    <t xml:space="preserve">ML72629</t>
  </si>
  <si>
    <t xml:space="preserve">11:46</t>
  </si>
  <si>
    <t xml:space="preserve">macaulay/flac/72629.flac</t>
  </si>
  <si>
    <t xml:space="preserve">ML72630</t>
  </si>
  <si>
    <t xml:space="preserve">12:29</t>
  </si>
  <si>
    <t xml:space="preserve">macaulay/flac/72630.flac</t>
  </si>
  <si>
    <t xml:space="preserve">ML72638</t>
  </si>
  <si>
    <t xml:space="preserve">macaulay/flac/72638.flac</t>
  </si>
  <si>
    <t xml:space="preserve">ML72640</t>
  </si>
  <si>
    <t xml:space="preserve">20:15</t>
  </si>
  <si>
    <t xml:space="preserve">macaulay/flac/72640.flac</t>
  </si>
  <si>
    <t xml:space="preserve">ML209490</t>
  </si>
  <si>
    <t xml:space="preserve">Cicadidae</t>
  </si>
  <si>
    <t xml:space="preserve">06:54</t>
  </si>
  <si>
    <t xml:space="preserve">macaulay/flac/209490.flac</t>
  </si>
  <si>
    <t xml:space="preserve">Typical Cicadas (unranked)</t>
  </si>
  <si>
    <t xml:space="preserve">ML215419</t>
  </si>
  <si>
    <t xml:space="preserve">macaulay/flac/215419.flac</t>
  </si>
  <si>
    <t xml:space="preserve">ML215429</t>
  </si>
  <si>
    <t xml:space="preserve">macaulay/flac/215429.flac</t>
  </si>
  <si>
    <t xml:space="preserve">ML57473</t>
  </si>
  <si>
    <t xml:space="preserve">Orthoptera</t>
  </si>
  <si>
    <t xml:space="preserve">macaulay/flac/57473.flac</t>
  </si>
  <si>
    <t xml:space="preserve">Grasshoppers, Crickets, and Katydids (unranked)</t>
  </si>
  <si>
    <t xml:space="preserve">ML57490</t>
  </si>
  <si>
    <t xml:space="preserve">macaulay/flac/57490.flac</t>
  </si>
  <si>
    <t xml:space="preserve">ML215303</t>
  </si>
  <si>
    <t xml:space="preserve">Potos flavus</t>
  </si>
  <si>
    <t xml:space="preserve">macaulay/flac/215303.flac</t>
  </si>
  <si>
    <t xml:space="preserve">Kinkajou (species)</t>
  </si>
  <si>
    <t xml:space="preserve">ML215336</t>
  </si>
  <si>
    <t xml:space="preserve">macaulay/flac/215336.flac</t>
  </si>
  <si>
    <t xml:space="preserve">ML215349</t>
  </si>
  <si>
    <t xml:space="preserve">Sciurus granatensis</t>
  </si>
  <si>
    <t xml:space="preserve">06:51</t>
  </si>
  <si>
    <t xml:space="preserve">macaulay/flac/215349.flac</t>
  </si>
  <si>
    <t xml:space="preserve">Red-tailed Squirrel (species)</t>
  </si>
  <si>
    <t xml:space="preserve">ML215411</t>
  </si>
  <si>
    <t xml:space="preserve">Cuniculus paca</t>
  </si>
  <si>
    <t xml:space="preserve">macaulay/flac/215411.flac</t>
  </si>
  <si>
    <t xml:space="preserve">Spotted Paca (species)</t>
  </si>
  <si>
    <t xml:space="preserve">ML215431</t>
  </si>
  <si>
    <t xml:space="preserve">macaulay/flac/215431.flac</t>
  </si>
  <si>
    <t xml:space="preserve">ML215439</t>
  </si>
  <si>
    <t xml:space="preserve">Nasua narica</t>
  </si>
  <si>
    <t xml:space="preserve">macaulay/flac/215439.flac</t>
  </si>
  <si>
    <t xml:space="preserve">White-nosed Coati (species)</t>
  </si>
  <si>
    <t xml:space="preserve">ML57495</t>
  </si>
  <si>
    <t xml:space="preserve">Mazama temama</t>
  </si>
  <si>
    <t xml:space="preserve">macaulay/flac/57495.flac</t>
  </si>
  <si>
    <t xml:space="preserve">Central American Red Brocket (species)</t>
  </si>
  <si>
    <t xml:space="preserve">ML209700</t>
  </si>
  <si>
    <t xml:space="preserve">Dendropsophus ebraccatus</t>
  </si>
  <si>
    <t xml:space="preserve">Red-eyed Tree Frog</t>
  </si>
  <si>
    <t xml:space="preserve">21:44</t>
  </si>
  <si>
    <t xml:space="preserve">macaulay/flac/209700.flac</t>
  </si>
  <si>
    <t xml:space="preserve">Harlequin Treefrog (species)</t>
  </si>
  <si>
    <t xml:space="preserve">ML209701</t>
  </si>
  <si>
    <t xml:space="preserve">23:37</t>
  </si>
  <si>
    <t xml:space="preserve">macaulay/flac/209701.flac</t>
  </si>
  <si>
    <t xml:space="preserve">ML622517927</t>
  </si>
  <si>
    <t xml:space="preserve">excluded</t>
  </si>
  <si>
    <t xml:space="preserve">qc_excluded</t>
  </si>
  <si>
    <t xml:space="preserve">duplicate_of:ML622517915</t>
  </si>
  <si>
    <t xml:space="preserve">Red-lored Amazon; Dusky-capped Flycatcher; Short-billed Pigeon</t>
  </si>
  <si>
    <t xml:space="preserve">macaulay/flac/622517927.flac</t>
  </si>
  <si>
    <t xml:space="preserve">ML663617771</t>
  </si>
  <si>
    <t xml:space="preserve">duplicate_of:ML663617766</t>
  </si>
  <si>
    <t xml:space="preserve">macaulay/flac/663617771.flac</t>
  </si>
  <si>
    <t xml:space="preserve">ML616532869</t>
  </si>
  <si>
    <t xml:space="preserve">duplicate_of:ML616167559</t>
  </si>
  <si>
    <t xml:space="preserve">macaulay/flac/616532869.flac</t>
  </si>
  <si>
    <t xml:space="preserve">ML621759512</t>
  </si>
  <si>
    <t xml:space="preserve">duplicate_of:ML621759330</t>
  </si>
  <si>
    <t xml:space="preserve">macaulay/flac/621759512.flac</t>
  </si>
  <si>
    <t xml:space="preserve">ML639203596</t>
  </si>
  <si>
    <t xml:space="preserve">short;silent</t>
  </si>
  <si>
    <t xml:space="preserve">S158813027</t>
  </si>
  <si>
    <t xml:space="preserve">macaulay/flac/639203596.flac</t>
  </si>
  <si>
    <t xml:space="preserve">ML639218090</t>
  </si>
  <si>
    <t xml:space="preserve">silent</t>
  </si>
  <si>
    <t xml:space="preserve">S158834991</t>
  </si>
  <si>
    <t xml:space="preserve">11:37</t>
  </si>
  <si>
    <t xml:space="preserve">macaulay/flac/639218090.flac</t>
  </si>
  <si>
    <t xml:space="preserve">ML639218091</t>
  </si>
  <si>
    <t xml:space="preserve">macaulay/flac/639218091.flac</t>
  </si>
  <si>
    <t xml:space="preserve">ML639218092</t>
  </si>
  <si>
    <t xml:space="preserve">macaulay/flac/639218092.flac</t>
  </si>
  <si>
    <t xml:space="preserve">ML639218093</t>
  </si>
  <si>
    <t xml:space="preserve">macaulay/flac/639218093.flac</t>
  </si>
  <si>
    <t xml:space="preserve">ML639218094</t>
  </si>
  <si>
    <t xml:space="preserve">macaulay/flac/639218094.flac</t>
  </si>
  <si>
    <t xml:space="preserve">ML647328730</t>
  </si>
  <si>
    <t xml:space="preserve">duplicate_of:ML647328157</t>
  </si>
  <si>
    <t xml:space="preserve">Black-cheeked Woodpecker; Great Kiskadee</t>
  </si>
  <si>
    <t xml:space="preserve">macaulay/flac/647328730.flac</t>
  </si>
  <si>
    <t xml:space="preserve">ML543765241</t>
  </si>
  <si>
    <t xml:space="preserve">duplicate_of:ML543764751</t>
  </si>
  <si>
    <t xml:space="preserve">macaulay/flac/543765241.flac</t>
  </si>
  <si>
    <t xml:space="preserve">ML540345891</t>
  </si>
  <si>
    <t xml:space="preserve">duplicate_of:ML540262971</t>
  </si>
  <si>
    <t xml:space="preserve">macaulay/flac/540345891.flac</t>
  </si>
  <si>
    <t xml:space="preserve">ML289816801</t>
  </si>
  <si>
    <t xml:space="preserve">macaulay/flac/289816801.flac</t>
  </si>
  <si>
    <t xml:space="preserve">ML612714077</t>
  </si>
  <si>
    <t xml:space="preserve">duplicate_of:ML612714058</t>
  </si>
  <si>
    <t xml:space="preserve">macaulay/flac/612714077.flac</t>
  </si>
  <si>
    <t xml:space="preserve">ML628729171</t>
  </si>
  <si>
    <t xml:space="preserve">duplicate_of:ML628729132</t>
  </si>
  <si>
    <t xml:space="preserve">macaulay/flac/628729171.flac</t>
  </si>
  <si>
    <t xml:space="preserve">ML639218084</t>
  </si>
  <si>
    <t xml:space="preserve">macaulay/flac/639218084.flac</t>
  </si>
  <si>
    <t xml:space="preserve">ML492880521</t>
  </si>
  <si>
    <t xml:space="preserve">duplicate_of:ML492880471</t>
  </si>
  <si>
    <t xml:space="preserve">macaulay/flac/492880521.flac</t>
  </si>
  <si>
    <t xml:space="preserve">ML129888541</t>
  </si>
  <si>
    <t xml:space="preserve">macaulay/flac/129888541.flac</t>
  </si>
  <si>
    <t xml:space="preserve">ML616532779</t>
  </si>
  <si>
    <t xml:space="preserve">duplicate_of:ML616167465</t>
  </si>
  <si>
    <t xml:space="preserve">S164959906</t>
  </si>
  <si>
    <t xml:space="preserve">macaulay/flac/616532779.flac</t>
  </si>
  <si>
    <t xml:space="preserve">ML618271515</t>
  </si>
  <si>
    <t xml:space="preserve">duplicate_of:ML618271502</t>
  </si>
  <si>
    <t xml:space="preserve">macaulay/flac/618271515.flac</t>
  </si>
  <si>
    <t xml:space="preserve">ML180020851</t>
  </si>
  <si>
    <t xml:space="preserve">duplicate_of:ML156784301</t>
  </si>
  <si>
    <t xml:space="preserve">macaulay/flac/180020851.flac</t>
  </si>
  <si>
    <t xml:space="preserve">ML612714218</t>
  </si>
  <si>
    <t xml:space="preserve">duplicate_of:ML612714205</t>
  </si>
  <si>
    <t xml:space="preserve">macaulay/flac/612714218.flac</t>
  </si>
  <si>
    <t xml:space="preserve">ML639218081</t>
  </si>
  <si>
    <t xml:space="preserve">macaulay/flac/639218081.flac</t>
  </si>
  <si>
    <t xml:space="preserve">ML648568095</t>
  </si>
  <si>
    <t xml:space="preserve">duplicate_of:ML648568089</t>
  </si>
  <si>
    <t xml:space="preserve">macaulay/flac/648568095.flac</t>
  </si>
  <si>
    <t xml:space="preserve">ML184764</t>
  </si>
  <si>
    <t xml:space="preserve">unidentified</t>
  </si>
  <si>
    <t xml:space="preserve">unidentified:Long-billed/Plain-capped Starthroat</t>
  </si>
  <si>
    <t xml:space="preserve">Heliomaster longirostris/constantii</t>
  </si>
  <si>
    <t xml:space="preserve">macaulay/flac/184764.flac</t>
  </si>
  <si>
    <t xml:space="preserve">slash-level label</t>
  </si>
  <si>
    <t xml:space="preserve">ML215335</t>
  </si>
  <si>
    <t xml:space="preserve">unidentified:amazon sp.</t>
  </si>
  <si>
    <t xml:space="preserve">Amazona sp.</t>
  </si>
  <si>
    <t xml:space="preserve">17:19</t>
  </si>
  <si>
    <t xml:space="preserve">macaulay/flac/215335.flac</t>
  </si>
  <si>
    <t xml:space="preserve">spuh-level label</t>
  </si>
  <si>
    <t xml:space="preserve">ML215358</t>
  </si>
  <si>
    <t xml:space="preserve">unidentified:antshrike sp.</t>
  </si>
  <si>
    <t xml:space="preserve">Thamnophilidae sp. (antshrike sp.)</t>
  </si>
  <si>
    <t xml:space="preserve">11:16</t>
  </si>
  <si>
    <t xml:space="preserve">macaulay/flac/215358.flac</t>
  </si>
  <si>
    <t xml:space="preserve">ML215384</t>
  </si>
  <si>
    <t xml:space="preserve">macaulay/flac/215384.flac</t>
  </si>
  <si>
    <t xml:space="preserve">ML215401</t>
  </si>
  <si>
    <t xml:space="preserve">unidentified:bird sp.</t>
  </si>
  <si>
    <t xml:space="preserve">Aves sp.</t>
  </si>
  <si>
    <t xml:space="preserve">15:06</t>
  </si>
  <si>
    <t xml:space="preserve">macaulay/flac/215401.flac</t>
  </si>
  <si>
    <t xml:space="preserve">ML215418</t>
  </si>
  <si>
    <t xml:space="preserve">macaulay/flac/215418.flac</t>
  </si>
  <si>
    <t xml:space="preserve">ML249442</t>
  </si>
  <si>
    <t xml:space="preserve">macaulay/flac/249442.flac</t>
  </si>
  <si>
    <t xml:space="preserve">ML639175478</t>
  </si>
  <si>
    <t xml:space="preserve">Great Tinamou; Lesser Greenlet</t>
  </si>
  <si>
    <t xml:space="preserve">macaulay/flac/639175478.flac</t>
  </si>
  <si>
    <t xml:space="preserve">ML643633353</t>
  </si>
  <si>
    <t xml:space="preserve">macaulay/flac/643633353.flac</t>
  </si>
  <si>
    <t xml:space="preserve">ML643641291</t>
  </si>
  <si>
    <t xml:space="preserve">macaulay/flac/643641291.flac</t>
  </si>
  <si>
    <t xml:space="preserve">ML643641385</t>
  </si>
  <si>
    <t xml:space="preserve">macaulay/flac/643641385.flac</t>
  </si>
  <si>
    <t xml:space="preserve">ML643644122</t>
  </si>
  <si>
    <t xml:space="preserve">macaulay/flac/643644122.flac</t>
  </si>
  <si>
    <t xml:space="preserve">ML643644678</t>
  </si>
  <si>
    <t xml:space="preserve">macaulay/flac/643644678.flac</t>
  </si>
  <si>
    <t xml:space="preserve">ML643658630</t>
  </si>
  <si>
    <t xml:space="preserve">macaulay/flac/643658630.flac</t>
  </si>
  <si>
    <t xml:space="preserve">ML643659840</t>
  </si>
  <si>
    <t xml:space="preserve">macaulay/flac/643659840.flac</t>
  </si>
  <si>
    <t xml:space="preserve">ML215416</t>
  </si>
  <si>
    <t xml:space="preserve">unidentified:diurnal raptor sp.</t>
  </si>
  <si>
    <t xml:space="preserve">Accipitriformes/Falconiformes sp.</t>
  </si>
  <si>
    <t xml:space="preserve">macaulay/flac/215416.flac</t>
  </si>
  <si>
    <t xml:space="preserve">ML209460</t>
  </si>
  <si>
    <t xml:space="preserve">unidentified:elaenia sp. (genus Elaenia)</t>
  </si>
  <si>
    <t xml:space="preserve">Elaenia sp.</t>
  </si>
  <si>
    <t xml:space="preserve">macaulay/flac/209460.flac</t>
  </si>
  <si>
    <t xml:space="preserve">ML215330</t>
  </si>
  <si>
    <t xml:space="preserve">unidentified:euphonia sp.</t>
  </si>
  <si>
    <t xml:space="preserve">Euphonia sp.</t>
  </si>
  <si>
    <t xml:space="preserve">macaulay/flac/215330.flac</t>
  </si>
  <si>
    <t xml:space="preserve">ML215441</t>
  </si>
  <si>
    <t xml:space="preserve">09:47</t>
  </si>
  <si>
    <t xml:space="preserve">macaulay/flac/215441.flac</t>
  </si>
  <si>
    <t xml:space="preserve">ML39227</t>
  </si>
  <si>
    <t xml:space="preserve">macaulay/flac/39227.flac</t>
  </si>
  <si>
    <t xml:space="preserve">ML215396</t>
  </si>
  <si>
    <t xml:space="preserve">unidentified:hummingbird sp.</t>
  </si>
  <si>
    <t xml:space="preserve">Trochilidae sp.</t>
  </si>
  <si>
    <t xml:space="preserve">macaulay/flac/215396.flac</t>
  </si>
  <si>
    <t xml:space="preserve">ML32449331</t>
  </si>
  <si>
    <t xml:space="preserve">S30311684</t>
  </si>
  <si>
    <t xml:space="preserve">macaulay/flac/32449331.flac</t>
  </si>
  <si>
    <t xml:space="preserve">ML639159482</t>
  </si>
  <si>
    <t xml:space="preserve">duplicate_of:ML639159184</t>
  </si>
  <si>
    <t xml:space="preserve">macaulay/flac/639159482.flac</t>
  </si>
  <si>
    <t xml:space="preserve">ML643650439</t>
  </si>
  <si>
    <t xml:space="preserve">unidentified:parrot sp.</t>
  </si>
  <si>
    <t xml:space="preserve">Psittaciformes sp. (parrot sp.)</t>
  </si>
  <si>
    <t xml:space="preserve">macaulay/flac/643650439.flac</t>
  </si>
  <si>
    <t xml:space="preserve">ML654748734</t>
  </si>
  <si>
    <t xml:space="preserve">unidentified:passerine sp.</t>
  </si>
  <si>
    <t xml:space="preserve">Passeriformes sp.</t>
  </si>
  <si>
    <t xml:space="preserve">macaulay/flac/654748734.flac</t>
  </si>
  <si>
    <t xml:space="preserve">ML654980665</t>
  </si>
  <si>
    <t xml:space="preserve">macaulay/flac/654980665.flac</t>
  </si>
  <si>
    <t xml:space="preserve">ML215355</t>
  </si>
  <si>
    <t xml:space="preserve">unidentified:saltator sp.</t>
  </si>
  <si>
    <t xml:space="preserve">Saltator sp.</t>
  </si>
  <si>
    <t xml:space="preserve">macaulay/flac/215355.flac</t>
  </si>
  <si>
    <t xml:space="preserve">ML215364</t>
  </si>
  <si>
    <t xml:space="preserve">unidentified:tanager sp. (Thraupidae sp.)</t>
  </si>
  <si>
    <t xml:space="preserve">Thraupidae sp. (tanager sp.)</t>
  </si>
  <si>
    <t xml:space="preserve">macaulay/flac/215364.flac</t>
  </si>
  <si>
    <t xml:space="preserve">ML249434</t>
  </si>
  <si>
    <t xml:space="preserve">unidentified:tinamou sp.</t>
  </si>
  <si>
    <t xml:space="preserve">Tinamidae sp.</t>
  </si>
  <si>
    <t xml:space="preserve">macaulay/flac/249434.flac</t>
  </si>
  <si>
    <t xml:space="preserve">ML654603484</t>
  </si>
  <si>
    <t xml:space="preserve">unidentified:woodpecker sp.</t>
  </si>
  <si>
    <t xml:space="preserve">Picidae sp.</t>
  </si>
  <si>
    <t xml:space="preserve">macaulay/flac/654603484.flac</t>
  </si>
  <si>
    <t xml:space="preserve">ML470122201</t>
  </si>
  <si>
    <t xml:space="preserve">unidentified:wren sp.</t>
  </si>
  <si>
    <t xml:space="preserve">Troglodytidae sp.</t>
  </si>
  <si>
    <t xml:space="preserve">macaulay/flac/470122201.flac</t>
  </si>
  <si>
    <t xml:space="preserve">ML166869</t>
  </si>
  <si>
    <t xml:space="preserve">soundscape_eval</t>
  </si>
  <si>
    <t xml:space="preserve">soundscape</t>
  </si>
  <si>
    <t xml:space="preserve">Olive Snouted Tree Frog; Southern Narrow-mouthed Toad; Mexican Smilisca</t>
  </si>
  <si>
    <t xml:space="preserve">22:52</t>
  </si>
  <si>
    <t xml:space="preserve">macaulay/flac/166869.flac</t>
  </si>
  <si>
    <t xml:space="preserve">ML166872</t>
  </si>
  <si>
    <t xml:space="preserve">Frogs and Toads; Slaty-breasted Tinamou</t>
  </si>
  <si>
    <t xml:space="preserve">macaulay/flac/166872.flac</t>
  </si>
  <si>
    <t xml:space="preserve">ML166875</t>
  </si>
  <si>
    <t xml:space="preserve">Frogs and Toads; Smoky Jungle Frog</t>
  </si>
  <si>
    <t xml:space="preserve">15:53</t>
  </si>
  <si>
    <t xml:space="preserve">macaulay/flac/166875.flac</t>
  </si>
  <si>
    <t xml:space="preserve">ML166882</t>
  </si>
  <si>
    <t xml:space="preserve">Strawberry Poison Dart Frog</t>
  </si>
  <si>
    <t xml:space="preserve">David L. Ross, Jr.|1996-05-12</t>
  </si>
  <si>
    <t xml:space="preserve">macaulay/flac/166882.flac</t>
  </si>
  <si>
    <t xml:space="preserve">ML166883</t>
  </si>
  <si>
    <t xml:space="preserve">Olive Snouted Tree Frog; Mexican Smilisca; Harlequin Treefrog; Mahogany Tree Frog; Parachuting Red-eyed Leaf Frog</t>
  </si>
  <si>
    <t xml:space="preserve">20:16</t>
  </si>
  <si>
    <t xml:space="preserve">macaulay/flac/166883.flac</t>
  </si>
  <si>
    <t xml:space="preserve">ML166885</t>
  </si>
  <si>
    <t xml:space="preserve">Tink Frog; Red-eyed Tree Frog</t>
  </si>
  <si>
    <t xml:space="preserve">23:24</t>
  </si>
  <si>
    <t xml:space="preserve">macaulay/flac/166885.flac</t>
  </si>
  <si>
    <t xml:space="preserve">ML166890</t>
  </si>
  <si>
    <t xml:space="preserve">Parachuting Red-eyed Leaf Frog; Mahogany Tree Frog; Olive Snouted Tree Frog; Harlequin Treefrog; Southern Narrow-mouthed Toad; Mexican Smilisca; Smoky Jungle Frog</t>
  </si>
  <si>
    <t xml:space="preserve">David L. Ross, Jr.|1996-05-13</t>
  </si>
  <si>
    <t xml:space="preserve">03:56</t>
  </si>
  <si>
    <t xml:space="preserve">macaulay/flac/166890.flac</t>
  </si>
  <si>
    <t xml:space="preserve">ML166891</t>
  </si>
  <si>
    <t xml:space="preserve">Mexican Smilisca; Parachuting Red-eyed Leaf Frog; Mahogany Tree Frog; Smoky Jungle Frog; Harlequin Treefrog; Olive Snouted Tree Frog</t>
  </si>
  <si>
    <t xml:space="preserve">04:39</t>
  </si>
  <si>
    <t xml:space="preserve">macaulay/flac/166891.flac</t>
  </si>
  <si>
    <t xml:space="preserve">ML166892</t>
  </si>
  <si>
    <t xml:space="preserve">Mexican Smilisca; Parachuting Red-eyed Leaf Frog; Mahogany Tree Frog; Olive Snouted Tree Frog; Harlequin Treefrog; Smoky Jungle Frog; Southern Narrow-mouthed Toad</t>
  </si>
  <si>
    <t xml:space="preserve">04:42</t>
  </si>
  <si>
    <t xml:space="preserve">macaulay/flac/166892.flac</t>
  </si>
  <si>
    <t xml:space="preserve">ML166893</t>
  </si>
  <si>
    <t xml:space="preserve">Mexican Smilisca; Mahogany Tree Frog; Harlequin Treefrog; Smoky Jungle Frog; Olive Snouted Tree Frog</t>
  </si>
  <si>
    <t xml:space="preserve">04:54</t>
  </si>
  <si>
    <t xml:space="preserve">macaulay/flac/166893.flac</t>
  </si>
  <si>
    <t xml:space="preserve">ML185577</t>
  </si>
  <si>
    <t xml:space="preserve">Bright-rumped Attila; Stripe-breasted Wren; Chestnut-backed Antbird; White-breasted Wood-Wren; Mealy Amazon; Strawberry Poison Dart Frog; Great Tinamou; Song Wren</t>
  </si>
  <si>
    <t xml:space="preserve">macaulay/flac/185577.flac</t>
  </si>
  <si>
    <t xml:space="preserve">ML209455</t>
  </si>
  <si>
    <t xml:space="preserve">Typical Cicadas</t>
  </si>
  <si>
    <t xml:space="preserve">10:25</t>
  </si>
  <si>
    <t xml:space="preserve">macaulay/flac/209455.flac</t>
  </si>
  <si>
    <t xml:space="preserve">ML209488</t>
  </si>
  <si>
    <t xml:space="preserve">Smoky Jungle Frog; Harlequin Treefrog; Parachuting Red-eyed Leaf Frog; Red-eyed Tree Frog</t>
  </si>
  <si>
    <t xml:space="preserve">macaulay/flac/209488.flac</t>
  </si>
  <si>
    <t xml:space="preserve">ML209489</t>
  </si>
  <si>
    <t xml:space="preserve">macaulay/flac/209489.flac</t>
  </si>
  <si>
    <t xml:space="preserve">ML57478</t>
  </si>
  <si>
    <t xml:space="preserve">macaulay/flac/57478.flac</t>
  </si>
  <si>
    <t xml:space="preserve">ML639054113</t>
  </si>
  <si>
    <t xml:space="preserve">Yellow-throated Toucan; White-breasted Wood-Wren; Rufous-tailed Jacamar; Dusky Antbird</t>
  </si>
  <si>
    <t xml:space="preserve">macaulay/flac/639054113.flac</t>
  </si>
  <si>
    <t xml:space="preserve">ML639159184</t>
  </si>
  <si>
    <t xml:space="preserve">Buff-throated Saltator; Chestnut-backed Antbird; White-breasted Wood-Wren; Cocoa Woodcreeper; White-collared Manakin; Orange-billed Sparrow; Bright-rumped Attila; Scarlet-rumped Tanager (Passerini's); Rufous-tailed Hummingbird; Yellow-throated Toucan; Great Kiskadee; Clay-colored Thrush; Blue-gray Tanager; Wedge-billed Woodcreeper; Black-faced Grosbeak</t>
  </si>
  <si>
    <t xml:space="preserve">macaulay/flac/639159184.flac</t>
  </si>
  <si>
    <t xml:space="preserve">ML639162568</t>
  </si>
  <si>
    <t xml:space="preserve">Collared Forest-Falcon; Fasciated Antshrike; Dusky Antbird; Yellow-throated Toucan; Red-lored Amazon; Slaty-tailed Trogon; Long-billed Gnatwren</t>
  </si>
  <si>
    <t xml:space="preserve">macaulay/flac/639162568.flac</t>
  </si>
  <si>
    <t xml:space="preserve">ML639163011</t>
  </si>
  <si>
    <t xml:space="preserve">Collared Forest-Falcon; Dusky Antbird; Great Tinamou; Broad-billed Motmot; Fasciated Antshrike</t>
  </si>
  <si>
    <t xml:space="preserve">macaulay/flac/639163011.flac</t>
  </si>
  <si>
    <t xml:space="preserve">ML639163270</t>
  </si>
  <si>
    <t xml:space="preserve">Green Ibis; Slaty-tailed Trogon; Collared Forest-Falcon; Dusky Antbird; Long-billed Gnatwren; Red-lored Amazon</t>
  </si>
  <si>
    <t xml:space="preserve">macaulay/flac/639163270.flac</t>
  </si>
  <si>
    <t xml:space="preserve">ML639176633</t>
  </si>
  <si>
    <t xml:space="preserve">Boat-billed Flycatcher; Rufous-tailed Hummingbird; Buff-throated Saltator; Clay-colored Thrush</t>
  </si>
  <si>
    <t xml:space="preserve">macaulay/flac/639176633.flac</t>
  </si>
  <si>
    <t xml:space="preserve">ML643527234</t>
  </si>
  <si>
    <t xml:space="preserve">macaulay/flac/643527234.flac</t>
  </si>
  <si>
    <t xml:space="preserve">ML643527430</t>
  </si>
  <si>
    <t xml:space="preserve">macaulay/flac/643527430.flac</t>
  </si>
  <si>
    <t xml:space="preserve">ML643642069</t>
  </si>
  <si>
    <t xml:space="preserve">Scarlet-rumped Tanager (Passerini's); Short-billed Pigeon; Keel-billed Toucan; Clay-colored Thrush; White-necked Puffbird; Montezuma Oropendola; White-breasted Wood-Wren</t>
  </si>
  <si>
    <t xml:space="preserve">macaulay/flac/643642069.flac</t>
  </si>
  <si>
    <t xml:space="preserve">ML643644220</t>
  </si>
  <si>
    <t xml:space="preserve">macaulay/flac/643644220.flac</t>
  </si>
  <si>
    <t xml:space="preserve">ML643658397</t>
  </si>
  <si>
    <t xml:space="preserve">macaulay/flac/643658397.flac</t>
  </si>
  <si>
    <t xml:space="preserve">ML643660928</t>
  </si>
  <si>
    <t xml:space="preserve">macaulay/flac/643660928.flac</t>
  </si>
  <si>
    <t xml:space="preserve">ML643661070</t>
  </si>
  <si>
    <t xml:space="preserve">macaulay/flac/643661070.flac</t>
  </si>
  <si>
    <t xml:space="preserve">ML643661181</t>
  </si>
  <si>
    <t xml:space="preserve">macaulay/flac/643661181.flac</t>
  </si>
  <si>
    <t xml:space="preserve">ML646193351</t>
  </si>
  <si>
    <t xml:space="preserve">S286382455</t>
  </si>
  <si>
    <t xml:space="preserve">18:49</t>
  </si>
  <si>
    <t xml:space="preserve">macaulay/flac/646193351.flac</t>
  </si>
  <si>
    <t xml:space="preserve">ML646522105</t>
  </si>
  <si>
    <t xml:space="preserve">macaulay/flac/646522105.flac</t>
  </si>
  <si>
    <t xml:space="preserve">ML648628361</t>
  </si>
  <si>
    <t xml:space="preserve">Buff-throated Saltator; Fasciated Antshrike; Northern Yellow Warbler</t>
  </si>
  <si>
    <t xml:space="preserve">macaulay/flac/648628361.flac</t>
  </si>
  <si>
    <t xml:space="preserve">ML648704445</t>
  </si>
  <si>
    <t xml:space="preserve">Black-crowned Antshrike; Chestnut-headed Oropendola; Purple-throated Fruitcrow; Scarlet-rumped Cacique; Wedge-billed Woodcreeper</t>
  </si>
  <si>
    <t xml:space="preserve">macaulay/flac/648704445.flac</t>
  </si>
  <si>
    <t xml:space="preserve">ML648704446</t>
  </si>
  <si>
    <t xml:space="preserve">Purple-throated Fruitcrow; Eastern Wood-Pewee; White-collared Manakin; Chestnut-headed Oropendola</t>
  </si>
  <si>
    <t xml:space="preserve">macaulay/flac/648704446.flac</t>
  </si>
  <si>
    <t xml:space="preserve">ML648704447</t>
  </si>
  <si>
    <t xml:space="preserve">Black-crowned Antshrike; Chestnut-backed Antbird; White-breasted Wood-Wren</t>
  </si>
  <si>
    <t xml:space="preserve">macaulay/flac/648704447.flac</t>
  </si>
  <si>
    <t xml:space="preserve">ML648780655</t>
  </si>
  <si>
    <t xml:space="preserve">Montezuma Oropendola; White-collared Manakin; Buff-throated Saltator; White-breasted Wood-Wren</t>
  </si>
  <si>
    <t xml:space="preserve">macaulay/flac/648780655.flac</t>
  </si>
  <si>
    <t xml:space="preserve">ML648780656</t>
  </si>
  <si>
    <t xml:space="preserve">Montezuma Oropendola; Great Kiskadee; Northern Yellow Warbler; Bright-rumped Attila; Yellow-throated Toucan; Clay-colored Thrush</t>
  </si>
  <si>
    <t xml:space="preserve">macaulay/flac/648780656.flac</t>
  </si>
  <si>
    <t xml:space="preserve">ML648780657</t>
  </si>
  <si>
    <t xml:space="preserve">Great Kiskadee; Bright-rumped Attila; Yellow-throated Toucan; Red-lored Amazon; Montezuma Oropendola; Bananaquit; Tropical Royal Flycatcher</t>
  </si>
  <si>
    <t xml:space="preserve">macaulay/flac/648780657.flac</t>
  </si>
  <si>
    <t xml:space="preserve">ML652408239</t>
  </si>
  <si>
    <t xml:space="preserve">macaulay/flac/652408239.flac</t>
  </si>
  <si>
    <t xml:space="preserve">ML652408240</t>
  </si>
  <si>
    <t xml:space="preserve">macaulay/flac/652408240.flac</t>
  </si>
  <si>
    <t xml:space="preserve">ML652408241</t>
  </si>
  <si>
    <t xml:space="preserve">macaulay/flac/652408241.flac</t>
  </si>
  <si>
    <t xml:space="preserve">ML655329770</t>
  </si>
  <si>
    <t xml:space="preserve">S324244573</t>
  </si>
  <si>
    <t xml:space="preserve">César Sánchez</t>
  </si>
  <si>
    <t xml:space="preserve">macaulay/flac/655329770.flac</t>
  </si>
  <si>
    <t xml:space="preserve">ML72639</t>
  </si>
  <si>
    <t xml:space="preserve">macaulay/flac/72639.flac</t>
  </si>
  <si>
    <t xml:space="preserve">ML72668</t>
  </si>
  <si>
    <t xml:space="preserve">macaulay/flac/72668.flac</t>
  </si>
  <si>
    <t xml:space="preserve">ML72677</t>
  </si>
  <si>
    <t xml:space="preserve">macaulay/flac/72677.flac</t>
  </si>
  <si>
    <t xml:space="preserve">ML74221</t>
  </si>
  <si>
    <t xml:space="preserve">macaulay/flac/74221.flac</t>
  </si>
  <si>
    <t xml:space="preserve">ML610542366</t>
  </si>
  <si>
    <t xml:space="preserve">test</t>
  </si>
  <si>
    <t xml:space="preserve">macaulay/flac/610542366.flac</t>
  </si>
  <si>
    <t xml:space="preserve">ML643642013</t>
  </si>
  <si>
    <t xml:space="preserve">macaulay/flac/643642013.flac</t>
  </si>
  <si>
    <t xml:space="preserve">ML647327714</t>
  </si>
  <si>
    <t xml:space="preserve">macaulay/flac/647327714.flac</t>
  </si>
  <si>
    <t xml:space="preserve">ML76605</t>
  </si>
  <si>
    <t xml:space="preserve">macaulay/flac/76605.flac</t>
  </si>
  <si>
    <t xml:space="preserve">ML179453821</t>
  </si>
  <si>
    <t xml:space="preserve">macaulay/flac/179453821.flac</t>
  </si>
  <si>
    <t xml:space="preserve">ML76614</t>
  </si>
  <si>
    <t xml:space="preserve">macaulay/flac/76614.flac</t>
  </si>
  <si>
    <t xml:space="preserve">ML215402</t>
  </si>
  <si>
    <t xml:space="preserve">15:36</t>
  </si>
  <si>
    <t xml:space="preserve">macaulay/flac/215402.flac</t>
  </si>
  <si>
    <t xml:space="preserve">ML129899381</t>
  </si>
  <si>
    <t xml:space="preserve">S49450926</t>
  </si>
  <si>
    <t xml:space="preserve">Laurens Halsey</t>
  </si>
  <si>
    <t xml:space="preserve">macaulay/flac/129899381.flac</t>
  </si>
  <si>
    <t xml:space="preserve">ML618154201</t>
  </si>
  <si>
    <t xml:space="preserve">S149563094</t>
  </si>
  <si>
    <t xml:space="preserve">macaulay/flac/618154201.flac</t>
  </si>
  <si>
    <t xml:space="preserve">ML215372</t>
  </si>
  <si>
    <t xml:space="preserve">09:41</t>
  </si>
  <si>
    <t xml:space="preserve">macaulay/flac/215372.flac</t>
  </si>
  <si>
    <t xml:space="preserve">ML32448911</t>
  </si>
  <si>
    <t xml:space="preserve">macaulay/flac/32448911.flac</t>
  </si>
  <si>
    <t xml:space="preserve">ML266288621</t>
  </si>
  <si>
    <t xml:space="preserve">S73503280</t>
  </si>
  <si>
    <t xml:space="preserve">10:36</t>
  </si>
  <si>
    <t xml:space="preserve">macaulay/flac/266288621.flac</t>
  </si>
  <si>
    <t xml:space="preserve">ML347764311</t>
  </si>
  <si>
    <t xml:space="preserve">macaulay/flac/347764311.flac</t>
  </si>
  <si>
    <t xml:space="preserve">ML400106911</t>
  </si>
  <si>
    <t xml:space="preserve">macaulay/flac/400106911.flac</t>
  </si>
  <si>
    <t xml:space="preserve">ML647327611</t>
  </si>
  <si>
    <t xml:space="preserve">macaulay/flac/647327611.flac</t>
  </si>
  <si>
    <t xml:space="preserve">ML647327651</t>
  </si>
  <si>
    <t xml:space="preserve">macaulay/flac/647327651.flac</t>
  </si>
  <si>
    <t xml:space="preserve">ML647330519</t>
  </si>
  <si>
    <t xml:space="preserve">macaulay/flac/647330519.flac</t>
  </si>
  <si>
    <t xml:space="preserve">ML653481318</t>
  </si>
  <si>
    <t xml:space="preserve">S310099139</t>
  </si>
  <si>
    <t xml:space="preserve">Anne Craig</t>
  </si>
  <si>
    <t xml:space="preserve">08:42</t>
  </si>
  <si>
    <t xml:space="preserve">macaulay/flac/653481318.flac</t>
  </si>
  <si>
    <t xml:space="preserve">ML610571745</t>
  </si>
  <si>
    <t xml:space="preserve">macaulay/flac/610571745.flac</t>
  </si>
  <si>
    <t xml:space="preserve">ML51740</t>
  </si>
  <si>
    <t xml:space="preserve">10:55</t>
  </si>
  <si>
    <t xml:space="preserve">macaulay/flac/51740.flac</t>
  </si>
  <si>
    <t xml:space="preserve">ML215371</t>
  </si>
  <si>
    <t xml:space="preserve">macaulay/flac/215371.flac</t>
  </si>
  <si>
    <t xml:space="preserve">group label: Bicolored Hawk (Bicolored)</t>
  </si>
  <si>
    <t xml:space="preserve">ML215374</t>
  </si>
  <si>
    <t xml:space="preserve">macaulay/flac/215374.flac</t>
  </si>
  <si>
    <t xml:space="preserve">ML458626901</t>
  </si>
  <si>
    <t xml:space="preserve">macaulay/flac/458626901.flac</t>
  </si>
  <si>
    <t xml:space="preserve">ML641788788</t>
  </si>
  <si>
    <t xml:space="preserve">S273056336</t>
  </si>
  <si>
    <t xml:space="preserve">04:53</t>
  </si>
  <si>
    <t xml:space="preserve">macaulay/flac/641788788.flac</t>
  </si>
  <si>
    <t xml:space="preserve">ML249451</t>
  </si>
  <si>
    <t xml:space="preserve">macaulay/flac/249451.flac</t>
  </si>
  <si>
    <t xml:space="preserve">group label: Black-banded Woodcreeper (Costa Rican)</t>
  </si>
  <si>
    <t xml:space="preserve">ML127823151</t>
  </si>
  <si>
    <t xml:space="preserve">macaulay/flac/127823151.flac</t>
  </si>
  <si>
    <t xml:space="preserve">ML28155</t>
  </si>
  <si>
    <t xml:space="preserve">Short-billed Pigeon; White-lored Antpitta</t>
  </si>
  <si>
    <t xml:space="preserve">macaulay/flac/28155.flac</t>
  </si>
  <si>
    <t xml:space="preserve">ML338503491</t>
  </si>
  <si>
    <t xml:space="preserve">macaulay/flac/338503491.flac</t>
  </si>
  <si>
    <t xml:space="preserve">ML654658111</t>
  </si>
  <si>
    <t xml:space="preserve">macaulay/flac/654658111.flac</t>
  </si>
  <si>
    <t xml:space="preserve">ML57474</t>
  </si>
  <si>
    <t xml:space="preserve">macaulay/flac/57474.flac</t>
  </si>
  <si>
    <t xml:space="preserve">ML57475</t>
  </si>
  <si>
    <t xml:space="preserve">macaulay/flac/57475.flac</t>
  </si>
  <si>
    <t xml:space="preserve">ML661327905</t>
  </si>
  <si>
    <t xml:space="preserve">S372105022</t>
  </si>
  <si>
    <t xml:space="preserve">macaulay/flac/661327905.flac</t>
  </si>
  <si>
    <t xml:space="preserve">ML249454</t>
  </si>
  <si>
    <t xml:space="preserve">macaulay/flac/249454.flac</t>
  </si>
  <si>
    <t xml:space="preserve">ML268167161</t>
  </si>
  <si>
    <t xml:space="preserve">macaulay/flac/268167161.flac</t>
  </si>
  <si>
    <t xml:space="preserve">ML315003501</t>
  </si>
  <si>
    <t xml:space="preserve">macaulay/flac/315003501.flac</t>
  </si>
  <si>
    <t xml:space="preserve">ML315003511</t>
  </si>
  <si>
    <t xml:space="preserve">macaulay/flac/315003511.flac</t>
  </si>
  <si>
    <t xml:space="preserve">ML347766171</t>
  </si>
  <si>
    <t xml:space="preserve">S89899823</t>
  </si>
  <si>
    <t xml:space="preserve">macaulay/flac/347766171.flac</t>
  </si>
  <si>
    <t xml:space="preserve">ML653762496</t>
  </si>
  <si>
    <t xml:space="preserve">macaulay/flac/653762496.flac</t>
  </si>
  <si>
    <t xml:space="preserve">ML663617831</t>
  </si>
  <si>
    <t xml:space="preserve">macaulay/flac/663617831.flac</t>
  </si>
  <si>
    <t xml:space="preserve">ML228673011</t>
  </si>
  <si>
    <t xml:space="preserve">S68045520</t>
  </si>
  <si>
    <t xml:space="preserve">macaulay/flac/228673011.flac</t>
  </si>
  <si>
    <t xml:space="preserve">ML249436</t>
  </si>
  <si>
    <t xml:space="preserve">macaulay/flac/249436.flac</t>
  </si>
  <si>
    <t xml:space="preserve">group label: Black-faced Antthrush (Central American)</t>
  </si>
  <si>
    <t xml:space="preserve">ML76638</t>
  </si>
  <si>
    <t xml:space="preserve">macaulay/flac/76638.flac</t>
  </si>
  <si>
    <t xml:space="preserve">ML193406991</t>
  </si>
  <si>
    <t xml:space="preserve">macaulay/flac/193406991.flac</t>
  </si>
  <si>
    <t xml:space="preserve">ML249461</t>
  </si>
  <si>
    <t xml:space="preserve">macaulay/flac/249461.flac</t>
  </si>
  <si>
    <t xml:space="preserve">ML470129651</t>
  </si>
  <si>
    <t xml:space="preserve">macaulay/flac/470129651.flac</t>
  </si>
  <si>
    <t xml:space="preserve">ML72607</t>
  </si>
  <si>
    <t xml:space="preserve">macaulay/flac/72607.flac</t>
  </si>
  <si>
    <t xml:space="preserve">ML72611</t>
  </si>
  <si>
    <t xml:space="preserve">macaulay/flac/72611.flac</t>
  </si>
  <si>
    <t xml:space="preserve">ML76627</t>
  </si>
  <si>
    <t xml:space="preserve">macaulay/flac/76627.flac</t>
  </si>
  <si>
    <t xml:space="preserve">ML458626341</t>
  </si>
  <si>
    <t xml:space="preserve">macaulay/flac/458626341.flac</t>
  </si>
  <si>
    <t xml:space="preserve">ML100362431</t>
  </si>
  <si>
    <t xml:space="preserve">macaulay/flac/100362431.flac</t>
  </si>
  <si>
    <t xml:space="preserve">ML100507081</t>
  </si>
  <si>
    <t xml:space="preserve">macaulay/flac/100507081.flac</t>
  </si>
  <si>
    <t xml:space="preserve">ML28139</t>
  </si>
  <si>
    <t xml:space="preserve">macaulay/flac/28139.flac</t>
  </si>
  <si>
    <t xml:space="preserve">ML102627761</t>
  </si>
  <si>
    <t xml:space="preserve">macaulay/flac/102627761.flac</t>
  </si>
  <si>
    <t xml:space="preserve">ML102628271</t>
  </si>
  <si>
    <t xml:space="preserve">macaulay/flac/102628271.flac</t>
  </si>
  <si>
    <t xml:space="preserve">ML102629371</t>
  </si>
  <si>
    <t xml:space="preserve">macaulay/flac/102629371.flac</t>
  </si>
  <si>
    <t xml:space="preserve">ML143072701</t>
  </si>
  <si>
    <t xml:space="preserve">macaulay/flac/143072701.flac</t>
  </si>
  <si>
    <t xml:space="preserve">ML179452901</t>
  </si>
  <si>
    <t xml:space="preserve">macaulay/flac/179452901.flac</t>
  </si>
  <si>
    <t xml:space="preserve">ML249463</t>
  </si>
  <si>
    <t xml:space="preserve">macaulay/flac/249463.flac</t>
  </si>
  <si>
    <t xml:space="preserve">ML349505941</t>
  </si>
  <si>
    <t xml:space="preserve">S90548403</t>
  </si>
  <si>
    <t xml:space="preserve">Connor Cochrane</t>
  </si>
  <si>
    <t xml:space="preserve">macaulay/flac/349505941.flac</t>
  </si>
  <si>
    <t xml:space="preserve">ML609056525</t>
  </si>
  <si>
    <t xml:space="preserve">macaulay/flac/609056525.flac</t>
  </si>
  <si>
    <t xml:space="preserve">ML639219087</t>
  </si>
  <si>
    <t xml:space="preserve">macaulay/flac/639219087.flac</t>
  </si>
  <si>
    <t xml:space="preserve">ML209454</t>
  </si>
  <si>
    <t xml:space="preserve">06:33</t>
  </si>
  <si>
    <t xml:space="preserve">macaulay/flac/209454.flac</t>
  </si>
  <si>
    <t xml:space="preserve">ML299627</t>
  </si>
  <si>
    <t xml:space="preserve">macaulay/flac/299627.flac</t>
  </si>
  <si>
    <t xml:space="preserve">ML403164931</t>
  </si>
  <si>
    <t xml:space="preserve">macaulay/flac/403164931.flac</t>
  </si>
  <si>
    <t xml:space="preserve">ML72604</t>
  </si>
  <si>
    <t xml:space="preserve">macaulay/flac/72604.flac</t>
  </si>
  <si>
    <t xml:space="preserve">ML609056577</t>
  </si>
  <si>
    <t xml:space="preserve">macaulay/flac/609056577.flac</t>
  </si>
  <si>
    <t xml:space="preserve">ML299632</t>
  </si>
  <si>
    <t xml:space="preserve">07:50</t>
  </si>
  <si>
    <t xml:space="preserve">macaulay/flac/299632.flac</t>
  </si>
  <si>
    <t xml:space="preserve">ML147719771</t>
  </si>
  <si>
    <t xml:space="preserve">macaulay/flac/147719771.flac</t>
  </si>
  <si>
    <t xml:space="preserve">ML597933891</t>
  </si>
  <si>
    <t xml:space="preserve">macaulay/flac/597933891.flac</t>
  </si>
  <si>
    <t xml:space="preserve">ML597933901</t>
  </si>
  <si>
    <t xml:space="preserve">macaulay/flac/597933901.flac</t>
  </si>
  <si>
    <t xml:space="preserve">ML101480431</t>
  </si>
  <si>
    <t xml:space="preserve">macaulay/flac/101480431.flac</t>
  </si>
  <si>
    <t xml:space="preserve">ML154654121</t>
  </si>
  <si>
    <t xml:space="preserve">macaulay/flac/154654121.flac</t>
  </si>
  <si>
    <t xml:space="preserve">ML249453</t>
  </si>
  <si>
    <t xml:space="preserve">macaulay/flac/249453.flac</t>
  </si>
  <si>
    <t xml:space="preserve">ML299542</t>
  </si>
  <si>
    <t xml:space="preserve">macaulay/flac/299542.flac</t>
  </si>
  <si>
    <t xml:space="preserve">ML299594</t>
  </si>
  <si>
    <t xml:space="preserve">macaulay/flac/299594.flac</t>
  </si>
  <si>
    <t xml:space="preserve">ML654112155</t>
  </si>
  <si>
    <t xml:space="preserve">macaulay/flac/654112155.flac</t>
  </si>
  <si>
    <t xml:space="preserve">ML654443082</t>
  </si>
  <si>
    <t xml:space="preserve">macaulay/flac/654443082.flac</t>
  </si>
  <si>
    <t xml:space="preserve">ML144009741</t>
  </si>
  <si>
    <t xml:space="preserve">macaulay/flac/144009741.flac</t>
  </si>
  <si>
    <t xml:space="preserve">ML193418311</t>
  </si>
  <si>
    <t xml:space="preserve">macaulay/flac/193418311.flac</t>
  </si>
  <si>
    <t xml:space="preserve">ML348004141</t>
  </si>
  <si>
    <t xml:space="preserve">macaulay/flac/348004141.flac</t>
  </si>
  <si>
    <t xml:space="preserve">ML39241</t>
  </si>
  <si>
    <t xml:space="preserve">macaulay/flac/39241.flac</t>
  </si>
  <si>
    <t xml:space="preserve">ML647330792</t>
  </si>
  <si>
    <t xml:space="preserve">macaulay/flac/647330792.flac</t>
  </si>
  <si>
    <t xml:space="preserve">ML647568520</t>
  </si>
  <si>
    <t xml:space="preserve">macaulay/flac/647568520.flac</t>
  </si>
  <si>
    <t xml:space="preserve">ML647568955</t>
  </si>
  <si>
    <t xml:space="preserve">macaulay/flac/647568955.flac</t>
  </si>
  <si>
    <t xml:space="preserve">ML631297393</t>
  </si>
  <si>
    <t xml:space="preserve">macaulay/flac/631297393.flac</t>
  </si>
  <si>
    <t xml:space="preserve">ML184786</t>
  </si>
  <si>
    <t xml:space="preserve">macaulay/flac/184786.flac</t>
  </si>
  <si>
    <t xml:space="preserve">ML228671581</t>
  </si>
  <si>
    <t xml:space="preserve">macaulay/flac/228671581.flac</t>
  </si>
  <si>
    <t xml:space="preserve">ML101884521</t>
  </si>
  <si>
    <t xml:space="preserve">macaulay/flac/101884521.flac</t>
  </si>
  <si>
    <t xml:space="preserve">ML145227841</t>
  </si>
  <si>
    <t xml:space="preserve">S53499482</t>
  </si>
  <si>
    <t xml:space="preserve">macaulay/flac/145227841.flac</t>
  </si>
  <si>
    <t xml:space="preserve">ML267813611</t>
  </si>
  <si>
    <t xml:space="preserve">macaulay/flac/267813611.flac</t>
  </si>
  <si>
    <t xml:space="preserve">ML609054109</t>
  </si>
  <si>
    <t xml:space="preserve">S150731425</t>
  </si>
  <si>
    <t xml:space="preserve">Byron deyampert</t>
  </si>
  <si>
    <t xml:space="preserve">macaulay/flac/609054109.flac</t>
  </si>
  <si>
    <t xml:space="preserve">ML609054110</t>
  </si>
  <si>
    <t xml:space="preserve">macaulay/flac/609054110.flac</t>
  </si>
  <si>
    <t xml:space="preserve">ML99564331</t>
  </si>
  <si>
    <t xml:space="preserve">macaulay/flac/99564331.flac</t>
  </si>
  <si>
    <t xml:space="preserve">ML179453261</t>
  </si>
  <si>
    <t xml:space="preserve">macaulay/flac/179453261.flac</t>
  </si>
  <si>
    <t xml:space="preserve">ML639164887</t>
  </si>
  <si>
    <t xml:space="preserve">macaulay/flac/639164887.flac</t>
  </si>
  <si>
    <t xml:space="preserve">ML643661250</t>
  </si>
  <si>
    <t xml:space="preserve">macaulay/flac/643661250.flac</t>
  </si>
  <si>
    <t xml:space="preserve">ML209474</t>
  </si>
  <si>
    <t xml:space="preserve">08:23</t>
  </si>
  <si>
    <t xml:space="preserve">macaulay/flac/209474.flac</t>
  </si>
  <si>
    <t xml:space="preserve">ML209477</t>
  </si>
  <si>
    <t xml:space="preserve">08:39</t>
  </si>
  <si>
    <t xml:space="preserve">macaulay/flac/209477.flac</t>
  </si>
  <si>
    <t xml:space="preserve">ML209478</t>
  </si>
  <si>
    <t xml:space="preserve">08:46</t>
  </si>
  <si>
    <t xml:space="preserve">macaulay/flac/209478.flac</t>
  </si>
  <si>
    <t xml:space="preserve">ML417347391</t>
  </si>
  <si>
    <t xml:space="preserve">S99298967</t>
  </si>
  <si>
    <t xml:space="preserve">Rohan van Twest</t>
  </si>
  <si>
    <t xml:space="preserve">macaulay/flac/417347391.flac</t>
  </si>
  <si>
    <t xml:space="preserve">ML610572717</t>
  </si>
  <si>
    <t xml:space="preserve">macaulay/flac/610572717.flac</t>
  </si>
  <si>
    <t xml:space="preserve">ML610572721</t>
  </si>
  <si>
    <t xml:space="preserve">macaulay/flac/610572721.flac</t>
  </si>
  <si>
    <t xml:space="preserve">ML612315942</t>
  </si>
  <si>
    <t xml:space="preserve">macaulay/flac/612315942.flac</t>
  </si>
  <si>
    <t xml:space="preserve">ML103065681</t>
  </si>
  <si>
    <t xml:space="preserve">macaulay/flac/103065681.flac</t>
  </si>
  <si>
    <t xml:space="preserve">ML147720521</t>
  </si>
  <si>
    <t xml:space="preserve">macaulay/flac/147720521.flac</t>
  </si>
  <si>
    <t xml:space="preserve">ML147720921</t>
  </si>
  <si>
    <t xml:space="preserve">macaulay/flac/147720921.flac</t>
  </si>
  <si>
    <t xml:space="preserve">ML148044791</t>
  </si>
  <si>
    <t xml:space="preserve">macaulay/flac/148044791.flac</t>
  </si>
  <si>
    <t xml:space="preserve">ML249455</t>
  </si>
  <si>
    <t xml:space="preserve">macaulay/flac/249455.flac</t>
  </si>
  <si>
    <t xml:space="preserve">ML297139161</t>
  </si>
  <si>
    <t xml:space="preserve">S77636304</t>
  </si>
  <si>
    <t xml:space="preserve">08:59</t>
  </si>
  <si>
    <t xml:space="preserve">macaulay/flac/297139161.flac</t>
  </si>
  <si>
    <t xml:space="preserve">ML630391104</t>
  </si>
  <si>
    <t xml:space="preserve">Yellow-throated Toucan; Mealy Amazon</t>
  </si>
  <si>
    <t xml:space="preserve">macaulay/flac/630391104.flac</t>
  </si>
  <si>
    <t xml:space="preserve">ML649899679</t>
  </si>
  <si>
    <t xml:space="preserve">macaulay/flac/649899679.flac</t>
  </si>
  <si>
    <t xml:space="preserve">ML297142631</t>
  </si>
  <si>
    <t xml:space="preserve">S77723190</t>
  </si>
  <si>
    <t xml:space="preserve">macaulay/flac/297142631.flac</t>
  </si>
  <si>
    <t xml:space="preserve">ML654427070</t>
  </si>
  <si>
    <t xml:space="preserve">macaulay/flac/654427070.flac</t>
  </si>
  <si>
    <t xml:space="preserve">ML654427104</t>
  </si>
  <si>
    <t xml:space="preserve">macaulay/flac/654427104.flac</t>
  </si>
  <si>
    <t xml:space="preserve">ML654658401</t>
  </si>
  <si>
    <t xml:space="preserve">macaulay/flac/654658401.flac</t>
  </si>
  <si>
    <t xml:space="preserve">ML654658718</t>
  </si>
  <si>
    <t xml:space="preserve">macaulay/flac/654658718.flac</t>
  </si>
  <si>
    <t xml:space="preserve">ML610542172</t>
  </si>
  <si>
    <t xml:space="preserve">macaulay/flac/610542172.flac</t>
  </si>
  <si>
    <t xml:space="preserve">ML216201701</t>
  </si>
  <si>
    <t xml:space="preserve">S64863854</t>
  </si>
  <si>
    <t xml:space="preserve">Stefan Gleissberg</t>
  </si>
  <si>
    <t xml:space="preserve">macaulay/flac/216201701.flac</t>
  </si>
  <si>
    <t xml:space="preserve">ML299603</t>
  </si>
  <si>
    <t xml:space="preserve">macaulay/flac/299603.flac</t>
  </si>
  <si>
    <t xml:space="preserve">ML299605</t>
  </si>
  <si>
    <t xml:space="preserve">macaulay/flac/299605.flac</t>
  </si>
  <si>
    <t xml:space="preserve">ML28128</t>
  </si>
  <si>
    <t xml:space="preserve">11:40</t>
  </si>
  <si>
    <t xml:space="preserve">macaulay/flac/28128.flac</t>
  </si>
  <si>
    <t xml:space="preserve">ML655713112</t>
  </si>
  <si>
    <t xml:space="preserve">macaulay/flac/655713112.flac</t>
  </si>
  <si>
    <t xml:space="preserve">ML184773</t>
  </si>
  <si>
    <t xml:space="preserve">macaulay/flac/184773.flac</t>
  </si>
  <si>
    <t xml:space="preserve">ML128866311</t>
  </si>
  <si>
    <t xml:space="preserve">S50665221</t>
  </si>
  <si>
    <t xml:space="preserve">16:25</t>
  </si>
  <si>
    <t xml:space="preserve">macaulay/flac/128866311.flac</t>
  </si>
  <si>
    <t xml:space="preserve">ML299593</t>
  </si>
  <si>
    <t xml:space="preserve">macaulay/flac/299593.flac</t>
  </si>
  <si>
    <t xml:space="preserve">ML102869261</t>
  </si>
  <si>
    <t xml:space="preserve">macaulay/flac/102869261.flac</t>
  </si>
  <si>
    <t xml:space="preserve">ML156782341</t>
  </si>
  <si>
    <t xml:space="preserve">macaulay/flac/156782341.flac</t>
  </si>
  <si>
    <t xml:space="preserve">ML218338871</t>
  </si>
  <si>
    <t xml:space="preserve">S65868543</t>
  </si>
  <si>
    <r>
      <rPr>
        <sz val="10"/>
        <rFont val="Arial"/>
        <family val="0"/>
        <charset val="1"/>
      </rPr>
      <t xml:space="preserve">Ting-Wei (</t>
    </r>
    <r>
      <rPr>
        <sz val="10"/>
        <rFont val="Noto Sans CJK SC"/>
        <family val="2"/>
      </rPr>
      <t xml:space="preserve">廷維</t>
    </r>
    <r>
      <rPr>
        <sz val="10"/>
        <rFont val="Arial"/>
        <family val="0"/>
        <charset val="1"/>
      </rPr>
      <t xml:space="preserve">) HUNG (</t>
    </r>
    <r>
      <rPr>
        <sz val="10"/>
        <rFont val="Noto Sans CJK SC"/>
        <family val="2"/>
      </rPr>
      <t xml:space="preserve">洪</t>
    </r>
    <r>
      <rPr>
        <sz val="10"/>
        <rFont val="Arial"/>
        <family val="0"/>
        <charset val="1"/>
      </rPr>
      <t xml:space="preserve">)</t>
    </r>
  </si>
  <si>
    <t xml:space="preserve">macaulay/flac/218338871.flac</t>
  </si>
  <si>
    <t xml:space="preserve">ML272474</t>
  </si>
  <si>
    <t xml:space="preserve">macaulay/flac/272474.flac</t>
  </si>
  <si>
    <t xml:space="preserve">ML299545</t>
  </si>
  <si>
    <t xml:space="preserve">macaulay/flac/299545.flac</t>
  </si>
  <si>
    <t xml:space="preserve">ML299588</t>
  </si>
  <si>
    <t xml:space="preserve">macaulay/flac/299588.flac</t>
  </si>
  <si>
    <t xml:space="preserve">ML299589</t>
  </si>
  <si>
    <t xml:space="preserve">macaulay/flac/299589.flac</t>
  </si>
  <si>
    <t xml:space="preserve">ML336558321</t>
  </si>
  <si>
    <t xml:space="preserve">macaulay/flac/336558321.flac</t>
  </si>
  <si>
    <t xml:space="preserve">ML654441421</t>
  </si>
  <si>
    <t xml:space="preserve">macaulay/flac/654441421.flac</t>
  </si>
  <si>
    <t xml:space="preserve">ML215403</t>
  </si>
  <si>
    <t xml:space="preserve">macaulay/flac/215403.flac</t>
  </si>
  <si>
    <t xml:space="preserve">ML297142431</t>
  </si>
  <si>
    <t xml:space="preserve">S77725350</t>
  </si>
  <si>
    <t xml:space="preserve">macaulay/flac/297142431.flac</t>
  </si>
  <si>
    <t xml:space="preserve">ML639162411</t>
  </si>
  <si>
    <t xml:space="preserve">Scarlet-rumped Tanager (Passerini's); Great Tinamou; Dusky Antbird; Buff-throated Saltator; Bananaquit</t>
  </si>
  <si>
    <t xml:space="preserve">macaulay/flac/639162411.flac</t>
  </si>
  <si>
    <t xml:space="preserve">ML72609</t>
  </si>
  <si>
    <t xml:space="preserve">macaulay/flac/72609.flac</t>
  </si>
  <si>
    <t xml:space="preserve">ML128865661</t>
  </si>
  <si>
    <t xml:space="preserve">macaulay/flac/128865661.flac</t>
  </si>
  <si>
    <t xml:space="preserve">ML289812861</t>
  </si>
  <si>
    <t xml:space="preserve">S77615807</t>
  </si>
  <si>
    <t xml:space="preserve">23:01</t>
  </si>
  <si>
    <t xml:space="preserve">macaulay/flac/289812861.flac</t>
  </si>
  <si>
    <t xml:space="preserve">ML5929</t>
  </si>
  <si>
    <t xml:space="preserve">macaulay/flac/5929.flac</t>
  </si>
  <si>
    <t xml:space="preserve">ML653762092</t>
  </si>
  <si>
    <t xml:space="preserve">macaulay/flac/653762092.flac</t>
  </si>
  <si>
    <t xml:space="preserve">ML654321630</t>
  </si>
  <si>
    <t xml:space="preserve">S317622565</t>
  </si>
  <si>
    <t xml:space="preserve">17:57</t>
  </si>
  <si>
    <t xml:space="preserve">macaulay/flac/654321630.flac</t>
  </si>
  <si>
    <t xml:space="preserve">ML215404</t>
  </si>
  <si>
    <t xml:space="preserve">macaulay/flac/215404.flac</t>
  </si>
  <si>
    <t xml:space="preserve">ML630087411</t>
  </si>
  <si>
    <t xml:space="preserve">macaulay/flac/630087411.flac</t>
  </si>
  <si>
    <t xml:space="preserve">ML156787661</t>
  </si>
  <si>
    <t xml:space="preserve">macaulay/flac/156787661.flac</t>
  </si>
  <si>
    <t xml:space="preserve">ML209457</t>
  </si>
  <si>
    <t xml:space="preserve">macaulay/flac/209457.flac</t>
  </si>
  <si>
    <t xml:space="preserve">ML209461</t>
  </si>
  <si>
    <t xml:space="preserve">05:37</t>
  </si>
  <si>
    <t xml:space="preserve">macaulay/flac/209461.flac</t>
  </si>
  <si>
    <t xml:space="preserve">ML400103191</t>
  </si>
  <si>
    <t xml:space="preserve">Montezuma Oropendola; Variable Seedeater; Melodious Blackbird; Buff-throated Saltator; Black-cheeked Woodpecker</t>
  </si>
  <si>
    <t xml:space="preserve">macaulay/flac/400103191.flac</t>
  </si>
  <si>
    <t xml:space="preserve">ML145620091</t>
  </si>
  <si>
    <t xml:space="preserve">macaulay/flac/145620091.flac</t>
  </si>
  <si>
    <t xml:space="preserve">ML249435</t>
  </si>
  <si>
    <t xml:space="preserve">macaulay/flac/249435.flac</t>
  </si>
  <si>
    <t xml:space="preserve">ML515649251</t>
  </si>
  <si>
    <t xml:space="preserve">macaulay/flac/515649251.flac</t>
  </si>
  <si>
    <t xml:space="preserve">ML516014821</t>
  </si>
  <si>
    <t xml:space="preserve">macaulay/flac/516014821.flac</t>
  </si>
  <si>
    <t xml:space="preserve">ML654361429</t>
  </si>
  <si>
    <t xml:space="preserve">macaulay/flac/654361429.flac</t>
  </si>
  <si>
    <t xml:space="preserve">ML398110401</t>
  </si>
  <si>
    <t xml:space="preserve">S99020228</t>
  </si>
  <si>
    <t xml:space="preserve">21:34</t>
  </si>
  <si>
    <t xml:space="preserve">macaulay/flac/398110401.flac</t>
  </si>
  <si>
    <t xml:space="preserve">ML451262481</t>
  </si>
  <si>
    <t xml:space="preserve">S108066760</t>
  </si>
  <si>
    <t xml:space="preserve">20:13</t>
  </si>
  <si>
    <t xml:space="preserve">macaulay/flac/451262481.flac</t>
  </si>
  <si>
    <t xml:space="preserve">ML451262581</t>
  </si>
  <si>
    <t xml:space="preserve">macaulay/flac/451262581.flac</t>
  </si>
  <si>
    <t xml:space="preserve">ML57498</t>
  </si>
  <si>
    <t xml:space="preserve">macaulay/flac/57498.flac</t>
  </si>
  <si>
    <t xml:space="preserve">ML72658</t>
  </si>
  <si>
    <t xml:space="preserve">macaulay/flac/72658.flac</t>
  </si>
  <si>
    <t xml:space="preserve">ML179453201</t>
  </si>
  <si>
    <t xml:space="preserve">macaulay/flac/179453201.flac</t>
  </si>
  <si>
    <t xml:space="preserve">ML57477</t>
  </si>
  <si>
    <t xml:space="preserve">macaulay/flac/57477.flac</t>
  </si>
  <si>
    <t xml:space="preserve">ML246391871</t>
  </si>
  <si>
    <t xml:space="preserve">macaulay/flac/246391871.flac</t>
  </si>
  <si>
    <t xml:space="preserve">ML267819911</t>
  </si>
  <si>
    <t xml:space="preserve">macaulay/flac/267819911.flac</t>
  </si>
  <si>
    <t xml:space="preserve">ML621760376</t>
  </si>
  <si>
    <t xml:space="preserve">macaulay/flac/621760376.flac</t>
  </si>
  <si>
    <t xml:space="preserve">ML621760394</t>
  </si>
  <si>
    <t xml:space="preserve">macaulay/flac/621760394.flac</t>
  </si>
  <si>
    <t xml:space="preserve">ML654470051</t>
  </si>
  <si>
    <t xml:space="preserve">macaulay/flac/654470051.flac</t>
  </si>
  <si>
    <t xml:space="preserve">ML299657</t>
  </si>
  <si>
    <t xml:space="preserve">macaulay/flac/299657.flac</t>
  </si>
  <si>
    <t xml:space="preserve">ML184778</t>
  </si>
  <si>
    <t xml:space="preserve">macaulay/flac/184778.flac</t>
  </si>
  <si>
    <t xml:space="preserve">ML249444</t>
  </si>
  <si>
    <t xml:space="preserve">macaulay/flac/249444.flac</t>
  </si>
  <si>
    <t xml:space="preserve">ML347767121</t>
  </si>
  <si>
    <t xml:space="preserve">macaulay/flac/347767121.flac</t>
  </si>
  <si>
    <t xml:space="preserve">ML610296789</t>
  </si>
  <si>
    <t xml:space="preserve">macaulay/flac/610296789.flac</t>
  </si>
  <si>
    <t xml:space="preserve">ML76635</t>
  </si>
  <si>
    <t xml:space="preserve">06:27</t>
  </si>
  <si>
    <t xml:space="preserve">macaulay/flac/76635.flac</t>
  </si>
  <si>
    <t xml:space="preserve">ML249459</t>
  </si>
  <si>
    <t xml:space="preserve">macaulay/flac/249459.flac</t>
  </si>
  <si>
    <t xml:space="preserve">ML299547</t>
  </si>
  <si>
    <t xml:space="preserve">macaulay/flac/299547.flac</t>
  </si>
  <si>
    <t xml:space="preserve">ML299549</t>
  </si>
  <si>
    <t xml:space="preserve">macaulay/flac/299549.flac</t>
  </si>
  <si>
    <t xml:space="preserve">ML272470</t>
  </si>
  <si>
    <t xml:space="preserve">macaulay/flac/272470.flac</t>
  </si>
  <si>
    <t xml:space="preserve">ML28152</t>
  </si>
  <si>
    <t xml:space="preserve">macaulay/flac/28152.flac</t>
  </si>
  <si>
    <t xml:space="preserve">ML184209</t>
  </si>
  <si>
    <t xml:space="preserve">macaulay/flac/184209.flac</t>
  </si>
  <si>
    <t xml:space="preserve">ML246391741</t>
  </si>
  <si>
    <t xml:space="preserve">macaulay/flac/246391741.flac</t>
  </si>
  <si>
    <t xml:space="preserve">ML655764134</t>
  </si>
  <si>
    <t xml:space="preserve">macaulay/flac/655764134.flac</t>
  </si>
  <si>
    <t xml:space="preserve">ML74216</t>
  </si>
  <si>
    <t xml:space="preserve">macaulay/flac/74216.flac</t>
  </si>
  <si>
    <t xml:space="preserve">ML39238</t>
  </si>
  <si>
    <t xml:space="preserve">macaulay/flac/39238.flac</t>
  </si>
  <si>
    <t xml:space="preserve">ML627958299</t>
  </si>
  <si>
    <t xml:space="preserve">macaulay/flac/627958299.flac</t>
  </si>
  <si>
    <t xml:space="preserve">ML627958300</t>
  </si>
  <si>
    <t xml:space="preserve">macaulay/flac/627958300.flac</t>
  </si>
  <si>
    <t xml:space="preserve">ML266214141</t>
  </si>
  <si>
    <t xml:space="preserve">macaulay/flac/266214141.flac</t>
  </si>
  <si>
    <t xml:space="preserve">ML285620</t>
  </si>
  <si>
    <t xml:space="preserve">macaulay/flac/285620.flac</t>
  </si>
  <si>
    <t xml:space="preserve">ML65099511</t>
  </si>
  <si>
    <t xml:space="preserve">S33730713</t>
  </si>
  <si>
    <t xml:space="preserve">macaulay/flac/65099511.flac</t>
  </si>
  <si>
    <t xml:space="preserve">ML631664544</t>
  </si>
  <si>
    <t xml:space="preserve">macaulay/flac/631664544.flac</t>
  </si>
  <si>
    <t xml:space="preserve">ML102627011</t>
  </si>
  <si>
    <t xml:space="preserve">macaulay/flac/102627011.flac</t>
  </si>
  <si>
    <t xml:space="preserve">ML145178641</t>
  </si>
  <si>
    <t xml:space="preserve">macaulay/flac/145178641.flac</t>
  </si>
  <si>
    <t xml:space="preserve">ML623042223</t>
  </si>
  <si>
    <t xml:space="preserve">macaulay/flac/623042223.flac</t>
  </si>
  <si>
    <t xml:space="preserve">ML623042663</t>
  </si>
  <si>
    <t xml:space="preserve">macaulay/flac/623042663.flac</t>
  </si>
  <si>
    <t xml:space="preserve">ML647390438</t>
  </si>
  <si>
    <t xml:space="preserve">macaulay/flac/647390438.flac</t>
  </si>
  <si>
    <t xml:space="preserve">ML72608</t>
  </si>
  <si>
    <t xml:space="preserve">macaulay/flac/72608.flac</t>
  </si>
  <si>
    <t xml:space="preserve">ML209484</t>
  </si>
  <si>
    <t xml:space="preserve">macaulay/flac/209484.flac</t>
  </si>
  <si>
    <t xml:space="preserve">ML72614</t>
  </si>
  <si>
    <t xml:space="preserve">macaulay/flac/72614.flac</t>
  </si>
  <si>
    <t xml:space="preserve">ML28176</t>
  </si>
  <si>
    <t xml:space="preserve">macaulay/flac/28176.flac</t>
  </si>
  <si>
    <t xml:space="preserve">ML28110</t>
  </si>
  <si>
    <t xml:space="preserve">macaulay/flac/28110.flac</t>
  </si>
  <si>
    <t xml:space="preserve">ML647565908</t>
  </si>
  <si>
    <t xml:space="preserve">Social Flycatcher; Olive-backed Euphonia</t>
  </si>
  <si>
    <t xml:space="preserve">macaulay/flac/647565908.flac</t>
  </si>
  <si>
    <t xml:space="preserve">ML76608</t>
  </si>
  <si>
    <t xml:space="preserve">macaulay/flac/76608.flac</t>
  </si>
  <si>
    <t xml:space="preserve">ML543401031</t>
  </si>
  <si>
    <t xml:space="preserve">macaulay/flac/543401031.flac</t>
  </si>
  <si>
    <t xml:space="preserve">ML299572</t>
  </si>
  <si>
    <t xml:space="preserve">macaulay/flac/299572.flac</t>
  </si>
  <si>
    <t xml:space="preserve">ML28177</t>
  </si>
  <si>
    <t xml:space="preserve">macaulay/flac/28177.flac</t>
  </si>
  <si>
    <t xml:space="preserve">ML143078251</t>
  </si>
  <si>
    <t xml:space="preserve">macaulay/flac/143078251.flac</t>
  </si>
  <si>
    <t xml:space="preserve">ML184009</t>
  </si>
  <si>
    <t xml:space="preserve">macaulay/flac/184009.flac</t>
  </si>
  <si>
    <t xml:space="preserve">ML322224611</t>
  </si>
  <si>
    <t xml:space="preserve">S83702202</t>
  </si>
  <si>
    <t xml:space="preserve">Nick Schleissmann</t>
  </si>
  <si>
    <t xml:space="preserve">macaulay/flac/322224611.flac</t>
  </si>
  <si>
    <t xml:space="preserve">ML28133</t>
  </si>
  <si>
    <t xml:space="preserve">03:00</t>
  </si>
  <si>
    <t xml:space="preserve">macaulay/flac/28133.flac</t>
  </si>
  <si>
    <t xml:space="preserve">ML653361329</t>
  </si>
  <si>
    <t xml:space="preserve">S303179144</t>
  </si>
  <si>
    <t xml:space="preserve">Edward Pullen</t>
  </si>
  <si>
    <t xml:space="preserve">macaulay/flac/653361329.flac</t>
  </si>
  <si>
    <t xml:space="preserve">ML398719001</t>
  </si>
  <si>
    <t xml:space="preserve">macaulay/flac/398719001.flac</t>
  </si>
  <si>
    <t xml:space="preserve">ML46104311</t>
  </si>
  <si>
    <t xml:space="preserve">S33730450</t>
  </si>
  <si>
    <t xml:space="preserve">macaulay/flac/46104311.flac</t>
  </si>
  <si>
    <t xml:space="preserve">ML622575813</t>
  </si>
  <si>
    <t xml:space="preserve">macaulay/flac/622575813.flac</t>
  </si>
  <si>
    <t xml:space="preserve">ML622576050</t>
  </si>
  <si>
    <t xml:space="preserve">macaulay/flac/622576050.flac</t>
  </si>
  <si>
    <t xml:space="preserve">ML630168778</t>
  </si>
  <si>
    <t xml:space="preserve">macaulay/flac/630168778.flac</t>
  </si>
  <si>
    <t xml:space="preserve">ML639054168</t>
  </si>
  <si>
    <t xml:space="preserve">macaulay/flac/639054168.flac</t>
  </si>
  <si>
    <t xml:space="preserve">ML642978600</t>
  </si>
  <si>
    <t xml:space="preserve">macaulay/flac/642978600.flac</t>
  </si>
  <si>
    <t xml:space="preserve">ML651311471</t>
  </si>
  <si>
    <t xml:space="preserve">macaulay/flac/651311471.flac</t>
  </si>
  <si>
    <t xml:space="preserve">ML98857551</t>
  </si>
  <si>
    <t xml:space="preserve">macaulay/flac/98857551.flac</t>
  </si>
  <si>
    <t xml:space="preserve">ML609056510</t>
  </si>
  <si>
    <t xml:space="preserve">macaulay/flac/609056510.flac</t>
  </si>
  <si>
    <t xml:space="preserve">ML111002371</t>
  </si>
  <si>
    <t xml:space="preserve">S47866459</t>
  </si>
  <si>
    <t xml:space="preserve">Thomas Meinzen</t>
  </si>
  <si>
    <t xml:space="preserve">macaulay/flac/111002371.flac</t>
  </si>
  <si>
    <t xml:space="preserve">ML403166811</t>
  </si>
  <si>
    <t xml:space="preserve">macaulay/flac/403166811.flac</t>
  </si>
  <si>
    <t xml:space="preserve">ML57469</t>
  </si>
  <si>
    <t xml:space="preserve">macaulay/flac/57469.flac</t>
  </si>
  <si>
    <t xml:space="preserve">ML624011424</t>
  </si>
  <si>
    <t xml:space="preserve">macaulay/flac/624011424.flac</t>
  </si>
  <si>
    <t xml:space="preserve">ML647390533</t>
  </si>
  <si>
    <t xml:space="preserve">macaulay/flac/647390533.flac</t>
  </si>
  <si>
    <t xml:space="preserve">ML39235</t>
  </si>
  <si>
    <t xml:space="preserve">macaulay/flac/39235.flac</t>
  </si>
  <si>
    <t xml:space="preserve">ML293055121</t>
  </si>
  <si>
    <t xml:space="preserve">macaulay/flac/293055121.flac</t>
  </si>
  <si>
    <t xml:space="preserve">ML398721331</t>
  </si>
  <si>
    <t xml:space="preserve">S99098807</t>
  </si>
  <si>
    <t xml:space="preserve">macaulay/flac/398721331.flac</t>
  </si>
  <si>
    <t xml:space="preserve">ML612315796</t>
  </si>
  <si>
    <t xml:space="preserve">macaulay/flac/612315796.flac</t>
  </si>
  <si>
    <t xml:space="preserve">ML336529841</t>
  </si>
  <si>
    <t xml:space="preserve">macaulay/flac/336529841.flac</t>
  </si>
  <si>
    <t xml:space="preserve">ML597933351</t>
  </si>
  <si>
    <t xml:space="preserve">macaulay/flac/597933351.flac</t>
  </si>
  <si>
    <t xml:space="preserve">ML597934851</t>
  </si>
  <si>
    <t xml:space="preserve">macaulay/flac/597934851.flac</t>
  </si>
  <si>
    <t xml:space="preserve">ML99567781</t>
  </si>
  <si>
    <t xml:space="preserve">macaulay/flac/99567781.flac</t>
  </si>
  <si>
    <t xml:space="preserve">ML72664</t>
  </si>
  <si>
    <t xml:space="preserve">macaulay/flac/72664.flac</t>
  </si>
  <si>
    <t xml:space="preserve">ML184144</t>
  </si>
  <si>
    <t xml:space="preserve">Curtis Marantz|1995-04-11</t>
  </si>
  <si>
    <t xml:space="preserve">15:59</t>
  </si>
  <si>
    <t xml:space="preserve">macaulay/flac/184144.flac</t>
  </si>
  <si>
    <t xml:space="preserve">ML402227291</t>
  </si>
  <si>
    <t xml:space="preserve">S98782540</t>
  </si>
  <si>
    <t xml:space="preserve">Daniel Winzeler</t>
  </si>
  <si>
    <t xml:space="preserve">macaulay/flac/402227291.flac</t>
  </si>
  <si>
    <t xml:space="preserve">ML539975261</t>
  </si>
  <si>
    <t xml:space="preserve">macaulay/flac/539975261.flac</t>
  </si>
  <si>
    <t xml:space="preserve">ML148850631</t>
  </si>
  <si>
    <t xml:space="preserve">macaulay/flac/148850631.flac</t>
  </si>
  <si>
    <t xml:space="preserve">ML184771</t>
  </si>
  <si>
    <t xml:space="preserve">14:22</t>
  </si>
  <si>
    <t xml:space="preserve">macaulay/flac/184771.flac</t>
  </si>
  <si>
    <t xml:space="preserve">group label: Lesser Greenlet (Northern)</t>
  </si>
  <si>
    <t xml:space="preserve">ML154145711</t>
  </si>
  <si>
    <t xml:space="preserve">macaulay/flac/154145711.flac</t>
  </si>
  <si>
    <t xml:space="preserve">ML154146281</t>
  </si>
  <si>
    <t xml:space="preserve">macaulay/flac/154146281.flac</t>
  </si>
  <si>
    <t xml:space="preserve">ML349506341</t>
  </si>
  <si>
    <t xml:space="preserve">macaulay/flac/349506341.flac</t>
  </si>
  <si>
    <t xml:space="preserve">ML531101881</t>
  </si>
  <si>
    <t xml:space="preserve">macaulay/flac/531101881.flac</t>
  </si>
  <si>
    <t xml:space="preserve">ML209496</t>
  </si>
  <si>
    <t xml:space="preserve">14:38</t>
  </si>
  <si>
    <t xml:space="preserve">macaulay/flac/209496.flac</t>
  </si>
  <si>
    <t xml:space="preserve">ML348003581</t>
  </si>
  <si>
    <t xml:space="preserve">macaulay/flac/348003581.flac</t>
  </si>
  <si>
    <t xml:space="preserve">ML306062001</t>
  </si>
  <si>
    <t xml:space="preserve">macaulay/flac/306062001.flac</t>
  </si>
  <si>
    <t xml:space="preserve">ML72656</t>
  </si>
  <si>
    <t xml:space="preserve">macaulay/flac/72656.flac</t>
  </si>
  <si>
    <t xml:space="preserve">ML289817631</t>
  </si>
  <si>
    <t xml:space="preserve">macaulay/flac/289817631.flac</t>
  </si>
  <si>
    <t xml:space="preserve">ML299573</t>
  </si>
  <si>
    <t xml:space="preserve">macaulay/flac/299573.flac</t>
  </si>
  <si>
    <t xml:space="preserve">ML266305561</t>
  </si>
  <si>
    <t xml:space="preserve">macaulay/flac/266305561.flac</t>
  </si>
  <si>
    <t xml:space="preserve">ML299668</t>
  </si>
  <si>
    <t xml:space="preserve">macaulay/flac/299668.flac</t>
  </si>
  <si>
    <t xml:space="preserve">group label: Mealy Amazon (Southern)</t>
  </si>
  <si>
    <t xml:space="preserve">ML98494831</t>
  </si>
  <si>
    <t xml:space="preserve">macaulay/flac/98494831.flac</t>
  </si>
  <si>
    <t xml:space="preserve">ML400104221</t>
  </si>
  <si>
    <t xml:space="preserve">macaulay/flac/400104221.flac</t>
  </si>
  <si>
    <t xml:space="preserve">ML213096511</t>
  </si>
  <si>
    <t xml:space="preserve">S35096500</t>
  </si>
  <si>
    <t xml:space="preserve">macaulay/flac/213096511.flac</t>
  </si>
  <si>
    <t xml:space="preserve">ML398109831</t>
  </si>
  <si>
    <t xml:space="preserve">S99019468</t>
  </si>
  <si>
    <t xml:space="preserve">macaulay/flac/398109831.flac</t>
  </si>
  <si>
    <t xml:space="preserve">ML647484436</t>
  </si>
  <si>
    <t xml:space="preserve">macaulay/flac/647484436.flac</t>
  </si>
  <si>
    <t xml:space="preserve">ML647484454</t>
  </si>
  <si>
    <t xml:space="preserve">macaulay/flac/647484454.flac</t>
  </si>
  <si>
    <t xml:space="preserve">ML647484503</t>
  </si>
  <si>
    <t xml:space="preserve">macaulay/flac/647484503.flac</t>
  </si>
  <si>
    <t xml:space="preserve">ML299601</t>
  </si>
  <si>
    <t xml:space="preserve">macaulay/flac/299601.flac</t>
  </si>
  <si>
    <t xml:space="preserve">ML400108181</t>
  </si>
  <si>
    <t xml:space="preserve">macaulay/flac/400108181.flac</t>
  </si>
  <si>
    <t xml:space="preserve">ML471206911</t>
  </si>
  <si>
    <t xml:space="preserve">macaulay/flac/471206911.flac</t>
  </si>
  <si>
    <t xml:space="preserve">ML647331024</t>
  </si>
  <si>
    <t xml:space="preserve">macaulay/flac/647331024.flac</t>
  </si>
  <si>
    <t xml:space="preserve">ML647568034</t>
  </si>
  <si>
    <t xml:space="preserve">macaulay/flac/647568034.flac</t>
  </si>
  <si>
    <t xml:space="preserve">ML647568198</t>
  </si>
  <si>
    <t xml:space="preserve">macaulay/flac/647568198.flac</t>
  </si>
  <si>
    <t xml:space="preserve">ML645563435</t>
  </si>
  <si>
    <t xml:space="preserve">S110168466</t>
  </si>
  <si>
    <t xml:space="preserve">19:41</t>
  </si>
  <si>
    <t xml:space="preserve">macaulay/flac/645563435.flac</t>
  </si>
  <si>
    <t xml:space="preserve">ML642601153</t>
  </si>
  <si>
    <t xml:space="preserve">macaulay/flac/642601153.flac</t>
  </si>
  <si>
    <t xml:space="preserve">ML51737</t>
  </si>
  <si>
    <t xml:space="preserve">Pale-vented Pigeon; Ruddy Ground Dove; Black-cheeked Woodpecker; Great Kiskadee; Canebrake Wren</t>
  </si>
  <si>
    <t xml:space="preserve">macaulay/flac/51737.flac</t>
  </si>
  <si>
    <t xml:space="preserve">ML215394</t>
  </si>
  <si>
    <t xml:space="preserve">09:46</t>
  </si>
  <si>
    <t xml:space="preserve">macaulay/flac/215394.flac</t>
  </si>
  <si>
    <t xml:space="preserve">ML285632</t>
  </si>
  <si>
    <t xml:space="preserve">macaulay/flac/285632.flac</t>
  </si>
  <si>
    <t xml:space="preserve">ML285634</t>
  </si>
  <si>
    <t xml:space="preserve">macaulay/flac/285634.flac</t>
  </si>
  <si>
    <t xml:space="preserve">ML336565991</t>
  </si>
  <si>
    <t xml:space="preserve">macaulay/flac/336565991.flac</t>
  </si>
  <si>
    <t xml:space="preserve">ML39230</t>
  </si>
  <si>
    <t xml:space="preserve">macaulay/flac/39230.flac</t>
  </si>
  <si>
    <t xml:space="preserve">ML624308380</t>
  </si>
  <si>
    <t xml:space="preserve">S196937130</t>
  </si>
  <si>
    <t xml:space="preserve">macaulay/flac/624308380.flac</t>
  </si>
  <si>
    <t xml:space="preserve">ML624308381</t>
  </si>
  <si>
    <t xml:space="preserve">macaulay/flac/624308381.flac</t>
  </si>
  <si>
    <t xml:space="preserve">ML209462</t>
  </si>
  <si>
    <t xml:space="preserve">macaulay/flac/209462.flac</t>
  </si>
  <si>
    <t xml:space="preserve">ML609059103</t>
  </si>
  <si>
    <t xml:space="preserve">macaulay/flac/609059103.flac</t>
  </si>
  <si>
    <t xml:space="preserve">ML614545483</t>
  </si>
  <si>
    <t xml:space="preserve">S160709096</t>
  </si>
  <si>
    <t xml:space="preserve">macaulay/flac/614545483.flac</t>
  </si>
  <si>
    <t xml:space="preserve">ML152251591</t>
  </si>
  <si>
    <t xml:space="preserve">macaulay/flac/152251591.flac</t>
  </si>
  <si>
    <t xml:space="preserve">ML249450</t>
  </si>
  <si>
    <t xml:space="preserve">macaulay/flac/249450.flac</t>
  </si>
  <si>
    <t xml:space="preserve">ML299618</t>
  </si>
  <si>
    <t xml:space="preserve">macaulay/flac/299618.flac</t>
  </si>
  <si>
    <t xml:space="preserve">ML299643</t>
  </si>
  <si>
    <t xml:space="preserve">macaulay/flac/299643.flac</t>
  </si>
  <si>
    <t xml:space="preserve">ML306060101</t>
  </si>
  <si>
    <t xml:space="preserve">macaulay/flac/306060101.flac</t>
  </si>
  <si>
    <t xml:space="preserve">ML249439</t>
  </si>
  <si>
    <t xml:space="preserve">macaulay/flac/249439.flac</t>
  </si>
  <si>
    <t xml:space="preserve">group label: Ochre-crowned Greenlet</t>
  </si>
  <si>
    <t xml:space="preserve">ML123690021</t>
  </si>
  <si>
    <t xml:space="preserve">S49844378</t>
  </si>
  <si>
    <t xml:space="preserve">macaulay/flac/123690021.flac</t>
  </si>
  <si>
    <t xml:space="preserve">ML137864061</t>
  </si>
  <si>
    <t xml:space="preserve">macaulay/flac/137864061.flac</t>
  </si>
  <si>
    <t xml:space="preserve">ML203938611</t>
  </si>
  <si>
    <t xml:space="preserve">S65085912</t>
  </si>
  <si>
    <t xml:space="preserve">macaulay/flac/203938611.flac</t>
  </si>
  <si>
    <t xml:space="preserve">ML253399341</t>
  </si>
  <si>
    <t xml:space="preserve">macaulay/flac/253399341.flac</t>
  </si>
  <si>
    <t xml:space="preserve">ML306054071</t>
  </si>
  <si>
    <t xml:space="preserve">macaulay/flac/306054071.flac</t>
  </si>
  <si>
    <t xml:space="preserve">ML642597245</t>
  </si>
  <si>
    <t xml:space="preserve">macaulay/flac/642597245.flac</t>
  </si>
  <si>
    <t xml:space="preserve">ML654657304</t>
  </si>
  <si>
    <t xml:space="preserve">macaulay/flac/654657304.flac</t>
  </si>
  <si>
    <t xml:space="preserve">ML89665211</t>
  </si>
  <si>
    <t xml:space="preserve">macaulay/flac/89665211.flac</t>
  </si>
  <si>
    <t xml:space="preserve">ML249422</t>
  </si>
  <si>
    <t xml:space="preserve">macaulay/flac/249422.flac</t>
  </si>
  <si>
    <t xml:space="preserve">ML57461</t>
  </si>
  <si>
    <t xml:space="preserve">macaulay/flac/57461.flac</t>
  </si>
  <si>
    <t xml:space="preserve">ML184772</t>
  </si>
  <si>
    <t xml:space="preserve">macaulay/flac/184772.flac</t>
  </si>
  <si>
    <t xml:space="preserve">ML249428</t>
  </si>
  <si>
    <t xml:space="preserve">macaulay/flac/249428.flac</t>
  </si>
  <si>
    <t xml:space="preserve">ML289818701</t>
  </si>
  <si>
    <t xml:space="preserve">macaulay/flac/289818701.flac</t>
  </si>
  <si>
    <t xml:space="preserve">ML299543</t>
  </si>
  <si>
    <t xml:space="preserve">macaulay/flac/299543.flac</t>
  </si>
  <si>
    <t xml:space="preserve">ML299566</t>
  </si>
  <si>
    <t xml:space="preserve">macaulay/flac/299566.flac</t>
  </si>
  <si>
    <t xml:space="preserve">ML654599314</t>
  </si>
  <si>
    <t xml:space="preserve">macaulay/flac/654599314.flac</t>
  </si>
  <si>
    <t xml:space="preserve">ML498001091</t>
  </si>
  <si>
    <t xml:space="preserve">macaulay/flac/498001091.flac</t>
  </si>
  <si>
    <t xml:space="preserve">ML185740</t>
  </si>
  <si>
    <t xml:space="preserve">macaulay/flac/185740.flac</t>
  </si>
  <si>
    <t xml:space="preserve">ML179452681</t>
  </si>
  <si>
    <t xml:space="preserve">macaulay/flac/179452681.flac</t>
  </si>
  <si>
    <t xml:space="preserve">ML28104</t>
  </si>
  <si>
    <t xml:space="preserve">Arnoud B. van den Berg|1981-06-01</t>
  </si>
  <si>
    <t xml:space="preserve">macaulay/flac/28104.flac</t>
  </si>
  <si>
    <t xml:space="preserve">ML338022631</t>
  </si>
  <si>
    <t xml:space="preserve">S87703542</t>
  </si>
  <si>
    <t xml:space="preserve">11:02</t>
  </si>
  <si>
    <t xml:space="preserve">macaulay/flac/338022631.flac</t>
  </si>
  <si>
    <t xml:space="preserve">ML49245331</t>
  </si>
  <si>
    <t xml:space="preserve">S34427537</t>
  </si>
  <si>
    <t xml:space="preserve">Greg Bodker</t>
  </si>
  <si>
    <t xml:space="preserve">macaulay/flac/49245331.flac</t>
  </si>
  <si>
    <t xml:space="preserve">ML654514800</t>
  </si>
  <si>
    <t xml:space="preserve">macaulay/flac/654514800.flac</t>
  </si>
  <si>
    <t xml:space="preserve">ML654514801</t>
  </si>
  <si>
    <t xml:space="preserve">macaulay/flac/654514801.flac</t>
  </si>
  <si>
    <t xml:space="preserve">ML289817501</t>
  </si>
  <si>
    <t xml:space="preserve">macaulay/flac/289817501.flac</t>
  </si>
  <si>
    <t xml:space="preserve">ML613763634</t>
  </si>
  <si>
    <t xml:space="preserve">S159364093</t>
  </si>
  <si>
    <t xml:space="preserve">11:22</t>
  </si>
  <si>
    <t xml:space="preserve">macaulay/flac/613763634.flac</t>
  </si>
  <si>
    <t xml:space="preserve">ML660493862</t>
  </si>
  <si>
    <t xml:space="preserve">macaulay/flac/660493862.flac</t>
  </si>
  <si>
    <t xml:space="preserve">ML660493993</t>
  </si>
  <si>
    <t xml:space="preserve">macaulay/flac/660493993.flac</t>
  </si>
  <si>
    <t xml:space="preserve">ML299650</t>
  </si>
  <si>
    <t xml:space="preserve">macaulay/flac/299650.flac</t>
  </si>
  <si>
    <t xml:space="preserve">ML72637</t>
  </si>
  <si>
    <t xml:space="preserve">macaulay/flac/72637.flac</t>
  </si>
  <si>
    <t xml:space="preserve">ML358075431</t>
  </si>
  <si>
    <t xml:space="preserve">macaulay/flac/358075431.flac</t>
  </si>
  <si>
    <t xml:space="preserve">ML57479</t>
  </si>
  <si>
    <t xml:space="preserve">macaulay/flac/57479.flac</t>
  </si>
  <si>
    <t xml:space="preserve">ML193422581</t>
  </si>
  <si>
    <t xml:space="preserve">macaulay/flac/193422581.flac</t>
  </si>
  <si>
    <t xml:space="preserve">ML144449061</t>
  </si>
  <si>
    <t xml:space="preserve">macaulay/flac/144449061.flac</t>
  </si>
  <si>
    <t xml:space="preserve">ML28143</t>
  </si>
  <si>
    <t xml:space="preserve">macaulay/flac/28143.flac</t>
  </si>
  <si>
    <t xml:space="preserve">ML39225</t>
  </si>
  <si>
    <t xml:space="preserve">macaulay/flac/39225.flac</t>
  </si>
  <si>
    <t xml:space="preserve">ML249447</t>
  </si>
  <si>
    <t xml:space="preserve">macaulay/flac/249447.flac</t>
  </si>
  <si>
    <t xml:space="preserve">group label: Red-crowned Ant-Tanager (rubicoides Group)</t>
  </si>
  <si>
    <t xml:space="preserve">ML267829051</t>
  </si>
  <si>
    <t xml:space="preserve">macaulay/flac/267829051.flac</t>
  </si>
  <si>
    <t xml:space="preserve">ML293055401</t>
  </si>
  <si>
    <t xml:space="preserve">macaulay/flac/293055401.flac</t>
  </si>
  <si>
    <t xml:space="preserve">ML639162724</t>
  </si>
  <si>
    <t xml:space="preserve">macaulay/flac/639162724.flac</t>
  </si>
  <si>
    <t xml:space="preserve">ML639163535</t>
  </si>
  <si>
    <t xml:space="preserve">macaulay/flac/639163535.flac</t>
  </si>
  <si>
    <t xml:space="preserve">ML643661317</t>
  </si>
  <si>
    <t xml:space="preserve">macaulay/flac/643661317.flac</t>
  </si>
  <si>
    <t xml:space="preserve">ML193417061</t>
  </si>
  <si>
    <t xml:space="preserve">macaulay/flac/193417061.flac</t>
  </si>
  <si>
    <t xml:space="preserve">ML39233</t>
  </si>
  <si>
    <t xml:space="preserve">macaulay/flac/39233.flac</t>
  </si>
  <si>
    <t xml:space="preserve">ML647326954</t>
  </si>
  <si>
    <t xml:space="preserve">macaulay/flac/647326954.flac</t>
  </si>
  <si>
    <t xml:space="preserve">ML647327137</t>
  </si>
  <si>
    <t xml:space="preserve">macaulay/flac/647327137.flac</t>
  </si>
  <si>
    <t xml:space="preserve">ML647327291</t>
  </si>
  <si>
    <t xml:space="preserve">macaulay/flac/647327291.flac</t>
  </si>
  <si>
    <t xml:space="preserve">ML647327396</t>
  </si>
  <si>
    <t xml:space="preserve">macaulay/flac/647327396.flac</t>
  </si>
  <si>
    <t xml:space="preserve">ML4374</t>
  </si>
  <si>
    <t xml:space="preserve">Montezuma Oropendola; Buff-throated Woodcreeper</t>
  </si>
  <si>
    <t xml:space="preserve">macaulay/flac/4374.flac</t>
  </si>
  <si>
    <t xml:space="preserve">ML609099508</t>
  </si>
  <si>
    <t xml:space="preserve">Pam Rasmussen|</t>
  </si>
  <si>
    <t xml:space="preserve">macaulay/flac/609099508.flac</t>
  </si>
  <si>
    <t xml:space="preserve">group label: Ringed Kingfisher (Northern)</t>
  </si>
  <si>
    <t xml:space="preserve">ML643642692</t>
  </si>
  <si>
    <t xml:space="preserve">macaulay/flac/643642692.flac</t>
  </si>
  <si>
    <t xml:space="preserve">ML129904011</t>
  </si>
  <si>
    <t xml:space="preserve">macaulay/flac/129904011.flac</t>
  </si>
  <si>
    <t xml:space="preserve">ML215344</t>
  </si>
  <si>
    <t xml:space="preserve">macaulay/flac/215344.flac</t>
  </si>
  <si>
    <t xml:space="preserve">ML215346</t>
  </si>
  <si>
    <t xml:space="preserve">macaulay/flac/215346.flac</t>
  </si>
  <si>
    <t xml:space="preserve">ML246604461</t>
  </si>
  <si>
    <t xml:space="preserve">Broad-billed Motmot; White-breasted Wood-Wren</t>
  </si>
  <si>
    <t xml:space="preserve">macaulay/flac/246604461.flac</t>
  </si>
  <si>
    <t xml:space="preserve">ML289818141</t>
  </si>
  <si>
    <t xml:space="preserve">macaulay/flac/289818141.flac</t>
  </si>
  <si>
    <t xml:space="preserve">ML39231</t>
  </si>
  <si>
    <t xml:space="preserve">macaulay/flac/39231.flac</t>
  </si>
  <si>
    <t xml:space="preserve">ML654748874</t>
  </si>
  <si>
    <t xml:space="preserve">macaulay/flac/654748874.flac</t>
  </si>
  <si>
    <t xml:space="preserve">ML81551641</t>
  </si>
  <si>
    <t xml:space="preserve">macaulay/flac/81551641.flac</t>
  </si>
  <si>
    <t xml:space="preserve">ML531232961</t>
  </si>
  <si>
    <t xml:space="preserve">macaulay/flac/531232961.flac</t>
  </si>
  <si>
    <t xml:space="preserve">ML531238571</t>
  </si>
  <si>
    <t xml:space="preserve">macaulay/flac/531238571.flac</t>
  </si>
  <si>
    <t xml:space="preserve">ML215367</t>
  </si>
  <si>
    <t xml:space="preserve">macaulay/flac/215367.flac</t>
  </si>
  <si>
    <t xml:space="preserve">ML148849611</t>
  </si>
  <si>
    <t xml:space="preserve">macaulay/flac/148849611.flac</t>
  </si>
  <si>
    <t xml:space="preserve">ML148851161</t>
  </si>
  <si>
    <t xml:space="preserve">macaulay/flac/148851161.flac</t>
  </si>
  <si>
    <t xml:space="preserve">ML102868491</t>
  </si>
  <si>
    <t xml:space="preserve">macaulay/flac/102868491.flac</t>
  </si>
  <si>
    <t xml:space="preserve">ML267831551</t>
  </si>
  <si>
    <t xml:space="preserve">macaulay/flac/267831551.flac</t>
  </si>
  <si>
    <t xml:space="preserve">ML403418031</t>
  </si>
  <si>
    <t xml:space="preserve">macaulay/flac/403418031.flac</t>
  </si>
  <si>
    <t xml:space="preserve">ML498003761</t>
  </si>
  <si>
    <t xml:space="preserve">macaulay/flac/498003761.flac</t>
  </si>
  <si>
    <t xml:space="preserve">ML654659374</t>
  </si>
  <si>
    <t xml:space="preserve">macaulay/flac/654659374.flac</t>
  </si>
  <si>
    <t xml:space="preserve">ML51720</t>
  </si>
  <si>
    <t xml:space="preserve">Paul Coopmans|1991-11-09</t>
  </si>
  <si>
    <t xml:space="preserve">macaulay/flac/51720.flac</t>
  </si>
  <si>
    <t xml:space="preserve">ML285619</t>
  </si>
  <si>
    <t xml:space="preserve">macaulay/flac/285619.flac</t>
  </si>
  <si>
    <t xml:space="preserve">ML299628</t>
  </si>
  <si>
    <t xml:space="preserve">macaulay/flac/299628.flac</t>
  </si>
  <si>
    <t xml:space="preserve">ML647569041</t>
  </si>
  <si>
    <t xml:space="preserve">macaulay/flac/647569041.flac</t>
  </si>
  <si>
    <t xml:space="preserve">ML612553616</t>
  </si>
  <si>
    <t xml:space="preserve">macaulay/flac/612553616.flac</t>
  </si>
  <si>
    <t xml:space="preserve">ML193406441</t>
  </si>
  <si>
    <t xml:space="preserve">macaulay/flac/193406441.flac</t>
  </si>
  <si>
    <t xml:space="preserve">ML398720351</t>
  </si>
  <si>
    <t xml:space="preserve">macaulay/flac/398720351.flac</t>
  </si>
  <si>
    <t xml:space="preserve">ML654318665</t>
  </si>
  <si>
    <t xml:space="preserve">macaulay/flac/654318665.flac</t>
  </si>
  <si>
    <t xml:space="preserve">ML654319470</t>
  </si>
  <si>
    <t xml:space="preserve">macaulay/flac/654319470.flac</t>
  </si>
  <si>
    <t xml:space="preserve">ML654319554</t>
  </si>
  <si>
    <t xml:space="preserve">macaulay/flac/654319554.flac</t>
  </si>
  <si>
    <t xml:space="preserve">ML179453251</t>
  </si>
  <si>
    <t xml:space="preserve">macaulay/flac/179453251.flac</t>
  </si>
  <si>
    <t xml:space="preserve">ML628597346</t>
  </si>
  <si>
    <t xml:space="preserve">macaulay/flac/628597346.flac</t>
  </si>
  <si>
    <t xml:space="preserve">ML636344933</t>
  </si>
  <si>
    <t xml:space="preserve">macaulay/flac/636344933.flac</t>
  </si>
  <si>
    <t xml:space="preserve">ML208957331</t>
  </si>
  <si>
    <t xml:space="preserve">S64396591</t>
  </si>
  <si>
    <t xml:space="preserve">09:33</t>
  </si>
  <si>
    <t xml:space="preserve">macaulay/flac/208957331.flac</t>
  </si>
  <si>
    <t xml:space="preserve">ML457850411</t>
  </si>
  <si>
    <t xml:space="preserve">macaulay/flac/457850411.flac</t>
  </si>
  <si>
    <t xml:space="preserve">ML458624861</t>
  </si>
  <si>
    <t xml:space="preserve">macaulay/flac/458624861.flac</t>
  </si>
  <si>
    <t xml:space="preserve">ML143083041</t>
  </si>
  <si>
    <t xml:space="preserve">macaulay/flac/143083041.flac</t>
  </si>
  <si>
    <t xml:space="preserve">ML145617791</t>
  </si>
  <si>
    <t xml:space="preserve">macaulay/flac/145617791.flac</t>
  </si>
  <si>
    <t xml:space="preserve">ML643642360</t>
  </si>
  <si>
    <t xml:space="preserve">macaulay/flac/643642360.flac</t>
  </si>
  <si>
    <t xml:space="preserve">ML643644176</t>
  </si>
  <si>
    <t xml:space="preserve">macaulay/flac/643644176.flac</t>
  </si>
  <si>
    <t xml:space="preserve">ML655848715</t>
  </si>
  <si>
    <t xml:space="preserve">macaulay/flac/655848715.flac</t>
  </si>
  <si>
    <t xml:space="preserve">ML403602811</t>
  </si>
  <si>
    <t xml:space="preserve">S99075444</t>
  </si>
  <si>
    <t xml:space="preserve">17:39</t>
  </si>
  <si>
    <t xml:space="preserve">macaulay/flac/403602811.flac</t>
  </si>
  <si>
    <t xml:space="preserve">ML403602821</t>
  </si>
  <si>
    <t xml:space="preserve">macaulay/flac/403602821.flac</t>
  </si>
  <si>
    <t xml:space="preserve">ML215348</t>
  </si>
  <si>
    <t xml:space="preserve">macaulay/flac/215348.flac</t>
  </si>
  <si>
    <t xml:space="preserve">ML368384681</t>
  </si>
  <si>
    <t xml:space="preserve">macaulay/flac/368384681.flac</t>
  </si>
  <si>
    <t xml:space="preserve">ML28103</t>
  </si>
  <si>
    <t xml:space="preserve">Arnoud B. van den Berg|1981-05-31</t>
  </si>
  <si>
    <t xml:space="preserve">macaulay/flac/28103.flac</t>
  </si>
  <si>
    <t xml:space="preserve">ML272673581</t>
  </si>
  <si>
    <t xml:space="preserve">S73100401</t>
  </si>
  <si>
    <t xml:space="preserve">Ademar Hurtado</t>
  </si>
  <si>
    <t xml:space="preserve">macaulay/flac/272673581.flac</t>
  </si>
  <si>
    <t xml:space="preserve">ML272679671</t>
  </si>
  <si>
    <t xml:space="preserve">macaulay/flac/272679671.flac</t>
  </si>
  <si>
    <t xml:space="preserve">ML218343291</t>
  </si>
  <si>
    <t xml:space="preserve">S65881149</t>
  </si>
  <si>
    <t xml:space="preserve">macaulay/flac/218343291.flac</t>
  </si>
  <si>
    <t xml:space="preserve">ML398719321</t>
  </si>
  <si>
    <t xml:space="preserve">macaulay/flac/398719321.flac</t>
  </si>
  <si>
    <t xml:space="preserve">ML630078656</t>
  </si>
  <si>
    <t xml:space="preserve">macaulay/flac/630078656.flac</t>
  </si>
  <si>
    <t xml:space="preserve">ML630078657</t>
  </si>
  <si>
    <t xml:space="preserve">macaulay/flac/630078657.flac</t>
  </si>
  <si>
    <t xml:space="preserve">ML143856601</t>
  </si>
  <si>
    <t xml:space="preserve">macaulay/flac/143856601.flac</t>
  </si>
  <si>
    <t xml:space="preserve">ML179452451</t>
  </si>
  <si>
    <t xml:space="preserve">macaulay/flac/179452451.flac</t>
  </si>
  <si>
    <t xml:space="preserve">ML249425</t>
  </si>
  <si>
    <t xml:space="preserve">macaulay/flac/249425.flac</t>
  </si>
  <si>
    <t xml:space="preserve">ML297727281</t>
  </si>
  <si>
    <t xml:space="preserve">S79239877</t>
  </si>
  <si>
    <t xml:space="preserve">Elena Prado -Ragan</t>
  </si>
  <si>
    <t xml:space="preserve">12:53</t>
  </si>
  <si>
    <t xml:space="preserve">macaulay/flac/297727281.flac</t>
  </si>
  <si>
    <t xml:space="preserve">ML609056486</t>
  </si>
  <si>
    <t xml:space="preserve">macaulay/flac/609056486.flac</t>
  </si>
  <si>
    <t xml:space="preserve">ML609056501</t>
  </si>
  <si>
    <t xml:space="preserve">macaulay/flac/609056501.flac</t>
  </si>
  <si>
    <t xml:space="preserve">ML639162824</t>
  </si>
  <si>
    <t xml:space="preserve">Dusky Antbird; Long-billed Gnatwren; Collared Forest-Falcon</t>
  </si>
  <si>
    <t xml:space="preserve">macaulay/flac/639162824.flac</t>
  </si>
  <si>
    <t xml:space="preserve">ML102590701</t>
  </si>
  <si>
    <t xml:space="preserve">macaulay/flac/102590701.flac</t>
  </si>
  <si>
    <t xml:space="preserve">ML185568</t>
  </si>
  <si>
    <t xml:space="preserve">macaulay/flac/185568.flac</t>
  </si>
  <si>
    <t xml:space="preserve">ML246605071</t>
  </si>
  <si>
    <t xml:space="preserve">macaulay/flac/246605071.flac</t>
  </si>
  <si>
    <t xml:space="preserve">ML215422</t>
  </si>
  <si>
    <t xml:space="preserve">11:27</t>
  </si>
  <si>
    <t xml:space="preserve">macaulay/flac/215422.flac</t>
  </si>
  <si>
    <t xml:space="preserve">ML531235891</t>
  </si>
  <si>
    <t xml:space="preserve">macaulay/flac/531235891.flac</t>
  </si>
  <si>
    <t xml:space="preserve">ML137863951</t>
  </si>
  <si>
    <t xml:space="preserve">macaulay/flac/137863951.flac</t>
  </si>
  <si>
    <t xml:space="preserve">ML329360</t>
  </si>
  <si>
    <t xml:space="preserve">Jim Zook|1998-04-03</t>
  </si>
  <si>
    <t xml:space="preserve">Jim Zook</t>
  </si>
  <si>
    <t xml:space="preserve">macaulay/flac/329360.flac</t>
  </si>
  <si>
    <t xml:space="preserve">ML639078966</t>
  </si>
  <si>
    <t xml:space="preserve">S260221465</t>
  </si>
  <si>
    <t xml:space="preserve">00:13</t>
  </si>
  <si>
    <t xml:space="preserve">macaulay/flac/639078966.flac</t>
  </si>
  <si>
    <t xml:space="preserve">ML639078967</t>
  </si>
  <si>
    <t xml:space="preserve">macaulay/flac/639078967.flac</t>
  </si>
  <si>
    <t xml:space="preserve">ML531097841</t>
  </si>
  <si>
    <t xml:space="preserve">macaulay/flac/531097841.flac</t>
  </si>
  <si>
    <t xml:space="preserve">ML268183431</t>
  </si>
  <si>
    <t xml:space="preserve">macaulay/flac/268183431.flac</t>
  </si>
  <si>
    <t xml:space="preserve">ML306049851</t>
  </si>
  <si>
    <t xml:space="preserve">macaulay/flac/306049851.flac</t>
  </si>
  <si>
    <t xml:space="preserve">ML299659</t>
  </si>
  <si>
    <t xml:space="preserve">macaulay/flac/299659.flac</t>
  </si>
  <si>
    <t xml:space="preserve">ML139009241</t>
  </si>
  <si>
    <t xml:space="preserve">macaulay/flac/139009241.flac</t>
  </si>
  <si>
    <t xml:space="preserve">ML151646721</t>
  </si>
  <si>
    <t xml:space="preserve">macaulay/flac/151646721.flac</t>
  </si>
  <si>
    <t xml:space="preserve">ML249426</t>
  </si>
  <si>
    <t xml:space="preserve">macaulay/flac/249426.flac</t>
  </si>
  <si>
    <t xml:space="preserve">ML299567</t>
  </si>
  <si>
    <t xml:space="preserve">10:45</t>
  </si>
  <si>
    <t xml:space="preserve">macaulay/flac/299567.flac</t>
  </si>
  <si>
    <t xml:space="preserve">ML299568</t>
  </si>
  <si>
    <t xml:space="preserve">10:50</t>
  </si>
  <si>
    <t xml:space="preserve">macaulay/flac/299568.flac</t>
  </si>
  <si>
    <t xml:space="preserve">ML299570</t>
  </si>
  <si>
    <t xml:space="preserve">macaulay/flac/299570.flac</t>
  </si>
  <si>
    <t xml:space="preserve">ML348003151</t>
  </si>
  <si>
    <t xml:space="preserve">macaulay/flac/348003151.flac</t>
  </si>
  <si>
    <t xml:space="preserve">ML179453301</t>
  </si>
  <si>
    <t xml:space="preserve">macaulay/flac/179453301.flac</t>
  </si>
  <si>
    <t xml:space="preserve">ML299580</t>
  </si>
  <si>
    <t xml:space="preserve">macaulay/flac/299580.flac</t>
  </si>
  <si>
    <t xml:space="preserve">ML630202778</t>
  </si>
  <si>
    <t xml:space="preserve">S207491942</t>
  </si>
  <si>
    <t xml:space="preserve">macaulay/flac/630202778.flac</t>
  </si>
  <si>
    <t xml:space="preserve">ML28127</t>
  </si>
  <si>
    <t xml:space="preserve">macaulay/flac/28127.flac</t>
  </si>
  <si>
    <t xml:space="preserve">ML45570241</t>
  </si>
  <si>
    <t xml:space="preserve">macaulay/flac/45570241.flac</t>
  </si>
  <si>
    <t xml:space="preserve">ML91763541</t>
  </si>
  <si>
    <t xml:space="preserve">S40412631</t>
  </si>
  <si>
    <t xml:space="preserve">macaulay/flac/91763541.flac</t>
  </si>
  <si>
    <t xml:space="preserve">ML336570371</t>
  </si>
  <si>
    <t xml:space="preserve">macaulay/flac/336570371.flac</t>
  </si>
  <si>
    <t xml:space="preserve">ML209458</t>
  </si>
  <si>
    <t xml:space="preserve">macaulay/flac/209458.flac</t>
  </si>
  <si>
    <t xml:space="preserve">ML209463</t>
  </si>
  <si>
    <t xml:space="preserve">macaulay/flac/209463.flac</t>
  </si>
  <si>
    <t xml:space="preserve">ML72619</t>
  </si>
  <si>
    <t xml:space="preserve">macaulay/flac/72619.flac</t>
  </si>
  <si>
    <t xml:space="preserve">ML72620</t>
  </si>
  <si>
    <t xml:space="preserve">macaulay/flac/72620.flac</t>
  </si>
  <si>
    <t xml:space="preserve">ML215377</t>
  </si>
  <si>
    <t xml:space="preserve">macaulay/flac/215377.flac</t>
  </si>
  <si>
    <t xml:space="preserve">ML336543911</t>
  </si>
  <si>
    <t xml:space="preserve">macaulay/flac/336543911.flac</t>
  </si>
  <si>
    <t xml:space="preserve">ML543399921</t>
  </si>
  <si>
    <t xml:space="preserve">macaulay/flac/543399921.flac</t>
  </si>
  <si>
    <t xml:space="preserve">ML540262971</t>
  </si>
  <si>
    <t xml:space="preserve">macaulay/flac/540262971.flac</t>
  </si>
  <si>
    <t xml:space="preserve">ML647448293</t>
  </si>
  <si>
    <t xml:space="preserve">macaulay/flac/647448293.flac</t>
  </si>
  <si>
    <t xml:space="preserve">ML647567352</t>
  </si>
  <si>
    <t xml:space="preserve">macaulay/flac/647567352.flac</t>
  </si>
  <si>
    <t xml:space="preserve">ML285750</t>
  </si>
  <si>
    <t xml:space="preserve">macaulay/flac/285750.flac</t>
  </si>
  <si>
    <t xml:space="preserve">ML652627039</t>
  </si>
  <si>
    <t xml:space="preserve">macaulay/flac/652627039.flac</t>
  </si>
  <si>
    <t xml:space="preserve">ML249438</t>
  </si>
  <si>
    <t xml:space="preserve">macaulay/flac/249438.flac</t>
  </si>
  <si>
    <t xml:space="preserve">ML299575</t>
  </si>
  <si>
    <t xml:space="preserve">macaulay/flac/299575.flac</t>
  </si>
  <si>
    <t xml:space="preserve">ML299576</t>
  </si>
  <si>
    <t xml:space="preserve">macaulay/flac/299576.flac</t>
  </si>
  <si>
    <t xml:space="preserve">ML471207101</t>
  </si>
  <si>
    <t xml:space="preserve">macaulay/flac/471207101.flac</t>
  </si>
  <si>
    <t xml:space="preserve">ML169970531</t>
  </si>
  <si>
    <t xml:space="preserve">macaulay/flac/169970531.flac</t>
  </si>
  <si>
    <t xml:space="preserve">ML179453841</t>
  </si>
  <si>
    <t xml:space="preserve">macaulay/flac/179453841.flac</t>
  </si>
  <si>
    <t xml:space="preserve">ML266280811</t>
  </si>
  <si>
    <t xml:space="preserve">macaulay/flac/266280811.flac</t>
  </si>
  <si>
    <t xml:space="preserve">ML272471</t>
  </si>
  <si>
    <t xml:space="preserve">macaulay/flac/272471.flac</t>
  </si>
  <si>
    <t xml:space="preserve">ML299617</t>
  </si>
  <si>
    <t xml:space="preserve">macaulay/flac/299617.flac</t>
  </si>
  <si>
    <t xml:space="preserve">ML299625</t>
  </si>
  <si>
    <t xml:space="preserve">macaulay/flac/299625.flac</t>
  </si>
  <si>
    <t xml:space="preserve">ML299629</t>
  </si>
  <si>
    <t xml:space="preserve">07:05</t>
  </si>
  <si>
    <t xml:space="preserve">macaulay/flac/299629.flac</t>
  </si>
  <si>
    <t xml:space="preserve">ML299634</t>
  </si>
  <si>
    <t xml:space="preserve">macaulay/flac/299634.flac</t>
  </si>
  <si>
    <t xml:space="preserve">ML299645</t>
  </si>
  <si>
    <t xml:space="preserve">macaulay/flac/299645.flac</t>
  </si>
  <si>
    <t xml:space="preserve">ML336556781</t>
  </si>
  <si>
    <t xml:space="preserve">macaulay/flac/336556781.flac</t>
  </si>
  <si>
    <t xml:space="preserve">ML403420791</t>
  </si>
  <si>
    <t xml:space="preserve">macaulay/flac/403420791.flac</t>
  </si>
  <si>
    <t xml:space="preserve">ML630391562</t>
  </si>
  <si>
    <t xml:space="preserve">macaulay/flac/630391562.flac</t>
  </si>
  <si>
    <t xml:space="preserve">ML642598158</t>
  </si>
  <si>
    <t xml:space="preserve">macaulay/flac/642598158.flac</t>
  </si>
  <si>
    <t xml:space="preserve">ML646477773</t>
  </si>
  <si>
    <t xml:space="preserve">macaulay/flac/646477773.flac</t>
  </si>
  <si>
    <t xml:space="preserve">ML647448266</t>
  </si>
  <si>
    <t xml:space="preserve">macaulay/flac/647448266.flac</t>
  </si>
  <si>
    <t xml:space="preserve">ML652627214</t>
  </si>
  <si>
    <t xml:space="preserve">macaulay/flac/652627214.flac</t>
  </si>
  <si>
    <t xml:space="preserve">ML654112169</t>
  </si>
  <si>
    <t xml:space="preserve">macaulay/flac/654112169.flac</t>
  </si>
  <si>
    <t xml:space="preserve">ML89668981</t>
  </si>
  <si>
    <t xml:space="preserve">S43292562</t>
  </si>
  <si>
    <t xml:space="preserve">07:12</t>
  </si>
  <si>
    <t xml:space="preserve">macaulay/flac/89668981.flac</t>
  </si>
  <si>
    <t xml:space="preserve">ML471208411</t>
  </si>
  <si>
    <t xml:space="preserve">macaulay/flac/471208411.flac</t>
  </si>
  <si>
    <t xml:space="preserve">ML108212231</t>
  </si>
  <si>
    <t xml:space="preserve">macaulay/flac/108212231.flac</t>
  </si>
  <si>
    <t xml:space="preserve">ML249460</t>
  </si>
  <si>
    <t xml:space="preserve">macaulay/flac/249460.flac</t>
  </si>
  <si>
    <t xml:space="preserve">ML306060481</t>
  </si>
  <si>
    <t xml:space="preserve">macaulay/flac/306060481.flac</t>
  </si>
  <si>
    <t xml:space="preserve">ML498004801</t>
  </si>
  <si>
    <t xml:space="preserve">macaulay/flac/498004801.flac</t>
  </si>
  <si>
    <t xml:space="preserve">ML498004811</t>
  </si>
  <si>
    <t xml:space="preserve">macaulay/flac/498004811.flac</t>
  </si>
  <si>
    <t xml:space="preserve">ML89669031</t>
  </si>
  <si>
    <t xml:space="preserve">macaulay/flac/89669031.flac</t>
  </si>
  <si>
    <t xml:space="preserve">ML215379</t>
  </si>
  <si>
    <t xml:space="preserve">17:03</t>
  </si>
  <si>
    <t xml:space="preserve">macaulay/flac/215379.flac</t>
  </si>
  <si>
    <t xml:space="preserve">ML266294781</t>
  </si>
  <si>
    <t xml:space="preserve">macaulay/flac/266294781.flac</t>
  </si>
  <si>
    <t xml:space="preserve">ML129893081</t>
  </si>
  <si>
    <t xml:space="preserve">macaulay/flac/129893081.flac</t>
  </si>
  <si>
    <t xml:space="preserve">ML209465</t>
  </si>
  <si>
    <t xml:space="preserve">07:43</t>
  </si>
  <si>
    <t xml:space="preserve">macaulay/flac/209465.flac</t>
  </si>
  <si>
    <t xml:space="preserve">ML661734563</t>
  </si>
  <si>
    <t xml:space="preserve">macaulay/flac/661734563.flac</t>
  </si>
  <si>
    <t xml:space="preserve">ML661734572</t>
  </si>
  <si>
    <t xml:space="preserve">macaulay/flac/661734572.flac</t>
  </si>
  <si>
    <t xml:space="preserve">ML612315806</t>
  </si>
  <si>
    <t xml:space="preserve">macaulay/flac/612315806.flac</t>
  </si>
  <si>
    <t xml:space="preserve">ML249445</t>
  </si>
  <si>
    <t xml:space="preserve">macaulay/flac/249445.flac</t>
  </si>
  <si>
    <t xml:space="preserve">ML621760094</t>
  </si>
  <si>
    <t xml:space="preserve">macaulay/flac/621760094.flac</t>
  </si>
  <si>
    <t xml:space="preserve">ML621760099</t>
  </si>
  <si>
    <t xml:space="preserve">macaulay/flac/621760099.flac</t>
  </si>
  <si>
    <t xml:space="preserve">ML659447613</t>
  </si>
  <si>
    <t xml:space="preserve">S211192855</t>
  </si>
  <si>
    <t xml:space="preserve">macaulay/flac/659447613.flac</t>
  </si>
  <si>
    <t xml:space="preserve">ML209469</t>
  </si>
  <si>
    <t xml:space="preserve">macaulay/flac/209469.flac</t>
  </si>
  <si>
    <t xml:space="preserve">ML209476</t>
  </si>
  <si>
    <t xml:space="preserve">macaulay/flac/209476.flac</t>
  </si>
  <si>
    <t xml:space="preserve">ML648780699</t>
  </si>
  <si>
    <t xml:space="preserve">Bright-rumped Attila; Montezuma Oropendola; Rufous-tailed Hummingbird; Red-lored Amazon</t>
  </si>
  <si>
    <t xml:space="preserve">macaulay/flac/648780699.flac</t>
  </si>
  <si>
    <t xml:space="preserve">ML661734238</t>
  </si>
  <si>
    <t xml:space="preserve">macaulay/flac/661734238.flac</t>
  </si>
  <si>
    <t xml:space="preserve">ML661734239</t>
  </si>
  <si>
    <t xml:space="preserve">macaulay/flac/661734239.flac</t>
  </si>
  <si>
    <t xml:space="preserve">ML209471</t>
  </si>
  <si>
    <t xml:space="preserve">07:02</t>
  </si>
  <si>
    <t xml:space="preserve">macaulay/flac/209471.flac</t>
  </si>
  <si>
    <t xml:space="preserve">ML329359</t>
  </si>
  <si>
    <t xml:space="preserve">macaulay/flac/329359.flac</t>
  </si>
  <si>
    <t xml:space="preserve">ML403162891</t>
  </si>
  <si>
    <t xml:space="preserve">Red-lored Amazon; Mealy Amazon</t>
  </si>
  <si>
    <t xml:space="preserve">macaulay/flac/403162891.flac</t>
  </si>
  <si>
    <t xml:space="preserve">ML623161848</t>
  </si>
  <si>
    <t xml:space="preserve">S192972358</t>
  </si>
  <si>
    <t xml:space="preserve">07:47</t>
  </si>
  <si>
    <t xml:space="preserve">macaulay/flac/623161848.flac</t>
  </si>
  <si>
    <t xml:space="preserve">ML72635</t>
  </si>
  <si>
    <t xml:space="preserve">macaulay/flac/72635.flac</t>
  </si>
  <si>
    <t xml:space="preserve">ML612710657</t>
  </si>
  <si>
    <t xml:space="preserve">macaulay/flac/612710657.flac</t>
  </si>
  <si>
    <t xml:space="preserve">ML57471</t>
  </si>
  <si>
    <t xml:space="preserve">macaulay/flac/57471.flac</t>
  </si>
  <si>
    <t xml:space="preserve">ML152755441</t>
  </si>
  <si>
    <t xml:space="preserve">macaulay/flac/152755441.flac</t>
  </si>
  <si>
    <t xml:space="preserve">ML299654</t>
  </si>
  <si>
    <t xml:space="preserve">macaulay/flac/299654.flac</t>
  </si>
  <si>
    <t xml:space="preserve">ML654600078</t>
  </si>
  <si>
    <t xml:space="preserve">macaulay/flac/654600078.flac</t>
  </si>
  <si>
    <t xml:space="preserve">ML185570</t>
  </si>
  <si>
    <t xml:space="preserve">macaulay/flac/185570.flac</t>
  </si>
  <si>
    <t xml:space="preserve">ML642914798</t>
  </si>
  <si>
    <t xml:space="preserve">macaulay/flac/642914798.flac</t>
  </si>
  <si>
    <t xml:space="preserve">ML249452</t>
  </si>
  <si>
    <t xml:space="preserve">macaulay/flac/249452.flac</t>
  </si>
  <si>
    <t xml:space="preserve">ML297727721</t>
  </si>
  <si>
    <t xml:space="preserve">macaulay/flac/297727721.flac</t>
  </si>
  <si>
    <t xml:space="preserve">ML315004131</t>
  </si>
  <si>
    <t xml:space="preserve">macaulay/flac/315004131.flac</t>
  </si>
  <si>
    <t xml:space="preserve">ML623071936</t>
  </si>
  <si>
    <t xml:space="preserve">macaulay/flac/623071936.flac</t>
  </si>
  <si>
    <t xml:space="preserve">ML623072199</t>
  </si>
  <si>
    <t xml:space="preserve">macaulay/flac/623072199.flac</t>
  </si>
  <si>
    <t xml:space="preserve">ML628597740</t>
  </si>
  <si>
    <t xml:space="preserve">macaulay/flac/628597740.flac</t>
  </si>
  <si>
    <t xml:space="preserve">ML631663228</t>
  </si>
  <si>
    <t xml:space="preserve">macaulay/flac/631663228.flac</t>
  </si>
  <si>
    <t xml:space="preserve">ML640139434</t>
  </si>
  <si>
    <t xml:space="preserve">macaulay/flac/640139434.flac</t>
  </si>
  <si>
    <t xml:space="preserve">ML653762460</t>
  </si>
  <si>
    <t xml:space="preserve">macaulay/flac/653762460.flac</t>
  </si>
  <si>
    <t xml:space="preserve">ML654657051</t>
  </si>
  <si>
    <t xml:space="preserve">macaulay/flac/654657051.flac</t>
  </si>
  <si>
    <t xml:space="preserve">ML658281082</t>
  </si>
  <si>
    <t xml:space="preserve">macaulay/flac/658281082.flac</t>
  </si>
  <si>
    <t xml:space="preserve">ML97467351</t>
  </si>
  <si>
    <t xml:space="preserve">macaulay/flac/97467351.flac</t>
  </si>
  <si>
    <t xml:space="preserve">ML289835721</t>
  </si>
  <si>
    <t xml:space="preserve">macaulay/flac/289835721.flac</t>
  </si>
  <si>
    <t xml:space="preserve">ML289835771</t>
  </si>
  <si>
    <t xml:space="preserve">macaulay/flac/289835771.flac</t>
  </si>
  <si>
    <t xml:space="preserve">ML104018</t>
  </si>
  <si>
    <t xml:space="preserve">Molossus currentium</t>
  </si>
  <si>
    <t xml:space="preserve">Christian C. Voigt|2000-07-11</t>
  </si>
  <si>
    <t xml:space="preserve">22:30</t>
  </si>
  <si>
    <t xml:space="preserve">macaulay/flac/104018.flac</t>
  </si>
  <si>
    <t xml:space="preserve">Bonda mastiff bat (species)</t>
  </si>
  <si>
    <t xml:space="preserve">ML104019</t>
  </si>
  <si>
    <t xml:space="preserve">Molossus sinaloae</t>
  </si>
  <si>
    <t xml:space="preserve">macaulay/flac/104019.flac</t>
  </si>
  <si>
    <t xml:space="preserve">Sinaloan Mastiff Bat (species)</t>
  </si>
  <si>
    <t xml:space="preserve">ML104020</t>
  </si>
  <si>
    <t xml:space="preserve">23:30</t>
  </si>
  <si>
    <t xml:space="preserve">macaulay/flac/104020.flac</t>
  </si>
  <si>
    <t xml:space="preserve">ML104021</t>
  </si>
  <si>
    <t xml:space="preserve">macaulay/flac/104021.flac</t>
  </si>
  <si>
    <t xml:space="preserve">ML104022</t>
  </si>
  <si>
    <t xml:space="preserve">Myotis albescens</t>
  </si>
  <si>
    <t xml:space="preserve">macaulay/flac/104022.flac</t>
  </si>
  <si>
    <t xml:space="preserve">silver-tipped myotis (species)</t>
  </si>
  <si>
    <t xml:space="preserve">ML104023</t>
  </si>
  <si>
    <t xml:space="preserve">00:23</t>
  </si>
  <si>
    <t xml:space="preserve">macaulay/flac/104023.flac</t>
  </si>
  <si>
    <t xml:space="preserve">ML104024</t>
  </si>
  <si>
    <t xml:space="preserve">macaulay/flac/104024.flac</t>
  </si>
  <si>
    <t xml:space="preserve">ML104025</t>
  </si>
  <si>
    <t xml:space="preserve">macaulay/flac/104025.flac</t>
  </si>
  <si>
    <t xml:space="preserve">ML104026</t>
  </si>
  <si>
    <t xml:space="preserve">macaulay/flac/104026.flac</t>
  </si>
  <si>
    <t xml:space="preserve">ML104027</t>
  </si>
  <si>
    <t xml:space="preserve">macaulay/flac/104027.flac</t>
  </si>
  <si>
    <t xml:space="preserve">ML104028</t>
  </si>
  <si>
    <t xml:space="preserve">macaulay/flac/104028.flac</t>
  </si>
  <si>
    <t xml:space="preserve">ML104029</t>
  </si>
  <si>
    <t xml:space="preserve">macaulay/flac/104029.flac</t>
  </si>
  <si>
    <t xml:space="preserve">ML104030</t>
  </si>
  <si>
    <t xml:space="preserve">macaulay/flac/104030.flac</t>
  </si>
  <si>
    <t xml:space="preserve">ML104031</t>
  </si>
  <si>
    <t xml:space="preserve">macaulay/flac/104031.flac</t>
  </si>
  <si>
    <t xml:space="preserve">ML104032</t>
  </si>
  <si>
    <t xml:space="preserve">macaulay/flac/104032.flac</t>
  </si>
  <si>
    <t xml:space="preserve">ML104033</t>
  </si>
  <si>
    <t xml:space="preserve">macaulay/flac/104033.flac</t>
  </si>
  <si>
    <t xml:space="preserve">ML104034</t>
  </si>
  <si>
    <t xml:space="preserve">macaulay/flac/104034.flac</t>
  </si>
  <si>
    <t xml:space="preserve">ML104035</t>
  </si>
  <si>
    <t xml:space="preserve">macaulay/flac/104035.flac</t>
  </si>
  <si>
    <t xml:space="preserve">ML104036</t>
  </si>
  <si>
    <t xml:space="preserve">macaulay/flac/104036.flac</t>
  </si>
  <si>
    <t xml:space="preserve">ML104094</t>
  </si>
  <si>
    <t xml:space="preserve">Mimon bennettii</t>
  </si>
  <si>
    <t xml:space="preserve">Christian C. Voigt|2000-07-10</t>
  </si>
  <si>
    <t xml:space="preserve">macaulay/flac/104094.flac</t>
  </si>
  <si>
    <t xml:space="preserve">golden bat (species)</t>
  </si>
  <si>
    <t xml:space="preserve">ML104095</t>
  </si>
  <si>
    <t xml:space="preserve">macaulay/flac/104095.flac</t>
  </si>
  <si>
    <t xml:space="preserve">ML104096</t>
  </si>
  <si>
    <t xml:space="preserve">macaulay/flac/104096.flac</t>
  </si>
  <si>
    <t xml:space="preserve">ML104097</t>
  </si>
  <si>
    <t xml:space="preserve">macaulay/flac/104097.flac</t>
  </si>
  <si>
    <t xml:space="preserve">ML104122</t>
  </si>
  <si>
    <t xml:space="preserve">Christian C. Voigt|</t>
  </si>
  <si>
    <t xml:space="preserve">macaulay/flac/104122.flac</t>
  </si>
  <si>
    <t xml:space="preserve">ML104189</t>
  </si>
  <si>
    <t xml:space="preserve">Neoeptesicus</t>
  </si>
  <si>
    <t xml:space="preserve">Christian C. Voigt|2000-07-25</t>
  </si>
  <si>
    <t xml:space="preserve">macaulay/flac/104189.flac</t>
  </si>
  <si>
    <t xml:space="preserve">Neoeptesicus (genus)</t>
  </si>
  <si>
    <t xml:space="preserve">ML104190</t>
  </si>
  <si>
    <t xml:space="preserve">Noctilio albiventris</t>
  </si>
  <si>
    <t xml:space="preserve">macaulay/flac/104190.flac</t>
  </si>
  <si>
    <t xml:space="preserve">Lesser Bulldog Bat (species)</t>
  </si>
  <si>
    <t xml:space="preserve">ML104191</t>
  </si>
  <si>
    <t xml:space="preserve">Molossus rufus</t>
  </si>
  <si>
    <t xml:space="preserve">macaulay/flac/104191.flac</t>
  </si>
  <si>
    <t xml:space="preserve">Black Mastiff Bat (species)</t>
  </si>
  <si>
    <t xml:space="preserve">ML166881</t>
  </si>
  <si>
    <t xml:space="preserve">Purple-throated Fruitcrow; Mealy Amazon</t>
  </si>
  <si>
    <t xml:space="preserve">macaulay/flac/166881.flac</t>
  </si>
  <si>
    <t xml:space="preserve">ML166884</t>
  </si>
  <si>
    <t xml:space="preserve">Tlalocohyla loquax</t>
  </si>
  <si>
    <t xml:space="preserve">Mexican Smilisca; Olive Snouted Tree Frog; Harlequin Treefrog</t>
  </si>
  <si>
    <t xml:space="preserve">22:37</t>
  </si>
  <si>
    <t xml:space="preserve">macaulay/flac/166884.flac</t>
  </si>
  <si>
    <t xml:space="preserve">Mahogany Tree Frog (species)</t>
  </si>
  <si>
    <t xml:space="preserve">ML166886</t>
  </si>
  <si>
    <t xml:space="preserve">Diasporus diastema</t>
  </si>
  <si>
    <t xml:space="preserve">macaulay/flac/166886.flac</t>
  </si>
  <si>
    <t xml:space="preserve">Tink Frog (species)</t>
  </si>
  <si>
    <t xml:space="preserve">ML166887</t>
  </si>
  <si>
    <t xml:space="preserve">Olive Snouted Tree Frog; Harlequin Treefrog; Mexican Smilisca; Southern Narrow-mouthed Toad</t>
  </si>
  <si>
    <t xml:space="preserve">23:51</t>
  </si>
  <si>
    <t xml:space="preserve">macaulay/flac/166887.flac</t>
  </si>
  <si>
    <t xml:space="preserve">ML209467</t>
  </si>
  <si>
    <t xml:space="preserve">macaulay/flac/209467.flac</t>
  </si>
  <si>
    <t xml:space="preserve">ML648704484</t>
  </si>
  <si>
    <t xml:space="preserve">macaulay/flac/648704484.flac</t>
  </si>
  <si>
    <t xml:space="preserve">ML57466</t>
  </si>
  <si>
    <t xml:space="preserve">Insecta</t>
  </si>
  <si>
    <t xml:space="preserve">macaulay/flac/57466.flac</t>
  </si>
  <si>
    <t xml:space="preserve">Insects (class)</t>
  </si>
  <si>
    <t xml:space="preserve">ML643644456</t>
  </si>
  <si>
    <t xml:space="preserve">Alouatta</t>
  </si>
  <si>
    <t xml:space="preserve">macaulay/flac/643644456.flac</t>
  </si>
  <si>
    <t xml:space="preserve">Howler Monkeys (genus)</t>
  </si>
  <si>
    <t xml:space="preserve">ML643644630</t>
  </si>
  <si>
    <t xml:space="preserve">macaulay/flac/643644630.flac</t>
  </si>
  <si>
    <t xml:space="preserve">ML53960</t>
  </si>
  <si>
    <t xml:space="preserve">Unidentified</t>
  </si>
  <si>
    <t xml:space="preserve">macaulay/flac/53960.flac</t>
  </si>
  <si>
    <t xml:space="preserve">Unidentified (species)</t>
  </si>
  <si>
    <t xml:space="preserve">ML72627</t>
  </si>
  <si>
    <t xml:space="preserve">macaulay/flac/72627.flac</t>
  </si>
  <si>
    <t xml:space="preserve">ML661204583</t>
  </si>
  <si>
    <t xml:space="preserve">Lepidodactylus lugubris</t>
  </si>
  <si>
    <t xml:space="preserve">macaulay/flac/661204583.flac</t>
  </si>
  <si>
    <t xml:space="preserve">Mourning Gecko (species)</t>
  </si>
  <si>
    <t xml:space="preserve">ML143078421</t>
  </si>
  <si>
    <t xml:space="preserve">val</t>
  </si>
  <si>
    <t xml:space="preserve">macaulay/flac/143078421.flac</t>
  </si>
  <si>
    <t xml:space="preserve">ML185567</t>
  </si>
  <si>
    <t xml:space="preserve">09:48</t>
  </si>
  <si>
    <t xml:space="preserve">macaulay/flac/185567.flac</t>
  </si>
  <si>
    <t xml:space="preserve">ML266233401</t>
  </si>
  <si>
    <t xml:space="preserve">macaulay/flac/266233401.flac</t>
  </si>
  <si>
    <t xml:space="preserve">ML306058661</t>
  </si>
  <si>
    <t xml:space="preserve">macaulay/flac/306058661.flac</t>
  </si>
  <si>
    <t xml:space="preserve">ML403416751</t>
  </si>
  <si>
    <t xml:space="preserve">macaulay/flac/403416751.flac</t>
  </si>
  <si>
    <t xml:space="preserve">ML647327822</t>
  </si>
  <si>
    <t xml:space="preserve">macaulay/flac/647327822.flac</t>
  </si>
  <si>
    <t xml:space="preserve">ML647327885</t>
  </si>
  <si>
    <t xml:space="preserve">macaulay/flac/647327885.flac</t>
  </si>
  <si>
    <t xml:space="preserve">ML647483890</t>
  </si>
  <si>
    <t xml:space="preserve">macaulay/flac/647483890.flac</t>
  </si>
  <si>
    <t xml:space="preserve">ML653980034</t>
  </si>
  <si>
    <t xml:space="preserve">S307449473</t>
  </si>
  <si>
    <t xml:space="preserve">Bill Pyle</t>
  </si>
  <si>
    <t xml:space="preserve">08:09</t>
  </si>
  <si>
    <t xml:space="preserve">macaulay/flac/653980034.flac</t>
  </si>
  <si>
    <t xml:space="preserve">ML193419161</t>
  </si>
  <si>
    <t xml:space="preserve">macaulay/flac/193419161.flac</t>
  </si>
  <si>
    <t xml:space="preserve">ML654470040</t>
  </si>
  <si>
    <t xml:space="preserve">macaulay/flac/654470040.flac</t>
  </si>
  <si>
    <t xml:space="preserve">ML661712314</t>
  </si>
  <si>
    <t xml:space="preserve">macaulay/flac/661712314.flac</t>
  </si>
  <si>
    <t xml:space="preserve">ML76637</t>
  </si>
  <si>
    <t xml:space="preserve">macaulay/flac/76637.flac</t>
  </si>
  <si>
    <t xml:space="preserve">ML266290661</t>
  </si>
  <si>
    <t xml:space="preserve">macaulay/flac/266290661.flac</t>
  </si>
  <si>
    <t xml:space="preserve">ML531227011</t>
  </si>
  <si>
    <t xml:space="preserve">macaulay/flac/531227011.flac</t>
  </si>
  <si>
    <t xml:space="preserve">ML129887341</t>
  </si>
  <si>
    <t xml:space="preserve">macaulay/flac/129887341.flac</t>
  </si>
  <si>
    <t xml:space="preserve">ML129887491</t>
  </si>
  <si>
    <t xml:space="preserve">macaulay/flac/129887491.flac</t>
  </si>
  <si>
    <t xml:space="preserve">ML179453281</t>
  </si>
  <si>
    <t xml:space="preserve">macaulay/flac/179453281.flac</t>
  </si>
  <si>
    <t xml:space="preserve">ML249449</t>
  </si>
  <si>
    <t xml:space="preserve">macaulay/flac/249449.flac</t>
  </si>
  <si>
    <t xml:space="preserve">ML336551781</t>
  </si>
  <si>
    <t xml:space="preserve">macaulay/flac/336551781.flac</t>
  </si>
  <si>
    <t xml:space="preserve">ML648568423</t>
  </si>
  <si>
    <t xml:space="preserve">macaulay/flac/648568423.flac</t>
  </si>
  <si>
    <t xml:space="preserve">ML654749078</t>
  </si>
  <si>
    <t xml:space="preserve">macaulay/flac/654749078.flac</t>
  </si>
  <si>
    <t xml:space="preserve">ML153386701</t>
  </si>
  <si>
    <t xml:space="preserve">macaulay/flac/153386701.flac</t>
  </si>
  <si>
    <t xml:space="preserve">ML184012</t>
  </si>
  <si>
    <t xml:space="preserve">White-crowned Parrot; Ochre-bellied Flycatcher</t>
  </si>
  <si>
    <t xml:space="preserve">macaulay/flac/184012.flac</t>
  </si>
  <si>
    <t xml:space="preserve">ML347767571</t>
  </si>
  <si>
    <t xml:space="preserve">macaulay/flac/347767571.flac</t>
  </si>
  <si>
    <t xml:space="preserve">ML144451741</t>
  </si>
  <si>
    <t xml:space="preserve">macaulay/flac/144451741.flac</t>
  </si>
  <si>
    <t xml:space="preserve">ML299557</t>
  </si>
  <si>
    <t xml:space="preserve">macaulay/flac/299557.flac</t>
  </si>
  <si>
    <t xml:space="preserve">ML299558</t>
  </si>
  <si>
    <t xml:space="preserve">macaulay/flac/299558.flac</t>
  </si>
  <si>
    <t xml:space="preserve">ML39240</t>
  </si>
  <si>
    <t xml:space="preserve">macaulay/flac/39240.flac</t>
  </si>
  <si>
    <t xml:space="preserve">ML90339661</t>
  </si>
  <si>
    <t xml:space="preserve">macaulay/flac/90339661.flac</t>
  </si>
  <si>
    <t xml:space="preserve">ML153372161</t>
  </si>
  <si>
    <t xml:space="preserve">macaulay/flac/153372161.flac</t>
  </si>
  <si>
    <t xml:space="preserve">ML76604</t>
  </si>
  <si>
    <t xml:space="preserve">05:21</t>
  </si>
  <si>
    <t xml:space="preserve">macaulay/flac/76604.flac</t>
  </si>
  <si>
    <t xml:space="preserve">ML100509961</t>
  </si>
  <si>
    <t xml:space="preserve">macaulay/flac/100509961.flac</t>
  </si>
  <si>
    <t xml:space="preserve">ML154145541</t>
  </si>
  <si>
    <t xml:space="preserve">macaulay/flac/154145541.flac</t>
  </si>
  <si>
    <t xml:space="preserve">ML26394</t>
  </si>
  <si>
    <t xml:space="preserve">macaulay/flac/26394.flac</t>
  </si>
  <si>
    <t xml:space="preserve">ML28146</t>
  </si>
  <si>
    <t xml:space="preserve">macaulay/flac/28146.flac</t>
  </si>
  <si>
    <t xml:space="preserve">ML289833981</t>
  </si>
  <si>
    <t xml:space="preserve">macaulay/flac/289833981.flac</t>
  </si>
  <si>
    <t xml:space="preserve">ML39229</t>
  </si>
  <si>
    <t xml:space="preserve">macaulay/flac/39229.flac</t>
  </si>
  <si>
    <t xml:space="preserve">ML662831505</t>
  </si>
  <si>
    <t xml:space="preserve">macaulay/flac/662831505.flac</t>
  </si>
  <si>
    <t xml:space="preserve">ML266205861</t>
  </si>
  <si>
    <t xml:space="preserve">S73476061</t>
  </si>
  <si>
    <t xml:space="preserve">15:47</t>
  </si>
  <si>
    <t xml:space="preserve">macaulay/flac/266205861.flac</t>
  </si>
  <si>
    <t xml:space="preserve">ML531101631</t>
  </si>
  <si>
    <t xml:space="preserve">macaulay/flac/531101631.flac</t>
  </si>
  <si>
    <t xml:space="preserve">ML145176741</t>
  </si>
  <si>
    <t xml:space="preserve">macaulay/flac/145176741.flac</t>
  </si>
  <si>
    <t xml:space="preserve">ML145178021</t>
  </si>
  <si>
    <t xml:space="preserve">macaulay/flac/145178021.flac</t>
  </si>
  <si>
    <t xml:space="preserve">ML293055891</t>
  </si>
  <si>
    <t xml:space="preserve">macaulay/flac/293055891.flac</t>
  </si>
  <si>
    <t xml:space="preserve">ML147721991</t>
  </si>
  <si>
    <t xml:space="preserve">macaulay/flac/147721991.flac</t>
  </si>
  <si>
    <t xml:space="preserve">ML357681141</t>
  </si>
  <si>
    <t xml:space="preserve">S82675544</t>
  </si>
  <si>
    <t xml:space="preserve">macaulay/flac/357681141.flac</t>
  </si>
  <si>
    <t xml:space="preserve">ML46104441</t>
  </si>
  <si>
    <t xml:space="preserve">macaulay/flac/46104441.flac</t>
  </si>
  <si>
    <t xml:space="preserve">ML639219091</t>
  </si>
  <si>
    <t xml:space="preserve">macaulay/flac/639219091.flac</t>
  </si>
  <si>
    <t xml:space="preserve">ML639219092</t>
  </si>
  <si>
    <t xml:space="preserve">macaulay/flac/639219092.flac</t>
  </si>
  <si>
    <t xml:space="preserve">ML648782523</t>
  </si>
  <si>
    <t xml:space="preserve">macaulay/flac/648782523.flac</t>
  </si>
  <si>
    <t xml:space="preserve">ML654361317</t>
  </si>
  <si>
    <t xml:space="preserve">macaulay/flac/654361317.flac</t>
  </si>
  <si>
    <t xml:space="preserve">ML128866101</t>
  </si>
  <si>
    <t xml:space="preserve">macaulay/flac/128866101.flac</t>
  </si>
  <si>
    <t xml:space="preserve">ML151848821</t>
  </si>
  <si>
    <t xml:space="preserve">macaulay/flac/151848821.flac</t>
  </si>
  <si>
    <t xml:space="preserve">ML299564</t>
  </si>
  <si>
    <t xml:space="preserve">macaulay/flac/299564.flac</t>
  </si>
  <si>
    <t xml:space="preserve">ML299569</t>
  </si>
  <si>
    <t xml:space="preserve">macaulay/flac/299569.flac</t>
  </si>
  <si>
    <t xml:space="preserve">ML306062811</t>
  </si>
  <si>
    <t xml:space="preserve">macaulay/flac/306062811.flac</t>
  </si>
  <si>
    <t xml:space="preserve">ML400114491</t>
  </si>
  <si>
    <t xml:space="preserve">macaulay/flac/400114491.flac</t>
  </si>
  <si>
    <t xml:space="preserve">ML98163321</t>
  </si>
  <si>
    <t xml:space="preserve">S45257526</t>
  </si>
  <si>
    <t xml:space="preserve">Tom Benson</t>
  </si>
  <si>
    <t xml:space="preserve">14:40</t>
  </si>
  <si>
    <t xml:space="preserve">macaulay/flac/98163321.flac</t>
  </si>
  <si>
    <t xml:space="preserve">ML129885711</t>
  </si>
  <si>
    <t xml:space="preserve">macaulay/flac/129885711.flac</t>
  </si>
  <si>
    <t xml:space="preserve">ML179452971</t>
  </si>
  <si>
    <t xml:space="preserve">macaulay/flac/179452971.flac</t>
  </si>
  <si>
    <t xml:space="preserve">ML57204</t>
  </si>
  <si>
    <t xml:space="preserve">macaulay/flac/57204.flac</t>
  </si>
  <si>
    <t xml:space="preserve">ML621759355</t>
  </si>
  <si>
    <t xml:space="preserve">macaulay/flac/621759355.flac</t>
  </si>
  <si>
    <t xml:space="preserve">ML621759356</t>
  </si>
  <si>
    <t xml:space="preserve">macaulay/flac/621759356.flac</t>
  </si>
  <si>
    <t xml:space="preserve">ML154660061</t>
  </si>
  <si>
    <t xml:space="preserve">macaulay/flac/154660061.flac</t>
  </si>
  <si>
    <t xml:space="preserve">ML267814331</t>
  </si>
  <si>
    <t xml:space="preserve">macaulay/flac/267814331.flac</t>
  </si>
  <si>
    <t xml:space="preserve">ML267814671</t>
  </si>
  <si>
    <t xml:space="preserve">macaulay/flac/267814671.flac</t>
  </si>
  <si>
    <t xml:space="preserve">ML28107</t>
  </si>
  <si>
    <t xml:space="preserve">Melanerpes sp.; Cinnamon Becard; Black-headed Saltator</t>
  </si>
  <si>
    <t xml:space="preserve">macaulay/flac/28107.flac</t>
  </si>
  <si>
    <t xml:space="preserve">ML215341</t>
  </si>
  <si>
    <t xml:space="preserve">macaulay/flac/215341.flac</t>
  </si>
  <si>
    <t xml:space="preserve">ML267815611</t>
  </si>
  <si>
    <t xml:space="preserve">macaulay/flac/267815611.flac</t>
  </si>
  <si>
    <t xml:space="preserve">ML402249281</t>
  </si>
  <si>
    <t xml:space="preserve">macaulay/flac/402249281.flac</t>
  </si>
  <si>
    <t xml:space="preserve">ML102629841</t>
  </si>
  <si>
    <t xml:space="preserve">macaulay/flac/102629841.flac</t>
  </si>
  <si>
    <t xml:space="preserve">ML179452881</t>
  </si>
  <si>
    <t xml:space="preserve">macaulay/flac/179452881.flac</t>
  </si>
  <si>
    <t xml:space="preserve">ML39228</t>
  </si>
  <si>
    <t xml:space="preserve">macaulay/flac/39228.flac</t>
  </si>
  <si>
    <t xml:space="preserve">ML621759995</t>
  </si>
  <si>
    <t xml:space="preserve">macaulay/flac/621759995.flac</t>
  </si>
  <si>
    <t xml:space="preserve">ML621760091</t>
  </si>
  <si>
    <t xml:space="preserve">macaulay/flac/621760091.flac</t>
  </si>
  <si>
    <t xml:space="preserve">ML628653639</t>
  </si>
  <si>
    <t xml:space="preserve">macaulay/flac/628653639.flac</t>
  </si>
  <si>
    <t xml:space="preserve">ML639219112</t>
  </si>
  <si>
    <t xml:space="preserve">macaulay/flac/639219112.flac</t>
  </si>
  <si>
    <t xml:space="preserve">ML648704642</t>
  </si>
  <si>
    <t xml:space="preserve">macaulay/flac/648704642.flac</t>
  </si>
  <si>
    <t xml:space="preserve">ML266301031</t>
  </si>
  <si>
    <t xml:space="preserve">macaulay/flac/266301031.flac</t>
  </si>
  <si>
    <t xml:space="preserve">ML75123501</t>
  </si>
  <si>
    <t xml:space="preserve">S40462729</t>
  </si>
  <si>
    <t xml:space="preserve">macaulay/flac/75123501.flac</t>
  </si>
  <si>
    <t xml:space="preserve">ML75123511</t>
  </si>
  <si>
    <t xml:space="preserve">macaulay/flac/75123511.flac</t>
  </si>
  <si>
    <t xml:space="preserve">ML98271001</t>
  </si>
  <si>
    <t xml:space="preserve">macaulay/flac/98271001.flac</t>
  </si>
  <si>
    <t xml:space="preserve">ML98492071</t>
  </si>
  <si>
    <t xml:space="preserve">macaulay/flac/98492071.flac</t>
  </si>
  <si>
    <t xml:space="preserve">ML132006511</t>
  </si>
  <si>
    <t xml:space="preserve">macaulay/flac/132006511.flac</t>
  </si>
  <si>
    <t xml:space="preserve">ML147429021</t>
  </si>
  <si>
    <t xml:space="preserve">macaulay/flac/147429021.flac</t>
  </si>
  <si>
    <t xml:space="preserve">ML28106</t>
  </si>
  <si>
    <t xml:space="preserve">macaulay/flac/28106.flac</t>
  </si>
  <si>
    <t xml:space="preserve">ML193419631</t>
  </si>
  <si>
    <t xml:space="preserve">macaulay/flac/193419631.flac</t>
  </si>
  <si>
    <t xml:space="preserve">ML31391</t>
  </si>
  <si>
    <t xml:space="preserve">macaulay/flac/31391.flac</t>
  </si>
  <si>
    <t xml:space="preserve">ML102628721</t>
  </si>
  <si>
    <t xml:space="preserve">macaulay/flac/102628721.flac</t>
  </si>
  <si>
    <t xml:space="preserve">ML451651251</t>
  </si>
  <si>
    <t xml:space="preserve">S108082003</t>
  </si>
  <si>
    <t xml:space="preserve">macaulay/flac/451651251.flac</t>
  </si>
  <si>
    <t xml:space="preserve">ML102312101</t>
  </si>
  <si>
    <t xml:space="preserve">macaulay/flac/102312101.flac</t>
  </si>
  <si>
    <t xml:space="preserve">ML150734741</t>
  </si>
  <si>
    <t xml:space="preserve">macaulay/flac/150734741.flac</t>
  </si>
  <si>
    <t xml:space="preserve">ML218806431</t>
  </si>
  <si>
    <t xml:space="preserve">macaulay/flac/218806431.flac</t>
  </si>
  <si>
    <t xml:space="preserve">ML249420</t>
  </si>
  <si>
    <t xml:space="preserve">macaulay/flac/249420.flac</t>
  </si>
  <si>
    <t xml:space="preserve">ML348068591</t>
  </si>
  <si>
    <t xml:space="preserve">macaulay/flac/348068591.flac</t>
  </si>
  <si>
    <t xml:space="preserve">ML643673899</t>
  </si>
  <si>
    <t xml:space="preserve">S279972394</t>
  </si>
  <si>
    <t xml:space="preserve">macaulay/flac/643673899.flac</t>
  </si>
  <si>
    <t xml:space="preserve">ML653481229</t>
  </si>
  <si>
    <t xml:space="preserve">S310150695</t>
  </si>
  <si>
    <t xml:space="preserve">macaulay/flac/653481229.flac</t>
  </si>
  <si>
    <t xml:space="preserve">ML76609</t>
  </si>
  <si>
    <t xml:space="preserve">macaulay/flac/76609.flac</t>
  </si>
  <si>
    <t xml:space="preserve">ML76612</t>
  </si>
  <si>
    <t xml:space="preserve">15:43</t>
  </si>
  <si>
    <t xml:space="preserve">macaulay/flac/76612.flac</t>
  </si>
  <si>
    <t xml:space="preserve">ML289833421</t>
  </si>
  <si>
    <t xml:space="preserve">macaulay/flac/289833421.flac</t>
  </si>
  <si>
    <t xml:space="preserve">ML656124929</t>
  </si>
  <si>
    <t xml:space="preserve">S329462665</t>
  </si>
  <si>
    <t xml:space="preserve">macaulay/flac/656124929.flac</t>
  </si>
  <si>
    <t xml:space="preserve">ML101388251</t>
  </si>
  <si>
    <t xml:space="preserve">macaulay/flac/101388251.flac</t>
  </si>
  <si>
    <t xml:space="preserve">ML145823681</t>
  </si>
  <si>
    <t xml:space="preserve">S53531340</t>
  </si>
  <si>
    <t xml:space="preserve">macaulay/flac/145823681.flac</t>
  </si>
  <si>
    <t xml:space="preserve">ML24740261</t>
  </si>
  <si>
    <t xml:space="preserve">S27734824</t>
  </si>
  <si>
    <t xml:space="preserve">Rich Hoyer</t>
  </si>
  <si>
    <t xml:space="preserve">04:08</t>
  </si>
  <si>
    <t xml:space="preserve">macaulay/flac/24740261.flac</t>
  </si>
  <si>
    <t xml:space="preserve">ML531225461</t>
  </si>
  <si>
    <t xml:space="preserve">macaulay/flac/531225461.flac</t>
  </si>
  <si>
    <t xml:space="preserve">ML654361297</t>
  </si>
  <si>
    <t xml:space="preserve">macaulay/flac/654361297.flac</t>
  </si>
  <si>
    <t xml:space="preserve">ML144844301</t>
  </si>
  <si>
    <t xml:space="preserve">macaulay/flac/144844301.flac</t>
  </si>
  <si>
    <t xml:space="preserve">ML154144361</t>
  </si>
  <si>
    <t xml:space="preserve">macaulay/flac/154144361.flac</t>
  </si>
  <si>
    <t xml:space="preserve">ML184008</t>
  </si>
  <si>
    <t xml:space="preserve">11:45</t>
  </si>
  <si>
    <t xml:space="preserve">macaulay/flac/184008.flac</t>
  </si>
  <si>
    <t xml:space="preserve">ML193422141</t>
  </si>
  <si>
    <t xml:space="preserve">macaulay/flac/193422141.flac</t>
  </si>
  <si>
    <t xml:space="preserve">ML32601321</t>
  </si>
  <si>
    <t xml:space="preserve">S30349169</t>
  </si>
  <si>
    <t xml:space="preserve">macaulay/flac/32601321.flac</t>
  </si>
  <si>
    <t xml:space="preserve">ML471210211</t>
  </si>
  <si>
    <t xml:space="preserve">macaulay/flac/471210211.flac</t>
  </si>
  <si>
    <t xml:space="preserve">ML610572007</t>
  </si>
  <si>
    <t xml:space="preserve">macaulay/flac/610572007.flac</t>
  </si>
  <si>
    <t xml:space="preserve">ML610572438</t>
  </si>
  <si>
    <t xml:space="preserve">macaulay/flac/610572438.flac</t>
  </si>
  <si>
    <t xml:space="preserve">ML28134</t>
  </si>
  <si>
    <t xml:space="preserve">Tink Frog; Great Potoo</t>
  </si>
  <si>
    <t xml:space="preserve">04:00</t>
  </si>
  <si>
    <t xml:space="preserve">macaulay/flac/28134.flac</t>
  </si>
  <si>
    <t xml:space="preserve">ML626522302</t>
  </si>
  <si>
    <t xml:space="preserve">S203144576</t>
  </si>
  <si>
    <t xml:space="preserve">20:53</t>
  </si>
  <si>
    <t xml:space="preserve">macaulay/flac/626522302.flac</t>
  </si>
  <si>
    <t xml:space="preserve">ML91833691</t>
  </si>
  <si>
    <t xml:space="preserve">S44050285</t>
  </si>
  <si>
    <t xml:space="preserve">19:13</t>
  </si>
  <si>
    <t xml:space="preserve">macaulay/flac/91833691.flac</t>
  </si>
  <si>
    <t xml:space="preserve">ML169970691</t>
  </si>
  <si>
    <t xml:space="preserve">macaulay/flac/169970691.flac</t>
  </si>
  <si>
    <t xml:space="preserve">ML267818301</t>
  </si>
  <si>
    <t xml:space="preserve">macaulay/flac/267818301.flac</t>
  </si>
  <si>
    <t xml:space="preserve">ML623181370</t>
  </si>
  <si>
    <t xml:space="preserve">macaulay/flac/623181370.flac</t>
  </si>
  <si>
    <t xml:space="preserve">ML623181372</t>
  </si>
  <si>
    <t xml:space="preserve">macaulay/flac/623181372.flac</t>
  </si>
  <si>
    <t xml:space="preserve">ML639163451</t>
  </si>
  <si>
    <t xml:space="preserve">macaulay/flac/639163451.flac</t>
  </si>
  <si>
    <t xml:space="preserve">ML185752</t>
  </si>
  <si>
    <t xml:space="preserve">11:20</t>
  </si>
  <si>
    <t xml:space="preserve">macaulay/flac/185752.flac</t>
  </si>
  <si>
    <t xml:space="preserve">ML348066131</t>
  </si>
  <si>
    <t xml:space="preserve">macaulay/flac/348066131.flac</t>
  </si>
  <si>
    <t xml:space="preserve">ML398720561</t>
  </si>
  <si>
    <t xml:space="preserve">macaulay/flac/398720561.flac</t>
  </si>
  <si>
    <t xml:space="preserve">ML398719801</t>
  </si>
  <si>
    <t xml:space="preserve">macaulay/flac/398719801.flac</t>
  </si>
  <si>
    <t xml:space="preserve">ML642913244</t>
  </si>
  <si>
    <t xml:space="preserve">macaulay/flac/642913244.flac</t>
  </si>
  <si>
    <t xml:space="preserve">ML642913245</t>
  </si>
  <si>
    <t xml:space="preserve">macaulay/flac/642913245.flac</t>
  </si>
  <si>
    <t xml:space="preserve">ML249427</t>
  </si>
  <si>
    <t xml:space="preserve">macaulay/flac/249427.flac</t>
  </si>
  <si>
    <t xml:space="preserve">ML28156</t>
  </si>
  <si>
    <t xml:space="preserve">macaulay/flac/28156.flac</t>
  </si>
  <si>
    <t xml:space="preserve">ML193418041</t>
  </si>
  <si>
    <t xml:space="preserve">macaulay/flac/193418041.flac</t>
  </si>
  <si>
    <t xml:space="preserve">ML299559</t>
  </si>
  <si>
    <t xml:space="preserve">macaulay/flac/299559.flac</t>
  </si>
  <si>
    <t xml:space="preserve">ML656839256</t>
  </si>
  <si>
    <t xml:space="preserve">S320904667</t>
  </si>
  <si>
    <t xml:space="preserve">macaulay/flac/656839256.flac</t>
  </si>
  <si>
    <t xml:space="preserve">ML184007</t>
  </si>
  <si>
    <t xml:space="preserve">macaulay/flac/184007.flac</t>
  </si>
  <si>
    <t xml:space="preserve">ML267822031</t>
  </si>
  <si>
    <t xml:space="preserve">macaulay/flac/267822031.flac</t>
  </si>
  <si>
    <t xml:space="preserve">ML357682151</t>
  </si>
  <si>
    <t xml:space="preserve">macaulay/flac/357682151.flac</t>
  </si>
  <si>
    <t xml:space="preserve">ML193417741</t>
  </si>
  <si>
    <t xml:space="preserve">macaulay/flac/193417741.flac</t>
  </si>
  <si>
    <t xml:space="preserve">ML299595</t>
  </si>
  <si>
    <t xml:space="preserve">macaulay/flac/299595.flac</t>
  </si>
  <si>
    <t xml:space="preserve">ML654240325</t>
  </si>
  <si>
    <t xml:space="preserve">Orange-chinned Parakeet; Broad-billed Motmot</t>
  </si>
  <si>
    <t xml:space="preserve">macaulay/flac/654240325.flac</t>
  </si>
  <si>
    <t xml:space="preserve">ML137859661</t>
  </si>
  <si>
    <t xml:space="preserve">macaulay/flac/137859661.flac</t>
  </si>
  <si>
    <t xml:space="preserve">ML137863831</t>
  </si>
  <si>
    <t xml:space="preserve">macaulay/flac/137863831.flac</t>
  </si>
  <si>
    <t xml:space="preserve">ML642595823</t>
  </si>
  <si>
    <t xml:space="preserve">macaulay/flac/642595823.flac</t>
  </si>
  <si>
    <t xml:space="preserve">ML98013981</t>
  </si>
  <si>
    <t xml:space="preserve">macaulay/flac/98013981.flac</t>
  </si>
  <si>
    <t xml:space="preserve">ML156781091</t>
  </si>
  <si>
    <t xml:space="preserve">macaulay/flac/156781091.flac</t>
  </si>
  <si>
    <t xml:space="preserve">ML293062621</t>
  </si>
  <si>
    <t xml:space="preserve">macaulay/flac/293062621.flac</t>
  </si>
  <si>
    <t xml:space="preserve">ML72660</t>
  </si>
  <si>
    <t xml:space="preserve">macaulay/flac/72660.flac</t>
  </si>
  <si>
    <t xml:space="preserve">ML215382</t>
  </si>
  <si>
    <t xml:space="preserve">20:20</t>
  </si>
  <si>
    <t xml:space="preserve">macaulay/flac/215382.flac</t>
  </si>
  <si>
    <t xml:space="preserve">ML641471138</t>
  </si>
  <si>
    <t xml:space="preserve">S271911368</t>
  </si>
  <si>
    <t xml:space="preserve">macaulay/flac/641471138.flac</t>
  </si>
  <si>
    <t xml:space="preserve">ML403166031</t>
  </si>
  <si>
    <t xml:space="preserve">Short-tailed Nighthawk; Green Ibis</t>
  </si>
  <si>
    <t xml:space="preserve">macaulay/flac/403166031.flac</t>
  </si>
  <si>
    <t xml:space="preserve">ML45570571</t>
  </si>
  <si>
    <t xml:space="preserve">macaulay/flac/45570571.flac</t>
  </si>
  <si>
    <t xml:space="preserve">ML514573731</t>
  </si>
  <si>
    <t xml:space="preserve">macaulay/flac/514573731.flac</t>
  </si>
  <si>
    <t xml:space="preserve">ML514573741</t>
  </si>
  <si>
    <t xml:space="preserve">macaulay/flac/514573741.flac</t>
  </si>
  <si>
    <t xml:space="preserve">ML60645451</t>
  </si>
  <si>
    <t xml:space="preserve">S37335991</t>
  </si>
  <si>
    <t xml:space="preserve">Ragupathy Kannan</t>
  </si>
  <si>
    <t xml:space="preserve">05:14</t>
  </si>
  <si>
    <t xml:space="preserve">macaulay/flac/60645451.flac</t>
  </si>
  <si>
    <t xml:space="preserve">ML617443262</t>
  </si>
  <si>
    <t xml:space="preserve">S162950563</t>
  </si>
  <si>
    <t xml:space="preserve">Melanie Mitchell</t>
  </si>
  <si>
    <t xml:space="preserve">15:02</t>
  </si>
  <si>
    <t xml:space="preserve">macaulay/flac/617443262.flac</t>
  </si>
  <si>
    <t xml:space="preserve">ML628598633</t>
  </si>
  <si>
    <t xml:space="preserve">macaulay/flac/628598633.flac</t>
  </si>
  <si>
    <t xml:space="preserve">ML640139284</t>
  </si>
  <si>
    <t xml:space="preserve">S225325896</t>
  </si>
  <si>
    <t xml:space="preserve">16:48</t>
  </si>
  <si>
    <t xml:space="preserve">macaulay/flac/640139284.flac</t>
  </si>
  <si>
    <t xml:space="preserve">ML653762082</t>
  </si>
  <si>
    <t xml:space="preserve">macaulay/flac/653762082.flac</t>
  </si>
  <si>
    <t xml:space="preserve">ML267824921</t>
  </si>
  <si>
    <t xml:space="preserve">Yellow-throated Toucan; Short-billed Pigeon</t>
  </si>
  <si>
    <t xml:space="preserve">macaulay/flac/267824921.flac</t>
  </si>
  <si>
    <t xml:space="preserve">ML614213516</t>
  </si>
  <si>
    <t xml:space="preserve">macaulay/flac/614213516.flac</t>
  </si>
  <si>
    <t xml:space="preserve">ML616460294</t>
  </si>
  <si>
    <t xml:space="preserve">S165196832</t>
  </si>
  <si>
    <t xml:space="preserve">macaulay/flac/616460294.flac</t>
  </si>
  <si>
    <t xml:space="preserve">ML654441784</t>
  </si>
  <si>
    <t xml:space="preserve">macaulay/flac/654441784.flac</t>
  </si>
  <si>
    <t xml:space="preserve">ML145177401</t>
  </si>
  <si>
    <t xml:space="preserve">macaulay/flac/145177401.flac</t>
  </si>
  <si>
    <t xml:space="preserve">ML631662771</t>
  </si>
  <si>
    <t xml:space="preserve">macaulay/flac/631662771.flac</t>
  </si>
  <si>
    <t xml:space="preserve">ML631662772</t>
  </si>
  <si>
    <t xml:space="preserve">macaulay/flac/631662772.flac</t>
  </si>
  <si>
    <t xml:space="preserve">ML654600602</t>
  </si>
  <si>
    <t xml:space="preserve">macaulay/flac/654600602.flac</t>
  </si>
  <si>
    <t xml:space="preserve">ML193406031</t>
  </si>
  <si>
    <t xml:space="preserve">macaulay/flac/193406031.flac</t>
  </si>
  <si>
    <t xml:space="preserve">ML611524195</t>
  </si>
  <si>
    <t xml:space="preserve">S129534526</t>
  </si>
  <si>
    <t xml:space="preserve">macaulay/flac/611524195.flac</t>
  </si>
  <si>
    <t xml:space="preserve">ML102485271</t>
  </si>
  <si>
    <t xml:space="preserve">macaulay/flac/102485271.flac</t>
  </si>
  <si>
    <t xml:space="preserve">ML185741</t>
  </si>
  <si>
    <t xml:space="preserve">macaulay/flac/185741.flac</t>
  </si>
  <si>
    <t xml:space="preserve">ML349505021</t>
  </si>
  <si>
    <t xml:space="preserve">macaulay/flac/349505021.flac</t>
  </si>
  <si>
    <t xml:space="preserve">ML76607</t>
  </si>
  <si>
    <t xml:space="preserve">macaulay/flac/76607.flac</t>
  </si>
  <si>
    <t xml:space="preserve">ML196079171</t>
  </si>
  <si>
    <t xml:space="preserve">macaulay/flac/196079171.flac</t>
  </si>
  <si>
    <t xml:space="preserve">ML531225961</t>
  </si>
  <si>
    <t xml:space="preserve">macaulay/flac/531225961.flac</t>
  </si>
  <si>
    <t xml:space="preserve">ML338490121</t>
  </si>
  <si>
    <t xml:space="preserve">macaulay/flac/338490121.flac</t>
  </si>
  <si>
    <t xml:space="preserve">ML74220</t>
  </si>
  <si>
    <t xml:space="preserve">macaulay/flac/74220.flac</t>
  </si>
  <si>
    <t xml:space="preserve">ML193419481</t>
  </si>
  <si>
    <t xml:space="preserve">macaulay/flac/193419481.flac</t>
  </si>
  <si>
    <t xml:space="preserve">ML209486</t>
  </si>
  <si>
    <t xml:space="preserve">16:34</t>
  </si>
  <si>
    <t xml:space="preserve">macaulay/flac/209486.flac</t>
  </si>
  <si>
    <t xml:space="preserve">ML147721451</t>
  </si>
  <si>
    <t xml:space="preserve">macaulay/flac/147721451.flac</t>
  </si>
  <si>
    <t xml:space="preserve">ML531098001</t>
  </si>
  <si>
    <t xml:space="preserve">macaulay/flac/531098001.flac</t>
  </si>
  <si>
    <t xml:space="preserve">ML660494254</t>
  </si>
  <si>
    <t xml:space="preserve">macaulay/flac/660494254.flac</t>
  </si>
  <si>
    <t xml:space="preserve">ML338507501</t>
  </si>
  <si>
    <t xml:space="preserve">macaulay/flac/338507501.flac</t>
  </si>
  <si>
    <t xml:space="preserve">ML45821011</t>
  </si>
  <si>
    <t xml:space="preserve">S33610744</t>
  </si>
  <si>
    <t xml:space="preserve">macaulay/flac/45821011.flac</t>
  </si>
  <si>
    <t xml:space="preserve">ML614020046</t>
  </si>
  <si>
    <t xml:space="preserve">S158198130</t>
  </si>
  <si>
    <t xml:space="preserve">macaulay/flac/614020046.flac</t>
  </si>
  <si>
    <t xml:space="preserve">ML614020047</t>
  </si>
  <si>
    <t xml:space="preserve">macaulay/flac/614020047.flac</t>
  </si>
  <si>
    <t xml:space="preserve">ML654441795</t>
  </si>
  <si>
    <t xml:space="preserve">macaulay/flac/654441795.flac</t>
  </si>
  <si>
    <t xml:space="preserve">ML100771791</t>
  </si>
  <si>
    <t xml:space="preserve">macaulay/flac/100771791.flac</t>
  </si>
  <si>
    <t xml:space="preserve">ML306066781</t>
  </si>
  <si>
    <t xml:space="preserve">macaulay/flac/306066781.flac</t>
  </si>
  <si>
    <t xml:space="preserve">ML597933531</t>
  </si>
  <si>
    <t xml:space="preserve">macaulay/flac/597933531.flac</t>
  </si>
  <si>
    <t xml:space="preserve">ML597934231</t>
  </si>
  <si>
    <t xml:space="preserve">macaulay/flac/597934231.flac</t>
  </si>
  <si>
    <t xml:space="preserve">ML97469461</t>
  </si>
  <si>
    <t xml:space="preserve">macaulay/flac/97469461.flac</t>
  </si>
  <si>
    <t xml:space="preserve">ML297142331</t>
  </si>
  <si>
    <t xml:space="preserve">macaulay/flac/297142331.flac</t>
  </si>
  <si>
    <t xml:space="preserve">ML299609</t>
  </si>
  <si>
    <t xml:space="preserve">macaulay/flac/299609.flac</t>
  </si>
  <si>
    <t xml:space="preserve">ML299612</t>
  </si>
  <si>
    <t xml:space="preserve">macaulay/flac/299612.flac</t>
  </si>
  <si>
    <t xml:space="preserve">ML209498</t>
  </si>
  <si>
    <t xml:space="preserve">macaulay/flac/209498.flac</t>
  </si>
  <si>
    <t xml:space="preserve">ML661712133</t>
  </si>
  <si>
    <t xml:space="preserve">macaulay/flac/661712133.flac</t>
  </si>
  <si>
    <t xml:space="preserve">ML148043851</t>
  </si>
  <si>
    <t xml:space="preserve">macaulay/flac/148043851.flac</t>
  </si>
  <si>
    <t xml:space="preserve">ML228671611</t>
  </si>
  <si>
    <t xml:space="preserve">macaulay/flac/228671611.flac</t>
  </si>
  <si>
    <t xml:space="preserve">ML39223</t>
  </si>
  <si>
    <t xml:space="preserve">macaulay/flac/39223.flac</t>
  </si>
  <si>
    <t xml:space="preserve">ML97064211</t>
  </si>
  <si>
    <t xml:space="preserve">macaulay/flac/97064211.flac</t>
  </si>
  <si>
    <t xml:space="preserve">ML97065501</t>
  </si>
  <si>
    <t xml:space="preserve">macaulay/flac/97065501.flac</t>
  </si>
  <si>
    <t xml:space="preserve">ML129264611</t>
  </si>
  <si>
    <t xml:space="preserve">macaulay/flac/129264611.flac</t>
  </si>
  <si>
    <t xml:space="preserve">ML129894341</t>
  </si>
  <si>
    <t xml:space="preserve">macaulay/flac/129894341.flac</t>
  </si>
  <si>
    <t xml:space="preserve">ML179453121</t>
  </si>
  <si>
    <t xml:space="preserve">macaulay/flac/179453121.flac</t>
  </si>
  <si>
    <t xml:space="preserve">ML266289801</t>
  </si>
  <si>
    <t xml:space="preserve">macaulay/flac/266289801.flac</t>
  </si>
  <si>
    <t xml:space="preserve">ML31390</t>
  </si>
  <si>
    <t xml:space="preserve">01:00</t>
  </si>
  <si>
    <t xml:space="preserve">macaulay/flac/31390.flac</t>
  </si>
  <si>
    <t xml:space="preserve">ML470079011</t>
  </si>
  <si>
    <t xml:space="preserve">macaulay/flac/470079011.flac</t>
  </si>
  <si>
    <t xml:space="preserve">ML653762714</t>
  </si>
  <si>
    <t xml:space="preserve">macaulay/flac/653762714.flac</t>
  </si>
  <si>
    <t xml:space="preserve">ML654319371</t>
  </si>
  <si>
    <t xml:space="preserve">macaulay/flac/654319371.flac</t>
  </si>
  <si>
    <t xml:space="preserve">ML209475</t>
  </si>
  <si>
    <t xml:space="preserve">macaulay/flac/209475.flac</t>
  </si>
  <si>
    <t xml:space="preserve">ML400105401</t>
  </si>
  <si>
    <t xml:space="preserve">macaulay/flac/400105401.flac</t>
  </si>
  <si>
    <t xml:space="preserve">ML267828481</t>
  </si>
  <si>
    <t xml:space="preserve">macaulay/flac/267828481.flac</t>
  </si>
  <si>
    <t xml:space="preserve">ML403411621</t>
  </si>
  <si>
    <t xml:space="preserve">macaulay/flac/403411621.flac</t>
  </si>
  <si>
    <t xml:space="preserve">ML628597519</t>
  </si>
  <si>
    <t xml:space="preserve">macaulay/flac/628597519.flac</t>
  </si>
  <si>
    <t xml:space="preserve">ML628653637</t>
  </si>
  <si>
    <t xml:space="preserve">macaulay/flac/628653637.flac</t>
  </si>
  <si>
    <t xml:space="preserve">ML652408530</t>
  </si>
  <si>
    <t xml:space="preserve">macaulay/flac/652408530.flac</t>
  </si>
  <si>
    <t xml:space="preserve">ML203939471</t>
  </si>
  <si>
    <t xml:space="preserve">macaulay/flac/203939471.flac</t>
  </si>
  <si>
    <t xml:space="preserve">ML215375</t>
  </si>
  <si>
    <t xml:space="preserve">10:33</t>
  </si>
  <si>
    <t xml:space="preserve">macaulay/flac/215375.flac</t>
  </si>
  <si>
    <t xml:space="preserve">ML471210531</t>
  </si>
  <si>
    <t xml:space="preserve">macaulay/flac/471210531.flac</t>
  </si>
  <si>
    <t xml:space="preserve">ML651343386</t>
  </si>
  <si>
    <t xml:space="preserve">macaulay/flac/651343386.flac</t>
  </si>
  <si>
    <t xml:space="preserve">ML215412</t>
  </si>
  <si>
    <t xml:space="preserve">macaulay/flac/215412.flac</t>
  </si>
  <si>
    <t xml:space="preserve">ML249443</t>
  </si>
  <si>
    <t xml:space="preserve">macaulay/flac/249443.flac</t>
  </si>
  <si>
    <t xml:space="preserve">ML338496081</t>
  </si>
  <si>
    <t xml:space="preserve">macaulay/flac/338496081.flac</t>
  </si>
  <si>
    <t xml:space="preserve">ML57496</t>
  </si>
  <si>
    <t xml:space="preserve">17:12</t>
  </si>
  <si>
    <t xml:space="preserve">macaulay/flac/57496.flac</t>
  </si>
  <si>
    <t xml:space="preserve">ML131965711</t>
  </si>
  <si>
    <t xml:space="preserve">macaulay/flac/131965711.flac</t>
  </si>
  <si>
    <t xml:space="preserve">ML153723711</t>
  </si>
  <si>
    <t xml:space="preserve">macaulay/flac/153723711.flac</t>
  </si>
  <si>
    <t xml:space="preserve">ML31394</t>
  </si>
  <si>
    <t xml:space="preserve">macaulay/flac/31394.flac</t>
  </si>
  <si>
    <t xml:space="preserve">ML102310421</t>
  </si>
  <si>
    <t xml:space="preserve">macaulay/flac/102310421.flac</t>
  </si>
  <si>
    <t xml:space="preserve">ML193419721</t>
  </si>
  <si>
    <t xml:space="preserve">macaulay/flac/193419721.flac</t>
  </si>
  <si>
    <t xml:space="preserve">ML299546</t>
  </si>
  <si>
    <t xml:space="preserve">macaulay/flac/299546.flac</t>
  </si>
  <si>
    <t xml:space="preserve">ML299596</t>
  </si>
  <si>
    <t xml:space="preserve">macaulay/flac/299596.flac</t>
  </si>
  <si>
    <t xml:space="preserve">ML661734236</t>
  </si>
  <si>
    <t xml:space="preserve">macaulay/flac/661734236.flac</t>
  </si>
  <si>
    <t xml:space="preserve">ML129903131</t>
  </si>
  <si>
    <t xml:space="preserve">macaulay/flac/129903131.flac</t>
  </si>
  <si>
    <t xml:space="preserve">ML179453191</t>
  </si>
  <si>
    <t xml:space="preserve">macaulay/flac/179453191.flac</t>
  </si>
  <si>
    <t xml:space="preserve">ML266229081</t>
  </si>
  <si>
    <t xml:space="preserve">macaulay/flac/266229081.flac</t>
  </si>
  <si>
    <t xml:space="preserve">ML72613</t>
  </si>
  <si>
    <t xml:space="preserve">macaulay/flac/72613.flac</t>
  </si>
  <si>
    <t xml:space="preserve">ML72615</t>
  </si>
  <si>
    <t xml:space="preserve">macaulay/flac/72615.flac</t>
  </si>
  <si>
    <t xml:space="preserve">ML72616</t>
  </si>
  <si>
    <t xml:space="preserve">macaulay/flac/72616.flac</t>
  </si>
  <si>
    <t xml:space="preserve">ML111002481</t>
  </si>
  <si>
    <t xml:space="preserve">macaulay/flac/111002481.flac</t>
  </si>
  <si>
    <t xml:space="preserve">ML169970611</t>
  </si>
  <si>
    <t xml:space="preserve">macaulay/flac/169970611.flac</t>
  </si>
  <si>
    <t xml:space="preserve">ML215362</t>
  </si>
  <si>
    <t xml:space="preserve">macaulay/flac/215362.flac</t>
  </si>
  <si>
    <t xml:space="preserve">ML215368</t>
  </si>
  <si>
    <t xml:space="preserve">macaulay/flac/215368.flac</t>
  </si>
  <si>
    <t xml:space="preserve">ML266230451</t>
  </si>
  <si>
    <t xml:space="preserve">Broad-billed Motmot; Keel-billed Toucan</t>
  </si>
  <si>
    <t xml:space="preserve">macaulay/flac/266230451.flac</t>
  </si>
  <si>
    <t xml:space="preserve">ML400112321</t>
  </si>
  <si>
    <t xml:space="preserve">macaulay/flac/400112321.flac</t>
  </si>
  <si>
    <t xml:space="preserve">ML653762395</t>
  </si>
  <si>
    <t xml:space="preserve">macaulay/flac/653762395.flac</t>
  </si>
  <si>
    <t xml:space="preserve">ML663617766</t>
  </si>
  <si>
    <t xml:space="preserve">macaulay/flac/663617766.flac</t>
  </si>
  <si>
    <t xml:space="preserve">ML621759999</t>
  </si>
  <si>
    <t xml:space="preserve">macaulay/flac/621759999.flac</t>
  </si>
  <si>
    <t xml:space="preserve">ML621760026</t>
  </si>
  <si>
    <t xml:space="preserve">macaulay/flac/621760026.flac</t>
  </si>
  <si>
    <t xml:space="preserve">ML143856231</t>
  </si>
  <si>
    <t xml:space="preserve">macaulay/flac/143856231.flac</t>
  </si>
  <si>
    <t xml:space="preserve">ML76633</t>
  </si>
  <si>
    <t xml:space="preserve">macaulay/flac/76633.flac</t>
  </si>
  <si>
    <t xml:space="preserve">group label: Rufous-tailed Hummingbird (Rufous-tailed)</t>
  </si>
  <si>
    <t xml:space="preserve">ML179453771</t>
  </si>
  <si>
    <t xml:space="preserve">macaulay/flac/179453771.flac</t>
  </si>
  <si>
    <t xml:space="preserve">ML349505591</t>
  </si>
  <si>
    <t xml:space="preserve">macaulay/flac/349505591.flac</t>
  </si>
  <si>
    <t xml:space="preserve">ML539986541</t>
  </si>
  <si>
    <t xml:space="preserve">macaulay/flac/539986541.flac</t>
  </si>
  <si>
    <t xml:space="preserve">ML57208</t>
  </si>
  <si>
    <t xml:space="preserve">macaulay/flac/57208.flac</t>
  </si>
  <si>
    <t xml:space="preserve">ML648568273</t>
  </si>
  <si>
    <t xml:space="preserve">S292610066</t>
  </si>
  <si>
    <t xml:space="preserve">macaulay/flac/648568273.flac</t>
  </si>
  <si>
    <t xml:space="preserve">ML110448191</t>
  </si>
  <si>
    <t xml:space="preserve">macaulay/flac/110448191.flac</t>
  </si>
  <si>
    <t xml:space="preserve">ML150959151</t>
  </si>
  <si>
    <t xml:space="preserve">macaulay/flac/150959151.flac</t>
  </si>
  <si>
    <t xml:space="preserve">ML347765361</t>
  </si>
  <si>
    <t xml:space="preserve">macaulay/flac/347765361.flac</t>
  </si>
  <si>
    <t xml:space="preserve">ML628728172</t>
  </si>
  <si>
    <t xml:space="preserve">macaulay/flac/628728172.flac</t>
  </si>
  <si>
    <t xml:space="preserve">ML628728271</t>
  </si>
  <si>
    <t xml:space="preserve">macaulay/flac/628728271.flac</t>
  </si>
  <si>
    <t xml:space="preserve">ML152753701</t>
  </si>
  <si>
    <t xml:space="preserve">macaulay/flac/152753701.flac</t>
  </si>
  <si>
    <t xml:space="preserve">ML184016</t>
  </si>
  <si>
    <t xml:space="preserve">macaulay/flac/184016.flac</t>
  </si>
  <si>
    <t xml:space="preserve">ML662832435</t>
  </si>
  <si>
    <t xml:space="preserve">macaulay/flac/662832435.flac</t>
  </si>
  <si>
    <t xml:space="preserve">ML179453711</t>
  </si>
  <si>
    <t xml:space="preserve">macaulay/flac/179453711.flac</t>
  </si>
  <si>
    <t xml:space="preserve">ML647390255</t>
  </si>
  <si>
    <t xml:space="preserve">macaulay/flac/647390255.flac</t>
  </si>
  <si>
    <t xml:space="preserve">ML647390409</t>
  </si>
  <si>
    <t xml:space="preserve">macaulay/flac/647390409.flac</t>
  </si>
  <si>
    <t xml:space="preserve">ML143086351</t>
  </si>
  <si>
    <t xml:space="preserve">macaulay/flac/143086351.flac</t>
  </si>
  <si>
    <t xml:space="preserve">ML266231531</t>
  </si>
  <si>
    <t xml:space="preserve">Montezuma Oropendola; Rufous Motmot; Keel-billed Toucan; Social Flycatcher</t>
  </si>
  <si>
    <t xml:space="preserve">macaulay/flac/266231531.flac</t>
  </si>
  <si>
    <t xml:space="preserve">ML661209207</t>
  </si>
  <si>
    <t xml:space="preserve">S53662662</t>
  </si>
  <si>
    <t xml:space="preserve">macaulay/flac/661209207.flac</t>
  </si>
  <si>
    <t xml:space="preserve">ML661209644</t>
  </si>
  <si>
    <t xml:space="preserve">macaulay/flac/661209644.flac</t>
  </si>
  <si>
    <t xml:space="preserve">ML215385</t>
  </si>
  <si>
    <t xml:space="preserve">macaulay/flac/215385.flac</t>
  </si>
  <si>
    <t xml:space="preserve">ML368118351</t>
  </si>
  <si>
    <t xml:space="preserve">macaulay/flac/368118351.flac</t>
  </si>
  <si>
    <t xml:space="preserve">ML215426</t>
  </si>
  <si>
    <t xml:space="preserve">18:04</t>
  </si>
  <si>
    <t xml:space="preserve">macaulay/flac/215426.flac</t>
  </si>
  <si>
    <t xml:space="preserve">ML266525661</t>
  </si>
  <si>
    <t xml:space="preserve">S74105276</t>
  </si>
  <si>
    <t xml:space="preserve">Guillermo Saborío Vega</t>
  </si>
  <si>
    <t xml:space="preserve">macaulay/flac/266525661.flac</t>
  </si>
  <si>
    <t xml:space="preserve">ML147151861</t>
  </si>
  <si>
    <t xml:space="preserve">S53005270</t>
  </si>
  <si>
    <t xml:space="preserve">macaulay/flac/147151861.flac</t>
  </si>
  <si>
    <t xml:space="preserve">ML147151871</t>
  </si>
  <si>
    <t xml:space="preserve">macaulay/flac/147151871.flac</t>
  </si>
  <si>
    <t xml:space="preserve">ML233838141</t>
  </si>
  <si>
    <t xml:space="preserve">S65465294</t>
  </si>
  <si>
    <t xml:space="preserve">Matthew Bell</t>
  </si>
  <si>
    <t xml:space="preserve">macaulay/flac/233838141.flac</t>
  </si>
  <si>
    <t xml:space="preserve">ML336555401</t>
  </si>
  <si>
    <t xml:space="preserve">macaulay/flac/336555401.flac</t>
  </si>
  <si>
    <t xml:space="preserve">ML129902201</t>
  </si>
  <si>
    <t xml:space="preserve">macaulay/flac/129902201.flac</t>
  </si>
  <si>
    <t xml:space="preserve">ML147722301</t>
  </si>
  <si>
    <t xml:space="preserve">macaulay/flac/147722301.flac</t>
  </si>
  <si>
    <t xml:space="preserve">ML218336191</t>
  </si>
  <si>
    <t xml:space="preserve">macaulay/flac/218336191.flac</t>
  </si>
  <si>
    <t xml:space="preserve">ML336549701</t>
  </si>
  <si>
    <t xml:space="preserve">macaulay/flac/336549701.flac</t>
  </si>
  <si>
    <t xml:space="preserve">ML639163394</t>
  </si>
  <si>
    <t xml:space="preserve">macaulay/flac/639163394.flac</t>
  </si>
  <si>
    <t xml:space="preserve">ML643661104</t>
  </si>
  <si>
    <t xml:space="preserve">macaulay/flac/643661104.flac</t>
  </si>
  <si>
    <t xml:space="preserve">ML169970631</t>
  </si>
  <si>
    <t xml:space="preserve">macaulay/flac/169970631.flac</t>
  </si>
  <si>
    <t xml:space="preserve">ML176630281</t>
  </si>
  <si>
    <t xml:space="preserve">macaulay/flac/176630281.flac</t>
  </si>
  <si>
    <t xml:space="preserve">ML299599</t>
  </si>
  <si>
    <t xml:space="preserve">macaulay/flac/299599.flac</t>
  </si>
  <si>
    <t xml:space="preserve">ML46104581</t>
  </si>
  <si>
    <t xml:space="preserve">S33758430</t>
  </si>
  <si>
    <t xml:space="preserve">macaulay/flac/46104581.flac</t>
  </si>
  <si>
    <t xml:space="preserve">ML80950971</t>
  </si>
  <si>
    <t xml:space="preserve">macaulay/flac/80950971.flac</t>
  </si>
  <si>
    <t xml:space="preserve">ML129514911</t>
  </si>
  <si>
    <t xml:space="preserve">macaulay/flac/129514911.flac</t>
  </si>
  <si>
    <t xml:space="preserve">ML145229661</t>
  </si>
  <si>
    <t xml:space="preserve">macaulay/flac/145229661.flac</t>
  </si>
  <si>
    <t xml:space="preserve">ML297142961</t>
  </si>
  <si>
    <t xml:space="preserve">macaulay/flac/297142961.flac</t>
  </si>
  <si>
    <t xml:space="preserve">ML39219</t>
  </si>
  <si>
    <t xml:space="preserve">White-lored Antpitta</t>
  </si>
  <si>
    <t xml:space="preserve">macaulay/flac/39219.flac</t>
  </si>
  <si>
    <t xml:space="preserve">ML97069331</t>
  </si>
  <si>
    <t xml:space="preserve">macaulay/flac/97069331.flac</t>
  </si>
  <si>
    <t xml:space="preserve">ML97072071</t>
  </si>
  <si>
    <t xml:space="preserve">macaulay/flac/97072071.flac</t>
  </si>
  <si>
    <t xml:space="preserve">ML97467701</t>
  </si>
  <si>
    <t xml:space="preserve">macaulay/flac/97467701.flac</t>
  </si>
  <si>
    <t xml:space="preserve">ML614027145</t>
  </si>
  <si>
    <t xml:space="preserve">macaulay/flac/614027145.flac</t>
  </si>
  <si>
    <t xml:space="preserve">ML92292961</t>
  </si>
  <si>
    <t xml:space="preserve">S44007495</t>
  </si>
  <si>
    <t xml:space="preserve">07:51</t>
  </si>
  <si>
    <t xml:space="preserve">macaulay/flac/92292961.flac</t>
  </si>
  <si>
    <t xml:space="preserve">ML26399</t>
  </si>
  <si>
    <t xml:space="preserve">Rufous Motmot; cacique sp.; Melanerpes sp.; Keel-billed Toucan; wren sp.; Slaty-tailed Trogon</t>
  </si>
  <si>
    <t xml:space="preserve">macaulay/flac/26399.flac</t>
  </si>
  <si>
    <t xml:space="preserve">ML272473</t>
  </si>
  <si>
    <t xml:space="preserve">macaulay/flac/272473.flac</t>
  </si>
  <si>
    <t xml:space="preserve">ML185738</t>
  </si>
  <si>
    <t xml:space="preserve">macaulay/flac/185738.flac</t>
  </si>
  <si>
    <t xml:space="preserve">ML219382071</t>
  </si>
  <si>
    <t xml:space="preserve">macaulay/flac/219382071.flac</t>
  </si>
  <si>
    <t xml:space="preserve">ML400111111</t>
  </si>
  <si>
    <t xml:space="preserve">macaulay/flac/400111111.flac</t>
  </si>
  <si>
    <t xml:space="preserve">ML647570971</t>
  </si>
  <si>
    <t xml:space="preserve">macaulay/flac/647570971.flac</t>
  </si>
  <si>
    <t xml:space="preserve">ML647571044</t>
  </si>
  <si>
    <t xml:space="preserve">macaulay/flac/647571044.flac</t>
  </si>
  <si>
    <t xml:space="preserve">ML89669261</t>
  </si>
  <si>
    <t xml:space="preserve">S43301523</t>
  </si>
  <si>
    <t xml:space="preserve">macaulay/flac/89669261.flac</t>
  </si>
  <si>
    <t xml:space="preserve">ML102311121</t>
  </si>
  <si>
    <t xml:space="preserve">macaulay/flac/102311121.flac</t>
  </si>
  <si>
    <t xml:space="preserve">ML145616381</t>
  </si>
  <si>
    <t xml:space="preserve">macaulay/flac/145616381.flac</t>
  </si>
  <si>
    <t xml:space="preserve">ML213036101</t>
  </si>
  <si>
    <t xml:space="preserve">S50708456</t>
  </si>
  <si>
    <t xml:space="preserve">macaulay/flac/213036101.flac</t>
  </si>
  <si>
    <t xml:space="preserve">ML228673021</t>
  </si>
  <si>
    <t xml:space="preserve">macaulay/flac/228673021.flac</t>
  </si>
  <si>
    <t xml:space="preserve">ML249437</t>
  </si>
  <si>
    <t xml:space="preserve">macaulay/flac/249437.flac</t>
  </si>
  <si>
    <t xml:space="preserve">ML306055891</t>
  </si>
  <si>
    <t xml:space="preserve">macaulay/flac/306055891.flac</t>
  </si>
  <si>
    <t xml:space="preserve">ML32705181</t>
  </si>
  <si>
    <t xml:space="preserve">S30404051</t>
  </si>
  <si>
    <t xml:space="preserve">macaulay/flac/32705181.flac</t>
  </si>
  <si>
    <t xml:space="preserve">ML368243101</t>
  </si>
  <si>
    <t xml:space="preserve">S94394952</t>
  </si>
  <si>
    <t xml:space="preserve">macaulay/flac/368243101.flac</t>
  </si>
  <si>
    <t xml:space="preserve">ML615005333</t>
  </si>
  <si>
    <t xml:space="preserve">macaulay/flac/615005333.flac</t>
  </si>
  <si>
    <t xml:space="preserve">ML616378321</t>
  </si>
  <si>
    <t xml:space="preserve">Lesser Greenlet; Black-cheeked Woodpecker</t>
  </si>
  <si>
    <t xml:space="preserve">macaulay/flac/616378321.flac</t>
  </si>
  <si>
    <t xml:space="preserve">ML630168484</t>
  </si>
  <si>
    <t xml:space="preserve">macaulay/flac/630168484.flac</t>
  </si>
  <si>
    <t xml:space="preserve">ML632692708</t>
  </si>
  <si>
    <t xml:space="preserve">macaulay/flac/632692708.flac</t>
  </si>
  <si>
    <t xml:space="preserve">ML643650506</t>
  </si>
  <si>
    <t xml:space="preserve">macaulay/flac/643650506.flac</t>
  </si>
  <si>
    <t xml:space="preserve">ML653762746</t>
  </si>
  <si>
    <t xml:space="preserve">macaulay/flac/653762746.flac</t>
  </si>
  <si>
    <t xml:space="preserve">ML654747417</t>
  </si>
  <si>
    <t xml:space="preserve">macaulay/flac/654747417.flac</t>
  </si>
  <si>
    <t xml:space="preserve">ML76621</t>
  </si>
  <si>
    <t xml:space="preserve">macaulay/flac/76621.flac</t>
  </si>
  <si>
    <t xml:space="preserve">ML76622</t>
  </si>
  <si>
    <t xml:space="preserve">macaulay/flac/76622.flac</t>
  </si>
  <si>
    <t xml:space="preserve">ML76623</t>
  </si>
  <si>
    <t xml:space="preserve">macaulay/flac/76623.flac</t>
  </si>
  <si>
    <t xml:space="preserve">ML101755251</t>
  </si>
  <si>
    <t xml:space="preserve">macaulay/flac/101755251.flac</t>
  </si>
  <si>
    <t xml:space="preserve">ML249432</t>
  </si>
  <si>
    <t xml:space="preserve">macaulay/flac/249432.flac</t>
  </si>
  <si>
    <t xml:space="preserve">ML597933361</t>
  </si>
  <si>
    <t xml:space="preserve">macaulay/flac/597933361.flac</t>
  </si>
  <si>
    <t xml:space="preserve">ML597933861</t>
  </si>
  <si>
    <t xml:space="preserve">macaulay/flac/597933861.flac</t>
  </si>
  <si>
    <t xml:space="preserve">ML654319020</t>
  </si>
  <si>
    <t xml:space="preserve">macaulay/flac/654319020.flac</t>
  </si>
  <si>
    <t xml:space="preserve">ML661203152</t>
  </si>
  <si>
    <t xml:space="preserve">macaulay/flac/661203152.flac</t>
  </si>
  <si>
    <t xml:space="preserve">ML147428341</t>
  </si>
  <si>
    <t xml:space="preserve">macaulay/flac/147428341.flac</t>
  </si>
  <si>
    <t xml:space="preserve">ML299550</t>
  </si>
  <si>
    <t xml:space="preserve">macaulay/flac/299550.flac</t>
  </si>
  <si>
    <t xml:space="preserve">ML215420</t>
  </si>
  <si>
    <t xml:space="preserve">10:07</t>
  </si>
  <si>
    <t xml:space="preserve">macaulay/flac/215420.flac</t>
  </si>
  <si>
    <t xml:space="preserve">ML358074341</t>
  </si>
  <si>
    <t xml:space="preserve">macaulay/flac/358074341.flac</t>
  </si>
  <si>
    <t xml:space="preserve">ML398720021</t>
  </si>
  <si>
    <t xml:space="preserve">macaulay/flac/398720021.flac</t>
  </si>
  <si>
    <t xml:space="preserve">ML647566675</t>
  </si>
  <si>
    <t xml:space="preserve">macaulay/flac/647566675.flac</t>
  </si>
  <si>
    <t xml:space="preserve">ML647566793</t>
  </si>
  <si>
    <t xml:space="preserve">macaulay/flac/647566793.flac</t>
  </si>
  <si>
    <t xml:space="preserve">ML299581</t>
  </si>
  <si>
    <t xml:space="preserve">macaulay/flac/299581.flac</t>
  </si>
  <si>
    <t xml:space="preserve">ML359459761</t>
  </si>
  <si>
    <t xml:space="preserve">S77743439</t>
  </si>
  <si>
    <t xml:space="preserve">09:06</t>
  </si>
  <si>
    <t xml:space="preserve">macaulay/flac/359459761.flac</t>
  </si>
  <si>
    <t xml:space="preserve">ML144844841</t>
  </si>
  <si>
    <t xml:space="preserve">macaulay/flac/144844841.flac</t>
  </si>
  <si>
    <t xml:space="preserve">ML597934181</t>
  </si>
  <si>
    <t xml:space="preserve">macaulay/flac/597934181.flac</t>
  </si>
  <si>
    <t xml:space="preserve">ML100769291</t>
  </si>
  <si>
    <t xml:space="preserve">macaulay/flac/100769291.flac</t>
  </si>
  <si>
    <t xml:space="preserve">ML266292271</t>
  </si>
  <si>
    <t xml:space="preserve">macaulay/flac/266292271.flac</t>
  </si>
  <si>
    <t xml:space="preserve">ML32577591</t>
  </si>
  <si>
    <t xml:space="preserve">macaulay/flac/32577591.flac</t>
  </si>
  <si>
    <t xml:space="preserve">ML368118801</t>
  </si>
  <si>
    <t xml:space="preserve">S94395619</t>
  </si>
  <si>
    <t xml:space="preserve">macaulay/flac/368118801.flac</t>
  </si>
  <si>
    <t xml:space="preserve">ML49771131</t>
  </si>
  <si>
    <t xml:space="preserve">S34622967</t>
  </si>
  <si>
    <t xml:space="preserve">06:37</t>
  </si>
  <si>
    <t xml:space="preserve">macaulay/flac/49771131.flac</t>
  </si>
  <si>
    <t xml:space="preserve">ML621625807</t>
  </si>
  <si>
    <t xml:space="preserve">S187612352</t>
  </si>
  <si>
    <t xml:space="preserve">Maxfield Weakley</t>
  </si>
  <si>
    <t xml:space="preserve">macaulay/flac/621625807.flac</t>
  </si>
  <si>
    <t xml:space="preserve">ML623181533</t>
  </si>
  <si>
    <t xml:space="preserve">macaulay/flac/623181533.flac</t>
  </si>
  <si>
    <t xml:space="preserve">ML628728834</t>
  </si>
  <si>
    <t xml:space="preserve">macaulay/flac/628728834.flac</t>
  </si>
  <si>
    <t xml:space="preserve">ML628729132</t>
  </si>
  <si>
    <t xml:space="preserve">macaulay/flac/628729132.flac</t>
  </si>
  <si>
    <t xml:space="preserve">ML630271037</t>
  </si>
  <si>
    <t xml:space="preserve">macaulay/flac/630271037.flac</t>
  </si>
  <si>
    <t xml:space="preserve">ML643526790</t>
  </si>
  <si>
    <t xml:space="preserve">White-breasted Wood-Wren; Broad-billed Motmot; Barred Antshrike; Dusky-capped Flycatcher; Great Tinamou</t>
  </si>
  <si>
    <t xml:space="preserve">macaulay/flac/643526790.flac</t>
  </si>
  <si>
    <t xml:space="preserve">ML653762003</t>
  </si>
  <si>
    <t xml:space="preserve">macaulay/flac/653762003.flac</t>
  </si>
  <si>
    <t xml:space="preserve">ML104037</t>
  </si>
  <si>
    <t xml:space="preserve">Christian C. Voigt|2000-07-12</t>
  </si>
  <si>
    <t xml:space="preserve">17:16</t>
  </si>
  <si>
    <t xml:space="preserve">macaulay/flac/104037.flac</t>
  </si>
  <si>
    <t xml:space="preserve">ML104038</t>
  </si>
  <si>
    <t xml:space="preserve">macaulay/flac/104038.flac</t>
  </si>
  <si>
    <t xml:space="preserve">ML104039</t>
  </si>
  <si>
    <t xml:space="preserve">macaulay/flac/104039.flac</t>
  </si>
  <si>
    <t xml:space="preserve">ML104040</t>
  </si>
  <si>
    <t xml:space="preserve">macaulay/flac/104040.flac</t>
  </si>
  <si>
    <t xml:space="preserve">ML104041</t>
  </si>
  <si>
    <t xml:space="preserve">macaulay/flac/104041.flac</t>
  </si>
  <si>
    <t xml:space="preserve">ML104042</t>
  </si>
  <si>
    <t xml:space="preserve">macaulay/flac/104042.flac</t>
  </si>
  <si>
    <t xml:space="preserve">ML104043</t>
  </si>
  <si>
    <t xml:space="preserve">macaulay/flac/104043.flac</t>
  </si>
  <si>
    <t xml:space="preserve">ML104044</t>
  </si>
  <si>
    <t xml:space="preserve">macaulay/flac/104044.flac</t>
  </si>
  <si>
    <t xml:space="preserve">ML104045</t>
  </si>
  <si>
    <t xml:space="preserve">macaulay/flac/104045.flac</t>
  </si>
  <si>
    <t xml:space="preserve">ML104046</t>
  </si>
  <si>
    <t xml:space="preserve">macaulay/flac/104046.flac</t>
  </si>
  <si>
    <t xml:space="preserve">ML104047</t>
  </si>
  <si>
    <t xml:space="preserve">macaulay/flac/104047.flac</t>
  </si>
  <si>
    <t xml:space="preserve">ML104048</t>
  </si>
  <si>
    <t xml:space="preserve">macaulay/flac/104048.flac</t>
  </si>
  <si>
    <t xml:space="preserve">ML104049</t>
  </si>
  <si>
    <t xml:space="preserve">macaulay/flac/104049.flac</t>
  </si>
  <si>
    <t xml:space="preserve">ML104050</t>
  </si>
  <si>
    <t xml:space="preserve">22:00</t>
  </si>
  <si>
    <t xml:space="preserve">macaulay/flac/104050.flac</t>
  </si>
  <si>
    <t xml:space="preserve">ML104051</t>
  </si>
  <si>
    <t xml:space="preserve">macaulay/flac/104051.flac</t>
  </si>
  <si>
    <t xml:space="preserve">ML104052</t>
  </si>
  <si>
    <t xml:space="preserve">macaulay/flac/104052.flac</t>
  </si>
  <si>
    <t xml:space="preserve">ML104053</t>
  </si>
  <si>
    <t xml:space="preserve">macaulay/flac/104053.flac</t>
  </si>
  <si>
    <t xml:space="preserve">ML104054</t>
  </si>
  <si>
    <t xml:space="preserve">macaulay/flac/104054.flac</t>
  </si>
  <si>
    <t xml:space="preserve">ML104055</t>
  </si>
  <si>
    <t xml:space="preserve">macaulay/flac/104055.flac</t>
  </si>
  <si>
    <t xml:space="preserve">ML104166</t>
  </si>
  <si>
    <t xml:space="preserve">Christian C. Voigt|2000-07-19</t>
  </si>
  <si>
    <t xml:space="preserve">macaulay/flac/104166.flac</t>
  </si>
  <si>
    <t xml:space="preserve">ML104167</t>
  </si>
  <si>
    <t xml:space="preserve">macaulay/flac/104167.flac</t>
  </si>
  <si>
    <t xml:space="preserve">ML104168</t>
  </si>
  <si>
    <t xml:space="preserve">macaulay/flac/104168.flac</t>
  </si>
  <si>
    <t xml:space="preserve">ML104169</t>
  </si>
  <si>
    <t xml:space="preserve">macaulay/flac/104169.flac</t>
  </si>
  <si>
    <t xml:space="preserve">ML104170</t>
  </si>
  <si>
    <t xml:space="preserve">17:52</t>
  </si>
  <si>
    <t xml:space="preserve">macaulay/flac/104170.flac</t>
  </si>
  <si>
    <t xml:space="preserve">ML104171</t>
  </si>
  <si>
    <t xml:space="preserve">macaulay/flac/104171.flac</t>
  </si>
  <si>
    <t xml:space="preserve">ML104172</t>
  </si>
  <si>
    <t xml:space="preserve">macaulay/flac/104172.flac</t>
  </si>
  <si>
    <t xml:space="preserve">ML104175</t>
  </si>
  <si>
    <t xml:space="preserve">18:02</t>
  </si>
  <si>
    <t xml:space="preserve">macaulay/flac/104175.flac</t>
  </si>
  <si>
    <t xml:space="preserve">ML166888</t>
  </si>
  <si>
    <t xml:space="preserve">Agalychnis saltator</t>
  </si>
  <si>
    <t xml:space="preserve">Olive Snouted Tree Frog; Southern Narrow-mouthed Toad; Harlequin Treefrog; Mahogany Tree Frog</t>
  </si>
  <si>
    <t xml:space="preserve">01:16</t>
  </si>
  <si>
    <t xml:space="preserve">macaulay/flac/166888.flac</t>
  </si>
  <si>
    <t xml:space="preserve">Parachuting Red-eyed Leaf Frog (species)</t>
  </si>
  <si>
    <t xml:space="preserve">ML166889</t>
  </si>
  <si>
    <t xml:space="preserve">Olive Snouted Tree Frog; Harlequin Treefrog; Mexican Smilisca; Mahogany Tree Frog; Southern Narrow-mouthed Toad</t>
  </si>
  <si>
    <t xml:space="preserve">03:35</t>
  </si>
  <si>
    <t xml:space="preserve">macaulay/flac/166889.flac</t>
  </si>
  <si>
    <t xml:space="preserve">ML166894</t>
  </si>
  <si>
    <t xml:space="preserve">Mexican Smilisca; Olive Snouted Tree Frog; Harlequin Treefrog; Smoky Jungle Frog</t>
  </si>
  <si>
    <t xml:space="preserve">macaulay/flac/166894.flac</t>
  </si>
  <si>
    <t xml:space="preserve">ML166895</t>
  </si>
  <si>
    <t xml:space="preserve">Scinax boulengeri</t>
  </si>
  <si>
    <t xml:space="preserve">Olive Snouted Tree Frog; Mahogany Tree Frog; Harlequin Treefrog; Red-eyed Tree Frog</t>
  </si>
  <si>
    <t xml:space="preserve">19:47</t>
  </si>
  <si>
    <t xml:space="preserve">macaulay/flac/166895.flac</t>
  </si>
  <si>
    <t xml:space="preserve">Boulenger's Snouted Tree Frog (species)</t>
  </si>
  <si>
    <t xml:space="preserve">ML635720110</t>
  </si>
  <si>
    <t xml:space="preserve">S202422041</t>
  </si>
  <si>
    <t xml:space="preserve">19:06</t>
  </si>
  <si>
    <t xml:space="preserve">macaulay/flac/635720110.flac</t>
  </si>
  <si>
    <t xml:space="preserve">ML72601</t>
  </si>
  <si>
    <t xml:space="preserve">08:26</t>
  </si>
  <si>
    <t xml:space="preserve">macaulay/flac/72601.flac</t>
  </si>
  <si>
    <t xml:space="preserve">ML184240</t>
  </si>
  <si>
    <t xml:space="preserve">Pecari tajacu</t>
  </si>
  <si>
    <t xml:space="preserve">Curtis Marantz|1995-04-22</t>
  </si>
  <si>
    <t xml:space="preserve">macaulay/flac/184240.flac</t>
  </si>
  <si>
    <t xml:space="preserve">Collared Peccary (species)</t>
  </si>
  <si>
    <t xml:space="preserve">ML635719840</t>
  </si>
  <si>
    <t xml:space="preserve">macaulay/flac/635719840.flac</t>
  </si>
  <si>
    <t xml:space="preserve">site_0618_Bird_1</t>
  </si>
  <si>
    <t xml:space="preserve">site</t>
  </si>
  <si>
    <t xml:space="preserve">site_sanity</t>
  </si>
  <si>
    <t xml:space="preserve">site_extract</t>
  </si>
  <si>
    <t xml:space="preserve">AudioMoth4|2022-06-18</t>
  </si>
  <si>
    <t xml:space="preserve">AudioMoth (RegularMoth4)</t>
  </si>
  <si>
    <t xml:space="preserve">00:09:52</t>
  </si>
  <si>
    <t xml:space="preserve">Species Song Extracts/June 18/Bird 1.wav</t>
  </si>
  <si>
    <t xml:space="preserve">Log label: Great tinamou; file 1.8 MB</t>
  </si>
  <si>
    <t xml:space="preserve">site_0618_Bird_2</t>
  </si>
  <si>
    <t xml:space="preserve">00:13:39</t>
  </si>
  <si>
    <t xml:space="preserve">Species Song Extracts/June 18/Bird 2.wav</t>
  </si>
  <si>
    <t xml:space="preserve">Log label: Green Ibis; Multi-band, includes crickets; file 2.8 MB</t>
  </si>
  <si>
    <t xml:space="preserve">site_0618_Bird_3</t>
  </si>
  <si>
    <t xml:space="preserve">00:16:53</t>
  </si>
  <si>
    <t xml:space="preserve">Species Song Extracts/June 18/Bird 3.wav</t>
  </si>
  <si>
    <t xml:space="preserve">Log label: Green Ibis; file 3.9 MB</t>
  </si>
  <si>
    <t xml:space="preserve">site_0618_Bird_6</t>
  </si>
  <si>
    <t xml:space="preserve">10:55:38</t>
  </si>
  <si>
    <t xml:space="preserve">Species Song Extracts/June 18/Bird 6.wav</t>
  </si>
  <si>
    <t xml:space="preserve">Log label: Spider monkey; Spider monkey (Ateles geoffroyi); filed as Bird 6 in the log; file 869 KB</t>
  </si>
  <si>
    <t xml:space="preserve">site_0618_Bird_7</t>
  </si>
  <si>
    <t xml:space="preserve">overlap</t>
  </si>
  <si>
    <t xml:space="preserve">10:58:35</t>
  </si>
  <si>
    <t xml:space="preserve">Species Song Extracts/June 18/Bird 7.wav</t>
  </si>
  <si>
    <t xml:space="preserve">Log label: Green Ibis; Overlaps with Bird 8 (Broad-billed Motmot); file 2.9 MB</t>
  </si>
  <si>
    <t xml:space="preserve">site_0618_Bird_8</t>
  </si>
  <si>
    <t xml:space="preserve">10:58:47</t>
  </si>
  <si>
    <t xml:space="preserve">Species Song Extracts/June 18/Bird 8.wav</t>
  </si>
  <si>
    <t xml:space="preserve">Log label: Broad-billed Motmot; Overlaps with Bird 7 (Green Ibis); file 1.7 MB</t>
  </si>
  <si>
    <t xml:space="preserve">site_0618_Bird_9</t>
  </si>
  <si>
    <t xml:space="preserve">11:02:10</t>
  </si>
  <si>
    <t xml:space="preserve">Species Song Extracts/June 18/Bird 9.wav</t>
  </si>
  <si>
    <t xml:space="preserve">Log label: Broad-billed Motmot; file 3.7 MB</t>
  </si>
  <si>
    <t xml:space="preserve">site_0618_Bird_10</t>
  </si>
  <si>
    <t xml:space="preserve">11:02:37</t>
  </si>
  <si>
    <t xml:space="preserve">Species Song Extracts/June 18/Bird 10.wav</t>
  </si>
  <si>
    <t xml:space="preserve">Log label: Northern barred woodcreeper; file 9.9 MB</t>
  </si>
  <si>
    <t xml:space="preserve">site_0618_Bird_11</t>
  </si>
  <si>
    <t xml:space="preserve">11:05:43</t>
  </si>
  <si>
    <t xml:space="preserve">Species Song Extracts/June 18/Bird 11.wav</t>
  </si>
  <si>
    <t xml:space="preserve">Log label: Rufous Motmot; file 4.3 MB</t>
  </si>
  <si>
    <t xml:space="preserve">site_0618_Bird_12</t>
  </si>
  <si>
    <t xml:space="preserve">duplicate_pair</t>
  </si>
  <si>
    <t xml:space="preserve">11:10:02</t>
  </si>
  <si>
    <t xml:space="preserve">Species Song Extracts/June 18/Bird 12.wav</t>
  </si>
  <si>
    <t xml:space="preserve">Log label: White breasted wood wren; Same call as Bird 13; file 2.1 MB</t>
  </si>
  <si>
    <t xml:space="preserve">site_0618_Bird_13</t>
  </si>
  <si>
    <t xml:space="preserve">11:10:03</t>
  </si>
  <si>
    <t xml:space="preserve">Species Song Extracts/June 18/Bird 13.wav</t>
  </si>
  <si>
    <t xml:space="preserve">Log label: White breasted wood wren; Same call as Bird 12; file 2.1 MB</t>
  </si>
  <si>
    <t xml:space="preserve">site_0618_Bird_14</t>
  </si>
  <si>
    <t xml:space="preserve">partial</t>
  </si>
  <si>
    <t xml:space="preserve">11:10:13</t>
  </si>
  <si>
    <t xml:space="preserve">Species Song Extracts/June 18/Bird 14.wav</t>
  </si>
  <si>
    <t xml:space="preserve">Log label: White breasted wood wren; Partial extract; file 8.7 MB</t>
  </si>
  <si>
    <t xml:space="preserve">site_0618_Bird_15</t>
  </si>
  <si>
    <t xml:space="preserve">11:11:02</t>
  </si>
  <si>
    <t xml:space="preserve">Species Song Extracts/June 18/Bird 15.wav</t>
  </si>
  <si>
    <t xml:space="preserve">Log label: Green macaw &amp; white breasted wood wren; Two species overlap; the only Great Green Macaw audio the team has; file 874 KB</t>
  </si>
  <si>
    <t xml:space="preserve">site_0618_Bird_16</t>
  </si>
  <si>
    <t xml:space="preserve">11:11:46</t>
  </si>
  <si>
    <t xml:space="preserve">Species Song Extracts/June 18/Bird 16.wav</t>
  </si>
  <si>
    <t xml:space="preserve">Log label: Yellow-throated toucan; file 4 MB</t>
  </si>
  <si>
    <t xml:space="preserve">site_0618_Bird_17</t>
  </si>
  <si>
    <t xml:space="preserve">11:13:08</t>
  </si>
  <si>
    <t xml:space="preserve">Species Song Extracts/June 18/Bird 17.wav</t>
  </si>
  <si>
    <t xml:space="preserve">Log label: (blank); Log note: Frog; filed as Bird 17; file 327 KB</t>
  </si>
  <si>
    <t xml:space="preserve">site_0618_Bird_18</t>
  </si>
  <si>
    <t xml:space="preserve">11:13:11</t>
  </si>
  <si>
    <t xml:space="preserve">Species Song Extracts/June 18/Bird 18.wav</t>
  </si>
  <si>
    <t xml:space="preserve">Log label: White breasted wood wren; file 673 KB</t>
  </si>
  <si>
    <t xml:space="preserve">site_0618_Bird_19</t>
  </si>
  <si>
    <t xml:space="preserve">uncertain_label</t>
  </si>
  <si>
    <t xml:space="preserve">11:13:17</t>
  </si>
  <si>
    <t xml:space="preserve">Species Song Extracts/June 18/Bird 19.wav</t>
  </si>
  <si>
    <t xml:space="preserve">Log label: Yellow-throated toucan / great tinamou; Log note: Very busy, multiple species?; file 3.3 MB</t>
  </si>
  <si>
    <t xml:space="preserve">site_0618_Bird_20</t>
  </si>
  <si>
    <t xml:space="preserve">11:14:32</t>
  </si>
  <si>
    <t xml:space="preserve">Species Song Extracts/June 18/Bird 20.wav</t>
  </si>
  <si>
    <t xml:space="preserve">Log label: White breasted wood wren; file 8.8 MB</t>
  </si>
  <si>
    <t xml:space="preserve">site_0618_Bird_21</t>
  </si>
  <si>
    <t xml:space="preserve">11:15:00</t>
  </si>
  <si>
    <t xml:space="preserve">Species Song Extracts/June 18/Bird 21.wav</t>
  </si>
  <si>
    <t xml:space="preserve">Log label: Yellow-throated toucan; file 1 MB</t>
  </si>
  <si>
    <t xml:space="preserve">site_0618_Bird_22</t>
  </si>
  <si>
    <t xml:space="preserve">11:16:22</t>
  </si>
  <si>
    <t xml:space="preserve">Species Song Extracts/June 18/Bird 22.wav</t>
  </si>
  <si>
    <t xml:space="preserve">Log label: Yellow-throated toucan; file 2.4 MB</t>
  </si>
  <si>
    <t xml:space="preserve">site_0618_Bird_23</t>
  </si>
  <si>
    <t xml:space="preserve">11:16:23</t>
  </si>
  <si>
    <t xml:space="preserve">Species Song Extracts/June 18/Bird 23.wav</t>
  </si>
  <si>
    <t xml:space="preserve">Log label: White breasted wood wren; file 3 MB</t>
  </si>
  <si>
    <t xml:space="preserve">site_0618_Bird_24</t>
  </si>
  <si>
    <t xml:space="preserve">11:17:21</t>
  </si>
  <si>
    <t xml:space="preserve">Species Song Extracts/June 18/Bird 24.wav</t>
  </si>
  <si>
    <t xml:space="preserve">Log label: (blank); Log note: Common rain frog; filed as Bird 24; file 495 KB</t>
  </si>
  <si>
    <t xml:space="preserve">site_0618_Bird_25</t>
  </si>
  <si>
    <t xml:space="preserve">11:17:23</t>
  </si>
  <si>
    <t xml:space="preserve">Species Song Extracts/June 18/Bird 25.wav</t>
  </si>
  <si>
    <t xml:space="preserve">Log label: Broad-billed Motmot; file 1,016 KB</t>
  </si>
  <si>
    <t xml:space="preserve">site_0618_Bird_26</t>
  </si>
  <si>
    <t xml:space="preserve">11:17:43</t>
  </si>
  <si>
    <t xml:space="preserve">Species Song Extracts/June 18/Bird 26.wav</t>
  </si>
  <si>
    <t xml:space="preserve">Log label: Mealy parrot; file 174 KB</t>
  </si>
  <si>
    <t xml:space="preserve">site_0618_Bird_27</t>
  </si>
  <si>
    <t xml:space="preserve">11:19:44</t>
  </si>
  <si>
    <t xml:space="preserve">Species Song Extracts/June 18/Bird 27.wav</t>
  </si>
  <si>
    <t xml:space="preserve">Log label: White breasted wood wren (toucan in background?); Possible Yellow-throated Toucan in the background; not counted for the toucan; file 2 MB</t>
  </si>
  <si>
    <t xml:space="preserve">site_0618_Bird_28</t>
  </si>
  <si>
    <t xml:space="preserve">11:19:59</t>
  </si>
  <si>
    <t xml:space="preserve">Species Song Extracts/June 18/Bird 28.wav</t>
  </si>
  <si>
    <t xml:space="preserve">Log label: Mealy parrot; file 222 KB</t>
  </si>
  <si>
    <t xml:space="preserve">site_0618_Bird_29</t>
  </si>
  <si>
    <t xml:space="preserve">11:22:07</t>
  </si>
  <si>
    <t xml:space="preserve">Species Song Extracts/June 18/Bird 29.wav</t>
  </si>
  <si>
    <t xml:space="preserve">Log label: (blank); Log note: Cicada?; filed as Bird 29; file 2 MB</t>
  </si>
  <si>
    <t xml:space="preserve">site_0618_Bird_30</t>
  </si>
  <si>
    <t xml:space="preserve">11:22:34</t>
  </si>
  <si>
    <t xml:space="preserve">Species Song Extracts/June 18/Bird 30.wav</t>
  </si>
  <si>
    <t xml:space="preserve">Log label: Northern barred woodcreeper; file 6.2 MB</t>
  </si>
  <si>
    <t xml:space="preserve">site_0618_Bird_31</t>
  </si>
  <si>
    <t xml:space="preserve">11:26:16</t>
  </si>
  <si>
    <t xml:space="preserve">Species Song Extracts/June 18/Bird 31.wav</t>
  </si>
  <si>
    <t xml:space="preserve">Log label: Scarlet rumped cacique; file 3.4 MB</t>
  </si>
  <si>
    <t xml:space="preserve">site_0618_Bird_32</t>
  </si>
  <si>
    <t xml:space="preserve">11:29:58</t>
  </si>
  <si>
    <t xml:space="preserve">Species Song Extracts/June 18/Bird 32.wav</t>
  </si>
  <si>
    <t xml:space="preserve">Log label: Stripe breasted wren; file 1.5 MB</t>
  </si>
  <si>
    <t xml:space="preserve">site_0618_Bird_33</t>
  </si>
  <si>
    <t xml:space="preserve">11:32:11</t>
  </si>
  <si>
    <t xml:space="preserve">Species Song Extracts/June 18/Bird 33.wav</t>
  </si>
  <si>
    <t xml:space="preserve">Log label: Rufous Motmot; file 2.8 MB</t>
  </si>
  <si>
    <t xml:space="preserve">site_0618_Bird_34</t>
  </si>
  <si>
    <t xml:space="preserve">Red-lored Amazon; White-breasted Wood-Wren</t>
  </si>
  <si>
    <t xml:space="preserve">11:37:54</t>
  </si>
  <si>
    <t xml:space="preserve">Species Song Extracts/June 18/Bird 34.wav</t>
  </si>
  <si>
    <t xml:space="preserve">Log label: Great tinamou / red lored parrot / white breasted wood wren; Log note: Multiple birds?; file 1.9 MB</t>
  </si>
  <si>
    <t xml:space="preserve">site_0618_Bird_35</t>
  </si>
  <si>
    <t xml:space="preserve">11:38:20</t>
  </si>
  <si>
    <t xml:space="preserve">Species Song Extracts/June 18/Bird 35.wav</t>
  </si>
  <si>
    <t xml:space="preserve">Log label: Red lore parrot; Log note: Multiple birds?; file 1.8 MB</t>
  </si>
  <si>
    <t xml:space="preserve">site_0618_Bird_36</t>
  </si>
  <si>
    <t xml:space="preserve">11:38:48</t>
  </si>
  <si>
    <t xml:space="preserve">Species Song Extracts/June 18/Bird 36.wav</t>
  </si>
  <si>
    <t xml:space="preserve">Log label: Lesser greenlet (vireo); file 8.4 MB</t>
  </si>
  <si>
    <t xml:space="preserve">site_0618_Bird_37</t>
  </si>
  <si>
    <t xml:space="preserve">11:39:45</t>
  </si>
  <si>
    <t xml:space="preserve">Species Song Extracts/June 18/Bird 37.wav</t>
  </si>
  <si>
    <t xml:space="preserve">Log label: Mealy parrot; file 531 KB</t>
  </si>
  <si>
    <t xml:space="preserve">site_0618_Bird_38</t>
  </si>
  <si>
    <t xml:space="preserve">11:41:55</t>
  </si>
  <si>
    <t xml:space="preserve">Species Song Extracts/June 18/Bird 38.wav</t>
  </si>
  <si>
    <t xml:space="preserve">Log label: Chestnut backed antbird; Second call at 11:42:09 in the same extract; file 225 KB</t>
  </si>
  <si>
    <t xml:space="preserve">site_0618_Bird_39</t>
  </si>
  <si>
    <t xml:space="preserve">11:45:07</t>
  </si>
  <si>
    <t xml:space="preserve">Species Song Extracts/June 18/Bird 39.wav</t>
  </si>
  <si>
    <t xml:space="preserve">Log label: White breasted wood wren; file 985 KB</t>
  </si>
  <si>
    <t xml:space="preserve">site_0618_Bird_40</t>
  </si>
  <si>
    <t xml:space="preserve">11:55:14</t>
  </si>
  <si>
    <t xml:space="preserve">Species Song Extracts/June 18/Bird 40.wav</t>
  </si>
  <si>
    <t xml:space="preserve">Log label: White breasted wood wren; file 689 KB</t>
  </si>
  <si>
    <t xml:space="preserve">site_0618_20220601_000000_wb_wren</t>
  </si>
  <si>
    <t xml:space="preserve">no_log_row</t>
  </si>
  <si>
    <t xml:space="preserve">Species Song Extracts/June 18/20220601_000000_wb wren.wav</t>
  </si>
  <si>
    <t xml:space="preserve">Log label: wb wren (filename); Labeled by filename, not in the log; cut from 20220601_000000.wav in the same folder; file 689 KB</t>
  </si>
  <si>
    <t xml:space="preserve">site_0618_20220601_000000_wb_wren_v2</t>
  </si>
  <si>
    <t xml:space="preserve">no_log_row;duplicate_pair</t>
  </si>
  <si>
    <t xml:space="preserve">Species Song Extracts/June 18/20220601_000000_wb wren v2.wav</t>
  </si>
  <si>
    <t xml:space="preserve">Log label: wb wren v2 (filename); Labeled by filename, not in the log; second cut of the same extract; file 689 KB</t>
  </si>
  <si>
    <t xml:space="preserve">site_0618_Bird_41</t>
  </si>
  <si>
    <t xml:space="preserve">11:57:43</t>
  </si>
  <si>
    <t xml:space="preserve">Species Song Extracts/June 18/Bird 41.wav</t>
  </si>
  <si>
    <t xml:space="preserve">Log label: Lesser greenlet (vireo); file 772 KB</t>
  </si>
  <si>
    <t xml:space="preserve">site_0618_Bird_42</t>
  </si>
  <si>
    <t xml:space="preserve">11:58:37</t>
  </si>
  <si>
    <t xml:space="preserve">Species Song Extracts/June 18/Bird 42.wav</t>
  </si>
  <si>
    <t xml:space="preserve">Log label: White breasted wood wren; file 1.4 MB</t>
  </si>
  <si>
    <t xml:space="preserve">site_0618_Frog_1</t>
  </si>
  <si>
    <t xml:space="preserve">00:01:05</t>
  </si>
  <si>
    <t xml:space="preserve">Species Song Extracts/June 18/Frog 1.wav</t>
  </si>
  <si>
    <t xml:space="preserve">Log label: Pristimantis sp. 1; Frog: Pristimantis sp. 1; file 6.2 MB</t>
  </si>
  <si>
    <t xml:space="preserve">site_0618_Frog_2</t>
  </si>
  <si>
    <t xml:space="preserve">02:05:45</t>
  </si>
  <si>
    <t xml:space="preserve">Species Song Extracts/June 18/Frog 2.wav</t>
  </si>
  <si>
    <t xml:space="preserve">Log label: Scinax elaeochroa; Frog: Scinax elaeochroa; file 1.7 MB</t>
  </si>
  <si>
    <t xml:space="preserve">site_0618_Frog_3</t>
  </si>
  <si>
    <t xml:space="preserve">03:00:00</t>
  </si>
  <si>
    <t xml:space="preserve">Species Song Extracts/June 18/Frog 3.wav</t>
  </si>
  <si>
    <t xml:space="preserve">Log label: Scinax elaeochroa/Craugastor sp1; Frogs: Scinax elaeochroa and Craugastor sp. 1; file 7.4 MB</t>
  </si>
  <si>
    <t xml:space="preserve">site_0618_Frog_4</t>
  </si>
  <si>
    <t xml:space="preserve">03:07:29</t>
  </si>
  <si>
    <t xml:space="preserve">Species Song Extracts/June 18/Frog 4.wav</t>
  </si>
  <si>
    <t xml:space="preserve">Log label: Dendropsophus sp1; Frog: Dendropsophus sp. 1; file 2.7 MB</t>
  </si>
  <si>
    <t xml:space="preserve">site_0618_Frog_5</t>
  </si>
  <si>
    <t xml:space="preserve">03:55:31</t>
  </si>
  <si>
    <t xml:space="preserve">Species Song Extracts/June 18/Frog 5.wav</t>
  </si>
  <si>
    <t xml:space="preserve">Log label: Pristimantis sp 2; Frog: Pristimantis sp. 2; file 3.4 MB</t>
  </si>
  <si>
    <t xml:space="preserve">site_0618_Frog_6</t>
  </si>
  <si>
    <t xml:space="preserve">07:35:32</t>
  </si>
  <si>
    <t xml:space="preserve">Species Song Extracts/June 18/Frog 6.wav</t>
  </si>
  <si>
    <t xml:space="preserve">Log label: Pristimantis sp3/Pristimantis sp 4; Frogs: Pristimantis sp. 3 and sp. 4; file 4.1 MB</t>
  </si>
  <si>
    <t xml:space="preserve">site_0618_Frog_7</t>
  </si>
  <si>
    <t xml:space="preserve">08:05:16</t>
  </si>
  <si>
    <t xml:space="preserve">Species Song Extracts/June 18/Frog 7.wav</t>
  </si>
  <si>
    <t xml:space="preserve">Log label: Dendropsophus sp 1 /Pristimantis sp3; Frogs: Dendropsophus sp. 1 and Pristimantis sp. 3; file 7.1 MB</t>
  </si>
  <si>
    <t xml:space="preserve">site_0618_Frog_8</t>
  </si>
  <si>
    <t xml:space="preserve">10:26:41</t>
  </si>
  <si>
    <t xml:space="preserve">Species Song Extracts/June 18/Frog 8.wav</t>
  </si>
  <si>
    <t xml:space="preserve">Log label: Pristimantis sp3; Frog: Pristimantis sp. 3; file 10.3 MB</t>
  </si>
  <si>
    <t xml:space="preserve">site_0618_Frog_9</t>
  </si>
  <si>
    <t xml:space="preserve">11:07:36</t>
  </si>
  <si>
    <t xml:space="preserve">Species Song Extracts/June 18/Frog 9.wav</t>
  </si>
  <si>
    <t xml:space="preserve">Log label: Leptodactylus; Frog: Leptodactylus sp.; file 1.3 MB</t>
  </si>
  <si>
    <t xml:space="preserve">site_0618_Frog_10</t>
  </si>
  <si>
    <t xml:space="preserve">04:23:35</t>
  </si>
  <si>
    <t xml:space="preserve">Species Song Extracts/June 18/Frog 10.wav</t>
  </si>
  <si>
    <t xml:space="preserve">Log label: (blank); Log note: Frog confirmed; file 1.5 MB</t>
  </si>
  <si>
    <t xml:space="preserve">site_0618_Frog_11</t>
  </si>
  <si>
    <t xml:space="preserve">10:36:05</t>
  </si>
  <si>
    <t xml:space="preserve">Species Song Extracts/June 18/Frog 11.wav</t>
  </si>
  <si>
    <t xml:space="preserve">Log label: (blank); Log note: Actually Frog; file 291 KB</t>
  </si>
  <si>
    <t xml:space="preserve">site_0617_Bird_1</t>
  </si>
  <si>
    <t xml:space="preserve">AudioMoth4|2022-06-17</t>
  </si>
  <si>
    <t xml:space="preserve">22:05:25</t>
  </si>
  <si>
    <t xml:space="preserve">Species Song Extracts/June 17/Bird 1.wav</t>
  </si>
  <si>
    <t xml:space="preserve">Log label: White breasted wood wren; file 2.8 MB</t>
  </si>
  <si>
    <t xml:space="preserve">site_0617_BIrd_2</t>
  </si>
  <si>
    <t xml:space="preserve">22:20:56</t>
  </si>
  <si>
    <t xml:space="preserve">Species Song Extracts/June 17/BIrd 2.wav</t>
  </si>
  <si>
    <t xml:space="preserve">Log label: Common wood frog; Log note: Clacking bird; filename is spelled BIrd 2; file 290 KB</t>
  </si>
  <si>
    <t xml:space="preserve">site_0617_Bird_3</t>
  </si>
  <si>
    <t xml:space="preserve">22:23:50</t>
  </si>
  <si>
    <t xml:space="preserve">Species Song Extracts/June 17/Bird 3.wav</t>
  </si>
  <si>
    <t xml:space="preserve">Log label: White breasted wood wren; Log note: Very unique call; file 1.7 MB</t>
  </si>
  <si>
    <t xml:space="preserve">site_0617_Bird_4</t>
  </si>
  <si>
    <t xml:space="preserve">22:29:38</t>
  </si>
  <si>
    <t xml:space="preserve">Species Song Extracts/June 17/Bird 4.wav</t>
  </si>
  <si>
    <t xml:space="preserve">Log label: White breasted wood wren; file 1.1 MB</t>
  </si>
  <si>
    <t xml:space="preserve">site_0617_Bird_5</t>
  </si>
  <si>
    <t xml:space="preserve">22:36:11</t>
  </si>
  <si>
    <t xml:space="preserve">Species Song Extracts/June 17/Bird 5.wav</t>
  </si>
  <si>
    <t xml:space="preserve">Log label: (blank); Log note: Cricket; filed as Bird 5; file 1.5 MB</t>
  </si>
  <si>
    <t xml:space="preserve">site_0617_Bird_6</t>
  </si>
  <si>
    <t xml:space="preserve">23:12:50</t>
  </si>
  <si>
    <t xml:space="preserve">Species Song Extracts/June 17/Bird 6.wav</t>
  </si>
  <si>
    <t xml:space="preserve">Log label: Great tinamou; file 601 KB</t>
  </si>
  <si>
    <t xml:space="preserve">site_0617_Bird_7</t>
  </si>
  <si>
    <t xml:space="preserve">23:22:02</t>
  </si>
  <si>
    <t xml:space="preserve">Species Song Extracts/June 17/Bird 7.wav</t>
  </si>
  <si>
    <t xml:space="preserve">Log label: Chestnut headed oropendola; Log note: Maybe oropendola?; file 241 KB</t>
  </si>
  <si>
    <t xml:space="preserve">site_0617_Bird_8</t>
  </si>
  <si>
    <t xml:space="preserve">23:23:12</t>
  </si>
  <si>
    <t xml:space="preserve">Species Song Extracts/June 17/Bird 8.wav</t>
  </si>
  <si>
    <t xml:space="preserve">Log label: (blank); Log note: Two frog species; filed as Bird 8; file 1.4 MB</t>
  </si>
  <si>
    <t xml:space="preserve">site_0617_Bird_9</t>
  </si>
  <si>
    <t xml:space="preserve">23:24:17</t>
  </si>
  <si>
    <t xml:space="preserve">Species Song Extracts/June 17/Bird 9.wav</t>
  </si>
  <si>
    <t xml:space="preserve">Log label: Black striped woodcreeper; Log note: Unique call; file 391 KB</t>
  </si>
  <si>
    <t xml:space="preserve">site_0617_Bird_10</t>
  </si>
  <si>
    <t xml:space="preserve">23:25:00</t>
  </si>
  <si>
    <t xml:space="preserve">Species Song Extracts/June 17/Bird 10.wav</t>
  </si>
  <si>
    <t xml:space="preserve">Log label: (blank); Log note: Frog; filed as Bird 10; file 138 KB</t>
  </si>
  <si>
    <t xml:space="preserve">site_0617_Bird_11</t>
  </si>
  <si>
    <t xml:space="preserve">23:25:10</t>
  </si>
  <si>
    <t xml:space="preserve">Species Song Extracts/June 17/Bird 11.wav</t>
  </si>
  <si>
    <t xml:space="preserve">Log label: (blank); Log note: Frog; filed as Bird 11; file 113 KB</t>
  </si>
  <si>
    <t xml:space="preserve">Splits and class balance</t>
  </si>
  <si>
    <t xml:space="preserve">Every number on this tab is a formula over the Clips and Species tabs.</t>
  </si>
  <si>
    <t xml:space="preserve">Split</t>
  </si>
  <si>
    <t xml:space="preserve">Windows (5 s)</t>
  </si>
  <si>
    <t xml:space="preserve">Bird clips</t>
  </si>
  <si>
    <t xml:space="preserve">Non-bird clips</t>
  </si>
  <si>
    <t xml:space="preserve">Classes with clips</t>
  </si>
  <si>
    <t xml:space="preserve">What it is for</t>
  </si>
  <si>
    <t xml:space="preserve">Fit the model</t>
  </si>
  <si>
    <t xml:space="preserve">Model selection only. Core classes only</t>
  </si>
  <si>
    <t xml:space="preserve">Final numbers. Never tune on it</t>
  </si>
  <si>
    <t xml:space="preserve">Unlabeled Macaulay soundscapes from La Selva. Detection checks by ear</t>
  </si>
  <si>
    <t xml:space="preserve">Unidentified labels, silent clips, exact duplicates. Do not use</t>
  </si>
  <si>
    <t xml:space="preserve">Hand-cut AudioMoth extracts, June 17-18 2022. Target-domain sanity check. Durations not measured yet</t>
  </si>
  <si>
    <t xml:space="preserve">Total</t>
  </si>
  <si>
    <t xml:space="preserve">Bird and non-bird clips do not add up to the total: soundscapes and unidentified labels are neither</t>
  </si>
  <si>
    <t xml:space="preserve">Clips by tier and split</t>
  </si>
  <si>
    <t xml:space="preserve">Tier</t>
  </si>
  <si>
    <t xml:space="preserve">Clips and hours by source</t>
  </si>
  <si>
    <t xml:space="preserve">Bird species with clips</t>
  </si>
  <si>
    <t xml:space="preserve">Recorded at La Selva. Clip-level labels</t>
  </si>
  <si>
    <t xml:space="preserve">Recorded at Arenal and Monteverde. Train only</t>
  </si>
  <si>
    <t xml:space="preserve">AudioMoth extracts. Hours not measured. A clip with two species counts for both</t>
  </si>
  <si>
    <t xml:space="preserve">Classes by tier</t>
  </si>
  <si>
    <t xml:space="preserve">Bird classes</t>
  </si>
  <si>
    <t xml:space="preserve">Non-bird classes</t>
  </si>
  <si>
    <t xml:space="preserve">Rule (set when laselva_v1 was built)</t>
  </si>
  <si>
    <t xml:space="preserve">10 or more usable La Selva clips. Split 70/15/15 by session</t>
  </si>
  <si>
    <t xml:space="preserve">2 to 9 usable La Selva clips. One session in test, the rest in train</t>
  </si>
  <si>
    <t xml:space="preserve">2 to 9 clips, all from one session. Train only</t>
  </si>
  <si>
    <t xml:space="preserve">One usable La Selva clip. Test only</t>
  </si>
  <si>
    <t xml:space="preserve">Xeno-canto only. Train only</t>
  </si>
  <si>
    <t xml:space="preserve">Bird classes by number of train clips</t>
  </si>
  <si>
    <t xml:space="preserve">30 or more</t>
  </si>
  <si>
    <t xml:space="preserve">10 to 29</t>
  </si>
  <si>
    <t xml:space="preserve">1 to 9</t>
  </si>
  <si>
    <t xml:space="preserve">0</t>
  </si>
  <si>
    <t xml:space="preserve">Total train windows</t>
  </si>
  <si>
    <t xml:space="preserve">Class weight (setup 3) = total train windows / (classes with train windows x windows in the class). Same rule as class_weight="balanced" in scikit-learn.</t>
  </si>
  <si>
    <t xml:space="preserve">Classes with train windows</t>
  </si>
  <si>
    <t xml:space="preserve">Largest class, train windows</t>
  </si>
  <si>
    <t xml:space="preserve">Test-only classes (unknown at test time)</t>
  </si>
  <si>
    <t xml:space="preserve">Classes with test clips and no train clips. Use them for the open-set check.</t>
  </si>
  <si>
    <t xml:space="preserve">Test clips from test-only classes</t>
  </si>
  <si>
    <t xml:space="preserve">Clips that list other species</t>
  </si>
  <si>
    <t xml:space="preserve">Macaulay clips in train, val, test or soundscape_eval with a second label or background species.</t>
  </si>
  <si>
    <t xml:space="preserve">Checklist share</t>
  </si>
  <si>
    <t xml:space="preserve">Checklists</t>
  </si>
  <si>
    <t xml:space="preserve">Months seen</t>
  </si>
  <si>
    <t xml:space="preserve">First year</t>
  </si>
  <si>
    <t xml:space="preserve">Last year</t>
  </si>
  <si>
    <t xml:space="preserve">All recordings</t>
  </si>
  <si>
    <t xml:space="preserve">Coverage</t>
  </si>
  <si>
    <t xml:space="preserve">1,2,3,4,5,6,7,8,9,10,11,12</t>
  </si>
  <si>
    <t xml:space="preserve">1,2,3,4,5,9,10,11,12</t>
  </si>
  <si>
    <t xml:space="preserve">Turkey Vulture</t>
  </si>
  <si>
    <t xml:space="preserve">Cathartes aura</t>
  </si>
  <si>
    <t xml:space="preserve">Baltimore Oriole</t>
  </si>
  <si>
    <t xml:space="preserve">Icterus galbula</t>
  </si>
  <si>
    <t xml:space="preserve">1,2,3,4,9,10,11,12</t>
  </si>
  <si>
    <t xml:space="preserve">White-collared Swift</t>
  </si>
  <si>
    <t xml:space="preserve">Streptoprocne zonaris</t>
  </si>
  <si>
    <t xml:space="preserve">Snowy Cotinga</t>
  </si>
  <si>
    <t xml:space="preserve">Carpodectes nitidus</t>
  </si>
  <si>
    <t xml:space="preserve">1,2,3,4,5,6,7,8,9,10,11</t>
  </si>
  <si>
    <t xml:space="preserve">Broad-winged Hawk</t>
  </si>
  <si>
    <t xml:space="preserve">Buteo platypterus</t>
  </si>
  <si>
    <t xml:space="preserve">Silver-throated Tanager</t>
  </si>
  <si>
    <t xml:space="preserve">Tangara icterocephala</t>
  </si>
  <si>
    <t xml:space="preserve">Red-legged Honeycreeper</t>
  </si>
  <si>
    <t xml:space="preserve">Cyanerpes cyaneus</t>
  </si>
  <si>
    <t xml:space="preserve">Tennessee Warbler</t>
  </si>
  <si>
    <t xml:space="preserve">Leiothlypis peregrina</t>
  </si>
  <si>
    <t xml:space="preserve">Golden-winged Warbler</t>
  </si>
  <si>
    <t xml:space="preserve">Vermivora chrysoptera</t>
  </si>
  <si>
    <t xml:space="preserve">Black-crowned Tityra</t>
  </si>
  <si>
    <t xml:space="preserve">Tityra inquisitor</t>
  </si>
  <si>
    <t xml:space="preserve">White-necked Jacobin</t>
  </si>
  <si>
    <t xml:space="preserve">Florisuga mellivora</t>
  </si>
  <si>
    <t xml:space="preserve">Scarlet-thighed Dacnis</t>
  </si>
  <si>
    <t xml:space="preserve">Dacnis venusta</t>
  </si>
  <si>
    <t xml:space="preserve">Purple-crowned Fairy</t>
  </si>
  <si>
    <t xml:space="preserve">Heliothryx barroti</t>
  </si>
  <si>
    <t xml:space="preserve">Western Cattle-Egret</t>
  </si>
  <si>
    <t xml:space="preserve">Ardea ibis</t>
  </si>
  <si>
    <t xml:space="preserve">King Vulture</t>
  </si>
  <si>
    <t xml:space="preserve">Sarcoramphus papa</t>
  </si>
  <si>
    <t xml:space="preserve">Great-tailed Grackle</t>
  </si>
  <si>
    <t xml:space="preserve">Quiscalus mexicanus</t>
  </si>
  <si>
    <t xml:space="preserve">Swainson's Thrush</t>
  </si>
  <si>
    <t xml:space="preserve">Catharus ustulatus</t>
  </si>
  <si>
    <t xml:space="preserve">1,2,3,4,5,8,9,10,11,12</t>
  </si>
  <si>
    <t xml:space="preserve">Pale-vented Pigeon</t>
  </si>
  <si>
    <t xml:space="preserve">Patagioenas cayennensis</t>
  </si>
  <si>
    <t xml:space="preserve">Gray-breasted Martin</t>
  </si>
  <si>
    <t xml:space="preserve">Progne chalybea</t>
  </si>
  <si>
    <t xml:space="preserve">1,2,3,4,5,7,8,9,10,11,12</t>
  </si>
  <si>
    <t xml:space="preserve">Spotted Sandpiper</t>
  </si>
  <si>
    <t xml:space="preserve">Actitis macularius</t>
  </si>
  <si>
    <t xml:space="preserve">Anhinga</t>
  </si>
  <si>
    <t xml:space="preserve">Anhinga anhinga</t>
  </si>
  <si>
    <t xml:space="preserve">Mangrove Swallow</t>
  </si>
  <si>
    <t xml:space="preserve">Tachycineta albilinea</t>
  </si>
  <si>
    <t xml:space="preserve">Osprey</t>
  </si>
  <si>
    <t xml:space="preserve">Pandion haliaetus</t>
  </si>
  <si>
    <t xml:space="preserve">Red-eyed Vireo</t>
  </si>
  <si>
    <t xml:space="preserve">Vireo olivaceus</t>
  </si>
  <si>
    <t xml:space="preserve">1,3,4,5,7,8,9,10,11,12</t>
  </si>
  <si>
    <t xml:space="preserve">Yellow-throated Vireo</t>
  </si>
  <si>
    <t xml:space="preserve">Vireo flavifrons</t>
  </si>
  <si>
    <t xml:space="preserve">Lineated Woodpecker</t>
  </si>
  <si>
    <t xml:space="preserve">Dryocopus lineatus</t>
  </si>
  <si>
    <t xml:space="preserve">Barn Swallow</t>
  </si>
  <si>
    <t xml:space="preserve">Hirundo rustica</t>
  </si>
  <si>
    <t xml:space="preserve">Scarlet Tanager</t>
  </si>
  <si>
    <t xml:space="preserve">Piranga olivacea</t>
  </si>
  <si>
    <t xml:space="preserve">1,3,4,5,9,10,11,12</t>
  </si>
  <si>
    <t xml:space="preserve">Lesser Swallow-tailed Swift</t>
  </si>
  <si>
    <t xml:space="preserve">Panyptila cayennensis</t>
  </si>
  <si>
    <t xml:space="preserve">Northern Yellow Warbler</t>
  </si>
  <si>
    <t xml:space="preserve">Setophaga aestiva</t>
  </si>
  <si>
    <t xml:space="preserve">Russet-naped Wood-Rail</t>
  </si>
  <si>
    <t xml:space="preserve">Aramides albiventris</t>
  </si>
  <si>
    <t xml:space="preserve">Black-and-white Warbler</t>
  </si>
  <si>
    <t xml:space="preserve">Mniotilta varia</t>
  </si>
  <si>
    <t xml:space="preserve">Shiny Cowbird</t>
  </si>
  <si>
    <t xml:space="preserve">Molothrus bonariensis</t>
  </si>
  <si>
    <t xml:space="preserve">1,2,3,4,5,6,7,8,9,11,12</t>
  </si>
  <si>
    <t xml:space="preserve">Swainson's Hawk</t>
  </si>
  <si>
    <t xml:space="preserve">Buteo swainsoni</t>
  </si>
  <si>
    <t xml:space="preserve">1,2,3,4,5,6,9,10,11,12</t>
  </si>
  <si>
    <t xml:space="preserve">Little Blue Heron</t>
  </si>
  <si>
    <t xml:space="preserve">Egretta caerulea</t>
  </si>
  <si>
    <t xml:space="preserve">Olive-backed Quail-Dove</t>
  </si>
  <si>
    <t xml:space="preserve">Leptotrygon veraguensis</t>
  </si>
  <si>
    <t xml:space="preserve">Northern Rough-winged Swallow</t>
  </si>
  <si>
    <t xml:space="preserve">Stelgidopteryx serripennis</t>
  </si>
  <si>
    <t xml:space="preserve">Bay-headed Tanager</t>
  </si>
  <si>
    <t xml:space="preserve">Tangara gyrola</t>
  </si>
  <si>
    <t xml:space="preserve">Roadside Hawk</t>
  </si>
  <si>
    <t xml:space="preserve">Rupornis magnirostris</t>
  </si>
  <si>
    <t xml:space="preserve">Hook-billed Kite</t>
  </si>
  <si>
    <t xml:space="preserve">Chondrohierax uncinatus</t>
  </si>
  <si>
    <t xml:space="preserve">Eastern Kingbird</t>
  </si>
  <si>
    <t xml:space="preserve">Tyrannus tyrannus</t>
  </si>
  <si>
    <t xml:space="preserve">3,4,5,9,10</t>
  </si>
  <si>
    <t xml:space="preserve">Neotropic Cormorant</t>
  </si>
  <si>
    <t xml:space="preserve">Nannopterum brasilianum</t>
  </si>
  <si>
    <t xml:space="preserve">Pale-vented Thrush</t>
  </si>
  <si>
    <t xml:space="preserve">Turdus obsoletus</t>
  </si>
  <si>
    <t xml:space="preserve">1,2,3,4,6,7,8,9,10,11,12</t>
  </si>
  <si>
    <t xml:space="preserve">Sungrebe</t>
  </si>
  <si>
    <t xml:space="preserve">Heliornis fulica</t>
  </si>
  <si>
    <t xml:space="preserve">1,2,3,4,5,6,7,9,10,11,12</t>
  </si>
  <si>
    <t xml:space="preserve">Great Egret</t>
  </si>
  <si>
    <t xml:space="preserve">Ardea alba</t>
  </si>
  <si>
    <t xml:space="preserve">White-vented Euphonia</t>
  </si>
  <si>
    <t xml:space="preserve">Euphonia minuta</t>
  </si>
  <si>
    <t xml:space="preserve">Short-tailed Hawk</t>
  </si>
  <si>
    <t xml:space="preserve">Buteo brachyurus</t>
  </si>
  <si>
    <t xml:space="preserve">Great Blue Heron</t>
  </si>
  <si>
    <t xml:space="preserve">Ardea herodias</t>
  </si>
  <si>
    <t xml:space="preserve">1,2,3,4,7,8,9,10,11,12</t>
  </si>
  <si>
    <t xml:space="preserve">White-lined Tanager</t>
  </si>
  <si>
    <t xml:space="preserve">Tachyphonus rufus</t>
  </si>
  <si>
    <t xml:space="preserve">1,2,3,4,5,6,7,8,9,10</t>
  </si>
  <si>
    <t xml:space="preserve">Vaux's Swift</t>
  </si>
  <si>
    <t xml:space="preserve">Chaetura vauxi</t>
  </si>
  <si>
    <t xml:space="preserve">Bronzed Cowbird</t>
  </si>
  <si>
    <t xml:space="preserve">Molothrus aeneus</t>
  </si>
  <si>
    <t xml:space="preserve">1,2,3,4,5,6,7,8,10,11,12</t>
  </si>
  <si>
    <t xml:space="preserve">Green Heron</t>
  </si>
  <si>
    <t xml:space="preserve">Butorides virescens</t>
  </si>
  <si>
    <t xml:space="preserve">Snowy Egret</t>
  </si>
  <si>
    <t xml:space="preserve">Egretta thula</t>
  </si>
  <si>
    <t xml:space="preserve">Cliff Swallow</t>
  </si>
  <si>
    <t xml:space="preserve">Petrochelidon pyrrhonota</t>
  </si>
  <si>
    <t xml:space="preserve">2,3,4,5,8,9,10,11</t>
  </si>
  <si>
    <t xml:space="preserve">Giant Cowbird</t>
  </si>
  <si>
    <t xml:space="preserve">Molothrus oryzivorus</t>
  </si>
  <si>
    <t xml:space="preserve">Muscovy Duck</t>
  </si>
  <si>
    <t xml:space="preserve">Cairina moschata</t>
  </si>
  <si>
    <t xml:space="preserve">Gray Catbird</t>
  </si>
  <si>
    <t xml:space="preserve">Dumetella carolinensis</t>
  </si>
  <si>
    <t xml:space="preserve">Blackburnian Warbler</t>
  </si>
  <si>
    <t xml:space="preserve">Setophaga fusca</t>
  </si>
  <si>
    <t xml:space="preserve">Morelet's Seedeater</t>
  </si>
  <si>
    <t xml:space="preserve">Sporophila morelleti</t>
  </si>
  <si>
    <t xml:space="preserve">Rose-breasted Grosbeak</t>
  </si>
  <si>
    <t xml:space="preserve">Pheucticus ludovicianus</t>
  </si>
  <si>
    <t xml:space="preserve">1,2,3,4,5,10,11,12</t>
  </si>
  <si>
    <t xml:space="preserve">Bare-necked Umbrellabird</t>
  </si>
  <si>
    <t xml:space="preserve">Cephalopterus glabricollis</t>
  </si>
  <si>
    <t xml:space="preserve">Tiny Hawk</t>
  </si>
  <si>
    <t xml:space="preserve">Microspizias superciliosus</t>
  </si>
  <si>
    <t xml:space="preserve">Mississippi Kite</t>
  </si>
  <si>
    <t xml:space="preserve">Ictinia mississippiensis</t>
  </si>
  <si>
    <t xml:space="preserve">Hoffmann's Woodpecker</t>
  </si>
  <si>
    <t xml:space="preserve">Melanerpes hoffmannii</t>
  </si>
  <si>
    <t xml:space="preserve">Chimney Swift</t>
  </si>
  <si>
    <t xml:space="preserve">Chaetura pelagica</t>
  </si>
  <si>
    <t xml:space="preserve">Northern Jacana</t>
  </si>
  <si>
    <t xml:space="preserve">Jacana spinosa</t>
  </si>
  <si>
    <t xml:space="preserve">House Sparrow</t>
  </si>
  <si>
    <t xml:space="preserve">Passer domesticus</t>
  </si>
  <si>
    <t xml:space="preserve">Swallow-tailed Kite</t>
  </si>
  <si>
    <t xml:space="preserve">Elanoides forficatus</t>
  </si>
  <si>
    <t xml:space="preserve">Long-billed Starthroat</t>
  </si>
  <si>
    <t xml:space="preserve">Heliomaster longirostris</t>
  </si>
  <si>
    <t xml:space="preserve">1,2,3,4,5,6,7,8,9,10,12</t>
  </si>
  <si>
    <t xml:space="preserve">Green-breasted Mango</t>
  </si>
  <si>
    <t xml:space="preserve">Anthracothorax prevostii</t>
  </si>
  <si>
    <t xml:space="preserve">Canada Warbler</t>
  </si>
  <si>
    <t xml:space="preserve">Cardellina canadensis</t>
  </si>
  <si>
    <t xml:space="preserve">Chestnut-collared Swift</t>
  </si>
  <si>
    <t xml:space="preserve">Streptoprocne rutila</t>
  </si>
  <si>
    <t xml:space="preserve">Bank Swallow</t>
  </si>
  <si>
    <t xml:space="preserve">Riparia riparia</t>
  </si>
  <si>
    <t xml:space="preserve">Wood Stork</t>
  </si>
  <si>
    <t xml:space="preserve">Mycteria americana</t>
  </si>
  <si>
    <t xml:space="preserve">Agami Heron</t>
  </si>
  <si>
    <t xml:space="preserve">Agamia agami</t>
  </si>
  <si>
    <t xml:space="preserve">1,2,3,4,5,6,8,9,10,11,12</t>
  </si>
  <si>
    <t xml:space="preserve">Red-winged Blackbird</t>
  </si>
  <si>
    <t xml:space="preserve">Agelaius phoeniceus</t>
  </si>
  <si>
    <t xml:space="preserve">Tropical Mockingbird</t>
  </si>
  <si>
    <t xml:space="preserve">Mimus gilvus</t>
  </si>
  <si>
    <t xml:space="preserve">White-winged Dove</t>
  </si>
  <si>
    <t xml:space="preserve">Zenaida asiatica</t>
  </si>
  <si>
    <t xml:space="preserve">Black Phoebe</t>
  </si>
  <si>
    <t xml:space="preserve">Sayornis nigricans</t>
  </si>
  <si>
    <t xml:space="preserve">Brown-capped Tyrannulet</t>
  </si>
  <si>
    <t xml:space="preserve">Ornithion brunneicapillus</t>
  </si>
  <si>
    <t xml:space="preserve">Philadelphia Vireo</t>
  </si>
  <si>
    <t xml:space="preserve">Vireo philadelphicus</t>
  </si>
  <si>
    <t xml:space="preserve">Black-crested Coquette</t>
  </si>
  <si>
    <t xml:space="preserve">Lophornis helenae</t>
  </si>
  <si>
    <t xml:space="preserve">Olive-streaked Flycatcher</t>
  </si>
  <si>
    <t xml:space="preserve">Mionectes olivaceus</t>
  </si>
  <si>
    <t xml:space="preserve">1,2,3,4,5,7,8,10,11,12</t>
  </si>
  <si>
    <t xml:space="preserve">Black-bellied Whistling-Duck</t>
  </si>
  <si>
    <t xml:space="preserve">Dendrocygna autumnalis</t>
  </si>
  <si>
    <t xml:space="preserve">Olive-sided Flycatcher</t>
  </si>
  <si>
    <t xml:space="preserve">Contopus cooperi</t>
  </si>
  <si>
    <t xml:space="preserve">2,3,4,5,8,9,10,11,12</t>
  </si>
  <si>
    <t xml:space="preserve">Southern Lapwing</t>
  </si>
  <si>
    <t xml:space="preserve">Vanellus chilensis</t>
  </si>
  <si>
    <t xml:space="preserve">Blue-throated Goldentail</t>
  </si>
  <si>
    <t xml:space="preserve">Chlorestes eliciae</t>
  </si>
  <si>
    <t xml:space="preserve">Fasciated Tiger-Heron</t>
  </si>
  <si>
    <t xml:space="preserve">Tigrisoma fasciatum</t>
  </si>
  <si>
    <t xml:space="preserve">Yellow-green Vireo</t>
  </si>
  <si>
    <t xml:space="preserve">Vireo flavoviridis</t>
  </si>
  <si>
    <t xml:space="preserve">Dot-winged Antwren</t>
  </si>
  <si>
    <t xml:space="preserve">Microrhopias quixensis</t>
  </si>
  <si>
    <t xml:space="preserve">Boat-billed Heron</t>
  </si>
  <si>
    <t xml:space="preserve">Cochlearius cochlearius</t>
  </si>
  <si>
    <t xml:space="preserve">White-tailed Kite</t>
  </si>
  <si>
    <t xml:space="preserve">Elanus leucurus</t>
  </si>
  <si>
    <t xml:space="preserve">White Hawk</t>
  </si>
  <si>
    <t xml:space="preserve">Pseudastur albicollis</t>
  </si>
  <si>
    <t xml:space="preserve">Black-thighed Grosbeak</t>
  </si>
  <si>
    <t xml:space="preserve">Pheucticus tibialis</t>
  </si>
  <si>
    <t xml:space="preserve">1,2,3,4,5,7,8,11,12</t>
  </si>
  <si>
    <t xml:space="preserve">Ovenbird</t>
  </si>
  <si>
    <t xml:space="preserve">Seiurus aurocapilla</t>
  </si>
  <si>
    <t xml:space="preserve">1,2,3,4,10,11,12</t>
  </si>
  <si>
    <t xml:space="preserve">1,2,3,4,6,7,8,12</t>
  </si>
  <si>
    <t xml:space="preserve">Western Wood-Pewee</t>
  </si>
  <si>
    <t xml:space="preserve">Contopus sordidulus</t>
  </si>
  <si>
    <t xml:space="preserve">Ruddy Quail-Dove</t>
  </si>
  <si>
    <t xml:space="preserve">Geotrygon montana</t>
  </si>
  <si>
    <t xml:space="preserve">Peregrine Falcon</t>
  </si>
  <si>
    <t xml:space="preserve">Falco peregrinus</t>
  </si>
  <si>
    <t xml:space="preserve">Slate-headed Tody-Flycatcher</t>
  </si>
  <si>
    <t xml:space="preserve">Poecilotriccus sylvia</t>
  </si>
  <si>
    <t xml:space="preserve">Black Swift</t>
  </si>
  <si>
    <t xml:space="preserve">Cypseloides niger</t>
  </si>
  <si>
    <t xml:space="preserve">1,2,3,4,6,7,8,9,10,11</t>
  </si>
  <si>
    <t xml:space="preserve">Spotted Woodcreeper</t>
  </si>
  <si>
    <t xml:space="preserve">Xiphorhynchus erythropygius</t>
  </si>
  <si>
    <t xml:space="preserve">American Redstart</t>
  </si>
  <si>
    <t xml:space="preserve">Setophaga ruticilla</t>
  </si>
  <si>
    <t xml:space="preserve">1,2,3,4,8,9,10,11,12</t>
  </si>
  <si>
    <t xml:space="preserve">Gray-cheeked Thrush</t>
  </si>
  <si>
    <t xml:space="preserve">Catharus minimus</t>
  </si>
  <si>
    <t xml:space="preserve">Snowcap</t>
  </si>
  <si>
    <t xml:space="preserve">Microchera albocoronata</t>
  </si>
  <si>
    <t xml:space="preserve">Streaked Flycatcher</t>
  </si>
  <si>
    <t xml:space="preserve">Myiodynastes maculatus</t>
  </si>
  <si>
    <t xml:space="preserve">Carmiol's Tanager</t>
  </si>
  <si>
    <t xml:space="preserve">Chlorothraupis carmioli</t>
  </si>
  <si>
    <t xml:space="preserve">Rufescent Tiger-Heron</t>
  </si>
  <si>
    <t xml:space="preserve">Tigrisoma lineatum</t>
  </si>
  <si>
    <t xml:space="preserve">Spot-fronted Swift</t>
  </si>
  <si>
    <t xml:space="preserve">Cypseloides cherriei</t>
  </si>
  <si>
    <t xml:space="preserve">Plumbeous Kite</t>
  </si>
  <si>
    <t xml:space="preserve">Ictinia plumbea</t>
  </si>
  <si>
    <t xml:space="preserve">1,2,3,4,5,6,7,8,9</t>
  </si>
  <si>
    <t xml:space="preserve">Orchard Oriole</t>
  </si>
  <si>
    <t xml:space="preserve">Icterus spurius</t>
  </si>
  <si>
    <t xml:space="preserve">1,2,3,4,8,10,11,12</t>
  </si>
  <si>
    <t xml:space="preserve">Russet Antshrike</t>
  </si>
  <si>
    <t xml:space="preserve">Thamnistes anabatinus</t>
  </si>
  <si>
    <t xml:space="preserve">Green Hermit</t>
  </si>
  <si>
    <t xml:space="preserve">Phaethornis guy</t>
  </si>
  <si>
    <t xml:space="preserve">Yellow-crowned Night Heron</t>
  </si>
  <si>
    <t xml:space="preserve">Nyctanassa violacea</t>
  </si>
  <si>
    <t xml:space="preserve">Slaty Antwren</t>
  </si>
  <si>
    <t xml:space="preserve">Myrmotherula schisticolor</t>
  </si>
  <si>
    <t xml:space="preserve">Rose-throated Becard</t>
  </si>
  <si>
    <t xml:space="preserve">Pachyramphus aglaiae</t>
  </si>
  <si>
    <t xml:space="preserve">1,2,3,7,10,11,12</t>
  </si>
  <si>
    <t xml:space="preserve">Tawny-capped Euphonia</t>
  </si>
  <si>
    <t xml:space="preserve">Euphonia anneae</t>
  </si>
  <si>
    <t xml:space="preserve">Green Thorntail</t>
  </si>
  <si>
    <t xml:space="preserve">Discosura conversii</t>
  </si>
  <si>
    <t xml:space="preserve">Zone-tailed Hawk</t>
  </si>
  <si>
    <t xml:space="preserve">Buteo albonotatus</t>
  </si>
  <si>
    <t xml:space="preserve">Lesser Nighthawk</t>
  </si>
  <si>
    <t xml:space="preserve">Chordeiles acutipennis</t>
  </si>
  <si>
    <t xml:space="preserve">1,2,3,4,5,7,9,10,11,12</t>
  </si>
  <si>
    <t xml:space="preserve">Blue-vented Hummingbird</t>
  </si>
  <si>
    <t xml:space="preserve">Saucerottia hoffmanni</t>
  </si>
  <si>
    <t xml:space="preserve">Tawny-crested Tanager</t>
  </si>
  <si>
    <t xml:space="preserve">Tachyphonus delatrii</t>
  </si>
  <si>
    <t xml:space="preserve">Rufous-winged Tanager</t>
  </si>
  <si>
    <t xml:space="preserve">Tangara lavinia</t>
  </si>
  <si>
    <t xml:space="preserve">1,2,3,4,5,7,11,12</t>
  </si>
  <si>
    <t xml:space="preserve">Yellow-headed Caracara</t>
  </si>
  <si>
    <t xml:space="preserve">Daptrius chimachima</t>
  </si>
  <si>
    <t xml:space="preserve">Inca Dove</t>
  </si>
  <si>
    <t xml:space="preserve">Columbina inca</t>
  </si>
  <si>
    <t xml:space="preserve">Common Black Hawk</t>
  </si>
  <si>
    <t xml:space="preserve">Buteogallus anthracinus</t>
  </si>
  <si>
    <t xml:space="preserve">1,2,3,4,5,7,10,11,12</t>
  </si>
  <si>
    <t xml:space="preserve">Eastern Meadowlark</t>
  </si>
  <si>
    <t xml:space="preserve">Sturnella magna</t>
  </si>
  <si>
    <t xml:space="preserve">Worm-eating Warbler</t>
  </si>
  <si>
    <t xml:space="preserve">Helmitheros vermivorum</t>
  </si>
  <si>
    <t xml:space="preserve">Tropical Parula</t>
  </si>
  <si>
    <t xml:space="preserve">Setophaga pitiayumi</t>
  </si>
  <si>
    <t xml:space="preserve">1,2,3,4,6,7,9,10,11,12</t>
  </si>
  <si>
    <t xml:space="preserve">Common Nighthawk</t>
  </si>
  <si>
    <t xml:space="preserve">Chordeiles minor</t>
  </si>
  <si>
    <t xml:space="preserve">3,4,5,7,8,9,10,11</t>
  </si>
  <si>
    <t xml:space="preserve">Wilson's Warbler</t>
  </si>
  <si>
    <t xml:space="preserve">Cardellina pusilla</t>
  </si>
  <si>
    <t xml:space="preserve">White-tipped Sicklebill</t>
  </si>
  <si>
    <t xml:space="preserve">Eutoxeres aquila</t>
  </si>
  <si>
    <t xml:space="preserve">1,2,3,4,7,8,10,11,12</t>
  </si>
  <si>
    <t xml:space="preserve">Cerulean Warbler</t>
  </si>
  <si>
    <t xml:space="preserve">Setophaga cerulea</t>
  </si>
  <si>
    <t xml:space="preserve">3,4,8,9,10,11</t>
  </si>
  <si>
    <t xml:space="preserve">Belted Kingfisher</t>
  </si>
  <si>
    <t xml:space="preserve">Megaceryle alcyon</t>
  </si>
  <si>
    <t xml:space="preserve">Purple Martin</t>
  </si>
  <si>
    <t xml:space="preserve">Progne subis</t>
  </si>
  <si>
    <t xml:space="preserve">2,3,4,9,10,11</t>
  </si>
  <si>
    <t xml:space="preserve">Prothonotary Warbler</t>
  </si>
  <si>
    <t xml:space="preserve">Protonotaria citrea</t>
  </si>
  <si>
    <t xml:space="preserve">1,2,3,9,10,11,12</t>
  </si>
  <si>
    <t xml:space="preserve">Plain Antvireo</t>
  </si>
  <si>
    <t xml:space="preserve">Dysithamnus mentalis</t>
  </si>
  <si>
    <t xml:space="preserve">1,2,3,4,6,7,8,9,11,12</t>
  </si>
  <si>
    <t xml:space="preserve">Emerald Tanager</t>
  </si>
  <si>
    <t xml:space="preserve">Tangara florida</t>
  </si>
  <si>
    <t xml:space="preserve">Crane Hawk</t>
  </si>
  <si>
    <t xml:space="preserve">Geranospiza caerulescens</t>
  </si>
  <si>
    <t xml:space="preserve">1,2,3,4,6,7,8,10,11,12</t>
  </si>
  <si>
    <t xml:space="preserve">Tricolored Heron</t>
  </si>
  <si>
    <t xml:space="preserve">Egretta tricolor</t>
  </si>
  <si>
    <t xml:space="preserve">Veery</t>
  </si>
  <si>
    <t xml:space="preserve">Catharus fuscescens</t>
  </si>
  <si>
    <t xml:space="preserve">4,9,10,11,12</t>
  </si>
  <si>
    <t xml:space="preserve">Bare-crowned Antbird</t>
  </si>
  <si>
    <t xml:space="preserve">Gymnocichla nudiceps</t>
  </si>
  <si>
    <t xml:space="preserve">Solitary Sandpiper</t>
  </si>
  <si>
    <t xml:space="preserve">Tringa solitaria</t>
  </si>
  <si>
    <t xml:space="preserve">Barred Hawk</t>
  </si>
  <si>
    <t xml:space="preserve">Morphnarchus princeps</t>
  </si>
  <si>
    <t xml:space="preserve">1,2,3,4,6,7,8,9,10,12</t>
  </si>
  <si>
    <t xml:space="preserve">Yellow-billed Cuckoo</t>
  </si>
  <si>
    <t xml:space="preserve">Coccyzus americanus</t>
  </si>
  <si>
    <t xml:space="preserve">1,3,4,5,10,11</t>
  </si>
  <si>
    <t xml:space="preserve">Least Flycatcher</t>
  </si>
  <si>
    <t xml:space="preserve">Empidonax minimus</t>
  </si>
  <si>
    <t xml:space="preserve">Yellow-eared Toucanet</t>
  </si>
  <si>
    <t xml:space="preserve">Selenidera spectabilis</t>
  </si>
  <si>
    <t xml:space="preserve">1,2,3,4,5,6,8,10,11,12</t>
  </si>
  <si>
    <t xml:space="preserve">Yellow-bellied Sapsucker</t>
  </si>
  <si>
    <t xml:space="preserve">Sphyrapicus varius</t>
  </si>
  <si>
    <t xml:space="preserve">1,2,3,11,12</t>
  </si>
  <si>
    <t xml:space="preserve">Hepatic Tanager</t>
  </si>
  <si>
    <t xml:space="preserve">Piranga flava</t>
  </si>
  <si>
    <t xml:space="preserve">Magnolia Warbler</t>
  </si>
  <si>
    <t xml:space="preserve">Setophaga magnolia</t>
  </si>
  <si>
    <t xml:space="preserve">1,2,3,4,11,12</t>
  </si>
  <si>
    <t xml:space="preserve">Sharp-shinned Hawk</t>
  </si>
  <si>
    <t xml:space="preserve">Accipiter striatus</t>
  </si>
  <si>
    <t xml:space="preserve">Roseate Spoonbill</t>
  </si>
  <si>
    <t xml:space="preserve">Platalea ajaja</t>
  </si>
  <si>
    <t xml:space="preserve">1,2,3,5,6,11,12</t>
  </si>
  <si>
    <t xml:space="preserve">Plain-breasted Ground Dove</t>
  </si>
  <si>
    <t xml:space="preserve">Columbina minuta</t>
  </si>
  <si>
    <t xml:space="preserve">1,2,3,7,8,10,11</t>
  </si>
  <si>
    <t xml:space="preserve">Great Black Hawk</t>
  </si>
  <si>
    <t xml:space="preserve">Buteogallus urubitinga</t>
  </si>
  <si>
    <t xml:space="preserve">1,2,3,4,6,8,12</t>
  </si>
  <si>
    <t xml:space="preserve">Ruby-throated Hummingbird</t>
  </si>
  <si>
    <t xml:space="preserve">Archilochus colubris</t>
  </si>
  <si>
    <t xml:space="preserve">Common Chlorospingus</t>
  </si>
  <si>
    <t xml:space="preserve">Chlorospingus flavopectus</t>
  </si>
  <si>
    <t xml:space="preserve">1,2,3,5,7,8,9,11,12</t>
  </si>
  <si>
    <t xml:space="preserve">Ruddy Woodcreeper</t>
  </si>
  <si>
    <t xml:space="preserve">Dendrocincla homochroa</t>
  </si>
  <si>
    <t xml:space="preserve">Rufous-browed Peppershrike</t>
  </si>
  <si>
    <t xml:space="preserve">Cyclarhis gujanensis</t>
  </si>
  <si>
    <t xml:space="preserve">1,3,5,7,8,9,11,12</t>
  </si>
  <si>
    <t xml:space="preserve">Black-throated Green Warbler</t>
  </si>
  <si>
    <t xml:space="preserve">Setophaga virens</t>
  </si>
  <si>
    <t xml:space="preserve">White-crowned Manakin</t>
  </si>
  <si>
    <t xml:space="preserve">Pseudopipra pipra</t>
  </si>
  <si>
    <t xml:space="preserve">1,2,3,4,5,6,7,8,12</t>
  </si>
  <si>
    <t xml:space="preserve">White Ibis</t>
  </si>
  <si>
    <t xml:space="preserve">Eudocimus albus</t>
  </si>
  <si>
    <t xml:space="preserve">1,2,3,4,5,6,8,11,12</t>
  </si>
  <si>
    <t xml:space="preserve">Scaly-throated Leaftosser</t>
  </si>
  <si>
    <t xml:space="preserve">Sclerurus guatemalensis</t>
  </si>
  <si>
    <t xml:space="preserve">Red-tailed Hawk</t>
  </si>
  <si>
    <t xml:space="preserve">Buteo jamaicensis</t>
  </si>
  <si>
    <t xml:space="preserve">1,2,3,4,7,9,10,11,12</t>
  </si>
  <si>
    <t xml:space="preserve">White-chinned Swift</t>
  </si>
  <si>
    <t xml:space="preserve">Cypseloides cryptus</t>
  </si>
  <si>
    <t xml:space="preserve">1,2,3,4,5,7,10,12</t>
  </si>
  <si>
    <t xml:space="preserve">Chuck-will's-widow</t>
  </si>
  <si>
    <t xml:space="preserve">Antrostomus carolinensis</t>
  </si>
  <si>
    <t xml:space="preserve">Black-and-white Hawk-Eagle</t>
  </si>
  <si>
    <t xml:space="preserve">Spizaetus melanoleucus</t>
  </si>
  <si>
    <t xml:space="preserve">1,2,3,4,5,10,12</t>
  </si>
  <si>
    <t xml:space="preserve">Blue-winged Warbler</t>
  </si>
  <si>
    <t xml:space="preserve">Vermivora cyanoptera</t>
  </si>
  <si>
    <t xml:space="preserve">Speckled Tanager</t>
  </si>
  <si>
    <t xml:space="preserve">Ixothraupis guttata</t>
  </si>
  <si>
    <t xml:space="preserve">Slaty-capped Flycatcher</t>
  </si>
  <si>
    <t xml:space="preserve">Leptopogon superciliaris</t>
  </si>
  <si>
    <t xml:space="preserve">1,2,3,5,6,7,8,9,10,11,12</t>
  </si>
  <si>
    <t xml:space="preserve">Dickcissel</t>
  </si>
  <si>
    <t xml:space="preserve">Spiza americana</t>
  </si>
  <si>
    <t xml:space="preserve">3,4,9,10,11</t>
  </si>
  <si>
    <t xml:space="preserve">Magnificent Frigatebird</t>
  </si>
  <si>
    <t xml:space="preserve">Fregata magnificens</t>
  </si>
  <si>
    <t xml:space="preserve">1,2,3,4,7,8,11,12</t>
  </si>
  <si>
    <t xml:space="preserve">Black-faced Solitaire</t>
  </si>
  <si>
    <t xml:space="preserve">Myadestes melanops</t>
  </si>
  <si>
    <t xml:space="preserve">1,2,3,10,12</t>
  </si>
  <si>
    <t xml:space="preserve">Torrent Tyrannulet</t>
  </si>
  <si>
    <t xml:space="preserve">Serpophaga cinerea</t>
  </si>
  <si>
    <t xml:space="preserve">1,2,3,4,6,7,8,9,11</t>
  </si>
  <si>
    <t xml:space="preserve">Western Kingbird</t>
  </si>
  <si>
    <t xml:space="preserve">Tyrannus verticalis</t>
  </si>
  <si>
    <t xml:space="preserve">Brown Violetear</t>
  </si>
  <si>
    <t xml:space="preserve">Colibri delphinae</t>
  </si>
  <si>
    <t xml:space="preserve">1,2,3,4,7,8,12</t>
  </si>
  <si>
    <t xml:space="preserve">White-throated Shrike-Tanager</t>
  </si>
  <si>
    <t xml:space="preserve">Lanio leucothorax</t>
  </si>
  <si>
    <t xml:space="preserve">Sepia-capped Flycatcher</t>
  </si>
  <si>
    <t xml:space="preserve">Leptopogon amaurocephalus</t>
  </si>
  <si>
    <t xml:space="preserve">1,3,5,6,8,10,11,12</t>
  </si>
  <si>
    <t xml:space="preserve">Willow Flycatcher</t>
  </si>
  <si>
    <t xml:space="preserve">Empidonax traillii</t>
  </si>
  <si>
    <t xml:space="preserve">2,4,5,9,10,11,12</t>
  </si>
  <si>
    <t xml:space="preserve">Band-tailed Pigeon</t>
  </si>
  <si>
    <t xml:space="preserve">Patagioenas fasciata</t>
  </si>
  <si>
    <t xml:space="preserve">1,2,3,7,8,9,11,12</t>
  </si>
  <si>
    <t xml:space="preserve">Blue Grosbeak</t>
  </si>
  <si>
    <t xml:space="preserve">Passerina caerulea</t>
  </si>
  <si>
    <t xml:space="preserve">1,2,3,4,5,7,8</t>
  </si>
  <si>
    <t xml:space="preserve">Violet Sabrewing</t>
  </si>
  <si>
    <t xml:space="preserve">Campylopterus hemileucurus</t>
  </si>
  <si>
    <t xml:space="preserve">12</t>
  </si>
  <si>
    <t xml:space="preserve">Tawny-chested Flycatcher</t>
  </si>
  <si>
    <t xml:space="preserve">Aphanotriccus capitalis</t>
  </si>
  <si>
    <t xml:space="preserve">1,3,4,5,6,10,12</t>
  </si>
  <si>
    <t xml:space="preserve">Merlin</t>
  </si>
  <si>
    <t xml:space="preserve">Falco columbarius</t>
  </si>
  <si>
    <t xml:space="preserve">Alder Flycatcher</t>
  </si>
  <si>
    <t xml:space="preserve">Empidonax alnorum</t>
  </si>
  <si>
    <t xml:space="preserve">4,5,9,10</t>
  </si>
  <si>
    <t xml:space="preserve">Northern Schiffornis</t>
  </si>
  <si>
    <t xml:space="preserve">Schiffornis veraepacis</t>
  </si>
  <si>
    <t xml:space="preserve">1,2,3,5,6,7,11,12</t>
  </si>
  <si>
    <t xml:space="preserve">1,2,3,4,5,7,8,12</t>
  </si>
  <si>
    <t xml:space="preserve">Common Yellowthroat</t>
  </si>
  <si>
    <t xml:space="preserve">Geothlypis trichas</t>
  </si>
  <si>
    <t xml:space="preserve">1,2,3,10,11,12</t>
  </si>
  <si>
    <t xml:space="preserve">Tree Swallow</t>
  </si>
  <si>
    <t xml:space="preserve">Tachycineta bicolor</t>
  </si>
  <si>
    <t xml:space="preserve">1,2,3,4,9,11,12</t>
  </si>
  <si>
    <t xml:space="preserve">Lesson's Motmot</t>
  </si>
  <si>
    <t xml:space="preserve">Momotus lessonii</t>
  </si>
  <si>
    <t xml:space="preserve">1,2,3,4,7,11,12</t>
  </si>
  <si>
    <t xml:space="preserve">Blue-winged Teal</t>
  </si>
  <si>
    <t xml:space="preserve">Spatula discors</t>
  </si>
  <si>
    <t xml:space="preserve">2,3,5,6,7,10,11,12</t>
  </si>
  <si>
    <t xml:space="preserve">Golden-olive Woodpecker</t>
  </si>
  <si>
    <t xml:space="preserve">Colaptes rubiginosus</t>
  </si>
  <si>
    <t xml:space="preserve">1,3,5,6,7</t>
  </si>
  <si>
    <t xml:space="preserve">Indigo Bunting</t>
  </si>
  <si>
    <t xml:space="preserve">Passerina cyanea</t>
  </si>
  <si>
    <t xml:space="preserve">1,2,3,4,10,11</t>
  </si>
  <si>
    <t xml:space="preserve">Scissor-tailed Flycatcher</t>
  </si>
  <si>
    <t xml:space="preserve">Tyrannus forficatus</t>
  </si>
  <si>
    <t xml:space="preserve">1,2,3,4,12</t>
  </si>
  <si>
    <t xml:space="preserve">Lovely Cotinga</t>
  </si>
  <si>
    <t xml:space="preserve">Cotinga amabilis</t>
  </si>
  <si>
    <t xml:space="preserve">1,2,3,4,5,7,12</t>
  </si>
  <si>
    <t xml:space="preserve">Least Sandpiper</t>
  </si>
  <si>
    <t xml:space="preserve">Calidris minutilla</t>
  </si>
  <si>
    <t xml:space="preserve">American Barn Owl</t>
  </si>
  <si>
    <t xml:space="preserve">Tyto furcata</t>
  </si>
  <si>
    <t xml:space="preserve">3,5,6,7,8,10</t>
  </si>
  <si>
    <t xml:space="preserve">2,3,4,9,11,12</t>
  </si>
  <si>
    <t xml:space="preserve">Yellow-breasted Chat</t>
  </si>
  <si>
    <t xml:space="preserve">Icteria virens</t>
  </si>
  <si>
    <t xml:space="preserve">Black-billed Cuckoo</t>
  </si>
  <si>
    <t xml:space="preserve">Coccyzus erythropthalmus</t>
  </si>
  <si>
    <t xml:space="preserve">3,5,10,11</t>
  </si>
  <si>
    <t xml:space="preserve">American Kestrel</t>
  </si>
  <si>
    <t xml:space="preserve">Falco sparverius</t>
  </si>
  <si>
    <t xml:space="preserve">1,2,3,10,11</t>
  </si>
  <si>
    <t xml:space="preserve">Red-breasted Meadowlark</t>
  </si>
  <si>
    <t xml:space="preserve">Leistes militaris</t>
  </si>
  <si>
    <t xml:space="preserve">1,2,3,4,7,10,12</t>
  </si>
  <si>
    <t xml:space="preserve">1,2,3,4,5,10</t>
  </si>
  <si>
    <t xml:space="preserve">Dull-mantled Antbird</t>
  </si>
  <si>
    <t xml:space="preserve">Sipia laemosticta</t>
  </si>
  <si>
    <t xml:space="preserve">1,2,3,5,10,11,12</t>
  </si>
  <si>
    <t xml:space="preserve">Yellow-bellied Tyrannulet</t>
  </si>
  <si>
    <t xml:space="preserve">Ornithion semiflavum</t>
  </si>
  <si>
    <t xml:space="preserve">1,2,3,4,7,8,9,10</t>
  </si>
  <si>
    <t xml:space="preserve">Black-crowned Night Heron</t>
  </si>
  <si>
    <t xml:space="preserve">Nycticorax nycticorax</t>
  </si>
  <si>
    <t xml:space="preserve">1,2,3,6,7,8,9,10,11</t>
  </si>
  <si>
    <t xml:space="preserve">Western Woodhaunter</t>
  </si>
  <si>
    <t xml:space="preserve">Automolus virgatus</t>
  </si>
  <si>
    <t xml:space="preserve">Yellow-rumped Warbler</t>
  </si>
  <si>
    <t xml:space="preserve">Setophaga coronata</t>
  </si>
  <si>
    <t xml:space="preserve">2,3,10,11,12</t>
  </si>
  <si>
    <t xml:space="preserve">Striped Owl</t>
  </si>
  <si>
    <t xml:space="preserve">Asio clamator</t>
  </si>
  <si>
    <t xml:space="preserve">1,2,3,5,8,10,11</t>
  </si>
  <si>
    <t xml:space="preserve">Cedar Waxwing</t>
  </si>
  <si>
    <t xml:space="preserve">Bombycilla cedrorum</t>
  </si>
  <si>
    <t xml:space="preserve">2,3,12</t>
  </si>
  <si>
    <t xml:space="preserve">Painted Bunting</t>
  </si>
  <si>
    <t xml:space="preserve">Passerina ciris</t>
  </si>
  <si>
    <t xml:space="preserve">Snail Kite</t>
  </si>
  <si>
    <t xml:space="preserve">Rostrhamus sociabilis</t>
  </si>
  <si>
    <t xml:space="preserve">1,2,3,5,7,10,12</t>
  </si>
  <si>
    <t xml:space="preserve">Least Grebe</t>
  </si>
  <si>
    <t xml:space="preserve">Tachybaptus dominicus</t>
  </si>
  <si>
    <t xml:space="preserve">1,3,7,8,12</t>
  </si>
  <si>
    <t xml:space="preserve">Cinnamon Hummingbird</t>
  </si>
  <si>
    <t xml:space="preserve">Amazilia rutila</t>
  </si>
  <si>
    <t xml:space="preserve">Tropical Screech-Owl</t>
  </si>
  <si>
    <t xml:space="preserve">Megascops choliba</t>
  </si>
  <si>
    <t xml:space="preserve">1,2,3,7</t>
  </si>
  <si>
    <t xml:space="preserve">White-throated Flycatcher</t>
  </si>
  <si>
    <t xml:space="preserve">Empidonax albigularis</t>
  </si>
  <si>
    <t xml:space="preserve">2,4,5,8,11</t>
  </si>
  <si>
    <t xml:space="preserve">Pied-billed Grebe</t>
  </si>
  <si>
    <t xml:space="preserve">Podilymbus podiceps</t>
  </si>
  <si>
    <t xml:space="preserve">1,3,5,8,11</t>
  </si>
  <si>
    <t xml:space="preserve">1,3,4,7,8,10</t>
  </si>
  <si>
    <t xml:space="preserve">Mangrove Cuckoo</t>
  </si>
  <si>
    <t xml:space="preserve">Coccyzus minor</t>
  </si>
  <si>
    <t xml:space="preserve">1,4,5,9,10,12</t>
  </si>
  <si>
    <t xml:space="preserve">Harris's Hawk</t>
  </si>
  <si>
    <t xml:space="preserve">Parabuteo unicinctus</t>
  </si>
  <si>
    <t xml:space="preserve">MacGillivray's Warbler</t>
  </si>
  <si>
    <t xml:space="preserve">Geothlypis tolmiei</t>
  </si>
  <si>
    <t xml:space="preserve">1,3,4,10,11</t>
  </si>
  <si>
    <t xml:space="preserve">Violaceous Quail-Dove</t>
  </si>
  <si>
    <t xml:space="preserve">Geotrygon violacea</t>
  </si>
  <si>
    <t xml:space="preserve">1,3,6,8,9,12</t>
  </si>
  <si>
    <t xml:space="preserve">Ruddy-breasted Seedeater</t>
  </si>
  <si>
    <t xml:space="preserve">Sporophila minuta</t>
  </si>
  <si>
    <t xml:space="preserve">3,8</t>
  </si>
  <si>
    <t xml:space="preserve">Northern Harrier</t>
  </si>
  <si>
    <t xml:space="preserve">Circus hudsonius</t>
  </si>
  <si>
    <t xml:space="preserve">1,11</t>
  </si>
  <si>
    <t xml:space="preserve">Green-fronted Lancebill</t>
  </si>
  <si>
    <t xml:space="preserve">Doryfera ludovicae</t>
  </si>
  <si>
    <t xml:space="preserve">4,5</t>
  </si>
  <si>
    <t xml:space="preserve">Lesser Yellowlegs</t>
  </si>
  <si>
    <t xml:space="preserve">Tringa flavipes</t>
  </si>
  <si>
    <t xml:space="preserve">1</t>
  </si>
  <si>
    <t xml:space="preserve">Green-and-rufous Kingfisher</t>
  </si>
  <si>
    <t xml:space="preserve">Chloroceryle inda</t>
  </si>
  <si>
    <t xml:space="preserve">1,2,3,4,8</t>
  </si>
  <si>
    <t xml:space="preserve">Fork-tailed Flycatcher</t>
  </si>
  <si>
    <t xml:space="preserve">Tyrannus savana</t>
  </si>
  <si>
    <t xml:space="preserve">1,2,3,4</t>
  </si>
  <si>
    <t xml:space="preserve">Lesser Yellow-headed Vulture</t>
  </si>
  <si>
    <t xml:space="preserve">Cathartes burrovianus</t>
  </si>
  <si>
    <t xml:space="preserve">2,3,7,8,11</t>
  </si>
  <si>
    <t xml:space="preserve">Northern Parula</t>
  </si>
  <si>
    <t xml:space="preserve">Setophaga americana</t>
  </si>
  <si>
    <t xml:space="preserve">1,2,11</t>
  </si>
  <si>
    <t xml:space="preserve">Greater Yellowlegs</t>
  </si>
  <si>
    <t xml:space="preserve">Tringa melanoleuca</t>
  </si>
  <si>
    <t xml:space="preserve">1,10</t>
  </si>
  <si>
    <t xml:space="preserve">Rufous-vented Ground-Cuckoo</t>
  </si>
  <si>
    <t xml:space="preserve">Neomorphus geoffroyi</t>
  </si>
  <si>
    <t xml:space="preserve">6,8,12</t>
  </si>
  <si>
    <t xml:space="preserve">Cooper's Hawk</t>
  </si>
  <si>
    <t xml:space="preserve">Astur cooperii</t>
  </si>
  <si>
    <t xml:space="preserve">Killdeer</t>
  </si>
  <si>
    <t xml:space="preserve">Charadrius vociferus</t>
  </si>
  <si>
    <t xml:space="preserve">1,2,3</t>
  </si>
  <si>
    <t xml:space="preserve">Least Bittern</t>
  </si>
  <si>
    <t xml:space="preserve">Botaurus exilis</t>
  </si>
  <si>
    <t xml:space="preserve">1,3,4,6</t>
  </si>
  <si>
    <t xml:space="preserve">Magenta-throated Woodstar</t>
  </si>
  <si>
    <t xml:space="preserve">Philodice bryantae</t>
  </si>
  <si>
    <t xml:space="preserve">10</t>
  </si>
  <si>
    <t xml:space="preserve">Slate-colored Seedeater</t>
  </si>
  <si>
    <t xml:space="preserve">Sporophila schistacea</t>
  </si>
  <si>
    <t xml:space="preserve">3,10,11,12</t>
  </si>
  <si>
    <t xml:space="preserve">Limpkin</t>
  </si>
  <si>
    <t xml:space="preserve">Aramus guarauna</t>
  </si>
  <si>
    <t xml:space="preserve">2,3,8,12</t>
  </si>
  <si>
    <t xml:space="preserve">3,4,6</t>
  </si>
  <si>
    <t xml:space="preserve">Blue-and-white Swallow</t>
  </si>
  <si>
    <t xml:space="preserve">Pygochelidon cyanoleuca</t>
  </si>
  <si>
    <t xml:space="preserve">2,3,11</t>
  </si>
  <si>
    <t xml:space="preserve">Laughing Gull</t>
  </si>
  <si>
    <t xml:space="preserve">Leucophaeus atricilla</t>
  </si>
  <si>
    <t xml:space="preserve">1,7,12</t>
  </si>
  <si>
    <t xml:space="preserve">Rufous-collared Sparrow</t>
  </si>
  <si>
    <t xml:space="preserve">Zonotrichia capensis</t>
  </si>
  <si>
    <t xml:space="preserve">2,4,12</t>
  </si>
  <si>
    <t xml:space="preserve">Blackpoll Warbler</t>
  </si>
  <si>
    <t xml:space="preserve">Setophaga striata</t>
  </si>
  <si>
    <t xml:space="preserve">3,10</t>
  </si>
  <si>
    <t xml:space="preserve">2,5</t>
  </si>
  <si>
    <t xml:space="preserve">1,3</t>
  </si>
  <si>
    <t xml:space="preserve">Gray-cowled Wood-Rail</t>
  </si>
  <si>
    <t xml:space="preserve">Aramides cajaneus</t>
  </si>
  <si>
    <t xml:space="preserve">2,10</t>
  </si>
  <si>
    <t xml:space="preserve">Blue-and-gold Tanager</t>
  </si>
  <si>
    <t xml:space="preserve">Bangsia arcaei</t>
  </si>
  <si>
    <t xml:space="preserve">2,12</t>
  </si>
  <si>
    <t xml:space="preserve">Lesser Scaup</t>
  </si>
  <si>
    <t xml:space="preserve">Aythya affinis</t>
  </si>
  <si>
    <t xml:space="preserve">3,11</t>
  </si>
  <si>
    <t xml:space="preserve">American Coot</t>
  </si>
  <si>
    <t xml:space="preserve">Fulica americana</t>
  </si>
  <si>
    <t xml:space="preserve">11,12</t>
  </si>
  <si>
    <t xml:space="preserve">Rufous-browed Tyrannulet</t>
  </si>
  <si>
    <t xml:space="preserve">Phylloscartes superciliaris</t>
  </si>
  <si>
    <t xml:space="preserve">3,4</t>
  </si>
  <si>
    <t xml:space="preserve">Green-crowned Brilliant</t>
  </si>
  <si>
    <t xml:space="preserve">Heliodoxa jacula</t>
  </si>
  <si>
    <t xml:space="preserve">1,8</t>
  </si>
  <si>
    <t xml:space="preserve">Common Gallinule</t>
  </si>
  <si>
    <t xml:space="preserve">Gallinula galeata</t>
  </si>
  <si>
    <t xml:space="preserve">Mountain Thrush</t>
  </si>
  <si>
    <t xml:space="preserve">Turdus plebejus</t>
  </si>
  <si>
    <t xml:space="preserve">Semipalmated Sandpiper</t>
  </si>
  <si>
    <t xml:space="preserve">Calidris pusilla</t>
  </si>
  <si>
    <t xml:space="preserve">1,2</t>
  </si>
  <si>
    <t xml:space="preserve">Black-eared Wood-Quail</t>
  </si>
  <si>
    <t xml:space="preserve">Odontophorus melanotis</t>
  </si>
  <si>
    <t xml:space="preserve">2,5,12</t>
  </si>
  <si>
    <t xml:space="preserve">1,4,9</t>
  </si>
  <si>
    <t xml:space="preserve">Black-headed Trogon</t>
  </si>
  <si>
    <t xml:space="preserve">Trogon melanocephalus</t>
  </si>
  <si>
    <t xml:space="preserve">Western Sandpiper</t>
  </si>
  <si>
    <t xml:space="preserve">Calidris mauri</t>
  </si>
  <si>
    <t xml:space="preserve">1,3,10</t>
  </si>
  <si>
    <t xml:space="preserve">Semipalmated Plover</t>
  </si>
  <si>
    <t xml:space="preserve">Charadrius semipalmatus</t>
  </si>
  <si>
    <t xml:space="preserve">9,10,12</t>
  </si>
  <si>
    <t xml:space="preserve">Purplish-backed Quail-Dove</t>
  </si>
  <si>
    <t xml:space="preserve">Zentrygon lawrencii</t>
  </si>
  <si>
    <t xml:space="preserve">Royal Tern</t>
  </si>
  <si>
    <t xml:space="preserve">Thalasseus maximus</t>
  </si>
  <si>
    <t xml:space="preserve">Black-and-yellow Tanager</t>
  </si>
  <si>
    <t xml:space="preserve">Chrysothlypis chrysomelas</t>
  </si>
  <si>
    <t xml:space="preserve">Red-fronted Parrotlet</t>
  </si>
  <si>
    <t xml:space="preserve">Touit costaricensis</t>
  </si>
  <si>
    <t xml:space="preserve">Ferruginous Pygmy-Owl</t>
  </si>
  <si>
    <t xml:space="preserve">Glaucidium brasilianum</t>
  </si>
  <si>
    <t xml:space="preserve">Sora</t>
  </si>
  <si>
    <t xml:space="preserve">Porzana carolina</t>
  </si>
  <si>
    <t xml:space="preserve">Pinnated Bittern</t>
  </si>
  <si>
    <t xml:space="preserve">Botaurus pinnatus</t>
  </si>
  <si>
    <t xml:space="preserve">2,4</t>
  </si>
  <si>
    <t xml:space="preserve">Hudsonian Whimbrel</t>
  </si>
  <si>
    <t xml:space="preserve">Numenius hudsonicus</t>
  </si>
  <si>
    <t xml:space="preserve">8</t>
  </si>
  <si>
    <t xml:space="preserve">Black-collared Hawk</t>
  </si>
  <si>
    <t xml:space="preserve">Busarellus nigricollis</t>
  </si>
  <si>
    <t xml:space="preserve">Middle American Leaftosser</t>
  </si>
  <si>
    <t xml:space="preserve">Sclerurus mexicanus</t>
  </si>
  <si>
    <t xml:space="preserve">11</t>
  </si>
  <si>
    <t xml:space="preserve">Black-necked Stilt</t>
  </si>
  <si>
    <t xml:space="preserve">Himantopus mexicanus</t>
  </si>
  <si>
    <t xml:space="preserve">2,3</t>
  </si>
  <si>
    <t xml:space="preserve">Brown Pelican</t>
  </si>
  <si>
    <t xml:space="preserve">Pelecanus occidentalis</t>
  </si>
  <si>
    <t xml:space="preserve">Paint-billed Crake</t>
  </si>
  <si>
    <t xml:space="preserve">Mustelirallus erythrops</t>
  </si>
  <si>
    <t xml:space="preserve">7</t>
  </si>
  <si>
    <t xml:space="preserve">Jabiru</t>
  </si>
  <si>
    <t xml:space="preserve">Jabiru mycteria</t>
  </si>
  <si>
    <t xml:space="preserve">2</t>
  </si>
  <si>
    <t xml:space="preserve">Yellow-throated Warbler</t>
  </si>
  <si>
    <t xml:space="preserve">Setophaga dominica</t>
  </si>
  <si>
    <t xml:space="preserve">3</t>
  </si>
  <si>
    <t xml:space="preserve">Olivaceous Piculet</t>
  </si>
  <si>
    <t xml:space="preserve">Picumnus olivaceus</t>
  </si>
  <si>
    <t xml:space="preserve">Crested Eagle</t>
  </si>
  <si>
    <t xml:space="preserve">Morphnus guianensis</t>
  </si>
  <si>
    <t xml:space="preserve">Upland Sandpiper</t>
  </si>
  <si>
    <t xml:space="preserve">Bartramia longicauda</t>
  </si>
  <si>
    <t xml:space="preserve">Gray-bellied Hawk</t>
  </si>
  <si>
    <t xml:space="preserve">Accipiter poliogaster</t>
  </si>
  <si>
    <t xml:space="preserve">Collared Plover</t>
  </si>
  <si>
    <t xml:space="preserve">Anarhynchus collaris</t>
  </si>
  <si>
    <t xml:space="preserve">Northern Emerald-Toucanet</t>
  </si>
  <si>
    <t xml:space="preserve">Aulacorhynchus prasinus</t>
  </si>
  <si>
    <t xml:space="preserve">Black-bellied Hummingbird</t>
  </si>
  <si>
    <t xml:space="preserve">Eupherusa nigriventris</t>
  </si>
  <si>
    <t xml:space="preserve">Cape May Warbler</t>
  </si>
  <si>
    <t xml:space="preserve">Setophaga tigrina</t>
  </si>
  <si>
    <t xml:space="preserve">Mourning Dove</t>
  </si>
  <si>
    <t xml:space="preserve">Zenaida macroura</t>
  </si>
  <si>
    <t xml:space="preserve">Brown-billed Scythebill</t>
  </si>
  <si>
    <t xml:space="preserve">Campylorhamphus pusillus</t>
  </si>
  <si>
    <t xml:space="preserve">Group</t>
  </si>
  <si>
    <t xml:space="preserve">Item</t>
  </si>
  <si>
    <t xml:space="preserve">Files</t>
  </si>
  <si>
    <t xml:space="preserve">UTC start or window</t>
  </si>
  <si>
    <t xml:space="preserve">Local time (UTC-6)</t>
  </si>
  <si>
    <t xml:space="preserve">Format</t>
  </si>
  <si>
    <t xml:space="preserve">Size shown in Drive</t>
  </si>
  <si>
    <t xml:space="preserve">Size (GiB)</t>
  </si>
  <si>
    <t xml:space="preserve">Bytes per second</t>
  </si>
  <si>
    <t xml:space="preserve">Est. hours</t>
  </si>
  <si>
    <t xml:space="preserve">Labels</t>
  </si>
  <si>
    <t xml:space="preserve">Link</t>
  </si>
  <si>
    <t xml:space="preserve">Raw recording</t>
  </si>
  <si>
    <t xml:space="preserve">20220611_211116.WAV</t>
  </si>
  <si>
    <t xml:space="preserve">2022-06-11 21:11:16</t>
  </si>
  <si>
    <t xml:space="preserve">2022-06-11 15:11:16</t>
  </si>
  <si>
    <t xml:space="preserve">WAV, 48 kHz, 16-bit, mono (AudioMoth)</t>
  </si>
  <si>
    <t xml:space="preserve">224 KB</t>
  </si>
  <si>
    <t xml:space="preserve">None</t>
  </si>
  <si>
    <t xml:space="preserve">A few seconds only. Recorder start</t>
  </si>
  <si>
    <t xml:space="preserve">20220612_000000.WAV</t>
  </si>
  <si>
    <t xml:space="preserve">2022-06-12 00:00:00</t>
  </si>
  <si>
    <t xml:space="preserve">2022-06-11 18:00:00</t>
  </si>
  <si>
    <t xml:space="preserve">4 GB</t>
  </si>
  <si>
    <t xml:space="preserve">20220612_122541.WAV</t>
  </si>
  <si>
    <t xml:space="preserve">2022-06-12 12:25:41</t>
  </si>
  <si>
    <t xml:space="preserve">2022-06-12 06:25:41</t>
  </si>
  <si>
    <t xml:space="preserve">602.1 MB</t>
  </si>
  <si>
    <t xml:space="preserve">Gap on June 12. Recorder restarted 14:15 UTC</t>
  </si>
  <si>
    <t xml:space="preserve">20220612_141537.WAV</t>
  </si>
  <si>
    <t xml:space="preserve">2022-06-12 14:15:37</t>
  </si>
  <si>
    <t xml:space="preserve">2022-06-12 08:15:37</t>
  </si>
  <si>
    <t xml:space="preserve">3.13 GB</t>
  </si>
  <si>
    <t xml:space="preserve">20220613_000002.WAV</t>
  </si>
  <si>
    <t xml:space="preserve">2022-06-13 00:00:02</t>
  </si>
  <si>
    <t xml:space="preserve">2022-06-12 18:00:02</t>
  </si>
  <si>
    <t xml:space="preserve">20220613_122543.WAV</t>
  </si>
  <si>
    <t xml:space="preserve">2022-06-13 12:25:43</t>
  </si>
  <si>
    <t xml:space="preserve">2022-06-13 06:25:43</t>
  </si>
  <si>
    <t xml:space="preserve">2.32 GB</t>
  </si>
  <si>
    <t xml:space="preserve">20220614_113846.WAV</t>
  </si>
  <si>
    <t xml:space="preserve">2022-06-14 11:38:46</t>
  </si>
  <si>
    <t xml:space="preserve">2022-06-14 05:38:46</t>
  </si>
  <si>
    <t xml:space="preserve">3.98 GB</t>
  </si>
  <si>
    <t xml:space="preserve">Gap on June 13-14. Recorder restarted 11:38 UTC</t>
  </si>
  <si>
    <t xml:space="preserve">20220615_000002.WAV</t>
  </si>
  <si>
    <t xml:space="preserve">2022-06-15 00:00:02</t>
  </si>
  <si>
    <t xml:space="preserve">2022-06-14 18:00:02</t>
  </si>
  <si>
    <t xml:space="preserve">20220615_122543.WAV</t>
  </si>
  <si>
    <t xml:space="preserve">2022-06-15 12:25:43</t>
  </si>
  <si>
    <t xml:space="preserve">2022-06-15 06:25:43</t>
  </si>
  <si>
    <t xml:space="preserve">3.72 GB</t>
  </si>
  <si>
    <t xml:space="preserve">20220616_000002.WAV</t>
  </si>
  <si>
    <t xml:space="preserve">2022-06-16 00:00:02</t>
  </si>
  <si>
    <t xml:space="preserve">2022-06-15 18:00:02</t>
  </si>
  <si>
    <t xml:space="preserve">20220616_122543.WAV</t>
  </si>
  <si>
    <t xml:space="preserve">2022-06-16 12:25:43</t>
  </si>
  <si>
    <t xml:space="preserve">2022-06-16 06:25:43</t>
  </si>
  <si>
    <t xml:space="preserve">20220617_000002.WAV</t>
  </si>
  <si>
    <t xml:space="preserve">2022-06-17 00:00:02</t>
  </si>
  <si>
    <t xml:space="preserve">2022-06-16 18:00:02</t>
  </si>
  <si>
    <t xml:space="preserve">20220617_122543.WAV</t>
  </si>
  <si>
    <t xml:space="preserve">2022-06-17 12:25:43</t>
  </si>
  <si>
    <t xml:space="preserve">2022-06-17 06:25:43</t>
  </si>
  <si>
    <t xml:space="preserve">20220618_000002.WAV</t>
  </si>
  <si>
    <t xml:space="preserve">2022-06-18 00:00:02</t>
  </si>
  <si>
    <t xml:space="preserve">2022-06-17 18:00:02</t>
  </si>
  <si>
    <t xml:space="preserve">20220618_122543.WAV</t>
  </si>
  <si>
    <t xml:space="preserve">2022-06-18 12:25:43</t>
  </si>
  <si>
    <t xml:space="preserve">2022-06-18 06:25:43</t>
  </si>
  <si>
    <t xml:space="preserve">Size not read</t>
  </si>
  <si>
    <t xml:space="preserve">Two-hour split</t>
  </si>
  <si>
    <t xml:space="preserve">06_17_22_1200_1400.wav</t>
  </si>
  <si>
    <t xml:space="preserve">2022-06-17 12:00-14:00</t>
  </si>
  <si>
    <t xml:space="preserve">06:00-08:00</t>
  </si>
  <si>
    <t xml:space="preserve">WAV, 48 kHz</t>
  </si>
  <si>
    <t xml:space="preserve">659.2 MB</t>
  </si>
  <si>
    <t xml:space="preserve">06_17_22_1400_1600.wav</t>
  </si>
  <si>
    <t xml:space="preserve">2022-06-17 14:00-16:00</t>
  </si>
  <si>
    <t xml:space="preserve">08:00-10:00</t>
  </si>
  <si>
    <t xml:space="preserve">06_17_22_1600_1800.wav</t>
  </si>
  <si>
    <t xml:space="preserve">2022-06-17 16:00-18:00</t>
  </si>
  <si>
    <t xml:space="preserve">10:00-12:00</t>
  </si>
  <si>
    <t xml:space="preserve">06_17_22_1800_2000.wav</t>
  </si>
  <si>
    <t xml:space="preserve">2022-06-17 18:00-20:00</t>
  </si>
  <si>
    <t xml:space="preserve">12:00-14:00</t>
  </si>
  <si>
    <t xml:space="preserve">06_17_22_2000_2200.wav</t>
  </si>
  <si>
    <t xml:space="preserve">2022-06-17 20:00-22:00</t>
  </si>
  <si>
    <t xml:space="preserve">14:00-16:00</t>
  </si>
  <si>
    <t xml:space="preserve">06_17_22_2200_2400.wav</t>
  </si>
  <si>
    <t xml:space="preserve">2022-06-17 22:00-24:00</t>
  </si>
  <si>
    <t xml:space="preserve">16:00-18:00</t>
  </si>
  <si>
    <t xml:space="preserve">517.9 MB</t>
  </si>
  <si>
    <t xml:space="preserve">Shorter than two hours</t>
  </si>
  <si>
    <t xml:space="preserve">06_18_22_0000-0200.wav</t>
  </si>
  <si>
    <t xml:space="preserve">2022-06-18 00:00-02:00</t>
  </si>
  <si>
    <t xml:space="preserve">18:00-20:00 (June 17)</t>
  </si>
  <si>
    <t xml:space="preserve">1.29 GB</t>
  </si>
  <si>
    <t xml:space="preserve">Twice the data rate of the June 17 files (stereo or 32-bit). Check the format before use</t>
  </si>
  <si>
    <t xml:space="preserve">06_18_22_0200-0400.wav</t>
  </si>
  <si>
    <t xml:space="preserve">2022-06-18 02:00-04:00</t>
  </si>
  <si>
    <t xml:space="preserve">20:00-22:00 (June 17)</t>
  </si>
  <si>
    <t xml:space="preserve">06_18_22_0400_0600.wav</t>
  </si>
  <si>
    <t xml:space="preserve">2022-06-18 04:00-06:00</t>
  </si>
  <si>
    <t xml:space="preserve">22:00-00:00 (June 17)</t>
  </si>
  <si>
    <t xml:space="preserve">06_18_22_0600_0800.wav</t>
  </si>
  <si>
    <t xml:space="preserve">2022-06-18 06:00-08:00</t>
  </si>
  <si>
    <t xml:space="preserve">00:00-02:00</t>
  </si>
  <si>
    <t xml:space="preserve">06_18_22_0800_1000.wav</t>
  </si>
  <si>
    <t xml:space="preserve">2022-06-18 08:00-10:00</t>
  </si>
  <si>
    <t xml:space="preserve">02:00-04:00</t>
  </si>
  <si>
    <t xml:space="preserve">06_18_22_1000_1200.wav</t>
  </si>
  <si>
    <t xml:space="preserve">2022-06-18 10:00-12:00</t>
  </si>
  <si>
    <t xml:space="preserve">04:00-06:00</t>
  </si>
  <si>
    <t xml:space="preserve">One-minute clips</t>
  </si>
  <si>
    <t xml:space="preserve">One Minute/June 15</t>
  </si>
  <si>
    <t xml:space="preserve">2022-06-15 00:00-00:50</t>
  </si>
  <si>
    <t xml:space="preserve">June 14, 18:00-18:50</t>
  </si>
  <si>
    <t xml:space="preserve">FLAC, one minute each</t>
  </si>
  <si>
    <t xml:space="preserve">Dusk only: the first 50 minutes after 00:00 UTC</t>
  </si>
  <si>
    <t xml:space="preserve">One Minute/June 16</t>
  </si>
  <si>
    <t xml:space="preserve">2022-06-16 00:00-00:50</t>
  </si>
  <si>
    <t xml:space="preserve">June 15, 18:00-18:50</t>
  </si>
  <si>
    <t xml:space="preserve">One Minute/June 17</t>
  </si>
  <si>
    <t xml:space="preserve">2022-06-17 00:00-00:50</t>
  </si>
  <si>
    <t xml:space="preserve">June 16, 18:00-18:50</t>
  </si>
  <si>
    <t xml:space="preserve">One Minute/June 18</t>
  </si>
  <si>
    <t xml:space="preserve">2022-06-18 00:00-00:50</t>
  </si>
  <si>
    <t xml:space="preserve">June 17, 18:00-18:50</t>
  </si>
  <si>
    <t xml:space="preserve">Extracts</t>
  </si>
  <si>
    <t xml:space="preserve">Species Song Extracts/June 18</t>
  </si>
  <si>
    <t xml:space="preserve">2022-06-18 00:01-11:58</t>
  </si>
  <si>
    <t xml:space="preserve">June 17 18:01 to June 18 05:58</t>
  </si>
  <si>
    <t xml:space="preserve">WAV</t>
  </si>
  <si>
    <t xml:space="preserve">Clip-level, from the log</t>
  </si>
  <si>
    <t xml:space="preserve">Listed one by one on the Clips tab (source = site). Folder also holds the source snippet 20220601_000000.wav and 39 .pkf peak files</t>
  </si>
  <si>
    <t xml:space="preserve">Species Song Extracts/June 17</t>
  </si>
  <si>
    <t xml:space="preserve">2022-06-17 22:05-23:25</t>
  </si>
  <si>
    <t xml:space="preserve">June 17 16:05-17:25</t>
  </si>
  <si>
    <t xml:space="preserve">Listed one by one on the Clips tab. File names reuse Bird 1-11. Folder also holds 6 .pkf peak files</t>
  </si>
  <si>
    <t xml:space="preserve">Annotation log</t>
  </si>
  <si>
    <t xml:space="preserve">Bird Extracts_M4.xlsx</t>
  </si>
  <si>
    <t xml:space="preserve">XLSX</t>
  </si>
  <si>
    <t xml:space="preserve">One sheet named June 18: the June 18 events, then a June 17 evening block</t>
  </si>
  <si>
    <t xml:space="preserve">Recorder config</t>
  </si>
  <si>
    <t xml:space="preserve">CONFIG.TXT</t>
  </si>
  <si>
    <t xml:space="preserve">Text</t>
  </si>
  <si>
    <t xml:space="preserve">48 kHz, continuous recording, clock in UTC</t>
  </si>
  <si>
    <t xml:space="preserve">#</t>
  </si>
  <si>
    <t xml:space="preserve">Area</t>
  </si>
  <si>
    <t xml:space="preserve">Issue</t>
  </si>
  <si>
    <t xml:space="preserve">Effect on training</t>
  </si>
  <si>
    <t xml:space="preserve">Suggested action</t>
  </si>
  <si>
    <t xml:space="preserve">Status</t>
  </si>
  <si>
    <t xml:space="preserve">Scope</t>
  </si>
  <si>
    <t xml:space="preserve">The class set is not decided. The site extracts hold far fewer bird species than the package has classes.</t>
  </si>
  <si>
    <t xml:space="preserve">A class for every species adds rare, noisy classes. Targets only forces every other bird into a target class.</t>
  </si>
  <si>
    <t xml:space="preserve">Pick one of the three setups on the Overview tab. Train all three heads and compare them on the target species test clips.</t>
  </si>
  <si>
    <t xml:space="preserve">open</t>
  </si>
  <si>
    <t xml:space="preserve">Site data</t>
  </si>
  <si>
    <t xml:space="preserve">No labeled test set from the AudioMoth recordings. The 64 extracts carry clip-level labels only, 44 bird and 20 non-bird.</t>
  </si>
  <si>
    <t xml:space="preserve">Test numbers come from Macaulay clips, which are focal recordings. They do not show accuracy on the real soundscapes.</t>
  </si>
  <si>
    <t xml:space="preserve">Label site minutes with docs/label_schema.md (time and frequency bounds, two annotators). Keep that set out of training.</t>
  </si>
  <si>
    <t xml:space="preserve">The site extracts are not in the package. They are 48 kHz WAV on Drive with no measured duration and no QC.</t>
  </si>
  <si>
    <t xml:space="preserve">They cannot be loaded with the same code as the rest. Hours for site_sanity show as 0.</t>
  </si>
  <si>
    <t xml:space="preserve">Convert with scripts/convert_to_flac.py, run scripts/qc_audio.py, then fill duration_s on the Clips tab.</t>
  </si>
  <si>
    <t xml:space="preserve">Great Green Macaw has no training audio. The only clip is one site extract that overlaps a wood-wren (June 18, Bird 15). eBird hides it as a sensitive species.</t>
  </si>
  <si>
    <t xml:space="preserve">The model cannot learn it, and an eBird allow-list would block it.</t>
  </si>
  <si>
    <t xml:space="preserve">Ask the Macaulay Library or a recordist for clips. Add it to the allow-list by hand.</t>
  </si>
  <si>
    <t xml:space="preserve">The seed list has 14 species, all from the June 18 log. The June 17 extracts add Black-striped Woodcreeper and Chestnut-headed Oropendola (uncertain).</t>
  </si>
  <si>
    <t xml:space="preserve">Two species heard at the site are not flagged as seed.</t>
  </si>
  <si>
    <t xml:space="preserve">Decide whether to add them to species/seed_species.csv.</t>
  </si>
  <si>
    <t xml:space="preserve">June 18 two-hour splits are 1.29 GB each. June 17 ones are 659 MB. The June 18 files have twice the data rate.</t>
  </si>
  <si>
    <t xml:space="preserve">A loader that assumes mono 16-bit will read them wrong.</t>
  </si>
  <si>
    <t xml:space="preserve">Check channels and bit depth. Convert to 32 kHz mono FLAC before use.</t>
  </si>
  <si>
    <t xml:space="preserve">The one-minute clips cover 18:00-18:50 local on four days. Most bird extracts were cut from 04:55-05:58 local.</t>
  </si>
  <si>
    <t xml:space="preserve">The ready-made clips miss the dawn chorus.</t>
  </si>
  <si>
    <t xml:space="preserve">Cut one-minute clips from the dawn hours with scripts/split_audio.py.</t>
  </si>
  <si>
    <t xml:space="preserve">Most eBird La Selva species have no recording. See the Coverage column on the eBird List tab.</t>
  </si>
  <si>
    <t xml:space="preserve">Common species with no audio will be missed or confused with others.</t>
  </si>
  <si>
    <t xml:space="preserve">Pull the priority gaps from Xeno-canto with scripts/xc_download.py.</t>
  </si>
  <si>
    <t xml:space="preserve">Ruddy-tailed Flycatcher has one clip and it is silent, so it has no class.</t>
  </si>
  <si>
    <t xml:space="preserve">Same as a coverage gap.</t>
  </si>
  <si>
    <t xml:space="preserve">Add it to the Xeno-canto pull.</t>
  </si>
  <si>
    <t xml:space="preserve">Five test-only classes are not on the eBird La Selva list: Black-banded Woodcreeper, Common Ground Dove, Gray-fronted Dove, Red-crowned Ant-Tanager, Velvety Manakin. Each has one Macaulay clip from 1986-1993.</t>
  </si>
  <si>
    <t xml:space="preserve">An eBird allow-list at inference would block them. Some may be old names or wrong labels.</t>
  </si>
  <si>
    <t xml:space="preserve">Check each clip. Fix the name or drop the class.</t>
  </si>
  <si>
    <t xml:space="preserve">nonbird:other holds three Harlequin Treefrog clips and one unidentified clip.</t>
  </si>
  <si>
    <t xml:space="preserve">Frog audio is split across two negative classes.</t>
  </si>
  <si>
    <t xml:space="preserve">Move the treefrog clips to nonbird:frog in the next build.</t>
  </si>
  <si>
    <t xml:space="preserve">Macaulay and Xeno-canto labels are per clip, not per window. Some clips list other species (other_species column).</t>
  </si>
  <si>
    <t xml:space="preserve">A window may not contain the labeled bird. Background species look like false positives.</t>
  </si>
  <si>
    <t xml:space="preserve">Treat those clips as multi-label, or at least do not penalize the listed species.</t>
  </si>
  <si>
    <t xml:space="preserve">Four singleton-tier species also have Xeno-canto clips in train: Brown Jay, Melodious Blackbird, Scaly-breasted Hummingbird, Yellow-throated Euphonia.</t>
  </si>
  <si>
    <t xml:space="preserve">They are known classes at test time, not open-set unknowns.</t>
  </si>
  <si>
    <t xml:space="preserve">Use the Role in splits column, not the tier, to pick the unknown classes.</t>
  </si>
  <si>
    <t xml:space="preserve">Tier is set by La Selva clips only. Bananaquit and Orange-chinned Parakeet are few_shot but have 10 or more clips once Xeno-canto is added.</t>
  </si>
  <si>
    <t xml:space="preserve">They have no val clips.</t>
  </si>
  <si>
    <t xml:space="preserve">None needed. Keep in mind when reading per-tier results.</t>
  </si>
  <si>
    <t xml:space="preserve">Class balance</t>
  </si>
  <si>
    <t xml:space="preserve">Class sizes are very uneven. See the Train windows and Class weight columns on the Species tab.</t>
  </si>
  <si>
    <t xml:space="preserve">Plain accuracy is driven by a few large classes.</t>
  </si>
  <si>
    <t xml:space="preserve">Use the class weights or balanced sampling. Report macro metrics.</t>
  </si>
  <si>
    <t xml:space="preserve">Domain</t>
  </si>
  <si>
    <t xml:space="preserve">Training audio is focal recordings. The target is a fixed AudioMoth in the forest. Xeno-canto clips are from other sites and elevations.</t>
  </si>
  <si>
    <t xml:space="preserve">Scores on the test split may not carry over to the site.</t>
  </si>
  <si>
    <t xml:space="preserve">Listen to top detections on the site clips and the Macaulay soundscapes.</t>
  </si>
  <si>
    <t xml:space="preserve">Docs</t>
  </si>
  <si>
    <t xml:space="preserve">classes.csv counts QC-excluded clips in n_total for 18 classes. class_report.csv and HANDOVER.md count usable clips only (Great Tinamou 63 against 62).</t>
  </si>
  <si>
    <t xml:space="preserve">Two different class sizes are in circulation.</t>
  </si>
  <si>
    <t xml:space="preserve">Use this sheet: Macaulay and Xeno-canto clips are all held, Train, Val and Test are usable.</t>
  </si>
  <si>
    <t xml:space="preserve">HANDOVER.md says about 50 extracts and that June 17 has no label sheet. The site summary lists 64 extracts and reads the June 17 labels from the same log.</t>
  </si>
  <si>
    <t xml:space="preserve">Readers may think the June 17 extracts are unlabeled.</t>
  </si>
  <si>
    <t xml:space="preserve">Update HANDOVER.md sections 7 and 10.</t>
  </si>
  <si>
    <t xml:space="preserve">The copy of open_source_species_summary.xlsx in the Drive Data folder is the Xeno-canto-only version from Sept 17. The repo copy from Oct 1 covers Macaulay too.</t>
  </si>
  <si>
    <t xml:space="preserve">Teammates may read the old one.</t>
  </si>
  <si>
    <t xml:space="preserve">Replace the Drive copy with docs/open_source_species_summary.xlsx.</t>
  </si>
  <si>
    <t xml:space="preserve">Access</t>
  </si>
  <si>
    <t xml:space="preserve">The data-prep repo is private under kaanturan3.</t>
  </si>
  <si>
    <t xml:space="preserve">The modeling team cannot load manifest.csv or run the examples.</t>
  </si>
  <si>
    <t xml:space="preserve">Add teammates as collaborators or mirror into the org data repo.</t>
  </si>
  <si>
    <t xml:space="preserve">Tab</t>
  </si>
  <si>
    <t xml:space="preserve">Column</t>
  </si>
  <si>
    <t xml:space="preserve">Meaning</t>
  </si>
  <si>
    <t xml:space="preserve">Where it comes from</t>
  </si>
  <si>
    <t xml:space="preserve">Unique id. ML + catalog number, XC + catalog number, or site_MMDD_file for site extracts.</t>
  </si>
  <si>
    <t xml:space="preserve">manifest.csv; built for site rows</t>
  </si>
  <si>
    <t xml:space="preserve">macaulay, xeno-canto or site.</t>
  </si>
  <si>
    <t xml:space="preserve">manifest.csv</t>
  </si>
  <si>
    <t xml:space="preserve">train, val, test, soundscape_eval, excluded or site_sanity. One session-and-species group never spans two splits.</t>
  </si>
  <si>
    <t xml:space="preserve">manifest.csv; site_sanity set here</t>
  </si>
  <si>
    <t xml:space="preserve">Tier of the clip. Xeno-canto clips are always offsite. Site extracts are site_extract.</t>
  </si>
  <si>
    <t xml:space="preserve">bird, nonbird, soundscape or unidentified.</t>
  </si>
  <si>
    <t xml:space="preserve">Class label. eBird/Clements common name for birds, nonbird:group for negatives. Site labels were mapped to the same names (Mealy parrot to Mealy Amazon, frogs to nonbird:frog).</t>
  </si>
  <si>
    <t xml:space="preserve">manifest.csv; mapped for site rows</t>
  </si>
  <si>
    <t xml:space="preserve">Integer class index, 0-252, alphabetical. Blank when there is no class.</t>
  </si>
  <si>
    <t xml:space="preserve">classes.csv</t>
  </si>
  <si>
    <t xml:space="preserve">Clip length in seconds. Blank for site extracts (not measured).</t>
  </si>
  <si>
    <t xml:space="preserve">Number of Perch windows the clip yields with no overlap, capped per clip.</t>
  </si>
  <si>
    <t xml:space="preserve">Formula: duration, window length and cap from the Overview parameters</t>
  </si>
  <si>
    <t xml:space="preserve">1 if the file passed QC. 0 for silent clips, exact duplicates and clips under 0.5 s.</t>
  </si>
  <si>
    <t xml:space="preserve">short (under 5 s, kept), silent, clipping, duplicate_of:id. For site rows: overlap, uncertain_label, duplicate_pair, partial, no_log_row.</t>
  </si>
  <si>
    <t xml:space="preserve">qc_audio.py; site notes</t>
  </si>
  <si>
    <t xml:space="preserve">Macaulay community rating, 1-5. Blank if unrated.</t>
  </si>
  <si>
    <t xml:space="preserve">Xeno-canto quality, A (best) to D.</t>
  </si>
  <si>
    <t xml:space="preserve">Other species in the clip: second labels and background species the uploader listed.</t>
  </si>
  <si>
    <t xml:space="preserve">manifest.csv other_labels and background_species</t>
  </si>
  <si>
    <t xml:space="preserve">eBird checklist id, or recordist and date. Used to keep sessions together when splitting.</t>
  </si>
  <si>
    <t xml:space="preserve">date, time</t>
  </si>
  <si>
    <t xml:space="preserve">Recording date and start time. Local time for Macaulay and Xeno-canto. UTC for site extracts (local is UTC-6).</t>
  </si>
  <si>
    <t xml:space="preserve">manifest.csv; annotation log</t>
  </si>
  <si>
    <t xml:space="preserve">File path relative to the audio root (unzipped laselva_v1_audio.zip). Site paths are relative to the Drive folder 2022-Jume-18_RegularMoth4_forest.</t>
  </si>
  <si>
    <t xml:space="preserve">Original label when it was changed, sound type and place for Xeno-canto, log label and file size for site extracts.</t>
  </si>
  <si>
    <t xml:space="preserve">manifest.csv, xc_set_2146.csv, site summary</t>
  </si>
  <si>
    <t xml:space="preserve">core, few_shot, few_shot_single_session, singleton or offsite. Rules are on the Splits tab.</t>
  </si>
  <si>
    <t xml:space="preserve">yes if the bird is in the site extracts from the professor. These are the species the project must get right at the site.</t>
  </si>
  <si>
    <t xml:space="preserve">Formula: Kind is bird and Site extracts is above 0</t>
  </si>
  <si>
    <t xml:space="preserve">yes if the species is in species/seed_species.csv. That list covers the June 18 2022 log only, so it is shorter than the target list.</t>
  </si>
  <si>
    <t xml:space="preserve">seed_species.csv</t>
  </si>
  <si>
    <t xml:space="preserve">yes if the name is on the eBird List tab.</t>
  </si>
  <si>
    <t xml:space="preserve">Formula</t>
  </si>
  <si>
    <t xml:space="preserve">Share of eBird checklists at La Selva that report the species. A prior for how often to expect it.</t>
  </si>
  <si>
    <t xml:space="preserve">Formula: lookup on the eBird List tab</t>
  </si>
  <si>
    <t xml:space="preserve">Site extracts with this species as the label or as a second species.</t>
  </si>
  <si>
    <t xml:space="preserve">Formula over Clips</t>
  </si>
  <si>
    <t xml:space="preserve">Macaulay clips, Xeno-canto clips</t>
  </si>
  <si>
    <t xml:space="preserve">All clips held with this label, including ones excluded by QC.</t>
  </si>
  <si>
    <t xml:space="preserve">Clips with this label in split excluded.</t>
  </si>
  <si>
    <t xml:space="preserve">Train, Val, Test clips and min</t>
  </si>
  <si>
    <t xml:space="preserve">Clips and minutes in each split.</t>
  </si>
  <si>
    <t xml:space="preserve">Sum of windows_5s over the train clips.</t>
  </si>
  <si>
    <t xml:space="preserve">Total train windows / (classes with train windows x windows in the class). Above 1 for rare classes. Valid for setup 3 only. For setups 1 and 2, recompute over the classes you train.</t>
  </si>
  <si>
    <t xml:space="preserve">Formula: Splits tab</t>
  </si>
  <si>
    <t xml:space="preserve">Class the species maps to when each target is a class and all other birds are one class, other bird. Blank if the species has no train clips.</t>
  </si>
  <si>
    <t xml:space="preserve">Class the species maps to when only core-tier classes are trained. Blank if the species is left out.</t>
  </si>
  <si>
    <t xml:space="preserve">Class the species maps to when every species with a train clip is a class. Blank if it has no train clips.</t>
  </si>
  <si>
    <t xml:space="preserve">Where the class has clips: train + val + test, train + test, train only, test only (unknown class), site extract only, or no usable audio.</t>
  </si>
  <si>
    <t xml:space="preserve">Sessions, Recordists</t>
  </si>
  <si>
    <t xml:space="preserve">Distinct sessions and recordists among usable clips. Static: they do not update with the Clips tab.</t>
  </si>
  <si>
    <t xml:space="preserve">class_report.csv</t>
  </si>
  <si>
    <t xml:space="preserve">Mean rating of rated Macaulay clips that are not excluded.</t>
  </si>
  <si>
    <t xml:space="preserve">Macaulay or Xeno-canto clips, not excluded, that list another species.</t>
  </si>
  <si>
    <t xml:space="preserve">Clips under 5 s that are not excluded. Pad them to one window.</t>
  </si>
  <si>
    <t xml:space="preserve">Checklists reporting the species / all La Selva checklists.</t>
  </si>
  <si>
    <t xml:space="preserve">Formula: Checklists / Overview parameter</t>
  </si>
  <si>
    <t xml:space="preserve">in train; audio, none in train; priority gap (no audio and at or above the threshold on Overview); no audio.</t>
  </si>
  <si>
    <t xml:space="preserve">Raw files and two-hour splits: size / bytes per second. One-minute folders: files / 60.</t>
  </si>
  <si>
    <t xml:space="preserve">Written to</t>
  </si>
  <si>
    <t xml:space="preserve">Object</t>
  </si>
  <si>
    <t xml:space="preserve">Obtained via</t>
  </si>
  <si>
    <t xml:space="preserve">Query or request</t>
  </si>
  <si>
    <t xml:space="preserve">Run at</t>
  </si>
  <si>
    <t xml:space="preserve">Requested by</t>
  </si>
  <si>
    <t xml:space="preserve">Row count</t>
  </si>
  <si>
    <t xml:space="preserve">Changes after retrieval</t>
  </si>
  <si>
    <t xml:space="preserve">Clips!A1:V3257</t>
  </si>
  <si>
    <t xml:space="preserve">data-prep repo (kaanturan3/data-prep), commit 3fe8b38</t>
  </si>
  <si>
    <t xml:space="preserve">datasets/laselva_v1/manifest.csv</t>
  </si>
  <si>
    <t xml:space="preserve">data-prep_3fe8b38.zip uploaded to chat</t>
  </si>
  <si>
    <t xml:space="preserve">Combine the three data summaries into one sheet for model training</t>
  </si>
  <si>
    <t xml:space="preserve">2026-10-01</t>
  </si>
  <si>
    <t xml:space="preserve">Aksel Boz</t>
  </si>
  <si>
    <t xml:space="preserve">Dropped md5, level and coordinate columns. Merged other_labels and background_species into other_species. Times written as HH:MM. Ratings split into ml_rating and xc_quality.</t>
  </si>
  <si>
    <t xml:space="preserve">Matches the All Recordings sheet of open_source_species_summary.xlsx (Oct 1 copy) clip for clip.</t>
  </si>
  <si>
    <t xml:space="preserve">Clips!A3258:V3321</t>
  </si>
  <si>
    <t xml:space="preserve">Team Drive, Data folder</t>
  </si>
  <si>
    <t xml:space="preserve">species_data_summary.xlsx (All Recordings sheet)</t>
  </si>
  <si>
    <t xml:space="preserve">Google Drive connector, read as text</t>
  </si>
  <si>
    <t xml:space="preserve">Labels mapped to package class names. Two-species extracts: first species as label, the rest in other_species.</t>
  </si>
  <si>
    <t xml:space="preserve">Drive ids and file sizes read from the Species Song Extracts folders.</t>
  </si>
  <si>
    <t xml:space="preserve">Clips!V2:V3257 (Xeno-canto rows)</t>
  </si>
  <si>
    <t xml:space="preserve">data-prep repo, commit 3fe8b38</t>
  </si>
  <si>
    <t xml:space="preserve">manifests/xc_set_2146.csv</t>
  </si>
  <si>
    <t xml:space="preserve">Sound type, place and elevation joined into source_note.</t>
  </si>
  <si>
    <t xml:space="preserve">Species!A1:F256, H1:H256, AB1:AC256, AG1:AG256</t>
  </si>
  <si>
    <t xml:space="preserve">datasets/laselva_v1/classes.csv, class_report.csv; species/seed_species.csv</t>
  </si>
  <si>
    <t xml:space="preserve">Sorted birds first, then by usable clips. Added Great Green Macaw and Ruddy-tailed Flycatcher, which have no class.</t>
  </si>
  <si>
    <t xml:space="preserve">All other Species columns are formulas.</t>
  </si>
  <si>
    <t xml:space="preserve">'eBird List'!A1:G510</t>
  </si>
  <si>
    <t xml:space="preserve">species/la_selva_ebird.csv (eBird Basic Dataset, EBD_relJul-2026)</t>
  </si>
  <si>
    <t xml:space="preserve">'Site Audio'!A1:M36</t>
  </si>
  <si>
    <t xml:space="preserve">Team Drive, folder 2022-Jume-18_RegularMoth4_forest</t>
  </si>
  <si>
    <t xml:space="preserve">Raw WAVs, Splits, Species Song Extracts</t>
  </si>
  <si>
    <t xml:space="preserve">Drive folder listing; species_data_summary.xlsx</t>
  </si>
  <si>
    <t xml:space="preserve">One-minute clips listed per folder, not per file.</t>
  </si>
  <si>
    <t xml:space="preserve">Per-file links for the 200 one-minute clips are in species_data_summary.xlsx.</t>
  </si>
  <si>
    <t xml:space="preserve">Overview, Open Issues</t>
  </si>
  <si>
    <t xml:space="preserve">data-prep repo; chat uploads</t>
  </si>
  <si>
    <t xml:space="preserve">HANDOVER.md, README.md, README_AUDIO.txt, datasets/laselva_v1/README.md, dataset.json, stats.json</t>
  </si>
  <si>
    <t xml:space="preserve">Uploaded to chat</t>
  </si>
  <si>
    <t xml:space="preserve">Background, terms and the evaluation protocol.</t>
  </si>
  <si>
    <t xml:space="preserve">Cross-check only</t>
  </si>
  <si>
    <t xml:space="preserve">open_source_species_summary.xlsx (Sept 17, Xeno-canto only)</t>
  </si>
  <si>
    <t xml:space="preserve">Same 77 recordings as the Xeno-canto rows above.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</si>
</sst>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"/>
    <numFmt numFmtId="167" formatCode="0.0"/>
    <numFmt numFmtId="168" formatCode="0"/>
    <numFmt numFmtId="169" formatCode="0.0%"/>
    <numFmt numFmtId="170" formatCode="0.00"/>
    <numFmt numFmtId="171" formatCode="yyyy\-mm\-dd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CE4D6"/>
      </patternFill>
    </fill>
    <fill>
      <patternFill patternType="solid">
        <fgColor rgb="FF1E4D2B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E4D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D966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color rgb="FF7F7F7F"/>
        <sz val="10"/>
      </font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46"/>
    <col collapsed="false" customWidth="true" hidden="false" outlineLevel="0" max="6" min="6" style="0" width="6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2" t="s">
        <v>2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15" hidden="false" customHeight="true" outlineLevel="0" collapsed="false">
      <c r="A7" s="5" t="s">
        <v>5</v>
      </c>
      <c r="B7" s="6" t="n">
        <v>5</v>
      </c>
      <c r="C7" s="2" t="s">
        <v>6</v>
      </c>
      <c r="D7" s="2"/>
      <c r="E7" s="2"/>
      <c r="F7" s="2"/>
    </row>
    <row r="8" customFormat="false" ht="15" hidden="false" customHeight="true" outlineLevel="0" collapsed="false">
      <c r="A8" s="5" t="s">
        <v>7</v>
      </c>
      <c r="B8" s="6" t="n">
        <v>120</v>
      </c>
      <c r="C8" s="2" t="s">
        <v>8</v>
      </c>
      <c r="D8" s="2"/>
      <c r="E8" s="2"/>
      <c r="F8" s="2"/>
    </row>
    <row r="9" customFormat="false" ht="15" hidden="false" customHeight="true" outlineLevel="0" collapsed="false">
      <c r="A9" s="5" t="s">
        <v>9</v>
      </c>
      <c r="B9" s="7" t="n">
        <v>0.05</v>
      </c>
      <c r="C9" s="2" t="s">
        <v>10</v>
      </c>
      <c r="D9" s="2"/>
      <c r="E9" s="2"/>
      <c r="F9" s="2"/>
    </row>
    <row r="10" customFormat="false" ht="15" hidden="false" customHeight="true" outlineLevel="0" collapsed="false">
      <c r="A10" s="5" t="s">
        <v>11</v>
      </c>
      <c r="B10" s="8" t="n">
        <v>33576</v>
      </c>
      <c r="C10" s="2" t="s">
        <v>12</v>
      </c>
      <c r="D10" s="2"/>
      <c r="E10" s="2"/>
      <c r="F10" s="2"/>
    </row>
    <row r="12" customFormat="false" ht="15" hidden="false" customHeight="false" outlineLevel="0" collapsed="false">
      <c r="A12" s="3" t="s">
        <v>13</v>
      </c>
      <c r="B12" s="4"/>
      <c r="C12" s="4"/>
      <c r="D12" s="4"/>
      <c r="E12" s="4"/>
      <c r="F12" s="4"/>
    </row>
    <row r="13" customFormat="false" ht="27.75" hidden="false" customHeight="true" outlineLevel="0" collapsed="false">
      <c r="A13" s="2" t="s">
        <v>14</v>
      </c>
      <c r="B13" s="2"/>
      <c r="C13" s="2"/>
      <c r="D13" s="2"/>
      <c r="E13" s="2"/>
      <c r="F13" s="2"/>
    </row>
    <row r="14" customFormat="false" ht="15.75" hidden="false" customHeight="true" outlineLevel="0" collapsed="false">
      <c r="A14" s="2" t="s">
        <v>15</v>
      </c>
      <c r="B14" s="2"/>
      <c r="C14" s="2"/>
      <c r="D14" s="2"/>
      <c r="E14" s="2"/>
      <c r="F14" s="2"/>
    </row>
    <row r="16" customFormat="false" ht="15" hidden="false" customHeight="false" outlineLevel="0" collapsed="false">
      <c r="A16" s="3" t="s">
        <v>16</v>
      </c>
      <c r="B16" s="4"/>
      <c r="C16" s="4"/>
      <c r="D16" s="4"/>
      <c r="E16" s="4"/>
      <c r="F16" s="4"/>
    </row>
    <row r="17" customFormat="false" ht="15.75" hidden="false" customHeight="true" outlineLevel="0" collapsed="false">
      <c r="A17" s="9" t="s">
        <v>17</v>
      </c>
      <c r="B17" s="9"/>
      <c r="C17" s="9"/>
      <c r="D17" s="9"/>
      <c r="E17" s="9"/>
      <c r="F17" s="9"/>
    </row>
    <row r="18" customFormat="false" ht="27.75" hidden="false" customHeight="true" outlineLevel="0" collapsed="false">
      <c r="A18" s="2" t="s">
        <v>18</v>
      </c>
      <c r="B18" s="2"/>
      <c r="C18" s="2"/>
      <c r="D18" s="2"/>
      <c r="E18" s="2"/>
      <c r="F18" s="2"/>
    </row>
    <row r="19" customFormat="false" ht="27.75" hidden="false" customHeight="true" outlineLevel="0" collapsed="false">
      <c r="A19" s="2" t="s">
        <v>19</v>
      </c>
      <c r="B19" s="2"/>
      <c r="C19" s="2"/>
      <c r="D19" s="2"/>
      <c r="E19" s="2"/>
      <c r="F19" s="2"/>
    </row>
    <row r="20" customFormat="false" ht="27.75" hidden="false" customHeight="true" outlineLevel="0" collapsed="false">
      <c r="A20" s="2" t="s">
        <v>20</v>
      </c>
      <c r="B20" s="2"/>
      <c r="C20" s="2"/>
      <c r="D20" s="2"/>
      <c r="E20" s="2"/>
      <c r="F20" s="2"/>
    </row>
    <row r="21" customFormat="false" ht="15" hidden="false" customHeight="true" outlineLevel="0" collapsed="false">
      <c r="A21" s="5" t="s">
        <v>21</v>
      </c>
      <c r="B21" s="5" t="n">
        <f aca="false">COUNTIF(Species!$G:$G,"yes")</f>
        <v>16</v>
      </c>
      <c r="C21" s="2" t="s">
        <v>22</v>
      </c>
      <c r="D21" s="2"/>
      <c r="E21" s="2"/>
      <c r="F21" s="2"/>
    </row>
    <row r="22" customFormat="false" ht="15" hidden="false" customHeight="true" outlineLevel="0" collapsed="false">
      <c r="A22" s="5" t="s">
        <v>23</v>
      </c>
      <c r="B22" s="5" t="n">
        <f aca="false">COUNTIFS(Species!$G:$G,"yes",Species!$P:$P,"&gt;0")</f>
        <v>15</v>
      </c>
      <c r="C22" s="2" t="s">
        <v>24</v>
      </c>
      <c r="D22" s="2"/>
      <c r="E22" s="2"/>
      <c r="F22" s="2"/>
    </row>
    <row r="23" customFormat="false" ht="15" hidden="false" customHeight="true" outlineLevel="0" collapsed="false">
      <c r="A23" s="5" t="s">
        <v>25</v>
      </c>
      <c r="B23" s="10" t="n">
        <f aca="false">SUMIFS(Species!$R:$R,Species!$G:$G,"yes")</f>
        <v>94</v>
      </c>
      <c r="C23" s="2" t="s">
        <v>26</v>
      </c>
      <c r="D23" s="2"/>
      <c r="E23" s="2"/>
      <c r="F23" s="2"/>
    </row>
    <row r="25" customFormat="false" ht="30" hidden="false" customHeight="true" outlineLevel="0" collapsed="false">
      <c r="A25" s="11" t="s">
        <v>27</v>
      </c>
      <c r="B25" s="11" t="s">
        <v>28</v>
      </c>
      <c r="C25" s="11" t="s">
        <v>29</v>
      </c>
      <c r="D25" s="11" t="s">
        <v>30</v>
      </c>
      <c r="E25" s="11" t="s">
        <v>31</v>
      </c>
      <c r="F25" s="11" t="s">
        <v>32</v>
      </c>
    </row>
    <row r="26" customFormat="false" ht="42" hidden="false" customHeight="true" outlineLevel="0" collapsed="false">
      <c r="A26" s="5" t="s">
        <v>33</v>
      </c>
      <c r="B26" s="5" t="n">
        <f aca="false">COUNTIFS(Species!$G:$G,"yes",Species!$P:$P,"&gt;0")+COUNTIFS(Species!$E:$E,"nonbird",Species!$P:$P,"&gt;0")+IF(COUNTIF(Species!$Y:$Y,"other bird")&gt;0,1,0)</f>
        <v>21</v>
      </c>
      <c r="C26" s="5" t="n">
        <f aca="false">COUNTIFS(Species!$G:$G,"yes",Species!$P:$P,"&gt;0")</f>
        <v>15</v>
      </c>
      <c r="D26" s="5" t="n">
        <f aca="false">COUNTIF(Species!$Y:$Y,"other bird")</f>
        <v>192</v>
      </c>
      <c r="E26" s="10" t="n">
        <f aca="false">SUM(Species!$P:$P)</f>
        <v>2229</v>
      </c>
      <c r="F26" s="5" t="s">
        <v>34</v>
      </c>
    </row>
    <row r="27" customFormat="false" ht="42" hidden="false" customHeight="true" outlineLevel="0" collapsed="false">
      <c r="A27" s="5" t="s">
        <v>35</v>
      </c>
      <c r="B27" s="5" t="n">
        <f aca="false">COUNTIFS(Species!$F:$F,"core",Species!$P:$P,"&gt;0")</f>
        <v>93</v>
      </c>
      <c r="C27" s="5" t="n">
        <f aca="false">COUNTIFS(Species!$G:$G,"yes",Species!$F:$F,"core",Species!$P:$P,"&gt;0")</f>
        <v>14</v>
      </c>
      <c r="D27" s="5" t="n">
        <f aca="false">COUNTIFS(Species!$F:$F,"core",Species!$E:$E,"bird",Species!$P:$P,"&gt;0")-C27</f>
        <v>76</v>
      </c>
      <c r="E27" s="10" t="n">
        <f aca="false">SUMIFS(Species!$P:$P,Species!$F:$F,"core")</f>
        <v>1788</v>
      </c>
      <c r="F27" s="5" t="s">
        <v>36</v>
      </c>
    </row>
    <row r="28" customFormat="false" ht="42" hidden="false" customHeight="true" outlineLevel="0" collapsed="false">
      <c r="A28" s="5" t="s">
        <v>37</v>
      </c>
      <c r="B28" s="5" t="n">
        <f aca="false">COUNTIF(Species!$P:$P,"&gt;0")</f>
        <v>212</v>
      </c>
      <c r="C28" s="5" t="n">
        <f aca="false">COUNTIFS(Species!$G:$G,"yes",Species!$P:$P,"&gt;0")</f>
        <v>15</v>
      </c>
      <c r="D28" s="5" t="n">
        <f aca="false">COUNTIFS(Species!$E:$E,"bird",Species!$P:$P,"&gt;0")-C28</f>
        <v>192</v>
      </c>
      <c r="E28" s="10" t="n">
        <f aca="false">SUM(Species!$P:$P)</f>
        <v>2229</v>
      </c>
      <c r="F28" s="5" t="s">
        <v>38</v>
      </c>
    </row>
    <row r="29" customFormat="false" ht="27.75" hidden="false" customHeight="true" outlineLevel="0" collapsed="false">
      <c r="A29" s="2" t="s">
        <v>39</v>
      </c>
      <c r="B29" s="2"/>
      <c r="C29" s="2"/>
      <c r="D29" s="2"/>
      <c r="E29" s="2"/>
      <c r="F29" s="2"/>
    </row>
    <row r="30" customFormat="false" ht="27.75" hidden="false" customHeight="true" outlineLevel="0" collapsed="false">
      <c r="A30" s="2" t="s">
        <v>40</v>
      </c>
      <c r="B30" s="2"/>
      <c r="C30" s="2"/>
      <c r="D30" s="2"/>
      <c r="E30" s="2"/>
      <c r="F30" s="2"/>
    </row>
    <row r="32" customFormat="false" ht="15" hidden="false" customHeight="false" outlineLevel="0" collapsed="false">
      <c r="A32" s="3" t="s">
        <v>41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11" t="s">
        <v>42</v>
      </c>
      <c r="B33" s="2" t="s">
        <v>43</v>
      </c>
      <c r="C33" s="2"/>
      <c r="D33" s="2"/>
      <c r="E33" s="2"/>
      <c r="F33" s="2"/>
    </row>
    <row r="34" customFormat="false" ht="15" hidden="false" customHeight="true" outlineLevel="0" collapsed="false">
      <c r="A34" s="11" t="s">
        <v>44</v>
      </c>
      <c r="B34" s="2" t="s">
        <v>45</v>
      </c>
      <c r="C34" s="2"/>
      <c r="D34" s="2"/>
      <c r="E34" s="2"/>
      <c r="F34" s="2"/>
    </row>
    <row r="35" customFormat="false" ht="15" hidden="false" customHeight="true" outlineLevel="0" collapsed="false">
      <c r="A35" s="11" t="s">
        <v>46</v>
      </c>
      <c r="B35" s="2" t="s">
        <v>47</v>
      </c>
      <c r="C35" s="2"/>
      <c r="D35" s="2"/>
      <c r="E35" s="2"/>
      <c r="F35" s="2"/>
    </row>
    <row r="36" customFormat="false" ht="15" hidden="false" customHeight="true" outlineLevel="0" collapsed="false">
      <c r="A36" s="11" t="s">
        <v>48</v>
      </c>
      <c r="B36" s="2" t="s">
        <v>49</v>
      </c>
      <c r="C36" s="2"/>
      <c r="D36" s="2"/>
      <c r="E36" s="2"/>
      <c r="F36" s="2"/>
    </row>
    <row r="37" customFormat="false" ht="15" hidden="false" customHeight="true" outlineLevel="0" collapsed="false">
      <c r="A37" s="11" t="s">
        <v>50</v>
      </c>
      <c r="B37" s="2" t="s">
        <v>51</v>
      </c>
      <c r="C37" s="2"/>
      <c r="D37" s="2"/>
      <c r="E37" s="2"/>
      <c r="F37" s="2"/>
    </row>
    <row r="38" customFormat="false" ht="15" hidden="false" customHeight="true" outlineLevel="0" collapsed="false">
      <c r="A38" s="11" t="s">
        <v>52</v>
      </c>
      <c r="B38" s="2" t="s">
        <v>53</v>
      </c>
      <c r="C38" s="2"/>
      <c r="D38" s="2"/>
      <c r="E38" s="2"/>
      <c r="F38" s="2"/>
    </row>
    <row r="39" customFormat="false" ht="15" hidden="false" customHeight="true" outlineLevel="0" collapsed="false">
      <c r="A39" s="11" t="s">
        <v>54</v>
      </c>
      <c r="B39" s="2" t="s">
        <v>55</v>
      </c>
      <c r="C39" s="2"/>
      <c r="D39" s="2"/>
      <c r="E39" s="2"/>
      <c r="F39" s="2"/>
    </row>
    <row r="40" customFormat="false" ht="15" hidden="false" customHeight="true" outlineLevel="0" collapsed="false">
      <c r="A40" s="11" t="s">
        <v>56</v>
      </c>
      <c r="B40" s="2" t="s">
        <v>57</v>
      </c>
      <c r="C40" s="2"/>
      <c r="D40" s="2"/>
      <c r="E40" s="2"/>
      <c r="F40" s="2"/>
    </row>
    <row r="42" customFormat="false" ht="15" hidden="false" customHeight="false" outlineLevel="0" collapsed="false">
      <c r="A42" s="3" t="s">
        <v>58</v>
      </c>
      <c r="B42" s="4"/>
      <c r="C42" s="4"/>
      <c r="D42" s="4"/>
      <c r="E42" s="4"/>
      <c r="F42" s="4"/>
    </row>
    <row r="43" customFormat="false" ht="15" hidden="false" customHeight="true" outlineLevel="0" collapsed="false">
      <c r="A43" s="5" t="s">
        <v>59</v>
      </c>
      <c r="B43" s="10" t="n">
        <f aca="false">COUNTA(Clips!$A:$A)-1</f>
        <v>3320</v>
      </c>
      <c r="C43" s="2" t="s">
        <v>60</v>
      </c>
      <c r="D43" s="2"/>
      <c r="E43" s="2"/>
      <c r="F43" s="2"/>
    </row>
    <row r="44" customFormat="false" ht="15" hidden="false" customHeight="true" outlineLevel="0" collapsed="false">
      <c r="A44" s="5" t="s">
        <v>61</v>
      </c>
      <c r="B44" s="10" t="n">
        <f aca="false">Splits!B5+Splits!B6+Splits!B7</f>
        <v>3154</v>
      </c>
      <c r="C44" s="2" t="s">
        <v>62</v>
      </c>
      <c r="D44" s="2"/>
      <c r="E44" s="2"/>
      <c r="F44" s="2"/>
    </row>
    <row r="45" customFormat="false" ht="15" hidden="false" customHeight="false" outlineLevel="0" collapsed="false">
      <c r="A45" s="5" t="s">
        <v>31</v>
      </c>
      <c r="B45" s="10" t="n">
        <f aca="false">Splits!B5</f>
        <v>2229</v>
      </c>
      <c r="C45" s="2"/>
      <c r="D45" s="2"/>
      <c r="E45" s="2"/>
      <c r="F45" s="2"/>
    </row>
    <row r="46" customFormat="false" ht="15" hidden="false" customHeight="false" outlineLevel="0" collapsed="false">
      <c r="A46" s="5" t="s">
        <v>63</v>
      </c>
      <c r="B46" s="12" t="n">
        <f aca="false">Splits!C5</f>
        <v>50.0239538888889</v>
      </c>
      <c r="C46" s="2"/>
      <c r="D46" s="2"/>
      <c r="E46" s="2"/>
      <c r="F46" s="2"/>
    </row>
    <row r="47" customFormat="false" ht="15" hidden="false" customHeight="false" outlineLevel="0" collapsed="false">
      <c r="A47" s="5" t="s">
        <v>64</v>
      </c>
      <c r="B47" s="10" t="n">
        <f aca="false">Splits!D5</f>
        <v>33035</v>
      </c>
      <c r="C47" s="2"/>
      <c r="D47" s="2"/>
      <c r="E47" s="2"/>
      <c r="F47" s="2"/>
    </row>
    <row r="48" customFormat="false" ht="15" hidden="false" customHeight="true" outlineLevel="0" collapsed="false">
      <c r="A48" s="5" t="s">
        <v>65</v>
      </c>
      <c r="B48" s="10" t="n">
        <f aca="false">Splits!B6</f>
        <v>387</v>
      </c>
      <c r="C48" s="2" t="s">
        <v>66</v>
      </c>
      <c r="D48" s="2"/>
      <c r="E48" s="2"/>
      <c r="F48" s="2"/>
    </row>
    <row r="49" customFormat="false" ht="15" hidden="false" customHeight="false" outlineLevel="0" collapsed="false">
      <c r="A49" s="5" t="s">
        <v>67</v>
      </c>
      <c r="B49" s="12" t="n">
        <f aca="false">Splits!C6</f>
        <v>8.52981472222222</v>
      </c>
      <c r="C49" s="2"/>
      <c r="D49" s="2"/>
      <c r="E49" s="2"/>
      <c r="F49" s="2"/>
    </row>
    <row r="50" customFormat="false" ht="15" hidden="false" customHeight="false" outlineLevel="0" collapsed="false">
      <c r="A50" s="5" t="s">
        <v>68</v>
      </c>
      <c r="B50" s="10" t="n">
        <f aca="false">Splits!B7</f>
        <v>538</v>
      </c>
      <c r="C50" s="2"/>
      <c r="D50" s="2"/>
      <c r="E50" s="2"/>
      <c r="F50" s="2"/>
    </row>
    <row r="51" customFormat="false" ht="15" hidden="false" customHeight="false" outlineLevel="0" collapsed="false">
      <c r="A51" s="5" t="s">
        <v>69</v>
      </c>
      <c r="B51" s="12" t="n">
        <f aca="false">Splits!C7</f>
        <v>10.8763244444444</v>
      </c>
      <c r="C51" s="2"/>
      <c r="D51" s="2"/>
      <c r="E51" s="2"/>
      <c r="F51" s="2"/>
    </row>
    <row r="52" customFormat="false" ht="15" hidden="false" customHeight="true" outlineLevel="0" collapsed="false">
      <c r="A52" s="5" t="s">
        <v>70</v>
      </c>
      <c r="B52" s="10" t="n">
        <f aca="false">Splits!B50</f>
        <v>212</v>
      </c>
      <c r="C52" s="2" t="s">
        <v>71</v>
      </c>
      <c r="D52" s="2"/>
      <c r="E52" s="2"/>
      <c r="F52" s="2"/>
    </row>
    <row r="53" customFormat="false" ht="15" hidden="false" customHeight="false" outlineLevel="0" collapsed="false">
      <c r="A53" s="5" t="s">
        <v>72</v>
      </c>
      <c r="B53" s="10" t="n">
        <f aca="false">COUNTIFS(Species!$E:$E,"bird",Species!$P:$P,"&gt;0")</f>
        <v>207</v>
      </c>
      <c r="C53" s="2"/>
      <c r="D53" s="2"/>
      <c r="E53" s="2"/>
      <c r="F53" s="2"/>
    </row>
    <row r="54" customFormat="false" ht="15" hidden="false" customHeight="true" outlineLevel="0" collapsed="false">
      <c r="A54" s="5" t="s">
        <v>73</v>
      </c>
      <c r="B54" s="10" t="n">
        <f aca="false">Splits!B52</f>
        <v>41</v>
      </c>
      <c r="C54" s="2" t="s">
        <v>74</v>
      </c>
      <c r="D54" s="2"/>
      <c r="E54" s="2"/>
      <c r="F54" s="2"/>
    </row>
    <row r="55" customFormat="false" ht="15" hidden="false" customHeight="true" outlineLevel="0" collapsed="false">
      <c r="A55" s="5" t="s">
        <v>75</v>
      </c>
      <c r="B55" s="10" t="n">
        <f aca="false">COUNTIF(Species!$H:$H,"yes")</f>
        <v>14</v>
      </c>
      <c r="C55" s="2" t="s">
        <v>76</v>
      </c>
      <c r="D55" s="2"/>
      <c r="E55" s="2"/>
      <c r="F55" s="2"/>
    </row>
    <row r="56" customFormat="false" ht="15" hidden="false" customHeight="true" outlineLevel="0" collapsed="false">
      <c r="A56" s="5" t="s">
        <v>77</v>
      </c>
      <c r="B56" s="10" t="n">
        <f aca="false">COUNTIFS(Species!$H:$H,"yes",Species!$P:$P,"&gt;0")</f>
        <v>13</v>
      </c>
      <c r="C56" s="2" t="s">
        <v>78</v>
      </c>
      <c r="D56" s="2"/>
      <c r="E56" s="2"/>
      <c r="F56" s="2"/>
    </row>
    <row r="57" customFormat="false" ht="15" hidden="false" customHeight="true" outlineLevel="0" collapsed="false">
      <c r="A57" s="5" t="s">
        <v>79</v>
      </c>
      <c r="B57" s="10" t="n">
        <f aca="false">COUNTIF(Clips!$B:$B,"site")</f>
        <v>64</v>
      </c>
      <c r="C57" s="2" t="s">
        <v>80</v>
      </c>
      <c r="D57" s="2"/>
      <c r="E57" s="2"/>
      <c r="F57" s="2"/>
    </row>
    <row r="58" customFormat="false" ht="15" hidden="false" customHeight="true" outlineLevel="0" collapsed="false">
      <c r="A58" s="5" t="s">
        <v>81</v>
      </c>
      <c r="B58" s="13" t="n">
        <f aca="false">SUMIF('Site Audio'!$A:$A,"Raw recording",'Site Audio'!$J:$J)</f>
        <v>140.363787377778</v>
      </c>
      <c r="C58" s="2" t="s">
        <v>82</v>
      </c>
      <c r="D58" s="2"/>
      <c r="E58" s="2"/>
      <c r="F58" s="2"/>
    </row>
    <row r="59" customFormat="false" ht="15" hidden="false" customHeight="false" outlineLevel="0" collapsed="false">
      <c r="A59" s="5" t="s">
        <v>83</v>
      </c>
      <c r="B59" s="10" t="n">
        <f aca="false">COUNTA('eBird List'!$A:$A)-1</f>
        <v>509</v>
      </c>
      <c r="C59" s="2"/>
      <c r="D59" s="2"/>
      <c r="E59" s="2"/>
      <c r="F59" s="2"/>
    </row>
    <row r="60" customFormat="false" ht="15" hidden="false" customHeight="false" outlineLevel="0" collapsed="false">
      <c r="A60" s="5" t="s">
        <v>84</v>
      </c>
      <c r="B60" s="10" t="n">
        <f aca="false">COUNTIF('eBird List'!$L:$L,"in train")</f>
        <v>199</v>
      </c>
      <c r="C60" s="2"/>
      <c r="D60" s="2"/>
      <c r="E60" s="2"/>
      <c r="F60" s="2"/>
    </row>
    <row r="61" customFormat="false" ht="15" hidden="false" customHeight="false" outlineLevel="0" collapsed="false">
      <c r="A61" s="5" t="s">
        <v>85</v>
      </c>
      <c r="B61" s="10" t="n">
        <f aca="false">COUNTIF('eBird List'!$L:$L,"no audio")+COUNTIF('eBird List'!$L:$L,"priority gap")</f>
        <v>274</v>
      </c>
      <c r="C61" s="2"/>
      <c r="D61" s="2"/>
      <c r="E61" s="2"/>
      <c r="F61" s="2"/>
    </row>
    <row r="62" customFormat="false" ht="15" hidden="false" customHeight="true" outlineLevel="0" collapsed="false">
      <c r="A62" s="5" t="s">
        <v>86</v>
      </c>
      <c r="B62" s="10" t="n">
        <f aca="false">COUNTIF('eBird List'!$L:$L,"priority gap")</f>
        <v>21</v>
      </c>
      <c r="C62" s="2" t="s">
        <v>87</v>
      </c>
      <c r="D62" s="2"/>
      <c r="E62" s="2"/>
      <c r="F62" s="2"/>
    </row>
    <row r="64" customFormat="false" ht="15" hidden="false" customHeight="false" outlineLevel="0" collapsed="false">
      <c r="A64" s="3" t="s">
        <v>88</v>
      </c>
      <c r="B64" s="4"/>
      <c r="C64" s="4"/>
      <c r="D64" s="4"/>
      <c r="E64" s="4"/>
      <c r="F64" s="4"/>
    </row>
    <row r="65" customFormat="false" ht="15" hidden="false" customHeight="false" outlineLevel="0" collapsed="false">
      <c r="A65" s="11" t="s">
        <v>89</v>
      </c>
      <c r="B65" s="11" t="s">
        <v>90</v>
      </c>
      <c r="C65" s="11" t="s">
        <v>91</v>
      </c>
      <c r="D65" s="11" t="s">
        <v>92</v>
      </c>
      <c r="E65" s="11" t="s">
        <v>93</v>
      </c>
      <c r="F65" s="11" t="s">
        <v>94</v>
      </c>
    </row>
    <row r="66" customFormat="false" ht="42" hidden="false" customHeight="true" outlineLevel="0" collapsed="false">
      <c r="A66" s="5" t="s">
        <v>95</v>
      </c>
      <c r="B66" s="10" t="n">
        <f aca="false">Splits!B30</f>
        <v>64</v>
      </c>
      <c r="C66" s="5" t="s">
        <v>96</v>
      </c>
      <c r="D66" s="5" t="n">
        <f aca="false">Splits!G30</f>
        <v>16</v>
      </c>
      <c r="E66" s="5" t="s">
        <v>97</v>
      </c>
      <c r="F66" s="5" t="s">
        <v>98</v>
      </c>
    </row>
    <row r="67" customFormat="false" ht="55.5" hidden="false" customHeight="true" outlineLevel="0" collapsed="false">
      <c r="A67" s="5" t="s">
        <v>99</v>
      </c>
      <c r="B67" s="10" t="n">
        <f aca="false">Splits!B28</f>
        <v>3179</v>
      </c>
      <c r="C67" s="12" t="n">
        <f aca="false">Splits!C28</f>
        <v>73.2291272222222</v>
      </c>
      <c r="D67" s="5" t="n">
        <f aca="false">Splits!G28</f>
        <v>232</v>
      </c>
      <c r="E67" s="5" t="s">
        <v>100</v>
      </c>
      <c r="F67" s="5" t="s">
        <v>101</v>
      </c>
    </row>
    <row r="68" customFormat="false" ht="42" hidden="false" customHeight="true" outlineLevel="0" collapsed="false">
      <c r="A68" s="5" t="s">
        <v>102</v>
      </c>
      <c r="B68" s="10" t="n">
        <f aca="false">Splits!B29</f>
        <v>77</v>
      </c>
      <c r="C68" s="12" t="n">
        <f aca="false">Splits!C29</f>
        <v>0.897740277777778</v>
      </c>
      <c r="D68" s="5" t="n">
        <f aca="false">Splits!G29</f>
        <v>52</v>
      </c>
      <c r="E68" s="5" t="s">
        <v>103</v>
      </c>
      <c r="F68" s="5" t="s">
        <v>104</v>
      </c>
    </row>
    <row r="69" customFormat="false" ht="42" hidden="false" customHeight="true" outlineLevel="0" collapsed="false">
      <c r="A69" s="5" t="s">
        <v>105</v>
      </c>
      <c r="B69" s="5"/>
      <c r="C69" s="5"/>
      <c r="D69" s="5" t="n">
        <f aca="false">COUNTA('eBird List'!$A:$A)-1</f>
        <v>509</v>
      </c>
      <c r="E69" s="5" t="s">
        <v>106</v>
      </c>
      <c r="F69" s="5" t="s">
        <v>107</v>
      </c>
    </row>
    <row r="71" customFormat="false" ht="15" hidden="false" customHeight="false" outlineLevel="0" collapsed="false">
      <c r="A71" s="3" t="s">
        <v>108</v>
      </c>
      <c r="B71" s="4"/>
      <c r="C71" s="4"/>
      <c r="D71" s="4"/>
      <c r="E71" s="4"/>
      <c r="F71" s="4"/>
    </row>
    <row r="72" customFormat="false" ht="27.75" hidden="false" customHeight="true" outlineLevel="0" collapsed="false">
      <c r="A72" s="2" t="s">
        <v>109</v>
      </c>
      <c r="B72" s="2"/>
      <c r="C72" s="2"/>
      <c r="D72" s="2"/>
      <c r="E72" s="2"/>
      <c r="F72" s="2"/>
    </row>
    <row r="73" customFormat="false" ht="27.75" hidden="false" customHeight="true" outlineLevel="0" collapsed="false">
      <c r="A73" s="2" t="s">
        <v>110</v>
      </c>
      <c r="B73" s="2"/>
      <c r="C73" s="2"/>
      <c r="D73" s="2"/>
      <c r="E73" s="2"/>
      <c r="F73" s="2"/>
    </row>
    <row r="74" customFormat="false" ht="27.75" hidden="false" customHeight="true" outlineLevel="0" collapsed="false">
      <c r="A74" s="2" t="s">
        <v>111</v>
      </c>
      <c r="B74" s="2"/>
      <c r="C74" s="2"/>
      <c r="D74" s="2"/>
      <c r="E74" s="2"/>
      <c r="F74" s="2"/>
    </row>
    <row r="75" customFormat="false" ht="27.75" hidden="false" customHeight="true" outlineLevel="0" collapsed="false">
      <c r="A75" s="2" t="s">
        <v>112</v>
      </c>
      <c r="B75" s="2"/>
      <c r="C75" s="2"/>
      <c r="D75" s="2"/>
      <c r="E75" s="2"/>
      <c r="F75" s="2"/>
    </row>
    <row r="76" customFormat="false" ht="27.75" hidden="false" customHeight="true" outlineLevel="0" collapsed="false">
      <c r="A76" s="2" t="s">
        <v>113</v>
      </c>
      <c r="B76" s="2"/>
      <c r="C76" s="2"/>
      <c r="D76" s="2"/>
      <c r="E76" s="2"/>
      <c r="F76" s="2"/>
    </row>
    <row r="77" customFormat="false" ht="27.75" hidden="false" customHeight="true" outlineLevel="0" collapsed="false">
      <c r="A77" s="2" t="s">
        <v>114</v>
      </c>
      <c r="B77" s="2"/>
      <c r="C77" s="2"/>
      <c r="D77" s="2"/>
      <c r="E77" s="2"/>
      <c r="F77" s="2"/>
    </row>
    <row r="78" customFormat="false" ht="27.75" hidden="false" customHeight="true" outlineLevel="0" collapsed="false">
      <c r="A78" s="2" t="s">
        <v>115</v>
      </c>
      <c r="B78" s="2"/>
      <c r="C78" s="2"/>
      <c r="D78" s="2"/>
      <c r="E78" s="2"/>
      <c r="F78" s="2"/>
    </row>
    <row r="79" customFormat="false" ht="27.75" hidden="false" customHeight="true" outlineLevel="0" collapsed="false">
      <c r="A79" s="2" t="s">
        <v>116</v>
      </c>
      <c r="B79" s="2"/>
      <c r="C79" s="2"/>
      <c r="D79" s="2"/>
      <c r="E79" s="2"/>
      <c r="F79" s="2"/>
    </row>
    <row r="80" customFormat="false" ht="27.75" hidden="false" customHeight="true" outlineLevel="0" collapsed="false">
      <c r="A80" s="2" t="s">
        <v>117</v>
      </c>
      <c r="B80" s="2"/>
      <c r="C80" s="2"/>
      <c r="D80" s="2"/>
      <c r="E80" s="2"/>
      <c r="F80" s="2"/>
    </row>
    <row r="81" customFormat="false" ht="27.75" hidden="false" customHeight="true" outlineLevel="0" collapsed="false">
      <c r="A81" s="2" t="s">
        <v>118</v>
      </c>
      <c r="B81" s="2"/>
      <c r="C81" s="2"/>
      <c r="D81" s="2"/>
      <c r="E81" s="2"/>
      <c r="F81" s="2"/>
    </row>
  </sheetData>
  <mergeCells count="57">
    <mergeCell ref="A1:F1"/>
    <mergeCell ref="A2:F2"/>
    <mergeCell ref="A3:F3"/>
    <mergeCell ref="A6:F6"/>
    <mergeCell ref="C7:F7"/>
    <mergeCell ref="C8:F8"/>
    <mergeCell ref="C9:F9"/>
    <mergeCell ref="C10:F10"/>
    <mergeCell ref="A13:F13"/>
    <mergeCell ref="A14:F14"/>
    <mergeCell ref="A17:F17"/>
    <mergeCell ref="A18:F18"/>
    <mergeCell ref="A19:F19"/>
    <mergeCell ref="A20:F20"/>
    <mergeCell ref="C21:F21"/>
    <mergeCell ref="C22:F22"/>
    <mergeCell ref="C23:F23"/>
    <mergeCell ref="A29:F29"/>
    <mergeCell ref="A30:F30"/>
    <mergeCell ref="B33:F33"/>
    <mergeCell ref="B34:F34"/>
    <mergeCell ref="B35:F35"/>
    <mergeCell ref="B36:F36"/>
    <mergeCell ref="B37:F37"/>
    <mergeCell ref="B38:F38"/>
    <mergeCell ref="B39:F39"/>
    <mergeCell ref="B40:F40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8" min="16" style="0" width="8"/>
    <col collapsed="false" customWidth="true" hidden="false" outlineLevel="0" max="21" min="19" style="0" width="9"/>
    <col collapsed="false" customWidth="true" hidden="false" outlineLevel="0" max="23" min="22" style="0" width="11"/>
    <col collapsed="false" customWidth="true" hidden="false" outlineLevel="0" max="24" min="24" style="0" width="24"/>
    <col collapsed="false" customWidth="true" hidden="false" outlineLevel="0" max="27" min="25" style="0" width="28"/>
    <col collapsed="false" customWidth="true" hidden="false" outlineLevel="0" max="28" min="28" style="0" width="9"/>
    <col collapsed="false" customWidth="true" hidden="false" outlineLevel="0" max="32" min="29" style="0" width="10"/>
    <col collapsed="false" customWidth="true" hidden="false" outlineLevel="0" max="33" min="33" style="0" width="70"/>
  </cols>
  <sheetData>
    <row r="1" customFormat="false" ht="43.5" hidden="false" customHeight="true" outlineLevel="0" collapsed="false">
      <c r="A1" s="14" t="s">
        <v>119</v>
      </c>
      <c r="B1" s="14" t="s">
        <v>42</v>
      </c>
      <c r="C1" s="14" t="s">
        <v>120</v>
      </c>
      <c r="D1" s="14" t="s">
        <v>121</v>
      </c>
      <c r="E1" s="14" t="s">
        <v>122</v>
      </c>
      <c r="F1" s="14" t="s">
        <v>123</v>
      </c>
      <c r="G1" s="14" t="s">
        <v>21</v>
      </c>
      <c r="H1" s="14" t="s">
        <v>75</v>
      </c>
      <c r="I1" s="14" t="s">
        <v>124</v>
      </c>
      <c r="J1" s="14" t="s">
        <v>125</v>
      </c>
      <c r="K1" s="14" t="s">
        <v>79</v>
      </c>
      <c r="L1" s="14" t="s">
        <v>126</v>
      </c>
      <c r="M1" s="14" t="s">
        <v>127</v>
      </c>
      <c r="N1" s="14" t="s">
        <v>128</v>
      </c>
      <c r="O1" s="14" t="s">
        <v>129</v>
      </c>
      <c r="P1" s="14" t="s">
        <v>31</v>
      </c>
      <c r="Q1" s="14" t="s">
        <v>65</v>
      </c>
      <c r="R1" s="14" t="s">
        <v>68</v>
      </c>
      <c r="S1" s="14" t="s">
        <v>130</v>
      </c>
      <c r="T1" s="14" t="s">
        <v>131</v>
      </c>
      <c r="U1" s="14" t="s">
        <v>132</v>
      </c>
      <c r="V1" s="14" t="s">
        <v>64</v>
      </c>
      <c r="W1" s="14" t="s">
        <v>133</v>
      </c>
      <c r="X1" s="14" t="s">
        <v>134</v>
      </c>
      <c r="Y1" s="14" t="s">
        <v>135</v>
      </c>
      <c r="Z1" s="14" t="s">
        <v>136</v>
      </c>
      <c r="AA1" s="14" t="s">
        <v>137</v>
      </c>
      <c r="AB1" s="14" t="s">
        <v>138</v>
      </c>
      <c r="AC1" s="14" t="s">
        <v>139</v>
      </c>
      <c r="AD1" s="14" t="s">
        <v>140</v>
      </c>
      <c r="AE1" s="14" t="s">
        <v>141</v>
      </c>
      <c r="AF1" s="14" t="s">
        <v>142</v>
      </c>
      <c r="AG1" s="14" t="s">
        <v>143</v>
      </c>
    </row>
    <row r="2" customFormat="false" ht="23.85" hidden="false" customHeight="false" outlineLevel="0" collapsed="false">
      <c r="A2" s="15" t="n">
        <v>217</v>
      </c>
      <c r="B2" s="15" t="s">
        <v>144</v>
      </c>
      <c r="C2" s="15" t="s">
        <v>145</v>
      </c>
      <c r="D2" s="15" t="s">
        <v>146</v>
      </c>
      <c r="E2" s="15" t="s">
        <v>147</v>
      </c>
      <c r="F2" s="15" t="s">
        <v>148</v>
      </c>
      <c r="G2" s="15" t="str">
        <f aca="false">IF(AND($E2="bird",$K2&gt;0),"yes","")</f>
        <v>yes</v>
      </c>
      <c r="H2" s="15" t="s">
        <v>149</v>
      </c>
      <c r="I2" s="15" t="str">
        <f aca="false">IF($E2="bird",IF(COUNTIF('eBird List'!$A:$A,$B2)&gt;0,"yes","no"),"")</f>
        <v>yes</v>
      </c>
      <c r="J2" s="16" t="n">
        <f aca="false">IF(COUNTIF('eBird List'!$A:$A,$B2)=0,"",INDEX('eBird List'!$C:$C,MATCH($B2,'eBird List'!$A:$A,0)))</f>
        <v>0.3025077436264</v>
      </c>
      <c r="K2" s="15" t="n">
        <f aca="false">COUNTIFS(Clips!$B:$B,"site",Clips!$F:$F,$B2)+COUNTIFS(Clips!$B:$B,"site",Clips!$O:$O,"*"&amp;$B2&amp;"*")</f>
        <v>17</v>
      </c>
      <c r="L2" s="15" t="n">
        <f aca="false">COUNTIFS(Clips!$F:$F,$B2,Clips!$B:$B,"macaulay")</f>
        <v>117</v>
      </c>
      <c r="M2" s="15" t="n">
        <f aca="false">COUNTIFS(Clips!$F:$F,$B2,Clips!$B:$B,"xeno-canto")</f>
        <v>0</v>
      </c>
      <c r="N2" s="15" t="n">
        <f aca="false">K2+L2+M2</f>
        <v>134</v>
      </c>
      <c r="O2" s="15" t="n">
        <f aca="false">COUNTIFS(Clips!$F:$F,$B2,Clips!$C:$C,"excluded")</f>
        <v>0</v>
      </c>
      <c r="P2" s="15" t="n">
        <f aca="false">COUNTIFS(Clips!$F:$F,$B2,Clips!$C:$C,"train")</f>
        <v>81</v>
      </c>
      <c r="Q2" s="15" t="n">
        <f aca="false">COUNTIFS(Clips!$F:$F,$B2,Clips!$C:$C,"val")</f>
        <v>18</v>
      </c>
      <c r="R2" s="15" t="n">
        <f aca="false">COUNTIFS(Clips!$F:$F,$B2,Clips!$C:$C,"test")</f>
        <v>18</v>
      </c>
      <c r="S2" s="17" t="n">
        <f aca="false">SUMIFS(Clips!$I:$I,Clips!$F:$F,$B2,Clips!$C:$C,"train")/60</f>
        <v>92.1895666666667</v>
      </c>
      <c r="T2" s="17" t="n">
        <f aca="false">SUMIFS(Clips!$I:$I,Clips!$F:$F,$B2,Clips!$C:$C,"val")/60</f>
        <v>17.3251333333333</v>
      </c>
      <c r="U2" s="17" t="n">
        <f aca="false">SUMIFS(Clips!$I:$I,Clips!$F:$F,$B2,Clips!$C:$C,"test")/60</f>
        <v>7.95541666666667</v>
      </c>
      <c r="V2" s="15" t="n">
        <f aca="false">SUMIFS(Clips!$J:$J,Clips!$F:$F,$B2,Clips!$C:$C,"train")</f>
        <v>1148</v>
      </c>
      <c r="W2" s="18" t="n">
        <f aca="false">IF(V2=0,"",Splits!$B$49/(Splits!$B$50*V2))</f>
        <v>0.135736473604628</v>
      </c>
      <c r="X2" s="15" t="str">
        <f aca="false">IF(P2&gt;0,IF(AND(Q2&gt;0,R2&gt;0),"train + val + test",IF(R2&gt;0,"train + test","train only")),IF(R2&gt;0,"test only (unknown class)",IF(K2&gt;0,"site extract only","no usable audio")))</f>
        <v>train + val + test</v>
      </c>
      <c r="Y2" s="15" t="str">
        <f aca="false">IF($P2=0,"",IF($E2="nonbird",$B2,IF($G2="yes",$B2,"other bird")))</f>
        <v>White-breasted Wood-Wren</v>
      </c>
      <c r="Z2" s="15" t="str">
        <f aca="false">IF(AND($F2="core",$P2&gt;0),$B2,"")</f>
        <v>White-breasted Wood-Wren</v>
      </c>
      <c r="AA2" s="15" t="str">
        <f aca="false">IF($P2&gt;0,$B2,"")</f>
        <v>White-breasted Wood-Wren</v>
      </c>
      <c r="AB2" s="15" t="n">
        <v>87</v>
      </c>
      <c r="AC2" s="15" t="n">
        <v>48</v>
      </c>
      <c r="AD2" s="17" t="n">
        <f aca="false">IF(COUNTIFS(Clips!$F:$F,$B2,Clips!$M:$M,"&gt;0",Clips!$C:$C,"&lt;&gt;excluded")=0,"",AVERAGEIFS(Clips!$M:$M,Clips!$F:$F,$B2,Clips!$M:$M,"&gt;0",Clips!$C:$C,"&lt;&gt;excluded"))</f>
        <v>3.62435897435897</v>
      </c>
      <c r="AE2" s="15" t="n">
        <f aca="false">COUNTIFS(Clips!$F:$F,$B2,Clips!$O:$O,"&lt;&gt;",Clips!$B:$B,"&lt;&gt;site",Clips!$C:$C,"&lt;&gt;excluded")</f>
        <v>7</v>
      </c>
      <c r="AF2" s="15" t="n">
        <f aca="false">COUNTIFS(Clips!$F:$F,$B2,Clips!$I:$I,"&lt;5",Clips!$C:$C,"&lt;&gt;excluded")</f>
        <v>1</v>
      </c>
      <c r="AG2" s="5" t="s">
        <v>150</v>
      </c>
    </row>
    <row r="3" customFormat="false" ht="15" hidden="false" customHeight="false" outlineLevel="0" collapsed="false">
      <c r="A3" s="15" t="n">
        <v>245</v>
      </c>
      <c r="B3" s="15" t="s">
        <v>151</v>
      </c>
      <c r="C3" s="15" t="s">
        <v>152</v>
      </c>
      <c r="D3" s="15" t="s">
        <v>153</v>
      </c>
      <c r="E3" s="15" t="s">
        <v>147</v>
      </c>
      <c r="F3" s="15" t="s">
        <v>148</v>
      </c>
      <c r="G3" s="15" t="str">
        <f aca="false">IF(AND($E3="bird",$K3&gt;0),"yes","")</f>
        <v>yes</v>
      </c>
      <c r="H3" s="15" t="s">
        <v>149</v>
      </c>
      <c r="I3" s="15" t="str">
        <f aca="false">IF($E3="bird",IF(COUNTIF('eBird List'!$A:$A,$B3)&gt;0,"yes","no"),"")</f>
        <v>yes</v>
      </c>
      <c r="J3" s="16" t="n">
        <f aca="false">IF(COUNTIF('eBird List'!$A:$A,$B3)=0,"",INDEX('eBird List'!$C:$C,MATCH($B3,'eBird List'!$A:$A,0)))</f>
        <v>0.519031451036455</v>
      </c>
      <c r="K3" s="15" t="n">
        <f aca="false">COUNTIFS(Clips!$B:$B,"site",Clips!$F:$F,$B3)+COUNTIFS(Clips!$B:$B,"site",Clips!$O:$O,"*"&amp;$B3&amp;"*")</f>
        <v>4</v>
      </c>
      <c r="L3" s="15" t="n">
        <f aca="false">COUNTIFS(Clips!$F:$F,$B3,Clips!$B:$B,"macaulay")</f>
        <v>78</v>
      </c>
      <c r="M3" s="15" t="n">
        <f aca="false">COUNTIFS(Clips!$F:$F,$B3,Clips!$B:$B,"xeno-canto")</f>
        <v>1</v>
      </c>
      <c r="N3" s="15" t="n">
        <f aca="false">K3+L3+M3</f>
        <v>83</v>
      </c>
      <c r="O3" s="15" t="n">
        <f aca="false">COUNTIFS(Clips!$F:$F,$B3,Clips!$C:$C,"excluded")</f>
        <v>0</v>
      </c>
      <c r="P3" s="15" t="n">
        <f aca="false">COUNTIFS(Clips!$F:$F,$B3,Clips!$C:$C,"train")</f>
        <v>55</v>
      </c>
      <c r="Q3" s="15" t="n">
        <f aca="false">COUNTIFS(Clips!$F:$F,$B3,Clips!$C:$C,"val")</f>
        <v>12</v>
      </c>
      <c r="R3" s="15" t="n">
        <f aca="false">COUNTIFS(Clips!$F:$F,$B3,Clips!$C:$C,"test")</f>
        <v>12</v>
      </c>
      <c r="S3" s="17" t="n">
        <f aca="false">SUMIFS(Clips!$I:$I,Clips!$F:$F,$B3,Clips!$C:$C,"train")/60</f>
        <v>51.7472166666667</v>
      </c>
      <c r="T3" s="17" t="n">
        <f aca="false">SUMIFS(Clips!$I:$I,Clips!$F:$F,$B3,Clips!$C:$C,"val")/60</f>
        <v>12.9454</v>
      </c>
      <c r="U3" s="17" t="n">
        <f aca="false">SUMIFS(Clips!$I:$I,Clips!$F:$F,$B3,Clips!$C:$C,"test")/60</f>
        <v>16.3701166666667</v>
      </c>
      <c r="V3" s="15" t="n">
        <f aca="false">SUMIFS(Clips!$J:$J,Clips!$F:$F,$B3,Clips!$C:$C,"train")</f>
        <v>649</v>
      </c>
      <c r="W3" s="18" t="n">
        <f aca="false">IF(V3=0,"",Splits!$B$49/(Splits!$B$50*V3))</f>
        <v>0.240100880890775</v>
      </c>
      <c r="X3" s="15" t="str">
        <f aca="false">IF(P3&gt;0,IF(AND(Q3&gt;0,R3&gt;0),"train + val + test",IF(R3&gt;0,"train + test","train only")),IF(R3&gt;0,"test only (unknown class)",IF(K3&gt;0,"site extract only","no usable audio")))</f>
        <v>train + val + test</v>
      </c>
      <c r="Y3" s="15" t="str">
        <f aca="false">IF($P3=0,"",IF($E3="nonbird",$B3,IF($G3="yes",$B3,"other bird")))</f>
        <v>Yellow-throated Toucan</v>
      </c>
      <c r="Z3" s="15" t="str">
        <f aca="false">IF(AND($F3="core",$P3&gt;0),$B3,"")</f>
        <v>Yellow-throated Toucan</v>
      </c>
      <c r="AA3" s="15" t="str">
        <f aca="false">IF($P3&gt;0,$B3,"")</f>
        <v>Yellow-throated Toucan</v>
      </c>
      <c r="AB3" s="15" t="n">
        <v>62</v>
      </c>
      <c r="AC3" s="15" t="n">
        <v>47</v>
      </c>
      <c r="AD3" s="17" t="n">
        <f aca="false">IF(COUNTIFS(Clips!$F:$F,$B3,Clips!$M:$M,"&gt;0",Clips!$C:$C,"&lt;&gt;excluded")=0,"",AVERAGEIFS(Clips!$M:$M,Clips!$F:$F,$B3,Clips!$M:$M,"&gt;0",Clips!$C:$C,"&lt;&gt;excluded"))</f>
        <v>3.41659090909091</v>
      </c>
      <c r="AE3" s="15" t="n">
        <f aca="false">COUNTIFS(Clips!$F:$F,$B3,Clips!$O:$O,"&lt;&gt;",Clips!$B:$B,"&lt;&gt;site",Clips!$C:$C,"&lt;&gt;excluded")</f>
        <v>5</v>
      </c>
      <c r="AF3" s="15" t="n">
        <f aca="false">COUNTIFS(Clips!$F:$F,$B3,Clips!$I:$I,"&lt;5",Clips!$C:$C,"&lt;&gt;excluded")</f>
        <v>2</v>
      </c>
      <c r="AG3" s="5" t="s">
        <v>154</v>
      </c>
    </row>
    <row r="4" customFormat="false" ht="15" hidden="false" customHeight="false" outlineLevel="0" collapsed="false">
      <c r="A4" s="15" t="n">
        <v>104</v>
      </c>
      <c r="B4" s="15" t="s">
        <v>155</v>
      </c>
      <c r="C4" s="15" t="s">
        <v>156</v>
      </c>
      <c r="D4" s="15" t="s">
        <v>157</v>
      </c>
      <c r="E4" s="15" t="s">
        <v>147</v>
      </c>
      <c r="F4" s="15" t="s">
        <v>148</v>
      </c>
      <c r="G4" s="15" t="str">
        <f aca="false">IF(AND($E4="bird",$K4&gt;0),"yes","")</f>
        <v>yes</v>
      </c>
      <c r="H4" s="15" t="s">
        <v>149</v>
      </c>
      <c r="I4" s="15" t="str">
        <f aca="false">IF($E4="bird",IF(COUNTIF('eBird List'!$A:$A,$B4)&gt;0,"yes","no"),"")</f>
        <v>yes</v>
      </c>
      <c r="J4" s="16" t="n">
        <f aca="false">IF(COUNTIF('eBird List'!$A:$A,$B4)=0,"",INDEX('eBird List'!$C:$C,MATCH($B4,'eBird List'!$A:$A,0)))</f>
        <v>0.312246842983083</v>
      </c>
      <c r="K4" s="15" t="n">
        <f aca="false">COUNTIFS(Clips!$B:$B,"site",Clips!$F:$F,$B4)+COUNTIFS(Clips!$B:$B,"site",Clips!$O:$O,"*"&amp;$B4&amp;"*")</f>
        <v>4</v>
      </c>
      <c r="L4" s="15" t="n">
        <f aca="false">COUNTIFS(Clips!$F:$F,$B4,Clips!$B:$B,"macaulay")</f>
        <v>63</v>
      </c>
      <c r="M4" s="15" t="n">
        <f aca="false">COUNTIFS(Clips!$F:$F,$B4,Clips!$B:$B,"xeno-canto")</f>
        <v>0</v>
      </c>
      <c r="N4" s="15" t="n">
        <f aca="false">K4+L4+M4</f>
        <v>67</v>
      </c>
      <c r="O4" s="15" t="n">
        <f aca="false">COUNTIFS(Clips!$F:$F,$B4,Clips!$C:$C,"excluded")</f>
        <v>1</v>
      </c>
      <c r="P4" s="15" t="n">
        <f aca="false">COUNTIFS(Clips!$F:$F,$B4,Clips!$C:$C,"train")</f>
        <v>44</v>
      </c>
      <c r="Q4" s="15" t="n">
        <f aca="false">COUNTIFS(Clips!$F:$F,$B4,Clips!$C:$C,"val")</f>
        <v>9</v>
      </c>
      <c r="R4" s="15" t="n">
        <f aca="false">COUNTIFS(Clips!$F:$F,$B4,Clips!$C:$C,"test")</f>
        <v>9</v>
      </c>
      <c r="S4" s="17" t="n">
        <f aca="false">SUMIFS(Clips!$I:$I,Clips!$F:$F,$B4,Clips!$C:$C,"train")/60</f>
        <v>55.60075</v>
      </c>
      <c r="T4" s="17" t="n">
        <f aca="false">SUMIFS(Clips!$I:$I,Clips!$F:$F,$B4,Clips!$C:$C,"val")/60</f>
        <v>1.85431666666667</v>
      </c>
      <c r="U4" s="17" t="n">
        <f aca="false">SUMIFS(Clips!$I:$I,Clips!$F:$F,$B4,Clips!$C:$C,"test")/60</f>
        <v>3.39396666666667</v>
      </c>
      <c r="V4" s="15" t="n">
        <f aca="false">SUMIFS(Clips!$J:$J,Clips!$F:$F,$B4,Clips!$C:$C,"train")</f>
        <v>594</v>
      </c>
      <c r="W4" s="18" t="n">
        <f aca="false">IF(V4=0,"",Splits!$B$49/(Splits!$B$50*V4))</f>
        <v>0.262332443936218</v>
      </c>
      <c r="X4" s="15" t="str">
        <f aca="false">IF(P4&gt;0,IF(AND(Q4&gt;0,R4&gt;0),"train + val + test",IF(R4&gt;0,"train + test","train only")),IF(R4&gt;0,"test only (unknown class)",IF(K4&gt;0,"site extract only","no usable audio")))</f>
        <v>train + val + test</v>
      </c>
      <c r="Y4" s="15" t="str">
        <f aca="false">IF($P4=0,"",IF($E4="nonbird",$B4,IF($G4="yes",$B4,"other bird")))</f>
        <v>Great Tinamou</v>
      </c>
      <c r="Z4" s="15" t="str">
        <f aca="false">IF(AND($F4="core",$P4&gt;0),$B4,"")</f>
        <v>Great Tinamou</v>
      </c>
      <c r="AA4" s="15" t="str">
        <f aca="false">IF($P4&gt;0,$B4,"")</f>
        <v>Great Tinamou</v>
      </c>
      <c r="AB4" s="15" t="n">
        <v>50</v>
      </c>
      <c r="AC4" s="15" t="n">
        <v>39</v>
      </c>
      <c r="AD4" s="17" t="n">
        <f aca="false">IF(COUNTIFS(Clips!$F:$F,$B4,Clips!$M:$M,"&gt;0",Clips!$C:$C,"&lt;&gt;excluded")=0,"",AVERAGEIFS(Clips!$M:$M,Clips!$F:$F,$B4,Clips!$M:$M,"&gt;0",Clips!$C:$C,"&lt;&gt;excluded"))</f>
        <v>2.87615384615385</v>
      </c>
      <c r="AE4" s="15" t="n">
        <f aca="false">COUNTIFS(Clips!$F:$F,$B4,Clips!$O:$O,"&lt;&gt;",Clips!$B:$B,"&lt;&gt;site",Clips!$C:$C,"&lt;&gt;excluded")</f>
        <v>8</v>
      </c>
      <c r="AF4" s="15" t="n">
        <f aca="false">COUNTIFS(Clips!$F:$F,$B4,Clips!$I:$I,"&lt;5",Clips!$C:$C,"&lt;&gt;excluded")</f>
        <v>1</v>
      </c>
      <c r="AG4" s="5" t="s">
        <v>158</v>
      </c>
    </row>
    <row r="5" customFormat="false" ht="15" hidden="false" customHeight="false" outlineLevel="0" collapsed="false">
      <c r="A5" s="15" t="n">
        <v>58</v>
      </c>
      <c r="B5" s="15" t="s">
        <v>159</v>
      </c>
      <c r="C5" s="15" t="s">
        <v>160</v>
      </c>
      <c r="D5" s="15" t="s">
        <v>161</v>
      </c>
      <c r="E5" s="15" t="s">
        <v>147</v>
      </c>
      <c r="F5" s="15" t="s">
        <v>148</v>
      </c>
      <c r="G5" s="15" t="str">
        <f aca="false">IF(AND($E5="bird",$K5&gt;0),"yes","")</f>
        <v/>
      </c>
      <c r="H5" s="15"/>
      <c r="I5" s="15" t="str">
        <f aca="false">IF($E5="bird",IF(COUNTIF('eBird List'!$A:$A,$B5)&gt;0,"yes","no"),"")</f>
        <v>yes</v>
      </c>
      <c r="J5" s="16" t="n">
        <f aca="false">IF(COUNTIF('eBird List'!$A:$A,$B5)=0,"",INDEX('eBird List'!$C:$C,MATCH($B5,'eBird List'!$A:$A,0)))</f>
        <v>0.265010721944246</v>
      </c>
      <c r="K5" s="15" t="n">
        <f aca="false">COUNTIFS(Clips!$B:$B,"site",Clips!$F:$F,$B5)+COUNTIFS(Clips!$B:$B,"site",Clips!$O:$O,"*"&amp;$B5&amp;"*")</f>
        <v>0</v>
      </c>
      <c r="L5" s="15" t="n">
        <f aca="false">COUNTIFS(Clips!$F:$F,$B5,Clips!$B:$B,"macaulay")</f>
        <v>61</v>
      </c>
      <c r="M5" s="15" t="n">
        <f aca="false">COUNTIFS(Clips!$F:$F,$B5,Clips!$B:$B,"xeno-canto")</f>
        <v>0</v>
      </c>
      <c r="N5" s="15" t="n">
        <f aca="false">K5+L5+M5</f>
        <v>61</v>
      </c>
      <c r="O5" s="15" t="n">
        <f aca="false">COUNTIFS(Clips!$F:$F,$B5,Clips!$C:$C,"excluded")</f>
        <v>2</v>
      </c>
      <c r="P5" s="15" t="n">
        <f aca="false">COUNTIFS(Clips!$F:$F,$B5,Clips!$C:$C,"train")</f>
        <v>41</v>
      </c>
      <c r="Q5" s="15" t="n">
        <f aca="false">COUNTIFS(Clips!$F:$F,$B5,Clips!$C:$C,"val")</f>
        <v>9</v>
      </c>
      <c r="R5" s="15" t="n">
        <f aca="false">COUNTIFS(Clips!$F:$F,$B5,Clips!$C:$C,"test")</f>
        <v>9</v>
      </c>
      <c r="S5" s="17" t="n">
        <f aca="false">SUMIFS(Clips!$I:$I,Clips!$F:$F,$B5,Clips!$C:$C,"train")/60</f>
        <v>112.783933333333</v>
      </c>
      <c r="T5" s="17" t="n">
        <f aca="false">SUMIFS(Clips!$I:$I,Clips!$F:$F,$B5,Clips!$C:$C,"val")/60</f>
        <v>43.3581166666667</v>
      </c>
      <c r="U5" s="17" t="n">
        <f aca="false">SUMIFS(Clips!$I:$I,Clips!$F:$F,$B5,Clips!$C:$C,"test")/60</f>
        <v>10.9775833333333</v>
      </c>
      <c r="V5" s="15" t="n">
        <f aca="false">SUMIFS(Clips!$J:$J,Clips!$F:$F,$B5,Clips!$C:$C,"train")</f>
        <v>1092</v>
      </c>
      <c r="W5" s="18" t="n">
        <f aca="false">IF(V5=0,"",Splits!$B$49/(Splits!$B$50*V5))</f>
        <v>0.142697318404866</v>
      </c>
      <c r="X5" s="15" t="str">
        <f aca="false">IF(P5&gt;0,IF(AND(Q5&gt;0,R5&gt;0),"train + val + test",IF(R5&gt;0,"train + test","train only")),IF(R5&gt;0,"test only (unknown class)",IF(K5&gt;0,"site extract only","no usable audio")))</f>
        <v>train + val + test</v>
      </c>
      <c r="Y5" s="15" t="str">
        <f aca="false">IF($P5=0,"",IF($E5="nonbird",$B5,IF($G5="yes",$B5,"other bird")))</f>
        <v>other bird</v>
      </c>
      <c r="Z5" s="15" t="str">
        <f aca="false">IF(AND($F5="core",$P5&gt;0),$B5,"")</f>
        <v>Cocoa Woodcreeper</v>
      </c>
      <c r="AA5" s="15" t="str">
        <f aca="false">IF($P5&gt;0,$B5,"")</f>
        <v>Cocoa Woodcreeper</v>
      </c>
      <c r="AB5" s="15" t="n">
        <v>48</v>
      </c>
      <c r="AC5" s="15" t="n">
        <v>31</v>
      </c>
      <c r="AD5" s="17" t="n">
        <f aca="false">IF(COUNTIFS(Clips!$F:$F,$B5,Clips!$M:$M,"&gt;0",Clips!$C:$C,"&lt;&gt;excluded")=0,"",AVERAGEIFS(Clips!$M:$M,Clips!$F:$F,$B5,Clips!$M:$M,"&gt;0",Clips!$C:$C,"&lt;&gt;excluded"))</f>
        <v>3.04651162790698</v>
      </c>
      <c r="AE5" s="15" t="n">
        <f aca="false">COUNTIFS(Clips!$F:$F,$B5,Clips!$O:$O,"&lt;&gt;",Clips!$B:$B,"&lt;&gt;site",Clips!$C:$C,"&lt;&gt;excluded")</f>
        <v>12</v>
      </c>
      <c r="AF5" s="15" t="n">
        <f aca="false">COUNTIFS(Clips!$F:$F,$B5,Clips!$I:$I,"&lt;5",Clips!$C:$C,"&lt;&gt;excluded")</f>
        <v>4</v>
      </c>
      <c r="AG5" s="5"/>
    </row>
    <row r="6" customFormat="false" ht="15" hidden="false" customHeight="false" outlineLevel="0" collapsed="false">
      <c r="A6" s="15" t="n">
        <v>165</v>
      </c>
      <c r="B6" s="15" t="s">
        <v>162</v>
      </c>
      <c r="C6" s="15" t="s">
        <v>163</v>
      </c>
      <c r="D6" s="15" t="s">
        <v>164</v>
      </c>
      <c r="E6" s="15" t="s">
        <v>147</v>
      </c>
      <c r="F6" s="15" t="s">
        <v>148</v>
      </c>
      <c r="G6" s="15" t="str">
        <f aca="false">IF(AND($E6="bird",$K6&gt;0),"yes","")</f>
        <v>yes</v>
      </c>
      <c r="H6" s="15" t="s">
        <v>149</v>
      </c>
      <c r="I6" s="15" t="str">
        <f aca="false">IF($E6="bird",IF(COUNTIF('eBird List'!$A:$A,$B6)&gt;0,"yes","no"),"")</f>
        <v>yes</v>
      </c>
      <c r="J6" s="16" t="n">
        <f aca="false">IF(COUNTIF('eBird List'!$A:$A,$B6)=0,"",INDEX('eBird List'!$C:$C,MATCH($B6,'eBird List'!$A:$A,0)))</f>
        <v>0.313587086013819</v>
      </c>
      <c r="K6" s="15" t="n">
        <f aca="false">COUNTIFS(Clips!$B:$B,"site",Clips!$F:$F,$B6)+COUNTIFS(Clips!$B:$B,"site",Clips!$O:$O,"*"&amp;$B6&amp;"*")</f>
        <v>2</v>
      </c>
      <c r="L6" s="15" t="n">
        <f aca="false">COUNTIFS(Clips!$F:$F,$B6,Clips!$B:$B,"macaulay")</f>
        <v>55</v>
      </c>
      <c r="M6" s="15" t="n">
        <f aca="false">COUNTIFS(Clips!$F:$F,$B6,Clips!$B:$B,"xeno-canto")</f>
        <v>0</v>
      </c>
      <c r="N6" s="15" t="n">
        <f aca="false">K6+L6+M6</f>
        <v>57</v>
      </c>
      <c r="O6" s="15" t="n">
        <f aca="false">COUNTIFS(Clips!$F:$F,$B6,Clips!$C:$C,"excluded")</f>
        <v>0</v>
      </c>
      <c r="P6" s="15" t="n">
        <f aca="false">COUNTIFS(Clips!$F:$F,$B6,Clips!$C:$C,"train")</f>
        <v>39</v>
      </c>
      <c r="Q6" s="15" t="n">
        <f aca="false">COUNTIFS(Clips!$F:$F,$B6,Clips!$C:$C,"val")</f>
        <v>8</v>
      </c>
      <c r="R6" s="15" t="n">
        <f aca="false">COUNTIFS(Clips!$F:$F,$B6,Clips!$C:$C,"test")</f>
        <v>8</v>
      </c>
      <c r="S6" s="17" t="n">
        <f aca="false">SUMIFS(Clips!$I:$I,Clips!$F:$F,$B6,Clips!$C:$C,"train")/60</f>
        <v>57.25915</v>
      </c>
      <c r="T6" s="17" t="n">
        <f aca="false">SUMIFS(Clips!$I:$I,Clips!$F:$F,$B6,Clips!$C:$C,"val")/60</f>
        <v>18.68905</v>
      </c>
      <c r="U6" s="17" t="n">
        <f aca="false">SUMIFS(Clips!$I:$I,Clips!$F:$F,$B6,Clips!$C:$C,"test")/60</f>
        <v>15.04385</v>
      </c>
      <c r="V6" s="15" t="n">
        <f aca="false">SUMIFS(Clips!$J:$J,Clips!$F:$F,$B6,Clips!$C:$C,"train")</f>
        <v>527</v>
      </c>
      <c r="W6" s="18" t="n">
        <f aca="false">IF(V6=0,"",Splits!$B$49/(Splits!$B$50*V6))</f>
        <v>0.295684007017293</v>
      </c>
      <c r="X6" s="15" t="str">
        <f aca="false">IF(P6&gt;0,IF(AND(Q6&gt;0,R6&gt;0),"train + val + test",IF(R6&gt;0,"train + test","train only")),IF(R6&gt;0,"test only (unknown class)",IF(K6&gt;0,"site extract only","no usable audio")))</f>
        <v>train + val + test</v>
      </c>
      <c r="Y6" s="15" t="str">
        <f aca="false">IF($P6=0,"",IF($E6="nonbird",$B6,IF($G6="yes",$B6,"other bird")))</f>
        <v>Rufous Motmot</v>
      </c>
      <c r="Z6" s="15" t="str">
        <f aca="false">IF(AND($F6="core",$P6&gt;0),$B6,"")</f>
        <v>Rufous Motmot</v>
      </c>
      <c r="AA6" s="15" t="str">
        <f aca="false">IF($P6&gt;0,$B6,"")</f>
        <v>Rufous Motmot</v>
      </c>
      <c r="AB6" s="15" t="n">
        <v>49</v>
      </c>
      <c r="AC6" s="15" t="n">
        <v>36</v>
      </c>
      <c r="AD6" s="17" t="n">
        <f aca="false">IF(COUNTIFS(Clips!$F:$F,$B6,Clips!$M:$M,"&gt;0",Clips!$C:$C,"&lt;&gt;excluded")=0,"",AVERAGEIFS(Clips!$M:$M,Clips!$F:$F,$B6,Clips!$M:$M,"&gt;0",Clips!$C:$C,"&lt;&gt;excluded"))</f>
        <v>2.35333333333333</v>
      </c>
      <c r="AE6" s="15" t="n">
        <f aca="false">COUNTIFS(Clips!$F:$F,$B6,Clips!$O:$O,"&lt;&gt;",Clips!$B:$B,"&lt;&gt;site",Clips!$C:$C,"&lt;&gt;excluded")</f>
        <v>13</v>
      </c>
      <c r="AF6" s="15" t="n">
        <f aca="false">COUNTIFS(Clips!$F:$F,$B6,Clips!$I:$I,"&lt;5",Clips!$C:$C,"&lt;&gt;excluded")</f>
        <v>0</v>
      </c>
      <c r="AG6" s="5"/>
    </row>
    <row r="7" customFormat="false" ht="15" hidden="false" customHeight="false" outlineLevel="0" collapsed="false">
      <c r="A7" s="15" t="n">
        <v>50</v>
      </c>
      <c r="B7" s="15" t="s">
        <v>165</v>
      </c>
      <c r="C7" s="15" t="s">
        <v>166</v>
      </c>
      <c r="D7" s="15" t="s">
        <v>167</v>
      </c>
      <c r="E7" s="15" t="s">
        <v>147</v>
      </c>
      <c r="F7" s="15" t="s">
        <v>148</v>
      </c>
      <c r="G7" s="15" t="str">
        <f aca="false">IF(AND($E7="bird",$K7&gt;0),"yes","")</f>
        <v>yes</v>
      </c>
      <c r="H7" s="15" t="s">
        <v>149</v>
      </c>
      <c r="I7" s="15" t="str">
        <f aca="false">IF($E7="bird",IF(COUNTIF('eBird List'!$A:$A,$B7)&gt;0,"yes","no"),"")</f>
        <v>yes</v>
      </c>
      <c r="J7" s="16" t="n">
        <f aca="false">IF(COUNTIF('eBird List'!$A:$A,$B7)=0,"",INDEX('eBird List'!$C:$C,MATCH($B7,'eBird List'!$A:$A,0)))</f>
        <v>0.133637121753634</v>
      </c>
      <c r="K7" s="15" t="n">
        <f aca="false">COUNTIFS(Clips!$B:$B,"site",Clips!$F:$F,$B7)+COUNTIFS(Clips!$B:$B,"site",Clips!$O:$O,"*"&amp;$B7&amp;"*")</f>
        <v>1</v>
      </c>
      <c r="L7" s="15" t="n">
        <f aca="false">COUNTIFS(Clips!$F:$F,$B7,Clips!$B:$B,"macaulay")</f>
        <v>54</v>
      </c>
      <c r="M7" s="15" t="n">
        <f aca="false">COUNTIFS(Clips!$F:$F,$B7,Clips!$B:$B,"xeno-canto")</f>
        <v>0</v>
      </c>
      <c r="N7" s="15" t="n">
        <f aca="false">K7+L7+M7</f>
        <v>55</v>
      </c>
      <c r="O7" s="15" t="n">
        <f aca="false">COUNTIFS(Clips!$F:$F,$B7,Clips!$C:$C,"excluded")</f>
        <v>0</v>
      </c>
      <c r="P7" s="15" t="n">
        <f aca="false">COUNTIFS(Clips!$F:$F,$B7,Clips!$C:$C,"train")</f>
        <v>38</v>
      </c>
      <c r="Q7" s="15" t="n">
        <f aca="false">COUNTIFS(Clips!$F:$F,$B7,Clips!$C:$C,"val")</f>
        <v>8</v>
      </c>
      <c r="R7" s="15" t="n">
        <f aca="false">COUNTIFS(Clips!$F:$F,$B7,Clips!$C:$C,"test")</f>
        <v>8</v>
      </c>
      <c r="S7" s="17" t="n">
        <f aca="false">SUMIFS(Clips!$I:$I,Clips!$F:$F,$B7,Clips!$C:$C,"train")/60</f>
        <v>25.4144333333333</v>
      </c>
      <c r="T7" s="17" t="n">
        <f aca="false">SUMIFS(Clips!$I:$I,Clips!$F:$F,$B7,Clips!$C:$C,"val")/60</f>
        <v>6.42448333333333</v>
      </c>
      <c r="U7" s="17" t="n">
        <f aca="false">SUMIFS(Clips!$I:$I,Clips!$F:$F,$B7,Clips!$C:$C,"test")/60</f>
        <v>12.4269833333333</v>
      </c>
      <c r="V7" s="15" t="n">
        <f aca="false">SUMIFS(Clips!$J:$J,Clips!$F:$F,$B7,Clips!$C:$C,"train")</f>
        <v>322</v>
      </c>
      <c r="W7" s="18" t="n">
        <f aca="false">IF(V7=0,"",Splits!$B$49/(Splits!$B$50*V7))</f>
        <v>0.483930036329544</v>
      </c>
      <c r="X7" s="15" t="str">
        <f aca="false">IF(P7&gt;0,IF(AND(Q7&gt;0,R7&gt;0),"train + val + test",IF(R7&gt;0,"train + test","train only")),IF(R7&gt;0,"test only (unknown class)",IF(K7&gt;0,"site extract only","no usable audio")))</f>
        <v>train + val + test</v>
      </c>
      <c r="Y7" s="15" t="str">
        <f aca="false">IF($P7=0,"",IF($E7="nonbird",$B7,IF($G7="yes",$B7,"other bird")))</f>
        <v>Chestnut-backed Antbird</v>
      </c>
      <c r="Z7" s="15" t="str">
        <f aca="false">IF(AND($F7="core",$P7&gt;0),$B7,"")</f>
        <v>Chestnut-backed Antbird</v>
      </c>
      <c r="AA7" s="15" t="str">
        <f aca="false">IF($P7&gt;0,$B7,"")</f>
        <v>Chestnut-backed Antbird</v>
      </c>
      <c r="AB7" s="15" t="n">
        <v>41</v>
      </c>
      <c r="AC7" s="15" t="n">
        <v>30</v>
      </c>
      <c r="AD7" s="17" t="n">
        <f aca="false">IF(COUNTIFS(Clips!$F:$F,$B7,Clips!$M:$M,"&gt;0",Clips!$C:$C,"&lt;&gt;excluded")=0,"",AVERAGEIFS(Clips!$M:$M,Clips!$F:$F,$B7,Clips!$M:$M,"&gt;0",Clips!$C:$C,"&lt;&gt;excluded"))</f>
        <v>3.70939393939394</v>
      </c>
      <c r="AE7" s="15" t="n">
        <f aca="false">COUNTIFS(Clips!$F:$F,$B7,Clips!$O:$O,"&lt;&gt;",Clips!$B:$B,"&lt;&gt;site",Clips!$C:$C,"&lt;&gt;excluded")</f>
        <v>5</v>
      </c>
      <c r="AF7" s="15" t="n">
        <f aca="false">COUNTIFS(Clips!$F:$F,$B7,Clips!$I:$I,"&lt;5",Clips!$C:$C,"&lt;&gt;excluded")</f>
        <v>2</v>
      </c>
      <c r="AG7" s="5" t="s">
        <v>168</v>
      </c>
    </row>
    <row r="8" customFormat="false" ht="15" hidden="false" customHeight="false" outlineLevel="0" collapsed="false">
      <c r="A8" s="15" t="n">
        <v>141</v>
      </c>
      <c r="B8" s="15" t="s">
        <v>169</v>
      </c>
      <c r="C8" s="15" t="s">
        <v>170</v>
      </c>
      <c r="D8" s="15" t="s">
        <v>171</v>
      </c>
      <c r="E8" s="15" t="s">
        <v>147</v>
      </c>
      <c r="F8" s="15" t="s">
        <v>148</v>
      </c>
      <c r="G8" s="15" t="str">
        <f aca="false">IF(AND($E8="bird",$K8&gt;0),"yes","")</f>
        <v/>
      </c>
      <c r="H8" s="15"/>
      <c r="I8" s="15" t="str">
        <f aca="false">IF($E8="bird",IF(COUNTIF('eBird List'!$A:$A,$B8)&gt;0,"yes","no"),"")</f>
        <v>yes</v>
      </c>
      <c r="J8" s="16" t="n">
        <f aca="false">IF(COUNTIF('eBird List'!$A:$A,$B8)=0,"",INDEX('eBird List'!$C:$C,MATCH($B8,'eBird List'!$A:$A,0)))</f>
        <v>0.407195615916131</v>
      </c>
      <c r="K8" s="15" t="n">
        <f aca="false">COUNTIFS(Clips!$B:$B,"site",Clips!$F:$F,$B8)+COUNTIFS(Clips!$B:$B,"site",Clips!$O:$O,"*"&amp;$B8&amp;"*")</f>
        <v>0</v>
      </c>
      <c r="L8" s="15" t="n">
        <f aca="false">COUNTIFS(Clips!$F:$F,$B8,Clips!$B:$B,"macaulay")</f>
        <v>55</v>
      </c>
      <c r="M8" s="15" t="n">
        <f aca="false">COUNTIFS(Clips!$F:$F,$B8,Clips!$B:$B,"xeno-canto")</f>
        <v>0</v>
      </c>
      <c r="N8" s="15" t="n">
        <f aca="false">K8+L8+M8</f>
        <v>55</v>
      </c>
      <c r="O8" s="15" t="n">
        <f aca="false">COUNTIFS(Clips!$F:$F,$B8,Clips!$C:$C,"excluded")</f>
        <v>2</v>
      </c>
      <c r="P8" s="15" t="n">
        <f aca="false">COUNTIFS(Clips!$F:$F,$B8,Clips!$C:$C,"train")</f>
        <v>37</v>
      </c>
      <c r="Q8" s="15" t="n">
        <f aca="false">COUNTIFS(Clips!$F:$F,$B8,Clips!$C:$C,"val")</f>
        <v>8</v>
      </c>
      <c r="R8" s="15" t="n">
        <f aca="false">COUNTIFS(Clips!$F:$F,$B8,Clips!$C:$C,"test")</f>
        <v>8</v>
      </c>
      <c r="S8" s="17" t="n">
        <f aca="false">SUMIFS(Clips!$I:$I,Clips!$F:$F,$B8,Clips!$C:$C,"train")/60</f>
        <v>38.9944</v>
      </c>
      <c r="T8" s="17" t="n">
        <f aca="false">SUMIFS(Clips!$I:$I,Clips!$F:$F,$B8,Clips!$C:$C,"val")/60</f>
        <v>5.65371666666667</v>
      </c>
      <c r="U8" s="17" t="n">
        <f aca="false">SUMIFS(Clips!$I:$I,Clips!$F:$F,$B8,Clips!$C:$C,"test")/60</f>
        <v>2.40845</v>
      </c>
      <c r="V8" s="15" t="n">
        <f aca="false">SUMIFS(Clips!$J:$J,Clips!$F:$F,$B8,Clips!$C:$C,"train")</f>
        <v>489</v>
      </c>
      <c r="W8" s="18" t="n">
        <f aca="false">IF(V8=0,"",Splits!$B$49/(Splits!$B$50*V8))</f>
        <v>0.31866149631516</v>
      </c>
      <c r="X8" s="15" t="str">
        <f aca="false">IF(P8&gt;0,IF(AND(Q8&gt;0,R8&gt;0),"train + val + test",IF(R8&gt;0,"train + test","train only")),IF(R8&gt;0,"test only (unknown class)",IF(K8&gt;0,"site extract only","no usable audio")))</f>
        <v>train + val + test</v>
      </c>
      <c r="Y8" s="15" t="str">
        <f aca="false">IF($P8=0,"",IF($E8="nonbird",$B8,IF($G8="yes",$B8,"other bird")))</f>
        <v>other bird</v>
      </c>
      <c r="Z8" s="15" t="str">
        <f aca="false">IF(AND($F8="core",$P8&gt;0),$B8,"")</f>
        <v>Olive-backed Euphonia</v>
      </c>
      <c r="AA8" s="15" t="str">
        <f aca="false">IF($P8&gt;0,$B8,"")</f>
        <v>Olive-backed Euphonia</v>
      </c>
      <c r="AB8" s="15" t="n">
        <v>51</v>
      </c>
      <c r="AC8" s="15" t="n">
        <v>38</v>
      </c>
      <c r="AD8" s="17" t="n">
        <f aca="false">IF(COUNTIFS(Clips!$F:$F,$B8,Clips!$M:$M,"&gt;0",Clips!$C:$C,"&lt;&gt;excluded")=0,"",AVERAGEIFS(Clips!$M:$M,Clips!$F:$F,$B8,Clips!$M:$M,"&gt;0",Clips!$C:$C,"&lt;&gt;excluded"))</f>
        <v>2.87044444444444</v>
      </c>
      <c r="AE8" s="15" t="n">
        <f aca="false">COUNTIFS(Clips!$F:$F,$B8,Clips!$O:$O,"&lt;&gt;",Clips!$B:$B,"&lt;&gt;site",Clips!$C:$C,"&lt;&gt;excluded")</f>
        <v>5</v>
      </c>
      <c r="AF8" s="15" t="n">
        <f aca="false">COUNTIFS(Clips!$F:$F,$B8,Clips!$I:$I,"&lt;5",Clips!$C:$C,"&lt;&gt;excluded")</f>
        <v>0</v>
      </c>
      <c r="AG8" s="5"/>
    </row>
    <row r="9" customFormat="false" ht="15" hidden="false" customHeight="false" outlineLevel="0" collapsed="false">
      <c r="A9" s="15" t="n">
        <v>10</v>
      </c>
      <c r="B9" s="15" t="s">
        <v>172</v>
      </c>
      <c r="C9" s="15" t="s">
        <v>173</v>
      </c>
      <c r="D9" s="15" t="s">
        <v>174</v>
      </c>
      <c r="E9" s="15" t="s">
        <v>147</v>
      </c>
      <c r="F9" s="15" t="s">
        <v>148</v>
      </c>
      <c r="G9" s="15" t="str">
        <f aca="false">IF(AND($E9="bird",$K9&gt;0),"yes","")</f>
        <v/>
      </c>
      <c r="H9" s="15"/>
      <c r="I9" s="15" t="str">
        <f aca="false">IF($E9="bird",IF(COUNTIF('eBird List'!$A:$A,$B9)&gt;0,"yes","no"),"")</f>
        <v>yes</v>
      </c>
      <c r="J9" s="16" t="n">
        <f aca="false">IF(COUNTIF('eBird List'!$A:$A,$B9)=0,"",INDEX('eBird List'!$C:$C,MATCH($B9,'eBird List'!$A:$A,0)))</f>
        <v>0.186829878484632</v>
      </c>
      <c r="K9" s="15" t="n">
        <f aca="false">COUNTIFS(Clips!$B:$B,"site",Clips!$F:$F,$B9)+COUNTIFS(Clips!$B:$B,"site",Clips!$O:$O,"*"&amp;$B9&amp;"*")</f>
        <v>0</v>
      </c>
      <c r="L9" s="15" t="n">
        <f aca="false">COUNTIFS(Clips!$F:$F,$B9,Clips!$B:$B,"macaulay")</f>
        <v>49</v>
      </c>
      <c r="M9" s="15" t="n">
        <f aca="false">COUNTIFS(Clips!$F:$F,$B9,Clips!$B:$B,"xeno-canto")</f>
        <v>0</v>
      </c>
      <c r="N9" s="15" t="n">
        <f aca="false">K9+L9+M9</f>
        <v>49</v>
      </c>
      <c r="O9" s="15" t="n">
        <f aca="false">COUNTIFS(Clips!$F:$F,$B9,Clips!$C:$C,"excluded")</f>
        <v>0</v>
      </c>
      <c r="P9" s="15" t="n">
        <f aca="false">COUNTIFS(Clips!$F:$F,$B9,Clips!$C:$C,"train")</f>
        <v>35</v>
      </c>
      <c r="Q9" s="15" t="n">
        <f aca="false">COUNTIFS(Clips!$F:$F,$B9,Clips!$C:$C,"val")</f>
        <v>7</v>
      </c>
      <c r="R9" s="15" t="n">
        <f aca="false">COUNTIFS(Clips!$F:$F,$B9,Clips!$C:$C,"test")</f>
        <v>7</v>
      </c>
      <c r="S9" s="17" t="n">
        <f aca="false">SUMIFS(Clips!$I:$I,Clips!$F:$F,$B9,Clips!$C:$C,"train")/60</f>
        <v>75.4004333333333</v>
      </c>
      <c r="T9" s="17" t="n">
        <f aca="false">SUMIFS(Clips!$I:$I,Clips!$F:$F,$B9,Clips!$C:$C,"val")/60</f>
        <v>15.5305333333333</v>
      </c>
      <c r="U9" s="17" t="n">
        <f aca="false">SUMIFS(Clips!$I:$I,Clips!$F:$F,$B9,Clips!$C:$C,"test")/60</f>
        <v>3.01353333333333</v>
      </c>
      <c r="V9" s="15" t="n">
        <f aca="false">SUMIFS(Clips!$J:$J,Clips!$F:$F,$B9,Clips!$C:$C,"train")</f>
        <v>771</v>
      </c>
      <c r="W9" s="18" t="n">
        <f aca="false">IF(V9=0,"",Splits!$B$49/(Splits!$B$50*V9))</f>
        <v>0.202108264199887</v>
      </c>
      <c r="X9" s="15" t="str">
        <f aca="false">IF(P9&gt;0,IF(AND(Q9&gt;0,R9&gt;0),"train + val + test",IF(R9&gt;0,"train + test","train only")),IF(R9&gt;0,"test only (unknown class)",IF(K9&gt;0,"site extract only","no usable audio")))</f>
        <v>train + val + test</v>
      </c>
      <c r="Y9" s="15" t="str">
        <f aca="false">IF($P9=0,"",IF($E9="nonbird",$B9,IF($G9="yes",$B9,"other bird")))</f>
        <v>other bird</v>
      </c>
      <c r="Z9" s="15" t="str">
        <f aca="false">IF(AND($F9="core",$P9&gt;0),$B9,"")</f>
        <v>Bay Wren</v>
      </c>
      <c r="AA9" s="15" t="str">
        <f aca="false">IF($P9&gt;0,$B9,"")</f>
        <v>Bay Wren</v>
      </c>
      <c r="AB9" s="15" t="n">
        <v>37</v>
      </c>
      <c r="AC9" s="15" t="n">
        <v>23</v>
      </c>
      <c r="AD9" s="17" t="n">
        <f aca="false">IF(COUNTIFS(Clips!$F:$F,$B9,Clips!$M:$M,"&gt;0",Clips!$C:$C,"&lt;&gt;excluded")=0,"",AVERAGEIFS(Clips!$M:$M,Clips!$F:$F,$B9,Clips!$M:$M,"&gt;0",Clips!$C:$C,"&lt;&gt;excluded"))</f>
        <v>3.47777777777778</v>
      </c>
      <c r="AE9" s="15" t="n">
        <f aca="false">COUNTIFS(Clips!$F:$F,$B9,Clips!$O:$O,"&lt;&gt;",Clips!$B:$B,"&lt;&gt;site",Clips!$C:$C,"&lt;&gt;excluded")</f>
        <v>4</v>
      </c>
      <c r="AF9" s="15" t="n">
        <f aca="false">COUNTIFS(Clips!$F:$F,$B9,Clips!$I:$I,"&lt;5",Clips!$C:$C,"&lt;&gt;excluded")</f>
        <v>3</v>
      </c>
      <c r="AG9" s="5"/>
    </row>
    <row r="10" customFormat="false" ht="15" hidden="false" customHeight="false" outlineLevel="0" collapsed="false">
      <c r="A10" s="15" t="n">
        <v>21</v>
      </c>
      <c r="B10" s="15" t="s">
        <v>175</v>
      </c>
      <c r="C10" s="15" t="s">
        <v>176</v>
      </c>
      <c r="D10" s="15" t="s">
        <v>177</v>
      </c>
      <c r="E10" s="15" t="s">
        <v>147</v>
      </c>
      <c r="F10" s="15" t="s">
        <v>148</v>
      </c>
      <c r="G10" s="15" t="str">
        <f aca="false">IF(AND($E10="bird",$K10&gt;0),"yes","")</f>
        <v/>
      </c>
      <c r="H10" s="15"/>
      <c r="I10" s="15" t="str">
        <f aca="false">IF($E10="bird",IF(COUNTIF('eBird List'!$A:$A,$B10)&gt;0,"yes","no"),"")</f>
        <v>yes</v>
      </c>
      <c r="J10" s="16" t="n">
        <f aca="false">IF(COUNTIF('eBird List'!$A:$A,$B10)=0,"",INDEX('eBird List'!$C:$C,MATCH($B10,'eBird List'!$A:$A,0)))</f>
        <v>0.206069811770312</v>
      </c>
      <c r="K10" s="15" t="n">
        <f aca="false">COUNTIFS(Clips!$B:$B,"site",Clips!$F:$F,$B10)+COUNTIFS(Clips!$B:$B,"site",Clips!$O:$O,"*"&amp;$B10&amp;"*")</f>
        <v>0</v>
      </c>
      <c r="L10" s="15" t="n">
        <f aca="false">COUNTIFS(Clips!$F:$F,$B10,Clips!$B:$B,"macaulay")</f>
        <v>49</v>
      </c>
      <c r="M10" s="15" t="n">
        <f aca="false">COUNTIFS(Clips!$F:$F,$B10,Clips!$B:$B,"xeno-canto")</f>
        <v>0</v>
      </c>
      <c r="N10" s="15" t="n">
        <f aca="false">K10+L10+M10</f>
        <v>49</v>
      </c>
      <c r="O10" s="15" t="n">
        <f aca="false">COUNTIFS(Clips!$F:$F,$B10,Clips!$C:$C,"excluded")</f>
        <v>0</v>
      </c>
      <c r="P10" s="15" t="n">
        <f aca="false">COUNTIFS(Clips!$F:$F,$B10,Clips!$C:$C,"train")</f>
        <v>35</v>
      </c>
      <c r="Q10" s="15" t="n">
        <f aca="false">COUNTIFS(Clips!$F:$F,$B10,Clips!$C:$C,"val")</f>
        <v>7</v>
      </c>
      <c r="R10" s="15" t="n">
        <f aca="false">COUNTIFS(Clips!$F:$F,$B10,Clips!$C:$C,"test")</f>
        <v>7</v>
      </c>
      <c r="S10" s="17" t="n">
        <f aca="false">SUMIFS(Clips!$I:$I,Clips!$F:$F,$B10,Clips!$C:$C,"train")/60</f>
        <v>15.8373166666667</v>
      </c>
      <c r="T10" s="17" t="n">
        <f aca="false">SUMIFS(Clips!$I:$I,Clips!$F:$F,$B10,Clips!$C:$C,"val")/60</f>
        <v>9.57635</v>
      </c>
      <c r="U10" s="17" t="n">
        <f aca="false">SUMIFS(Clips!$I:$I,Clips!$F:$F,$B10,Clips!$C:$C,"test")/60</f>
        <v>3.96151666666667</v>
      </c>
      <c r="V10" s="15" t="n">
        <f aca="false">SUMIFS(Clips!$J:$J,Clips!$F:$F,$B10,Clips!$C:$C,"train")</f>
        <v>207</v>
      </c>
      <c r="W10" s="18" t="n">
        <f aca="false">IF(V10=0,"",Splits!$B$49/(Splits!$B$50*V10))</f>
        <v>0.752780056512624</v>
      </c>
      <c r="X10" s="15" t="str">
        <f aca="false">IF(P10&gt;0,IF(AND(Q10&gt;0,R10&gt;0),"train + val + test",IF(R10&gt;0,"train + test","train only")),IF(R10&gt;0,"test only (unknown class)",IF(K10&gt;0,"site extract only","no usable audio")))</f>
        <v>train + val + test</v>
      </c>
      <c r="Y10" s="15" t="str">
        <f aca="false">IF($P10=0,"",IF($E10="nonbird",$B10,IF($G10="yes",$B10,"other bird")))</f>
        <v>other bird</v>
      </c>
      <c r="Z10" s="15" t="str">
        <f aca="false">IF(AND($F10="core",$P10&gt;0),$B10,"")</f>
        <v>Black-crowned Antshrike</v>
      </c>
      <c r="AA10" s="15" t="str">
        <f aca="false">IF($P10&gt;0,$B10,"")</f>
        <v>Black-crowned Antshrike</v>
      </c>
      <c r="AB10" s="15" t="n">
        <v>46</v>
      </c>
      <c r="AC10" s="15" t="n">
        <v>36</v>
      </c>
      <c r="AD10" s="17" t="n">
        <f aca="false">IF(COUNTIFS(Clips!$F:$F,$B10,Clips!$M:$M,"&gt;0",Clips!$C:$C,"&lt;&gt;excluded")=0,"",AVERAGEIFS(Clips!$M:$M,Clips!$F:$F,$B10,Clips!$M:$M,"&gt;0",Clips!$C:$C,"&lt;&gt;excluded"))</f>
        <v>3.045</v>
      </c>
      <c r="AE10" s="15" t="n">
        <f aca="false">COUNTIFS(Clips!$F:$F,$B10,Clips!$O:$O,"&lt;&gt;",Clips!$B:$B,"&lt;&gt;site",Clips!$C:$C,"&lt;&gt;excluded")</f>
        <v>3</v>
      </c>
      <c r="AF10" s="15" t="n">
        <f aca="false">COUNTIFS(Clips!$F:$F,$B10,Clips!$I:$I,"&lt;5",Clips!$C:$C,"&lt;&gt;excluded")</f>
        <v>3</v>
      </c>
      <c r="AG10" s="5"/>
    </row>
    <row r="11" customFormat="false" ht="15" hidden="false" customHeight="false" outlineLevel="0" collapsed="false">
      <c r="A11" s="15" t="n">
        <v>29</v>
      </c>
      <c r="B11" s="15" t="s">
        <v>178</v>
      </c>
      <c r="C11" s="15" t="s">
        <v>179</v>
      </c>
      <c r="D11" s="15" t="s">
        <v>180</v>
      </c>
      <c r="E11" s="15" t="s">
        <v>147</v>
      </c>
      <c r="F11" s="15" t="s">
        <v>148</v>
      </c>
      <c r="G11" s="15" t="str">
        <f aca="false">IF(AND($E11="bird",$K11&gt;0),"yes","")</f>
        <v/>
      </c>
      <c r="H11" s="15"/>
      <c r="I11" s="15" t="str">
        <f aca="false">IF($E11="bird",IF(COUNTIF('eBird List'!$A:$A,$B11)&gt;0,"yes","no"),"")</f>
        <v>yes</v>
      </c>
      <c r="J11" s="16" t="n">
        <f aca="false">IF(COUNTIF('eBird List'!$A:$A,$B11)=0,"",INDEX('eBird List'!$C:$C,MATCH($B11,'eBird List'!$A:$A,0)))</f>
        <v>0.119519895163212</v>
      </c>
      <c r="K11" s="15" t="n">
        <f aca="false">COUNTIFS(Clips!$B:$B,"site",Clips!$F:$F,$B11)+COUNTIFS(Clips!$B:$B,"site",Clips!$O:$O,"*"&amp;$B11&amp;"*")</f>
        <v>0</v>
      </c>
      <c r="L11" s="15" t="n">
        <f aca="false">COUNTIFS(Clips!$F:$F,$B11,Clips!$B:$B,"macaulay")</f>
        <v>47</v>
      </c>
      <c r="M11" s="15" t="n">
        <f aca="false">COUNTIFS(Clips!$F:$F,$B11,Clips!$B:$B,"xeno-canto")</f>
        <v>2</v>
      </c>
      <c r="N11" s="15" t="n">
        <f aca="false">K11+L11+M11</f>
        <v>49</v>
      </c>
      <c r="O11" s="15" t="n">
        <f aca="false">COUNTIFS(Clips!$F:$F,$B11,Clips!$C:$C,"excluded")</f>
        <v>0</v>
      </c>
      <c r="P11" s="15" t="n">
        <f aca="false">COUNTIFS(Clips!$F:$F,$B11,Clips!$C:$C,"train")</f>
        <v>35</v>
      </c>
      <c r="Q11" s="15" t="n">
        <f aca="false">COUNTIFS(Clips!$F:$F,$B11,Clips!$C:$C,"val")</f>
        <v>7</v>
      </c>
      <c r="R11" s="15" t="n">
        <f aca="false">COUNTIFS(Clips!$F:$F,$B11,Clips!$C:$C,"test")</f>
        <v>7</v>
      </c>
      <c r="S11" s="17" t="n">
        <f aca="false">SUMIFS(Clips!$I:$I,Clips!$F:$F,$B11,Clips!$C:$C,"train")/60</f>
        <v>60.3450666666667</v>
      </c>
      <c r="T11" s="17" t="n">
        <f aca="false">SUMIFS(Clips!$I:$I,Clips!$F:$F,$B11,Clips!$C:$C,"val")/60</f>
        <v>21.7583</v>
      </c>
      <c r="U11" s="17" t="n">
        <f aca="false">SUMIFS(Clips!$I:$I,Clips!$F:$F,$B11,Clips!$C:$C,"test")/60</f>
        <v>7.22955</v>
      </c>
      <c r="V11" s="15" t="n">
        <f aca="false">SUMIFS(Clips!$J:$J,Clips!$F:$F,$B11,Clips!$C:$C,"train")</f>
        <v>691</v>
      </c>
      <c r="W11" s="18" t="n">
        <f aca="false">IF(V11=0,"",Splits!$B$49/(Splits!$B$50*V11))</f>
        <v>0.225507194932146</v>
      </c>
      <c r="X11" s="15" t="str">
        <f aca="false">IF(P11&gt;0,IF(AND(Q11&gt;0,R11&gt;0),"train + val + test",IF(R11&gt;0,"train + test","train only")),IF(R11&gt;0,"test only (unknown class)",IF(K11&gt;0,"site extract only","no usable audio")))</f>
        <v>train + val + test</v>
      </c>
      <c r="Y11" s="15" t="str">
        <f aca="false">IF($P11=0,"",IF($E11="nonbird",$B11,IF($G11="yes",$B11,"other bird")))</f>
        <v>other bird</v>
      </c>
      <c r="Z11" s="15" t="str">
        <f aca="false">IF(AND($F11="core",$P11&gt;0),$B11,"")</f>
        <v>Black-throated Wren</v>
      </c>
      <c r="AA11" s="15" t="str">
        <f aca="false">IF($P11&gt;0,$B11,"")</f>
        <v>Black-throated Wren</v>
      </c>
      <c r="AB11" s="15" t="n">
        <v>38</v>
      </c>
      <c r="AC11" s="15" t="n">
        <v>26</v>
      </c>
      <c r="AD11" s="17" t="n">
        <f aca="false">IF(COUNTIFS(Clips!$F:$F,$B11,Clips!$M:$M,"&gt;0",Clips!$C:$C,"&lt;&gt;excluded")=0,"",AVERAGEIFS(Clips!$M:$M,Clips!$F:$F,$B11,Clips!$M:$M,"&gt;0",Clips!$C:$C,"&lt;&gt;excluded"))</f>
        <v>3.05555555555556</v>
      </c>
      <c r="AE11" s="15" t="n">
        <f aca="false">COUNTIFS(Clips!$F:$F,$B11,Clips!$O:$O,"&lt;&gt;",Clips!$B:$B,"&lt;&gt;site",Clips!$C:$C,"&lt;&gt;excluded")</f>
        <v>1</v>
      </c>
      <c r="AF11" s="15" t="n">
        <f aca="false">COUNTIFS(Clips!$F:$F,$B11,Clips!$I:$I,"&lt;5",Clips!$C:$C,"&lt;&gt;excluded")</f>
        <v>3</v>
      </c>
      <c r="AG11" s="5"/>
    </row>
    <row r="12" customFormat="false" ht="15" hidden="false" customHeight="false" outlineLevel="0" collapsed="false">
      <c r="A12" s="15" t="n">
        <v>38</v>
      </c>
      <c r="B12" s="15" t="s">
        <v>181</v>
      </c>
      <c r="C12" s="15" t="s">
        <v>182</v>
      </c>
      <c r="D12" s="15" t="s">
        <v>183</v>
      </c>
      <c r="E12" s="15" t="s">
        <v>147</v>
      </c>
      <c r="F12" s="15" t="s">
        <v>148</v>
      </c>
      <c r="G12" s="15" t="str">
        <f aca="false">IF(AND($E12="bird",$K12&gt;0),"yes","")</f>
        <v/>
      </c>
      <c r="H12" s="15"/>
      <c r="I12" s="15" t="str">
        <f aca="false">IF($E12="bird",IF(COUNTIF('eBird List'!$A:$A,$B12)&gt;0,"yes","no"),"")</f>
        <v>yes</v>
      </c>
      <c r="J12" s="16" t="n">
        <f aca="false">IF(COUNTIF('eBird List'!$A:$A,$B12)=0,"",INDEX('eBird List'!$C:$C,MATCH($B12,'eBird List'!$A:$A,0)))</f>
        <v>0.255390755301406</v>
      </c>
      <c r="K12" s="15" t="n">
        <f aca="false">COUNTIFS(Clips!$B:$B,"site",Clips!$F:$F,$B12)+COUNTIFS(Clips!$B:$B,"site",Clips!$O:$O,"*"&amp;$B12&amp;"*")</f>
        <v>0</v>
      </c>
      <c r="L12" s="15" t="n">
        <f aca="false">COUNTIFS(Clips!$F:$F,$B12,Clips!$B:$B,"macaulay")</f>
        <v>48</v>
      </c>
      <c r="M12" s="15" t="n">
        <f aca="false">COUNTIFS(Clips!$F:$F,$B12,Clips!$B:$B,"xeno-canto")</f>
        <v>0</v>
      </c>
      <c r="N12" s="15" t="n">
        <f aca="false">K12+L12+M12</f>
        <v>48</v>
      </c>
      <c r="O12" s="15" t="n">
        <f aca="false">COUNTIFS(Clips!$F:$F,$B12,Clips!$C:$C,"excluded")</f>
        <v>1</v>
      </c>
      <c r="P12" s="15" t="n">
        <f aca="false">COUNTIFS(Clips!$F:$F,$B12,Clips!$C:$C,"train")</f>
        <v>33</v>
      </c>
      <c r="Q12" s="15" t="n">
        <f aca="false">COUNTIFS(Clips!$F:$F,$B12,Clips!$C:$C,"val")</f>
        <v>7</v>
      </c>
      <c r="R12" s="15" t="n">
        <f aca="false">COUNTIFS(Clips!$F:$F,$B12,Clips!$C:$C,"test")</f>
        <v>7</v>
      </c>
      <c r="S12" s="17" t="n">
        <f aca="false">SUMIFS(Clips!$I:$I,Clips!$F:$F,$B12,Clips!$C:$C,"train")/60</f>
        <v>30.72125</v>
      </c>
      <c r="T12" s="17" t="n">
        <f aca="false">SUMIFS(Clips!$I:$I,Clips!$F:$F,$B12,Clips!$C:$C,"val")/60</f>
        <v>4.0745</v>
      </c>
      <c r="U12" s="17" t="n">
        <f aca="false">SUMIFS(Clips!$I:$I,Clips!$F:$F,$B12,Clips!$C:$C,"test")/60</f>
        <v>7.23041666666667</v>
      </c>
      <c r="V12" s="15" t="n">
        <f aca="false">SUMIFS(Clips!$J:$J,Clips!$F:$F,$B12,Clips!$C:$C,"train")</f>
        <v>386</v>
      </c>
      <c r="W12" s="18" t="n">
        <f aca="false">IF(V12=0,"",Splits!$B$49/(Splits!$B$50*V12))</f>
        <v>0.403692931860397</v>
      </c>
      <c r="X12" s="15" t="str">
        <f aca="false">IF(P12&gt;0,IF(AND(Q12&gt;0,R12&gt;0),"train + val + test",IF(R12&gt;0,"train + test","train only")),IF(R12&gt;0,"test only (unknown class)",IF(K12&gt;0,"site extract only","no usable audio")))</f>
        <v>train + val + test</v>
      </c>
      <c r="Y12" s="15" t="str">
        <f aca="false">IF($P12=0,"",IF($E12="nonbird",$B12,IF($G12="yes",$B12,"other bird")))</f>
        <v>other bird</v>
      </c>
      <c r="Z12" s="15" t="str">
        <f aca="false">IF(AND($F12="core",$P12&gt;0),$B12,"")</f>
        <v>Bright-rumped Attila</v>
      </c>
      <c r="AA12" s="15" t="str">
        <f aca="false">IF($P12&gt;0,$B12,"")</f>
        <v>Bright-rumped Attila</v>
      </c>
      <c r="AB12" s="15" t="n">
        <v>38</v>
      </c>
      <c r="AC12" s="15" t="n">
        <v>26</v>
      </c>
      <c r="AD12" s="17" t="n">
        <f aca="false">IF(COUNTIFS(Clips!$F:$F,$B12,Clips!$M:$M,"&gt;0",Clips!$C:$C,"&lt;&gt;excluded")=0,"",AVERAGEIFS(Clips!$M:$M,Clips!$F:$F,$B12,Clips!$M:$M,"&gt;0",Clips!$C:$C,"&lt;&gt;excluded"))</f>
        <v>3.29148148148148</v>
      </c>
      <c r="AE12" s="15" t="n">
        <f aca="false">COUNTIFS(Clips!$F:$F,$B12,Clips!$O:$O,"&lt;&gt;",Clips!$B:$B,"&lt;&gt;site",Clips!$C:$C,"&lt;&gt;excluded")</f>
        <v>4</v>
      </c>
      <c r="AF12" s="15" t="n">
        <f aca="false">COUNTIFS(Clips!$F:$F,$B12,Clips!$I:$I,"&lt;5",Clips!$C:$C,"&lt;&gt;excluded")</f>
        <v>4</v>
      </c>
      <c r="AG12" s="5"/>
    </row>
    <row r="13" customFormat="false" ht="15" hidden="false" customHeight="false" outlineLevel="0" collapsed="false">
      <c r="A13" s="15" t="n">
        <v>39</v>
      </c>
      <c r="B13" s="15" t="s">
        <v>184</v>
      </c>
      <c r="C13" s="15" t="s">
        <v>185</v>
      </c>
      <c r="D13" s="15" t="s">
        <v>186</v>
      </c>
      <c r="E13" s="15" t="s">
        <v>147</v>
      </c>
      <c r="F13" s="15" t="s">
        <v>148</v>
      </c>
      <c r="G13" s="15" t="str">
        <f aca="false">IF(AND($E13="bird",$K13&gt;0),"yes","")</f>
        <v>yes</v>
      </c>
      <c r="H13" s="15" t="s">
        <v>149</v>
      </c>
      <c r="I13" s="15" t="str">
        <f aca="false">IF($E13="bird",IF(COUNTIF('eBird List'!$A:$A,$B13)&gt;0,"yes","no"),"")</f>
        <v>yes</v>
      </c>
      <c r="J13" s="16" t="n">
        <f aca="false">IF(COUNTIF('eBird List'!$A:$A,$B13)=0,"",INDEX('eBird List'!$C:$C,MATCH($B13,'eBird List'!$A:$A,0)))</f>
        <v>0.35540266857279</v>
      </c>
      <c r="K13" s="15" t="n">
        <f aca="false">COUNTIFS(Clips!$B:$B,"site",Clips!$F:$F,$B13)+COUNTIFS(Clips!$B:$B,"site",Clips!$O:$O,"*"&amp;$B13&amp;"*")</f>
        <v>3</v>
      </c>
      <c r="L13" s="15" t="n">
        <f aca="false">COUNTIFS(Clips!$F:$F,$B13,Clips!$B:$B,"macaulay")</f>
        <v>48</v>
      </c>
      <c r="M13" s="15" t="n">
        <f aca="false">COUNTIFS(Clips!$F:$F,$B13,Clips!$B:$B,"xeno-canto")</f>
        <v>0</v>
      </c>
      <c r="N13" s="15" t="n">
        <f aca="false">K13+L13+M13</f>
        <v>51</v>
      </c>
      <c r="O13" s="15" t="n">
        <f aca="false">COUNTIFS(Clips!$F:$F,$B13,Clips!$C:$C,"excluded")</f>
        <v>1</v>
      </c>
      <c r="P13" s="15" t="n">
        <f aca="false">COUNTIFS(Clips!$F:$F,$B13,Clips!$C:$C,"train")</f>
        <v>33</v>
      </c>
      <c r="Q13" s="15" t="n">
        <f aca="false">COUNTIFS(Clips!$F:$F,$B13,Clips!$C:$C,"val")</f>
        <v>7</v>
      </c>
      <c r="R13" s="15" t="n">
        <f aca="false">COUNTIFS(Clips!$F:$F,$B13,Clips!$C:$C,"test")</f>
        <v>7</v>
      </c>
      <c r="S13" s="17" t="n">
        <f aca="false">SUMIFS(Clips!$I:$I,Clips!$F:$F,$B13,Clips!$C:$C,"train")/60</f>
        <v>32.2701666666667</v>
      </c>
      <c r="T13" s="17" t="n">
        <f aca="false">SUMIFS(Clips!$I:$I,Clips!$F:$F,$B13,Clips!$C:$C,"val")/60</f>
        <v>5.11313333333333</v>
      </c>
      <c r="U13" s="17" t="n">
        <f aca="false">SUMIFS(Clips!$I:$I,Clips!$F:$F,$B13,Clips!$C:$C,"test")/60</f>
        <v>4.47446666666667</v>
      </c>
      <c r="V13" s="15" t="n">
        <f aca="false">SUMIFS(Clips!$J:$J,Clips!$F:$F,$B13,Clips!$C:$C,"train")</f>
        <v>402</v>
      </c>
      <c r="W13" s="18" t="n">
        <f aca="false">IF(V13=0,"",Splits!$B$49/(Splits!$B$50*V13))</f>
        <v>0.387625551487844</v>
      </c>
      <c r="X13" s="15" t="str">
        <f aca="false">IF(P13&gt;0,IF(AND(Q13&gt;0,R13&gt;0),"train + val + test",IF(R13&gt;0,"train + test","train only")),IF(R13&gt;0,"test only (unknown class)",IF(K13&gt;0,"site extract only","no usable audio")))</f>
        <v>train + val + test</v>
      </c>
      <c r="Y13" s="15" t="str">
        <f aca="false">IF($P13=0,"",IF($E13="nonbird",$B13,IF($G13="yes",$B13,"other bird")))</f>
        <v>Broad-billed Motmot</v>
      </c>
      <c r="Z13" s="15" t="str">
        <f aca="false">IF(AND($F13="core",$P13&gt;0),$B13,"")</f>
        <v>Broad-billed Motmot</v>
      </c>
      <c r="AA13" s="15" t="str">
        <f aca="false">IF($P13&gt;0,$B13,"")</f>
        <v>Broad-billed Motmot</v>
      </c>
      <c r="AB13" s="15" t="n">
        <v>40</v>
      </c>
      <c r="AC13" s="15" t="n">
        <v>28</v>
      </c>
      <c r="AD13" s="17" t="n">
        <f aca="false">IF(COUNTIFS(Clips!$F:$F,$B13,Clips!$M:$M,"&gt;0",Clips!$C:$C,"&lt;&gt;excluded")=0,"",AVERAGEIFS(Clips!$M:$M,Clips!$F:$F,$B13,Clips!$M:$M,"&gt;0",Clips!$C:$C,"&lt;&gt;excluded"))</f>
        <v>2.70088235294118</v>
      </c>
      <c r="AE13" s="15" t="n">
        <f aca="false">COUNTIFS(Clips!$F:$F,$B13,Clips!$O:$O,"&lt;&gt;",Clips!$B:$B,"&lt;&gt;site",Clips!$C:$C,"&lt;&gt;excluded")</f>
        <v>6</v>
      </c>
      <c r="AF13" s="15" t="n">
        <f aca="false">COUNTIFS(Clips!$F:$F,$B13,Clips!$I:$I,"&lt;5",Clips!$C:$C,"&lt;&gt;excluded")</f>
        <v>1</v>
      </c>
      <c r="AG13" s="5" t="s">
        <v>187</v>
      </c>
    </row>
    <row r="14" customFormat="false" ht="15" hidden="false" customHeight="false" outlineLevel="0" collapsed="false">
      <c r="A14" s="15" t="n">
        <v>199</v>
      </c>
      <c r="B14" s="15" t="s">
        <v>188</v>
      </c>
      <c r="C14" s="15" t="s">
        <v>189</v>
      </c>
      <c r="D14" s="15" t="s">
        <v>190</v>
      </c>
      <c r="E14" s="15" t="s">
        <v>147</v>
      </c>
      <c r="F14" s="15" t="s">
        <v>148</v>
      </c>
      <c r="G14" s="15" t="str">
        <f aca="false">IF(AND($E14="bird",$K14&gt;0),"yes","")</f>
        <v>yes</v>
      </c>
      <c r="H14" s="15" t="s">
        <v>149</v>
      </c>
      <c r="I14" s="15" t="str">
        <f aca="false">IF($E14="bird",IF(COUNTIF('eBird List'!$A:$A,$B14)&gt;0,"yes","no"),"")</f>
        <v>yes</v>
      </c>
      <c r="J14" s="16" t="n">
        <f aca="false">IF(COUNTIF('eBird List'!$A:$A,$B14)=0,"",INDEX('eBird List'!$C:$C,MATCH($B14,'eBird List'!$A:$A,0)))</f>
        <v>0.204431736954968</v>
      </c>
      <c r="K14" s="15" t="n">
        <f aca="false">COUNTIFS(Clips!$B:$B,"site",Clips!$F:$F,$B14)+COUNTIFS(Clips!$B:$B,"site",Clips!$O:$O,"*"&amp;$B14&amp;"*")</f>
        <v>1</v>
      </c>
      <c r="L14" s="15" t="n">
        <f aca="false">COUNTIFS(Clips!$F:$F,$B14,Clips!$B:$B,"macaulay")</f>
        <v>45</v>
      </c>
      <c r="M14" s="15" t="n">
        <f aca="false">COUNTIFS(Clips!$F:$F,$B14,Clips!$B:$B,"xeno-canto")</f>
        <v>2</v>
      </c>
      <c r="N14" s="15" t="n">
        <f aca="false">K14+L14+M14</f>
        <v>48</v>
      </c>
      <c r="O14" s="15" t="n">
        <f aca="false">COUNTIFS(Clips!$F:$F,$B14,Clips!$C:$C,"excluded")</f>
        <v>0</v>
      </c>
      <c r="P14" s="15" t="n">
        <f aca="false">COUNTIFS(Clips!$F:$F,$B14,Clips!$C:$C,"train")</f>
        <v>33</v>
      </c>
      <c r="Q14" s="15" t="n">
        <f aca="false">COUNTIFS(Clips!$F:$F,$B14,Clips!$C:$C,"val")</f>
        <v>7</v>
      </c>
      <c r="R14" s="15" t="n">
        <f aca="false">COUNTIFS(Clips!$F:$F,$B14,Clips!$C:$C,"test")</f>
        <v>7</v>
      </c>
      <c r="S14" s="17" t="n">
        <f aca="false">SUMIFS(Clips!$I:$I,Clips!$F:$F,$B14,Clips!$C:$C,"train")/60</f>
        <v>31.0886666666667</v>
      </c>
      <c r="T14" s="17" t="n">
        <f aca="false">SUMIFS(Clips!$I:$I,Clips!$F:$F,$B14,Clips!$C:$C,"val")/60</f>
        <v>9.49983333333333</v>
      </c>
      <c r="U14" s="17" t="n">
        <f aca="false">SUMIFS(Clips!$I:$I,Clips!$F:$F,$B14,Clips!$C:$C,"test")/60</f>
        <v>13.2292833333333</v>
      </c>
      <c r="V14" s="15" t="n">
        <f aca="false">SUMIFS(Clips!$J:$J,Clips!$F:$F,$B14,Clips!$C:$C,"train")</f>
        <v>391</v>
      </c>
      <c r="W14" s="18" t="n">
        <f aca="false">IF(V14=0,"",Splits!$B$49/(Splits!$B$50*V14))</f>
        <v>0.398530618153742</v>
      </c>
      <c r="X14" s="15" t="str">
        <f aca="false">IF(P14&gt;0,IF(AND(Q14&gt;0,R14&gt;0),"train + val + test",IF(R14&gt;0,"train + test","train only")),IF(R14&gt;0,"test only (unknown class)",IF(K14&gt;0,"site extract only","no usable audio")))</f>
        <v>train + val + test</v>
      </c>
      <c r="Y14" s="15" t="str">
        <f aca="false">IF($P14=0,"",IF($E14="nonbird",$B14,IF($G14="yes",$B14,"other bird")))</f>
        <v>Stripe-breasted Wren</v>
      </c>
      <c r="Z14" s="15" t="str">
        <f aca="false">IF(AND($F14="core",$P14&gt;0),$B14,"")</f>
        <v>Stripe-breasted Wren</v>
      </c>
      <c r="AA14" s="15" t="str">
        <f aca="false">IF($P14&gt;0,$B14,"")</f>
        <v>Stripe-breasted Wren</v>
      </c>
      <c r="AB14" s="15" t="n">
        <v>35</v>
      </c>
      <c r="AC14" s="15" t="n">
        <v>23</v>
      </c>
      <c r="AD14" s="17" t="n">
        <f aca="false">IF(COUNTIFS(Clips!$F:$F,$B14,Clips!$M:$M,"&gt;0",Clips!$C:$C,"&lt;&gt;excluded")=0,"",AVERAGEIFS(Clips!$M:$M,Clips!$F:$F,$B14,Clips!$M:$M,"&gt;0",Clips!$C:$C,"&lt;&gt;excluded"))</f>
        <v>3.2825</v>
      </c>
      <c r="AE14" s="15" t="n">
        <f aca="false">COUNTIFS(Clips!$F:$F,$B14,Clips!$O:$O,"&lt;&gt;",Clips!$B:$B,"&lt;&gt;site",Clips!$C:$C,"&lt;&gt;excluded")</f>
        <v>7</v>
      </c>
      <c r="AF14" s="15" t="n">
        <f aca="false">COUNTIFS(Clips!$F:$F,$B14,Clips!$I:$I,"&lt;5",Clips!$C:$C,"&lt;&gt;excluded")</f>
        <v>1</v>
      </c>
      <c r="AG14" s="5"/>
    </row>
    <row r="15" customFormat="false" ht="15" hidden="false" customHeight="false" outlineLevel="0" collapsed="false">
      <c r="A15" s="15" t="n">
        <v>160</v>
      </c>
      <c r="B15" s="15" t="s">
        <v>191</v>
      </c>
      <c r="C15" s="15" t="s">
        <v>192</v>
      </c>
      <c r="D15" s="15" t="s">
        <v>193</v>
      </c>
      <c r="E15" s="15" t="s">
        <v>147</v>
      </c>
      <c r="F15" s="15" t="s">
        <v>148</v>
      </c>
      <c r="G15" s="15" t="str">
        <f aca="false">IF(AND($E15="bird",$K15&gt;0),"yes","")</f>
        <v/>
      </c>
      <c r="H15" s="15"/>
      <c r="I15" s="15" t="str">
        <f aca="false">IF($E15="bird",IF(COUNTIF('eBird List'!$A:$A,$B15)&gt;0,"yes","no"),"")</f>
        <v>yes</v>
      </c>
      <c r="J15" s="16" t="n">
        <f aca="false">IF(COUNTIF('eBird List'!$A:$A,$B15)=0,"",INDEX('eBird List'!$C:$C,MATCH($B15,'eBird List'!$A:$A,0)))</f>
        <v>0.213187991422445</v>
      </c>
      <c r="K15" s="15" t="n">
        <f aca="false">COUNTIFS(Clips!$B:$B,"site",Clips!$F:$F,$B15)+COUNTIFS(Clips!$B:$B,"site",Clips!$O:$O,"*"&amp;$B15&amp;"*")</f>
        <v>0</v>
      </c>
      <c r="L15" s="15" t="n">
        <f aca="false">COUNTIFS(Clips!$F:$F,$B15,Clips!$B:$B,"macaulay")</f>
        <v>43</v>
      </c>
      <c r="M15" s="15" t="n">
        <f aca="false">COUNTIFS(Clips!$F:$F,$B15,Clips!$B:$B,"xeno-canto")</f>
        <v>0</v>
      </c>
      <c r="N15" s="15" t="n">
        <f aca="false">K15+L15+M15</f>
        <v>43</v>
      </c>
      <c r="O15" s="15" t="n">
        <f aca="false">COUNTIFS(Clips!$F:$F,$B15,Clips!$C:$C,"excluded")</f>
        <v>1</v>
      </c>
      <c r="P15" s="15" t="n">
        <f aca="false">COUNTIFS(Clips!$F:$F,$B15,Clips!$C:$C,"train")</f>
        <v>30</v>
      </c>
      <c r="Q15" s="15" t="n">
        <f aca="false">COUNTIFS(Clips!$F:$F,$B15,Clips!$C:$C,"val")</f>
        <v>6</v>
      </c>
      <c r="R15" s="15" t="n">
        <f aca="false">COUNTIFS(Clips!$F:$F,$B15,Clips!$C:$C,"test")</f>
        <v>6</v>
      </c>
      <c r="S15" s="17" t="n">
        <f aca="false">SUMIFS(Clips!$I:$I,Clips!$F:$F,$B15,Clips!$C:$C,"train")/60</f>
        <v>21.5531</v>
      </c>
      <c r="T15" s="17" t="n">
        <f aca="false">SUMIFS(Clips!$I:$I,Clips!$F:$F,$B15,Clips!$C:$C,"val")/60</f>
        <v>12.7516833333333</v>
      </c>
      <c r="U15" s="17" t="n">
        <f aca="false">SUMIFS(Clips!$I:$I,Clips!$F:$F,$B15,Clips!$C:$C,"test")/60</f>
        <v>3.69116666666667</v>
      </c>
      <c r="V15" s="15" t="n">
        <f aca="false">SUMIFS(Clips!$J:$J,Clips!$F:$F,$B15,Clips!$C:$C,"train")</f>
        <v>276</v>
      </c>
      <c r="W15" s="18" t="n">
        <f aca="false">IF(V15=0,"",Splits!$B$49/(Splits!$B$50*V15))</f>
        <v>0.564585042384468</v>
      </c>
      <c r="X15" s="15" t="str">
        <f aca="false">IF(P15&gt;0,IF(AND(Q15&gt;0,R15&gt;0),"train + val + test",IF(R15&gt;0,"train + test","train only")),IF(R15&gt;0,"test only (unknown class)",IF(K15&gt;0,"site extract only","no usable audio")))</f>
        <v>train + val + test</v>
      </c>
      <c r="Y15" s="15" t="str">
        <f aca="false">IF($P15=0,"",IF($E15="nonbird",$B15,IF($G15="yes",$B15,"other bird")))</f>
        <v>other bird</v>
      </c>
      <c r="Z15" s="15" t="str">
        <f aca="false">IF(AND($F15="core",$P15&gt;0),$B15,"")</f>
        <v>Red-throated Ant-Tanager</v>
      </c>
      <c r="AA15" s="15" t="str">
        <f aca="false">IF($P15&gt;0,$B15,"")</f>
        <v>Red-throated Ant-Tanager</v>
      </c>
      <c r="AB15" s="15" t="n">
        <v>30</v>
      </c>
      <c r="AC15" s="15" t="n">
        <v>24</v>
      </c>
      <c r="AD15" s="17" t="n">
        <f aca="false">IF(COUNTIFS(Clips!$F:$F,$B15,Clips!$M:$M,"&gt;0",Clips!$C:$C,"&lt;&gt;excluded")=0,"",AVERAGEIFS(Clips!$M:$M,Clips!$F:$F,$B15,Clips!$M:$M,"&gt;0",Clips!$C:$C,"&lt;&gt;excluded"))</f>
        <v>3.46666666666667</v>
      </c>
      <c r="AE15" s="15" t="n">
        <f aca="false">COUNTIFS(Clips!$F:$F,$B15,Clips!$O:$O,"&lt;&gt;",Clips!$B:$B,"&lt;&gt;site",Clips!$C:$C,"&lt;&gt;excluded")</f>
        <v>4</v>
      </c>
      <c r="AF15" s="15" t="n">
        <f aca="false">COUNTIFS(Clips!$F:$F,$B15,Clips!$I:$I,"&lt;5",Clips!$C:$C,"&lt;&gt;excluded")</f>
        <v>3</v>
      </c>
      <c r="AG15" s="5"/>
    </row>
    <row r="16" customFormat="false" ht="15" hidden="false" customHeight="false" outlineLevel="0" collapsed="false">
      <c r="A16" s="15" t="n">
        <v>219</v>
      </c>
      <c r="B16" s="15" t="s">
        <v>194</v>
      </c>
      <c r="C16" s="15" t="s">
        <v>195</v>
      </c>
      <c r="D16" s="15" t="s">
        <v>196</v>
      </c>
      <c r="E16" s="15" t="s">
        <v>147</v>
      </c>
      <c r="F16" s="15" t="s">
        <v>148</v>
      </c>
      <c r="G16" s="15" t="str">
        <f aca="false">IF(AND($E16="bird",$K16&gt;0),"yes","")</f>
        <v/>
      </c>
      <c r="H16" s="15"/>
      <c r="I16" s="15" t="str">
        <f aca="false">IF($E16="bird",IF(COUNTIF('eBird List'!$A:$A,$B16)&gt;0,"yes","no"),"")</f>
        <v>yes</v>
      </c>
      <c r="J16" s="16" t="n">
        <f aca="false">IF(COUNTIF('eBird List'!$A:$A,$B16)=0,"",INDEX('eBird List'!$C:$C,MATCH($B16,'eBird List'!$A:$A,0)))</f>
        <v>0.357010960209674</v>
      </c>
      <c r="K16" s="15" t="n">
        <f aca="false">COUNTIFS(Clips!$B:$B,"site",Clips!$F:$F,$B16)+COUNTIFS(Clips!$B:$B,"site",Clips!$O:$O,"*"&amp;$B16&amp;"*")</f>
        <v>0</v>
      </c>
      <c r="L16" s="15" t="n">
        <f aca="false">COUNTIFS(Clips!$F:$F,$B16,Clips!$B:$B,"macaulay")</f>
        <v>43</v>
      </c>
      <c r="M16" s="15" t="n">
        <f aca="false">COUNTIFS(Clips!$F:$F,$B16,Clips!$B:$B,"xeno-canto")</f>
        <v>0</v>
      </c>
      <c r="N16" s="15" t="n">
        <f aca="false">K16+L16+M16</f>
        <v>43</v>
      </c>
      <c r="O16" s="15" t="n">
        <f aca="false">COUNTIFS(Clips!$F:$F,$B16,Clips!$C:$C,"excluded")</f>
        <v>1</v>
      </c>
      <c r="P16" s="15" t="n">
        <f aca="false">COUNTIFS(Clips!$F:$F,$B16,Clips!$C:$C,"train")</f>
        <v>30</v>
      </c>
      <c r="Q16" s="15" t="n">
        <f aca="false">COUNTIFS(Clips!$F:$F,$B16,Clips!$C:$C,"val")</f>
        <v>6</v>
      </c>
      <c r="R16" s="15" t="n">
        <f aca="false">COUNTIFS(Clips!$F:$F,$B16,Clips!$C:$C,"test")</f>
        <v>6</v>
      </c>
      <c r="S16" s="17" t="n">
        <f aca="false">SUMIFS(Clips!$I:$I,Clips!$F:$F,$B16,Clips!$C:$C,"train")/60</f>
        <v>44.9964166666667</v>
      </c>
      <c r="T16" s="17" t="n">
        <f aca="false">SUMIFS(Clips!$I:$I,Clips!$F:$F,$B16,Clips!$C:$C,"val")/60</f>
        <v>4.99031666666667</v>
      </c>
      <c r="U16" s="17" t="n">
        <f aca="false">SUMIFS(Clips!$I:$I,Clips!$F:$F,$B16,Clips!$C:$C,"test")/60</f>
        <v>3.10348333333333</v>
      </c>
      <c r="V16" s="15" t="n">
        <f aca="false">SUMIFS(Clips!$J:$J,Clips!$F:$F,$B16,Clips!$C:$C,"train")</f>
        <v>524</v>
      </c>
      <c r="W16" s="18" t="n">
        <f aca="false">IF(V16=0,"",Splits!$B$49/(Splits!$B$50*V16))</f>
        <v>0.297376854385712</v>
      </c>
      <c r="X16" s="15" t="str">
        <f aca="false">IF(P16&gt;0,IF(AND(Q16&gt;0,R16&gt;0),"train + val + test",IF(R16&gt;0,"train + test","train only")),IF(R16&gt;0,"test only (unknown class)",IF(K16&gt;0,"site extract only","no usable audio")))</f>
        <v>train + val + test</v>
      </c>
      <c r="Y16" s="15" t="str">
        <f aca="false">IF($P16=0,"",IF($E16="nonbird",$B16,IF($G16="yes",$B16,"other bird")))</f>
        <v>other bird</v>
      </c>
      <c r="Z16" s="15" t="str">
        <f aca="false">IF(AND($F16="core",$P16&gt;0),$B16,"")</f>
        <v>White-collared Manakin</v>
      </c>
      <c r="AA16" s="15" t="str">
        <f aca="false">IF($P16&gt;0,$B16,"")</f>
        <v>White-collared Manakin</v>
      </c>
      <c r="AB16" s="15" t="n">
        <v>35</v>
      </c>
      <c r="AC16" s="15" t="n">
        <v>30</v>
      </c>
      <c r="AD16" s="17" t="n">
        <f aca="false">IF(COUNTIFS(Clips!$F:$F,$B16,Clips!$M:$M,"&gt;0",Clips!$C:$C,"&lt;&gt;excluded")=0,"",AVERAGEIFS(Clips!$M:$M,Clips!$F:$F,$B16,Clips!$M:$M,"&gt;0",Clips!$C:$C,"&lt;&gt;excluded"))</f>
        <v>3.09142857142857</v>
      </c>
      <c r="AE16" s="15" t="n">
        <f aca="false">COUNTIFS(Clips!$F:$F,$B16,Clips!$O:$O,"&lt;&gt;",Clips!$B:$B,"&lt;&gt;site",Clips!$C:$C,"&lt;&gt;excluded")</f>
        <v>4</v>
      </c>
      <c r="AF16" s="15" t="n">
        <f aca="false">COUNTIFS(Clips!$F:$F,$B16,Clips!$I:$I,"&lt;5",Clips!$C:$C,"&lt;&gt;excluded")</f>
        <v>5</v>
      </c>
      <c r="AG16" s="5"/>
    </row>
    <row r="17" customFormat="false" ht="15" hidden="false" customHeight="false" outlineLevel="0" collapsed="false">
      <c r="A17" s="15" t="n">
        <v>187</v>
      </c>
      <c r="B17" s="15" t="s">
        <v>197</v>
      </c>
      <c r="C17" s="15" t="s">
        <v>198</v>
      </c>
      <c r="D17" s="15" t="s">
        <v>199</v>
      </c>
      <c r="E17" s="15" t="s">
        <v>147</v>
      </c>
      <c r="F17" s="15" t="s">
        <v>148</v>
      </c>
      <c r="G17" s="15" t="str">
        <f aca="false">IF(AND($E17="bird",$K17&gt;0),"yes","")</f>
        <v/>
      </c>
      <c r="H17" s="15"/>
      <c r="I17" s="15" t="str">
        <f aca="false">IF($E17="bird",IF(COUNTIF('eBird List'!$A:$A,$B17)&gt;0,"yes","no"),"")</f>
        <v>yes</v>
      </c>
      <c r="J17" s="16" t="n">
        <f aca="false">IF(COUNTIF('eBird List'!$A:$A,$B17)=0,"",INDEX('eBird List'!$C:$C,MATCH($B17,'eBird List'!$A:$A,0)))</f>
        <v>0.338873004527043</v>
      </c>
      <c r="K17" s="15" t="n">
        <f aca="false">COUNTIFS(Clips!$B:$B,"site",Clips!$F:$F,$B17)+COUNTIFS(Clips!$B:$B,"site",Clips!$O:$O,"*"&amp;$B17&amp;"*")</f>
        <v>0</v>
      </c>
      <c r="L17" s="15" t="n">
        <f aca="false">COUNTIFS(Clips!$F:$F,$B17,Clips!$B:$B,"macaulay")</f>
        <v>39</v>
      </c>
      <c r="M17" s="15" t="n">
        <f aca="false">COUNTIFS(Clips!$F:$F,$B17,Clips!$B:$B,"xeno-canto")</f>
        <v>0</v>
      </c>
      <c r="N17" s="15" t="n">
        <f aca="false">K17+L17+M17</f>
        <v>39</v>
      </c>
      <c r="O17" s="15" t="n">
        <f aca="false">COUNTIFS(Clips!$F:$F,$B17,Clips!$C:$C,"excluded")</f>
        <v>0</v>
      </c>
      <c r="P17" s="15" t="n">
        <f aca="false">COUNTIFS(Clips!$F:$F,$B17,Clips!$C:$C,"train")</f>
        <v>27</v>
      </c>
      <c r="Q17" s="15" t="n">
        <f aca="false">COUNTIFS(Clips!$F:$F,$B17,Clips!$C:$C,"val")</f>
        <v>6</v>
      </c>
      <c r="R17" s="15" t="n">
        <f aca="false">COUNTIFS(Clips!$F:$F,$B17,Clips!$C:$C,"test")</f>
        <v>6</v>
      </c>
      <c r="S17" s="17" t="n">
        <f aca="false">SUMIFS(Clips!$I:$I,Clips!$F:$F,$B17,Clips!$C:$C,"train")/60</f>
        <v>19.8041833333333</v>
      </c>
      <c r="T17" s="17" t="n">
        <f aca="false">SUMIFS(Clips!$I:$I,Clips!$F:$F,$B17,Clips!$C:$C,"val")/60</f>
        <v>4.84806666666667</v>
      </c>
      <c r="U17" s="17" t="n">
        <f aca="false">SUMIFS(Clips!$I:$I,Clips!$F:$F,$B17,Clips!$C:$C,"test")/60</f>
        <v>6.07188333333333</v>
      </c>
      <c r="V17" s="15" t="n">
        <f aca="false">SUMIFS(Clips!$J:$J,Clips!$F:$F,$B17,Clips!$C:$C,"train")</f>
        <v>252</v>
      </c>
      <c r="W17" s="18" t="n">
        <f aca="false">IF(V17=0,"",Splits!$B$49/(Splits!$B$50*V17))</f>
        <v>0.618355046421084</v>
      </c>
      <c r="X17" s="15" t="str">
        <f aca="false">IF(P17&gt;0,IF(AND(Q17&gt;0,R17&gt;0),"train + val + test",IF(R17&gt;0,"train + test","train only")),IF(R17&gt;0,"test only (unknown class)",IF(K17&gt;0,"site extract only","no usable audio")))</f>
        <v>train + val + test</v>
      </c>
      <c r="Y17" s="15" t="str">
        <f aca="false">IF($P17=0,"",IF($E17="nonbird",$B17,IF($G17="yes",$B17,"other bird")))</f>
        <v>other bird</v>
      </c>
      <c r="Z17" s="15" t="str">
        <f aca="false">IF(AND($F17="core",$P17&gt;0),$B17,"")</f>
        <v>Slaty-tailed Trogon</v>
      </c>
      <c r="AA17" s="15" t="str">
        <f aca="false">IF($P17&gt;0,$B17,"")</f>
        <v>Slaty-tailed Trogon</v>
      </c>
      <c r="AB17" s="15" t="n">
        <v>35</v>
      </c>
      <c r="AC17" s="15" t="n">
        <v>25</v>
      </c>
      <c r="AD17" s="17" t="n">
        <f aca="false">IF(COUNTIFS(Clips!$F:$F,$B17,Clips!$M:$M,"&gt;0",Clips!$C:$C,"&lt;&gt;excluded")=0,"",AVERAGEIFS(Clips!$M:$M,Clips!$F:$F,$B17,Clips!$M:$M,"&gt;0",Clips!$C:$C,"&lt;&gt;excluded"))</f>
        <v>2.64193548387097</v>
      </c>
      <c r="AE17" s="15" t="n">
        <f aca="false">COUNTIFS(Clips!$F:$F,$B17,Clips!$O:$O,"&lt;&gt;",Clips!$B:$B,"&lt;&gt;site",Clips!$C:$C,"&lt;&gt;excluded")</f>
        <v>3</v>
      </c>
      <c r="AF17" s="15" t="n">
        <f aca="false">COUNTIFS(Clips!$F:$F,$B17,Clips!$I:$I,"&lt;5",Clips!$C:$C,"&lt;&gt;excluded")</f>
        <v>0</v>
      </c>
      <c r="AG17" s="5"/>
    </row>
    <row r="18" customFormat="false" ht="15" hidden="false" customHeight="false" outlineLevel="0" collapsed="false">
      <c r="A18" s="15" t="n">
        <v>70</v>
      </c>
      <c r="B18" s="15" t="s">
        <v>200</v>
      </c>
      <c r="C18" s="15" t="s">
        <v>201</v>
      </c>
      <c r="D18" s="15" t="s">
        <v>202</v>
      </c>
      <c r="E18" s="15" t="s">
        <v>147</v>
      </c>
      <c r="F18" s="15" t="s">
        <v>148</v>
      </c>
      <c r="G18" s="15" t="str">
        <f aca="false">IF(AND($E18="bird",$K18&gt;0),"yes","")</f>
        <v/>
      </c>
      <c r="H18" s="15"/>
      <c r="I18" s="15" t="str">
        <f aca="false">IF($E18="bird",IF(COUNTIF('eBird List'!$A:$A,$B18)&gt;0,"yes","no"),"")</f>
        <v>yes</v>
      </c>
      <c r="J18" s="16" t="n">
        <f aca="false">IF(COUNTIF('eBird List'!$A:$A,$B18)=0,"",INDEX('eBird List'!$C:$C,MATCH($B18,'eBird List'!$A:$A,0)))</f>
        <v>0.385066714319752</v>
      </c>
      <c r="K18" s="15" t="n">
        <f aca="false">COUNTIFS(Clips!$B:$B,"site",Clips!$F:$F,$B18)+COUNTIFS(Clips!$B:$B,"site",Clips!$O:$O,"*"&amp;$B18&amp;"*")</f>
        <v>0</v>
      </c>
      <c r="L18" s="15" t="n">
        <f aca="false">COUNTIFS(Clips!$F:$F,$B18,Clips!$B:$B,"macaulay")</f>
        <v>35</v>
      </c>
      <c r="M18" s="15" t="n">
        <f aca="false">COUNTIFS(Clips!$F:$F,$B18,Clips!$B:$B,"xeno-canto")</f>
        <v>1</v>
      </c>
      <c r="N18" s="15" t="n">
        <f aca="false">K18+L18+M18</f>
        <v>36</v>
      </c>
      <c r="O18" s="15" t="n">
        <f aca="false">COUNTIFS(Clips!$F:$F,$B18,Clips!$C:$C,"excluded")</f>
        <v>0</v>
      </c>
      <c r="P18" s="15" t="n">
        <f aca="false">COUNTIFS(Clips!$F:$F,$B18,Clips!$C:$C,"train")</f>
        <v>26</v>
      </c>
      <c r="Q18" s="15" t="n">
        <f aca="false">COUNTIFS(Clips!$F:$F,$B18,Clips!$C:$C,"val")</f>
        <v>5</v>
      </c>
      <c r="R18" s="15" t="n">
        <f aca="false">COUNTIFS(Clips!$F:$F,$B18,Clips!$C:$C,"test")</f>
        <v>5</v>
      </c>
      <c r="S18" s="17" t="n">
        <f aca="false">SUMIFS(Clips!$I:$I,Clips!$F:$F,$B18,Clips!$C:$C,"train")/60</f>
        <v>35.3095833333333</v>
      </c>
      <c r="T18" s="17" t="n">
        <f aca="false">SUMIFS(Clips!$I:$I,Clips!$F:$F,$B18,Clips!$C:$C,"val")/60</f>
        <v>2.77261666666667</v>
      </c>
      <c r="U18" s="17" t="n">
        <f aca="false">SUMIFS(Clips!$I:$I,Clips!$F:$F,$B18,Clips!$C:$C,"test")/60</f>
        <v>3.54866666666667</v>
      </c>
      <c r="V18" s="15" t="n">
        <f aca="false">SUMIFS(Clips!$J:$J,Clips!$F:$F,$B18,Clips!$C:$C,"train")</f>
        <v>437</v>
      </c>
      <c r="W18" s="18" t="n">
        <f aca="false">IF(V18=0,"",Splits!$B$49/(Splits!$B$50*V18))</f>
        <v>0.356580026769138</v>
      </c>
      <c r="X18" s="15" t="str">
        <f aca="false">IF(P18&gt;0,IF(AND(Q18&gt;0,R18&gt;0),"train + val + test",IF(R18&gt;0,"train + test","train only")),IF(R18&gt;0,"test only (unknown class)",IF(K18&gt;0,"site extract only","no usable audio")))</f>
        <v>train + val + test</v>
      </c>
      <c r="Y18" s="15" t="str">
        <f aca="false">IF($P18=0,"",IF($E18="nonbird",$B18,IF($G18="yes",$B18,"other bird")))</f>
        <v>other bird</v>
      </c>
      <c r="Z18" s="15" t="str">
        <f aca="false">IF(AND($F18="core",$P18&gt;0),$B18,"")</f>
        <v>Crested Guan</v>
      </c>
      <c r="AA18" s="15" t="str">
        <f aca="false">IF($P18&gt;0,$B18,"")</f>
        <v>Crested Guan</v>
      </c>
      <c r="AB18" s="15" t="n">
        <v>31</v>
      </c>
      <c r="AC18" s="15" t="n">
        <v>25</v>
      </c>
      <c r="AD18" s="17" t="n">
        <f aca="false">IF(COUNTIFS(Clips!$F:$F,$B18,Clips!$M:$M,"&gt;0",Clips!$C:$C,"&lt;&gt;excluded")=0,"",AVERAGEIFS(Clips!$M:$M,Clips!$F:$F,$B18,Clips!$M:$M,"&gt;0",Clips!$C:$C,"&lt;&gt;excluded"))</f>
        <v>2.79032258064516</v>
      </c>
      <c r="AE18" s="15" t="n">
        <f aca="false">COUNTIFS(Clips!$F:$F,$B18,Clips!$O:$O,"&lt;&gt;",Clips!$B:$B,"&lt;&gt;site",Clips!$C:$C,"&lt;&gt;excluded")</f>
        <v>3</v>
      </c>
      <c r="AF18" s="15" t="n">
        <f aca="false">COUNTIFS(Clips!$F:$F,$B18,Clips!$I:$I,"&lt;5",Clips!$C:$C,"&lt;&gt;excluded")</f>
        <v>2</v>
      </c>
      <c r="AG18" s="5"/>
    </row>
    <row r="19" customFormat="false" ht="15" hidden="false" customHeight="false" outlineLevel="0" collapsed="false">
      <c r="A19" s="15" t="n">
        <v>44</v>
      </c>
      <c r="B19" s="15" t="s">
        <v>203</v>
      </c>
      <c r="C19" s="15" t="s">
        <v>204</v>
      </c>
      <c r="D19" s="15" t="s">
        <v>205</v>
      </c>
      <c r="E19" s="15" t="s">
        <v>147</v>
      </c>
      <c r="F19" s="15" t="s">
        <v>148</v>
      </c>
      <c r="G19" s="15" t="str">
        <f aca="false">IF(AND($E19="bird",$K19&gt;0),"yes","")</f>
        <v/>
      </c>
      <c r="H19" s="15"/>
      <c r="I19" s="15" t="str">
        <f aca="false">IF($E19="bird",IF(COUNTIF('eBird List'!$A:$A,$B19)&gt;0,"yes","no"),"")</f>
        <v>yes</v>
      </c>
      <c r="J19" s="16" t="n">
        <f aca="false">IF(COUNTIF('eBird List'!$A:$A,$B19)=0,"",INDEX('eBird List'!$C:$C,MATCH($B19,'eBird List'!$A:$A,0)))</f>
        <v>0.192905646890636</v>
      </c>
      <c r="K19" s="15" t="n">
        <f aca="false">COUNTIFS(Clips!$B:$B,"site",Clips!$F:$F,$B19)+COUNTIFS(Clips!$B:$B,"site",Clips!$O:$O,"*"&amp;$B19&amp;"*")</f>
        <v>0</v>
      </c>
      <c r="L19" s="15" t="n">
        <f aca="false">COUNTIFS(Clips!$F:$F,$B19,Clips!$B:$B,"macaulay")</f>
        <v>34</v>
      </c>
      <c r="M19" s="15" t="n">
        <f aca="false">COUNTIFS(Clips!$F:$F,$B19,Clips!$B:$B,"xeno-canto")</f>
        <v>1</v>
      </c>
      <c r="N19" s="15" t="n">
        <f aca="false">K19+L19+M19</f>
        <v>35</v>
      </c>
      <c r="O19" s="15" t="n">
        <f aca="false">COUNTIFS(Clips!$F:$F,$B19,Clips!$C:$C,"excluded")</f>
        <v>0</v>
      </c>
      <c r="P19" s="15" t="n">
        <f aca="false">COUNTIFS(Clips!$F:$F,$B19,Clips!$C:$C,"train")</f>
        <v>25</v>
      </c>
      <c r="Q19" s="15" t="n">
        <f aca="false">COUNTIFS(Clips!$F:$F,$B19,Clips!$C:$C,"val")</f>
        <v>5</v>
      </c>
      <c r="R19" s="15" t="n">
        <f aca="false">COUNTIFS(Clips!$F:$F,$B19,Clips!$C:$C,"test")</f>
        <v>5</v>
      </c>
      <c r="S19" s="17" t="n">
        <f aca="false">SUMIFS(Clips!$I:$I,Clips!$F:$F,$B19,Clips!$C:$C,"train")/60</f>
        <v>14.90505</v>
      </c>
      <c r="T19" s="17" t="n">
        <f aca="false">SUMIFS(Clips!$I:$I,Clips!$F:$F,$B19,Clips!$C:$C,"val")/60</f>
        <v>2.37851666666667</v>
      </c>
      <c r="U19" s="17" t="n">
        <f aca="false">SUMIFS(Clips!$I:$I,Clips!$F:$F,$B19,Clips!$C:$C,"test")/60</f>
        <v>3.82223333333333</v>
      </c>
      <c r="V19" s="15" t="n">
        <f aca="false">SUMIFS(Clips!$J:$J,Clips!$F:$F,$B19,Clips!$C:$C,"train")</f>
        <v>191</v>
      </c>
      <c r="W19" s="18" t="n">
        <f aca="false">IF(V19=0,"",Splits!$B$49/(Splits!$B$50*V19))</f>
        <v>0.815840165958708</v>
      </c>
      <c r="X19" s="15" t="str">
        <f aca="false">IF(P19&gt;0,IF(AND(Q19&gt;0,R19&gt;0),"train + val + test",IF(R19&gt;0,"train + test","train only")),IF(R19&gt;0,"test only (unknown class)",IF(K19&gt;0,"site extract only","no usable audio")))</f>
        <v>train + val + test</v>
      </c>
      <c r="Y19" s="15" t="str">
        <f aca="false">IF($P19=0,"",IF($E19="nonbird",$B19,IF($G19="yes",$B19,"other bird")))</f>
        <v>other bird</v>
      </c>
      <c r="Z19" s="15" t="str">
        <f aca="false">IF(AND($F19="core",$P19&gt;0),$B19,"")</f>
        <v>Buff-rumped Warbler</v>
      </c>
      <c r="AA19" s="15" t="str">
        <f aca="false">IF($P19&gt;0,$B19,"")</f>
        <v>Buff-rumped Warbler</v>
      </c>
      <c r="AB19" s="15" t="n">
        <v>29</v>
      </c>
      <c r="AC19" s="15" t="n">
        <v>24</v>
      </c>
      <c r="AD19" s="17" t="n">
        <f aca="false">IF(COUNTIFS(Clips!$F:$F,$B19,Clips!$M:$M,"&gt;0",Clips!$C:$C,"&lt;&gt;excluded")=0,"",AVERAGEIFS(Clips!$M:$M,Clips!$F:$F,$B19,Clips!$M:$M,"&gt;0",Clips!$C:$C,"&lt;&gt;excluded"))</f>
        <v>3.05882352941176</v>
      </c>
      <c r="AE19" s="15" t="n">
        <f aca="false">COUNTIFS(Clips!$F:$F,$B19,Clips!$O:$O,"&lt;&gt;",Clips!$B:$B,"&lt;&gt;site",Clips!$C:$C,"&lt;&gt;excluded")</f>
        <v>1</v>
      </c>
      <c r="AF19" s="15" t="n">
        <f aca="false">COUNTIFS(Clips!$F:$F,$B19,Clips!$I:$I,"&lt;5",Clips!$C:$C,"&lt;&gt;excluded")</f>
        <v>1</v>
      </c>
      <c r="AG19" s="5"/>
    </row>
    <row r="20" customFormat="false" ht="15" hidden="false" customHeight="false" outlineLevel="0" collapsed="false">
      <c r="A20" s="15" t="n">
        <v>128</v>
      </c>
      <c r="B20" s="15" t="s">
        <v>206</v>
      </c>
      <c r="C20" s="15" t="s">
        <v>207</v>
      </c>
      <c r="D20" s="15" t="s">
        <v>208</v>
      </c>
      <c r="E20" s="15" t="s">
        <v>147</v>
      </c>
      <c r="F20" s="15" t="s">
        <v>148</v>
      </c>
      <c r="G20" s="15" t="str">
        <f aca="false">IF(AND($E20="bird",$K20&gt;0),"yes","")</f>
        <v/>
      </c>
      <c r="H20" s="15"/>
      <c r="I20" s="15" t="str">
        <f aca="false">IF($E20="bird",IF(COUNTIF('eBird List'!$A:$A,$B20)&gt;0,"yes","no"),"")</f>
        <v>yes</v>
      </c>
      <c r="J20" s="16" t="n">
        <f aca="false">IF(COUNTIF('eBird List'!$A:$A,$B20)=0,"",INDEX('eBird List'!$C:$C,MATCH($B20,'eBird List'!$A:$A,0)))</f>
        <v>0.491750059566357</v>
      </c>
      <c r="K20" s="15" t="n">
        <f aca="false">COUNTIFS(Clips!$B:$B,"site",Clips!$F:$F,$B20)+COUNTIFS(Clips!$B:$B,"site",Clips!$O:$O,"*"&amp;$B20&amp;"*")</f>
        <v>0</v>
      </c>
      <c r="L20" s="15" t="n">
        <f aca="false">COUNTIFS(Clips!$F:$F,$B20,Clips!$B:$B,"macaulay")</f>
        <v>33</v>
      </c>
      <c r="M20" s="15" t="n">
        <f aca="false">COUNTIFS(Clips!$F:$F,$B20,Clips!$B:$B,"xeno-canto")</f>
        <v>2</v>
      </c>
      <c r="N20" s="15" t="n">
        <f aca="false">K20+L20+M20</f>
        <v>35</v>
      </c>
      <c r="O20" s="15" t="n">
        <f aca="false">COUNTIFS(Clips!$F:$F,$B20,Clips!$C:$C,"excluded")</f>
        <v>0</v>
      </c>
      <c r="P20" s="15" t="n">
        <f aca="false">COUNTIFS(Clips!$F:$F,$B20,Clips!$C:$C,"train")</f>
        <v>25</v>
      </c>
      <c r="Q20" s="15" t="n">
        <f aca="false">COUNTIFS(Clips!$F:$F,$B20,Clips!$C:$C,"val")</f>
        <v>5</v>
      </c>
      <c r="R20" s="15" t="n">
        <f aca="false">COUNTIFS(Clips!$F:$F,$B20,Clips!$C:$C,"test")</f>
        <v>5</v>
      </c>
      <c r="S20" s="17" t="n">
        <f aca="false">SUMIFS(Clips!$I:$I,Clips!$F:$F,$B20,Clips!$C:$C,"train")/60</f>
        <v>33.6907333333333</v>
      </c>
      <c r="T20" s="17" t="n">
        <f aca="false">SUMIFS(Clips!$I:$I,Clips!$F:$F,$B20,Clips!$C:$C,"val")/60</f>
        <v>4.39631666666667</v>
      </c>
      <c r="U20" s="17" t="n">
        <f aca="false">SUMIFS(Clips!$I:$I,Clips!$F:$F,$B20,Clips!$C:$C,"test")/60</f>
        <v>0.85765</v>
      </c>
      <c r="V20" s="15" t="n">
        <f aca="false">SUMIFS(Clips!$J:$J,Clips!$F:$F,$B20,Clips!$C:$C,"train")</f>
        <v>385</v>
      </c>
      <c r="W20" s="18" t="n">
        <f aca="false">IF(V20=0,"",Splits!$B$49/(Splits!$B$50*V20))</f>
        <v>0.404741484930164</v>
      </c>
      <c r="X20" s="15" t="str">
        <f aca="false">IF(P20&gt;0,IF(AND(Q20&gt;0,R20&gt;0),"train + val + test",IF(R20&gt;0,"train + test","train only")),IF(R20&gt;0,"test only (unknown class)",IF(K20&gt;0,"site extract only","no usable audio")))</f>
        <v>train + val + test</v>
      </c>
      <c r="Y20" s="15" t="str">
        <f aca="false">IF($P20=0,"",IF($E20="nonbird",$B20,IF($G20="yes",$B20,"other bird")))</f>
        <v>other bird</v>
      </c>
      <c r="Z20" s="15" t="str">
        <f aca="false">IF(AND($F20="core",$P20&gt;0),$B20,"")</f>
        <v>Montezuma Oropendola</v>
      </c>
      <c r="AA20" s="15" t="str">
        <f aca="false">IF($P20&gt;0,$B20,"")</f>
        <v>Montezuma Oropendola</v>
      </c>
      <c r="AB20" s="15" t="n">
        <v>29</v>
      </c>
      <c r="AC20" s="15" t="n">
        <v>20</v>
      </c>
      <c r="AD20" s="17" t="n">
        <f aca="false">IF(COUNTIFS(Clips!$F:$F,$B20,Clips!$M:$M,"&gt;0",Clips!$C:$C,"&lt;&gt;excluded")=0,"",AVERAGEIFS(Clips!$M:$M,Clips!$F:$F,$B20,Clips!$M:$M,"&gt;0",Clips!$C:$C,"&lt;&gt;excluded"))</f>
        <v>2.93896551724138</v>
      </c>
      <c r="AE20" s="15" t="n">
        <f aca="false">COUNTIFS(Clips!$F:$F,$B20,Clips!$O:$O,"&lt;&gt;",Clips!$B:$B,"&lt;&gt;site",Clips!$C:$C,"&lt;&gt;excluded")</f>
        <v>5</v>
      </c>
      <c r="AF20" s="15" t="n">
        <f aca="false">COUNTIFS(Clips!$F:$F,$B20,Clips!$I:$I,"&lt;5",Clips!$C:$C,"&lt;&gt;excluded")</f>
        <v>7</v>
      </c>
      <c r="AG20" s="5"/>
    </row>
    <row r="21" customFormat="false" ht="15" hidden="false" customHeight="false" outlineLevel="0" collapsed="false">
      <c r="A21" s="15" t="n">
        <v>176</v>
      </c>
      <c r="B21" s="15" t="s">
        <v>209</v>
      </c>
      <c r="C21" s="15" t="s">
        <v>210</v>
      </c>
      <c r="D21" s="15" t="s">
        <v>211</v>
      </c>
      <c r="E21" s="15" t="s">
        <v>147</v>
      </c>
      <c r="F21" s="15" t="s">
        <v>148</v>
      </c>
      <c r="G21" s="15" t="str">
        <f aca="false">IF(AND($E21="bird",$K21&gt;0),"yes","")</f>
        <v>yes</v>
      </c>
      <c r="H21" s="15" t="s">
        <v>149</v>
      </c>
      <c r="I21" s="15" t="str">
        <f aca="false">IF($E21="bird",IF(COUNTIF('eBird List'!$A:$A,$B21)&gt;0,"yes","no"),"")</f>
        <v>yes</v>
      </c>
      <c r="J21" s="16" t="n">
        <f aca="false">IF(COUNTIF('eBird List'!$A:$A,$B21)=0,"",INDEX('eBird List'!$C:$C,MATCH($B21,'eBird List'!$A:$A,0)))</f>
        <v>0.202376697641172</v>
      </c>
      <c r="K21" s="15" t="n">
        <f aca="false">COUNTIFS(Clips!$B:$B,"site",Clips!$F:$F,$B21)+COUNTIFS(Clips!$B:$B,"site",Clips!$O:$O,"*"&amp;$B21&amp;"*")</f>
        <v>1</v>
      </c>
      <c r="L21" s="15" t="n">
        <f aca="false">COUNTIFS(Clips!$F:$F,$B21,Clips!$B:$B,"macaulay")</f>
        <v>35</v>
      </c>
      <c r="M21" s="15" t="n">
        <f aca="false">COUNTIFS(Clips!$F:$F,$B21,Clips!$B:$B,"xeno-canto")</f>
        <v>0</v>
      </c>
      <c r="N21" s="15" t="n">
        <f aca="false">K21+L21+M21</f>
        <v>36</v>
      </c>
      <c r="O21" s="15" t="n">
        <f aca="false">COUNTIFS(Clips!$F:$F,$B21,Clips!$C:$C,"excluded")</f>
        <v>0</v>
      </c>
      <c r="P21" s="15" t="n">
        <f aca="false">COUNTIFS(Clips!$F:$F,$B21,Clips!$C:$C,"train")</f>
        <v>25</v>
      </c>
      <c r="Q21" s="15" t="n">
        <f aca="false">COUNTIFS(Clips!$F:$F,$B21,Clips!$C:$C,"val")</f>
        <v>5</v>
      </c>
      <c r="R21" s="15" t="n">
        <f aca="false">COUNTIFS(Clips!$F:$F,$B21,Clips!$C:$C,"test")</f>
        <v>5</v>
      </c>
      <c r="S21" s="17" t="n">
        <f aca="false">SUMIFS(Clips!$I:$I,Clips!$F:$F,$B21,Clips!$C:$C,"train")/60</f>
        <v>21.7446666666667</v>
      </c>
      <c r="T21" s="17" t="n">
        <f aca="false">SUMIFS(Clips!$I:$I,Clips!$F:$F,$B21,Clips!$C:$C,"val")/60</f>
        <v>3.75385</v>
      </c>
      <c r="U21" s="17" t="n">
        <f aca="false">SUMIFS(Clips!$I:$I,Clips!$F:$F,$B21,Clips!$C:$C,"test")/60</f>
        <v>1.77303333333333</v>
      </c>
      <c r="V21" s="15" t="n">
        <f aca="false">SUMIFS(Clips!$J:$J,Clips!$F:$F,$B21,Clips!$C:$C,"train")</f>
        <v>275</v>
      </c>
      <c r="W21" s="18" t="n">
        <f aca="false">IF(V21=0,"",Splits!$B$49/(Splits!$B$50*V21))</f>
        <v>0.56663807890223</v>
      </c>
      <c r="X21" s="15" t="str">
        <f aca="false">IF(P21&gt;0,IF(AND(Q21&gt;0,R21&gt;0),"train + val + test",IF(R21&gt;0,"train + test","train only")),IF(R21&gt;0,"test only (unknown class)",IF(K21&gt;0,"site extract only","no usable audio")))</f>
        <v>train + val + test</v>
      </c>
      <c r="Y21" s="15" t="str">
        <f aca="false">IF($P21=0,"",IF($E21="nonbird",$B21,IF($G21="yes",$B21,"other bird")))</f>
        <v>Scarlet-rumped Cacique</v>
      </c>
      <c r="Z21" s="15" t="str">
        <f aca="false">IF(AND($F21="core",$P21&gt;0),$B21,"")</f>
        <v>Scarlet-rumped Cacique</v>
      </c>
      <c r="AA21" s="15" t="str">
        <f aca="false">IF($P21&gt;0,$B21,"")</f>
        <v>Scarlet-rumped Cacique</v>
      </c>
      <c r="AB21" s="15" t="n">
        <v>29</v>
      </c>
      <c r="AC21" s="15" t="n">
        <v>19</v>
      </c>
      <c r="AD21" s="17" t="n">
        <f aca="false">IF(COUNTIFS(Clips!$F:$F,$B21,Clips!$M:$M,"&gt;0",Clips!$C:$C,"&lt;&gt;excluded")=0,"",AVERAGEIFS(Clips!$M:$M,Clips!$F:$F,$B21,Clips!$M:$M,"&gt;0",Clips!$C:$C,"&lt;&gt;excluded"))</f>
        <v>3.26407407407407</v>
      </c>
      <c r="AE21" s="15" t="n">
        <f aca="false">COUNTIFS(Clips!$F:$F,$B21,Clips!$O:$O,"&lt;&gt;",Clips!$B:$B,"&lt;&gt;site",Clips!$C:$C,"&lt;&gt;excluded")</f>
        <v>7</v>
      </c>
      <c r="AF21" s="15" t="n">
        <f aca="false">COUNTIFS(Clips!$F:$F,$B21,Clips!$I:$I,"&lt;5",Clips!$C:$C,"&lt;&gt;excluded")</f>
        <v>2</v>
      </c>
      <c r="AG21" s="5"/>
    </row>
    <row r="22" customFormat="false" ht="15" hidden="false" customHeight="false" outlineLevel="0" collapsed="false">
      <c r="A22" s="15" t="n">
        <v>126</v>
      </c>
      <c r="B22" s="15" t="s">
        <v>212</v>
      </c>
      <c r="C22" s="15" t="s">
        <v>213</v>
      </c>
      <c r="D22" s="15" t="s">
        <v>214</v>
      </c>
      <c r="E22" s="15" t="s">
        <v>147</v>
      </c>
      <c r="F22" s="15" t="s">
        <v>148</v>
      </c>
      <c r="G22" s="15" t="str">
        <f aca="false">IF(AND($E22="bird",$K22&gt;0),"yes","")</f>
        <v/>
      </c>
      <c r="H22" s="15"/>
      <c r="I22" s="15" t="str">
        <f aca="false">IF($E22="bird",IF(COUNTIF('eBird List'!$A:$A,$B22)&gt;0,"yes","no"),"")</f>
        <v>yes</v>
      </c>
      <c r="J22" s="16" t="n">
        <f aca="false">IF(COUNTIF('eBird List'!$A:$A,$B22)=0,"",INDEX('eBird List'!$C:$C,MATCH($B22,'eBird List'!$A:$A,0)))</f>
        <v>0.0867286156778652</v>
      </c>
      <c r="K22" s="15" t="n">
        <f aca="false">COUNTIFS(Clips!$B:$B,"site",Clips!$F:$F,$B22)+COUNTIFS(Clips!$B:$B,"site",Clips!$O:$O,"*"&amp;$B22&amp;"*")</f>
        <v>0</v>
      </c>
      <c r="L22" s="15" t="n">
        <f aca="false">COUNTIFS(Clips!$F:$F,$B22,Clips!$B:$B,"macaulay")</f>
        <v>34</v>
      </c>
      <c r="M22" s="15" t="n">
        <f aca="false">COUNTIFS(Clips!$F:$F,$B22,Clips!$B:$B,"xeno-canto")</f>
        <v>0</v>
      </c>
      <c r="N22" s="15" t="n">
        <f aca="false">K22+L22+M22</f>
        <v>34</v>
      </c>
      <c r="O22" s="15" t="n">
        <f aca="false">COUNTIFS(Clips!$F:$F,$B22,Clips!$C:$C,"excluded")</f>
        <v>0</v>
      </c>
      <c r="P22" s="15" t="n">
        <f aca="false">COUNTIFS(Clips!$F:$F,$B22,Clips!$C:$C,"train")</f>
        <v>24</v>
      </c>
      <c r="Q22" s="15" t="n">
        <f aca="false">COUNTIFS(Clips!$F:$F,$B22,Clips!$C:$C,"val")</f>
        <v>5</v>
      </c>
      <c r="R22" s="15" t="n">
        <f aca="false">COUNTIFS(Clips!$F:$F,$B22,Clips!$C:$C,"test")</f>
        <v>5</v>
      </c>
      <c r="S22" s="17" t="n">
        <f aca="false">SUMIFS(Clips!$I:$I,Clips!$F:$F,$B22,Clips!$C:$C,"train")/60</f>
        <v>63.4796333333333</v>
      </c>
      <c r="T22" s="17" t="n">
        <f aca="false">SUMIFS(Clips!$I:$I,Clips!$F:$F,$B22,Clips!$C:$C,"val")/60</f>
        <v>0.734333333333333</v>
      </c>
      <c r="U22" s="17" t="n">
        <f aca="false">SUMIFS(Clips!$I:$I,Clips!$F:$F,$B22,Clips!$C:$C,"test")/60</f>
        <v>2.71183333333333</v>
      </c>
      <c r="V22" s="15" t="n">
        <f aca="false">SUMIFS(Clips!$J:$J,Clips!$F:$F,$B22,Clips!$C:$C,"train")</f>
        <v>708</v>
      </c>
      <c r="W22" s="18" t="n">
        <f aca="false">IF(V22=0,"",Splits!$B$49/(Splits!$B$50*V22))</f>
        <v>0.220092474149877</v>
      </c>
      <c r="X22" s="15" t="str">
        <f aca="false">IF(P22&gt;0,IF(AND(Q22&gt;0,R22&gt;0),"train + val + test",IF(R22&gt;0,"train + test","train only")),IF(R22&gt;0,"test only (unknown class)",IF(K22&gt;0,"site extract only","no usable audio")))</f>
        <v>train + val + test</v>
      </c>
      <c r="Y22" s="15" t="str">
        <f aca="false">IF($P22=0,"",IF($E22="nonbird",$B22,IF($G22="yes",$B22,"other bird")))</f>
        <v>other bird</v>
      </c>
      <c r="Z22" s="15" t="str">
        <f aca="false">IF(AND($F22="core",$P22&gt;0),$B22,"")</f>
        <v>Middle American Screech-Owl</v>
      </c>
      <c r="AA22" s="15" t="str">
        <f aca="false">IF($P22&gt;0,$B22,"")</f>
        <v>Middle American Screech-Owl</v>
      </c>
      <c r="AB22" s="15" t="n">
        <v>27</v>
      </c>
      <c r="AC22" s="15" t="n">
        <v>19</v>
      </c>
      <c r="AD22" s="17" t="n">
        <f aca="false">IF(COUNTIFS(Clips!$F:$F,$B22,Clips!$M:$M,"&gt;0",Clips!$C:$C,"&lt;&gt;excluded")=0,"",AVERAGEIFS(Clips!$M:$M,Clips!$F:$F,$B22,Clips!$M:$M,"&gt;0",Clips!$C:$C,"&lt;&gt;excluded"))</f>
        <v>2.50125</v>
      </c>
      <c r="AE22" s="15" t="n">
        <f aca="false">COUNTIFS(Clips!$F:$F,$B22,Clips!$O:$O,"&lt;&gt;",Clips!$B:$B,"&lt;&gt;site",Clips!$C:$C,"&lt;&gt;excluded")</f>
        <v>0</v>
      </c>
      <c r="AF22" s="15" t="n">
        <f aca="false">COUNTIFS(Clips!$F:$F,$B22,Clips!$I:$I,"&lt;5",Clips!$C:$C,"&lt;&gt;excluded")</f>
        <v>0</v>
      </c>
      <c r="AG22" s="5"/>
    </row>
    <row r="23" customFormat="false" ht="15" hidden="false" customHeight="false" outlineLevel="0" collapsed="false">
      <c r="A23" s="15" t="n">
        <v>170</v>
      </c>
      <c r="B23" s="15" t="s">
        <v>215</v>
      </c>
      <c r="C23" s="15" t="s">
        <v>216</v>
      </c>
      <c r="D23" s="15" t="s">
        <v>217</v>
      </c>
      <c r="E23" s="15" t="s">
        <v>147</v>
      </c>
      <c r="F23" s="15" t="s">
        <v>148</v>
      </c>
      <c r="G23" s="15" t="str">
        <f aca="false">IF(AND($E23="bird",$K23&gt;0),"yes","")</f>
        <v/>
      </c>
      <c r="H23" s="15"/>
      <c r="I23" s="15" t="str">
        <f aca="false">IF($E23="bird",IF(COUNTIF('eBird List'!$A:$A,$B23)&gt;0,"yes","no"),"")</f>
        <v>yes</v>
      </c>
      <c r="J23" s="16" t="n">
        <f aca="false">IF(COUNTIF('eBird List'!$A:$A,$B23)=0,"",INDEX('eBird List'!$C:$C,MATCH($B23,'eBird List'!$A:$A,0)))</f>
        <v>0.236806051941863</v>
      </c>
      <c r="K23" s="15" t="n">
        <f aca="false">COUNTIFS(Clips!$B:$B,"site",Clips!$F:$F,$B23)+COUNTIFS(Clips!$B:$B,"site",Clips!$O:$O,"*"&amp;$B23&amp;"*")</f>
        <v>0</v>
      </c>
      <c r="L23" s="15" t="n">
        <f aca="false">COUNTIFS(Clips!$F:$F,$B23,Clips!$B:$B,"macaulay")</f>
        <v>34</v>
      </c>
      <c r="M23" s="15" t="n">
        <f aca="false">COUNTIFS(Clips!$F:$F,$B23,Clips!$B:$B,"xeno-canto")</f>
        <v>0</v>
      </c>
      <c r="N23" s="15" t="n">
        <f aca="false">K23+L23+M23</f>
        <v>34</v>
      </c>
      <c r="O23" s="15" t="n">
        <f aca="false">COUNTIFS(Clips!$F:$F,$B23,Clips!$C:$C,"excluded")</f>
        <v>0</v>
      </c>
      <c r="P23" s="15" t="n">
        <f aca="false">COUNTIFS(Clips!$F:$F,$B23,Clips!$C:$C,"train")</f>
        <v>24</v>
      </c>
      <c r="Q23" s="15" t="n">
        <f aca="false">COUNTIFS(Clips!$F:$F,$B23,Clips!$C:$C,"val")</f>
        <v>5</v>
      </c>
      <c r="R23" s="15" t="n">
        <f aca="false">COUNTIFS(Clips!$F:$F,$B23,Clips!$C:$C,"test")</f>
        <v>5</v>
      </c>
      <c r="S23" s="17" t="n">
        <f aca="false">SUMIFS(Clips!$I:$I,Clips!$F:$F,$B23,Clips!$C:$C,"train")/60</f>
        <v>11.7747833333333</v>
      </c>
      <c r="T23" s="17" t="n">
        <f aca="false">SUMIFS(Clips!$I:$I,Clips!$F:$F,$B23,Clips!$C:$C,"val")/60</f>
        <v>2.67353333333333</v>
      </c>
      <c r="U23" s="17" t="n">
        <f aca="false">SUMIFS(Clips!$I:$I,Clips!$F:$F,$B23,Clips!$C:$C,"test")/60</f>
        <v>4.66383333333333</v>
      </c>
      <c r="V23" s="15" t="n">
        <f aca="false">SUMIFS(Clips!$J:$J,Clips!$F:$F,$B23,Clips!$C:$C,"train")</f>
        <v>153</v>
      </c>
      <c r="W23" s="18" t="n">
        <f aca="false">IF(V23=0,"",Splits!$B$49/(Splits!$B$50*V23))</f>
        <v>1.01846713528179</v>
      </c>
      <c r="X23" s="15" t="str">
        <f aca="false">IF(P23&gt;0,IF(AND(Q23&gt;0,R23&gt;0),"train + val + test",IF(R23&gt;0,"train + test","train only")),IF(R23&gt;0,"test only (unknown class)",IF(K23&gt;0,"site extract only","no usable audio")))</f>
        <v>train + val + test</v>
      </c>
      <c r="Y23" s="15" t="str">
        <f aca="false">IF($P23=0,"",IF($E23="nonbird",$B23,IF($G23="yes",$B23,"other bird")))</f>
        <v>other bird</v>
      </c>
      <c r="Z23" s="15" t="str">
        <f aca="false">IF(AND($F23="core",$P23&gt;0),$B23,"")</f>
        <v>Rufous-tailed Jacamar</v>
      </c>
      <c r="AA23" s="15" t="str">
        <f aca="false">IF($P23&gt;0,$B23,"")</f>
        <v>Rufous-tailed Jacamar</v>
      </c>
      <c r="AB23" s="15" t="n">
        <v>32</v>
      </c>
      <c r="AC23" s="15" t="n">
        <v>22</v>
      </c>
      <c r="AD23" s="17" t="n">
        <f aca="false">IF(COUNTIFS(Clips!$F:$F,$B23,Clips!$M:$M,"&gt;0",Clips!$C:$C,"&lt;&gt;excluded")=0,"",AVERAGEIFS(Clips!$M:$M,Clips!$F:$F,$B23,Clips!$M:$M,"&gt;0",Clips!$C:$C,"&lt;&gt;excluded"))</f>
        <v>3.7</v>
      </c>
      <c r="AE23" s="15" t="n">
        <f aca="false">COUNTIFS(Clips!$F:$F,$B23,Clips!$O:$O,"&lt;&gt;",Clips!$B:$B,"&lt;&gt;site",Clips!$C:$C,"&lt;&gt;excluded")</f>
        <v>1</v>
      </c>
      <c r="AF23" s="15" t="n">
        <f aca="false">COUNTIFS(Clips!$F:$F,$B23,Clips!$I:$I,"&lt;5",Clips!$C:$C,"&lt;&gt;excluded")</f>
        <v>1</v>
      </c>
      <c r="AG23" s="5"/>
    </row>
    <row r="24" customFormat="false" ht="15" hidden="false" customHeight="false" outlineLevel="0" collapsed="false">
      <c r="A24" s="15" t="n">
        <v>23</v>
      </c>
      <c r="B24" s="15" t="s">
        <v>218</v>
      </c>
      <c r="C24" s="15" t="s">
        <v>219</v>
      </c>
      <c r="D24" s="15" t="s">
        <v>220</v>
      </c>
      <c r="E24" s="15" t="s">
        <v>147</v>
      </c>
      <c r="F24" s="15" t="s">
        <v>148</v>
      </c>
      <c r="G24" s="15" t="str">
        <f aca="false">IF(AND($E24="bird",$K24&gt;0),"yes","")</f>
        <v/>
      </c>
      <c r="H24" s="15"/>
      <c r="I24" s="15" t="str">
        <f aca="false">IF($E24="bird",IF(COUNTIF('eBird List'!$A:$A,$B24)&gt;0,"yes","no"),"")</f>
        <v>yes</v>
      </c>
      <c r="J24" s="16" t="n">
        <f aca="false">IF(COUNTIF('eBird List'!$A:$A,$B24)=0,"",INDEX('eBird List'!$C:$C,MATCH($B24,'eBird List'!$A:$A,0)))</f>
        <v>0.249523469144627</v>
      </c>
      <c r="K24" s="15" t="n">
        <f aca="false">COUNTIFS(Clips!$B:$B,"site",Clips!$F:$F,$B24)+COUNTIFS(Clips!$B:$B,"site",Clips!$O:$O,"*"&amp;$B24&amp;"*")</f>
        <v>0</v>
      </c>
      <c r="L24" s="15" t="n">
        <f aca="false">COUNTIFS(Clips!$F:$F,$B24,Clips!$B:$B,"macaulay")</f>
        <v>33</v>
      </c>
      <c r="M24" s="15" t="n">
        <f aca="false">COUNTIFS(Clips!$F:$F,$B24,Clips!$B:$B,"xeno-canto")</f>
        <v>0</v>
      </c>
      <c r="N24" s="15" t="n">
        <f aca="false">K24+L24+M24</f>
        <v>33</v>
      </c>
      <c r="O24" s="15" t="n">
        <f aca="false">COUNTIFS(Clips!$F:$F,$B24,Clips!$C:$C,"excluded")</f>
        <v>0</v>
      </c>
      <c r="P24" s="15" t="n">
        <f aca="false">COUNTIFS(Clips!$F:$F,$B24,Clips!$C:$C,"train")</f>
        <v>23</v>
      </c>
      <c r="Q24" s="15" t="n">
        <f aca="false">COUNTIFS(Clips!$F:$F,$B24,Clips!$C:$C,"val")</f>
        <v>5</v>
      </c>
      <c r="R24" s="15" t="n">
        <f aca="false">COUNTIFS(Clips!$F:$F,$B24,Clips!$C:$C,"test")</f>
        <v>5</v>
      </c>
      <c r="S24" s="17" t="n">
        <f aca="false">SUMIFS(Clips!$I:$I,Clips!$F:$F,$B24,Clips!$C:$C,"train")/60</f>
        <v>26.5547</v>
      </c>
      <c r="T24" s="17" t="n">
        <f aca="false">SUMIFS(Clips!$I:$I,Clips!$F:$F,$B24,Clips!$C:$C,"val")/60</f>
        <v>6.0479</v>
      </c>
      <c r="U24" s="17" t="n">
        <f aca="false">SUMIFS(Clips!$I:$I,Clips!$F:$F,$B24,Clips!$C:$C,"test")/60</f>
        <v>9.64958333333333</v>
      </c>
      <c r="V24" s="15" t="n">
        <f aca="false">SUMIFS(Clips!$J:$J,Clips!$F:$F,$B24,Clips!$C:$C,"train")</f>
        <v>333</v>
      </c>
      <c r="W24" s="18" t="n">
        <f aca="false">IF(V24=0,"",Splits!$B$49/(Splits!$B$50*V24))</f>
        <v>0.467944359453793</v>
      </c>
      <c r="X24" s="15" t="str">
        <f aca="false">IF(P24&gt;0,IF(AND(Q24&gt;0,R24&gt;0),"train + val + test",IF(R24&gt;0,"train + test","train only")),IF(R24&gt;0,"test only (unknown class)",IF(K24&gt;0,"site extract only","no usable audio")))</f>
        <v>train + val + test</v>
      </c>
      <c r="Y24" s="15" t="str">
        <f aca="false">IF($P24=0,"",IF($E24="nonbird",$B24,IF($G24="yes",$B24,"other bird")))</f>
        <v>other bird</v>
      </c>
      <c r="Z24" s="15" t="str">
        <f aca="false">IF(AND($F24="core",$P24&gt;0),$B24,"")</f>
        <v>Black-faced Grosbeak</v>
      </c>
      <c r="AA24" s="15" t="str">
        <f aca="false">IF($P24&gt;0,$B24,"")</f>
        <v>Black-faced Grosbeak</v>
      </c>
      <c r="AB24" s="15" t="n">
        <v>27</v>
      </c>
      <c r="AC24" s="15" t="n">
        <v>21</v>
      </c>
      <c r="AD24" s="17" t="n">
        <f aca="false">IF(COUNTIFS(Clips!$F:$F,$B24,Clips!$M:$M,"&gt;0",Clips!$C:$C,"&lt;&gt;excluded")=0,"",AVERAGEIFS(Clips!$M:$M,Clips!$F:$F,$B24,Clips!$M:$M,"&gt;0",Clips!$C:$C,"&lt;&gt;excluded"))</f>
        <v>3.04285714285714</v>
      </c>
      <c r="AE24" s="15" t="n">
        <f aca="false">COUNTIFS(Clips!$F:$F,$B24,Clips!$O:$O,"&lt;&gt;",Clips!$B:$B,"&lt;&gt;site",Clips!$C:$C,"&lt;&gt;excluded")</f>
        <v>5</v>
      </c>
      <c r="AF24" s="15" t="n">
        <f aca="false">COUNTIFS(Clips!$F:$F,$B24,Clips!$I:$I,"&lt;5",Clips!$C:$C,"&lt;&gt;excluded")</f>
        <v>1</v>
      </c>
      <c r="AG24" s="5"/>
    </row>
    <row r="25" customFormat="false" ht="15" hidden="false" customHeight="false" outlineLevel="0" collapsed="false">
      <c r="A25" s="15" t="n">
        <v>159</v>
      </c>
      <c r="B25" s="15" t="s">
        <v>221</v>
      </c>
      <c r="C25" s="15" t="s">
        <v>222</v>
      </c>
      <c r="D25" s="15" t="s">
        <v>223</v>
      </c>
      <c r="E25" s="15" t="s">
        <v>147</v>
      </c>
      <c r="F25" s="15" t="s">
        <v>148</v>
      </c>
      <c r="G25" s="15" t="str">
        <f aca="false">IF(AND($E25="bird",$K25&gt;0),"yes","")</f>
        <v>yes</v>
      </c>
      <c r="H25" s="15" t="s">
        <v>149</v>
      </c>
      <c r="I25" s="15" t="str">
        <f aca="false">IF($E25="bird",IF(COUNTIF('eBird List'!$A:$A,$B25)&gt;0,"yes","no"),"")</f>
        <v>yes</v>
      </c>
      <c r="J25" s="16" t="n">
        <f aca="false">IF(COUNTIF('eBird List'!$A:$A,$B25)=0,"",INDEX('eBird List'!$C:$C,MATCH($B25,'eBird List'!$A:$A,0)))</f>
        <v>0.328508458422683</v>
      </c>
      <c r="K25" s="15" t="n">
        <f aca="false">COUNTIFS(Clips!$B:$B,"site",Clips!$F:$F,$B25)+COUNTIFS(Clips!$B:$B,"site",Clips!$O:$O,"*"&amp;$B25&amp;"*")</f>
        <v>2</v>
      </c>
      <c r="L25" s="15" t="n">
        <f aca="false">COUNTIFS(Clips!$F:$F,$B25,Clips!$B:$B,"macaulay")</f>
        <v>32</v>
      </c>
      <c r="M25" s="15" t="n">
        <f aca="false">COUNTIFS(Clips!$F:$F,$B25,Clips!$B:$B,"xeno-canto")</f>
        <v>1</v>
      </c>
      <c r="N25" s="15" t="n">
        <f aca="false">K25+L25+M25</f>
        <v>35</v>
      </c>
      <c r="O25" s="15" t="n">
        <f aca="false">COUNTIFS(Clips!$F:$F,$B25,Clips!$C:$C,"excluded")</f>
        <v>0</v>
      </c>
      <c r="P25" s="15" t="n">
        <f aca="false">COUNTIFS(Clips!$F:$F,$B25,Clips!$C:$C,"train")</f>
        <v>23</v>
      </c>
      <c r="Q25" s="15" t="n">
        <f aca="false">COUNTIFS(Clips!$F:$F,$B25,Clips!$C:$C,"val")</f>
        <v>5</v>
      </c>
      <c r="R25" s="15" t="n">
        <f aca="false">COUNTIFS(Clips!$F:$F,$B25,Clips!$C:$C,"test")</f>
        <v>5</v>
      </c>
      <c r="S25" s="17" t="n">
        <f aca="false">SUMIFS(Clips!$I:$I,Clips!$F:$F,$B25,Clips!$C:$C,"train")/60</f>
        <v>16.6134166666667</v>
      </c>
      <c r="T25" s="17" t="n">
        <f aca="false">SUMIFS(Clips!$I:$I,Clips!$F:$F,$B25,Clips!$C:$C,"val")/60</f>
        <v>2.10131666666667</v>
      </c>
      <c r="U25" s="17" t="n">
        <f aca="false">SUMIFS(Clips!$I:$I,Clips!$F:$F,$B25,Clips!$C:$C,"test")/60</f>
        <v>4.71951666666667</v>
      </c>
      <c r="V25" s="15" t="n">
        <f aca="false">SUMIFS(Clips!$J:$J,Clips!$F:$F,$B25,Clips!$C:$C,"train")</f>
        <v>212</v>
      </c>
      <c r="W25" s="18" t="n">
        <f aca="false">IF(V25=0,"",Splits!$B$49/(Splits!$B$50*V25))</f>
        <v>0.73502580989676</v>
      </c>
      <c r="X25" s="15" t="str">
        <f aca="false">IF(P25&gt;0,IF(AND(Q25&gt;0,R25&gt;0),"train + val + test",IF(R25&gt;0,"train + test","train only")),IF(R25&gt;0,"test only (unknown class)",IF(K25&gt;0,"site extract only","no usable audio")))</f>
        <v>train + val + test</v>
      </c>
      <c r="Y25" s="15" t="str">
        <f aca="false">IF($P25=0,"",IF($E25="nonbird",$B25,IF($G25="yes",$B25,"other bird")))</f>
        <v>Red-lored Amazon</v>
      </c>
      <c r="Z25" s="15" t="str">
        <f aca="false">IF(AND($F25="core",$P25&gt;0),$B25,"")</f>
        <v>Red-lored Amazon</v>
      </c>
      <c r="AA25" s="15" t="str">
        <f aca="false">IF($P25&gt;0,$B25,"")</f>
        <v>Red-lored Amazon</v>
      </c>
      <c r="AB25" s="15" t="n">
        <v>25</v>
      </c>
      <c r="AC25" s="15" t="n">
        <v>20</v>
      </c>
      <c r="AD25" s="17" t="n">
        <f aca="false">IF(COUNTIFS(Clips!$F:$F,$B25,Clips!$M:$M,"&gt;0",Clips!$C:$C,"&lt;&gt;excluded")=0,"",AVERAGEIFS(Clips!$M:$M,Clips!$F:$F,$B25,Clips!$M:$M,"&gt;0",Clips!$C:$C,"&lt;&gt;excluded"))</f>
        <v>3.21806451612903</v>
      </c>
      <c r="AE25" s="15" t="n">
        <f aca="false">COUNTIFS(Clips!$F:$F,$B25,Clips!$O:$O,"&lt;&gt;",Clips!$B:$B,"&lt;&gt;site",Clips!$C:$C,"&lt;&gt;excluded")</f>
        <v>6</v>
      </c>
      <c r="AF25" s="15" t="n">
        <f aca="false">COUNTIFS(Clips!$F:$F,$B25,Clips!$I:$I,"&lt;5",Clips!$C:$C,"&lt;&gt;excluded")</f>
        <v>0</v>
      </c>
      <c r="AG25" s="5" t="s">
        <v>224</v>
      </c>
    </row>
    <row r="26" customFormat="false" ht="15" hidden="false" customHeight="false" outlineLevel="0" collapsed="false">
      <c r="A26" s="15" t="n">
        <v>76</v>
      </c>
      <c r="B26" s="15" t="s">
        <v>225</v>
      </c>
      <c r="C26" s="15" t="s">
        <v>226</v>
      </c>
      <c r="D26" s="15" t="s">
        <v>227</v>
      </c>
      <c r="E26" s="15" t="s">
        <v>147</v>
      </c>
      <c r="F26" s="15" t="s">
        <v>148</v>
      </c>
      <c r="G26" s="15" t="str">
        <f aca="false">IF(AND($E26="bird",$K26&gt;0),"yes","")</f>
        <v/>
      </c>
      <c r="H26" s="15"/>
      <c r="I26" s="15" t="str">
        <f aca="false">IF($E26="bird",IF(COUNTIF('eBird List'!$A:$A,$B26)&gt;0,"yes","no"),"")</f>
        <v>yes</v>
      </c>
      <c r="J26" s="16" t="n">
        <f aca="false">IF(COUNTIF('eBird List'!$A:$A,$B26)=0,"",INDEX('eBird List'!$C:$C,MATCH($B26,'eBird List'!$A:$A,0)))</f>
        <v>0.074964260185847</v>
      </c>
      <c r="K26" s="15" t="n">
        <f aca="false">COUNTIFS(Clips!$B:$B,"site",Clips!$F:$F,$B26)+COUNTIFS(Clips!$B:$B,"site",Clips!$O:$O,"*"&amp;$B26&amp;"*")</f>
        <v>0</v>
      </c>
      <c r="L26" s="15" t="n">
        <f aca="false">COUNTIFS(Clips!$F:$F,$B26,Clips!$B:$B,"macaulay")</f>
        <v>33</v>
      </c>
      <c r="M26" s="15" t="n">
        <f aca="false">COUNTIFS(Clips!$F:$F,$B26,Clips!$B:$B,"xeno-canto")</f>
        <v>0</v>
      </c>
      <c r="N26" s="15" t="n">
        <f aca="false">K26+L26+M26</f>
        <v>33</v>
      </c>
      <c r="O26" s="15" t="n">
        <f aca="false">COUNTIFS(Clips!$F:$F,$B26,Clips!$C:$C,"excluded")</f>
        <v>1</v>
      </c>
      <c r="P26" s="15" t="n">
        <f aca="false">COUNTIFS(Clips!$F:$F,$B26,Clips!$C:$C,"train")</f>
        <v>22</v>
      </c>
      <c r="Q26" s="15" t="n">
        <f aca="false">COUNTIFS(Clips!$F:$F,$B26,Clips!$C:$C,"val")</f>
        <v>5</v>
      </c>
      <c r="R26" s="15" t="n">
        <f aca="false">COUNTIFS(Clips!$F:$F,$B26,Clips!$C:$C,"test")</f>
        <v>5</v>
      </c>
      <c r="S26" s="17" t="n">
        <f aca="false">SUMIFS(Clips!$I:$I,Clips!$F:$F,$B26,Clips!$C:$C,"train")/60</f>
        <v>18.1653833333333</v>
      </c>
      <c r="T26" s="17" t="n">
        <f aca="false">SUMIFS(Clips!$I:$I,Clips!$F:$F,$B26,Clips!$C:$C,"val")/60</f>
        <v>4.18398333333333</v>
      </c>
      <c r="U26" s="17" t="n">
        <f aca="false">SUMIFS(Clips!$I:$I,Clips!$F:$F,$B26,Clips!$C:$C,"test")/60</f>
        <v>3.7661</v>
      </c>
      <c r="V26" s="15" t="n">
        <f aca="false">SUMIFS(Clips!$J:$J,Clips!$F:$F,$B26,Clips!$C:$C,"train")</f>
        <v>228</v>
      </c>
      <c r="W26" s="18" t="n">
        <f aca="false">IF(V26=0,"",Splits!$B$49/(Splits!$B$50*V26))</f>
        <v>0.683445051307514</v>
      </c>
      <c r="X26" s="15" t="str">
        <f aca="false">IF(P26&gt;0,IF(AND(Q26&gt;0,R26&gt;0),"train + val + test",IF(R26&gt;0,"train + test","train only")),IF(R26&gt;0,"test only (unknown class)",IF(K26&gt;0,"site extract only","no usable audio")))</f>
        <v>train + val + test</v>
      </c>
      <c r="Y26" s="15" t="str">
        <f aca="false">IF($P26=0,"",IF($E26="nonbird",$B26,IF($G26="yes",$B26,"other bird")))</f>
        <v>other bird</v>
      </c>
      <c r="Z26" s="15" t="str">
        <f aca="false">IF(AND($F26="core",$P26&gt;0),$B26,"")</f>
        <v>Dusky Antbird</v>
      </c>
      <c r="AA26" s="15" t="str">
        <f aca="false">IF($P26&gt;0,$B26,"")</f>
        <v>Dusky Antbird</v>
      </c>
      <c r="AB26" s="15" t="n">
        <v>28</v>
      </c>
      <c r="AC26" s="15" t="n">
        <v>22</v>
      </c>
      <c r="AD26" s="17" t="n">
        <f aca="false">IF(COUNTIFS(Clips!$F:$F,$B26,Clips!$M:$M,"&gt;0",Clips!$C:$C,"&lt;&gt;excluded")=0,"",AVERAGEIFS(Clips!$M:$M,Clips!$F:$F,$B26,Clips!$M:$M,"&gt;0",Clips!$C:$C,"&lt;&gt;excluded"))</f>
        <v>3.40625</v>
      </c>
      <c r="AE26" s="15" t="n">
        <f aca="false">COUNTIFS(Clips!$F:$F,$B26,Clips!$O:$O,"&lt;&gt;",Clips!$B:$B,"&lt;&gt;site",Clips!$C:$C,"&lt;&gt;excluded")</f>
        <v>3</v>
      </c>
      <c r="AF26" s="15" t="n">
        <f aca="false">COUNTIFS(Clips!$F:$F,$B26,Clips!$I:$I,"&lt;5",Clips!$C:$C,"&lt;&gt;excluded")</f>
        <v>2</v>
      </c>
      <c r="AG26" s="5"/>
    </row>
    <row r="27" customFormat="false" ht="15" hidden="false" customHeight="false" outlineLevel="0" collapsed="false">
      <c r="A27" s="15" t="n">
        <v>139</v>
      </c>
      <c r="B27" s="15" t="s">
        <v>228</v>
      </c>
      <c r="C27" s="15" t="s">
        <v>229</v>
      </c>
      <c r="D27" s="15" t="s">
        <v>230</v>
      </c>
      <c r="E27" s="15" t="s">
        <v>147</v>
      </c>
      <c r="F27" s="15" t="s">
        <v>148</v>
      </c>
      <c r="G27" s="15" t="str">
        <f aca="false">IF(AND($E27="bird",$K27&gt;0),"yes","")</f>
        <v/>
      </c>
      <c r="H27" s="15"/>
      <c r="I27" s="15" t="str">
        <f aca="false">IF($E27="bird",IF(COUNTIF('eBird List'!$A:$A,$B27)&gt;0,"yes","no"),"")</f>
        <v>yes</v>
      </c>
      <c r="J27" s="16" t="n">
        <f aca="false">IF(COUNTIF('eBird List'!$A:$A,$B27)=0,"",INDEX('eBird List'!$C:$C,MATCH($B27,'eBird List'!$A:$A,0)))</f>
        <v>0.132684060042888</v>
      </c>
      <c r="K27" s="15" t="n">
        <f aca="false">COUNTIFS(Clips!$B:$B,"site",Clips!$F:$F,$B27)+COUNTIFS(Clips!$B:$B,"site",Clips!$O:$O,"*"&amp;$B27&amp;"*")</f>
        <v>0</v>
      </c>
      <c r="L27" s="15" t="n">
        <f aca="false">COUNTIFS(Clips!$F:$F,$B27,Clips!$B:$B,"macaulay")</f>
        <v>32</v>
      </c>
      <c r="M27" s="15" t="n">
        <f aca="false">COUNTIFS(Clips!$F:$F,$B27,Clips!$B:$B,"xeno-canto")</f>
        <v>0</v>
      </c>
      <c r="N27" s="15" t="n">
        <f aca="false">K27+L27+M27</f>
        <v>32</v>
      </c>
      <c r="O27" s="15" t="n">
        <f aca="false">COUNTIFS(Clips!$F:$F,$B27,Clips!$C:$C,"excluded")</f>
        <v>0</v>
      </c>
      <c r="P27" s="15" t="n">
        <f aca="false">COUNTIFS(Clips!$F:$F,$B27,Clips!$C:$C,"train")</f>
        <v>22</v>
      </c>
      <c r="Q27" s="15" t="n">
        <f aca="false">COUNTIFS(Clips!$F:$F,$B27,Clips!$C:$C,"val")</f>
        <v>5</v>
      </c>
      <c r="R27" s="15" t="n">
        <f aca="false">COUNTIFS(Clips!$F:$F,$B27,Clips!$C:$C,"test")</f>
        <v>5</v>
      </c>
      <c r="S27" s="17" t="n">
        <f aca="false">SUMIFS(Clips!$I:$I,Clips!$F:$F,$B27,Clips!$C:$C,"train")/60</f>
        <v>31.4891166666667</v>
      </c>
      <c r="T27" s="17" t="n">
        <f aca="false">SUMIFS(Clips!$I:$I,Clips!$F:$F,$B27,Clips!$C:$C,"val")/60</f>
        <v>10.3242</v>
      </c>
      <c r="U27" s="17" t="n">
        <f aca="false">SUMIFS(Clips!$I:$I,Clips!$F:$F,$B27,Clips!$C:$C,"test")/60</f>
        <v>4.72046666666667</v>
      </c>
      <c r="V27" s="15" t="n">
        <f aca="false">SUMIFS(Clips!$J:$J,Clips!$F:$F,$B27,Clips!$C:$C,"train")</f>
        <v>389</v>
      </c>
      <c r="W27" s="18" t="n">
        <f aca="false">IF(V27=0,"",Splits!$B$49/(Splits!$B$50*V27))</f>
        <v>0.400579618761216</v>
      </c>
      <c r="X27" s="15" t="str">
        <f aca="false">IF(P27&gt;0,IF(AND(Q27&gt;0,R27&gt;0),"train + val + test",IF(R27&gt;0,"train + test","train only")),IF(R27&gt;0,"test only (unknown class)",IF(K27&gt;0,"site extract only","no usable audio")))</f>
        <v>train + val + test</v>
      </c>
      <c r="Y27" s="15" t="str">
        <f aca="false">IF($P27=0,"",IF($E27="nonbird",$B27,IF($G27="yes",$B27,"other bird")))</f>
        <v>other bird</v>
      </c>
      <c r="Z27" s="15" t="str">
        <f aca="false">IF(AND($F27="core",$P27&gt;0),$B27,"")</f>
        <v>Ochre-bellied Flycatcher</v>
      </c>
      <c r="AA27" s="15" t="str">
        <f aca="false">IF($P27&gt;0,$B27,"")</f>
        <v>Ochre-bellied Flycatcher</v>
      </c>
      <c r="AB27" s="15" t="n">
        <v>27</v>
      </c>
      <c r="AC27" s="15" t="n">
        <v>14</v>
      </c>
      <c r="AD27" s="17" t="n">
        <f aca="false">IF(COUNTIFS(Clips!$F:$F,$B27,Clips!$M:$M,"&gt;0",Clips!$C:$C,"&lt;&gt;excluded")=0,"",AVERAGEIFS(Clips!$M:$M,Clips!$F:$F,$B27,Clips!$M:$M,"&gt;0",Clips!$C:$C,"&lt;&gt;excluded"))</f>
        <v>2.9603125</v>
      </c>
      <c r="AE27" s="15" t="n">
        <f aca="false">COUNTIFS(Clips!$F:$F,$B27,Clips!$O:$O,"&lt;&gt;",Clips!$B:$B,"&lt;&gt;site",Clips!$C:$C,"&lt;&gt;excluded")</f>
        <v>1</v>
      </c>
      <c r="AF27" s="15" t="n">
        <f aca="false">COUNTIFS(Clips!$F:$F,$B27,Clips!$I:$I,"&lt;5",Clips!$C:$C,"&lt;&gt;excluded")</f>
        <v>0</v>
      </c>
      <c r="AG27" s="5"/>
    </row>
    <row r="28" customFormat="false" ht="15" hidden="false" customHeight="false" outlineLevel="0" collapsed="false">
      <c r="A28" s="15" t="n">
        <v>145</v>
      </c>
      <c r="B28" s="15" t="s">
        <v>231</v>
      </c>
      <c r="C28" s="15" t="s">
        <v>232</v>
      </c>
      <c r="D28" s="15" t="s">
        <v>233</v>
      </c>
      <c r="E28" s="15" t="s">
        <v>147</v>
      </c>
      <c r="F28" s="15" t="s">
        <v>148</v>
      </c>
      <c r="G28" s="15" t="str">
        <f aca="false">IF(AND($E28="bird",$K28&gt;0),"yes","")</f>
        <v/>
      </c>
      <c r="H28" s="15"/>
      <c r="I28" s="15" t="str">
        <f aca="false">IF($E28="bird",IF(COUNTIF('eBird List'!$A:$A,$B28)&gt;0,"yes","no"),"")</f>
        <v>yes</v>
      </c>
      <c r="J28" s="16" t="n">
        <f aca="false">IF(COUNTIF('eBird List'!$A:$A,$B28)=0,"",INDEX('eBird List'!$C:$C,MATCH($B28,'eBird List'!$A:$A,0)))</f>
        <v>0.242018108172504</v>
      </c>
      <c r="K28" s="15" t="n">
        <f aca="false">COUNTIFS(Clips!$B:$B,"site",Clips!$F:$F,$B28)+COUNTIFS(Clips!$B:$B,"site",Clips!$O:$O,"*"&amp;$B28&amp;"*")</f>
        <v>0</v>
      </c>
      <c r="L28" s="15" t="n">
        <f aca="false">COUNTIFS(Clips!$F:$F,$B28,Clips!$B:$B,"macaulay")</f>
        <v>32</v>
      </c>
      <c r="M28" s="15" t="n">
        <f aca="false">COUNTIFS(Clips!$F:$F,$B28,Clips!$B:$B,"xeno-canto")</f>
        <v>0</v>
      </c>
      <c r="N28" s="15" t="n">
        <f aca="false">K28+L28+M28</f>
        <v>32</v>
      </c>
      <c r="O28" s="15" t="n">
        <f aca="false">COUNTIFS(Clips!$F:$F,$B28,Clips!$C:$C,"excluded")</f>
        <v>0</v>
      </c>
      <c r="P28" s="15" t="n">
        <f aca="false">COUNTIFS(Clips!$F:$F,$B28,Clips!$C:$C,"train")</f>
        <v>22</v>
      </c>
      <c r="Q28" s="15" t="n">
        <f aca="false">COUNTIFS(Clips!$F:$F,$B28,Clips!$C:$C,"val")</f>
        <v>5</v>
      </c>
      <c r="R28" s="15" t="n">
        <f aca="false">COUNTIFS(Clips!$F:$F,$B28,Clips!$C:$C,"test")</f>
        <v>5</v>
      </c>
      <c r="S28" s="17" t="n">
        <f aca="false">SUMIFS(Clips!$I:$I,Clips!$F:$F,$B28,Clips!$C:$C,"train")/60</f>
        <v>18.4594833333333</v>
      </c>
      <c r="T28" s="17" t="n">
        <f aca="false">SUMIFS(Clips!$I:$I,Clips!$F:$F,$B28,Clips!$C:$C,"val")/60</f>
        <v>1.4873</v>
      </c>
      <c r="U28" s="17" t="n">
        <f aca="false">SUMIFS(Clips!$I:$I,Clips!$F:$F,$B28,Clips!$C:$C,"test")/60</f>
        <v>2.26808333333333</v>
      </c>
      <c r="V28" s="15" t="n">
        <f aca="false">SUMIFS(Clips!$J:$J,Clips!$F:$F,$B28,Clips!$C:$C,"train")</f>
        <v>230</v>
      </c>
      <c r="W28" s="18" t="n">
        <f aca="false">IF(V28=0,"",Splits!$B$49/(Splits!$B$50*V28))</f>
        <v>0.677502050861362</v>
      </c>
      <c r="X28" s="15" t="str">
        <f aca="false">IF(P28&gt;0,IF(AND(Q28&gt;0,R28&gt;0),"train + val + test",IF(R28&gt;0,"train + test","train only")),IF(R28&gt;0,"test only (unknown class)",IF(K28&gt;0,"site extract only","no usable audio")))</f>
        <v>train + val + test</v>
      </c>
      <c r="Y28" s="15" t="str">
        <f aca="false">IF($P28=0,"",IF($E28="nonbird",$B28,IF($G28="yes",$B28,"other bird")))</f>
        <v>other bird</v>
      </c>
      <c r="Z28" s="15" t="str">
        <f aca="false">IF(AND($F28="core",$P28&gt;0),$B28,"")</f>
        <v>Orange-billed Sparrow</v>
      </c>
      <c r="AA28" s="15" t="str">
        <f aca="false">IF($P28&gt;0,$B28,"")</f>
        <v>Orange-billed Sparrow</v>
      </c>
      <c r="AB28" s="15" t="n">
        <v>26</v>
      </c>
      <c r="AC28" s="15" t="n">
        <v>18</v>
      </c>
      <c r="AD28" s="17" t="n">
        <f aca="false">IF(COUNTIFS(Clips!$F:$F,$B28,Clips!$M:$M,"&gt;0",Clips!$C:$C,"&lt;&gt;excluded")=0,"",AVERAGEIFS(Clips!$M:$M,Clips!$F:$F,$B28,Clips!$M:$M,"&gt;0",Clips!$C:$C,"&lt;&gt;excluded"))</f>
        <v>3.30454545454545</v>
      </c>
      <c r="AE28" s="15" t="n">
        <f aca="false">COUNTIFS(Clips!$F:$F,$B28,Clips!$O:$O,"&lt;&gt;",Clips!$B:$B,"&lt;&gt;site",Clips!$C:$C,"&lt;&gt;excluded")</f>
        <v>1</v>
      </c>
      <c r="AF28" s="15" t="n">
        <f aca="false">COUNTIFS(Clips!$F:$F,$B28,Clips!$I:$I,"&lt;5",Clips!$C:$C,"&lt;&gt;excluded")</f>
        <v>0</v>
      </c>
      <c r="AG28" s="5"/>
    </row>
    <row r="29" customFormat="false" ht="15" hidden="false" customHeight="false" outlineLevel="0" collapsed="false">
      <c r="A29" s="15" t="n">
        <v>63</v>
      </c>
      <c r="B29" s="15" t="s">
        <v>234</v>
      </c>
      <c r="C29" s="15" t="s">
        <v>235</v>
      </c>
      <c r="D29" s="15" t="s">
        <v>236</v>
      </c>
      <c r="E29" s="15" t="s">
        <v>147</v>
      </c>
      <c r="F29" s="15" t="s">
        <v>148</v>
      </c>
      <c r="G29" s="15" t="str">
        <f aca="false">IF(AND($E29="bird",$K29&gt;0),"yes","")</f>
        <v/>
      </c>
      <c r="H29" s="15"/>
      <c r="I29" s="15" t="str">
        <f aca="false">IF($E29="bird",IF(COUNTIF('eBird List'!$A:$A,$B29)&gt;0,"yes","no"),"")</f>
        <v>yes</v>
      </c>
      <c r="J29" s="16" t="n">
        <f aca="false">IF(COUNTIF('eBird List'!$A:$A,$B29)=0,"",INDEX('eBird List'!$C:$C,MATCH($B29,'eBird List'!$A:$A,0)))</f>
        <v>0.133458422682869</v>
      </c>
      <c r="K29" s="15" t="n">
        <f aca="false">COUNTIFS(Clips!$B:$B,"site",Clips!$F:$F,$B29)+COUNTIFS(Clips!$B:$B,"site",Clips!$O:$O,"*"&amp;$B29&amp;"*")</f>
        <v>0</v>
      </c>
      <c r="L29" s="15" t="n">
        <f aca="false">COUNTIFS(Clips!$F:$F,$B29,Clips!$B:$B,"macaulay")</f>
        <v>31</v>
      </c>
      <c r="M29" s="15" t="n">
        <f aca="false">COUNTIFS(Clips!$F:$F,$B29,Clips!$B:$B,"xeno-canto")</f>
        <v>0</v>
      </c>
      <c r="N29" s="15" t="n">
        <f aca="false">K29+L29+M29</f>
        <v>31</v>
      </c>
      <c r="O29" s="15" t="n">
        <f aca="false">COUNTIFS(Clips!$F:$F,$B29,Clips!$C:$C,"excluded")</f>
        <v>0</v>
      </c>
      <c r="P29" s="15" t="n">
        <f aca="false">COUNTIFS(Clips!$F:$F,$B29,Clips!$C:$C,"train")</f>
        <v>21</v>
      </c>
      <c r="Q29" s="15" t="n">
        <f aca="false">COUNTIFS(Clips!$F:$F,$B29,Clips!$C:$C,"val")</f>
        <v>5</v>
      </c>
      <c r="R29" s="15" t="n">
        <f aca="false">COUNTIFS(Clips!$F:$F,$B29,Clips!$C:$C,"test")</f>
        <v>5</v>
      </c>
      <c r="S29" s="17" t="n">
        <f aca="false">SUMIFS(Clips!$I:$I,Clips!$F:$F,$B29,Clips!$C:$C,"train")/60</f>
        <v>8.54696666666667</v>
      </c>
      <c r="T29" s="17" t="n">
        <f aca="false">SUMIFS(Clips!$I:$I,Clips!$F:$F,$B29,Clips!$C:$C,"val")/60</f>
        <v>3.736</v>
      </c>
      <c r="U29" s="17" t="n">
        <f aca="false">SUMIFS(Clips!$I:$I,Clips!$F:$F,$B29,Clips!$C:$C,"test")/60</f>
        <v>2.2818</v>
      </c>
      <c r="V29" s="15" t="n">
        <f aca="false">SUMIFS(Clips!$J:$J,Clips!$F:$F,$B29,Clips!$C:$C,"train")</f>
        <v>114</v>
      </c>
      <c r="W29" s="18" t="n">
        <f aca="false">IF(V29=0,"",Splits!$B$49/(Splits!$B$50*V29))</f>
        <v>1.36689010261503</v>
      </c>
      <c r="X29" s="15" t="str">
        <f aca="false">IF(P29&gt;0,IF(AND(Q29&gt;0,R29&gt;0),"train + val + test",IF(R29&gt;0,"train + test","train only")),IF(R29&gt;0,"test only (unknown class)",IF(K29&gt;0,"site extract only","no usable audio")))</f>
        <v>train + val + test</v>
      </c>
      <c r="Y29" s="15" t="str">
        <f aca="false">IF($P29=0,"",IF($E29="nonbird",$B29,IF($G29="yes",$B29,"other bird")))</f>
        <v>other bird</v>
      </c>
      <c r="Z29" s="15" t="str">
        <f aca="false">IF(AND($F29="core",$P29&gt;0),$B29,"")</f>
        <v>Common Pauraque</v>
      </c>
      <c r="AA29" s="15" t="str">
        <f aca="false">IF($P29&gt;0,$B29,"")</f>
        <v>Common Pauraque</v>
      </c>
      <c r="AB29" s="15" t="n">
        <v>30</v>
      </c>
      <c r="AC29" s="15" t="n">
        <v>24</v>
      </c>
      <c r="AD29" s="17" t="n">
        <f aca="false">IF(COUNTIFS(Clips!$F:$F,$B29,Clips!$M:$M,"&gt;0",Clips!$C:$C,"&lt;&gt;excluded")=0,"",AVERAGEIFS(Clips!$M:$M,Clips!$F:$F,$B29,Clips!$M:$M,"&gt;0",Clips!$C:$C,"&lt;&gt;excluded"))</f>
        <v>3.54833333333333</v>
      </c>
      <c r="AE29" s="15" t="n">
        <f aca="false">COUNTIFS(Clips!$F:$F,$B29,Clips!$O:$O,"&lt;&gt;",Clips!$B:$B,"&lt;&gt;site",Clips!$C:$C,"&lt;&gt;excluded")</f>
        <v>1</v>
      </c>
      <c r="AF29" s="15" t="n">
        <f aca="false">COUNTIFS(Clips!$F:$F,$B29,Clips!$I:$I,"&lt;5",Clips!$C:$C,"&lt;&gt;excluded")</f>
        <v>2</v>
      </c>
      <c r="AG29" s="5"/>
    </row>
    <row r="30" customFormat="false" ht="15" hidden="false" customHeight="false" outlineLevel="0" collapsed="false">
      <c r="A30" s="15" t="n">
        <v>18</v>
      </c>
      <c r="B30" s="15" t="s">
        <v>237</v>
      </c>
      <c r="C30" s="15" t="s">
        <v>238</v>
      </c>
      <c r="D30" s="15" t="s">
        <v>239</v>
      </c>
      <c r="E30" s="15" t="s">
        <v>147</v>
      </c>
      <c r="F30" s="15" t="s">
        <v>148</v>
      </c>
      <c r="G30" s="15" t="str">
        <f aca="false">IF(AND($E30="bird",$K30&gt;0),"yes","")</f>
        <v/>
      </c>
      <c r="H30" s="15"/>
      <c r="I30" s="15" t="str">
        <f aca="false">IF($E30="bird",IF(COUNTIF('eBird List'!$A:$A,$B30)&gt;0,"yes","no"),"")</f>
        <v>yes</v>
      </c>
      <c r="J30" s="16" t="n">
        <f aca="false">IF(COUNTIF('eBird List'!$A:$A,$B30)=0,"",INDEX('eBird List'!$C:$C,MATCH($B30,'eBird List'!$A:$A,0)))</f>
        <v>0.0722539909459138</v>
      </c>
      <c r="K30" s="15" t="n">
        <f aca="false">COUNTIFS(Clips!$B:$B,"site",Clips!$F:$F,$B30)+COUNTIFS(Clips!$B:$B,"site",Clips!$O:$O,"*"&amp;$B30&amp;"*")</f>
        <v>0</v>
      </c>
      <c r="L30" s="15" t="n">
        <f aca="false">COUNTIFS(Clips!$F:$F,$B30,Clips!$B:$B,"macaulay")</f>
        <v>30</v>
      </c>
      <c r="M30" s="15" t="n">
        <f aca="false">COUNTIFS(Clips!$F:$F,$B30,Clips!$B:$B,"xeno-canto")</f>
        <v>0</v>
      </c>
      <c r="N30" s="15" t="n">
        <f aca="false">K30+L30+M30</f>
        <v>30</v>
      </c>
      <c r="O30" s="15" t="n">
        <f aca="false">COUNTIFS(Clips!$F:$F,$B30,Clips!$C:$C,"excluded")</f>
        <v>0</v>
      </c>
      <c r="P30" s="15" t="n">
        <f aca="false">COUNTIFS(Clips!$F:$F,$B30,Clips!$C:$C,"train")</f>
        <v>22</v>
      </c>
      <c r="Q30" s="15" t="n">
        <f aca="false">COUNTIFS(Clips!$F:$F,$B30,Clips!$C:$C,"val")</f>
        <v>4</v>
      </c>
      <c r="R30" s="15" t="n">
        <f aca="false">COUNTIFS(Clips!$F:$F,$B30,Clips!$C:$C,"test")</f>
        <v>4</v>
      </c>
      <c r="S30" s="17" t="n">
        <f aca="false">SUMIFS(Clips!$I:$I,Clips!$F:$F,$B30,Clips!$C:$C,"train")/60</f>
        <v>17.15035</v>
      </c>
      <c r="T30" s="17" t="n">
        <f aca="false">SUMIFS(Clips!$I:$I,Clips!$F:$F,$B30,Clips!$C:$C,"val")/60</f>
        <v>2.82088333333333</v>
      </c>
      <c r="U30" s="17" t="n">
        <f aca="false">SUMIFS(Clips!$I:$I,Clips!$F:$F,$B30,Clips!$C:$C,"test")/60</f>
        <v>4.55938333333333</v>
      </c>
      <c r="V30" s="15" t="n">
        <f aca="false">SUMIFS(Clips!$J:$J,Clips!$F:$F,$B30,Clips!$C:$C,"train")</f>
        <v>217</v>
      </c>
      <c r="W30" s="18" t="n">
        <f aca="false">IF(V30=0,"",Splits!$B$49/(Splits!$B$50*V30))</f>
        <v>0.718089731327711</v>
      </c>
      <c r="X30" s="15" t="str">
        <f aca="false">IF(P30&gt;0,IF(AND(Q30&gt;0,R30&gt;0),"train + val + test",IF(R30&gt;0,"train + test","train only")),IF(R30&gt;0,"test only (unknown class)",IF(K30&gt;0,"site extract only","no usable audio")))</f>
        <v>train + val + test</v>
      </c>
      <c r="Y30" s="15" t="str">
        <f aca="false">IF($P30=0,"",IF($E30="nonbird",$B30,IF($G30="yes",$B30,"other bird")))</f>
        <v>other bird</v>
      </c>
      <c r="Z30" s="15" t="str">
        <f aca="false">IF(AND($F30="core",$P30&gt;0),$B30,"")</f>
        <v>Black-capped Pygmy-Tyrant</v>
      </c>
      <c r="AA30" s="15" t="str">
        <f aca="false">IF($P30&gt;0,$B30,"")</f>
        <v>Black-capped Pygmy-Tyrant</v>
      </c>
      <c r="AB30" s="15" t="n">
        <v>29</v>
      </c>
      <c r="AC30" s="15" t="n">
        <v>24</v>
      </c>
      <c r="AD30" s="17" t="n">
        <f aca="false">IF(COUNTIFS(Clips!$F:$F,$B30,Clips!$M:$M,"&gt;0",Clips!$C:$C,"&lt;&gt;excluded")=0,"",AVERAGEIFS(Clips!$M:$M,Clips!$F:$F,$B30,Clips!$M:$M,"&gt;0",Clips!$C:$C,"&lt;&gt;excluded"))</f>
        <v>2.70157894736842</v>
      </c>
      <c r="AE30" s="15" t="n">
        <f aca="false">COUNTIFS(Clips!$F:$F,$B30,Clips!$O:$O,"&lt;&gt;",Clips!$B:$B,"&lt;&gt;site",Clips!$C:$C,"&lt;&gt;excluded")</f>
        <v>2</v>
      </c>
      <c r="AF30" s="15" t="n">
        <f aca="false">COUNTIFS(Clips!$F:$F,$B30,Clips!$I:$I,"&lt;5",Clips!$C:$C,"&lt;&gt;excluded")</f>
        <v>0</v>
      </c>
      <c r="AG30" s="5"/>
    </row>
    <row r="31" customFormat="false" ht="15" hidden="false" customHeight="false" outlineLevel="0" collapsed="false">
      <c r="A31" s="15" t="n">
        <v>186</v>
      </c>
      <c r="B31" s="15" t="s">
        <v>240</v>
      </c>
      <c r="C31" s="15" t="s">
        <v>241</v>
      </c>
      <c r="D31" s="15" t="s">
        <v>242</v>
      </c>
      <c r="E31" s="15" t="s">
        <v>147</v>
      </c>
      <c r="F31" s="15" t="s">
        <v>148</v>
      </c>
      <c r="G31" s="15" t="str">
        <f aca="false">IF(AND($E31="bird",$K31&gt;0),"yes","")</f>
        <v/>
      </c>
      <c r="H31" s="15"/>
      <c r="I31" s="15" t="str">
        <f aca="false">IF($E31="bird",IF(COUNTIF('eBird List'!$A:$A,$B31)&gt;0,"yes","no"),"")</f>
        <v>yes</v>
      </c>
      <c r="J31" s="16" t="n">
        <f aca="false">IF(COUNTIF('eBird List'!$A:$A,$B31)=0,"",INDEX('eBird List'!$C:$C,MATCH($B31,'eBird List'!$A:$A,0)))</f>
        <v>0.0758577555396712</v>
      </c>
      <c r="K31" s="15" t="n">
        <f aca="false">COUNTIFS(Clips!$B:$B,"site",Clips!$F:$F,$B31)+COUNTIFS(Clips!$B:$B,"site",Clips!$O:$O,"*"&amp;$B31&amp;"*")</f>
        <v>0</v>
      </c>
      <c r="L31" s="15" t="n">
        <f aca="false">COUNTIFS(Clips!$F:$F,$B31,Clips!$B:$B,"macaulay")</f>
        <v>30</v>
      </c>
      <c r="M31" s="15" t="n">
        <f aca="false">COUNTIFS(Clips!$F:$F,$B31,Clips!$B:$B,"xeno-canto")</f>
        <v>0</v>
      </c>
      <c r="N31" s="15" t="n">
        <f aca="false">K31+L31+M31</f>
        <v>30</v>
      </c>
      <c r="O31" s="15" t="n">
        <f aca="false">COUNTIFS(Clips!$F:$F,$B31,Clips!$C:$C,"excluded")</f>
        <v>0</v>
      </c>
      <c r="P31" s="15" t="n">
        <f aca="false">COUNTIFS(Clips!$F:$F,$B31,Clips!$C:$C,"train")</f>
        <v>22</v>
      </c>
      <c r="Q31" s="15" t="n">
        <f aca="false">COUNTIFS(Clips!$F:$F,$B31,Clips!$C:$C,"val")</f>
        <v>4</v>
      </c>
      <c r="R31" s="15" t="n">
        <f aca="false">COUNTIFS(Clips!$F:$F,$B31,Clips!$C:$C,"test")</f>
        <v>4</v>
      </c>
      <c r="S31" s="17" t="n">
        <f aca="false">SUMIFS(Clips!$I:$I,Clips!$F:$F,$B31,Clips!$C:$C,"train")/60</f>
        <v>57.8299833333333</v>
      </c>
      <c r="T31" s="17" t="n">
        <f aca="false">SUMIFS(Clips!$I:$I,Clips!$F:$F,$B31,Clips!$C:$C,"val")/60</f>
        <v>7.45551666666667</v>
      </c>
      <c r="U31" s="17" t="n">
        <f aca="false">SUMIFS(Clips!$I:$I,Clips!$F:$F,$B31,Clips!$C:$C,"test")/60</f>
        <v>1.78103333333333</v>
      </c>
      <c r="V31" s="15" t="n">
        <f aca="false">SUMIFS(Clips!$J:$J,Clips!$F:$F,$B31,Clips!$C:$C,"train")</f>
        <v>528</v>
      </c>
      <c r="W31" s="18" t="n">
        <f aca="false">IF(V31=0,"",Splits!$B$49/(Splits!$B$50*V31))</f>
        <v>0.295123999428245</v>
      </c>
      <c r="X31" s="15" t="str">
        <f aca="false">IF(P31&gt;0,IF(AND(Q31&gt;0,R31&gt;0),"train + val + test",IF(R31&gt;0,"train + test","train only")),IF(R31&gt;0,"test only (unknown class)",IF(K31&gt;0,"site extract only","no usable audio")))</f>
        <v>train + val + test</v>
      </c>
      <c r="Y31" s="15" t="str">
        <f aca="false">IF($P31=0,"",IF($E31="nonbird",$B31,IF($G31="yes",$B31,"other bird")))</f>
        <v>other bird</v>
      </c>
      <c r="Z31" s="15" t="str">
        <f aca="false">IF(AND($F31="core",$P31&gt;0),$B31,"")</f>
        <v>Slaty-breasted Tinamou</v>
      </c>
      <c r="AA31" s="15" t="str">
        <f aca="false">IF($P31&gt;0,$B31,"")</f>
        <v>Slaty-breasted Tinamou</v>
      </c>
      <c r="AB31" s="15" t="n">
        <v>26</v>
      </c>
      <c r="AC31" s="15" t="n">
        <v>21</v>
      </c>
      <c r="AD31" s="17" t="n">
        <f aca="false">IF(COUNTIFS(Clips!$F:$F,$B31,Clips!$M:$M,"&gt;0",Clips!$C:$C,"&lt;&gt;excluded")=0,"",AVERAGEIFS(Clips!$M:$M,Clips!$F:$F,$B31,Clips!$M:$M,"&gt;0",Clips!$C:$C,"&lt;&gt;excluded"))</f>
        <v>3.04916666666667</v>
      </c>
      <c r="AE31" s="15" t="n">
        <f aca="false">COUNTIFS(Clips!$F:$F,$B31,Clips!$O:$O,"&lt;&gt;",Clips!$B:$B,"&lt;&gt;site",Clips!$C:$C,"&lt;&gt;excluded")</f>
        <v>1</v>
      </c>
      <c r="AF31" s="15" t="n">
        <f aca="false">COUNTIFS(Clips!$F:$F,$B31,Clips!$I:$I,"&lt;5",Clips!$C:$C,"&lt;&gt;excluded")</f>
        <v>0</v>
      </c>
      <c r="AG31" s="5"/>
    </row>
    <row r="32" customFormat="false" ht="15" hidden="false" customHeight="false" outlineLevel="0" collapsed="false">
      <c r="A32" s="15" t="n">
        <v>112</v>
      </c>
      <c r="B32" s="15" t="s">
        <v>243</v>
      </c>
      <c r="C32" s="15" t="s">
        <v>244</v>
      </c>
      <c r="D32" s="15" t="s">
        <v>245</v>
      </c>
      <c r="E32" s="15" t="s">
        <v>147</v>
      </c>
      <c r="F32" s="15" t="s">
        <v>148</v>
      </c>
      <c r="G32" s="15" t="str">
        <f aca="false">IF(AND($E32="bird",$K32&gt;0),"yes","")</f>
        <v/>
      </c>
      <c r="H32" s="15"/>
      <c r="I32" s="15" t="str">
        <f aca="false">IF($E32="bird",IF(COUNTIF('eBird List'!$A:$A,$B32)&gt;0,"yes","no"),"")</f>
        <v>yes</v>
      </c>
      <c r="J32" s="16" t="n">
        <f aca="false">IF(COUNTIF('eBird List'!$A:$A,$B32)=0,"",INDEX('eBird List'!$C:$C,MATCH($B32,'eBird List'!$A:$A,0)))</f>
        <v>0.389534191088873</v>
      </c>
      <c r="K32" s="15" t="n">
        <f aca="false">COUNTIFS(Clips!$B:$B,"site",Clips!$F:$F,$B32)+COUNTIFS(Clips!$B:$B,"site",Clips!$O:$O,"*"&amp;$B32&amp;"*")</f>
        <v>0</v>
      </c>
      <c r="L32" s="15" t="n">
        <f aca="false">COUNTIFS(Clips!$F:$F,$B32,Clips!$B:$B,"macaulay")</f>
        <v>26</v>
      </c>
      <c r="M32" s="15" t="n">
        <f aca="false">COUNTIFS(Clips!$F:$F,$B32,Clips!$B:$B,"xeno-canto")</f>
        <v>2</v>
      </c>
      <c r="N32" s="15" t="n">
        <f aca="false">K32+L32+M32</f>
        <v>28</v>
      </c>
      <c r="O32" s="15" t="n">
        <f aca="false">COUNTIFS(Clips!$F:$F,$B32,Clips!$C:$C,"excluded")</f>
        <v>0</v>
      </c>
      <c r="P32" s="15" t="n">
        <f aca="false">COUNTIFS(Clips!$F:$F,$B32,Clips!$C:$C,"train")</f>
        <v>20</v>
      </c>
      <c r="Q32" s="15" t="n">
        <f aca="false">COUNTIFS(Clips!$F:$F,$B32,Clips!$C:$C,"val")</f>
        <v>4</v>
      </c>
      <c r="R32" s="15" t="n">
        <f aca="false">COUNTIFS(Clips!$F:$F,$B32,Clips!$C:$C,"test")</f>
        <v>4</v>
      </c>
      <c r="S32" s="17" t="n">
        <f aca="false">SUMIFS(Clips!$I:$I,Clips!$F:$F,$B32,Clips!$C:$C,"train")/60</f>
        <v>21.9377166666667</v>
      </c>
      <c r="T32" s="17" t="n">
        <f aca="false">SUMIFS(Clips!$I:$I,Clips!$F:$F,$B32,Clips!$C:$C,"val")/60</f>
        <v>2.92485</v>
      </c>
      <c r="U32" s="17" t="n">
        <f aca="false">SUMIFS(Clips!$I:$I,Clips!$F:$F,$B32,Clips!$C:$C,"test")/60</f>
        <v>3.70081666666667</v>
      </c>
      <c r="V32" s="15" t="n">
        <f aca="false">SUMIFS(Clips!$J:$J,Clips!$F:$F,$B32,Clips!$C:$C,"train")</f>
        <v>274</v>
      </c>
      <c r="W32" s="18" t="n">
        <f aca="false">IF(V32=0,"",Splits!$B$49/(Splits!$B$50*V32))</f>
        <v>0.568706101088005</v>
      </c>
      <c r="X32" s="15" t="str">
        <f aca="false">IF(P32&gt;0,IF(AND(Q32&gt;0,R32&gt;0),"train + val + test",IF(R32&gt;0,"train + test","train only")),IF(R32&gt;0,"test only (unknown class)",IF(K32&gt;0,"site extract only","no usable audio")))</f>
        <v>train + val + test</v>
      </c>
      <c r="Y32" s="15" t="str">
        <f aca="false">IF($P32=0,"",IF($E32="nonbird",$B32,IF($G32="yes",$B32,"other bird")))</f>
        <v>other bird</v>
      </c>
      <c r="Z32" s="15" t="str">
        <f aca="false">IF(AND($F32="core",$P32&gt;0),$B32,"")</f>
        <v>Keel-billed Toucan</v>
      </c>
      <c r="AA32" s="15" t="str">
        <f aca="false">IF($P32&gt;0,$B32,"")</f>
        <v>Keel-billed Toucan</v>
      </c>
      <c r="AB32" s="15" t="n">
        <v>24</v>
      </c>
      <c r="AC32" s="15" t="n">
        <v>18</v>
      </c>
      <c r="AD32" s="17" t="n">
        <f aca="false">IF(COUNTIFS(Clips!$F:$F,$B32,Clips!$M:$M,"&gt;0",Clips!$C:$C,"&lt;&gt;excluded")=0,"",AVERAGEIFS(Clips!$M:$M,Clips!$F:$F,$B32,Clips!$M:$M,"&gt;0",Clips!$C:$C,"&lt;&gt;excluded"))</f>
        <v>3.31304347826087</v>
      </c>
      <c r="AE32" s="15" t="n">
        <f aca="false">COUNTIFS(Clips!$F:$F,$B32,Clips!$O:$O,"&lt;&gt;",Clips!$B:$B,"&lt;&gt;site",Clips!$C:$C,"&lt;&gt;excluded")</f>
        <v>1</v>
      </c>
      <c r="AF32" s="15" t="n">
        <f aca="false">COUNTIFS(Clips!$F:$F,$B32,Clips!$I:$I,"&lt;5",Clips!$C:$C,"&lt;&gt;excluded")</f>
        <v>0</v>
      </c>
      <c r="AG32" s="5"/>
    </row>
    <row r="33" customFormat="false" ht="15" hidden="false" customHeight="false" outlineLevel="0" collapsed="false">
      <c r="A33" s="15" t="n">
        <v>180</v>
      </c>
      <c r="B33" s="15" t="s">
        <v>246</v>
      </c>
      <c r="C33" s="15" t="s">
        <v>247</v>
      </c>
      <c r="D33" s="15" t="s">
        <v>248</v>
      </c>
      <c r="E33" s="15" t="s">
        <v>147</v>
      </c>
      <c r="F33" s="15" t="s">
        <v>148</v>
      </c>
      <c r="G33" s="15" t="str">
        <f aca="false">IF(AND($E33="bird",$K33&gt;0),"yes","")</f>
        <v/>
      </c>
      <c r="H33" s="15"/>
      <c r="I33" s="15" t="str">
        <f aca="false">IF($E33="bird",IF(COUNTIF('eBird List'!$A:$A,$B33)&gt;0,"yes","no"),"")</f>
        <v>yes</v>
      </c>
      <c r="J33" s="16" t="n">
        <f aca="false">IF(COUNTIF('eBird List'!$A:$A,$B33)=0,"",INDEX('eBird List'!$C:$C,MATCH($B33,'eBird List'!$A:$A,0)))</f>
        <v>0.370592089587801</v>
      </c>
      <c r="K33" s="15" t="n">
        <f aca="false">COUNTIFS(Clips!$B:$B,"site",Clips!$F:$F,$B33)+COUNTIFS(Clips!$B:$B,"site",Clips!$O:$O,"*"&amp;$B33&amp;"*")</f>
        <v>0</v>
      </c>
      <c r="L33" s="15" t="n">
        <f aca="false">COUNTIFS(Clips!$F:$F,$B33,Clips!$B:$B,"macaulay")</f>
        <v>28</v>
      </c>
      <c r="M33" s="15" t="n">
        <f aca="false">COUNTIFS(Clips!$F:$F,$B33,Clips!$B:$B,"xeno-canto")</f>
        <v>0</v>
      </c>
      <c r="N33" s="15" t="n">
        <f aca="false">K33+L33+M33</f>
        <v>28</v>
      </c>
      <c r="O33" s="15" t="n">
        <f aca="false">COUNTIFS(Clips!$F:$F,$B33,Clips!$C:$C,"excluded")</f>
        <v>0</v>
      </c>
      <c r="P33" s="15" t="n">
        <f aca="false">COUNTIFS(Clips!$F:$F,$B33,Clips!$C:$C,"train")</f>
        <v>20</v>
      </c>
      <c r="Q33" s="15" t="n">
        <f aca="false">COUNTIFS(Clips!$F:$F,$B33,Clips!$C:$C,"val")</f>
        <v>4</v>
      </c>
      <c r="R33" s="15" t="n">
        <f aca="false">COUNTIFS(Clips!$F:$F,$B33,Clips!$C:$C,"test")</f>
        <v>4</v>
      </c>
      <c r="S33" s="17" t="n">
        <f aca="false">SUMIFS(Clips!$I:$I,Clips!$F:$F,$B33,Clips!$C:$C,"train")/60</f>
        <v>12.4939333333333</v>
      </c>
      <c r="T33" s="17" t="n">
        <f aca="false">SUMIFS(Clips!$I:$I,Clips!$F:$F,$B33,Clips!$C:$C,"val")/60</f>
        <v>2.1236</v>
      </c>
      <c r="U33" s="17" t="n">
        <f aca="false">SUMIFS(Clips!$I:$I,Clips!$F:$F,$B33,Clips!$C:$C,"test")/60</f>
        <v>5.92258333333333</v>
      </c>
      <c r="V33" s="15" t="n">
        <f aca="false">SUMIFS(Clips!$J:$J,Clips!$F:$F,$B33,Clips!$C:$C,"train")</f>
        <v>158</v>
      </c>
      <c r="W33" s="18" t="n">
        <f aca="false">IF(V33=0,"",Splits!$B$49/(Splits!$B$50*V33))</f>
        <v>0.986237162646286</v>
      </c>
      <c r="X33" s="15" t="str">
        <f aca="false">IF(P33&gt;0,IF(AND(Q33&gt;0,R33&gt;0),"train + val + test",IF(R33&gt;0,"train + test","train only")),IF(R33&gt;0,"test only (unknown class)",IF(K33&gt;0,"site extract only","no usable audio")))</f>
        <v>train + val + test</v>
      </c>
      <c r="Y33" s="15" t="str">
        <f aca="false">IF($P33=0,"",IF($E33="nonbird",$B33,IF($G33="yes",$B33,"other bird")))</f>
        <v>other bird</v>
      </c>
      <c r="Z33" s="15" t="str">
        <f aca="false">IF(AND($F33="core",$P33&gt;0),$B33,"")</f>
        <v>Short-billed Pigeon</v>
      </c>
      <c r="AA33" s="15" t="str">
        <f aca="false">IF($P33&gt;0,$B33,"")</f>
        <v>Short-billed Pigeon</v>
      </c>
      <c r="AB33" s="15" t="n">
        <v>25</v>
      </c>
      <c r="AC33" s="15" t="n">
        <v>21</v>
      </c>
      <c r="AD33" s="17" t="n">
        <f aca="false">IF(COUNTIFS(Clips!$F:$F,$B33,Clips!$M:$M,"&gt;0",Clips!$C:$C,"&lt;&gt;excluded")=0,"",AVERAGEIFS(Clips!$M:$M,Clips!$F:$F,$B33,Clips!$M:$M,"&gt;0",Clips!$C:$C,"&lt;&gt;excluded"))</f>
        <v>2.74619047619048</v>
      </c>
      <c r="AE33" s="15" t="n">
        <f aca="false">COUNTIFS(Clips!$F:$F,$B33,Clips!$O:$O,"&lt;&gt;",Clips!$B:$B,"&lt;&gt;site",Clips!$C:$C,"&lt;&gt;excluded")</f>
        <v>5</v>
      </c>
      <c r="AF33" s="15" t="n">
        <f aca="false">COUNTIFS(Clips!$F:$F,$B33,Clips!$I:$I,"&lt;5",Clips!$C:$C,"&lt;&gt;excluded")</f>
        <v>4</v>
      </c>
      <c r="AG33" s="5"/>
    </row>
    <row r="34" customFormat="false" ht="15" hidden="false" customHeight="false" outlineLevel="0" collapsed="false">
      <c r="A34" s="15" t="n">
        <v>90</v>
      </c>
      <c r="B34" s="15" t="s">
        <v>249</v>
      </c>
      <c r="C34" s="15" t="s">
        <v>250</v>
      </c>
      <c r="D34" s="15" t="s">
        <v>251</v>
      </c>
      <c r="E34" s="15" t="s">
        <v>147</v>
      </c>
      <c r="F34" s="15" t="s">
        <v>148</v>
      </c>
      <c r="G34" s="15" t="str">
        <f aca="false">IF(AND($E34="bird",$K34&gt;0),"yes","")</f>
        <v/>
      </c>
      <c r="H34" s="15"/>
      <c r="I34" s="15" t="str">
        <f aca="false">IF($E34="bird",IF(COUNTIF('eBird List'!$A:$A,$B34)&gt;0,"yes","no"),"")</f>
        <v>yes</v>
      </c>
      <c r="J34" s="16" t="n">
        <f aca="false">IF(COUNTIF('eBird List'!$A:$A,$B34)=0,"",INDEX('eBird List'!$C:$C,MATCH($B34,'eBird List'!$A:$A,0)))</f>
        <v>0.321330712413629</v>
      </c>
      <c r="K34" s="15" t="n">
        <f aca="false">COUNTIFS(Clips!$B:$B,"site",Clips!$F:$F,$B34)+COUNTIFS(Clips!$B:$B,"site",Clips!$O:$O,"*"&amp;$B34&amp;"*")</f>
        <v>0</v>
      </c>
      <c r="L34" s="15" t="n">
        <f aca="false">COUNTIFS(Clips!$F:$F,$B34,Clips!$B:$B,"macaulay")</f>
        <v>24</v>
      </c>
      <c r="M34" s="15" t="n">
        <f aca="false">COUNTIFS(Clips!$F:$F,$B34,Clips!$B:$B,"xeno-canto")</f>
        <v>1</v>
      </c>
      <c r="N34" s="15" t="n">
        <f aca="false">K34+L34+M34</f>
        <v>25</v>
      </c>
      <c r="O34" s="15" t="n">
        <f aca="false">COUNTIFS(Clips!$F:$F,$B34,Clips!$C:$C,"excluded")</f>
        <v>0</v>
      </c>
      <c r="P34" s="15" t="n">
        <f aca="false">COUNTIFS(Clips!$F:$F,$B34,Clips!$C:$C,"train")</f>
        <v>17</v>
      </c>
      <c r="Q34" s="15" t="n">
        <f aca="false">COUNTIFS(Clips!$F:$F,$B34,Clips!$C:$C,"val")</f>
        <v>4</v>
      </c>
      <c r="R34" s="15" t="n">
        <f aca="false">COUNTIFS(Clips!$F:$F,$B34,Clips!$C:$C,"test")</f>
        <v>4</v>
      </c>
      <c r="S34" s="17" t="n">
        <f aca="false">SUMIFS(Clips!$I:$I,Clips!$F:$F,$B34,Clips!$C:$C,"train")/60</f>
        <v>10.0845833333333</v>
      </c>
      <c r="T34" s="17" t="n">
        <f aca="false">SUMIFS(Clips!$I:$I,Clips!$F:$F,$B34,Clips!$C:$C,"val")/60</f>
        <v>0.772416666666667</v>
      </c>
      <c r="U34" s="17" t="n">
        <f aca="false">SUMIFS(Clips!$I:$I,Clips!$F:$F,$B34,Clips!$C:$C,"test")/60</f>
        <v>2.7575</v>
      </c>
      <c r="V34" s="15" t="n">
        <f aca="false">SUMIFS(Clips!$J:$J,Clips!$F:$F,$B34,Clips!$C:$C,"train")</f>
        <v>131</v>
      </c>
      <c r="W34" s="18" t="n">
        <f aca="false">IF(V34=0,"",Splits!$B$49/(Splits!$B$50*V34))</f>
        <v>1.18950741754285</v>
      </c>
      <c r="X34" s="15" t="str">
        <f aca="false">IF(P34&gt;0,IF(AND(Q34&gt;0,R34&gt;0),"train + val + test",IF(R34&gt;0,"train + test","train only")),IF(R34&gt;0,"test only (unknown class)",IF(K34&gt;0,"site extract only","no usable audio")))</f>
        <v>train + val + test</v>
      </c>
      <c r="Y34" s="15" t="str">
        <f aca="false">IF($P34=0,"",IF($E34="nonbird",$B34,IF($G34="yes",$B34,"other bird")))</f>
        <v>other bird</v>
      </c>
      <c r="Z34" s="15" t="str">
        <f aca="false">IF(AND($F34="core",$P34&gt;0),$B34,"")</f>
        <v>Gray-capped Flycatcher</v>
      </c>
      <c r="AA34" s="15" t="str">
        <f aca="false">IF($P34&gt;0,$B34,"")</f>
        <v>Gray-capped Flycatcher</v>
      </c>
      <c r="AB34" s="15" t="n">
        <v>21</v>
      </c>
      <c r="AC34" s="15" t="n">
        <v>15</v>
      </c>
      <c r="AD34" s="17" t="n">
        <f aca="false">IF(COUNTIFS(Clips!$F:$F,$B34,Clips!$M:$M,"&gt;0",Clips!$C:$C,"&lt;&gt;excluded")=0,"",AVERAGEIFS(Clips!$M:$M,Clips!$F:$F,$B34,Clips!$M:$M,"&gt;0",Clips!$C:$C,"&lt;&gt;excluded"))</f>
        <v>3.06521739130435</v>
      </c>
      <c r="AE34" s="15" t="n">
        <f aca="false">COUNTIFS(Clips!$F:$F,$B34,Clips!$O:$O,"&lt;&gt;",Clips!$B:$B,"&lt;&gt;site",Clips!$C:$C,"&lt;&gt;excluded")</f>
        <v>6</v>
      </c>
      <c r="AF34" s="15" t="n">
        <f aca="false">COUNTIFS(Clips!$F:$F,$B34,Clips!$I:$I,"&lt;5",Clips!$C:$C,"&lt;&gt;excluded")</f>
        <v>0</v>
      </c>
      <c r="AG34" s="5"/>
    </row>
    <row r="35" customFormat="false" ht="15" hidden="false" customHeight="false" outlineLevel="0" collapsed="false">
      <c r="A35" s="15" t="n">
        <v>106</v>
      </c>
      <c r="B35" s="15" t="s">
        <v>252</v>
      </c>
      <c r="C35" s="15" t="s">
        <v>253</v>
      </c>
      <c r="D35" s="15" t="s">
        <v>254</v>
      </c>
      <c r="E35" s="15" t="s">
        <v>147</v>
      </c>
      <c r="F35" s="15" t="s">
        <v>148</v>
      </c>
      <c r="G35" s="15" t="str">
        <f aca="false">IF(AND($E35="bird",$K35&gt;0),"yes","")</f>
        <v>yes</v>
      </c>
      <c r="H35" s="15" t="s">
        <v>149</v>
      </c>
      <c r="I35" s="15" t="str">
        <f aca="false">IF($E35="bird",IF(COUNTIF('eBird List'!$A:$A,$B35)&gt;0,"yes","no"),"")</f>
        <v>yes</v>
      </c>
      <c r="J35" s="16" t="n">
        <f aca="false">IF(COUNTIF('eBird List'!$A:$A,$B35)=0,"",INDEX('eBird List'!$C:$C,MATCH($B35,'eBird List'!$A:$A,0)))</f>
        <v>0.202317131284251</v>
      </c>
      <c r="K35" s="15" t="n">
        <f aca="false">COUNTIFS(Clips!$B:$B,"site",Clips!$F:$F,$B35)+COUNTIFS(Clips!$B:$B,"site",Clips!$O:$O,"*"&amp;$B35&amp;"*")</f>
        <v>3</v>
      </c>
      <c r="L35" s="15" t="n">
        <f aca="false">COUNTIFS(Clips!$F:$F,$B35,Clips!$B:$B,"macaulay")</f>
        <v>25</v>
      </c>
      <c r="M35" s="15" t="n">
        <f aca="false">COUNTIFS(Clips!$F:$F,$B35,Clips!$B:$B,"xeno-canto")</f>
        <v>0</v>
      </c>
      <c r="N35" s="15" t="n">
        <f aca="false">K35+L35+M35</f>
        <v>28</v>
      </c>
      <c r="O35" s="15" t="n">
        <f aca="false">COUNTIFS(Clips!$F:$F,$B35,Clips!$C:$C,"excluded")</f>
        <v>1</v>
      </c>
      <c r="P35" s="15" t="n">
        <f aca="false">COUNTIFS(Clips!$F:$F,$B35,Clips!$C:$C,"train")</f>
        <v>16</v>
      </c>
      <c r="Q35" s="15" t="n">
        <f aca="false">COUNTIFS(Clips!$F:$F,$B35,Clips!$C:$C,"val")</f>
        <v>4</v>
      </c>
      <c r="R35" s="15" t="n">
        <f aca="false">COUNTIFS(Clips!$F:$F,$B35,Clips!$C:$C,"test")</f>
        <v>4</v>
      </c>
      <c r="S35" s="17" t="n">
        <f aca="false">SUMIFS(Clips!$I:$I,Clips!$F:$F,$B35,Clips!$C:$C,"train")/60</f>
        <v>16.5787666666667</v>
      </c>
      <c r="T35" s="17" t="n">
        <f aca="false">SUMIFS(Clips!$I:$I,Clips!$F:$F,$B35,Clips!$C:$C,"val")/60</f>
        <v>2.19535</v>
      </c>
      <c r="U35" s="17" t="n">
        <f aca="false">SUMIFS(Clips!$I:$I,Clips!$F:$F,$B35,Clips!$C:$C,"test")/60</f>
        <v>3.8195</v>
      </c>
      <c r="V35" s="15" t="n">
        <f aca="false">SUMIFS(Clips!$J:$J,Clips!$F:$F,$B35,Clips!$C:$C,"train")</f>
        <v>206</v>
      </c>
      <c r="W35" s="18" t="n">
        <f aca="false">IF(V35=0,"",Splits!$B$49/(Splits!$B$50*V35))</f>
        <v>0.756434328631618</v>
      </c>
      <c r="X35" s="15" t="str">
        <f aca="false">IF(P35&gt;0,IF(AND(Q35&gt;0,R35&gt;0),"train + val + test",IF(R35&gt;0,"train + test","train only")),IF(R35&gt;0,"test only (unknown class)",IF(K35&gt;0,"site extract only","no usable audio")))</f>
        <v>train + val + test</v>
      </c>
      <c r="Y35" s="15" t="str">
        <f aca="false">IF($P35=0,"",IF($E35="nonbird",$B35,IF($G35="yes",$B35,"other bird")))</f>
        <v>Green Ibis</v>
      </c>
      <c r="Z35" s="15" t="str">
        <f aca="false">IF(AND($F35="core",$P35&gt;0),$B35,"")</f>
        <v>Green Ibis</v>
      </c>
      <c r="AA35" s="15" t="str">
        <f aca="false">IF($P35&gt;0,$B35,"")</f>
        <v>Green Ibis</v>
      </c>
      <c r="AB35" s="15" t="n">
        <v>23</v>
      </c>
      <c r="AC35" s="15" t="n">
        <v>22</v>
      </c>
      <c r="AD35" s="17" t="n">
        <f aca="false">IF(COUNTIFS(Clips!$F:$F,$B35,Clips!$M:$M,"&gt;0",Clips!$C:$C,"&lt;&gt;excluded")=0,"",AVERAGEIFS(Clips!$M:$M,Clips!$F:$F,$B35,Clips!$M:$M,"&gt;0",Clips!$C:$C,"&lt;&gt;excluded"))</f>
        <v>3.01909090909091</v>
      </c>
      <c r="AE35" s="15" t="n">
        <f aca="false">COUNTIFS(Clips!$F:$F,$B35,Clips!$O:$O,"&lt;&gt;",Clips!$B:$B,"&lt;&gt;site",Clips!$C:$C,"&lt;&gt;excluded")</f>
        <v>5</v>
      </c>
      <c r="AF35" s="15" t="n">
        <f aca="false">COUNTIFS(Clips!$F:$F,$B35,Clips!$I:$I,"&lt;5",Clips!$C:$C,"&lt;&gt;excluded")</f>
        <v>1</v>
      </c>
      <c r="AG35" s="5" t="s">
        <v>255</v>
      </c>
    </row>
    <row r="36" customFormat="false" ht="15" hidden="false" customHeight="false" outlineLevel="0" collapsed="false">
      <c r="A36" s="15" t="n">
        <v>148</v>
      </c>
      <c r="B36" s="15" t="s">
        <v>256</v>
      </c>
      <c r="C36" s="15" t="s">
        <v>257</v>
      </c>
      <c r="D36" s="15" t="s">
        <v>258</v>
      </c>
      <c r="E36" s="15" t="s">
        <v>147</v>
      </c>
      <c r="F36" s="15" t="s">
        <v>148</v>
      </c>
      <c r="G36" s="15" t="str">
        <f aca="false">IF(AND($E36="bird",$K36&gt;0),"yes","")</f>
        <v/>
      </c>
      <c r="H36" s="15"/>
      <c r="I36" s="15" t="str">
        <f aca="false">IF($E36="bird",IF(COUNTIF('eBird List'!$A:$A,$B36)&gt;0,"yes","no"),"")</f>
        <v>yes</v>
      </c>
      <c r="J36" s="16" t="n">
        <f aca="false">IF(COUNTIF('eBird List'!$A:$A,$B36)=0,"",INDEX('eBird List'!$C:$C,MATCH($B36,'eBird List'!$A:$A,0)))</f>
        <v>0.222450559923755</v>
      </c>
      <c r="K36" s="15" t="n">
        <f aca="false">COUNTIFS(Clips!$B:$B,"site",Clips!$F:$F,$B36)+COUNTIFS(Clips!$B:$B,"site",Clips!$O:$O,"*"&amp;$B36&amp;"*")</f>
        <v>0</v>
      </c>
      <c r="L36" s="15" t="n">
        <f aca="false">COUNTIFS(Clips!$F:$F,$B36,Clips!$B:$B,"macaulay")</f>
        <v>24</v>
      </c>
      <c r="M36" s="15" t="n">
        <f aca="false">COUNTIFS(Clips!$F:$F,$B36,Clips!$B:$B,"xeno-canto")</f>
        <v>0</v>
      </c>
      <c r="N36" s="15" t="n">
        <f aca="false">K36+L36+M36</f>
        <v>24</v>
      </c>
      <c r="O36" s="15" t="n">
        <f aca="false">COUNTIFS(Clips!$F:$F,$B36,Clips!$C:$C,"excluded")</f>
        <v>0</v>
      </c>
      <c r="P36" s="15" t="n">
        <f aca="false">COUNTIFS(Clips!$F:$F,$B36,Clips!$C:$C,"train")</f>
        <v>16</v>
      </c>
      <c r="Q36" s="15" t="n">
        <f aca="false">COUNTIFS(Clips!$F:$F,$B36,Clips!$C:$C,"val")</f>
        <v>4</v>
      </c>
      <c r="R36" s="15" t="n">
        <f aca="false">COUNTIFS(Clips!$F:$F,$B36,Clips!$C:$C,"test")</f>
        <v>4</v>
      </c>
      <c r="S36" s="17" t="n">
        <f aca="false">SUMIFS(Clips!$I:$I,Clips!$F:$F,$B36,Clips!$C:$C,"train")/60</f>
        <v>6.23856666666667</v>
      </c>
      <c r="T36" s="17" t="n">
        <f aca="false">SUMIFS(Clips!$I:$I,Clips!$F:$F,$B36,Clips!$C:$C,"val")/60</f>
        <v>16.5655666666667</v>
      </c>
      <c r="U36" s="17" t="n">
        <f aca="false">SUMIFS(Clips!$I:$I,Clips!$F:$F,$B36,Clips!$C:$C,"test")/60</f>
        <v>1.58216666666667</v>
      </c>
      <c r="V36" s="15" t="n">
        <f aca="false">SUMIFS(Clips!$J:$J,Clips!$F:$F,$B36,Clips!$C:$C,"train")</f>
        <v>84</v>
      </c>
      <c r="W36" s="18" t="n">
        <f aca="false">IF(V36=0,"",Splits!$B$49/(Splits!$B$50*V36))</f>
        <v>1.85506513926325</v>
      </c>
      <c r="X36" s="15" t="str">
        <f aca="false">IF(P36&gt;0,IF(AND(Q36&gt;0,R36&gt;0),"train + val + test",IF(R36&gt;0,"train + test","train only")),IF(R36&gt;0,"test only (unknown class)",IF(K36&gt;0,"site extract only","no usable audio")))</f>
        <v>train + val + test</v>
      </c>
      <c r="Y36" s="15" t="str">
        <f aca="false">IF($P36=0,"",IF($E36="nonbird",$B36,IF($G36="yes",$B36,"other bird")))</f>
        <v>other bird</v>
      </c>
      <c r="Z36" s="15" t="str">
        <f aca="false">IF(AND($F36="core",$P36&gt;0),$B36,"")</f>
        <v>Pale-billed Woodpecker</v>
      </c>
      <c r="AA36" s="15" t="str">
        <f aca="false">IF($P36&gt;0,$B36,"")</f>
        <v>Pale-billed Woodpecker</v>
      </c>
      <c r="AB36" s="15" t="n">
        <v>23</v>
      </c>
      <c r="AC36" s="15" t="n">
        <v>20</v>
      </c>
      <c r="AD36" s="17" t="n">
        <f aca="false">IF(COUNTIFS(Clips!$F:$F,$B36,Clips!$M:$M,"&gt;0",Clips!$C:$C,"&lt;&gt;excluded")=0,"",AVERAGEIFS(Clips!$M:$M,Clips!$F:$F,$B36,Clips!$M:$M,"&gt;0",Clips!$C:$C,"&lt;&gt;excluded"))</f>
        <v>3.05869565217391</v>
      </c>
      <c r="AE36" s="15" t="n">
        <f aca="false">COUNTIFS(Clips!$F:$F,$B36,Clips!$O:$O,"&lt;&gt;",Clips!$B:$B,"&lt;&gt;site",Clips!$C:$C,"&lt;&gt;excluded")</f>
        <v>2</v>
      </c>
      <c r="AF36" s="15" t="n">
        <f aca="false">COUNTIFS(Clips!$F:$F,$B36,Clips!$I:$I,"&lt;5",Clips!$C:$C,"&lt;&gt;excluded")</f>
        <v>3</v>
      </c>
      <c r="AG36" s="5"/>
    </row>
    <row r="37" customFormat="false" ht="15" hidden="false" customHeight="false" outlineLevel="0" collapsed="false">
      <c r="A37" s="15" t="n">
        <v>177</v>
      </c>
      <c r="B37" s="15" t="s">
        <v>259</v>
      </c>
      <c r="C37" s="15" t="s">
        <v>260</v>
      </c>
      <c r="D37" s="15" t="s">
        <v>261</v>
      </c>
      <c r="E37" s="15" t="s">
        <v>147</v>
      </c>
      <c r="F37" s="15" t="s">
        <v>148</v>
      </c>
      <c r="G37" s="15" t="str">
        <f aca="false">IF(AND($E37="bird",$K37&gt;0),"yes","")</f>
        <v/>
      </c>
      <c r="H37" s="15"/>
      <c r="I37" s="15" t="str">
        <f aca="false">IF($E37="bird",IF(COUNTIF('eBird List'!$A:$A,$B37)&gt;0,"yes","no"),"")</f>
        <v>yes</v>
      </c>
      <c r="J37" s="16" t="n">
        <f aca="false">IF(COUNTIF('eBird List'!$A:$A,$B37)=0,"",INDEX('eBird List'!$C:$C,MATCH($B37,'eBird List'!$A:$A,0)))</f>
        <v>0.544525851798904</v>
      </c>
      <c r="K37" s="15" t="n">
        <f aca="false">COUNTIFS(Clips!$B:$B,"site",Clips!$F:$F,$B37)+COUNTIFS(Clips!$B:$B,"site",Clips!$O:$O,"*"&amp;$B37&amp;"*")</f>
        <v>0</v>
      </c>
      <c r="L37" s="15" t="n">
        <f aca="false">COUNTIFS(Clips!$F:$F,$B37,Clips!$B:$B,"macaulay")</f>
        <v>23</v>
      </c>
      <c r="M37" s="15" t="n">
        <f aca="false">COUNTIFS(Clips!$F:$F,$B37,Clips!$B:$B,"xeno-canto")</f>
        <v>1</v>
      </c>
      <c r="N37" s="15" t="n">
        <f aca="false">K37+L37+M37</f>
        <v>24</v>
      </c>
      <c r="O37" s="15" t="n">
        <f aca="false">COUNTIFS(Clips!$F:$F,$B37,Clips!$C:$C,"excluded")</f>
        <v>0</v>
      </c>
      <c r="P37" s="15" t="n">
        <f aca="false">COUNTIFS(Clips!$F:$F,$B37,Clips!$C:$C,"train")</f>
        <v>18</v>
      </c>
      <c r="Q37" s="15" t="n">
        <f aca="false">COUNTIFS(Clips!$F:$F,$B37,Clips!$C:$C,"val")</f>
        <v>3</v>
      </c>
      <c r="R37" s="15" t="n">
        <f aca="false">COUNTIFS(Clips!$F:$F,$B37,Clips!$C:$C,"test")</f>
        <v>3</v>
      </c>
      <c r="S37" s="17" t="n">
        <f aca="false">SUMIFS(Clips!$I:$I,Clips!$F:$F,$B37,Clips!$C:$C,"train")/60</f>
        <v>11.6549</v>
      </c>
      <c r="T37" s="17" t="n">
        <f aca="false">SUMIFS(Clips!$I:$I,Clips!$F:$F,$B37,Clips!$C:$C,"val")/60</f>
        <v>2.412</v>
      </c>
      <c r="U37" s="17" t="n">
        <f aca="false">SUMIFS(Clips!$I:$I,Clips!$F:$F,$B37,Clips!$C:$C,"test")/60</f>
        <v>0.81545</v>
      </c>
      <c r="V37" s="15" t="n">
        <f aca="false">SUMIFS(Clips!$J:$J,Clips!$F:$F,$B37,Clips!$C:$C,"train")</f>
        <v>147</v>
      </c>
      <c r="W37" s="18" t="n">
        <f aca="false">IF(V37=0,"",Splits!$B$49/(Splits!$B$50*V37))</f>
        <v>1.06003722243614</v>
      </c>
      <c r="X37" s="15" t="str">
        <f aca="false">IF(P37&gt;0,IF(AND(Q37&gt;0,R37&gt;0),"train + val + test",IF(R37&gt;0,"train + test","train only")),IF(R37&gt;0,"test only (unknown class)",IF(K37&gt;0,"site extract only","no usable audio")))</f>
        <v>train + val + test</v>
      </c>
      <c r="Y37" s="15" t="str">
        <f aca="false">IF($P37=0,"",IF($E37="nonbird",$B37,IF($G37="yes",$B37,"other bird")))</f>
        <v>other bird</v>
      </c>
      <c r="Z37" s="15" t="str">
        <f aca="false">IF(AND($F37="core",$P37&gt;0),$B37,"")</f>
        <v>Scarlet-rumped Tanager</v>
      </c>
      <c r="AA37" s="15" t="str">
        <f aca="false">IF($P37&gt;0,$B37,"")</f>
        <v>Scarlet-rumped Tanager</v>
      </c>
      <c r="AB37" s="15" t="n">
        <v>21</v>
      </c>
      <c r="AC37" s="15" t="n">
        <v>17</v>
      </c>
      <c r="AD37" s="17" t="n">
        <f aca="false">IF(COUNTIFS(Clips!$F:$F,$B37,Clips!$M:$M,"&gt;0",Clips!$C:$C,"&lt;&gt;excluded")=0,"",AVERAGEIFS(Clips!$M:$M,Clips!$F:$F,$B37,Clips!$M:$M,"&gt;0",Clips!$C:$C,"&lt;&gt;excluded"))</f>
        <v>3.08826086956522</v>
      </c>
      <c r="AE37" s="15" t="n">
        <f aca="false">COUNTIFS(Clips!$F:$F,$B37,Clips!$O:$O,"&lt;&gt;",Clips!$B:$B,"&lt;&gt;site",Clips!$C:$C,"&lt;&gt;excluded")</f>
        <v>5</v>
      </c>
      <c r="AF37" s="15" t="n">
        <f aca="false">COUNTIFS(Clips!$F:$F,$B37,Clips!$I:$I,"&lt;5",Clips!$C:$C,"&lt;&gt;excluded")</f>
        <v>0</v>
      </c>
      <c r="AG37" s="5"/>
    </row>
    <row r="38" customFormat="false" ht="15" hidden="false" customHeight="false" outlineLevel="0" collapsed="false">
      <c r="A38" s="15" t="n">
        <v>216</v>
      </c>
      <c r="B38" s="15" t="s">
        <v>262</v>
      </c>
      <c r="C38" s="15" t="s">
        <v>263</v>
      </c>
      <c r="D38" s="15" t="s">
        <v>264</v>
      </c>
      <c r="E38" s="15" t="s">
        <v>147</v>
      </c>
      <c r="F38" s="15" t="s">
        <v>148</v>
      </c>
      <c r="G38" s="15" t="str">
        <f aca="false">IF(AND($E38="bird",$K38&gt;0),"yes","")</f>
        <v/>
      </c>
      <c r="H38" s="15"/>
      <c r="I38" s="15" t="str">
        <f aca="false">IF($E38="bird",IF(COUNTIF('eBird List'!$A:$A,$B38)&gt;0,"yes","no"),"")</f>
        <v>yes</v>
      </c>
      <c r="J38" s="16" t="n">
        <f aca="false">IF(COUNTIF('eBird List'!$A:$A,$B38)=0,"",INDEX('eBird List'!$C:$C,MATCH($B38,'eBird List'!$A:$A,0)))</f>
        <v>0.198862282582797</v>
      </c>
      <c r="K38" s="15" t="n">
        <f aca="false">COUNTIFS(Clips!$B:$B,"site",Clips!$F:$F,$B38)+COUNTIFS(Clips!$B:$B,"site",Clips!$O:$O,"*"&amp;$B38&amp;"*")</f>
        <v>0</v>
      </c>
      <c r="L38" s="15" t="n">
        <f aca="false">COUNTIFS(Clips!$F:$F,$B38,Clips!$B:$B,"macaulay")</f>
        <v>24</v>
      </c>
      <c r="M38" s="15" t="n">
        <f aca="false">COUNTIFS(Clips!$F:$F,$B38,Clips!$B:$B,"xeno-canto")</f>
        <v>0</v>
      </c>
      <c r="N38" s="15" t="n">
        <f aca="false">K38+L38+M38</f>
        <v>24</v>
      </c>
      <c r="O38" s="15" t="n">
        <f aca="false">COUNTIFS(Clips!$F:$F,$B38,Clips!$C:$C,"excluded")</f>
        <v>0</v>
      </c>
      <c r="P38" s="15" t="n">
        <f aca="false">COUNTIFS(Clips!$F:$F,$B38,Clips!$C:$C,"train")</f>
        <v>16</v>
      </c>
      <c r="Q38" s="15" t="n">
        <f aca="false">COUNTIFS(Clips!$F:$F,$B38,Clips!$C:$C,"val")</f>
        <v>4</v>
      </c>
      <c r="R38" s="15" t="n">
        <f aca="false">COUNTIFS(Clips!$F:$F,$B38,Clips!$C:$C,"test")</f>
        <v>4</v>
      </c>
      <c r="S38" s="17" t="n">
        <f aca="false">SUMIFS(Clips!$I:$I,Clips!$F:$F,$B38,Clips!$C:$C,"train")/60</f>
        <v>23.1010166666667</v>
      </c>
      <c r="T38" s="17" t="n">
        <f aca="false">SUMIFS(Clips!$I:$I,Clips!$F:$F,$B38,Clips!$C:$C,"val")/60</f>
        <v>1.57108333333333</v>
      </c>
      <c r="U38" s="17" t="n">
        <f aca="false">SUMIFS(Clips!$I:$I,Clips!$F:$F,$B38,Clips!$C:$C,"test")/60</f>
        <v>2.16586666666667</v>
      </c>
      <c r="V38" s="15" t="n">
        <f aca="false">SUMIFS(Clips!$J:$J,Clips!$F:$F,$B38,Clips!$C:$C,"train")</f>
        <v>285</v>
      </c>
      <c r="W38" s="18" t="n">
        <f aca="false">IF(V38=0,"",Splits!$B$49/(Splits!$B$50*V38))</f>
        <v>0.546756041046011</v>
      </c>
      <c r="X38" s="15" t="str">
        <f aca="false">IF(P38&gt;0,IF(AND(Q38&gt;0,R38&gt;0),"train + val + test",IF(R38&gt;0,"train + test","train only")),IF(R38&gt;0,"test only (unknown class)",IF(K38&gt;0,"site extract only","no usable audio")))</f>
        <v>train + val + test</v>
      </c>
      <c r="Y38" s="15" t="str">
        <f aca="false">IF($P38=0,"",IF($E38="nonbird",$B38,IF($G38="yes",$B38,"other bird")))</f>
        <v>other bird</v>
      </c>
      <c r="Z38" s="15" t="str">
        <f aca="false">IF(AND($F38="core",$P38&gt;0),$B38,"")</f>
        <v>Wedge-billed Woodcreeper</v>
      </c>
      <c r="AA38" s="15" t="str">
        <f aca="false">IF($P38&gt;0,$B38,"")</f>
        <v>Wedge-billed Woodcreeper</v>
      </c>
      <c r="AB38" s="15" t="n">
        <v>21</v>
      </c>
      <c r="AC38" s="15" t="n">
        <v>15</v>
      </c>
      <c r="AD38" s="17" t="n">
        <f aca="false">IF(COUNTIFS(Clips!$F:$F,$B38,Clips!$M:$M,"&gt;0",Clips!$C:$C,"&lt;&gt;excluded")=0,"",AVERAGEIFS(Clips!$M:$M,Clips!$F:$F,$B38,Clips!$M:$M,"&gt;0",Clips!$C:$C,"&lt;&gt;excluded"))</f>
        <v>2.42222222222222</v>
      </c>
      <c r="AE38" s="15" t="n">
        <f aca="false">COUNTIFS(Clips!$F:$F,$B38,Clips!$O:$O,"&lt;&gt;",Clips!$B:$B,"&lt;&gt;site",Clips!$C:$C,"&lt;&gt;excluded")</f>
        <v>2</v>
      </c>
      <c r="AF38" s="15" t="n">
        <f aca="false">COUNTIFS(Clips!$F:$F,$B38,Clips!$I:$I,"&lt;5",Clips!$C:$C,"&lt;&gt;excluded")</f>
        <v>1</v>
      </c>
      <c r="AG38" s="5"/>
    </row>
    <row r="39" customFormat="false" ht="15" hidden="false" customHeight="false" outlineLevel="0" collapsed="false">
      <c r="A39" s="15" t="n">
        <v>81</v>
      </c>
      <c r="B39" s="15" t="s">
        <v>265</v>
      </c>
      <c r="C39" s="15" t="s">
        <v>266</v>
      </c>
      <c r="D39" s="15" t="s">
        <v>267</v>
      </c>
      <c r="E39" s="15" t="s">
        <v>147</v>
      </c>
      <c r="F39" s="15" t="s">
        <v>148</v>
      </c>
      <c r="G39" s="15" t="str">
        <f aca="false">IF(AND($E39="bird",$K39&gt;0),"yes","")</f>
        <v/>
      </c>
      <c r="H39" s="15"/>
      <c r="I39" s="15" t="str">
        <f aca="false">IF($E39="bird",IF(COUNTIF('eBird List'!$A:$A,$B39)&gt;0,"yes","no"),"")</f>
        <v>yes</v>
      </c>
      <c r="J39" s="16" t="n">
        <f aca="false">IF(COUNTIF('eBird List'!$A:$A,$B39)=0,"",INDEX('eBird List'!$C:$C,MATCH($B39,'eBird List'!$A:$A,0)))</f>
        <v>0.170538479866571</v>
      </c>
      <c r="K39" s="15" t="n">
        <f aca="false">COUNTIFS(Clips!$B:$B,"site",Clips!$F:$F,$B39)+COUNTIFS(Clips!$B:$B,"site",Clips!$O:$O,"*"&amp;$B39&amp;"*")</f>
        <v>0</v>
      </c>
      <c r="L39" s="15" t="n">
        <f aca="false">COUNTIFS(Clips!$F:$F,$B39,Clips!$B:$B,"macaulay")</f>
        <v>28</v>
      </c>
      <c r="M39" s="15" t="n">
        <f aca="false">COUNTIFS(Clips!$F:$F,$B39,Clips!$B:$B,"xeno-canto")</f>
        <v>0</v>
      </c>
      <c r="N39" s="15" t="n">
        <f aca="false">K39+L39+M39</f>
        <v>28</v>
      </c>
      <c r="O39" s="15" t="n">
        <f aca="false">COUNTIFS(Clips!$F:$F,$B39,Clips!$C:$C,"excluded")</f>
        <v>5</v>
      </c>
      <c r="P39" s="15" t="n">
        <f aca="false">COUNTIFS(Clips!$F:$F,$B39,Clips!$C:$C,"train")</f>
        <v>17</v>
      </c>
      <c r="Q39" s="15" t="n">
        <f aca="false">COUNTIFS(Clips!$F:$F,$B39,Clips!$C:$C,"val")</f>
        <v>3</v>
      </c>
      <c r="R39" s="15" t="n">
        <f aca="false">COUNTIFS(Clips!$F:$F,$B39,Clips!$C:$C,"test")</f>
        <v>3</v>
      </c>
      <c r="S39" s="17" t="n">
        <f aca="false">SUMIFS(Clips!$I:$I,Clips!$F:$F,$B39,Clips!$C:$C,"train")/60</f>
        <v>13.2097</v>
      </c>
      <c r="T39" s="17" t="n">
        <f aca="false">SUMIFS(Clips!$I:$I,Clips!$F:$F,$B39,Clips!$C:$C,"val")/60</f>
        <v>0.435166666666667</v>
      </c>
      <c r="U39" s="17" t="n">
        <f aca="false">SUMIFS(Clips!$I:$I,Clips!$F:$F,$B39,Clips!$C:$C,"test")/60</f>
        <v>3.6974</v>
      </c>
      <c r="V39" s="15" t="n">
        <f aca="false">SUMIFS(Clips!$J:$J,Clips!$F:$F,$B39,Clips!$C:$C,"train")</f>
        <v>168</v>
      </c>
      <c r="W39" s="18" t="n">
        <f aca="false">IF(V39=0,"",Splits!$B$49/(Splits!$B$50*V39))</f>
        <v>0.927532569631626</v>
      </c>
      <c r="X39" s="15" t="str">
        <f aca="false">IF(P39&gt;0,IF(AND(Q39&gt;0,R39&gt;0),"train + val + test",IF(R39&gt;0,"train + test","train only")),IF(R39&gt;0,"test only (unknown class)",IF(K39&gt;0,"site extract only","no usable audio")))</f>
        <v>train + val + test</v>
      </c>
      <c r="Y39" s="15" t="str">
        <f aca="false">IF($P39=0,"",IF($E39="nonbird",$B39,IF($G39="yes",$B39,"other bird")))</f>
        <v>other bird</v>
      </c>
      <c r="Z39" s="15" t="str">
        <f aca="false">IF(AND($F39="core",$P39&gt;0),$B39,"")</f>
        <v>Fasciated Antshrike</v>
      </c>
      <c r="AA39" s="15" t="str">
        <f aca="false">IF($P39&gt;0,$B39,"")</f>
        <v>Fasciated Antshrike</v>
      </c>
      <c r="AB39" s="15" t="n">
        <v>19</v>
      </c>
      <c r="AC39" s="15" t="n">
        <v>15</v>
      </c>
      <c r="AD39" s="17" t="n">
        <f aca="false">IF(COUNTIFS(Clips!$F:$F,$B39,Clips!$M:$M,"&gt;0",Clips!$C:$C,"&lt;&gt;excluded")=0,"",AVERAGEIFS(Clips!$M:$M,Clips!$F:$F,$B39,Clips!$M:$M,"&gt;0",Clips!$C:$C,"&lt;&gt;excluded"))</f>
        <v>2.46</v>
      </c>
      <c r="AE39" s="15" t="n">
        <f aca="false">COUNTIFS(Clips!$F:$F,$B39,Clips!$O:$O,"&lt;&gt;",Clips!$B:$B,"&lt;&gt;site",Clips!$C:$C,"&lt;&gt;excluded")</f>
        <v>3</v>
      </c>
      <c r="AF39" s="15" t="n">
        <f aca="false">COUNTIFS(Clips!$F:$F,$B39,Clips!$I:$I,"&lt;5",Clips!$C:$C,"&lt;&gt;excluded")</f>
        <v>2</v>
      </c>
      <c r="AG39" s="5"/>
    </row>
    <row r="40" customFormat="false" ht="15" hidden="false" customHeight="false" outlineLevel="0" collapsed="false">
      <c r="A40" s="15" t="n">
        <v>178</v>
      </c>
      <c r="B40" s="15" t="s">
        <v>268</v>
      </c>
      <c r="C40" s="15" t="s">
        <v>269</v>
      </c>
      <c r="D40" s="15" t="s">
        <v>270</v>
      </c>
      <c r="E40" s="15" t="s">
        <v>147</v>
      </c>
      <c r="F40" s="15" t="s">
        <v>148</v>
      </c>
      <c r="G40" s="15" t="str">
        <f aca="false">IF(AND($E40="bird",$K40&gt;0),"yes","")</f>
        <v/>
      </c>
      <c r="H40" s="15"/>
      <c r="I40" s="15" t="str">
        <f aca="false">IF($E40="bird",IF(COUNTIF('eBird List'!$A:$A,$B40)&gt;0,"yes","no"),"")</f>
        <v>yes</v>
      </c>
      <c r="J40" s="16" t="n">
        <f aca="false">IF(COUNTIF('eBird List'!$A:$A,$B40)=0,"",INDEX('eBird List'!$C:$C,MATCH($B40,'eBird List'!$A:$A,0)))</f>
        <v>0.131522516082916</v>
      </c>
      <c r="K40" s="15" t="n">
        <f aca="false">COUNTIFS(Clips!$B:$B,"site",Clips!$F:$F,$B40)+COUNTIFS(Clips!$B:$B,"site",Clips!$O:$O,"*"&amp;$B40&amp;"*")</f>
        <v>0</v>
      </c>
      <c r="L40" s="15" t="n">
        <f aca="false">COUNTIFS(Clips!$F:$F,$B40,Clips!$B:$B,"macaulay")</f>
        <v>23</v>
      </c>
      <c r="M40" s="15" t="n">
        <f aca="false">COUNTIFS(Clips!$F:$F,$B40,Clips!$B:$B,"xeno-canto")</f>
        <v>0</v>
      </c>
      <c r="N40" s="15" t="n">
        <f aca="false">K40+L40+M40</f>
        <v>23</v>
      </c>
      <c r="O40" s="15" t="n">
        <f aca="false">COUNTIFS(Clips!$F:$F,$B40,Clips!$C:$C,"excluded")</f>
        <v>0</v>
      </c>
      <c r="P40" s="15" t="n">
        <f aca="false">COUNTIFS(Clips!$F:$F,$B40,Clips!$C:$C,"train")</f>
        <v>17</v>
      </c>
      <c r="Q40" s="15" t="n">
        <f aca="false">COUNTIFS(Clips!$F:$F,$B40,Clips!$C:$C,"val")</f>
        <v>3</v>
      </c>
      <c r="R40" s="15" t="n">
        <f aca="false">COUNTIFS(Clips!$F:$F,$B40,Clips!$C:$C,"test")</f>
        <v>3</v>
      </c>
      <c r="S40" s="17" t="n">
        <f aca="false">SUMIFS(Clips!$I:$I,Clips!$F:$F,$B40,Clips!$C:$C,"train")/60</f>
        <v>10.7944666666667</v>
      </c>
      <c r="T40" s="17" t="n">
        <f aca="false">SUMIFS(Clips!$I:$I,Clips!$F:$F,$B40,Clips!$C:$C,"val")/60</f>
        <v>1.86993333333333</v>
      </c>
      <c r="U40" s="17" t="n">
        <f aca="false">SUMIFS(Clips!$I:$I,Clips!$F:$F,$B40,Clips!$C:$C,"test")/60</f>
        <v>0.831766666666667</v>
      </c>
      <c r="V40" s="15" t="n">
        <f aca="false">SUMIFS(Clips!$J:$J,Clips!$F:$F,$B40,Clips!$C:$C,"train")</f>
        <v>138</v>
      </c>
      <c r="W40" s="18" t="n">
        <f aca="false">IF(V40=0,"",Splits!$B$49/(Splits!$B$50*V40))</f>
        <v>1.12917008476894</v>
      </c>
      <c r="X40" s="15" t="str">
        <f aca="false">IF(P40&gt;0,IF(AND(Q40&gt;0,R40&gt;0),"train + val + test",IF(R40&gt;0,"train + test","train only")),IF(R40&gt;0,"test only (unknown class)",IF(K40&gt;0,"site extract only","no usable audio")))</f>
        <v>train + val + test</v>
      </c>
      <c r="Y40" s="15" t="str">
        <f aca="false">IF($P40=0,"",IF($E40="nonbird",$B40,IF($G40="yes",$B40,"other bird")))</f>
        <v>other bird</v>
      </c>
      <c r="Z40" s="15" t="str">
        <f aca="false">IF(AND($F40="core",$P40&gt;0),$B40,"")</f>
        <v>Semiplumbeous Hawk</v>
      </c>
      <c r="AA40" s="15" t="str">
        <f aca="false">IF($P40&gt;0,$B40,"")</f>
        <v>Semiplumbeous Hawk</v>
      </c>
      <c r="AB40" s="15" t="n">
        <v>19</v>
      </c>
      <c r="AC40" s="15" t="n">
        <v>15</v>
      </c>
      <c r="AD40" s="17" t="n">
        <f aca="false">IF(COUNTIFS(Clips!$F:$F,$B40,Clips!$M:$M,"&gt;0",Clips!$C:$C,"&lt;&gt;excluded")=0,"",AVERAGEIFS(Clips!$M:$M,Clips!$F:$F,$B40,Clips!$M:$M,"&gt;0",Clips!$C:$C,"&lt;&gt;excluded"))</f>
        <v>3.0335</v>
      </c>
      <c r="AE40" s="15" t="n">
        <f aca="false">COUNTIFS(Clips!$F:$F,$B40,Clips!$O:$O,"&lt;&gt;",Clips!$B:$B,"&lt;&gt;site",Clips!$C:$C,"&lt;&gt;excluded")</f>
        <v>2</v>
      </c>
      <c r="AF40" s="15" t="n">
        <f aca="false">COUNTIFS(Clips!$F:$F,$B40,Clips!$I:$I,"&lt;5",Clips!$C:$C,"&lt;&gt;excluded")</f>
        <v>0</v>
      </c>
      <c r="AG40" s="5"/>
    </row>
    <row r="41" customFormat="false" ht="15" hidden="false" customHeight="false" outlineLevel="0" collapsed="false">
      <c r="A41" s="15" t="n">
        <v>22</v>
      </c>
      <c r="B41" s="15" t="s">
        <v>271</v>
      </c>
      <c r="C41" s="15" t="s">
        <v>272</v>
      </c>
      <c r="D41" s="15" t="s">
        <v>273</v>
      </c>
      <c r="E41" s="15" t="s">
        <v>147</v>
      </c>
      <c r="F41" s="15" t="s">
        <v>148</v>
      </c>
      <c r="G41" s="15" t="str">
        <f aca="false">IF(AND($E41="bird",$K41&gt;0),"yes","")</f>
        <v/>
      </c>
      <c r="H41" s="15"/>
      <c r="I41" s="15" t="str">
        <f aca="false">IF($E41="bird",IF(COUNTIF('eBird List'!$A:$A,$B41)&gt;0,"yes","no"),"")</f>
        <v>yes</v>
      </c>
      <c r="J41" s="16" t="n">
        <f aca="false">IF(COUNTIF('eBird List'!$A:$A,$B41)=0,"",INDEX('eBird List'!$C:$C,MATCH($B41,'eBird List'!$A:$A,0)))</f>
        <v>0.0172146771503455</v>
      </c>
      <c r="K41" s="15" t="n">
        <f aca="false">COUNTIFS(Clips!$B:$B,"site",Clips!$F:$F,$B41)+COUNTIFS(Clips!$B:$B,"site",Clips!$O:$O,"*"&amp;$B41&amp;"*")</f>
        <v>0</v>
      </c>
      <c r="L41" s="15" t="n">
        <f aca="false">COUNTIFS(Clips!$F:$F,$B41,Clips!$B:$B,"macaulay")</f>
        <v>22</v>
      </c>
      <c r="M41" s="15" t="n">
        <f aca="false">COUNTIFS(Clips!$F:$F,$B41,Clips!$B:$B,"xeno-canto")</f>
        <v>0</v>
      </c>
      <c r="N41" s="15" t="n">
        <f aca="false">K41+L41+M41</f>
        <v>22</v>
      </c>
      <c r="O41" s="15" t="n">
        <f aca="false">COUNTIFS(Clips!$F:$F,$B41,Clips!$C:$C,"excluded")</f>
        <v>0</v>
      </c>
      <c r="P41" s="15" t="n">
        <f aca="false">COUNTIFS(Clips!$F:$F,$B41,Clips!$C:$C,"train")</f>
        <v>16</v>
      </c>
      <c r="Q41" s="15" t="n">
        <f aca="false">COUNTIFS(Clips!$F:$F,$B41,Clips!$C:$C,"val")</f>
        <v>3</v>
      </c>
      <c r="R41" s="15" t="n">
        <f aca="false">COUNTIFS(Clips!$F:$F,$B41,Clips!$C:$C,"test")</f>
        <v>3</v>
      </c>
      <c r="S41" s="17" t="n">
        <f aca="false">SUMIFS(Clips!$I:$I,Clips!$F:$F,$B41,Clips!$C:$C,"train")/60</f>
        <v>28.6642166666667</v>
      </c>
      <c r="T41" s="17" t="n">
        <f aca="false">SUMIFS(Clips!$I:$I,Clips!$F:$F,$B41,Clips!$C:$C,"val")/60</f>
        <v>4.1189</v>
      </c>
      <c r="U41" s="17" t="n">
        <f aca="false">SUMIFS(Clips!$I:$I,Clips!$F:$F,$B41,Clips!$C:$C,"test")/60</f>
        <v>3.66353333333333</v>
      </c>
      <c r="V41" s="15" t="n">
        <f aca="false">SUMIFS(Clips!$J:$J,Clips!$F:$F,$B41,Clips!$C:$C,"train")</f>
        <v>352</v>
      </c>
      <c r="W41" s="18" t="n">
        <f aca="false">IF(V41=0,"",Splits!$B$49/(Splits!$B$50*V41))</f>
        <v>0.442685999142367</v>
      </c>
      <c r="X41" s="15" t="str">
        <f aca="false">IF(P41&gt;0,IF(AND(Q41&gt;0,R41&gt;0),"train + val + test",IF(R41&gt;0,"train + test","train only")),IF(R41&gt;0,"test only (unknown class)",IF(K41&gt;0,"site extract only","no usable audio")))</f>
        <v>train + val + test</v>
      </c>
      <c r="Y41" s="15" t="str">
        <f aca="false">IF($P41=0,"",IF($E41="nonbird",$B41,IF($G41="yes",$B41,"other bird")))</f>
        <v>other bird</v>
      </c>
      <c r="Z41" s="15" t="str">
        <f aca="false">IF(AND($F41="core",$P41&gt;0),$B41,"")</f>
        <v>Black-faced Antthrush</v>
      </c>
      <c r="AA41" s="15" t="str">
        <f aca="false">IF($P41&gt;0,$B41,"")</f>
        <v>Black-faced Antthrush</v>
      </c>
      <c r="AB41" s="15" t="n">
        <v>21</v>
      </c>
      <c r="AC41" s="15" t="n">
        <v>12</v>
      </c>
      <c r="AD41" s="17" t="n">
        <f aca="false">IF(COUNTIFS(Clips!$F:$F,$B41,Clips!$M:$M,"&gt;0",Clips!$C:$C,"&lt;&gt;excluded")=0,"",AVERAGEIFS(Clips!$M:$M,Clips!$F:$F,$B41,Clips!$M:$M,"&gt;0",Clips!$C:$C,"&lt;&gt;excluded"))</f>
        <v>2.89473684210526</v>
      </c>
      <c r="AE41" s="15" t="n">
        <f aca="false">COUNTIFS(Clips!$F:$F,$B41,Clips!$O:$O,"&lt;&gt;",Clips!$B:$B,"&lt;&gt;site",Clips!$C:$C,"&lt;&gt;excluded")</f>
        <v>3</v>
      </c>
      <c r="AF41" s="15" t="n">
        <f aca="false">COUNTIFS(Clips!$F:$F,$B41,Clips!$I:$I,"&lt;5",Clips!$C:$C,"&lt;&gt;excluded")</f>
        <v>0</v>
      </c>
      <c r="AG41" s="5"/>
    </row>
    <row r="42" customFormat="false" ht="15" hidden="false" customHeight="false" outlineLevel="0" collapsed="false">
      <c r="A42" s="15" t="n">
        <v>37</v>
      </c>
      <c r="B42" s="15" t="s">
        <v>274</v>
      </c>
      <c r="C42" s="15" t="s">
        <v>275</v>
      </c>
      <c r="D42" s="15" t="s">
        <v>276</v>
      </c>
      <c r="E42" s="15" t="s">
        <v>147</v>
      </c>
      <c r="F42" s="15" t="s">
        <v>148</v>
      </c>
      <c r="G42" s="15" t="str">
        <f aca="false">IF(AND($E42="bird",$K42&gt;0),"yes","")</f>
        <v/>
      </c>
      <c r="H42" s="15"/>
      <c r="I42" s="15" t="str">
        <f aca="false">IF($E42="bird",IF(COUNTIF('eBird List'!$A:$A,$B42)&gt;0,"yes","no"),"")</f>
        <v>yes</v>
      </c>
      <c r="J42" s="16" t="n">
        <f aca="false">IF(COUNTIF('eBird List'!$A:$A,$B42)=0,"",INDEX('eBird List'!$C:$C,MATCH($B42,'eBird List'!$A:$A,0)))</f>
        <v>0.260007147962831</v>
      </c>
      <c r="K42" s="15" t="n">
        <f aca="false">COUNTIFS(Clips!$B:$B,"site",Clips!$F:$F,$B42)+COUNTIFS(Clips!$B:$B,"site",Clips!$O:$O,"*"&amp;$B42&amp;"*")</f>
        <v>0</v>
      </c>
      <c r="L42" s="15" t="n">
        <f aca="false">COUNTIFS(Clips!$F:$F,$B42,Clips!$B:$B,"macaulay")</f>
        <v>21</v>
      </c>
      <c r="M42" s="15" t="n">
        <f aca="false">COUNTIFS(Clips!$F:$F,$B42,Clips!$B:$B,"xeno-canto")</f>
        <v>1</v>
      </c>
      <c r="N42" s="15" t="n">
        <f aca="false">K42+L42+M42</f>
        <v>22</v>
      </c>
      <c r="O42" s="15" t="n">
        <f aca="false">COUNTIFS(Clips!$F:$F,$B42,Clips!$C:$C,"excluded")</f>
        <v>0</v>
      </c>
      <c r="P42" s="15" t="n">
        <f aca="false">COUNTIFS(Clips!$F:$F,$B42,Clips!$C:$C,"train")</f>
        <v>16</v>
      </c>
      <c r="Q42" s="15" t="n">
        <f aca="false">COUNTIFS(Clips!$F:$F,$B42,Clips!$C:$C,"val")</f>
        <v>3</v>
      </c>
      <c r="R42" s="15" t="n">
        <f aca="false">COUNTIFS(Clips!$F:$F,$B42,Clips!$C:$C,"test")</f>
        <v>3</v>
      </c>
      <c r="S42" s="17" t="n">
        <f aca="false">SUMIFS(Clips!$I:$I,Clips!$F:$F,$B42,Clips!$C:$C,"train")/60</f>
        <v>8.76141666666667</v>
      </c>
      <c r="T42" s="17" t="n">
        <f aca="false">SUMIFS(Clips!$I:$I,Clips!$F:$F,$B42,Clips!$C:$C,"val")/60</f>
        <v>2.06125</v>
      </c>
      <c r="U42" s="17" t="n">
        <f aca="false">SUMIFS(Clips!$I:$I,Clips!$F:$F,$B42,Clips!$C:$C,"test")/60</f>
        <v>1.13085</v>
      </c>
      <c r="V42" s="15" t="n">
        <f aca="false">SUMIFS(Clips!$J:$J,Clips!$F:$F,$B42,Clips!$C:$C,"train")</f>
        <v>112</v>
      </c>
      <c r="W42" s="18" t="n">
        <f aca="false">IF(V42=0,"",Splits!$B$49/(Splits!$B$50*V42))</f>
        <v>1.39129885444744</v>
      </c>
      <c r="X42" s="15" t="str">
        <f aca="false">IF(P42&gt;0,IF(AND(Q42&gt;0,R42&gt;0),"train + val + test",IF(R42&gt;0,"train + test","train only")),IF(R42&gt;0,"test only (unknown class)",IF(K42&gt;0,"site extract only","no usable audio")))</f>
        <v>train + val + test</v>
      </c>
      <c r="Y42" s="15" t="str">
        <f aca="false">IF($P42=0,"",IF($E42="nonbird",$B42,IF($G42="yes",$B42,"other bird")))</f>
        <v>other bird</v>
      </c>
      <c r="Z42" s="15" t="str">
        <f aca="false">IF(AND($F42="core",$P42&gt;0),$B42,"")</f>
        <v>Boat-billed Flycatcher</v>
      </c>
      <c r="AA42" s="15" t="str">
        <f aca="false">IF($P42&gt;0,$B42,"")</f>
        <v>Boat-billed Flycatcher</v>
      </c>
      <c r="AB42" s="15" t="n">
        <v>17</v>
      </c>
      <c r="AC42" s="15" t="n">
        <v>12</v>
      </c>
      <c r="AD42" s="17" t="n">
        <f aca="false">IF(COUNTIFS(Clips!$F:$F,$B42,Clips!$M:$M,"&gt;0",Clips!$C:$C,"&lt;&gt;excluded")=0,"",AVERAGEIFS(Clips!$M:$M,Clips!$F:$F,$B42,Clips!$M:$M,"&gt;0",Clips!$C:$C,"&lt;&gt;excluded"))</f>
        <v>2.83352941176471</v>
      </c>
      <c r="AE42" s="15" t="n">
        <f aca="false">COUNTIFS(Clips!$F:$F,$B42,Clips!$O:$O,"&lt;&gt;",Clips!$B:$B,"&lt;&gt;site",Clips!$C:$C,"&lt;&gt;excluded")</f>
        <v>0</v>
      </c>
      <c r="AF42" s="15" t="n">
        <f aca="false">COUNTIFS(Clips!$F:$F,$B42,Clips!$I:$I,"&lt;5",Clips!$C:$C,"&lt;&gt;excluded")</f>
        <v>2</v>
      </c>
      <c r="AG42" s="5"/>
    </row>
    <row r="43" customFormat="false" ht="15" hidden="false" customHeight="false" outlineLevel="0" collapsed="false">
      <c r="A43" s="15" t="n">
        <v>51</v>
      </c>
      <c r="B43" s="15" t="s">
        <v>277</v>
      </c>
      <c r="C43" s="15" t="s">
        <v>278</v>
      </c>
      <c r="D43" s="15" t="s">
        <v>279</v>
      </c>
      <c r="E43" s="15" t="s">
        <v>147</v>
      </c>
      <c r="F43" s="15" t="s">
        <v>148</v>
      </c>
      <c r="G43" s="15" t="str">
        <f aca="false">IF(AND($E43="bird",$K43&gt;0),"yes","")</f>
        <v/>
      </c>
      <c r="H43" s="15"/>
      <c r="I43" s="15" t="str">
        <f aca="false">IF($E43="bird",IF(COUNTIF('eBird List'!$A:$A,$B43)&gt;0,"yes","no"),"")</f>
        <v>yes</v>
      </c>
      <c r="J43" s="16" t="n">
        <f aca="false">IF(COUNTIF('eBird List'!$A:$A,$B43)=0,"",INDEX('eBird List'!$C:$C,MATCH($B43,'eBird List'!$A:$A,0)))</f>
        <v>0.212860376459376</v>
      </c>
      <c r="K43" s="15" t="n">
        <f aca="false">COUNTIFS(Clips!$B:$B,"site",Clips!$F:$F,$B43)+COUNTIFS(Clips!$B:$B,"site",Clips!$O:$O,"*"&amp;$B43&amp;"*")</f>
        <v>0</v>
      </c>
      <c r="L43" s="15" t="n">
        <f aca="false">COUNTIFS(Clips!$F:$F,$B43,Clips!$B:$B,"macaulay")</f>
        <v>21</v>
      </c>
      <c r="M43" s="15" t="n">
        <f aca="false">COUNTIFS(Clips!$F:$F,$B43,Clips!$B:$B,"xeno-canto")</f>
        <v>0</v>
      </c>
      <c r="N43" s="15" t="n">
        <f aca="false">K43+L43+M43</f>
        <v>21</v>
      </c>
      <c r="O43" s="15" t="n">
        <f aca="false">COUNTIFS(Clips!$F:$F,$B43,Clips!$C:$C,"excluded")</f>
        <v>0</v>
      </c>
      <c r="P43" s="15" t="n">
        <f aca="false">COUNTIFS(Clips!$F:$F,$B43,Clips!$C:$C,"train")</f>
        <v>15</v>
      </c>
      <c r="Q43" s="15" t="n">
        <f aca="false">COUNTIFS(Clips!$F:$F,$B43,Clips!$C:$C,"val")</f>
        <v>3</v>
      </c>
      <c r="R43" s="15" t="n">
        <f aca="false">COUNTIFS(Clips!$F:$F,$B43,Clips!$C:$C,"test")</f>
        <v>3</v>
      </c>
      <c r="S43" s="17" t="n">
        <f aca="false">SUMIFS(Clips!$I:$I,Clips!$F:$F,$B43,Clips!$C:$C,"train")/60</f>
        <v>19.1135833333333</v>
      </c>
      <c r="T43" s="17" t="n">
        <f aca="false">SUMIFS(Clips!$I:$I,Clips!$F:$F,$B43,Clips!$C:$C,"val")/60</f>
        <v>1.55878333333333</v>
      </c>
      <c r="U43" s="17" t="n">
        <f aca="false">SUMIFS(Clips!$I:$I,Clips!$F:$F,$B43,Clips!$C:$C,"test")/60</f>
        <v>0.53275</v>
      </c>
      <c r="V43" s="15" t="n">
        <f aca="false">SUMIFS(Clips!$J:$J,Clips!$F:$F,$B43,Clips!$C:$C,"train")</f>
        <v>235</v>
      </c>
      <c r="W43" s="18" t="n">
        <f aca="false">IF(V43=0,"",Splits!$B$49/(Splits!$B$50*V43))</f>
        <v>0.663087113608992</v>
      </c>
      <c r="X43" s="15" t="str">
        <f aca="false">IF(P43&gt;0,IF(AND(Q43&gt;0,R43&gt;0),"train + val + test",IF(R43&gt;0,"train + test","train only")),IF(R43&gt;0,"test only (unknown class)",IF(K43&gt;0,"site extract only","no usable audio")))</f>
        <v>train + val + test</v>
      </c>
      <c r="Y43" s="15" t="str">
        <f aca="false">IF($P43=0,"",IF($E43="nonbird",$B43,IF($G43="yes",$B43,"other bird")))</f>
        <v>other bird</v>
      </c>
      <c r="Z43" s="15" t="str">
        <f aca="false">IF(AND($F43="core",$P43&gt;0),$B43,"")</f>
        <v>Chestnut-colored Woodpecker</v>
      </c>
      <c r="AA43" s="15" t="str">
        <f aca="false">IF($P43&gt;0,$B43,"")</f>
        <v>Chestnut-colored Woodpecker</v>
      </c>
      <c r="AB43" s="15" t="n">
        <v>17</v>
      </c>
      <c r="AC43" s="15" t="n">
        <v>15</v>
      </c>
      <c r="AD43" s="17" t="n">
        <f aca="false">IF(COUNTIFS(Clips!$F:$F,$B43,Clips!$M:$M,"&gt;0",Clips!$C:$C,"&lt;&gt;excluded")=0,"",AVERAGEIFS(Clips!$M:$M,Clips!$F:$F,$B43,Clips!$M:$M,"&gt;0",Clips!$C:$C,"&lt;&gt;excluded"))</f>
        <v>2.79611111111111</v>
      </c>
      <c r="AE43" s="15" t="n">
        <f aca="false">COUNTIFS(Clips!$F:$F,$B43,Clips!$O:$O,"&lt;&gt;",Clips!$B:$B,"&lt;&gt;site",Clips!$C:$C,"&lt;&gt;excluded")</f>
        <v>4</v>
      </c>
      <c r="AF43" s="15" t="n">
        <f aca="false">COUNTIFS(Clips!$F:$F,$B43,Clips!$I:$I,"&lt;5",Clips!$C:$C,"&lt;&gt;excluded")</f>
        <v>4</v>
      </c>
      <c r="AG43" s="5"/>
    </row>
    <row r="44" customFormat="false" ht="15" hidden="false" customHeight="false" outlineLevel="0" collapsed="false">
      <c r="A44" s="15" t="n">
        <v>78</v>
      </c>
      <c r="B44" s="15" t="s">
        <v>280</v>
      </c>
      <c r="C44" s="15" t="s">
        <v>281</v>
      </c>
      <c r="D44" s="15" t="s">
        <v>282</v>
      </c>
      <c r="E44" s="15" t="s">
        <v>147</v>
      </c>
      <c r="F44" s="15" t="s">
        <v>148</v>
      </c>
      <c r="G44" s="15" t="str">
        <f aca="false">IF(AND($E44="bird",$K44&gt;0),"yes","")</f>
        <v/>
      </c>
      <c r="H44" s="15"/>
      <c r="I44" s="15" t="str">
        <f aca="false">IF($E44="bird",IF(COUNTIF('eBird List'!$A:$A,$B44)&gt;0,"yes","no"),"")</f>
        <v>yes</v>
      </c>
      <c r="J44" s="16" t="n">
        <f aca="false">IF(COUNTIF('eBird List'!$A:$A,$B44)=0,"",INDEX('eBird List'!$C:$C,MATCH($B44,'eBird List'!$A:$A,0)))</f>
        <v>0.0938765785084584</v>
      </c>
      <c r="K44" s="15" t="n">
        <f aca="false">COUNTIFS(Clips!$B:$B,"site",Clips!$F:$F,$B44)+COUNTIFS(Clips!$B:$B,"site",Clips!$O:$O,"*"&amp;$B44&amp;"*")</f>
        <v>0</v>
      </c>
      <c r="L44" s="15" t="n">
        <f aca="false">COUNTIFS(Clips!$F:$F,$B44,Clips!$B:$B,"macaulay")</f>
        <v>21</v>
      </c>
      <c r="M44" s="15" t="n">
        <f aca="false">COUNTIFS(Clips!$F:$F,$B44,Clips!$B:$B,"xeno-canto")</f>
        <v>0</v>
      </c>
      <c r="N44" s="15" t="n">
        <f aca="false">K44+L44+M44</f>
        <v>21</v>
      </c>
      <c r="O44" s="15" t="n">
        <f aca="false">COUNTIFS(Clips!$F:$F,$B44,Clips!$C:$C,"excluded")</f>
        <v>0</v>
      </c>
      <c r="P44" s="15" t="n">
        <f aca="false">COUNTIFS(Clips!$F:$F,$B44,Clips!$C:$C,"train")</f>
        <v>15</v>
      </c>
      <c r="Q44" s="15" t="n">
        <f aca="false">COUNTIFS(Clips!$F:$F,$B44,Clips!$C:$C,"val")</f>
        <v>3</v>
      </c>
      <c r="R44" s="15" t="n">
        <f aca="false">COUNTIFS(Clips!$F:$F,$B44,Clips!$C:$C,"test")</f>
        <v>3</v>
      </c>
      <c r="S44" s="17" t="n">
        <f aca="false">SUMIFS(Clips!$I:$I,Clips!$F:$F,$B44,Clips!$C:$C,"train")/60</f>
        <v>12.68415</v>
      </c>
      <c r="T44" s="17" t="n">
        <f aca="false">SUMIFS(Clips!$I:$I,Clips!$F:$F,$B44,Clips!$C:$C,"val")/60</f>
        <v>4.13001666666667</v>
      </c>
      <c r="U44" s="17" t="n">
        <f aca="false">SUMIFS(Clips!$I:$I,Clips!$F:$F,$B44,Clips!$C:$C,"test")/60</f>
        <v>4.67708333333333</v>
      </c>
      <c r="V44" s="15" t="n">
        <f aca="false">SUMIFS(Clips!$J:$J,Clips!$F:$F,$B44,Clips!$C:$C,"train")</f>
        <v>160</v>
      </c>
      <c r="W44" s="18" t="n">
        <f aca="false">IF(V44=0,"",Splits!$B$49/(Splits!$B$50*V44))</f>
        <v>0.973909198113208</v>
      </c>
      <c r="X44" s="15" t="str">
        <f aca="false">IF(P44&gt;0,IF(AND(Q44&gt;0,R44&gt;0),"train + val + test",IF(R44&gt;0,"train + test","train only")),IF(R44&gt;0,"test only (unknown class)",IF(K44&gt;0,"site extract only","no usable audio")))</f>
        <v>train + val + test</v>
      </c>
      <c r="Y44" s="15" t="str">
        <f aca="false">IF($P44=0,"",IF($E44="nonbird",$B44,IF($G44="yes",$B44,"other bird")))</f>
        <v>other bird</v>
      </c>
      <c r="Z44" s="15" t="str">
        <f aca="false">IF(AND($F44="core",$P44&gt;0),$B44,"")</f>
        <v>Dusky-faced Tanager</v>
      </c>
      <c r="AA44" s="15" t="str">
        <f aca="false">IF($P44&gt;0,$B44,"")</f>
        <v>Dusky-faced Tanager</v>
      </c>
      <c r="AB44" s="15" t="n">
        <v>21</v>
      </c>
      <c r="AC44" s="15" t="n">
        <v>12</v>
      </c>
      <c r="AD44" s="17" t="n">
        <f aca="false">IF(COUNTIFS(Clips!$F:$F,$B44,Clips!$M:$M,"&gt;0",Clips!$C:$C,"&lt;&gt;excluded")=0,"",AVERAGEIFS(Clips!$M:$M,Clips!$F:$F,$B44,Clips!$M:$M,"&gt;0",Clips!$C:$C,"&lt;&gt;excluded"))</f>
        <v>3.2835</v>
      </c>
      <c r="AE44" s="15" t="n">
        <f aca="false">COUNTIFS(Clips!$F:$F,$B44,Clips!$O:$O,"&lt;&gt;",Clips!$B:$B,"&lt;&gt;site",Clips!$C:$C,"&lt;&gt;excluded")</f>
        <v>2</v>
      </c>
      <c r="AF44" s="15" t="n">
        <f aca="false">COUNTIFS(Clips!$F:$F,$B44,Clips!$I:$I,"&lt;5",Clips!$C:$C,"&lt;&gt;excluded")</f>
        <v>0</v>
      </c>
      <c r="AG44" s="5"/>
    </row>
    <row r="45" customFormat="false" ht="15" hidden="false" customHeight="false" outlineLevel="0" collapsed="false">
      <c r="A45" s="15" t="n">
        <v>48</v>
      </c>
      <c r="B45" s="15" t="s">
        <v>283</v>
      </c>
      <c r="C45" s="15" t="s">
        <v>284</v>
      </c>
      <c r="D45" s="15" t="s">
        <v>285</v>
      </c>
      <c r="E45" s="15" t="s">
        <v>147</v>
      </c>
      <c r="F45" s="15" t="s">
        <v>148</v>
      </c>
      <c r="G45" s="15" t="str">
        <f aca="false">IF(AND($E45="bird",$K45&gt;0),"yes","")</f>
        <v/>
      </c>
      <c r="H45" s="15"/>
      <c r="I45" s="15" t="str">
        <f aca="false">IF($E45="bird",IF(COUNTIF('eBird List'!$A:$A,$B45)&gt;0,"yes","no"),"")</f>
        <v>yes</v>
      </c>
      <c r="J45" s="16" t="n">
        <f aca="false">IF(COUNTIF('eBird List'!$A:$A,$B45)=0,"",INDEX('eBird List'!$C:$C,MATCH($B45,'eBird List'!$A:$A,0)))</f>
        <v>0.0159637836549917</v>
      </c>
      <c r="K45" s="15" t="n">
        <f aca="false">COUNTIFS(Clips!$B:$B,"site",Clips!$F:$F,$B45)+COUNTIFS(Clips!$B:$B,"site",Clips!$O:$O,"*"&amp;$B45&amp;"*")</f>
        <v>0</v>
      </c>
      <c r="L45" s="15" t="n">
        <f aca="false">COUNTIFS(Clips!$F:$F,$B45,Clips!$B:$B,"macaulay")</f>
        <v>20</v>
      </c>
      <c r="M45" s="15" t="n">
        <f aca="false">COUNTIFS(Clips!$F:$F,$B45,Clips!$B:$B,"xeno-canto")</f>
        <v>0</v>
      </c>
      <c r="N45" s="15" t="n">
        <f aca="false">K45+L45+M45</f>
        <v>20</v>
      </c>
      <c r="O45" s="15" t="n">
        <f aca="false">COUNTIFS(Clips!$F:$F,$B45,Clips!$C:$C,"excluded")</f>
        <v>0</v>
      </c>
      <c r="P45" s="15" t="n">
        <f aca="false">COUNTIFS(Clips!$F:$F,$B45,Clips!$C:$C,"train")</f>
        <v>14</v>
      </c>
      <c r="Q45" s="15" t="n">
        <f aca="false">COUNTIFS(Clips!$F:$F,$B45,Clips!$C:$C,"val")</f>
        <v>3</v>
      </c>
      <c r="R45" s="15" t="n">
        <f aca="false">COUNTIFS(Clips!$F:$F,$B45,Clips!$C:$C,"test")</f>
        <v>3</v>
      </c>
      <c r="S45" s="17" t="n">
        <f aca="false">SUMIFS(Clips!$I:$I,Clips!$F:$F,$B45,Clips!$C:$C,"train")/60</f>
        <v>51.1441666666667</v>
      </c>
      <c r="T45" s="17" t="n">
        <f aca="false">SUMIFS(Clips!$I:$I,Clips!$F:$F,$B45,Clips!$C:$C,"val")/60</f>
        <v>3.24876666666667</v>
      </c>
      <c r="U45" s="17" t="n">
        <f aca="false">SUMIFS(Clips!$I:$I,Clips!$F:$F,$B45,Clips!$C:$C,"test")/60</f>
        <v>1.41105</v>
      </c>
      <c r="V45" s="15" t="n">
        <f aca="false">SUMIFS(Clips!$J:$J,Clips!$F:$F,$B45,Clips!$C:$C,"train")</f>
        <v>329</v>
      </c>
      <c r="W45" s="18" t="n">
        <f aca="false">IF(V45=0,"",Splits!$B$49/(Splits!$B$50*V45))</f>
        <v>0.473633652577852</v>
      </c>
      <c r="X45" s="15" t="str">
        <f aca="false">IF(P45&gt;0,IF(AND(Q45&gt;0,R45&gt;0),"train + val + test",IF(R45&gt;0,"train + test","train only")),IF(R45&gt;0,"test only (unknown class)",IF(K45&gt;0,"site extract only","no usable audio")))</f>
        <v>train + val + test</v>
      </c>
      <c r="Y45" s="15" t="str">
        <f aca="false">IF($P45=0,"",IF($E45="nonbird",$B45,IF($G45="yes",$B45,"other bird")))</f>
        <v>other bird</v>
      </c>
      <c r="Z45" s="15" t="str">
        <f aca="false">IF(AND($F45="core",$P45&gt;0),$B45,"")</f>
        <v>Central American Pygmy-Owl</v>
      </c>
      <c r="AA45" s="15" t="str">
        <f aca="false">IF($P45&gt;0,$B45,"")</f>
        <v>Central American Pygmy-Owl</v>
      </c>
      <c r="AB45" s="15" t="n">
        <v>17</v>
      </c>
      <c r="AC45" s="15" t="n">
        <v>15</v>
      </c>
      <c r="AD45" s="17" t="n">
        <f aca="false">IF(COUNTIFS(Clips!$F:$F,$B45,Clips!$M:$M,"&gt;0",Clips!$C:$C,"&lt;&gt;excluded")=0,"",AVERAGEIFS(Clips!$M:$M,Clips!$F:$F,$B45,Clips!$M:$M,"&gt;0",Clips!$C:$C,"&lt;&gt;excluded"))</f>
        <v>2.628</v>
      </c>
      <c r="AE45" s="15" t="n">
        <f aca="false">COUNTIFS(Clips!$F:$F,$B45,Clips!$O:$O,"&lt;&gt;",Clips!$B:$B,"&lt;&gt;site",Clips!$C:$C,"&lt;&gt;excluded")</f>
        <v>2</v>
      </c>
      <c r="AF45" s="15" t="n">
        <f aca="false">COUNTIFS(Clips!$F:$F,$B45,Clips!$I:$I,"&lt;5",Clips!$C:$C,"&lt;&gt;excluded")</f>
        <v>1</v>
      </c>
      <c r="AG45" s="5"/>
    </row>
    <row r="46" customFormat="false" ht="15" hidden="false" customHeight="false" outlineLevel="0" collapsed="false">
      <c r="A46" s="15" t="n">
        <v>85</v>
      </c>
      <c r="B46" s="15" t="s">
        <v>286</v>
      </c>
      <c r="C46" s="15" t="s">
        <v>287</v>
      </c>
      <c r="D46" s="15" t="s">
        <v>288</v>
      </c>
      <c r="E46" s="15" t="s">
        <v>147</v>
      </c>
      <c r="F46" s="15" t="s">
        <v>148</v>
      </c>
      <c r="G46" s="15" t="str">
        <f aca="false">IF(AND($E46="bird",$K46&gt;0),"yes","")</f>
        <v/>
      </c>
      <c r="H46" s="15"/>
      <c r="I46" s="15" t="str">
        <f aca="false">IF($E46="bird",IF(COUNTIF('eBird List'!$A:$A,$B46)&gt;0,"yes","no"),"")</f>
        <v>yes</v>
      </c>
      <c r="J46" s="16" t="n">
        <f aca="false">IF(COUNTIF('eBird List'!$A:$A,$B46)=0,"",INDEX('eBird List'!$C:$C,MATCH($B46,'eBird List'!$A:$A,0)))</f>
        <v>0.411782225399095</v>
      </c>
      <c r="K46" s="15" t="n">
        <f aca="false">COUNTIFS(Clips!$B:$B,"site",Clips!$F:$F,$B46)+COUNTIFS(Clips!$B:$B,"site",Clips!$O:$O,"*"&amp;$B46&amp;"*")</f>
        <v>0</v>
      </c>
      <c r="L46" s="15" t="n">
        <f aca="false">COUNTIFS(Clips!$F:$F,$B46,Clips!$B:$B,"macaulay")</f>
        <v>20</v>
      </c>
      <c r="M46" s="15" t="n">
        <f aca="false">COUNTIFS(Clips!$F:$F,$B46,Clips!$B:$B,"xeno-canto")</f>
        <v>0</v>
      </c>
      <c r="N46" s="15" t="n">
        <f aca="false">K46+L46+M46</f>
        <v>20</v>
      </c>
      <c r="O46" s="15" t="n">
        <f aca="false">COUNTIFS(Clips!$F:$F,$B46,Clips!$C:$C,"excluded")</f>
        <v>0</v>
      </c>
      <c r="P46" s="15" t="n">
        <f aca="false">COUNTIFS(Clips!$F:$F,$B46,Clips!$C:$C,"train")</f>
        <v>14</v>
      </c>
      <c r="Q46" s="15" t="n">
        <f aca="false">COUNTIFS(Clips!$F:$F,$B46,Clips!$C:$C,"val")</f>
        <v>3</v>
      </c>
      <c r="R46" s="15" t="n">
        <f aca="false">COUNTIFS(Clips!$F:$F,$B46,Clips!$C:$C,"test")</f>
        <v>3</v>
      </c>
      <c r="S46" s="17" t="n">
        <f aca="false">SUMIFS(Clips!$I:$I,Clips!$F:$F,$B46,Clips!$C:$C,"train")/60</f>
        <v>5.51878333333333</v>
      </c>
      <c r="T46" s="17" t="n">
        <f aca="false">SUMIFS(Clips!$I:$I,Clips!$F:$F,$B46,Clips!$C:$C,"val")/60</f>
        <v>2.06915</v>
      </c>
      <c r="U46" s="17" t="n">
        <f aca="false">SUMIFS(Clips!$I:$I,Clips!$F:$F,$B46,Clips!$C:$C,"test")/60</f>
        <v>0.98145</v>
      </c>
      <c r="V46" s="15" t="n">
        <f aca="false">SUMIFS(Clips!$J:$J,Clips!$F:$F,$B46,Clips!$C:$C,"train")</f>
        <v>73</v>
      </c>
      <c r="W46" s="18" t="n">
        <f aca="false">IF(V46=0,"",Splits!$B$49/(Splits!$B$50*V46))</f>
        <v>2.13459550271388</v>
      </c>
      <c r="X46" s="15" t="str">
        <f aca="false">IF(P46&gt;0,IF(AND(Q46&gt;0,R46&gt;0),"train + val + test",IF(R46&gt;0,"train + test","train only")),IF(R46&gt;0,"test only (unknown class)",IF(K46&gt;0,"site extract only","no usable audio")))</f>
        <v>train + val + test</v>
      </c>
      <c r="Y46" s="15" t="str">
        <f aca="false">IF($P46=0,"",IF($E46="nonbird",$B46,IF($G46="yes",$B46,"other bird")))</f>
        <v>other bird</v>
      </c>
      <c r="Z46" s="15" t="str">
        <f aca="false">IF(AND($F46="core",$P46&gt;0),$B46,"")</f>
        <v>Golden-hooded Tanager</v>
      </c>
      <c r="AA46" s="15" t="str">
        <f aca="false">IF($P46&gt;0,$B46,"")</f>
        <v>Golden-hooded Tanager</v>
      </c>
      <c r="AB46" s="15" t="n">
        <v>18</v>
      </c>
      <c r="AC46" s="15" t="n">
        <v>15</v>
      </c>
      <c r="AD46" s="17" t="n">
        <f aca="false">IF(COUNTIFS(Clips!$F:$F,$B46,Clips!$M:$M,"&gt;0",Clips!$C:$C,"&lt;&gt;excluded")=0,"",AVERAGEIFS(Clips!$M:$M,Clips!$F:$F,$B46,Clips!$M:$M,"&gt;0",Clips!$C:$C,"&lt;&gt;excluded"))</f>
        <v>3.12315789473684</v>
      </c>
      <c r="AE46" s="15" t="n">
        <f aca="false">COUNTIFS(Clips!$F:$F,$B46,Clips!$O:$O,"&lt;&gt;",Clips!$B:$B,"&lt;&gt;site",Clips!$C:$C,"&lt;&gt;excluded")</f>
        <v>2</v>
      </c>
      <c r="AF46" s="15" t="n">
        <f aca="false">COUNTIFS(Clips!$F:$F,$B46,Clips!$I:$I,"&lt;5",Clips!$C:$C,"&lt;&gt;excluded")</f>
        <v>0</v>
      </c>
      <c r="AG46" s="5"/>
    </row>
    <row r="47" customFormat="false" ht="15" hidden="false" customHeight="false" outlineLevel="0" collapsed="false">
      <c r="A47" s="15" t="n">
        <v>102</v>
      </c>
      <c r="B47" s="15" t="s">
        <v>289</v>
      </c>
      <c r="C47" s="15" t="s">
        <v>290</v>
      </c>
      <c r="D47" s="15" t="s">
        <v>291</v>
      </c>
      <c r="E47" s="15" t="s">
        <v>147</v>
      </c>
      <c r="F47" s="15" t="s">
        <v>148</v>
      </c>
      <c r="G47" s="15" t="str">
        <f aca="false">IF(AND($E47="bird",$K47&gt;0),"yes","")</f>
        <v/>
      </c>
      <c r="H47" s="15"/>
      <c r="I47" s="15" t="str">
        <f aca="false">IF($E47="bird",IF(COUNTIF('eBird List'!$A:$A,$B47)&gt;0,"yes","no"),"")</f>
        <v>yes</v>
      </c>
      <c r="J47" s="16" t="n">
        <f aca="false">IF(COUNTIF('eBird List'!$A:$A,$B47)=0,"",INDEX('eBird List'!$C:$C,MATCH($B47,'eBird List'!$A:$A,0)))</f>
        <v>0.485644507981892</v>
      </c>
      <c r="K47" s="15" t="n">
        <f aca="false">COUNTIFS(Clips!$B:$B,"site",Clips!$F:$F,$B47)+COUNTIFS(Clips!$B:$B,"site",Clips!$O:$O,"*"&amp;$B47&amp;"*")</f>
        <v>0</v>
      </c>
      <c r="L47" s="15" t="n">
        <f aca="false">COUNTIFS(Clips!$F:$F,$B47,Clips!$B:$B,"macaulay")</f>
        <v>20</v>
      </c>
      <c r="M47" s="15" t="n">
        <f aca="false">COUNTIFS(Clips!$F:$F,$B47,Clips!$B:$B,"xeno-canto")</f>
        <v>0</v>
      </c>
      <c r="N47" s="15" t="n">
        <f aca="false">K47+L47+M47</f>
        <v>20</v>
      </c>
      <c r="O47" s="15" t="n">
        <f aca="false">COUNTIFS(Clips!$F:$F,$B47,Clips!$C:$C,"excluded")</f>
        <v>0</v>
      </c>
      <c r="P47" s="15" t="n">
        <f aca="false">COUNTIFS(Clips!$F:$F,$B47,Clips!$C:$C,"train")</f>
        <v>14</v>
      </c>
      <c r="Q47" s="15" t="n">
        <f aca="false">COUNTIFS(Clips!$F:$F,$B47,Clips!$C:$C,"val")</f>
        <v>3</v>
      </c>
      <c r="R47" s="15" t="n">
        <f aca="false">COUNTIFS(Clips!$F:$F,$B47,Clips!$C:$C,"test")</f>
        <v>3</v>
      </c>
      <c r="S47" s="17" t="n">
        <f aca="false">SUMIFS(Clips!$I:$I,Clips!$F:$F,$B47,Clips!$C:$C,"train")/60</f>
        <v>6.49221666666667</v>
      </c>
      <c r="T47" s="17" t="n">
        <f aca="false">SUMIFS(Clips!$I:$I,Clips!$F:$F,$B47,Clips!$C:$C,"val")/60</f>
        <v>1.98553333333333</v>
      </c>
      <c r="U47" s="17" t="n">
        <f aca="false">SUMIFS(Clips!$I:$I,Clips!$F:$F,$B47,Clips!$C:$C,"test")/60</f>
        <v>0.54495</v>
      </c>
      <c r="V47" s="15" t="n">
        <f aca="false">SUMIFS(Clips!$J:$J,Clips!$F:$F,$B47,Clips!$C:$C,"train")</f>
        <v>85</v>
      </c>
      <c r="W47" s="18" t="n">
        <f aca="false">IF(V47=0,"",Splits!$B$49/(Splits!$B$50*V47))</f>
        <v>1.83324084350721</v>
      </c>
      <c r="X47" s="15" t="str">
        <f aca="false">IF(P47&gt;0,IF(AND(Q47&gt;0,R47&gt;0),"train + val + test",IF(R47&gt;0,"train + test","train only")),IF(R47&gt;0,"test only (unknown class)",IF(K47&gt;0,"site extract only","no usable audio")))</f>
        <v>train + val + test</v>
      </c>
      <c r="Y47" s="15" t="str">
        <f aca="false">IF($P47=0,"",IF($E47="nonbird",$B47,IF($G47="yes",$B47,"other bird")))</f>
        <v>other bird</v>
      </c>
      <c r="Z47" s="15" t="str">
        <f aca="false">IF(AND($F47="core",$P47&gt;0),$B47,"")</f>
        <v>Great Kiskadee</v>
      </c>
      <c r="AA47" s="15" t="str">
        <f aca="false">IF($P47&gt;0,$B47,"")</f>
        <v>Great Kiskadee</v>
      </c>
      <c r="AB47" s="15" t="n">
        <v>18</v>
      </c>
      <c r="AC47" s="15" t="n">
        <v>15</v>
      </c>
      <c r="AD47" s="17" t="n">
        <f aca="false">IF(COUNTIFS(Clips!$F:$F,$B47,Clips!$M:$M,"&gt;0",Clips!$C:$C,"&lt;&gt;excluded")=0,"",AVERAGEIFS(Clips!$M:$M,Clips!$F:$F,$B47,Clips!$M:$M,"&gt;0",Clips!$C:$C,"&lt;&gt;excluded"))</f>
        <v>3.32421052631579</v>
      </c>
      <c r="AE47" s="15" t="n">
        <f aca="false">COUNTIFS(Clips!$F:$F,$B47,Clips!$O:$O,"&lt;&gt;",Clips!$B:$B,"&lt;&gt;site",Clips!$C:$C,"&lt;&gt;excluded")</f>
        <v>0</v>
      </c>
      <c r="AF47" s="15" t="n">
        <f aca="false">COUNTIFS(Clips!$F:$F,$B47,Clips!$I:$I,"&lt;5",Clips!$C:$C,"&lt;&gt;excluded")</f>
        <v>1</v>
      </c>
      <c r="AG47" s="5"/>
    </row>
    <row r="48" customFormat="false" ht="15" hidden="false" customHeight="false" outlineLevel="0" collapsed="false">
      <c r="A48" s="15" t="n">
        <v>133</v>
      </c>
      <c r="B48" s="15" t="s">
        <v>292</v>
      </c>
      <c r="C48" s="15" t="s">
        <v>293</v>
      </c>
      <c r="D48" s="15" t="s">
        <v>294</v>
      </c>
      <c r="E48" s="15" t="s">
        <v>147</v>
      </c>
      <c r="F48" s="15" t="s">
        <v>148</v>
      </c>
      <c r="G48" s="15" t="str">
        <f aca="false">IF(AND($E48="bird",$K48&gt;0),"yes","")</f>
        <v>yes</v>
      </c>
      <c r="H48" s="15" t="s">
        <v>149</v>
      </c>
      <c r="I48" s="15" t="str">
        <f aca="false">IF($E48="bird",IF(COUNTIF('eBird List'!$A:$A,$B48)&gt;0,"yes","no"),"")</f>
        <v>yes</v>
      </c>
      <c r="J48" s="16" t="n">
        <f aca="false">IF(COUNTIF('eBird List'!$A:$A,$B48)=0,"",INDEX('eBird List'!$C:$C,MATCH($B48,'eBird List'!$A:$A,0)))</f>
        <v>0.156510602811532</v>
      </c>
      <c r="K48" s="15" t="n">
        <f aca="false">COUNTIFS(Clips!$B:$B,"site",Clips!$F:$F,$B48)+COUNTIFS(Clips!$B:$B,"site",Clips!$O:$O,"*"&amp;$B48&amp;"*")</f>
        <v>2</v>
      </c>
      <c r="L48" s="15" t="n">
        <f aca="false">COUNTIFS(Clips!$F:$F,$B48,Clips!$B:$B,"macaulay")</f>
        <v>20</v>
      </c>
      <c r="M48" s="15" t="n">
        <f aca="false">COUNTIFS(Clips!$F:$F,$B48,Clips!$B:$B,"xeno-canto")</f>
        <v>0</v>
      </c>
      <c r="N48" s="15" t="n">
        <f aca="false">K48+L48+M48</f>
        <v>22</v>
      </c>
      <c r="O48" s="15" t="n">
        <f aca="false">COUNTIFS(Clips!$F:$F,$B48,Clips!$C:$C,"excluded")</f>
        <v>0</v>
      </c>
      <c r="P48" s="15" t="n">
        <f aca="false">COUNTIFS(Clips!$F:$F,$B48,Clips!$C:$C,"train")</f>
        <v>14</v>
      </c>
      <c r="Q48" s="15" t="n">
        <f aca="false">COUNTIFS(Clips!$F:$F,$B48,Clips!$C:$C,"val")</f>
        <v>3</v>
      </c>
      <c r="R48" s="15" t="n">
        <f aca="false">COUNTIFS(Clips!$F:$F,$B48,Clips!$C:$C,"test")</f>
        <v>3</v>
      </c>
      <c r="S48" s="17" t="n">
        <f aca="false">SUMIFS(Clips!$I:$I,Clips!$F:$F,$B48,Clips!$C:$C,"train")/60</f>
        <v>10.4608</v>
      </c>
      <c r="T48" s="17" t="n">
        <f aca="false">SUMIFS(Clips!$I:$I,Clips!$F:$F,$B48,Clips!$C:$C,"val")/60</f>
        <v>0.911283333333333</v>
      </c>
      <c r="U48" s="17" t="n">
        <f aca="false">SUMIFS(Clips!$I:$I,Clips!$F:$F,$B48,Clips!$C:$C,"test")/60</f>
        <v>1.47945</v>
      </c>
      <c r="V48" s="15" t="n">
        <f aca="false">SUMIFS(Clips!$J:$J,Clips!$F:$F,$B48,Clips!$C:$C,"train")</f>
        <v>133</v>
      </c>
      <c r="W48" s="18" t="n">
        <f aca="false">IF(V48=0,"",Splits!$B$49/(Splits!$B$50*V48))</f>
        <v>1.17162008795574</v>
      </c>
      <c r="X48" s="15" t="str">
        <f aca="false">IF(P48&gt;0,IF(AND(Q48&gt;0,R48&gt;0),"train + val + test",IF(R48&gt;0,"train + test","train only")),IF(R48&gt;0,"test only (unknown class)",IF(K48&gt;0,"site extract only","no usable audio")))</f>
        <v>train + val + test</v>
      </c>
      <c r="Y48" s="15" t="str">
        <f aca="false">IF($P48=0,"",IF($E48="nonbird",$B48,IF($G48="yes",$B48,"other bird")))</f>
        <v>Northern Barred-Woodcreeper</v>
      </c>
      <c r="Z48" s="15" t="str">
        <f aca="false">IF(AND($F48="core",$P48&gt;0),$B48,"")</f>
        <v>Northern Barred-Woodcreeper</v>
      </c>
      <c r="AA48" s="15" t="str">
        <f aca="false">IF($P48&gt;0,$B48,"")</f>
        <v>Northern Barred-Woodcreeper</v>
      </c>
      <c r="AB48" s="15" t="n">
        <v>17</v>
      </c>
      <c r="AC48" s="15" t="n">
        <v>13</v>
      </c>
      <c r="AD48" s="17" t="n">
        <f aca="false">IF(COUNTIFS(Clips!$F:$F,$B48,Clips!$M:$M,"&gt;0",Clips!$C:$C,"&lt;&gt;excluded")=0,"",AVERAGEIFS(Clips!$M:$M,Clips!$F:$F,$B48,Clips!$M:$M,"&gt;0",Clips!$C:$C,"&lt;&gt;excluded"))</f>
        <v>2.89052631578947</v>
      </c>
      <c r="AE48" s="15" t="n">
        <f aca="false">COUNTIFS(Clips!$F:$F,$B48,Clips!$O:$O,"&lt;&gt;",Clips!$B:$B,"&lt;&gt;site",Clips!$C:$C,"&lt;&gt;excluded")</f>
        <v>3</v>
      </c>
      <c r="AF48" s="15" t="n">
        <f aca="false">COUNTIFS(Clips!$F:$F,$B48,Clips!$I:$I,"&lt;5",Clips!$C:$C,"&lt;&gt;excluded")</f>
        <v>2</v>
      </c>
      <c r="AG48" s="5"/>
    </row>
    <row r="49" customFormat="false" ht="15" hidden="false" customHeight="false" outlineLevel="0" collapsed="false">
      <c r="A49" s="15" t="n">
        <v>157</v>
      </c>
      <c r="B49" s="15" t="s">
        <v>295</v>
      </c>
      <c r="C49" s="15" t="s">
        <v>296</v>
      </c>
      <c r="D49" s="15" t="s">
        <v>297</v>
      </c>
      <c r="E49" s="15" t="s">
        <v>147</v>
      </c>
      <c r="F49" s="15" t="s">
        <v>148</v>
      </c>
      <c r="G49" s="15" t="str">
        <f aca="false">IF(AND($E49="bird",$K49&gt;0),"yes","")</f>
        <v/>
      </c>
      <c r="H49" s="15"/>
      <c r="I49" s="15" t="str">
        <f aca="false">IF($E49="bird",IF(COUNTIF('eBird List'!$A:$A,$B49)&gt;0,"yes","no"),"")</f>
        <v>yes</v>
      </c>
      <c r="J49" s="16" t="n">
        <f aca="false">IF(COUNTIF('eBird List'!$A:$A,$B49)=0,"",INDEX('eBird List'!$C:$C,MATCH($B49,'eBird List'!$A:$A,0)))</f>
        <v>0.0797295687395759</v>
      </c>
      <c r="K49" s="15" t="n">
        <f aca="false">COUNTIFS(Clips!$B:$B,"site",Clips!$F:$F,$B49)+COUNTIFS(Clips!$B:$B,"site",Clips!$O:$O,"*"&amp;$B49&amp;"*")</f>
        <v>0</v>
      </c>
      <c r="L49" s="15" t="n">
        <f aca="false">COUNTIFS(Clips!$F:$F,$B49,Clips!$B:$B,"macaulay")</f>
        <v>21</v>
      </c>
      <c r="M49" s="15" t="n">
        <f aca="false">COUNTIFS(Clips!$F:$F,$B49,Clips!$B:$B,"xeno-canto")</f>
        <v>0</v>
      </c>
      <c r="N49" s="15" t="n">
        <f aca="false">K49+L49+M49</f>
        <v>21</v>
      </c>
      <c r="O49" s="15" t="n">
        <f aca="false">COUNTIFS(Clips!$F:$F,$B49,Clips!$C:$C,"excluded")</f>
        <v>1</v>
      </c>
      <c r="P49" s="15" t="n">
        <f aca="false">COUNTIFS(Clips!$F:$F,$B49,Clips!$C:$C,"train")</f>
        <v>14</v>
      </c>
      <c r="Q49" s="15" t="n">
        <f aca="false">COUNTIFS(Clips!$F:$F,$B49,Clips!$C:$C,"val")</f>
        <v>3</v>
      </c>
      <c r="R49" s="15" t="n">
        <f aca="false">COUNTIFS(Clips!$F:$F,$B49,Clips!$C:$C,"test")</f>
        <v>3</v>
      </c>
      <c r="S49" s="17" t="n">
        <f aca="false">SUMIFS(Clips!$I:$I,Clips!$F:$F,$B49,Clips!$C:$C,"train")/60</f>
        <v>53.2412833333333</v>
      </c>
      <c r="T49" s="17" t="n">
        <f aca="false">SUMIFS(Clips!$I:$I,Clips!$F:$F,$B49,Clips!$C:$C,"val")/60</f>
        <v>3.23348333333333</v>
      </c>
      <c r="U49" s="17" t="n">
        <f aca="false">SUMIFS(Clips!$I:$I,Clips!$F:$F,$B49,Clips!$C:$C,"test")/60</f>
        <v>3.19086666666667</v>
      </c>
      <c r="V49" s="15" t="n">
        <f aca="false">SUMIFS(Clips!$J:$J,Clips!$F:$F,$B49,Clips!$C:$C,"train")</f>
        <v>432</v>
      </c>
      <c r="W49" s="18" t="n">
        <f aca="false">IF(V49=0,"",Splits!$B$49/(Splits!$B$50*V49))</f>
        <v>0.360707110412299</v>
      </c>
      <c r="X49" s="15" t="str">
        <f aca="false">IF(P49&gt;0,IF(AND(Q49&gt;0,R49&gt;0),"train + val + test",IF(R49&gt;0,"train + test","train only")),IF(R49&gt;0,"test only (unknown class)",IF(K49&gt;0,"site extract only","no usable audio")))</f>
        <v>train + val + test</v>
      </c>
      <c r="Y49" s="15" t="str">
        <f aca="false">IF($P49=0,"",IF($E49="nonbird",$B49,IF($G49="yes",$B49,"other bird")))</f>
        <v>other bird</v>
      </c>
      <c r="Z49" s="15" t="str">
        <f aca="false">IF(AND($F49="core",$P49&gt;0),$B49,"")</f>
        <v>Red-capped Manakin</v>
      </c>
      <c r="AA49" s="15" t="str">
        <f aca="false">IF($P49&gt;0,$B49,"")</f>
        <v>Red-capped Manakin</v>
      </c>
      <c r="AB49" s="15" t="n">
        <v>19</v>
      </c>
      <c r="AC49" s="15" t="n">
        <v>13</v>
      </c>
      <c r="AD49" s="17" t="n">
        <f aca="false">IF(COUNTIFS(Clips!$F:$F,$B49,Clips!$M:$M,"&gt;0",Clips!$C:$C,"&lt;&gt;excluded")=0,"",AVERAGEIFS(Clips!$M:$M,Clips!$F:$F,$B49,Clips!$M:$M,"&gt;0",Clips!$C:$C,"&lt;&gt;excluded"))</f>
        <v>2.62473684210526</v>
      </c>
      <c r="AE49" s="15" t="n">
        <f aca="false">COUNTIFS(Clips!$F:$F,$B49,Clips!$O:$O,"&lt;&gt;",Clips!$B:$B,"&lt;&gt;site",Clips!$C:$C,"&lt;&gt;excluded")</f>
        <v>3</v>
      </c>
      <c r="AF49" s="15" t="n">
        <f aca="false">COUNTIFS(Clips!$F:$F,$B49,Clips!$I:$I,"&lt;5",Clips!$C:$C,"&lt;&gt;excluded")</f>
        <v>1</v>
      </c>
      <c r="AG49" s="5"/>
    </row>
    <row r="50" customFormat="false" ht="15" hidden="false" customHeight="false" outlineLevel="0" collapsed="false">
      <c r="A50" s="15" t="n">
        <v>66</v>
      </c>
      <c r="B50" s="15" t="s">
        <v>298</v>
      </c>
      <c r="C50" s="15" t="s">
        <v>299</v>
      </c>
      <c r="D50" s="15" t="s">
        <v>300</v>
      </c>
      <c r="E50" s="15" t="s">
        <v>147</v>
      </c>
      <c r="F50" s="15" t="s">
        <v>148</v>
      </c>
      <c r="G50" s="15" t="str">
        <f aca="false">IF(AND($E50="bird",$K50&gt;0),"yes","")</f>
        <v/>
      </c>
      <c r="H50" s="15"/>
      <c r="I50" s="15" t="str">
        <f aca="false">IF($E50="bird",IF(COUNTIF('eBird List'!$A:$A,$B50)&gt;0,"yes","no"),"")</f>
        <v>yes</v>
      </c>
      <c r="J50" s="16" t="n">
        <f aca="false">IF(COUNTIF('eBird List'!$A:$A,$B50)=0,"",INDEX('eBird List'!$C:$C,MATCH($B50,'eBird List'!$A:$A,0)))</f>
        <v>0.262389802239695</v>
      </c>
      <c r="K50" s="15" t="n">
        <f aca="false">COUNTIFS(Clips!$B:$B,"site",Clips!$F:$F,$B50)+COUNTIFS(Clips!$B:$B,"site",Clips!$O:$O,"*"&amp;$B50&amp;"*")</f>
        <v>0</v>
      </c>
      <c r="L50" s="15" t="n">
        <f aca="false">COUNTIFS(Clips!$F:$F,$B50,Clips!$B:$B,"macaulay")</f>
        <v>18</v>
      </c>
      <c r="M50" s="15" t="n">
        <f aca="false">COUNTIFS(Clips!$F:$F,$B50,Clips!$B:$B,"xeno-canto")</f>
        <v>1</v>
      </c>
      <c r="N50" s="15" t="n">
        <f aca="false">K50+L50+M50</f>
        <v>19</v>
      </c>
      <c r="O50" s="15" t="n">
        <f aca="false">COUNTIFS(Clips!$F:$F,$B50,Clips!$C:$C,"excluded")</f>
        <v>0</v>
      </c>
      <c r="P50" s="15" t="n">
        <f aca="false">COUNTIFS(Clips!$F:$F,$B50,Clips!$C:$C,"train")</f>
        <v>13</v>
      </c>
      <c r="Q50" s="15" t="n">
        <f aca="false">COUNTIFS(Clips!$F:$F,$B50,Clips!$C:$C,"val")</f>
        <v>3</v>
      </c>
      <c r="R50" s="15" t="n">
        <f aca="false">COUNTIFS(Clips!$F:$F,$B50,Clips!$C:$C,"test")</f>
        <v>3</v>
      </c>
      <c r="S50" s="17" t="n">
        <f aca="false">SUMIFS(Clips!$I:$I,Clips!$F:$F,$B50,Clips!$C:$C,"train")/60</f>
        <v>6.32463333333333</v>
      </c>
      <c r="T50" s="17" t="n">
        <f aca="false">SUMIFS(Clips!$I:$I,Clips!$F:$F,$B50,Clips!$C:$C,"val")/60</f>
        <v>1.0891</v>
      </c>
      <c r="U50" s="17" t="n">
        <f aca="false">SUMIFS(Clips!$I:$I,Clips!$F:$F,$B50,Clips!$C:$C,"test")/60</f>
        <v>12.0558833333333</v>
      </c>
      <c r="V50" s="15" t="n">
        <f aca="false">SUMIFS(Clips!$J:$J,Clips!$F:$F,$B50,Clips!$C:$C,"train")</f>
        <v>82</v>
      </c>
      <c r="W50" s="18" t="n">
        <f aca="false">IF(V50=0,"",Splits!$B$49/(Splits!$B$50*V50))</f>
        <v>1.9003106304648</v>
      </c>
      <c r="X50" s="15" t="str">
        <f aca="false">IF(P50&gt;0,IF(AND(Q50&gt;0,R50&gt;0),"train + val + test",IF(R50&gt;0,"train + test","train only")),IF(R50&gt;0,"test only (unknown class)",IF(K50&gt;0,"site extract only","no usable audio")))</f>
        <v>train + val + test</v>
      </c>
      <c r="Y50" s="15" t="str">
        <f aca="false">IF($P50=0,"",IF($E50="nonbird",$B50,IF($G50="yes",$B50,"other bird")))</f>
        <v>other bird</v>
      </c>
      <c r="Z50" s="15" t="str">
        <f aca="false">IF(AND($F50="core",$P50&gt;0),$B50,"")</f>
        <v>Common Tody-Flycatcher</v>
      </c>
      <c r="AA50" s="15" t="str">
        <f aca="false">IF($P50&gt;0,$B50,"")</f>
        <v>Common Tody-Flycatcher</v>
      </c>
      <c r="AB50" s="15" t="n">
        <v>16</v>
      </c>
      <c r="AC50" s="15" t="n">
        <v>7</v>
      </c>
      <c r="AD50" s="17" t="n">
        <f aca="false">IF(COUNTIFS(Clips!$F:$F,$B50,Clips!$M:$M,"&gt;0",Clips!$C:$C,"&lt;&gt;excluded")=0,"",AVERAGEIFS(Clips!$M:$M,Clips!$F:$F,$B50,Clips!$M:$M,"&gt;0",Clips!$C:$C,"&lt;&gt;excluded"))</f>
        <v>3.32777777777778</v>
      </c>
      <c r="AE50" s="15" t="n">
        <f aca="false">COUNTIFS(Clips!$F:$F,$B50,Clips!$O:$O,"&lt;&gt;",Clips!$B:$B,"&lt;&gt;site",Clips!$C:$C,"&lt;&gt;excluded")</f>
        <v>3</v>
      </c>
      <c r="AF50" s="15" t="n">
        <f aca="false">COUNTIFS(Clips!$F:$F,$B50,Clips!$I:$I,"&lt;5",Clips!$C:$C,"&lt;&gt;excluded")</f>
        <v>2</v>
      </c>
      <c r="AG50" s="5"/>
    </row>
    <row r="51" customFormat="false" ht="15" hidden="false" customHeight="false" outlineLevel="0" collapsed="false">
      <c r="A51" s="15" t="n">
        <v>71</v>
      </c>
      <c r="B51" s="15" t="s">
        <v>301</v>
      </c>
      <c r="C51" s="15" t="s">
        <v>302</v>
      </c>
      <c r="D51" s="15" t="s">
        <v>303</v>
      </c>
      <c r="E51" s="15" t="s">
        <v>147</v>
      </c>
      <c r="F51" s="15" t="s">
        <v>148</v>
      </c>
      <c r="G51" s="15" t="str">
        <f aca="false">IF(AND($E51="bird",$K51&gt;0),"yes","")</f>
        <v/>
      </c>
      <c r="H51" s="15"/>
      <c r="I51" s="15" t="str">
        <f aca="false">IF($E51="bird",IF(COUNTIF('eBird List'!$A:$A,$B51)&gt;0,"yes","no"),"")</f>
        <v>yes</v>
      </c>
      <c r="J51" s="16" t="n">
        <f aca="false">IF(COUNTIF('eBird List'!$A:$A,$B51)=0,"",INDEX('eBird List'!$C:$C,MATCH($B51,'eBird List'!$A:$A,0)))</f>
        <v>0.0416666666666667</v>
      </c>
      <c r="K51" s="15" t="n">
        <f aca="false">COUNTIFS(Clips!$B:$B,"site",Clips!$F:$F,$B51)+COUNTIFS(Clips!$B:$B,"site",Clips!$O:$O,"*"&amp;$B51&amp;"*")</f>
        <v>0</v>
      </c>
      <c r="L51" s="15" t="n">
        <f aca="false">COUNTIFS(Clips!$F:$F,$B51,Clips!$B:$B,"macaulay")</f>
        <v>19</v>
      </c>
      <c r="M51" s="15" t="n">
        <f aca="false">COUNTIFS(Clips!$F:$F,$B51,Clips!$B:$B,"xeno-canto")</f>
        <v>0</v>
      </c>
      <c r="N51" s="15" t="n">
        <f aca="false">K51+L51+M51</f>
        <v>19</v>
      </c>
      <c r="O51" s="15" t="n">
        <f aca="false">COUNTIFS(Clips!$F:$F,$B51,Clips!$C:$C,"excluded")</f>
        <v>0</v>
      </c>
      <c r="P51" s="15" t="n">
        <f aca="false">COUNTIFS(Clips!$F:$F,$B51,Clips!$C:$C,"train")</f>
        <v>13</v>
      </c>
      <c r="Q51" s="15" t="n">
        <f aca="false">COUNTIFS(Clips!$F:$F,$B51,Clips!$C:$C,"val")</f>
        <v>3</v>
      </c>
      <c r="R51" s="15" t="n">
        <f aca="false">COUNTIFS(Clips!$F:$F,$B51,Clips!$C:$C,"test")</f>
        <v>3</v>
      </c>
      <c r="S51" s="17" t="n">
        <f aca="false">SUMIFS(Clips!$I:$I,Clips!$F:$F,$B51,Clips!$C:$C,"train")/60</f>
        <v>34.4966333333333</v>
      </c>
      <c r="T51" s="17" t="n">
        <f aca="false">SUMIFS(Clips!$I:$I,Clips!$F:$F,$B51,Clips!$C:$C,"val")/60</f>
        <v>2.16271666666667</v>
      </c>
      <c r="U51" s="17" t="n">
        <f aca="false">SUMIFS(Clips!$I:$I,Clips!$F:$F,$B51,Clips!$C:$C,"test")/60</f>
        <v>1.86311666666667</v>
      </c>
      <c r="V51" s="15" t="n">
        <f aca="false">SUMIFS(Clips!$J:$J,Clips!$F:$F,$B51,Clips!$C:$C,"train")</f>
        <v>359</v>
      </c>
      <c r="W51" s="18" t="n">
        <f aca="false">IF(V51=0,"",Splits!$B$49/(Splits!$B$50*V51))</f>
        <v>0.434054238713407</v>
      </c>
      <c r="X51" s="15" t="str">
        <f aca="false">IF(P51&gt;0,IF(AND(Q51&gt;0,R51&gt;0),"train + val + test",IF(R51&gt;0,"train + test","train only")),IF(R51&gt;0,"test only (unknown class)",IF(K51&gt;0,"site extract only","no usable audio")))</f>
        <v>train + val + test</v>
      </c>
      <c r="Y51" s="15" t="str">
        <f aca="false">IF($P51=0,"",IF($E51="nonbird",$B51,IF($G51="yes",$B51,"other bird")))</f>
        <v>other bird</v>
      </c>
      <c r="Z51" s="15" t="str">
        <f aca="false">IF(AND($F51="core",$P51&gt;0),$B51,"")</f>
        <v>Crested Owl</v>
      </c>
      <c r="AA51" s="15" t="str">
        <f aca="false">IF($P51&gt;0,$B51,"")</f>
        <v>Crested Owl</v>
      </c>
      <c r="AB51" s="15" t="n">
        <v>16</v>
      </c>
      <c r="AC51" s="15" t="n">
        <v>11</v>
      </c>
      <c r="AD51" s="17" t="n">
        <f aca="false">IF(COUNTIFS(Clips!$F:$F,$B51,Clips!$M:$M,"&gt;0",Clips!$C:$C,"&lt;&gt;excluded")=0,"",AVERAGEIFS(Clips!$M:$M,Clips!$F:$F,$B51,Clips!$M:$M,"&gt;0",Clips!$C:$C,"&lt;&gt;excluded"))</f>
        <v>2.13333333333333</v>
      </c>
      <c r="AE51" s="15" t="n">
        <f aca="false">COUNTIFS(Clips!$F:$F,$B51,Clips!$O:$O,"&lt;&gt;",Clips!$B:$B,"&lt;&gt;site",Clips!$C:$C,"&lt;&gt;excluded")</f>
        <v>2</v>
      </c>
      <c r="AF51" s="15" t="n">
        <f aca="false">COUNTIFS(Clips!$F:$F,$B51,Clips!$I:$I,"&lt;5",Clips!$C:$C,"&lt;&gt;excluded")</f>
        <v>0</v>
      </c>
      <c r="AG51" s="5"/>
    </row>
    <row r="52" customFormat="false" ht="15" hidden="false" customHeight="false" outlineLevel="0" collapsed="false">
      <c r="A52" s="15" t="n">
        <v>45</v>
      </c>
      <c r="B52" s="15" t="s">
        <v>304</v>
      </c>
      <c r="C52" s="15" t="s">
        <v>305</v>
      </c>
      <c r="D52" s="15" t="s">
        <v>306</v>
      </c>
      <c r="E52" s="15" t="s">
        <v>147</v>
      </c>
      <c r="F52" s="15" t="s">
        <v>148</v>
      </c>
      <c r="G52" s="15" t="str">
        <f aca="false">IF(AND($E52="bird",$K52&gt;0),"yes","")</f>
        <v/>
      </c>
      <c r="H52" s="15"/>
      <c r="I52" s="15" t="str">
        <f aca="false">IF($E52="bird",IF(COUNTIF('eBird List'!$A:$A,$B52)&gt;0,"yes","no"),"")</f>
        <v>yes</v>
      </c>
      <c r="J52" s="16" t="n">
        <f aca="false">IF(COUNTIF('eBird List'!$A:$A,$B52)=0,"",INDEX('eBird List'!$C:$C,MATCH($B52,'eBird List'!$A:$A,0)))</f>
        <v>0.324785561115082</v>
      </c>
      <c r="K52" s="15" t="n">
        <f aca="false">COUNTIFS(Clips!$B:$B,"site",Clips!$F:$F,$B52)+COUNTIFS(Clips!$B:$B,"site",Clips!$O:$O,"*"&amp;$B52&amp;"*")</f>
        <v>0</v>
      </c>
      <c r="L52" s="15" t="n">
        <f aca="false">COUNTIFS(Clips!$F:$F,$B52,Clips!$B:$B,"macaulay")</f>
        <v>17</v>
      </c>
      <c r="M52" s="15" t="n">
        <f aca="false">COUNTIFS(Clips!$F:$F,$B52,Clips!$B:$B,"xeno-canto")</f>
        <v>1</v>
      </c>
      <c r="N52" s="15" t="n">
        <f aca="false">K52+L52+M52</f>
        <v>18</v>
      </c>
      <c r="O52" s="15" t="n">
        <f aca="false">COUNTIFS(Clips!$F:$F,$B52,Clips!$C:$C,"excluded")</f>
        <v>0</v>
      </c>
      <c r="P52" s="15" t="n">
        <f aca="false">COUNTIFS(Clips!$F:$F,$B52,Clips!$C:$C,"train")</f>
        <v>12</v>
      </c>
      <c r="Q52" s="15" t="n">
        <f aca="false">COUNTIFS(Clips!$F:$F,$B52,Clips!$C:$C,"val")</f>
        <v>3</v>
      </c>
      <c r="R52" s="15" t="n">
        <f aca="false">COUNTIFS(Clips!$F:$F,$B52,Clips!$C:$C,"test")</f>
        <v>3</v>
      </c>
      <c r="S52" s="17" t="n">
        <f aca="false">SUMIFS(Clips!$I:$I,Clips!$F:$F,$B52,Clips!$C:$C,"train")/60</f>
        <v>11.0708</v>
      </c>
      <c r="T52" s="17" t="n">
        <f aca="false">SUMIFS(Clips!$I:$I,Clips!$F:$F,$B52,Clips!$C:$C,"val")/60</f>
        <v>2.65265</v>
      </c>
      <c r="U52" s="17" t="n">
        <f aca="false">SUMIFS(Clips!$I:$I,Clips!$F:$F,$B52,Clips!$C:$C,"test")/60</f>
        <v>2.0449</v>
      </c>
      <c r="V52" s="15" t="n">
        <f aca="false">SUMIFS(Clips!$J:$J,Clips!$F:$F,$B52,Clips!$C:$C,"train")</f>
        <v>140</v>
      </c>
      <c r="W52" s="18" t="n">
        <f aca="false">IF(V52=0,"",Splits!$B$49/(Splits!$B$50*V52))</f>
        <v>1.11303908355795</v>
      </c>
      <c r="X52" s="15" t="str">
        <f aca="false">IF(P52&gt;0,IF(AND(Q52&gt;0,R52&gt;0),"train + val + test",IF(R52&gt;0,"train + test","train only")),IF(R52&gt;0,"test only (unknown class)",IF(K52&gt;0,"site extract only","no usable audio")))</f>
        <v>train + val + test</v>
      </c>
      <c r="Y52" s="15" t="str">
        <f aca="false">IF($P52=0,"",IF($E52="nonbird",$B52,IF($G52="yes",$B52,"other bird")))</f>
        <v>other bird</v>
      </c>
      <c r="Z52" s="15" t="str">
        <f aca="false">IF(AND($F52="core",$P52&gt;0),$B52,"")</f>
        <v>Buff-throated Saltator</v>
      </c>
      <c r="AA52" s="15" t="str">
        <f aca="false">IF($P52&gt;0,$B52,"")</f>
        <v>Buff-throated Saltator</v>
      </c>
      <c r="AB52" s="15" t="n">
        <v>15</v>
      </c>
      <c r="AC52" s="15" t="n">
        <v>13</v>
      </c>
      <c r="AD52" s="17" t="n">
        <f aca="false">IF(COUNTIFS(Clips!$F:$F,$B52,Clips!$M:$M,"&gt;0",Clips!$C:$C,"&lt;&gt;excluded")=0,"",AVERAGEIFS(Clips!$M:$M,Clips!$F:$F,$B52,Clips!$M:$M,"&gt;0",Clips!$C:$C,"&lt;&gt;excluded"))</f>
        <v>3.0975</v>
      </c>
      <c r="AE52" s="15" t="n">
        <f aca="false">COUNTIFS(Clips!$F:$F,$B52,Clips!$O:$O,"&lt;&gt;",Clips!$B:$B,"&lt;&gt;site",Clips!$C:$C,"&lt;&gt;excluded")</f>
        <v>0</v>
      </c>
      <c r="AF52" s="15" t="n">
        <f aca="false">COUNTIFS(Clips!$F:$F,$B52,Clips!$I:$I,"&lt;5",Clips!$C:$C,"&lt;&gt;excluded")</f>
        <v>0</v>
      </c>
      <c r="AG52" s="5"/>
    </row>
    <row r="53" customFormat="false" ht="15" hidden="false" customHeight="false" outlineLevel="0" collapsed="false">
      <c r="A53" s="15" t="n">
        <v>54</v>
      </c>
      <c r="B53" s="15" t="s">
        <v>307</v>
      </c>
      <c r="C53" s="15" t="s">
        <v>308</v>
      </c>
      <c r="D53" s="15" t="s">
        <v>309</v>
      </c>
      <c r="E53" s="15" t="s">
        <v>147</v>
      </c>
      <c r="F53" s="15" t="s">
        <v>148</v>
      </c>
      <c r="G53" s="15" t="str">
        <f aca="false">IF(AND($E53="bird",$K53&gt;0),"yes","")</f>
        <v/>
      </c>
      <c r="H53" s="15"/>
      <c r="I53" s="15" t="str">
        <f aca="false">IF($E53="bird",IF(COUNTIF('eBird List'!$A:$A,$B53)&gt;0,"yes","no"),"")</f>
        <v>yes</v>
      </c>
      <c r="J53" s="16" t="n">
        <f aca="false">IF(COUNTIF('eBird List'!$A:$A,$B53)=0,"",INDEX('eBird List'!$C:$C,MATCH($B53,'eBird List'!$A:$A,0)))</f>
        <v>0.263759828448892</v>
      </c>
      <c r="K53" s="15" t="n">
        <f aca="false">COUNTIFS(Clips!$B:$B,"site",Clips!$F:$F,$B53)+COUNTIFS(Clips!$B:$B,"site",Clips!$O:$O,"*"&amp;$B53&amp;"*")</f>
        <v>0</v>
      </c>
      <c r="L53" s="15" t="n">
        <f aca="false">COUNTIFS(Clips!$F:$F,$B53,Clips!$B:$B,"macaulay")</f>
        <v>17</v>
      </c>
      <c r="M53" s="15" t="n">
        <f aca="false">COUNTIFS(Clips!$F:$F,$B53,Clips!$B:$B,"xeno-canto")</f>
        <v>1</v>
      </c>
      <c r="N53" s="15" t="n">
        <f aca="false">K53+L53+M53</f>
        <v>18</v>
      </c>
      <c r="O53" s="15" t="n">
        <f aca="false">COUNTIFS(Clips!$F:$F,$B53,Clips!$C:$C,"excluded")</f>
        <v>0</v>
      </c>
      <c r="P53" s="15" t="n">
        <f aca="false">COUNTIFS(Clips!$F:$F,$B53,Clips!$C:$C,"train")</f>
        <v>12</v>
      </c>
      <c r="Q53" s="15" t="n">
        <f aca="false">COUNTIFS(Clips!$F:$F,$B53,Clips!$C:$C,"val")</f>
        <v>3</v>
      </c>
      <c r="R53" s="15" t="n">
        <f aca="false">COUNTIFS(Clips!$F:$F,$B53,Clips!$C:$C,"test")</f>
        <v>3</v>
      </c>
      <c r="S53" s="17" t="n">
        <f aca="false">SUMIFS(Clips!$I:$I,Clips!$F:$F,$B53,Clips!$C:$C,"train")/60</f>
        <v>13.2450166666667</v>
      </c>
      <c r="T53" s="17" t="n">
        <f aca="false">SUMIFS(Clips!$I:$I,Clips!$F:$F,$B53,Clips!$C:$C,"val")/60</f>
        <v>2.23093333333333</v>
      </c>
      <c r="U53" s="17" t="n">
        <f aca="false">SUMIFS(Clips!$I:$I,Clips!$F:$F,$B53,Clips!$C:$C,"test")/60</f>
        <v>0.587466666666667</v>
      </c>
      <c r="V53" s="15" t="n">
        <f aca="false">SUMIFS(Clips!$J:$J,Clips!$F:$F,$B53,Clips!$C:$C,"train")</f>
        <v>163</v>
      </c>
      <c r="W53" s="18" t="n">
        <f aca="false">IF(V53=0,"",Splits!$B$49/(Splits!$B$50*V53))</f>
        <v>0.95598448894548</v>
      </c>
      <c r="X53" s="15" t="str">
        <f aca="false">IF(P53&gt;0,IF(AND(Q53&gt;0,R53&gt;0),"train + val + test",IF(R53&gt;0,"train + test","train only")),IF(R53&gt;0,"test only (unknown class)",IF(K53&gt;0,"site extract only","no usable audio")))</f>
        <v>train + val + test</v>
      </c>
      <c r="Y53" s="15" t="str">
        <f aca="false">IF($P53=0,"",IF($E53="nonbird",$B53,IF($G53="yes",$B53,"other bird")))</f>
        <v>other bird</v>
      </c>
      <c r="Z53" s="15" t="str">
        <f aca="false">IF(AND($F53="core",$P53&gt;0),$B53,"")</f>
        <v>Cinnamon Becard</v>
      </c>
      <c r="AA53" s="15" t="str">
        <f aca="false">IF($P53&gt;0,$B53,"")</f>
        <v>Cinnamon Becard</v>
      </c>
      <c r="AB53" s="15" t="n">
        <v>16</v>
      </c>
      <c r="AC53" s="15" t="n">
        <v>14</v>
      </c>
      <c r="AD53" s="17" t="n">
        <f aca="false">IF(COUNTIFS(Clips!$F:$F,$B53,Clips!$M:$M,"&gt;0",Clips!$C:$C,"&lt;&gt;excluded")=0,"",AVERAGEIFS(Clips!$M:$M,Clips!$F:$F,$B53,Clips!$M:$M,"&gt;0",Clips!$C:$C,"&lt;&gt;excluded"))</f>
        <v>2.97857142857143</v>
      </c>
      <c r="AE53" s="15" t="n">
        <f aca="false">COUNTIFS(Clips!$F:$F,$B53,Clips!$O:$O,"&lt;&gt;",Clips!$B:$B,"&lt;&gt;site",Clips!$C:$C,"&lt;&gt;excluded")</f>
        <v>2</v>
      </c>
      <c r="AF53" s="15" t="n">
        <f aca="false">COUNTIFS(Clips!$F:$F,$B53,Clips!$I:$I,"&lt;5",Clips!$C:$C,"&lt;&gt;excluded")</f>
        <v>3</v>
      </c>
      <c r="AG53" s="5"/>
    </row>
    <row r="54" customFormat="false" ht="15" hidden="false" customHeight="false" outlineLevel="0" collapsed="false">
      <c r="A54" s="15" t="n">
        <v>83</v>
      </c>
      <c r="B54" s="15" t="s">
        <v>310</v>
      </c>
      <c r="C54" s="15" t="s">
        <v>311</v>
      </c>
      <c r="D54" s="15" t="s">
        <v>312</v>
      </c>
      <c r="E54" s="15" t="s">
        <v>147</v>
      </c>
      <c r="F54" s="15" t="s">
        <v>148</v>
      </c>
      <c r="G54" s="15" t="str">
        <f aca="false">IF(AND($E54="bird",$K54&gt;0),"yes","")</f>
        <v/>
      </c>
      <c r="H54" s="15"/>
      <c r="I54" s="15" t="str">
        <f aca="false">IF($E54="bird",IF(COUNTIF('eBird List'!$A:$A,$B54)&gt;0,"yes","no"),"")</f>
        <v>yes</v>
      </c>
      <c r="J54" s="16" t="n">
        <f aca="false">IF(COUNTIF('eBird List'!$A:$A,$B54)=0,"",INDEX('eBird List'!$C:$C,MATCH($B54,'eBird List'!$A:$A,0)))</f>
        <v>0.249344770073862</v>
      </c>
      <c r="K54" s="15" t="n">
        <f aca="false">COUNTIFS(Clips!$B:$B,"site",Clips!$F:$F,$B54)+COUNTIFS(Clips!$B:$B,"site",Clips!$O:$O,"*"&amp;$B54&amp;"*")</f>
        <v>0</v>
      </c>
      <c r="L54" s="15" t="n">
        <f aca="false">COUNTIFS(Clips!$F:$F,$B54,Clips!$B:$B,"macaulay")</f>
        <v>19</v>
      </c>
      <c r="M54" s="15" t="n">
        <f aca="false">COUNTIFS(Clips!$F:$F,$B54,Clips!$B:$B,"xeno-canto")</f>
        <v>0</v>
      </c>
      <c r="N54" s="15" t="n">
        <f aca="false">K54+L54+M54</f>
        <v>19</v>
      </c>
      <c r="O54" s="15" t="n">
        <f aca="false">COUNTIFS(Clips!$F:$F,$B54,Clips!$C:$C,"excluded")</f>
        <v>1</v>
      </c>
      <c r="P54" s="15" t="n">
        <f aca="false">COUNTIFS(Clips!$F:$F,$B54,Clips!$C:$C,"train")</f>
        <v>12</v>
      </c>
      <c r="Q54" s="15" t="n">
        <f aca="false">COUNTIFS(Clips!$F:$F,$B54,Clips!$C:$C,"val")</f>
        <v>3</v>
      </c>
      <c r="R54" s="15" t="n">
        <f aca="false">COUNTIFS(Clips!$F:$F,$B54,Clips!$C:$C,"test")</f>
        <v>3</v>
      </c>
      <c r="S54" s="17" t="n">
        <f aca="false">SUMIFS(Clips!$I:$I,Clips!$F:$F,$B54,Clips!$C:$C,"train")/60</f>
        <v>5.45981666666667</v>
      </c>
      <c r="T54" s="17" t="n">
        <f aca="false">SUMIFS(Clips!$I:$I,Clips!$F:$F,$B54,Clips!$C:$C,"val")/60</f>
        <v>3.32995</v>
      </c>
      <c r="U54" s="17" t="n">
        <f aca="false">SUMIFS(Clips!$I:$I,Clips!$F:$F,$B54,Clips!$C:$C,"test")/60</f>
        <v>5.25786666666667</v>
      </c>
      <c r="V54" s="15" t="n">
        <f aca="false">SUMIFS(Clips!$J:$J,Clips!$F:$F,$B54,Clips!$C:$C,"train")</f>
        <v>70</v>
      </c>
      <c r="W54" s="18" t="n">
        <f aca="false">IF(V54=0,"",Splits!$B$49/(Splits!$B$50*V54))</f>
        <v>2.2260781671159</v>
      </c>
      <c r="X54" s="15" t="str">
        <f aca="false">IF(P54&gt;0,IF(AND(Q54&gt;0,R54&gt;0),"train + val + test",IF(R54&gt;0,"train + test","train only")),IF(R54&gt;0,"test only (unknown class)",IF(K54&gt;0,"site extract only","no usable audio")))</f>
        <v>train + val + test</v>
      </c>
      <c r="Y54" s="15" t="str">
        <f aca="false">IF($P54=0,"",IF($E54="nonbird",$B54,IF($G54="yes",$B54,"other bird")))</f>
        <v>other bird</v>
      </c>
      <c r="Z54" s="15" t="str">
        <f aca="false">IF(AND($F54="core",$P54&gt;0),$B54,"")</f>
        <v>Gartered Violaceous Trogon</v>
      </c>
      <c r="AA54" s="15" t="str">
        <f aca="false">IF($P54&gt;0,$B54,"")</f>
        <v>Gartered Violaceous Trogon</v>
      </c>
      <c r="AB54" s="15" t="n">
        <v>17</v>
      </c>
      <c r="AC54" s="15" t="n">
        <v>15</v>
      </c>
      <c r="AD54" s="17" t="n">
        <f aca="false">IF(COUNTIFS(Clips!$F:$F,$B54,Clips!$M:$M,"&gt;0",Clips!$C:$C,"&lt;&gt;excluded")=0,"",AVERAGEIFS(Clips!$M:$M,Clips!$F:$F,$B54,Clips!$M:$M,"&gt;0",Clips!$C:$C,"&lt;&gt;excluded"))</f>
        <v>2.88461538461538</v>
      </c>
      <c r="AE54" s="15" t="n">
        <f aca="false">COUNTIFS(Clips!$F:$F,$B54,Clips!$O:$O,"&lt;&gt;",Clips!$B:$B,"&lt;&gt;site",Clips!$C:$C,"&lt;&gt;excluded")</f>
        <v>5</v>
      </c>
      <c r="AF54" s="15" t="n">
        <f aca="false">COUNTIFS(Clips!$F:$F,$B54,Clips!$I:$I,"&lt;5",Clips!$C:$C,"&lt;&gt;excluded")</f>
        <v>0</v>
      </c>
      <c r="AG54" s="5"/>
    </row>
    <row r="55" customFormat="false" ht="15" hidden="false" customHeight="false" outlineLevel="0" collapsed="false">
      <c r="A55" s="15" t="n">
        <v>225</v>
      </c>
      <c r="B55" s="15" t="s">
        <v>313</v>
      </c>
      <c r="C55" s="15" t="s">
        <v>314</v>
      </c>
      <c r="D55" s="15" t="s">
        <v>315</v>
      </c>
      <c r="E55" s="15" t="s">
        <v>147</v>
      </c>
      <c r="F55" s="15" t="s">
        <v>148</v>
      </c>
      <c r="G55" s="15" t="str">
        <f aca="false">IF(AND($E55="bird",$K55&gt;0),"yes","")</f>
        <v/>
      </c>
      <c r="H55" s="15"/>
      <c r="I55" s="15" t="str">
        <f aca="false">IF($E55="bird",IF(COUNTIF('eBird List'!$A:$A,$B55)&gt;0,"yes","no"),"")</f>
        <v>yes</v>
      </c>
      <c r="J55" s="16" t="n">
        <f aca="false">IF(COUNTIF('eBird List'!$A:$A,$B55)=0,"",INDEX('eBird List'!$C:$C,MATCH($B55,'eBird List'!$A:$A,0)))</f>
        <v>0.162169406719085</v>
      </c>
      <c r="K55" s="15" t="n">
        <f aca="false">COUNTIFS(Clips!$B:$B,"site",Clips!$F:$F,$B55)+COUNTIFS(Clips!$B:$B,"site",Clips!$O:$O,"*"&amp;$B55&amp;"*")</f>
        <v>0</v>
      </c>
      <c r="L55" s="15" t="n">
        <f aca="false">COUNTIFS(Clips!$F:$F,$B55,Clips!$B:$B,"macaulay")</f>
        <v>18</v>
      </c>
      <c r="M55" s="15" t="n">
        <f aca="false">COUNTIFS(Clips!$F:$F,$B55,Clips!$B:$B,"xeno-canto")</f>
        <v>0</v>
      </c>
      <c r="N55" s="15" t="n">
        <f aca="false">K55+L55+M55</f>
        <v>18</v>
      </c>
      <c r="O55" s="15" t="n">
        <f aca="false">COUNTIFS(Clips!$F:$F,$B55,Clips!$C:$C,"excluded")</f>
        <v>0</v>
      </c>
      <c r="P55" s="15" t="n">
        <f aca="false">COUNTIFS(Clips!$F:$F,$B55,Clips!$C:$C,"train")</f>
        <v>12</v>
      </c>
      <c r="Q55" s="15" t="n">
        <f aca="false">COUNTIFS(Clips!$F:$F,$B55,Clips!$C:$C,"val")</f>
        <v>3</v>
      </c>
      <c r="R55" s="15" t="n">
        <f aca="false">COUNTIFS(Clips!$F:$F,$B55,Clips!$C:$C,"test")</f>
        <v>3</v>
      </c>
      <c r="S55" s="17" t="n">
        <f aca="false">SUMIFS(Clips!$I:$I,Clips!$F:$F,$B55,Clips!$C:$C,"train")/60</f>
        <v>13.6855</v>
      </c>
      <c r="T55" s="17" t="n">
        <f aca="false">SUMIFS(Clips!$I:$I,Clips!$F:$F,$B55,Clips!$C:$C,"val")/60</f>
        <v>0.9441</v>
      </c>
      <c r="U55" s="17" t="n">
        <f aca="false">SUMIFS(Clips!$I:$I,Clips!$F:$F,$B55,Clips!$C:$C,"test")/60</f>
        <v>2.52326666666667</v>
      </c>
      <c r="V55" s="15" t="n">
        <f aca="false">SUMIFS(Clips!$J:$J,Clips!$F:$F,$B55,Clips!$C:$C,"train")</f>
        <v>171</v>
      </c>
      <c r="W55" s="18" t="n">
        <f aca="false">IF(V55=0,"",Splits!$B$49/(Splits!$B$50*V55))</f>
        <v>0.911260068410019</v>
      </c>
      <c r="X55" s="15" t="str">
        <f aca="false">IF(P55&gt;0,IF(AND(Q55&gt;0,R55&gt;0),"train + val + test",IF(R55&gt;0,"train + test","train only")),IF(R55&gt;0,"test only (unknown class)",IF(K55&gt;0,"site extract only","no usable audio")))</f>
        <v>train + val + test</v>
      </c>
      <c r="Y55" s="15" t="str">
        <f aca="false">IF($P55=0,"",IF($E55="nonbird",$B55,IF($G55="yes",$B55,"other bird")))</f>
        <v>other bird</v>
      </c>
      <c r="Z55" s="15" t="str">
        <f aca="false">IF(AND($F55="core",$P55&gt;0),$B55,"")</f>
        <v>White-ringed Flycatcher</v>
      </c>
      <c r="AA55" s="15" t="str">
        <f aca="false">IF($P55&gt;0,$B55,"")</f>
        <v>White-ringed Flycatcher</v>
      </c>
      <c r="AB55" s="15" t="n">
        <v>14</v>
      </c>
      <c r="AC55" s="15" t="n">
        <v>12</v>
      </c>
      <c r="AD55" s="17" t="n">
        <f aca="false">IF(COUNTIFS(Clips!$F:$F,$B55,Clips!$M:$M,"&gt;0",Clips!$C:$C,"&lt;&gt;excluded")=0,"",AVERAGEIFS(Clips!$M:$M,Clips!$F:$F,$B55,Clips!$M:$M,"&gt;0",Clips!$C:$C,"&lt;&gt;excluded"))</f>
        <v>3.02941176470588</v>
      </c>
      <c r="AE55" s="15" t="n">
        <f aca="false">COUNTIFS(Clips!$F:$F,$B55,Clips!$O:$O,"&lt;&gt;",Clips!$B:$B,"&lt;&gt;site",Clips!$C:$C,"&lt;&gt;excluded")</f>
        <v>2</v>
      </c>
      <c r="AF55" s="15" t="n">
        <f aca="false">COUNTIFS(Clips!$F:$F,$B55,Clips!$I:$I,"&lt;5",Clips!$C:$C,"&lt;&gt;excluded")</f>
        <v>0</v>
      </c>
      <c r="AG55" s="5"/>
    </row>
    <row r="56" customFormat="false" ht="15" hidden="false" customHeight="false" outlineLevel="0" collapsed="false">
      <c r="A56" s="15" t="n">
        <v>86</v>
      </c>
      <c r="B56" s="15" t="s">
        <v>316</v>
      </c>
      <c r="C56" s="15" t="s">
        <v>317</v>
      </c>
      <c r="D56" s="15" t="s">
        <v>318</v>
      </c>
      <c r="E56" s="15" t="s">
        <v>147</v>
      </c>
      <c r="F56" s="15" t="s">
        <v>148</v>
      </c>
      <c r="G56" s="15" t="str">
        <f aca="false">IF(AND($E56="bird",$K56&gt;0),"yes","")</f>
        <v/>
      </c>
      <c r="H56" s="15"/>
      <c r="I56" s="15" t="str">
        <f aca="false">IF($E56="bird",IF(COUNTIF('eBird List'!$A:$A,$B56)&gt;0,"yes","no"),"")</f>
        <v>yes</v>
      </c>
      <c r="J56" s="16" t="n">
        <f aca="false">IF(COUNTIF('eBird List'!$A:$A,$B56)=0,"",INDEX('eBird List'!$C:$C,MATCH($B56,'eBird List'!$A:$A,0)))</f>
        <v>0.224982130092924</v>
      </c>
      <c r="K56" s="15" t="n">
        <f aca="false">COUNTIFS(Clips!$B:$B,"site",Clips!$F:$F,$B56)+COUNTIFS(Clips!$B:$B,"site",Clips!$O:$O,"*"&amp;$B56&amp;"*")</f>
        <v>0</v>
      </c>
      <c r="L56" s="15" t="n">
        <f aca="false">COUNTIFS(Clips!$F:$F,$B56,Clips!$B:$B,"macaulay")</f>
        <v>17</v>
      </c>
      <c r="M56" s="15" t="n">
        <f aca="false">COUNTIFS(Clips!$F:$F,$B56,Clips!$B:$B,"xeno-canto")</f>
        <v>0</v>
      </c>
      <c r="N56" s="15" t="n">
        <f aca="false">K56+L56+M56</f>
        <v>17</v>
      </c>
      <c r="O56" s="15" t="n">
        <f aca="false">COUNTIFS(Clips!$F:$F,$B56,Clips!$C:$C,"excluded")</f>
        <v>0</v>
      </c>
      <c r="P56" s="15" t="n">
        <f aca="false">COUNTIFS(Clips!$F:$F,$B56,Clips!$C:$C,"train")</f>
        <v>11</v>
      </c>
      <c r="Q56" s="15" t="n">
        <f aca="false">COUNTIFS(Clips!$F:$F,$B56,Clips!$C:$C,"val")</f>
        <v>3</v>
      </c>
      <c r="R56" s="15" t="n">
        <f aca="false">COUNTIFS(Clips!$F:$F,$B56,Clips!$C:$C,"test")</f>
        <v>3</v>
      </c>
      <c r="S56" s="17" t="n">
        <f aca="false">SUMIFS(Clips!$I:$I,Clips!$F:$F,$B56,Clips!$C:$C,"train")/60</f>
        <v>7.00175</v>
      </c>
      <c r="T56" s="17" t="n">
        <f aca="false">SUMIFS(Clips!$I:$I,Clips!$F:$F,$B56,Clips!$C:$C,"val")/60</f>
        <v>2.81755</v>
      </c>
      <c r="U56" s="17" t="n">
        <f aca="false">SUMIFS(Clips!$I:$I,Clips!$F:$F,$B56,Clips!$C:$C,"test")/60</f>
        <v>1.03295</v>
      </c>
      <c r="V56" s="15" t="n">
        <f aca="false">SUMIFS(Clips!$J:$J,Clips!$F:$F,$B56,Clips!$C:$C,"train")</f>
        <v>88</v>
      </c>
      <c r="W56" s="18" t="n">
        <f aca="false">IF(V56=0,"",Splits!$B$49/(Splits!$B$50*V56))</f>
        <v>1.77074399656947</v>
      </c>
      <c r="X56" s="15" t="str">
        <f aca="false">IF(P56&gt;0,IF(AND(Q56&gt;0,R56&gt;0),"train + val + test",IF(R56&gt;0,"train + test","train only")),IF(R56&gt;0,"test only (unknown class)",IF(K56&gt;0,"site extract only","no usable audio")))</f>
        <v>train + val + test</v>
      </c>
      <c r="Y56" s="15" t="str">
        <f aca="false">IF($P56=0,"",IF($E56="nonbird",$B56,IF($G56="yes",$B56,"other bird")))</f>
        <v>other bird</v>
      </c>
      <c r="Z56" s="15" t="str">
        <f aca="false">IF(AND($F56="core",$P56&gt;0),$B56,"")</f>
        <v>Graceful Black-throated Trogon</v>
      </c>
      <c r="AA56" s="15" t="str">
        <f aca="false">IF($P56&gt;0,$B56,"")</f>
        <v>Graceful Black-throated Trogon</v>
      </c>
      <c r="AB56" s="15" t="n">
        <v>17</v>
      </c>
      <c r="AC56" s="15" t="n">
        <v>13</v>
      </c>
      <c r="AD56" s="17" t="n">
        <f aca="false">IF(COUNTIFS(Clips!$F:$F,$B56,Clips!$M:$M,"&gt;0",Clips!$C:$C,"&lt;&gt;excluded")=0,"",AVERAGEIFS(Clips!$M:$M,Clips!$F:$F,$B56,Clips!$M:$M,"&gt;0",Clips!$C:$C,"&lt;&gt;excluded"))</f>
        <v>2.72076923076923</v>
      </c>
      <c r="AE56" s="15" t="n">
        <f aca="false">COUNTIFS(Clips!$F:$F,$B56,Clips!$O:$O,"&lt;&gt;",Clips!$B:$B,"&lt;&gt;site",Clips!$C:$C,"&lt;&gt;excluded")</f>
        <v>3</v>
      </c>
      <c r="AF56" s="15" t="n">
        <f aca="false">COUNTIFS(Clips!$F:$F,$B56,Clips!$I:$I,"&lt;5",Clips!$C:$C,"&lt;&gt;excluded")</f>
        <v>0</v>
      </c>
      <c r="AG56" s="5"/>
    </row>
    <row r="57" customFormat="false" ht="15" hidden="false" customHeight="false" outlineLevel="0" collapsed="false">
      <c r="A57" s="15" t="n">
        <v>124</v>
      </c>
      <c r="B57" s="15" t="s">
        <v>319</v>
      </c>
      <c r="C57" s="15" t="s">
        <v>320</v>
      </c>
      <c r="D57" s="15" t="s">
        <v>321</v>
      </c>
      <c r="E57" s="15" t="s">
        <v>147</v>
      </c>
      <c r="F57" s="15" t="s">
        <v>148</v>
      </c>
      <c r="G57" s="15" t="str">
        <f aca="false">IF(AND($E57="bird",$K57&gt;0),"yes","")</f>
        <v>yes</v>
      </c>
      <c r="H57" s="15" t="s">
        <v>149</v>
      </c>
      <c r="I57" s="15" t="str">
        <f aca="false">IF($E57="bird",IF(COUNTIF('eBird List'!$A:$A,$B57)&gt;0,"yes","no"),"")</f>
        <v>yes</v>
      </c>
      <c r="J57" s="16" t="n">
        <f aca="false">IF(COUNTIF('eBird List'!$A:$A,$B57)=0,"",INDEX('eBird List'!$C:$C,MATCH($B57,'eBird List'!$A:$A,0)))</f>
        <v>0.222659042172981</v>
      </c>
      <c r="K57" s="15" t="n">
        <f aca="false">COUNTIFS(Clips!$B:$B,"site",Clips!$F:$F,$B57)+COUNTIFS(Clips!$B:$B,"site",Clips!$O:$O,"*"&amp;$B57&amp;"*")</f>
        <v>3</v>
      </c>
      <c r="L57" s="15" t="n">
        <f aca="false">COUNTIFS(Clips!$F:$F,$B57,Clips!$B:$B,"macaulay")</f>
        <v>17</v>
      </c>
      <c r="M57" s="15" t="n">
        <f aca="false">COUNTIFS(Clips!$F:$F,$B57,Clips!$B:$B,"xeno-canto")</f>
        <v>0</v>
      </c>
      <c r="N57" s="15" t="n">
        <f aca="false">K57+L57+M57</f>
        <v>20</v>
      </c>
      <c r="O57" s="15" t="n">
        <f aca="false">COUNTIFS(Clips!$F:$F,$B57,Clips!$C:$C,"excluded")</f>
        <v>0</v>
      </c>
      <c r="P57" s="15" t="n">
        <f aca="false">COUNTIFS(Clips!$F:$F,$B57,Clips!$C:$C,"train")</f>
        <v>11</v>
      </c>
      <c r="Q57" s="15" t="n">
        <f aca="false">COUNTIFS(Clips!$F:$F,$B57,Clips!$C:$C,"val")</f>
        <v>3</v>
      </c>
      <c r="R57" s="15" t="n">
        <f aca="false">COUNTIFS(Clips!$F:$F,$B57,Clips!$C:$C,"test")</f>
        <v>3</v>
      </c>
      <c r="S57" s="17" t="n">
        <f aca="false">SUMIFS(Clips!$I:$I,Clips!$F:$F,$B57,Clips!$C:$C,"train")/60</f>
        <v>13.1157833333333</v>
      </c>
      <c r="T57" s="17" t="n">
        <f aca="false">SUMIFS(Clips!$I:$I,Clips!$F:$F,$B57,Clips!$C:$C,"val")/60</f>
        <v>2.49998333333333</v>
      </c>
      <c r="U57" s="17" t="n">
        <f aca="false">SUMIFS(Clips!$I:$I,Clips!$F:$F,$B57,Clips!$C:$C,"test")/60</f>
        <v>7.32726666666667</v>
      </c>
      <c r="V57" s="15" t="n">
        <f aca="false">SUMIFS(Clips!$J:$J,Clips!$F:$F,$B57,Clips!$C:$C,"train")</f>
        <v>161</v>
      </c>
      <c r="W57" s="18" t="n">
        <f aca="false">IF(V57=0,"",Splits!$B$49/(Splits!$B$50*V57))</f>
        <v>0.967860072659088</v>
      </c>
      <c r="X57" s="15" t="str">
        <f aca="false">IF(P57&gt;0,IF(AND(Q57&gt;0,R57&gt;0),"train + val + test",IF(R57&gt;0,"train + test","train only")),IF(R57&gt;0,"test only (unknown class)",IF(K57&gt;0,"site extract only","no usable audio")))</f>
        <v>train + val + test</v>
      </c>
      <c r="Y57" s="15" t="str">
        <f aca="false">IF($P57=0,"",IF($E57="nonbird",$B57,IF($G57="yes",$B57,"other bird")))</f>
        <v>Mealy Amazon</v>
      </c>
      <c r="Z57" s="15" t="str">
        <f aca="false">IF(AND($F57="core",$P57&gt;0),$B57,"")</f>
        <v>Mealy Amazon</v>
      </c>
      <c r="AA57" s="15" t="str">
        <f aca="false">IF($P57&gt;0,$B57,"")</f>
        <v>Mealy Amazon</v>
      </c>
      <c r="AB57" s="15" t="n">
        <v>17</v>
      </c>
      <c r="AC57" s="15" t="n">
        <v>14</v>
      </c>
      <c r="AD57" s="17" t="n">
        <f aca="false">IF(COUNTIFS(Clips!$F:$F,$B57,Clips!$M:$M,"&gt;0",Clips!$C:$C,"&lt;&gt;excluded")=0,"",AVERAGEIFS(Clips!$M:$M,Clips!$F:$F,$B57,Clips!$M:$M,"&gt;0",Clips!$C:$C,"&lt;&gt;excluded"))</f>
        <v>3.36166666666667</v>
      </c>
      <c r="AE57" s="15" t="n">
        <f aca="false">COUNTIFS(Clips!$F:$F,$B57,Clips!$O:$O,"&lt;&gt;",Clips!$B:$B,"&lt;&gt;site",Clips!$C:$C,"&lt;&gt;excluded")</f>
        <v>2</v>
      </c>
      <c r="AF57" s="15" t="n">
        <f aca="false">COUNTIFS(Clips!$F:$F,$B57,Clips!$I:$I,"&lt;5",Clips!$C:$C,"&lt;&gt;excluded")</f>
        <v>0</v>
      </c>
      <c r="AG57" s="5" t="s">
        <v>322</v>
      </c>
    </row>
    <row r="58" customFormat="false" ht="15" hidden="false" customHeight="false" outlineLevel="0" collapsed="false">
      <c r="A58" s="15" t="n">
        <v>189</v>
      </c>
      <c r="B58" s="15" t="s">
        <v>323</v>
      </c>
      <c r="C58" s="15" t="s">
        <v>324</v>
      </c>
      <c r="D58" s="15" t="s">
        <v>325</v>
      </c>
      <c r="E58" s="15" t="s">
        <v>147</v>
      </c>
      <c r="F58" s="15" t="s">
        <v>148</v>
      </c>
      <c r="G58" s="15" t="str">
        <f aca="false">IF(AND($E58="bird",$K58&gt;0),"yes","")</f>
        <v/>
      </c>
      <c r="H58" s="15"/>
      <c r="I58" s="15" t="str">
        <f aca="false">IF($E58="bird",IF(COUNTIF('eBird List'!$A:$A,$B58)&gt;0,"yes","no"),"")</f>
        <v>yes</v>
      </c>
      <c r="J58" s="16" t="n">
        <f aca="false">IF(COUNTIF('eBird List'!$A:$A,$B58)=0,"",INDEX('eBird List'!$C:$C,MATCH($B58,'eBird List'!$A:$A,0)))</f>
        <v>0.427865141767929</v>
      </c>
      <c r="K58" s="15" t="n">
        <f aca="false">COUNTIFS(Clips!$B:$B,"site",Clips!$F:$F,$B58)+COUNTIFS(Clips!$B:$B,"site",Clips!$O:$O,"*"&amp;$B58&amp;"*")</f>
        <v>0</v>
      </c>
      <c r="L58" s="15" t="n">
        <f aca="false">COUNTIFS(Clips!$F:$F,$B58,Clips!$B:$B,"macaulay")</f>
        <v>18</v>
      </c>
      <c r="M58" s="15" t="n">
        <f aca="false">COUNTIFS(Clips!$F:$F,$B58,Clips!$B:$B,"xeno-canto")</f>
        <v>0</v>
      </c>
      <c r="N58" s="15" t="n">
        <f aca="false">K58+L58+M58</f>
        <v>18</v>
      </c>
      <c r="O58" s="15" t="n">
        <f aca="false">COUNTIFS(Clips!$F:$F,$B58,Clips!$C:$C,"excluded")</f>
        <v>1</v>
      </c>
      <c r="P58" s="15" t="n">
        <f aca="false">COUNTIFS(Clips!$F:$F,$B58,Clips!$C:$C,"train")</f>
        <v>11</v>
      </c>
      <c r="Q58" s="15" t="n">
        <f aca="false">COUNTIFS(Clips!$F:$F,$B58,Clips!$C:$C,"val")</f>
        <v>3</v>
      </c>
      <c r="R58" s="15" t="n">
        <f aca="false">COUNTIFS(Clips!$F:$F,$B58,Clips!$C:$C,"test")</f>
        <v>3</v>
      </c>
      <c r="S58" s="17" t="n">
        <f aca="false">SUMIFS(Clips!$I:$I,Clips!$F:$F,$B58,Clips!$C:$C,"train")/60</f>
        <v>4.83911666666667</v>
      </c>
      <c r="T58" s="17" t="n">
        <f aca="false">SUMIFS(Clips!$I:$I,Clips!$F:$F,$B58,Clips!$C:$C,"val")/60</f>
        <v>2.72195</v>
      </c>
      <c r="U58" s="17" t="n">
        <f aca="false">SUMIFS(Clips!$I:$I,Clips!$F:$F,$B58,Clips!$C:$C,"test")/60</f>
        <v>6.18048333333333</v>
      </c>
      <c r="V58" s="15" t="n">
        <f aca="false">SUMIFS(Clips!$J:$J,Clips!$F:$F,$B58,Clips!$C:$C,"train")</f>
        <v>63</v>
      </c>
      <c r="W58" s="18" t="n">
        <f aca="false">IF(V58=0,"",Splits!$B$49/(Splits!$B$50*V58))</f>
        <v>2.47342018568434</v>
      </c>
      <c r="X58" s="15" t="str">
        <f aca="false">IF(P58&gt;0,IF(AND(Q58&gt;0,R58&gt;0),"train + val + test",IF(R58&gt;0,"train + test","train only")),IF(R58&gt;0,"test only (unknown class)",IF(K58&gt;0,"site extract only","no usable audio")))</f>
        <v>train + val + test</v>
      </c>
      <c r="Y58" s="15" t="str">
        <f aca="false">IF($P58=0,"",IF($E58="nonbird",$B58,IF($G58="yes",$B58,"other bird")))</f>
        <v>other bird</v>
      </c>
      <c r="Z58" s="15" t="str">
        <f aca="false">IF(AND($F58="core",$P58&gt;0),$B58,"")</f>
        <v>Social Flycatcher</v>
      </c>
      <c r="AA58" s="15" t="str">
        <f aca="false">IF($P58&gt;0,$B58,"")</f>
        <v>Social Flycatcher</v>
      </c>
      <c r="AB58" s="15" t="n">
        <v>17</v>
      </c>
      <c r="AC58" s="15" t="n">
        <v>11</v>
      </c>
      <c r="AD58" s="17" t="n">
        <f aca="false">IF(COUNTIFS(Clips!$F:$F,$B58,Clips!$M:$M,"&gt;0",Clips!$C:$C,"&lt;&gt;excluded")=0,"",AVERAGEIFS(Clips!$M:$M,Clips!$F:$F,$B58,Clips!$M:$M,"&gt;0",Clips!$C:$C,"&lt;&gt;excluded"))</f>
        <v>3.53333333333333</v>
      </c>
      <c r="AE58" s="15" t="n">
        <f aca="false">COUNTIFS(Clips!$F:$F,$B58,Clips!$O:$O,"&lt;&gt;",Clips!$B:$B,"&lt;&gt;site",Clips!$C:$C,"&lt;&gt;excluded")</f>
        <v>3</v>
      </c>
      <c r="AF58" s="15" t="n">
        <f aca="false">COUNTIFS(Clips!$F:$F,$B58,Clips!$I:$I,"&lt;5",Clips!$C:$C,"&lt;&gt;excluded")</f>
        <v>3</v>
      </c>
      <c r="AG58" s="5"/>
    </row>
    <row r="59" customFormat="false" ht="15" hidden="false" customHeight="false" outlineLevel="0" collapsed="false">
      <c r="A59" s="15" t="n">
        <v>57</v>
      </c>
      <c r="B59" s="15" t="s">
        <v>326</v>
      </c>
      <c r="C59" s="15" t="s">
        <v>327</v>
      </c>
      <c r="D59" s="15" t="s">
        <v>328</v>
      </c>
      <c r="E59" s="15" t="s">
        <v>147</v>
      </c>
      <c r="F59" s="15" t="s">
        <v>148</v>
      </c>
      <c r="G59" s="15" t="str">
        <f aca="false">IF(AND($E59="bird",$K59&gt;0),"yes","")</f>
        <v/>
      </c>
      <c r="H59" s="15"/>
      <c r="I59" s="15" t="str">
        <f aca="false">IF($E59="bird",IF(COUNTIF('eBird List'!$A:$A,$B59)&gt;0,"yes","no"),"")</f>
        <v>yes</v>
      </c>
      <c r="J59" s="16" t="n">
        <f aca="false">IF(COUNTIF('eBird List'!$A:$A,$B59)=0,"",INDEX('eBird List'!$C:$C,MATCH($B59,'eBird List'!$A:$A,0)))</f>
        <v>0.44639027877055</v>
      </c>
      <c r="K59" s="15" t="n">
        <f aca="false">COUNTIFS(Clips!$B:$B,"site",Clips!$F:$F,$B59)+COUNTIFS(Clips!$B:$B,"site",Clips!$O:$O,"*"&amp;$B59&amp;"*")</f>
        <v>0</v>
      </c>
      <c r="L59" s="15" t="n">
        <f aca="false">COUNTIFS(Clips!$F:$F,$B59,Clips!$B:$B,"macaulay")</f>
        <v>15</v>
      </c>
      <c r="M59" s="15" t="n">
        <f aca="false">COUNTIFS(Clips!$F:$F,$B59,Clips!$B:$B,"xeno-canto")</f>
        <v>1</v>
      </c>
      <c r="N59" s="15" t="n">
        <f aca="false">K59+L59+M59</f>
        <v>16</v>
      </c>
      <c r="O59" s="15" t="n">
        <f aca="false">COUNTIFS(Clips!$F:$F,$B59,Clips!$C:$C,"excluded")</f>
        <v>0</v>
      </c>
      <c r="P59" s="15" t="n">
        <f aca="false">COUNTIFS(Clips!$F:$F,$B59,Clips!$C:$C,"train")</f>
        <v>12</v>
      </c>
      <c r="Q59" s="15" t="n">
        <f aca="false">COUNTIFS(Clips!$F:$F,$B59,Clips!$C:$C,"val")</f>
        <v>2</v>
      </c>
      <c r="R59" s="15" t="n">
        <f aca="false">COUNTIFS(Clips!$F:$F,$B59,Clips!$C:$C,"test")</f>
        <v>2</v>
      </c>
      <c r="S59" s="17" t="n">
        <f aca="false">SUMIFS(Clips!$I:$I,Clips!$F:$F,$B59,Clips!$C:$C,"train")/60</f>
        <v>8.15956666666667</v>
      </c>
      <c r="T59" s="17" t="n">
        <f aca="false">SUMIFS(Clips!$I:$I,Clips!$F:$F,$B59,Clips!$C:$C,"val")/60</f>
        <v>0.694916666666667</v>
      </c>
      <c r="U59" s="17" t="n">
        <f aca="false">SUMIFS(Clips!$I:$I,Clips!$F:$F,$B59,Clips!$C:$C,"test")/60</f>
        <v>1.49941666666667</v>
      </c>
      <c r="V59" s="15" t="n">
        <f aca="false">SUMIFS(Clips!$J:$J,Clips!$F:$F,$B59,Clips!$C:$C,"train")</f>
        <v>104</v>
      </c>
      <c r="W59" s="18" t="n">
        <f aca="false">IF(V59=0,"",Splits!$B$49/(Splits!$B$50*V59))</f>
        <v>1.49832184325109</v>
      </c>
      <c r="X59" s="15" t="str">
        <f aca="false">IF(P59&gt;0,IF(AND(Q59&gt;0,R59&gt;0),"train + val + test",IF(R59&gt;0,"train + test","train only")),IF(R59&gt;0,"test only (unknown class)",IF(K59&gt;0,"site extract only","no usable audio")))</f>
        <v>train + val + test</v>
      </c>
      <c r="Y59" s="15" t="str">
        <f aca="false">IF($P59=0,"",IF($E59="nonbird",$B59,IF($G59="yes",$B59,"other bird")))</f>
        <v>other bird</v>
      </c>
      <c r="Z59" s="15" t="str">
        <f aca="false">IF(AND($F59="core",$P59&gt;0),$B59,"")</f>
        <v>Clay-colored Thrush</v>
      </c>
      <c r="AA59" s="15" t="str">
        <f aca="false">IF($P59&gt;0,$B59,"")</f>
        <v>Clay-colored Thrush</v>
      </c>
      <c r="AB59" s="15" t="n">
        <v>16</v>
      </c>
      <c r="AC59" s="15" t="n">
        <v>12</v>
      </c>
      <c r="AD59" s="17" t="n">
        <f aca="false">IF(COUNTIFS(Clips!$F:$F,$B59,Clips!$M:$M,"&gt;0",Clips!$C:$C,"&lt;&gt;excluded")=0,"",AVERAGEIFS(Clips!$M:$M,Clips!$F:$F,$B59,Clips!$M:$M,"&gt;0",Clips!$C:$C,"&lt;&gt;excluded"))</f>
        <v>3.37</v>
      </c>
      <c r="AE59" s="15" t="n">
        <f aca="false">COUNTIFS(Clips!$F:$F,$B59,Clips!$O:$O,"&lt;&gt;",Clips!$B:$B,"&lt;&gt;site",Clips!$C:$C,"&lt;&gt;excluded")</f>
        <v>1</v>
      </c>
      <c r="AF59" s="15" t="n">
        <f aca="false">COUNTIFS(Clips!$F:$F,$B59,Clips!$I:$I,"&lt;5",Clips!$C:$C,"&lt;&gt;excluded")</f>
        <v>0</v>
      </c>
      <c r="AG59" s="5"/>
    </row>
    <row r="60" customFormat="false" ht="15" hidden="false" customHeight="false" outlineLevel="0" collapsed="false">
      <c r="A60" s="15" t="n">
        <v>116</v>
      </c>
      <c r="B60" s="15" t="s">
        <v>329</v>
      </c>
      <c r="C60" s="15" t="s">
        <v>330</v>
      </c>
      <c r="D60" s="15" t="s">
        <v>331</v>
      </c>
      <c r="E60" s="15" t="s">
        <v>147</v>
      </c>
      <c r="F60" s="15" t="s">
        <v>148</v>
      </c>
      <c r="G60" s="15" t="str">
        <f aca="false">IF(AND($E60="bird",$K60&gt;0),"yes","")</f>
        <v>yes</v>
      </c>
      <c r="H60" s="15" t="s">
        <v>149</v>
      </c>
      <c r="I60" s="15" t="str">
        <f aca="false">IF($E60="bird",IF(COUNTIF('eBird List'!$A:$A,$B60)&gt;0,"yes","no"),"")</f>
        <v>yes</v>
      </c>
      <c r="J60" s="16" t="n">
        <f aca="false">IF(COUNTIF('eBird List'!$A:$A,$B60)=0,"",INDEX('eBird List'!$C:$C,MATCH($B60,'eBird List'!$A:$A,0)))</f>
        <v>0.228347629258995</v>
      </c>
      <c r="K60" s="15" t="n">
        <f aca="false">COUNTIFS(Clips!$B:$B,"site",Clips!$F:$F,$B60)+COUNTIFS(Clips!$B:$B,"site",Clips!$O:$O,"*"&amp;$B60&amp;"*")</f>
        <v>2</v>
      </c>
      <c r="L60" s="15" t="n">
        <f aca="false">COUNTIFS(Clips!$F:$F,$B60,Clips!$B:$B,"macaulay")</f>
        <v>15</v>
      </c>
      <c r="M60" s="15" t="n">
        <f aca="false">COUNTIFS(Clips!$F:$F,$B60,Clips!$B:$B,"xeno-canto")</f>
        <v>1</v>
      </c>
      <c r="N60" s="15" t="n">
        <f aca="false">K60+L60+M60</f>
        <v>18</v>
      </c>
      <c r="O60" s="15" t="n">
        <f aca="false">COUNTIFS(Clips!$F:$F,$B60,Clips!$C:$C,"excluded")</f>
        <v>0</v>
      </c>
      <c r="P60" s="15" t="n">
        <f aca="false">COUNTIFS(Clips!$F:$F,$B60,Clips!$C:$C,"train")</f>
        <v>12</v>
      </c>
      <c r="Q60" s="15" t="n">
        <f aca="false">COUNTIFS(Clips!$F:$F,$B60,Clips!$C:$C,"val")</f>
        <v>2</v>
      </c>
      <c r="R60" s="15" t="n">
        <f aca="false">COUNTIFS(Clips!$F:$F,$B60,Clips!$C:$C,"test")</f>
        <v>2</v>
      </c>
      <c r="S60" s="17" t="n">
        <f aca="false">SUMIFS(Clips!$I:$I,Clips!$F:$F,$B60,Clips!$C:$C,"train")/60</f>
        <v>3.97391666666667</v>
      </c>
      <c r="T60" s="17" t="n">
        <f aca="false">SUMIFS(Clips!$I:$I,Clips!$F:$F,$B60,Clips!$C:$C,"val")/60</f>
        <v>1.7774</v>
      </c>
      <c r="U60" s="17" t="n">
        <f aca="false">SUMIFS(Clips!$I:$I,Clips!$F:$F,$B60,Clips!$C:$C,"test")/60</f>
        <v>1.7647</v>
      </c>
      <c r="V60" s="15" t="n">
        <f aca="false">SUMIFS(Clips!$J:$J,Clips!$F:$F,$B60,Clips!$C:$C,"train")</f>
        <v>53</v>
      </c>
      <c r="W60" s="18" t="n">
        <f aca="false">IF(V60=0,"",Splits!$B$49/(Splits!$B$50*V60))</f>
        <v>2.94010323958704</v>
      </c>
      <c r="X60" s="15" t="str">
        <f aca="false">IF(P60&gt;0,IF(AND(Q60&gt;0,R60&gt;0),"train + val + test",IF(R60&gt;0,"train + test","train only")),IF(R60&gt;0,"test only (unknown class)",IF(K60&gt;0,"site extract only","no usable audio")))</f>
        <v>train + val + test</v>
      </c>
      <c r="Y60" s="15" t="str">
        <f aca="false">IF($P60=0,"",IF($E60="nonbird",$B60,IF($G60="yes",$B60,"other bird")))</f>
        <v>Lesser Greenlet</v>
      </c>
      <c r="Z60" s="15" t="str">
        <f aca="false">IF(AND($F60="core",$P60&gt;0),$B60,"")</f>
        <v>Lesser Greenlet</v>
      </c>
      <c r="AA60" s="15" t="str">
        <f aca="false">IF($P60&gt;0,$B60,"")</f>
        <v>Lesser Greenlet</v>
      </c>
      <c r="AB60" s="15" t="n">
        <v>15</v>
      </c>
      <c r="AC60" s="15" t="n">
        <v>13</v>
      </c>
      <c r="AD60" s="17" t="n">
        <f aca="false">IF(COUNTIFS(Clips!$F:$F,$B60,Clips!$M:$M,"&gt;0",Clips!$C:$C,"&lt;&gt;excluded")=0,"",AVERAGEIFS(Clips!$M:$M,Clips!$F:$F,$B60,Clips!$M:$M,"&gt;0",Clips!$C:$C,"&lt;&gt;excluded"))</f>
        <v>3.20833333333333</v>
      </c>
      <c r="AE60" s="15" t="n">
        <f aca="false">COUNTIFS(Clips!$F:$F,$B60,Clips!$O:$O,"&lt;&gt;",Clips!$B:$B,"&lt;&gt;site",Clips!$C:$C,"&lt;&gt;excluded")</f>
        <v>2</v>
      </c>
      <c r="AF60" s="15" t="n">
        <f aca="false">COUNTIFS(Clips!$F:$F,$B60,Clips!$I:$I,"&lt;5",Clips!$C:$C,"&lt;&gt;excluded")</f>
        <v>4</v>
      </c>
      <c r="AG60" s="5"/>
    </row>
    <row r="61" customFormat="false" ht="15" hidden="false" customHeight="false" outlineLevel="0" collapsed="false">
      <c r="A61" s="15" t="n">
        <v>118</v>
      </c>
      <c r="B61" s="15" t="s">
        <v>332</v>
      </c>
      <c r="C61" s="15" t="s">
        <v>333</v>
      </c>
      <c r="D61" s="15" t="s">
        <v>334</v>
      </c>
      <c r="E61" s="15" t="s">
        <v>147</v>
      </c>
      <c r="F61" s="15" t="s">
        <v>148</v>
      </c>
      <c r="G61" s="15" t="str">
        <f aca="false">IF(AND($E61="bird",$K61&gt;0),"yes","")</f>
        <v/>
      </c>
      <c r="H61" s="15"/>
      <c r="I61" s="15" t="str">
        <f aca="false">IF($E61="bird",IF(COUNTIF('eBird List'!$A:$A,$B61)&gt;0,"yes","no"),"")</f>
        <v>yes</v>
      </c>
      <c r="J61" s="16" t="n">
        <f aca="false">IF(COUNTIF('eBird List'!$A:$A,$B61)=0,"",INDEX('eBird List'!$C:$C,MATCH($B61,'eBird List'!$A:$A,0)))</f>
        <v>0.0816356921610674</v>
      </c>
      <c r="K61" s="15" t="n">
        <f aca="false">COUNTIFS(Clips!$B:$B,"site",Clips!$F:$F,$B61)+COUNTIFS(Clips!$B:$B,"site",Clips!$O:$O,"*"&amp;$B61&amp;"*")</f>
        <v>0</v>
      </c>
      <c r="L61" s="15" t="n">
        <f aca="false">COUNTIFS(Clips!$F:$F,$B61,Clips!$B:$B,"macaulay")</f>
        <v>16</v>
      </c>
      <c r="M61" s="15" t="n">
        <f aca="false">COUNTIFS(Clips!$F:$F,$B61,Clips!$B:$B,"xeno-canto")</f>
        <v>0</v>
      </c>
      <c r="N61" s="15" t="n">
        <f aca="false">K61+L61+M61</f>
        <v>16</v>
      </c>
      <c r="O61" s="15" t="n">
        <f aca="false">COUNTIFS(Clips!$F:$F,$B61,Clips!$C:$C,"excluded")</f>
        <v>0</v>
      </c>
      <c r="P61" s="15" t="n">
        <f aca="false">COUNTIFS(Clips!$F:$F,$B61,Clips!$C:$C,"train")</f>
        <v>12</v>
      </c>
      <c r="Q61" s="15" t="n">
        <f aca="false">COUNTIFS(Clips!$F:$F,$B61,Clips!$C:$C,"val")</f>
        <v>2</v>
      </c>
      <c r="R61" s="15" t="n">
        <f aca="false">COUNTIFS(Clips!$F:$F,$B61,Clips!$C:$C,"test")</f>
        <v>2</v>
      </c>
      <c r="S61" s="17" t="n">
        <f aca="false">SUMIFS(Clips!$I:$I,Clips!$F:$F,$B61,Clips!$C:$C,"train")/60</f>
        <v>3.79068333333333</v>
      </c>
      <c r="T61" s="17" t="n">
        <f aca="false">SUMIFS(Clips!$I:$I,Clips!$F:$F,$B61,Clips!$C:$C,"val")/60</f>
        <v>0.357283333333333</v>
      </c>
      <c r="U61" s="17" t="n">
        <f aca="false">SUMIFS(Clips!$I:$I,Clips!$F:$F,$B61,Clips!$C:$C,"test")/60</f>
        <v>0.207833333333333</v>
      </c>
      <c r="V61" s="15" t="n">
        <f aca="false">SUMIFS(Clips!$J:$J,Clips!$F:$F,$B61,Clips!$C:$C,"train")</f>
        <v>51</v>
      </c>
      <c r="W61" s="18" t="n">
        <f aca="false">IF(V61=0,"",Splits!$B$49/(Splits!$B$50*V61))</f>
        <v>3.05540140584536</v>
      </c>
      <c r="X61" s="15" t="str">
        <f aca="false">IF(P61&gt;0,IF(AND(Q61&gt;0,R61&gt;0),"train + val + test",IF(R61&gt;0,"train + test","train only")),IF(R61&gt;0,"test only (unknown class)",IF(K61&gt;0,"site extract only","no usable audio")))</f>
        <v>train + val + test</v>
      </c>
      <c r="Y61" s="15" t="str">
        <f aca="false">IF($P61=0,"",IF($E61="nonbird",$B61,IF($G61="yes",$B61,"other bird")))</f>
        <v>other bird</v>
      </c>
      <c r="Z61" s="15" t="str">
        <f aca="false">IF(AND($F61="core",$P61&gt;0),$B61,"")</f>
        <v>Long-billed Gnatwren</v>
      </c>
      <c r="AA61" s="15" t="str">
        <f aca="false">IF($P61&gt;0,$B61,"")</f>
        <v>Long-billed Gnatwren</v>
      </c>
      <c r="AB61" s="15" t="n">
        <v>15</v>
      </c>
      <c r="AC61" s="15" t="n">
        <v>13</v>
      </c>
      <c r="AD61" s="17" t="n">
        <f aca="false">IF(COUNTIFS(Clips!$F:$F,$B61,Clips!$M:$M,"&gt;0",Clips!$C:$C,"&lt;&gt;excluded")=0,"",AVERAGEIFS(Clips!$M:$M,Clips!$F:$F,$B61,Clips!$M:$M,"&gt;0",Clips!$C:$C,"&lt;&gt;excluded"))</f>
        <v>3.5</v>
      </c>
      <c r="AE61" s="15" t="n">
        <f aca="false">COUNTIFS(Clips!$F:$F,$B61,Clips!$O:$O,"&lt;&gt;",Clips!$B:$B,"&lt;&gt;site",Clips!$C:$C,"&lt;&gt;excluded")</f>
        <v>1</v>
      </c>
      <c r="AF61" s="15" t="n">
        <f aca="false">COUNTIFS(Clips!$F:$F,$B61,Clips!$I:$I,"&lt;5",Clips!$C:$C,"&lt;&gt;excluded")</f>
        <v>4</v>
      </c>
      <c r="AG61" s="5"/>
    </row>
    <row r="62" customFormat="false" ht="15" hidden="false" customHeight="false" outlineLevel="0" collapsed="false">
      <c r="A62" s="15" t="n">
        <v>27</v>
      </c>
      <c r="B62" s="15" t="s">
        <v>335</v>
      </c>
      <c r="C62" s="15" t="s">
        <v>336</v>
      </c>
      <c r="D62" s="15" t="s">
        <v>337</v>
      </c>
      <c r="E62" s="15" t="s">
        <v>147</v>
      </c>
      <c r="F62" s="15" t="s">
        <v>148</v>
      </c>
      <c r="G62" s="15" t="str">
        <f aca="false">IF(AND($E62="bird",$K62&gt;0),"yes","")</f>
        <v/>
      </c>
      <c r="H62" s="15"/>
      <c r="I62" s="15" t="str">
        <f aca="false">IF($E62="bird",IF(COUNTIF('eBird List'!$A:$A,$B62)&gt;0,"yes","no"),"")</f>
        <v>yes</v>
      </c>
      <c r="J62" s="16" t="n">
        <f aca="false">IF(COUNTIF('eBird List'!$A:$A,$B62)=0,"",INDEX('eBird List'!$C:$C,MATCH($B62,'eBird List'!$A:$A,0)))</f>
        <v>0.0430664760543245</v>
      </c>
      <c r="K62" s="15" t="n">
        <f aca="false">COUNTIFS(Clips!$B:$B,"site",Clips!$F:$F,$B62)+COUNTIFS(Clips!$B:$B,"site",Clips!$O:$O,"*"&amp;$B62&amp;"*")</f>
        <v>0</v>
      </c>
      <c r="L62" s="15" t="n">
        <f aca="false">COUNTIFS(Clips!$F:$F,$B62,Clips!$B:$B,"macaulay")</f>
        <v>12</v>
      </c>
      <c r="M62" s="15" t="n">
        <f aca="false">COUNTIFS(Clips!$F:$F,$B62,Clips!$B:$B,"xeno-canto")</f>
        <v>2</v>
      </c>
      <c r="N62" s="15" t="n">
        <f aca="false">K62+L62+M62</f>
        <v>14</v>
      </c>
      <c r="O62" s="15" t="n">
        <f aca="false">COUNTIFS(Clips!$F:$F,$B62,Clips!$C:$C,"excluded")</f>
        <v>0</v>
      </c>
      <c r="P62" s="15" t="n">
        <f aca="false">COUNTIFS(Clips!$F:$F,$B62,Clips!$C:$C,"train")</f>
        <v>10</v>
      </c>
      <c r="Q62" s="15" t="n">
        <f aca="false">COUNTIFS(Clips!$F:$F,$B62,Clips!$C:$C,"val")</f>
        <v>2</v>
      </c>
      <c r="R62" s="15" t="n">
        <f aca="false">COUNTIFS(Clips!$F:$F,$B62,Clips!$C:$C,"test")</f>
        <v>2</v>
      </c>
      <c r="S62" s="17" t="n">
        <f aca="false">SUMIFS(Clips!$I:$I,Clips!$F:$F,$B62,Clips!$C:$C,"train")/60</f>
        <v>14.04595</v>
      </c>
      <c r="T62" s="17" t="n">
        <f aca="false">SUMIFS(Clips!$I:$I,Clips!$F:$F,$B62,Clips!$C:$C,"val")/60</f>
        <v>3.27035</v>
      </c>
      <c r="U62" s="17" t="n">
        <f aca="false">SUMIFS(Clips!$I:$I,Clips!$F:$F,$B62,Clips!$C:$C,"test")/60</f>
        <v>5.52385</v>
      </c>
      <c r="V62" s="15" t="n">
        <f aca="false">SUMIFS(Clips!$J:$J,Clips!$F:$F,$B62,Clips!$C:$C,"train")</f>
        <v>174</v>
      </c>
      <c r="W62" s="18" t="n">
        <f aca="false">IF(V62=0,"",Splits!$B$49/(Splits!$B$50*V62))</f>
        <v>0.895548687920191</v>
      </c>
      <c r="X62" s="15" t="str">
        <f aca="false">IF(P62&gt;0,IF(AND(Q62&gt;0,R62&gt;0),"train + val + test",IF(R62&gt;0,"train + test","train only")),IF(R62&gt;0,"test only (unknown class)",IF(K62&gt;0,"site extract only","no usable audio")))</f>
        <v>train + val + test</v>
      </c>
      <c r="Y62" s="15" t="str">
        <f aca="false">IF($P62=0,"",IF($E62="nonbird",$B62,IF($G62="yes",$B62,"other bird")))</f>
        <v>other bird</v>
      </c>
      <c r="Z62" s="15" t="str">
        <f aca="false">IF(AND($F62="core",$P62&gt;0),$B62,"")</f>
        <v>Black-striped Sparrow</v>
      </c>
      <c r="AA62" s="15" t="str">
        <f aca="false">IF($P62&gt;0,$B62,"")</f>
        <v>Black-striped Sparrow</v>
      </c>
      <c r="AB62" s="15" t="n">
        <v>11</v>
      </c>
      <c r="AC62" s="15" t="n">
        <v>5</v>
      </c>
      <c r="AD62" s="17" t="n">
        <f aca="false">IF(COUNTIFS(Clips!$F:$F,$B62,Clips!$M:$M,"&gt;0",Clips!$C:$C,"&lt;&gt;excluded")=0,"",AVERAGEIFS(Clips!$M:$M,Clips!$F:$F,$B62,Clips!$M:$M,"&gt;0",Clips!$C:$C,"&lt;&gt;excluded"))</f>
        <v>3.27272727272727</v>
      </c>
      <c r="AE62" s="15" t="n">
        <f aca="false">COUNTIFS(Clips!$F:$F,$B62,Clips!$O:$O,"&lt;&gt;",Clips!$B:$B,"&lt;&gt;site",Clips!$C:$C,"&lt;&gt;excluded")</f>
        <v>0</v>
      </c>
      <c r="AF62" s="15" t="n">
        <f aca="false">COUNTIFS(Clips!$F:$F,$B62,Clips!$I:$I,"&lt;5",Clips!$C:$C,"&lt;&gt;excluded")</f>
        <v>0</v>
      </c>
      <c r="AG62" s="5"/>
    </row>
    <row r="63" customFormat="false" ht="15" hidden="false" customHeight="false" outlineLevel="0" collapsed="false">
      <c r="A63" s="15" t="n">
        <v>121</v>
      </c>
      <c r="B63" s="15" t="s">
        <v>338</v>
      </c>
      <c r="C63" s="15" t="s">
        <v>339</v>
      </c>
      <c r="D63" s="15" t="s">
        <v>340</v>
      </c>
      <c r="E63" s="15" t="s">
        <v>147</v>
      </c>
      <c r="F63" s="15" t="s">
        <v>148</v>
      </c>
      <c r="G63" s="15" t="str">
        <f aca="false">IF(AND($E63="bird",$K63&gt;0),"yes","")</f>
        <v/>
      </c>
      <c r="H63" s="15"/>
      <c r="I63" s="15" t="str">
        <f aca="false">IF($E63="bird",IF(COUNTIF('eBird List'!$A:$A,$B63)&gt;0,"yes","no"),"")</f>
        <v>yes</v>
      </c>
      <c r="J63" s="16" t="n">
        <f aca="false">IF(COUNTIF('eBird List'!$A:$A,$B63)=0,"",INDEX('eBird List'!$C:$C,MATCH($B63,'eBird List'!$A:$A,0)))</f>
        <v>0.160710030974506</v>
      </c>
      <c r="K63" s="15" t="n">
        <f aca="false">COUNTIFS(Clips!$B:$B,"site",Clips!$F:$F,$B63)+COUNTIFS(Clips!$B:$B,"site",Clips!$O:$O,"*"&amp;$B63&amp;"*")</f>
        <v>0</v>
      </c>
      <c r="L63" s="15" t="n">
        <f aca="false">COUNTIFS(Clips!$F:$F,$B63,Clips!$B:$B,"macaulay")</f>
        <v>14</v>
      </c>
      <c r="M63" s="15" t="n">
        <f aca="false">COUNTIFS(Clips!$F:$F,$B63,Clips!$B:$B,"xeno-canto")</f>
        <v>0</v>
      </c>
      <c r="N63" s="15" t="n">
        <f aca="false">K63+L63+M63</f>
        <v>14</v>
      </c>
      <c r="O63" s="15" t="n">
        <f aca="false">COUNTIFS(Clips!$F:$F,$B63,Clips!$C:$C,"excluded")</f>
        <v>0</v>
      </c>
      <c r="P63" s="15" t="n">
        <f aca="false">COUNTIFS(Clips!$F:$F,$B63,Clips!$C:$C,"train")</f>
        <v>10</v>
      </c>
      <c r="Q63" s="15" t="n">
        <f aca="false">COUNTIFS(Clips!$F:$F,$B63,Clips!$C:$C,"val")</f>
        <v>2</v>
      </c>
      <c r="R63" s="15" t="n">
        <f aca="false">COUNTIFS(Clips!$F:$F,$B63,Clips!$C:$C,"test")</f>
        <v>2</v>
      </c>
      <c r="S63" s="17" t="n">
        <f aca="false">SUMIFS(Clips!$I:$I,Clips!$F:$F,$B63,Clips!$C:$C,"train")/60</f>
        <v>7.9801</v>
      </c>
      <c r="T63" s="17" t="n">
        <f aca="false">SUMIFS(Clips!$I:$I,Clips!$F:$F,$B63,Clips!$C:$C,"val")/60</f>
        <v>6.05921666666667</v>
      </c>
      <c r="U63" s="17" t="n">
        <f aca="false">SUMIFS(Clips!$I:$I,Clips!$F:$F,$B63,Clips!$C:$C,"test")/60</f>
        <v>4.79095</v>
      </c>
      <c r="V63" s="15" t="n">
        <f aca="false">SUMIFS(Clips!$J:$J,Clips!$F:$F,$B63,Clips!$C:$C,"train")</f>
        <v>101</v>
      </c>
      <c r="W63" s="18" t="n">
        <f aca="false">IF(V63=0,"",Splits!$B$49/(Splits!$B$50*V63))</f>
        <v>1.54282645245657</v>
      </c>
      <c r="X63" s="15" t="str">
        <f aca="false">IF(P63&gt;0,IF(AND(Q63&gt;0,R63&gt;0),"train + val + test",IF(R63&gt;0,"train + test","train only")),IF(R63&gt;0,"test only (unknown class)",IF(K63&gt;0,"site extract only","no usable audio")))</f>
        <v>train + val + test</v>
      </c>
      <c r="Y63" s="15" t="str">
        <f aca="false">IF($P63=0,"",IF($E63="nonbird",$B63,IF($G63="yes",$B63,"other bird")))</f>
        <v>other bird</v>
      </c>
      <c r="Z63" s="15" t="str">
        <f aca="false">IF(AND($F63="core",$P63&gt;0),$B63,"")</f>
        <v>Long-tailed Tyrant</v>
      </c>
      <c r="AA63" s="15" t="str">
        <f aca="false">IF($P63&gt;0,$B63,"")</f>
        <v>Long-tailed Tyrant</v>
      </c>
      <c r="AB63" s="15" t="n">
        <v>13</v>
      </c>
      <c r="AC63" s="15" t="n">
        <v>10</v>
      </c>
      <c r="AD63" s="17" t="n">
        <f aca="false">IF(COUNTIFS(Clips!$F:$F,$B63,Clips!$M:$M,"&gt;0",Clips!$C:$C,"&lt;&gt;excluded")=0,"",AVERAGEIFS(Clips!$M:$M,Clips!$F:$F,$B63,Clips!$M:$M,"&gt;0",Clips!$C:$C,"&lt;&gt;excluded"))</f>
        <v>3.24384615384615</v>
      </c>
      <c r="AE63" s="15" t="n">
        <f aca="false">COUNTIFS(Clips!$F:$F,$B63,Clips!$O:$O,"&lt;&gt;",Clips!$B:$B,"&lt;&gt;site",Clips!$C:$C,"&lt;&gt;excluded")</f>
        <v>1</v>
      </c>
      <c r="AF63" s="15" t="n">
        <f aca="false">COUNTIFS(Clips!$F:$F,$B63,Clips!$I:$I,"&lt;5",Clips!$C:$C,"&lt;&gt;excluded")</f>
        <v>1</v>
      </c>
      <c r="AG63" s="5"/>
    </row>
    <row r="64" customFormat="false" ht="15" hidden="false" customHeight="false" outlineLevel="0" collapsed="false">
      <c r="A64" s="15" t="n">
        <v>194</v>
      </c>
      <c r="B64" s="15" t="s">
        <v>341</v>
      </c>
      <c r="C64" s="15" t="s">
        <v>342</v>
      </c>
      <c r="D64" s="15" t="s">
        <v>343</v>
      </c>
      <c r="E64" s="15" t="s">
        <v>147</v>
      </c>
      <c r="F64" s="15" t="s">
        <v>148</v>
      </c>
      <c r="G64" s="15" t="str">
        <f aca="false">IF(AND($E64="bird",$K64&gt;0),"yes","")</f>
        <v/>
      </c>
      <c r="H64" s="15"/>
      <c r="I64" s="15" t="str">
        <f aca="false">IF($E64="bird",IF(COUNTIF('eBird List'!$A:$A,$B64)&gt;0,"yes","no"),"")</f>
        <v>yes</v>
      </c>
      <c r="J64" s="16" t="n">
        <f aca="false">IF(COUNTIF('eBird List'!$A:$A,$B64)=0,"",INDEX('eBird List'!$C:$C,MATCH($B64,'eBird List'!$A:$A,0)))</f>
        <v>0.0237967595901835</v>
      </c>
      <c r="K64" s="15" t="n">
        <f aca="false">COUNTIFS(Clips!$B:$B,"site",Clips!$F:$F,$B64)+COUNTIFS(Clips!$B:$B,"site",Clips!$O:$O,"*"&amp;$B64&amp;"*")</f>
        <v>0</v>
      </c>
      <c r="L64" s="15" t="n">
        <f aca="false">COUNTIFS(Clips!$F:$F,$B64,Clips!$B:$B,"macaulay")</f>
        <v>15</v>
      </c>
      <c r="M64" s="15" t="n">
        <f aca="false">COUNTIFS(Clips!$F:$F,$B64,Clips!$B:$B,"xeno-canto")</f>
        <v>0</v>
      </c>
      <c r="N64" s="15" t="n">
        <f aca="false">K64+L64+M64</f>
        <v>15</v>
      </c>
      <c r="O64" s="15" t="n">
        <f aca="false">COUNTIFS(Clips!$F:$F,$B64,Clips!$C:$C,"excluded")</f>
        <v>1</v>
      </c>
      <c r="P64" s="15" t="n">
        <f aca="false">COUNTIFS(Clips!$F:$F,$B64,Clips!$C:$C,"train")</f>
        <v>10</v>
      </c>
      <c r="Q64" s="15" t="n">
        <f aca="false">COUNTIFS(Clips!$F:$F,$B64,Clips!$C:$C,"val")</f>
        <v>2</v>
      </c>
      <c r="R64" s="15" t="n">
        <f aca="false">COUNTIFS(Clips!$F:$F,$B64,Clips!$C:$C,"test")</f>
        <v>2</v>
      </c>
      <c r="S64" s="17" t="n">
        <f aca="false">SUMIFS(Clips!$I:$I,Clips!$F:$F,$B64,Clips!$C:$C,"train")/60</f>
        <v>14.2726833333333</v>
      </c>
      <c r="T64" s="17" t="n">
        <f aca="false">SUMIFS(Clips!$I:$I,Clips!$F:$F,$B64,Clips!$C:$C,"val")/60</f>
        <v>0.0762</v>
      </c>
      <c r="U64" s="17" t="n">
        <f aca="false">SUMIFS(Clips!$I:$I,Clips!$F:$F,$B64,Clips!$C:$C,"test")/60</f>
        <v>1.68035</v>
      </c>
      <c r="V64" s="15" t="n">
        <f aca="false">SUMIFS(Clips!$J:$J,Clips!$F:$F,$B64,Clips!$C:$C,"train")</f>
        <v>177</v>
      </c>
      <c r="W64" s="18" t="n">
        <f aca="false">IF(V64=0,"",Splits!$B$49/(Splits!$B$50*V64))</f>
        <v>0.88036989659951</v>
      </c>
      <c r="X64" s="15" t="str">
        <f aca="false">IF(P64&gt;0,IF(AND(Q64&gt;0,R64&gt;0),"train + val + test",IF(R64&gt;0,"train + test","train only")),IF(R64&gt;0,"test only (unknown class)",IF(K64&gt;0,"site extract only","no usable audio")))</f>
        <v>train + val + test</v>
      </c>
      <c r="Y64" s="15" t="str">
        <f aca="false">IF($P64=0,"",IF($E64="nonbird",$B64,IF($G64="yes",$B64,"other bird")))</f>
        <v>other bird</v>
      </c>
      <c r="Z64" s="15" t="str">
        <f aca="false">IF(AND($F64="core",$P64&gt;0),$B64,"")</f>
        <v>Spectacled Owl</v>
      </c>
      <c r="AA64" s="15" t="str">
        <f aca="false">IF($P64&gt;0,$B64,"")</f>
        <v>Spectacled Owl</v>
      </c>
      <c r="AB64" s="15" t="n">
        <v>10</v>
      </c>
      <c r="AC64" s="15" t="n">
        <v>9</v>
      </c>
      <c r="AD64" s="17" t="n">
        <f aca="false">IF(COUNTIFS(Clips!$F:$F,$B64,Clips!$M:$M,"&gt;0",Clips!$C:$C,"&lt;&gt;excluded")=0,"",AVERAGEIFS(Clips!$M:$M,Clips!$F:$F,$B64,Clips!$M:$M,"&gt;0",Clips!$C:$C,"&lt;&gt;excluded"))</f>
        <v>2.90428571428571</v>
      </c>
      <c r="AE64" s="15" t="n">
        <f aca="false">COUNTIFS(Clips!$F:$F,$B64,Clips!$O:$O,"&lt;&gt;",Clips!$B:$B,"&lt;&gt;site",Clips!$C:$C,"&lt;&gt;excluded")</f>
        <v>1</v>
      </c>
      <c r="AF64" s="15" t="n">
        <f aca="false">COUNTIFS(Clips!$F:$F,$B64,Clips!$I:$I,"&lt;5",Clips!$C:$C,"&lt;&gt;excluded")</f>
        <v>2</v>
      </c>
      <c r="AG64" s="5"/>
    </row>
    <row r="65" customFormat="false" ht="15" hidden="false" customHeight="false" outlineLevel="0" collapsed="false">
      <c r="A65" s="15" t="n">
        <v>209</v>
      </c>
      <c r="B65" s="15" t="s">
        <v>344</v>
      </c>
      <c r="C65" s="15" t="s">
        <v>345</v>
      </c>
      <c r="D65" s="15" t="s">
        <v>346</v>
      </c>
      <c r="E65" s="15" t="s">
        <v>147</v>
      </c>
      <c r="F65" s="15" t="s">
        <v>148</v>
      </c>
      <c r="G65" s="15" t="str">
        <f aca="false">IF(AND($E65="bird",$K65&gt;0),"yes","")</f>
        <v/>
      </c>
      <c r="H65" s="15"/>
      <c r="I65" s="15" t="str">
        <f aca="false">IF($E65="bird",IF(COUNTIF('eBird List'!$A:$A,$B65)&gt;0,"yes","no"),"")</f>
        <v>yes</v>
      </c>
      <c r="J65" s="16" t="n">
        <f aca="false">IF(COUNTIF('eBird List'!$A:$A,$B65)=0,"",INDEX('eBird List'!$C:$C,MATCH($B65,'eBird List'!$A:$A,0)))</f>
        <v>0.00458660948296402</v>
      </c>
      <c r="K65" s="15" t="n">
        <f aca="false">COUNTIFS(Clips!$B:$B,"site",Clips!$F:$F,$B65)+COUNTIFS(Clips!$B:$B,"site",Clips!$O:$O,"*"&amp;$B65&amp;"*")</f>
        <v>0</v>
      </c>
      <c r="L65" s="15" t="n">
        <f aca="false">COUNTIFS(Clips!$F:$F,$B65,Clips!$B:$B,"macaulay")</f>
        <v>11</v>
      </c>
      <c r="M65" s="15" t="n">
        <f aca="false">COUNTIFS(Clips!$F:$F,$B65,Clips!$B:$B,"xeno-canto")</f>
        <v>3</v>
      </c>
      <c r="N65" s="15" t="n">
        <f aca="false">K65+L65+M65</f>
        <v>14</v>
      </c>
      <c r="O65" s="15" t="n">
        <f aca="false">COUNTIFS(Clips!$F:$F,$B65,Clips!$C:$C,"excluded")</f>
        <v>0</v>
      </c>
      <c r="P65" s="15" t="n">
        <f aca="false">COUNTIFS(Clips!$F:$F,$B65,Clips!$C:$C,"train")</f>
        <v>10</v>
      </c>
      <c r="Q65" s="15" t="n">
        <f aca="false">COUNTIFS(Clips!$F:$F,$B65,Clips!$C:$C,"val")</f>
        <v>2</v>
      </c>
      <c r="R65" s="15" t="n">
        <f aca="false">COUNTIFS(Clips!$F:$F,$B65,Clips!$C:$C,"test")</f>
        <v>2</v>
      </c>
      <c r="S65" s="17" t="n">
        <f aca="false">SUMIFS(Clips!$I:$I,Clips!$F:$F,$B65,Clips!$C:$C,"train")/60</f>
        <v>29.0552166666667</v>
      </c>
      <c r="T65" s="17" t="n">
        <f aca="false">SUMIFS(Clips!$I:$I,Clips!$F:$F,$B65,Clips!$C:$C,"val")/60</f>
        <v>2.60581666666667</v>
      </c>
      <c r="U65" s="17" t="n">
        <f aca="false">SUMIFS(Clips!$I:$I,Clips!$F:$F,$B65,Clips!$C:$C,"test")/60</f>
        <v>5.62848333333333</v>
      </c>
      <c r="V65" s="15" t="n">
        <f aca="false">SUMIFS(Clips!$J:$J,Clips!$F:$F,$B65,Clips!$C:$C,"train")</f>
        <v>354</v>
      </c>
      <c r="W65" s="18" t="n">
        <f aca="false">IF(V65=0,"",Splits!$B$49/(Splits!$B$50*V65))</f>
        <v>0.440184948299755</v>
      </c>
      <c r="X65" s="15" t="str">
        <f aca="false">IF(P65&gt;0,IF(AND(Q65&gt;0,R65&gt;0),"train + val + test",IF(R65&gt;0,"train + test","train only")),IF(R65&gt;0,"test only (unknown class)",IF(K65&gt;0,"site extract only","no usable audio")))</f>
        <v>train + val + test</v>
      </c>
      <c r="Y65" s="15" t="str">
        <f aca="false">IF($P65=0,"",IF($E65="nonbird",$B65,IF($G65="yes",$B65,"other bird")))</f>
        <v>other bird</v>
      </c>
      <c r="Z65" s="15" t="str">
        <f aca="false">IF(AND($F65="core",$P65&gt;0),$B65,"")</f>
        <v>Three-wattled Bellbird</v>
      </c>
      <c r="AA65" s="15" t="str">
        <f aca="false">IF($P65&gt;0,$B65,"")</f>
        <v>Three-wattled Bellbird</v>
      </c>
      <c r="AB65" s="15" t="n">
        <v>13</v>
      </c>
      <c r="AC65" s="15" t="n">
        <v>9</v>
      </c>
      <c r="AD65" s="17" t="n">
        <f aca="false">IF(COUNTIFS(Clips!$F:$F,$B65,Clips!$M:$M,"&gt;0",Clips!$C:$C,"&lt;&gt;excluded")=0,"",AVERAGEIFS(Clips!$M:$M,Clips!$F:$F,$B65,Clips!$M:$M,"&gt;0",Clips!$C:$C,"&lt;&gt;excluded"))</f>
        <v>3.52</v>
      </c>
      <c r="AE65" s="15" t="n">
        <f aca="false">COUNTIFS(Clips!$F:$F,$B65,Clips!$O:$O,"&lt;&gt;",Clips!$B:$B,"&lt;&gt;site",Clips!$C:$C,"&lt;&gt;excluded")</f>
        <v>1</v>
      </c>
      <c r="AF65" s="15" t="n">
        <f aca="false">COUNTIFS(Clips!$F:$F,$B65,Clips!$I:$I,"&lt;5",Clips!$C:$C,"&lt;&gt;excluded")</f>
        <v>0</v>
      </c>
      <c r="AG65" s="5"/>
    </row>
    <row r="66" customFormat="false" ht="15" hidden="false" customHeight="false" outlineLevel="0" collapsed="false">
      <c r="A66" s="15" t="n">
        <v>19</v>
      </c>
      <c r="B66" s="15" t="s">
        <v>347</v>
      </c>
      <c r="C66" s="15" t="s">
        <v>348</v>
      </c>
      <c r="D66" s="15" t="s">
        <v>349</v>
      </c>
      <c r="E66" s="15" t="s">
        <v>147</v>
      </c>
      <c r="F66" s="15" t="s">
        <v>148</v>
      </c>
      <c r="G66" s="15" t="str">
        <f aca="false">IF(AND($E66="bird",$K66&gt;0),"yes","")</f>
        <v/>
      </c>
      <c r="H66" s="15"/>
      <c r="I66" s="15" t="str">
        <f aca="false">IF($E66="bird",IF(COUNTIF('eBird List'!$A:$A,$B66)&gt;0,"yes","no"),"")</f>
        <v>yes</v>
      </c>
      <c r="J66" s="16" t="n">
        <f aca="false">IF(COUNTIF('eBird List'!$A:$A,$B66)=0,"",INDEX('eBird List'!$C:$C,MATCH($B66,'eBird List'!$A:$A,0)))</f>
        <v>0.366362878246366</v>
      </c>
      <c r="K66" s="15" t="n">
        <f aca="false">COUNTIFS(Clips!$B:$B,"site",Clips!$F:$F,$B66)+COUNTIFS(Clips!$B:$B,"site",Clips!$O:$O,"*"&amp;$B66&amp;"*")</f>
        <v>0</v>
      </c>
      <c r="L66" s="15" t="n">
        <f aca="false">COUNTIFS(Clips!$F:$F,$B66,Clips!$B:$B,"macaulay")</f>
        <v>13</v>
      </c>
      <c r="M66" s="15" t="n">
        <f aca="false">COUNTIFS(Clips!$F:$F,$B66,Clips!$B:$B,"xeno-canto")</f>
        <v>0</v>
      </c>
      <c r="N66" s="15" t="n">
        <f aca="false">K66+L66+M66</f>
        <v>13</v>
      </c>
      <c r="O66" s="15" t="n">
        <f aca="false">COUNTIFS(Clips!$F:$F,$B66,Clips!$C:$C,"excluded")</f>
        <v>0</v>
      </c>
      <c r="P66" s="15" t="n">
        <f aca="false">COUNTIFS(Clips!$F:$F,$B66,Clips!$C:$C,"train")</f>
        <v>9</v>
      </c>
      <c r="Q66" s="15" t="n">
        <f aca="false">COUNTIFS(Clips!$F:$F,$B66,Clips!$C:$C,"val")</f>
        <v>2</v>
      </c>
      <c r="R66" s="15" t="n">
        <f aca="false">COUNTIFS(Clips!$F:$F,$B66,Clips!$C:$C,"test")</f>
        <v>2</v>
      </c>
      <c r="S66" s="17" t="n">
        <f aca="false">SUMIFS(Clips!$I:$I,Clips!$F:$F,$B66,Clips!$C:$C,"train")/60</f>
        <v>1.46591666666667</v>
      </c>
      <c r="T66" s="17" t="n">
        <f aca="false">SUMIFS(Clips!$I:$I,Clips!$F:$F,$B66,Clips!$C:$C,"val")/60</f>
        <v>0.639983333333333</v>
      </c>
      <c r="U66" s="17" t="n">
        <f aca="false">SUMIFS(Clips!$I:$I,Clips!$F:$F,$B66,Clips!$C:$C,"test")/60</f>
        <v>9.21545</v>
      </c>
      <c r="V66" s="15" t="n">
        <f aca="false">SUMIFS(Clips!$J:$J,Clips!$F:$F,$B66,Clips!$C:$C,"train")</f>
        <v>22</v>
      </c>
      <c r="W66" s="18" t="n">
        <f aca="false">IF(V66=0,"",Splits!$B$49/(Splits!$B$50*V66))</f>
        <v>7.08297598627787</v>
      </c>
      <c r="X66" s="15" t="str">
        <f aca="false">IF(P66&gt;0,IF(AND(Q66&gt;0,R66&gt;0),"train + val + test",IF(R66&gt;0,"train + test","train only")),IF(R66&gt;0,"test only (unknown class)",IF(K66&gt;0,"site extract only","no usable audio")))</f>
        <v>train + val + test</v>
      </c>
      <c r="Y66" s="15" t="str">
        <f aca="false">IF($P66=0,"",IF($E66="nonbird",$B66,IF($G66="yes",$B66,"other bird")))</f>
        <v>other bird</v>
      </c>
      <c r="Z66" s="15" t="str">
        <f aca="false">IF(AND($F66="core",$P66&gt;0),$B66,"")</f>
        <v>Black-cheeked Woodpecker</v>
      </c>
      <c r="AA66" s="15" t="str">
        <f aca="false">IF($P66&gt;0,$B66,"")</f>
        <v>Black-cheeked Woodpecker</v>
      </c>
      <c r="AB66" s="15" t="n">
        <v>10</v>
      </c>
      <c r="AC66" s="15" t="n">
        <v>9</v>
      </c>
      <c r="AD66" s="17" t="n">
        <f aca="false">IF(COUNTIFS(Clips!$F:$F,$B66,Clips!$M:$M,"&gt;0",Clips!$C:$C,"&lt;&gt;excluded")=0,"",AVERAGEIFS(Clips!$M:$M,Clips!$F:$F,$B66,Clips!$M:$M,"&gt;0",Clips!$C:$C,"&lt;&gt;excluded"))</f>
        <v>2.87</v>
      </c>
      <c r="AE66" s="15" t="n">
        <f aca="false">COUNTIFS(Clips!$F:$F,$B66,Clips!$O:$O,"&lt;&gt;",Clips!$B:$B,"&lt;&gt;site",Clips!$C:$C,"&lt;&gt;excluded")</f>
        <v>3</v>
      </c>
      <c r="AF66" s="15" t="n">
        <f aca="false">COUNTIFS(Clips!$F:$F,$B66,Clips!$I:$I,"&lt;5",Clips!$C:$C,"&lt;&gt;excluded")</f>
        <v>2</v>
      </c>
      <c r="AG66" s="5"/>
    </row>
    <row r="67" customFormat="false" ht="15" hidden="false" customHeight="false" outlineLevel="0" collapsed="false">
      <c r="A67" s="15" t="n">
        <v>47</v>
      </c>
      <c r="B67" s="15" t="s">
        <v>350</v>
      </c>
      <c r="C67" s="15" t="s">
        <v>351</v>
      </c>
      <c r="D67" s="15" t="s">
        <v>352</v>
      </c>
      <c r="E67" s="15" t="s">
        <v>147</v>
      </c>
      <c r="F67" s="15" t="s">
        <v>148</v>
      </c>
      <c r="G67" s="15" t="str">
        <f aca="false">IF(AND($E67="bird",$K67&gt;0),"yes","")</f>
        <v/>
      </c>
      <c r="H67" s="15"/>
      <c r="I67" s="15" t="str">
        <f aca="false">IF($E67="bird",IF(COUNTIF('eBird List'!$A:$A,$B67)&gt;0,"yes","no"),"")</f>
        <v>yes</v>
      </c>
      <c r="J67" s="16" t="n">
        <f aca="false">IF(COUNTIF('eBird List'!$A:$A,$B67)=0,"",INDEX('eBird List'!$C:$C,MATCH($B67,'eBird List'!$A:$A,0)))</f>
        <v>0.0225160829163688</v>
      </c>
      <c r="K67" s="15" t="n">
        <f aca="false">COUNTIFS(Clips!$B:$B,"site",Clips!$F:$F,$B67)+COUNTIFS(Clips!$B:$B,"site",Clips!$O:$O,"*"&amp;$B67&amp;"*")</f>
        <v>0</v>
      </c>
      <c r="L67" s="15" t="n">
        <f aca="false">COUNTIFS(Clips!$F:$F,$B67,Clips!$B:$B,"macaulay")</f>
        <v>13</v>
      </c>
      <c r="M67" s="15" t="n">
        <f aca="false">COUNTIFS(Clips!$F:$F,$B67,Clips!$B:$B,"xeno-canto")</f>
        <v>0</v>
      </c>
      <c r="N67" s="15" t="n">
        <f aca="false">K67+L67+M67</f>
        <v>13</v>
      </c>
      <c r="O67" s="15" t="n">
        <f aca="false">COUNTIFS(Clips!$F:$F,$B67,Clips!$C:$C,"excluded")</f>
        <v>0</v>
      </c>
      <c r="P67" s="15" t="n">
        <f aca="false">COUNTIFS(Clips!$F:$F,$B67,Clips!$C:$C,"train")</f>
        <v>9</v>
      </c>
      <c r="Q67" s="15" t="n">
        <f aca="false">COUNTIFS(Clips!$F:$F,$B67,Clips!$C:$C,"val")</f>
        <v>1</v>
      </c>
      <c r="R67" s="15" t="n">
        <f aca="false">COUNTIFS(Clips!$F:$F,$B67,Clips!$C:$C,"test")</f>
        <v>3</v>
      </c>
      <c r="S67" s="17" t="n">
        <f aca="false">SUMIFS(Clips!$I:$I,Clips!$F:$F,$B67,Clips!$C:$C,"train")/60</f>
        <v>24.4204333333333</v>
      </c>
      <c r="T67" s="17" t="n">
        <f aca="false">SUMIFS(Clips!$I:$I,Clips!$F:$F,$B67,Clips!$C:$C,"val")/60</f>
        <v>3.42711666666667</v>
      </c>
      <c r="U67" s="17" t="n">
        <f aca="false">SUMIFS(Clips!$I:$I,Clips!$F:$F,$B67,Clips!$C:$C,"test")/60</f>
        <v>7.1824</v>
      </c>
      <c r="V67" s="15" t="n">
        <f aca="false">SUMIFS(Clips!$J:$J,Clips!$F:$F,$B67,Clips!$C:$C,"train")</f>
        <v>297</v>
      </c>
      <c r="W67" s="18" t="n">
        <f aca="false">IF(V67=0,"",Splits!$B$49/(Splits!$B$50*V67))</f>
        <v>0.524664887872435</v>
      </c>
      <c r="X67" s="15" t="str">
        <f aca="false">IF(P67&gt;0,IF(AND(Q67&gt;0,R67&gt;0),"train + val + test",IF(R67&gt;0,"train + test","train only")),IF(R67&gt;0,"test only (unknown class)",IF(K67&gt;0,"site extract only","no usable audio")))</f>
        <v>train + val + test</v>
      </c>
      <c r="Y67" s="15" t="str">
        <f aca="false">IF($P67=0,"",IF($E67="nonbird",$B67,IF($G67="yes",$B67,"other bird")))</f>
        <v>other bird</v>
      </c>
      <c r="Z67" s="15" t="str">
        <f aca="false">IF(AND($F67="core",$P67&gt;0),$B67,"")</f>
        <v>Canebrake Wren</v>
      </c>
      <c r="AA67" s="15" t="str">
        <f aca="false">IF($P67&gt;0,$B67,"")</f>
        <v>Canebrake Wren</v>
      </c>
      <c r="AB67" s="15" t="n">
        <v>9</v>
      </c>
      <c r="AC67" s="15" t="n">
        <v>6</v>
      </c>
      <c r="AD67" s="17" t="n">
        <f aca="false">IF(COUNTIFS(Clips!$F:$F,$B67,Clips!$M:$M,"&gt;0",Clips!$C:$C,"&lt;&gt;excluded")=0,"",AVERAGEIFS(Clips!$M:$M,Clips!$F:$F,$B67,Clips!$M:$M,"&gt;0",Clips!$C:$C,"&lt;&gt;excluded"))</f>
        <v>3.15615384615385</v>
      </c>
      <c r="AE67" s="15" t="n">
        <f aca="false">COUNTIFS(Clips!$F:$F,$B67,Clips!$O:$O,"&lt;&gt;",Clips!$B:$B,"&lt;&gt;site",Clips!$C:$C,"&lt;&gt;excluded")</f>
        <v>4</v>
      </c>
      <c r="AF67" s="15" t="n">
        <f aca="false">COUNTIFS(Clips!$F:$F,$B67,Clips!$I:$I,"&lt;5",Clips!$C:$C,"&lt;&gt;excluded")</f>
        <v>0</v>
      </c>
      <c r="AG67" s="5"/>
    </row>
    <row r="68" customFormat="false" ht="15" hidden="false" customHeight="false" outlineLevel="0" collapsed="false">
      <c r="A68" s="15" t="n">
        <v>52</v>
      </c>
      <c r="B68" s="15" t="s">
        <v>353</v>
      </c>
      <c r="C68" s="15" t="s">
        <v>354</v>
      </c>
      <c r="D68" s="15" t="s">
        <v>355</v>
      </c>
      <c r="E68" s="15" t="s">
        <v>147</v>
      </c>
      <c r="F68" s="15" t="s">
        <v>148</v>
      </c>
      <c r="G68" s="15" t="str">
        <f aca="false">IF(AND($E68="bird",$K68&gt;0),"yes","")</f>
        <v>yes</v>
      </c>
      <c r="H68" s="15"/>
      <c r="I68" s="15" t="str">
        <f aca="false">IF($E68="bird",IF(COUNTIF('eBird List'!$A:$A,$B68)&gt;0,"yes","no"),"")</f>
        <v>yes</v>
      </c>
      <c r="J68" s="16" t="n">
        <f aca="false">IF(COUNTIF('eBird List'!$A:$A,$B68)=0,"",INDEX('eBird List'!$C:$C,MATCH($B68,'eBird List'!$A:$A,0)))</f>
        <v>0.182570883964737</v>
      </c>
      <c r="K68" s="15" t="n">
        <f aca="false">COUNTIFS(Clips!$B:$B,"site",Clips!$F:$F,$B68)+COUNTIFS(Clips!$B:$B,"site",Clips!$O:$O,"*"&amp;$B68&amp;"*")</f>
        <v>1</v>
      </c>
      <c r="L68" s="15" t="n">
        <f aca="false">COUNTIFS(Clips!$F:$F,$B68,Clips!$B:$B,"macaulay")</f>
        <v>13</v>
      </c>
      <c r="M68" s="15" t="n">
        <f aca="false">COUNTIFS(Clips!$F:$F,$B68,Clips!$B:$B,"xeno-canto")</f>
        <v>0</v>
      </c>
      <c r="N68" s="15" t="n">
        <f aca="false">K68+L68+M68</f>
        <v>14</v>
      </c>
      <c r="O68" s="15" t="n">
        <f aca="false">COUNTIFS(Clips!$F:$F,$B68,Clips!$C:$C,"excluded")</f>
        <v>0</v>
      </c>
      <c r="P68" s="15" t="n">
        <f aca="false">COUNTIFS(Clips!$F:$F,$B68,Clips!$C:$C,"train")</f>
        <v>9</v>
      </c>
      <c r="Q68" s="15" t="n">
        <f aca="false">COUNTIFS(Clips!$F:$F,$B68,Clips!$C:$C,"val")</f>
        <v>2</v>
      </c>
      <c r="R68" s="15" t="n">
        <f aca="false">COUNTIFS(Clips!$F:$F,$B68,Clips!$C:$C,"test")</f>
        <v>2</v>
      </c>
      <c r="S68" s="17" t="n">
        <f aca="false">SUMIFS(Clips!$I:$I,Clips!$F:$F,$B68,Clips!$C:$C,"train")/60</f>
        <v>4.18548333333333</v>
      </c>
      <c r="T68" s="17" t="n">
        <f aca="false">SUMIFS(Clips!$I:$I,Clips!$F:$F,$B68,Clips!$C:$C,"val")/60</f>
        <v>3.27791666666667</v>
      </c>
      <c r="U68" s="17" t="n">
        <f aca="false">SUMIFS(Clips!$I:$I,Clips!$F:$F,$B68,Clips!$C:$C,"test")/60</f>
        <v>1.19361666666667</v>
      </c>
      <c r="V68" s="15" t="n">
        <f aca="false">SUMIFS(Clips!$J:$J,Clips!$F:$F,$B68,Clips!$C:$C,"train")</f>
        <v>55</v>
      </c>
      <c r="W68" s="18" t="n">
        <f aca="false">IF(V68=0,"",Splits!$B$49/(Splits!$B$50*V68))</f>
        <v>2.83319039451115</v>
      </c>
      <c r="X68" s="15" t="str">
        <f aca="false">IF(P68&gt;0,IF(AND(Q68&gt;0,R68&gt;0),"train + val + test",IF(R68&gt;0,"train + test","train only")),IF(R68&gt;0,"test only (unknown class)",IF(K68&gt;0,"site extract only","no usable audio")))</f>
        <v>train + val + test</v>
      </c>
      <c r="Y68" s="15" t="str">
        <f aca="false">IF($P68=0,"",IF($E68="nonbird",$B68,IF($G68="yes",$B68,"other bird")))</f>
        <v>Chestnut-headed Oropendola</v>
      </c>
      <c r="Z68" s="15" t="str">
        <f aca="false">IF(AND($F68="core",$P68&gt;0),$B68,"")</f>
        <v>Chestnut-headed Oropendola</v>
      </c>
      <c r="AA68" s="15" t="str">
        <f aca="false">IF($P68&gt;0,$B68,"")</f>
        <v>Chestnut-headed Oropendola</v>
      </c>
      <c r="AB68" s="15" t="n">
        <v>10</v>
      </c>
      <c r="AC68" s="15" t="n">
        <v>8</v>
      </c>
      <c r="AD68" s="17" t="n">
        <f aca="false">IF(COUNTIFS(Clips!$F:$F,$B68,Clips!$M:$M,"&gt;0",Clips!$C:$C,"&lt;&gt;excluded")=0,"",AVERAGEIFS(Clips!$M:$M,Clips!$F:$F,$B68,Clips!$M:$M,"&gt;0",Clips!$C:$C,"&lt;&gt;excluded"))</f>
        <v>2.88888888888889</v>
      </c>
      <c r="AE68" s="15" t="n">
        <f aca="false">COUNTIFS(Clips!$F:$F,$B68,Clips!$O:$O,"&lt;&gt;",Clips!$B:$B,"&lt;&gt;site",Clips!$C:$C,"&lt;&gt;excluded")</f>
        <v>0</v>
      </c>
      <c r="AF68" s="15" t="n">
        <f aca="false">COUNTIFS(Clips!$F:$F,$B68,Clips!$I:$I,"&lt;5",Clips!$C:$C,"&lt;&gt;excluded")</f>
        <v>2</v>
      </c>
      <c r="AG68" s="5" t="s">
        <v>356</v>
      </c>
    </row>
    <row r="69" customFormat="false" ht="15" hidden="false" customHeight="false" outlineLevel="0" collapsed="false">
      <c r="A69" s="15" t="n">
        <v>117</v>
      </c>
      <c r="B69" s="15" t="s">
        <v>357</v>
      </c>
      <c r="C69" s="15" t="s">
        <v>358</v>
      </c>
      <c r="D69" s="15" t="s">
        <v>359</v>
      </c>
      <c r="E69" s="15" t="s">
        <v>147</v>
      </c>
      <c r="F69" s="15" t="s">
        <v>148</v>
      </c>
      <c r="G69" s="15" t="str">
        <f aca="false">IF(AND($E69="bird",$K69&gt;0),"yes","")</f>
        <v/>
      </c>
      <c r="H69" s="15"/>
      <c r="I69" s="15" t="str">
        <f aca="false">IF($E69="bird",IF(COUNTIF('eBird List'!$A:$A,$B69)&gt;0,"yes","no"),"")</f>
        <v>yes</v>
      </c>
      <c r="J69" s="16" t="n">
        <f aca="false">IF(COUNTIF('eBird List'!$A:$A,$B69)=0,"",INDEX('eBird List'!$C:$C,MATCH($B69,'eBird List'!$A:$A,0)))</f>
        <v>0.0722539909459138</v>
      </c>
      <c r="K69" s="15" t="n">
        <f aca="false">COUNTIFS(Clips!$B:$B,"site",Clips!$F:$F,$B69)+COUNTIFS(Clips!$B:$B,"site",Clips!$O:$O,"*"&amp;$B69&amp;"*")</f>
        <v>0</v>
      </c>
      <c r="L69" s="15" t="n">
        <f aca="false">COUNTIFS(Clips!$F:$F,$B69,Clips!$B:$B,"macaulay")</f>
        <v>13</v>
      </c>
      <c r="M69" s="15" t="n">
        <f aca="false">COUNTIFS(Clips!$F:$F,$B69,Clips!$B:$B,"xeno-canto")</f>
        <v>0</v>
      </c>
      <c r="N69" s="15" t="n">
        <f aca="false">K69+L69+M69</f>
        <v>13</v>
      </c>
      <c r="O69" s="15" t="n">
        <f aca="false">COUNTIFS(Clips!$F:$F,$B69,Clips!$C:$C,"excluded")</f>
        <v>0</v>
      </c>
      <c r="P69" s="15" t="n">
        <f aca="false">COUNTIFS(Clips!$F:$F,$B69,Clips!$C:$C,"train")</f>
        <v>9</v>
      </c>
      <c r="Q69" s="15" t="n">
        <f aca="false">COUNTIFS(Clips!$F:$F,$B69,Clips!$C:$C,"val")</f>
        <v>2</v>
      </c>
      <c r="R69" s="15" t="n">
        <f aca="false">COUNTIFS(Clips!$F:$F,$B69,Clips!$C:$C,"test")</f>
        <v>2</v>
      </c>
      <c r="S69" s="17" t="n">
        <f aca="false">SUMIFS(Clips!$I:$I,Clips!$F:$F,$B69,Clips!$C:$C,"train")/60</f>
        <v>4.50023333333333</v>
      </c>
      <c r="T69" s="17" t="n">
        <f aca="false">SUMIFS(Clips!$I:$I,Clips!$F:$F,$B69,Clips!$C:$C,"val")/60</f>
        <v>1.49675</v>
      </c>
      <c r="U69" s="17" t="n">
        <f aca="false">SUMIFS(Clips!$I:$I,Clips!$F:$F,$B69,Clips!$C:$C,"test")/60</f>
        <v>2.03213333333333</v>
      </c>
      <c r="V69" s="15" t="n">
        <f aca="false">SUMIFS(Clips!$J:$J,Clips!$F:$F,$B69,Clips!$C:$C,"train")</f>
        <v>58</v>
      </c>
      <c r="W69" s="18" t="n">
        <f aca="false">IF(V69=0,"",Splits!$B$49/(Splits!$B$50*V69))</f>
        <v>2.68664606376057</v>
      </c>
      <c r="X69" s="15" t="str">
        <f aca="false">IF(P69&gt;0,IF(AND(Q69&gt;0,R69&gt;0),"train + val + test",IF(R69&gt;0,"train + test","train only")),IF(R69&gt;0,"test only (unknown class)",IF(K69&gt;0,"site extract only","no usable audio")))</f>
        <v>train + val + test</v>
      </c>
      <c r="Y69" s="15" t="str">
        <f aca="false">IF($P69=0,"",IF($E69="nonbird",$B69,IF($G69="yes",$B69,"other bird")))</f>
        <v>other bird</v>
      </c>
      <c r="Z69" s="15" t="str">
        <f aca="false">IF(AND($F69="core",$P69&gt;0),$B69,"")</f>
        <v>Little Tinamou</v>
      </c>
      <c r="AA69" s="15" t="str">
        <f aca="false">IF($P69&gt;0,$B69,"")</f>
        <v>Little Tinamou</v>
      </c>
      <c r="AB69" s="15" t="n">
        <v>10</v>
      </c>
      <c r="AC69" s="15" t="n">
        <v>9</v>
      </c>
      <c r="AD69" s="17" t="n">
        <f aca="false">IF(COUNTIFS(Clips!$F:$F,$B69,Clips!$M:$M,"&gt;0",Clips!$C:$C,"&lt;&gt;excluded")=0,"",AVERAGEIFS(Clips!$M:$M,Clips!$F:$F,$B69,Clips!$M:$M,"&gt;0",Clips!$C:$C,"&lt;&gt;excluded"))</f>
        <v>4.13636363636364</v>
      </c>
      <c r="AE69" s="15" t="n">
        <f aca="false">COUNTIFS(Clips!$F:$F,$B69,Clips!$O:$O,"&lt;&gt;",Clips!$B:$B,"&lt;&gt;site",Clips!$C:$C,"&lt;&gt;excluded")</f>
        <v>0</v>
      </c>
      <c r="AF69" s="15" t="n">
        <f aca="false">COUNTIFS(Clips!$F:$F,$B69,Clips!$I:$I,"&lt;5",Clips!$C:$C,"&lt;&gt;excluded")</f>
        <v>1</v>
      </c>
      <c r="AG69" s="5"/>
    </row>
    <row r="70" customFormat="false" ht="15" hidden="false" customHeight="false" outlineLevel="0" collapsed="false">
      <c r="A70" s="15" t="n">
        <v>155</v>
      </c>
      <c r="B70" s="15" t="s">
        <v>360</v>
      </c>
      <c r="C70" s="15" t="s">
        <v>361</v>
      </c>
      <c r="D70" s="15" t="s">
        <v>362</v>
      </c>
      <c r="E70" s="15" t="s">
        <v>147</v>
      </c>
      <c r="F70" s="15" t="s">
        <v>148</v>
      </c>
      <c r="G70" s="15" t="str">
        <f aca="false">IF(AND($E70="bird",$K70&gt;0),"yes","")</f>
        <v/>
      </c>
      <c r="H70" s="15"/>
      <c r="I70" s="15" t="str">
        <f aca="false">IF($E70="bird",IF(COUNTIF('eBird List'!$A:$A,$B70)&gt;0,"yes","no"),"")</f>
        <v>yes</v>
      </c>
      <c r="J70" s="16" t="n">
        <f aca="false">IF(COUNTIF('eBird List'!$A:$A,$B70)=0,"",INDEX('eBird List'!$C:$C,MATCH($B70,'eBird List'!$A:$A,0)))</f>
        <v>0.0751131760781511</v>
      </c>
      <c r="K70" s="15" t="n">
        <f aca="false">COUNTIFS(Clips!$B:$B,"site",Clips!$F:$F,$B70)+COUNTIFS(Clips!$B:$B,"site",Clips!$O:$O,"*"&amp;$B70&amp;"*")</f>
        <v>0</v>
      </c>
      <c r="L70" s="15" t="n">
        <f aca="false">COUNTIFS(Clips!$F:$F,$B70,Clips!$B:$B,"macaulay")</f>
        <v>13</v>
      </c>
      <c r="M70" s="15" t="n">
        <f aca="false">COUNTIFS(Clips!$F:$F,$B70,Clips!$B:$B,"xeno-canto")</f>
        <v>0</v>
      </c>
      <c r="N70" s="15" t="n">
        <f aca="false">K70+L70+M70</f>
        <v>13</v>
      </c>
      <c r="O70" s="15" t="n">
        <f aca="false">COUNTIFS(Clips!$F:$F,$B70,Clips!$C:$C,"excluded")</f>
        <v>0</v>
      </c>
      <c r="P70" s="15" t="n">
        <f aca="false">COUNTIFS(Clips!$F:$F,$B70,Clips!$C:$C,"train")</f>
        <v>9</v>
      </c>
      <c r="Q70" s="15" t="n">
        <f aca="false">COUNTIFS(Clips!$F:$F,$B70,Clips!$C:$C,"val")</f>
        <v>2</v>
      </c>
      <c r="R70" s="15" t="n">
        <f aca="false">COUNTIFS(Clips!$F:$F,$B70,Clips!$C:$C,"test")</f>
        <v>2</v>
      </c>
      <c r="S70" s="17" t="n">
        <f aca="false">SUMIFS(Clips!$I:$I,Clips!$F:$F,$B70,Clips!$C:$C,"train")/60</f>
        <v>5.54288333333333</v>
      </c>
      <c r="T70" s="17" t="n">
        <f aca="false">SUMIFS(Clips!$I:$I,Clips!$F:$F,$B70,Clips!$C:$C,"val")/60</f>
        <v>19.1032666666667</v>
      </c>
      <c r="U70" s="17" t="n">
        <f aca="false">SUMIFS(Clips!$I:$I,Clips!$F:$F,$B70,Clips!$C:$C,"test")/60</f>
        <v>4.41855</v>
      </c>
      <c r="V70" s="15" t="n">
        <f aca="false">SUMIFS(Clips!$J:$J,Clips!$F:$F,$B70,Clips!$C:$C,"train")</f>
        <v>72</v>
      </c>
      <c r="W70" s="18" t="n">
        <f aca="false">IF(V70=0,"",Splits!$B$49/(Splits!$B$50*V70))</f>
        <v>2.16424266247379</v>
      </c>
      <c r="X70" s="15" t="str">
        <f aca="false">IF(P70&gt;0,IF(AND(Q70&gt;0,R70&gt;0),"train + val + test",IF(R70&gt;0,"train + test","train only")),IF(R70&gt;0,"test only (unknown class)",IF(K70&gt;0,"site extract only","no usable audio")))</f>
        <v>train + val + test</v>
      </c>
      <c r="Y70" s="15" t="str">
        <f aca="false">IF($P70=0,"",IF($E70="nonbird",$B70,IF($G70="yes",$B70,"other bird")))</f>
        <v>other bird</v>
      </c>
      <c r="Z70" s="15" t="str">
        <f aca="false">IF(AND($F70="core",$P70&gt;0),$B70,"")</f>
        <v>Purple-throated Fruitcrow</v>
      </c>
      <c r="AA70" s="15" t="str">
        <f aca="false">IF($P70&gt;0,$B70,"")</f>
        <v>Purple-throated Fruitcrow</v>
      </c>
      <c r="AB70" s="15" t="n">
        <v>12</v>
      </c>
      <c r="AC70" s="15" t="n">
        <v>9</v>
      </c>
      <c r="AD70" s="17" t="n">
        <f aca="false">IF(COUNTIFS(Clips!$F:$F,$B70,Clips!$M:$M,"&gt;0",Clips!$C:$C,"&lt;&gt;excluded")=0,"",AVERAGEIFS(Clips!$M:$M,Clips!$F:$F,$B70,Clips!$M:$M,"&gt;0",Clips!$C:$C,"&lt;&gt;excluded"))</f>
        <v>2.44</v>
      </c>
      <c r="AE70" s="15" t="n">
        <f aca="false">COUNTIFS(Clips!$F:$F,$B70,Clips!$O:$O,"&lt;&gt;",Clips!$B:$B,"&lt;&gt;site",Clips!$C:$C,"&lt;&gt;excluded")</f>
        <v>1</v>
      </c>
      <c r="AF70" s="15" t="n">
        <f aca="false">COUNTIFS(Clips!$F:$F,$B70,Clips!$I:$I,"&lt;5",Clips!$C:$C,"&lt;&gt;excluded")</f>
        <v>0</v>
      </c>
      <c r="AG70" s="5"/>
    </row>
    <row r="71" customFormat="false" ht="15" hidden="false" customHeight="false" outlineLevel="0" collapsed="false">
      <c r="A71" s="15" t="n">
        <v>166</v>
      </c>
      <c r="B71" s="15" t="s">
        <v>363</v>
      </c>
      <c r="C71" s="15" t="s">
        <v>364</v>
      </c>
      <c r="D71" s="15" t="s">
        <v>365</v>
      </c>
      <c r="E71" s="15" t="s">
        <v>147</v>
      </c>
      <c r="F71" s="15" t="s">
        <v>148</v>
      </c>
      <c r="G71" s="15" t="str">
        <f aca="false">IF(AND($E71="bird",$K71&gt;0),"yes","")</f>
        <v/>
      </c>
      <c r="H71" s="15"/>
      <c r="I71" s="15" t="str">
        <f aca="false">IF($E71="bird",IF(COUNTIF('eBird List'!$A:$A,$B71)&gt;0,"yes","no"),"")</f>
        <v>yes</v>
      </c>
      <c r="J71" s="16" t="n">
        <f aca="false">IF(COUNTIF('eBird List'!$A:$A,$B71)=0,"",INDEX('eBird List'!$C:$C,MATCH($B71,'eBird List'!$A:$A,0)))</f>
        <v>0.152460090540863</v>
      </c>
      <c r="K71" s="15" t="n">
        <f aca="false">COUNTIFS(Clips!$B:$B,"site",Clips!$F:$F,$B71)+COUNTIFS(Clips!$B:$B,"site",Clips!$O:$O,"*"&amp;$B71&amp;"*")</f>
        <v>0</v>
      </c>
      <c r="L71" s="15" t="n">
        <f aca="false">COUNTIFS(Clips!$F:$F,$B71,Clips!$B:$B,"macaulay")</f>
        <v>13</v>
      </c>
      <c r="M71" s="15" t="n">
        <f aca="false">COUNTIFS(Clips!$F:$F,$B71,Clips!$B:$B,"xeno-canto")</f>
        <v>0</v>
      </c>
      <c r="N71" s="15" t="n">
        <f aca="false">K71+L71+M71</f>
        <v>13</v>
      </c>
      <c r="O71" s="15" t="n">
        <f aca="false">COUNTIFS(Clips!$F:$F,$B71,Clips!$C:$C,"excluded")</f>
        <v>0</v>
      </c>
      <c r="P71" s="15" t="n">
        <f aca="false">COUNTIFS(Clips!$F:$F,$B71,Clips!$C:$C,"train")</f>
        <v>9</v>
      </c>
      <c r="Q71" s="15" t="n">
        <f aca="false">COUNTIFS(Clips!$F:$F,$B71,Clips!$C:$C,"val")</f>
        <v>2</v>
      </c>
      <c r="R71" s="15" t="n">
        <f aca="false">COUNTIFS(Clips!$F:$F,$B71,Clips!$C:$C,"test")</f>
        <v>2</v>
      </c>
      <c r="S71" s="17" t="n">
        <f aca="false">SUMIFS(Clips!$I:$I,Clips!$F:$F,$B71,Clips!$C:$C,"train")/60</f>
        <v>2.81393333333333</v>
      </c>
      <c r="T71" s="17" t="n">
        <f aca="false">SUMIFS(Clips!$I:$I,Clips!$F:$F,$B71,Clips!$C:$C,"val")/60</f>
        <v>0.435316666666667</v>
      </c>
      <c r="U71" s="17" t="n">
        <f aca="false">SUMIFS(Clips!$I:$I,Clips!$F:$F,$B71,Clips!$C:$C,"test")/60</f>
        <v>0.12525</v>
      </c>
      <c r="V71" s="15" t="n">
        <f aca="false">SUMIFS(Clips!$J:$J,Clips!$F:$F,$B71,Clips!$C:$C,"train")</f>
        <v>38</v>
      </c>
      <c r="W71" s="18" t="n">
        <f aca="false">IF(V71=0,"",Splits!$B$49/(Splits!$B$50*V71))</f>
        <v>4.10067030784509</v>
      </c>
      <c r="X71" s="15" t="str">
        <f aca="false">IF(P71&gt;0,IF(AND(Q71&gt;0,R71&gt;0),"train + val + test",IF(R71&gt;0,"train + test","train only")),IF(R71&gt;0,"test only (unknown class)",IF(K71&gt;0,"site extract only","no usable audio")))</f>
        <v>train + val + test</v>
      </c>
      <c r="Y71" s="15" t="str">
        <f aca="false">IF($P71=0,"",IF($E71="nonbird",$B71,IF($G71="yes",$B71,"other bird")))</f>
        <v>other bird</v>
      </c>
      <c r="Z71" s="15" t="str">
        <f aca="false">IF(AND($F71="core",$P71&gt;0),$B71,"")</f>
        <v>Rufous Mourner</v>
      </c>
      <c r="AA71" s="15" t="str">
        <f aca="false">IF($P71&gt;0,$B71,"")</f>
        <v>Rufous Mourner</v>
      </c>
      <c r="AB71" s="15" t="n">
        <v>9</v>
      </c>
      <c r="AC71" s="15" t="n">
        <v>8</v>
      </c>
      <c r="AD71" s="17" t="n">
        <f aca="false">IF(COUNTIFS(Clips!$F:$F,$B71,Clips!$M:$M,"&gt;0",Clips!$C:$C,"&lt;&gt;excluded")=0,"",AVERAGEIFS(Clips!$M:$M,Clips!$F:$F,$B71,Clips!$M:$M,"&gt;0",Clips!$C:$C,"&lt;&gt;excluded"))</f>
        <v>2.54916666666667</v>
      </c>
      <c r="AE71" s="15" t="n">
        <f aca="false">COUNTIFS(Clips!$F:$F,$B71,Clips!$O:$O,"&lt;&gt;",Clips!$B:$B,"&lt;&gt;site",Clips!$C:$C,"&lt;&gt;excluded")</f>
        <v>1</v>
      </c>
      <c r="AF71" s="15" t="n">
        <f aca="false">COUNTIFS(Clips!$F:$F,$B71,Clips!$I:$I,"&lt;5",Clips!$C:$C,"&lt;&gt;excluded")</f>
        <v>5</v>
      </c>
      <c r="AG71" s="5"/>
    </row>
    <row r="72" customFormat="false" ht="15" hidden="false" customHeight="false" outlineLevel="0" collapsed="false">
      <c r="A72" s="15" t="n">
        <v>208</v>
      </c>
      <c r="B72" s="15" t="s">
        <v>366</v>
      </c>
      <c r="C72" s="15" t="s">
        <v>367</v>
      </c>
      <c r="D72" s="15" t="s">
        <v>368</v>
      </c>
      <c r="E72" s="15" t="s">
        <v>147</v>
      </c>
      <c r="F72" s="15" t="s">
        <v>148</v>
      </c>
      <c r="G72" s="15" t="str">
        <f aca="false">IF(AND($E72="bird",$K72&gt;0),"yes","")</f>
        <v/>
      </c>
      <c r="H72" s="15"/>
      <c r="I72" s="15" t="str">
        <f aca="false">IF($E72="bird",IF(COUNTIF('eBird List'!$A:$A,$B72)&gt;0,"yes","no"),"")</f>
        <v>yes</v>
      </c>
      <c r="J72" s="16" t="n">
        <f aca="false">IF(COUNTIF('eBird List'!$A:$A,$B72)=0,"",INDEX('eBird List'!$C:$C,MATCH($B72,'eBird List'!$A:$A,0)))</f>
        <v>0.00256135334762926</v>
      </c>
      <c r="K72" s="15" t="n">
        <f aca="false">COUNTIFS(Clips!$B:$B,"site",Clips!$F:$F,$B72)+COUNTIFS(Clips!$B:$B,"site",Clips!$O:$O,"*"&amp;$B72&amp;"*")</f>
        <v>0</v>
      </c>
      <c r="L72" s="15" t="n">
        <f aca="false">COUNTIFS(Clips!$F:$F,$B72,Clips!$B:$B,"macaulay")</f>
        <v>12</v>
      </c>
      <c r="M72" s="15" t="n">
        <f aca="false">COUNTIFS(Clips!$F:$F,$B72,Clips!$B:$B,"xeno-canto")</f>
        <v>1</v>
      </c>
      <c r="N72" s="15" t="n">
        <f aca="false">K72+L72+M72</f>
        <v>13</v>
      </c>
      <c r="O72" s="15" t="n">
        <f aca="false">COUNTIFS(Clips!$F:$F,$B72,Clips!$C:$C,"excluded")</f>
        <v>0</v>
      </c>
      <c r="P72" s="15" t="n">
        <f aca="false">COUNTIFS(Clips!$F:$F,$B72,Clips!$C:$C,"train")</f>
        <v>9</v>
      </c>
      <c r="Q72" s="15" t="n">
        <f aca="false">COUNTIFS(Clips!$F:$F,$B72,Clips!$C:$C,"val")</f>
        <v>2</v>
      </c>
      <c r="R72" s="15" t="n">
        <f aca="false">COUNTIFS(Clips!$F:$F,$B72,Clips!$C:$C,"test")</f>
        <v>2</v>
      </c>
      <c r="S72" s="17" t="n">
        <f aca="false">SUMIFS(Clips!$I:$I,Clips!$F:$F,$B72,Clips!$C:$C,"train")/60</f>
        <v>18.63115</v>
      </c>
      <c r="T72" s="17" t="n">
        <f aca="false">SUMIFS(Clips!$I:$I,Clips!$F:$F,$B72,Clips!$C:$C,"val")/60</f>
        <v>6.4026</v>
      </c>
      <c r="U72" s="17" t="n">
        <f aca="false">SUMIFS(Clips!$I:$I,Clips!$F:$F,$B72,Clips!$C:$C,"test")/60</f>
        <v>4.1433</v>
      </c>
      <c r="V72" s="15" t="n">
        <f aca="false">SUMIFS(Clips!$J:$J,Clips!$F:$F,$B72,Clips!$C:$C,"train")</f>
        <v>229</v>
      </c>
      <c r="W72" s="18" t="n">
        <f aca="false">IF(V72=0,"",Splits!$B$49/(Splits!$B$50*V72))</f>
        <v>0.680460575100931</v>
      </c>
      <c r="X72" s="15" t="str">
        <f aca="false">IF(P72&gt;0,IF(AND(Q72&gt;0,R72&gt;0),"train + val + test",IF(R72&gt;0,"train + test","train only")),IF(R72&gt;0,"test only (unknown class)",IF(K72&gt;0,"site extract only","no usable audio")))</f>
        <v>train + val + test</v>
      </c>
      <c r="Y72" s="15" t="str">
        <f aca="false">IF($P72=0,"",IF($E72="nonbird",$B72,IF($G72="yes",$B72,"other bird")))</f>
        <v>other bird</v>
      </c>
      <c r="Z72" s="15" t="str">
        <f aca="false">IF(AND($F72="core",$P72&gt;0),$B72,"")</f>
        <v>Thicket Antpitta</v>
      </c>
      <c r="AA72" s="15" t="str">
        <f aca="false">IF($P72&gt;0,$B72,"")</f>
        <v>Thicket Antpitta</v>
      </c>
      <c r="AB72" s="15" t="n">
        <v>11</v>
      </c>
      <c r="AC72" s="15" t="n">
        <v>9</v>
      </c>
      <c r="AD72" s="17" t="n">
        <f aca="false">IF(COUNTIFS(Clips!$F:$F,$B72,Clips!$M:$M,"&gt;0",Clips!$C:$C,"&lt;&gt;excluded")=0,"",AVERAGEIFS(Clips!$M:$M,Clips!$F:$F,$B72,Clips!$M:$M,"&gt;0",Clips!$C:$C,"&lt;&gt;excluded"))</f>
        <v>2.75454545454545</v>
      </c>
      <c r="AE72" s="15" t="n">
        <f aca="false">COUNTIFS(Clips!$F:$F,$B72,Clips!$O:$O,"&lt;&gt;",Clips!$B:$B,"&lt;&gt;site",Clips!$C:$C,"&lt;&gt;excluded")</f>
        <v>2</v>
      </c>
      <c r="AF72" s="15" t="n">
        <f aca="false">COUNTIFS(Clips!$F:$F,$B72,Clips!$I:$I,"&lt;5",Clips!$C:$C,"&lt;&gt;excluded")</f>
        <v>0</v>
      </c>
      <c r="AG72" s="5" t="s">
        <v>369</v>
      </c>
    </row>
    <row r="73" customFormat="false" ht="15" hidden="false" customHeight="false" outlineLevel="0" collapsed="false">
      <c r="A73" s="15" t="n">
        <v>4</v>
      </c>
      <c r="B73" s="15" t="s">
        <v>370</v>
      </c>
      <c r="C73" s="15" t="s">
        <v>371</v>
      </c>
      <c r="D73" s="15" t="s">
        <v>372</v>
      </c>
      <c r="E73" s="15" t="s">
        <v>147</v>
      </c>
      <c r="F73" s="15" t="s">
        <v>148</v>
      </c>
      <c r="G73" s="15" t="str">
        <f aca="false">IF(AND($E73="bird",$K73&gt;0),"yes","")</f>
        <v/>
      </c>
      <c r="H73" s="15"/>
      <c r="I73" s="15" t="str">
        <f aca="false">IF($E73="bird",IF(COUNTIF('eBird List'!$A:$A,$B73)&gt;0,"yes","no"),"")</f>
        <v>yes</v>
      </c>
      <c r="J73" s="16" t="n">
        <f aca="false">IF(COUNTIF('eBird List'!$A:$A,$B73)=0,"",INDEX('eBird List'!$C:$C,MATCH($B73,'eBird List'!$A:$A,0)))</f>
        <v>0.0809506790564689</v>
      </c>
      <c r="K73" s="15" t="n">
        <f aca="false">COUNTIFS(Clips!$B:$B,"site",Clips!$F:$F,$B73)+COUNTIFS(Clips!$B:$B,"site",Clips!$O:$O,"*"&amp;$B73&amp;"*")</f>
        <v>0</v>
      </c>
      <c r="L73" s="15" t="n">
        <f aca="false">COUNTIFS(Clips!$F:$F,$B73,Clips!$B:$B,"macaulay")</f>
        <v>12</v>
      </c>
      <c r="M73" s="15" t="n">
        <f aca="false">COUNTIFS(Clips!$F:$F,$B73,Clips!$B:$B,"xeno-canto")</f>
        <v>0</v>
      </c>
      <c r="N73" s="15" t="n">
        <f aca="false">K73+L73+M73</f>
        <v>12</v>
      </c>
      <c r="O73" s="15" t="n">
        <f aca="false">COUNTIFS(Clips!$F:$F,$B73,Clips!$C:$C,"excluded")</f>
        <v>0</v>
      </c>
      <c r="P73" s="15" t="n">
        <f aca="false">COUNTIFS(Clips!$F:$F,$B73,Clips!$C:$C,"train")</f>
        <v>8</v>
      </c>
      <c r="Q73" s="15" t="n">
        <f aca="false">COUNTIFS(Clips!$F:$F,$B73,Clips!$C:$C,"val")</f>
        <v>2</v>
      </c>
      <c r="R73" s="15" t="n">
        <f aca="false">COUNTIFS(Clips!$F:$F,$B73,Clips!$C:$C,"test")</f>
        <v>2</v>
      </c>
      <c r="S73" s="17" t="n">
        <f aca="false">SUMIFS(Clips!$I:$I,Clips!$F:$F,$B73,Clips!$C:$C,"train")/60</f>
        <v>3.27925</v>
      </c>
      <c r="T73" s="17" t="n">
        <f aca="false">SUMIFS(Clips!$I:$I,Clips!$F:$F,$B73,Clips!$C:$C,"val")/60</f>
        <v>2.6361</v>
      </c>
      <c r="U73" s="17" t="n">
        <f aca="false">SUMIFS(Clips!$I:$I,Clips!$F:$F,$B73,Clips!$C:$C,"test")/60</f>
        <v>1.33776666666667</v>
      </c>
      <c r="V73" s="15" t="n">
        <f aca="false">SUMIFS(Clips!$J:$J,Clips!$F:$F,$B73,Clips!$C:$C,"train")</f>
        <v>43</v>
      </c>
      <c r="W73" s="18" t="n">
        <f aca="false">IF(V73=0,"",Splits!$B$49/(Splits!$B$50*V73))</f>
        <v>3.62384817902589</v>
      </c>
      <c r="X73" s="15" t="str">
        <f aca="false">IF(P73&gt;0,IF(AND(Q73&gt;0,R73&gt;0),"train + val + test",IF(R73&gt;0,"train + test","train only")),IF(R73&gt;0,"test only (unknown class)",IF(K73&gt;0,"site extract only","no usable audio")))</f>
        <v>train + val + test</v>
      </c>
      <c r="Y73" s="15" t="str">
        <f aca="false">IF($P73=0,"",IF($E73="nonbird",$B73,IF($G73="yes",$B73,"other bird")))</f>
        <v>other bird</v>
      </c>
      <c r="Z73" s="15" t="str">
        <f aca="false">IF(AND($F73="core",$P73&gt;0),$B73,"")</f>
        <v>Band-backed Wren</v>
      </c>
      <c r="AA73" s="15" t="str">
        <f aca="false">IF($P73&gt;0,$B73,"")</f>
        <v>Band-backed Wren</v>
      </c>
      <c r="AB73" s="15" t="n">
        <v>11</v>
      </c>
      <c r="AC73" s="15" t="n">
        <v>10</v>
      </c>
      <c r="AD73" s="17" t="n">
        <f aca="false">IF(COUNTIFS(Clips!$F:$F,$B73,Clips!$M:$M,"&gt;0",Clips!$C:$C,"&lt;&gt;excluded")=0,"",AVERAGEIFS(Clips!$M:$M,Clips!$F:$F,$B73,Clips!$M:$M,"&gt;0",Clips!$C:$C,"&lt;&gt;excluded"))</f>
        <v>3.0625</v>
      </c>
      <c r="AE73" s="15" t="n">
        <f aca="false">COUNTIFS(Clips!$F:$F,$B73,Clips!$O:$O,"&lt;&gt;",Clips!$B:$B,"&lt;&gt;site",Clips!$C:$C,"&lt;&gt;excluded")</f>
        <v>0</v>
      </c>
      <c r="AF73" s="15" t="n">
        <f aca="false">COUNTIFS(Clips!$F:$F,$B73,Clips!$I:$I,"&lt;5",Clips!$C:$C,"&lt;&gt;excluded")</f>
        <v>1</v>
      </c>
      <c r="AG73" s="5"/>
    </row>
    <row r="74" customFormat="false" ht="15" hidden="false" customHeight="false" outlineLevel="0" collapsed="false">
      <c r="A74" s="15" t="n">
        <v>55</v>
      </c>
      <c r="B74" s="15" t="s">
        <v>373</v>
      </c>
      <c r="C74" s="15" t="s">
        <v>374</v>
      </c>
      <c r="D74" s="15" t="s">
        <v>375</v>
      </c>
      <c r="E74" s="15" t="s">
        <v>147</v>
      </c>
      <c r="F74" s="15" t="s">
        <v>148</v>
      </c>
      <c r="G74" s="15" t="str">
        <f aca="false">IF(AND($E74="bird",$K74&gt;0),"yes","")</f>
        <v/>
      </c>
      <c r="H74" s="15"/>
      <c r="I74" s="15" t="str">
        <f aca="false">IF($E74="bird",IF(COUNTIF('eBird List'!$A:$A,$B74)&gt;0,"yes","no"),"")</f>
        <v>yes</v>
      </c>
      <c r="J74" s="16" t="n">
        <f aca="false">IF(COUNTIF('eBird List'!$A:$A,$B74)=0,"",INDEX('eBird List'!$C:$C,MATCH($B74,'eBird List'!$A:$A,0)))</f>
        <v>0.125685013104599</v>
      </c>
      <c r="K74" s="15" t="n">
        <f aca="false">COUNTIFS(Clips!$B:$B,"site",Clips!$F:$F,$B74)+COUNTIFS(Clips!$B:$B,"site",Clips!$O:$O,"*"&amp;$B74&amp;"*")</f>
        <v>0</v>
      </c>
      <c r="L74" s="15" t="n">
        <f aca="false">COUNTIFS(Clips!$F:$F,$B74,Clips!$B:$B,"macaulay")</f>
        <v>12</v>
      </c>
      <c r="M74" s="15" t="n">
        <f aca="false">COUNTIFS(Clips!$F:$F,$B74,Clips!$B:$B,"xeno-canto")</f>
        <v>0</v>
      </c>
      <c r="N74" s="15" t="n">
        <f aca="false">K74+L74+M74</f>
        <v>12</v>
      </c>
      <c r="O74" s="15" t="n">
        <f aca="false">COUNTIFS(Clips!$F:$F,$B74,Clips!$C:$C,"excluded")</f>
        <v>0</v>
      </c>
      <c r="P74" s="15" t="n">
        <f aca="false">COUNTIFS(Clips!$F:$F,$B74,Clips!$C:$C,"train")</f>
        <v>8</v>
      </c>
      <c r="Q74" s="15" t="n">
        <f aca="false">COUNTIFS(Clips!$F:$F,$B74,Clips!$C:$C,"val")</f>
        <v>2</v>
      </c>
      <c r="R74" s="15" t="n">
        <f aca="false">COUNTIFS(Clips!$F:$F,$B74,Clips!$C:$C,"test")</f>
        <v>2</v>
      </c>
      <c r="S74" s="17" t="n">
        <f aca="false">SUMIFS(Clips!$I:$I,Clips!$F:$F,$B74,Clips!$C:$C,"train")/60</f>
        <v>1.92615</v>
      </c>
      <c r="T74" s="17" t="n">
        <f aca="false">SUMIFS(Clips!$I:$I,Clips!$F:$F,$B74,Clips!$C:$C,"val")/60</f>
        <v>0.632766666666667</v>
      </c>
      <c r="U74" s="17" t="n">
        <f aca="false">SUMIFS(Clips!$I:$I,Clips!$F:$F,$B74,Clips!$C:$C,"test")/60</f>
        <v>1.1923</v>
      </c>
      <c r="V74" s="15" t="n">
        <f aca="false">SUMIFS(Clips!$J:$J,Clips!$F:$F,$B74,Clips!$C:$C,"train")</f>
        <v>28</v>
      </c>
      <c r="W74" s="18" t="n">
        <f aca="false">IF(V74=0,"",Splits!$B$49/(Splits!$B$50*V74))</f>
        <v>5.56519541778976</v>
      </c>
      <c r="X74" s="15" t="str">
        <f aca="false">IF(P74&gt;0,IF(AND(Q74&gt;0,R74&gt;0),"train + val + test",IF(R74&gt;0,"train + test","train only")),IF(R74&gt;0,"test only (unknown class)",IF(K74&gt;0,"site extract only","no usable audio")))</f>
        <v>train + val + test</v>
      </c>
      <c r="Y74" s="15" t="str">
        <f aca="false">IF($P74=0,"",IF($E74="nonbird",$B74,IF($G74="yes",$B74,"other bird")))</f>
        <v>other bird</v>
      </c>
      <c r="Z74" s="15" t="str">
        <f aca="false">IF(AND($F74="core",$P74&gt;0),$B74,"")</f>
        <v>Cinnamon Woodpecker</v>
      </c>
      <c r="AA74" s="15" t="str">
        <f aca="false">IF($P74&gt;0,$B74,"")</f>
        <v>Cinnamon Woodpecker</v>
      </c>
      <c r="AB74" s="15" t="n">
        <v>10</v>
      </c>
      <c r="AC74" s="15" t="n">
        <v>8</v>
      </c>
      <c r="AD74" s="17" t="n">
        <f aca="false">IF(COUNTIFS(Clips!$F:$F,$B74,Clips!$M:$M,"&gt;0",Clips!$C:$C,"&lt;&gt;excluded")=0,"",AVERAGEIFS(Clips!$M:$M,Clips!$F:$F,$B74,Clips!$M:$M,"&gt;0",Clips!$C:$C,"&lt;&gt;excluded"))</f>
        <v>2.66666666666667</v>
      </c>
      <c r="AE74" s="15" t="n">
        <f aca="false">COUNTIFS(Clips!$F:$F,$B74,Clips!$O:$O,"&lt;&gt;",Clips!$B:$B,"&lt;&gt;site",Clips!$C:$C,"&lt;&gt;excluded")</f>
        <v>4</v>
      </c>
      <c r="AF74" s="15" t="n">
        <f aca="false">COUNTIFS(Clips!$F:$F,$B74,Clips!$I:$I,"&lt;5",Clips!$C:$C,"&lt;&gt;excluded")</f>
        <v>2</v>
      </c>
      <c r="AG74" s="5"/>
    </row>
    <row r="75" customFormat="false" ht="15" hidden="false" customHeight="false" outlineLevel="0" collapsed="false">
      <c r="A75" s="15" t="n">
        <v>115</v>
      </c>
      <c r="B75" s="15" t="s">
        <v>376</v>
      </c>
      <c r="C75" s="15" t="s">
        <v>377</v>
      </c>
      <c r="D75" s="15" t="s">
        <v>378</v>
      </c>
      <c r="E75" s="15" t="s">
        <v>147</v>
      </c>
      <c r="F75" s="15" t="s">
        <v>148</v>
      </c>
      <c r="G75" s="15" t="str">
        <f aca="false">IF(AND($E75="bird",$K75&gt;0),"yes","")</f>
        <v/>
      </c>
      <c r="H75" s="15"/>
      <c r="I75" s="15" t="str">
        <f aca="false">IF($E75="bird",IF(COUNTIF('eBird List'!$A:$A,$B75)&gt;0,"yes","no"),"")</f>
        <v>yes</v>
      </c>
      <c r="J75" s="16" t="n">
        <f aca="false">IF(COUNTIF('eBird List'!$A:$A,$B75)=0,"",INDEX('eBird List'!$C:$C,MATCH($B75,'eBird List'!$A:$A,0)))</f>
        <v>0.0809208958780081</v>
      </c>
      <c r="K75" s="15" t="n">
        <f aca="false">COUNTIFS(Clips!$B:$B,"site",Clips!$F:$F,$B75)+COUNTIFS(Clips!$B:$B,"site",Clips!$O:$O,"*"&amp;$B75&amp;"*")</f>
        <v>0</v>
      </c>
      <c r="L75" s="15" t="n">
        <f aca="false">COUNTIFS(Clips!$F:$F,$B75,Clips!$B:$B,"macaulay")</f>
        <v>12</v>
      </c>
      <c r="M75" s="15" t="n">
        <f aca="false">COUNTIFS(Clips!$F:$F,$B75,Clips!$B:$B,"xeno-canto")</f>
        <v>0</v>
      </c>
      <c r="N75" s="15" t="n">
        <f aca="false">K75+L75+M75</f>
        <v>12</v>
      </c>
      <c r="O75" s="15" t="n">
        <f aca="false">COUNTIFS(Clips!$F:$F,$B75,Clips!$C:$C,"excluded")</f>
        <v>0</v>
      </c>
      <c r="P75" s="15" t="n">
        <f aca="false">COUNTIFS(Clips!$F:$F,$B75,Clips!$C:$C,"train")</f>
        <v>8</v>
      </c>
      <c r="Q75" s="15" t="n">
        <f aca="false">COUNTIFS(Clips!$F:$F,$B75,Clips!$C:$C,"val")</f>
        <v>2</v>
      </c>
      <c r="R75" s="15" t="n">
        <f aca="false">COUNTIFS(Clips!$F:$F,$B75,Clips!$C:$C,"test")</f>
        <v>2</v>
      </c>
      <c r="S75" s="17" t="n">
        <f aca="false">SUMIFS(Clips!$I:$I,Clips!$F:$F,$B75,Clips!$C:$C,"train")/60</f>
        <v>5.73531666666667</v>
      </c>
      <c r="T75" s="17" t="n">
        <f aca="false">SUMIFS(Clips!$I:$I,Clips!$F:$F,$B75,Clips!$C:$C,"val")/60</f>
        <v>0.56025</v>
      </c>
      <c r="U75" s="17" t="n">
        <f aca="false">SUMIFS(Clips!$I:$I,Clips!$F:$F,$B75,Clips!$C:$C,"test")/60</f>
        <v>0.460116666666667</v>
      </c>
      <c r="V75" s="15" t="n">
        <f aca="false">SUMIFS(Clips!$J:$J,Clips!$F:$F,$B75,Clips!$C:$C,"train")</f>
        <v>73</v>
      </c>
      <c r="W75" s="18" t="n">
        <f aca="false">IF(V75=0,"",Splits!$B$49/(Splits!$B$50*V75))</f>
        <v>2.13459550271388</v>
      </c>
      <c r="X75" s="15" t="str">
        <f aca="false">IF(P75&gt;0,IF(AND(Q75&gt;0,R75&gt;0),"train + val + test",IF(R75&gt;0,"train + test","train only")),IF(R75&gt;0,"test only (unknown class)",IF(K75&gt;0,"site extract only","no usable audio")))</f>
        <v>train + val + test</v>
      </c>
      <c r="Y75" s="15" t="str">
        <f aca="false">IF($P75=0,"",IF($E75="nonbird",$B75,IF($G75="yes",$B75,"other bird")))</f>
        <v>other bird</v>
      </c>
      <c r="Z75" s="15" t="str">
        <f aca="false">IF(AND($F75="core",$P75&gt;0),$B75,"")</f>
        <v>Laughing Falcon</v>
      </c>
      <c r="AA75" s="15" t="str">
        <f aca="false">IF($P75&gt;0,$B75,"")</f>
        <v>Laughing Falcon</v>
      </c>
      <c r="AB75" s="15" t="n">
        <v>12</v>
      </c>
      <c r="AC75" s="15" t="n">
        <v>11</v>
      </c>
      <c r="AD75" s="17" t="n">
        <f aca="false">IF(COUNTIFS(Clips!$F:$F,$B75,Clips!$M:$M,"&gt;0",Clips!$C:$C,"&lt;&gt;excluded")=0,"",AVERAGEIFS(Clips!$M:$M,Clips!$F:$F,$B75,Clips!$M:$M,"&gt;0",Clips!$C:$C,"&lt;&gt;excluded"))</f>
        <v>3.14285714285714</v>
      </c>
      <c r="AE75" s="15" t="n">
        <f aca="false">COUNTIFS(Clips!$F:$F,$B75,Clips!$O:$O,"&lt;&gt;",Clips!$B:$B,"&lt;&gt;site",Clips!$C:$C,"&lt;&gt;excluded")</f>
        <v>0</v>
      </c>
      <c r="AF75" s="15" t="n">
        <f aca="false">COUNTIFS(Clips!$F:$F,$B75,Clips!$I:$I,"&lt;5",Clips!$C:$C,"&lt;&gt;excluded")</f>
        <v>0</v>
      </c>
      <c r="AG75" s="5"/>
    </row>
    <row r="76" customFormat="false" ht="15" hidden="false" customHeight="false" outlineLevel="0" collapsed="false">
      <c r="A76" s="15" t="n">
        <v>119</v>
      </c>
      <c r="B76" s="15" t="s">
        <v>379</v>
      </c>
      <c r="C76" s="15" t="s">
        <v>380</v>
      </c>
      <c r="D76" s="15" t="s">
        <v>381</v>
      </c>
      <c r="E76" s="15" t="s">
        <v>147</v>
      </c>
      <c r="F76" s="15" t="s">
        <v>148</v>
      </c>
      <c r="G76" s="15" t="str">
        <f aca="false">IF(AND($E76="bird",$K76&gt;0),"yes","")</f>
        <v/>
      </c>
      <c r="H76" s="15"/>
      <c r="I76" s="15" t="str">
        <f aca="false">IF($E76="bird",IF(COUNTIF('eBird List'!$A:$A,$B76)&gt;0,"yes","no"),"")</f>
        <v>yes</v>
      </c>
      <c r="J76" s="16" t="n">
        <f aca="false">IF(COUNTIF('eBird List'!$A:$A,$B76)=0,"",INDEX('eBird List'!$C:$C,MATCH($B76,'eBird List'!$A:$A,0)))</f>
        <v>0.198564450798189</v>
      </c>
      <c r="K76" s="15" t="n">
        <f aca="false">COUNTIFS(Clips!$B:$B,"site",Clips!$F:$F,$B76)+COUNTIFS(Clips!$B:$B,"site",Clips!$O:$O,"*"&amp;$B76&amp;"*")</f>
        <v>0</v>
      </c>
      <c r="L76" s="15" t="n">
        <f aca="false">COUNTIFS(Clips!$F:$F,$B76,Clips!$B:$B,"macaulay")</f>
        <v>12</v>
      </c>
      <c r="M76" s="15" t="n">
        <f aca="false">COUNTIFS(Clips!$F:$F,$B76,Clips!$B:$B,"xeno-canto")</f>
        <v>0</v>
      </c>
      <c r="N76" s="15" t="n">
        <f aca="false">K76+L76+M76</f>
        <v>12</v>
      </c>
      <c r="O76" s="15" t="n">
        <f aca="false">COUNTIFS(Clips!$F:$F,$B76,Clips!$C:$C,"excluded")</f>
        <v>0</v>
      </c>
      <c r="P76" s="15" t="n">
        <f aca="false">COUNTIFS(Clips!$F:$F,$B76,Clips!$C:$C,"train")</f>
        <v>8</v>
      </c>
      <c r="Q76" s="15" t="n">
        <f aca="false">COUNTIFS(Clips!$F:$F,$B76,Clips!$C:$C,"val")</f>
        <v>2</v>
      </c>
      <c r="R76" s="15" t="n">
        <f aca="false">COUNTIFS(Clips!$F:$F,$B76,Clips!$C:$C,"test")</f>
        <v>2</v>
      </c>
      <c r="S76" s="17" t="n">
        <f aca="false">SUMIFS(Clips!$I:$I,Clips!$F:$F,$B76,Clips!$C:$C,"train")/60</f>
        <v>5.15655</v>
      </c>
      <c r="T76" s="17" t="n">
        <f aca="false">SUMIFS(Clips!$I:$I,Clips!$F:$F,$B76,Clips!$C:$C,"val")/60</f>
        <v>5.607</v>
      </c>
      <c r="U76" s="17" t="n">
        <f aca="false">SUMIFS(Clips!$I:$I,Clips!$F:$F,$B76,Clips!$C:$C,"test")/60</f>
        <v>4.14596666666667</v>
      </c>
      <c r="V76" s="15" t="n">
        <f aca="false">SUMIFS(Clips!$J:$J,Clips!$F:$F,$B76,Clips!$C:$C,"train")</f>
        <v>67</v>
      </c>
      <c r="W76" s="18" t="n">
        <f aca="false">IF(V76=0,"",Splits!$B$49/(Splits!$B$50*V76))</f>
        <v>2.32575330892706</v>
      </c>
      <c r="X76" s="15" t="str">
        <f aca="false">IF(P76&gt;0,IF(AND(Q76&gt;0,R76&gt;0),"train + val + test",IF(R76&gt;0,"train + test","train only")),IF(R76&gt;0,"test only (unknown class)",IF(K76&gt;0,"site extract only","no usable audio")))</f>
        <v>train + val + test</v>
      </c>
      <c r="Y76" s="15" t="str">
        <f aca="false">IF($P76=0,"",IF($E76="nonbird",$B76,IF($G76="yes",$B76,"other bird")))</f>
        <v>other bird</v>
      </c>
      <c r="Z76" s="15" t="str">
        <f aca="false">IF(AND($F76="core",$P76&gt;0),$B76,"")</f>
        <v>Long-billed Hermit</v>
      </c>
      <c r="AA76" s="15" t="str">
        <f aca="false">IF($P76&gt;0,$B76,"")</f>
        <v>Long-billed Hermit</v>
      </c>
      <c r="AB76" s="15" t="n">
        <v>12</v>
      </c>
      <c r="AC76" s="15" t="n">
        <v>9</v>
      </c>
      <c r="AD76" s="17" t="n">
        <f aca="false">IF(COUNTIFS(Clips!$F:$F,$B76,Clips!$M:$M,"&gt;0",Clips!$C:$C,"&lt;&gt;excluded")=0,"",AVERAGEIFS(Clips!$M:$M,Clips!$F:$F,$B76,Clips!$M:$M,"&gt;0",Clips!$C:$C,"&lt;&gt;excluded"))</f>
        <v>2.85</v>
      </c>
      <c r="AE76" s="15" t="n">
        <f aca="false">COUNTIFS(Clips!$F:$F,$B76,Clips!$O:$O,"&lt;&gt;",Clips!$B:$B,"&lt;&gt;site",Clips!$C:$C,"&lt;&gt;excluded")</f>
        <v>0</v>
      </c>
      <c r="AF76" s="15" t="n">
        <f aca="false">COUNTIFS(Clips!$F:$F,$B76,Clips!$I:$I,"&lt;5",Clips!$C:$C,"&lt;&gt;excluded")</f>
        <v>0</v>
      </c>
      <c r="AG76" s="5"/>
    </row>
    <row r="77" customFormat="false" ht="15" hidden="false" customHeight="false" outlineLevel="0" collapsed="false">
      <c r="A77" s="15" t="n">
        <v>135</v>
      </c>
      <c r="B77" s="15" t="s">
        <v>382</v>
      </c>
      <c r="C77" s="15" t="s">
        <v>383</v>
      </c>
      <c r="D77" s="15" t="s">
        <v>384</v>
      </c>
      <c r="E77" s="15" t="s">
        <v>147</v>
      </c>
      <c r="F77" s="15" t="s">
        <v>148</v>
      </c>
      <c r="G77" s="15" t="str">
        <f aca="false">IF(AND($E77="bird",$K77&gt;0),"yes","")</f>
        <v/>
      </c>
      <c r="H77" s="15"/>
      <c r="I77" s="15" t="str">
        <f aca="false">IF($E77="bird",IF(COUNTIF('eBird List'!$A:$A,$B77)&gt;0,"yes","no"),"")</f>
        <v>yes</v>
      </c>
      <c r="J77" s="16" t="n">
        <f aca="false">IF(COUNTIF('eBird List'!$A:$A,$B77)=0,"",INDEX('eBird List'!$C:$C,MATCH($B77,'eBird List'!$A:$A,0)))</f>
        <v>0.0675184655706457</v>
      </c>
      <c r="K77" s="15" t="n">
        <f aca="false">COUNTIFS(Clips!$B:$B,"site",Clips!$F:$F,$B77)+COUNTIFS(Clips!$B:$B,"site",Clips!$O:$O,"*"&amp;$B77&amp;"*")</f>
        <v>0</v>
      </c>
      <c r="L77" s="15" t="n">
        <f aca="false">COUNTIFS(Clips!$F:$F,$B77,Clips!$B:$B,"macaulay")</f>
        <v>12</v>
      </c>
      <c r="M77" s="15" t="n">
        <f aca="false">COUNTIFS(Clips!$F:$F,$B77,Clips!$B:$B,"xeno-canto")</f>
        <v>0</v>
      </c>
      <c r="N77" s="15" t="n">
        <f aca="false">K77+L77+M77</f>
        <v>12</v>
      </c>
      <c r="O77" s="15" t="n">
        <f aca="false">COUNTIFS(Clips!$F:$F,$B77,Clips!$C:$C,"excluded")</f>
        <v>0</v>
      </c>
      <c r="P77" s="15" t="n">
        <f aca="false">COUNTIFS(Clips!$F:$F,$B77,Clips!$C:$C,"train")</f>
        <v>8</v>
      </c>
      <c r="Q77" s="15" t="n">
        <f aca="false">COUNTIFS(Clips!$F:$F,$B77,Clips!$C:$C,"val")</f>
        <v>2</v>
      </c>
      <c r="R77" s="15" t="n">
        <f aca="false">COUNTIFS(Clips!$F:$F,$B77,Clips!$C:$C,"test")</f>
        <v>2</v>
      </c>
      <c r="S77" s="17" t="n">
        <f aca="false">SUMIFS(Clips!$I:$I,Clips!$F:$F,$B77,Clips!$C:$C,"train")/60</f>
        <v>3.37525</v>
      </c>
      <c r="T77" s="17" t="n">
        <f aca="false">SUMIFS(Clips!$I:$I,Clips!$F:$F,$B77,Clips!$C:$C,"val")/60</f>
        <v>1.8901</v>
      </c>
      <c r="U77" s="17" t="n">
        <f aca="false">SUMIFS(Clips!$I:$I,Clips!$F:$F,$B77,Clips!$C:$C,"test")/60</f>
        <v>0.472316666666667</v>
      </c>
      <c r="V77" s="15" t="n">
        <f aca="false">SUMIFS(Clips!$J:$J,Clips!$F:$F,$B77,Clips!$C:$C,"train")</f>
        <v>45</v>
      </c>
      <c r="W77" s="18" t="n">
        <f aca="false">IF(V77=0,"",Splits!$B$49/(Splits!$B$50*V77))</f>
        <v>3.46278825995807</v>
      </c>
      <c r="X77" s="15" t="str">
        <f aca="false">IF(P77&gt;0,IF(AND(Q77&gt;0,R77&gt;0),"train + val + test",IF(R77&gt;0,"train + test","train only")),IF(R77&gt;0,"test only (unknown class)",IF(K77&gt;0,"site extract only","no usable audio")))</f>
        <v>train + val + test</v>
      </c>
      <c r="Y77" s="15" t="str">
        <f aca="false">IF($P77=0,"",IF($E77="nonbird",$B77,IF($G77="yes",$B77,"other bird")))</f>
        <v>other bird</v>
      </c>
      <c r="Z77" s="15" t="str">
        <f aca="false">IF(AND($F77="core",$P77&gt;0),$B77,"")</f>
        <v>Northern Plain-Xenops</v>
      </c>
      <c r="AA77" s="15" t="str">
        <f aca="false">IF($P77&gt;0,$B77,"")</f>
        <v>Northern Plain-Xenops</v>
      </c>
      <c r="AB77" s="15" t="n">
        <v>10</v>
      </c>
      <c r="AC77" s="15" t="n">
        <v>9</v>
      </c>
      <c r="AD77" s="17" t="n">
        <f aca="false">IF(COUNTIFS(Clips!$F:$F,$B77,Clips!$M:$M,"&gt;0",Clips!$C:$C,"&lt;&gt;excluded")=0,"",AVERAGEIFS(Clips!$M:$M,Clips!$F:$F,$B77,Clips!$M:$M,"&gt;0",Clips!$C:$C,"&lt;&gt;excluded"))</f>
        <v>2.63636363636364</v>
      </c>
      <c r="AE77" s="15" t="n">
        <f aca="false">COUNTIFS(Clips!$F:$F,$B77,Clips!$O:$O,"&lt;&gt;",Clips!$B:$B,"&lt;&gt;site",Clips!$C:$C,"&lt;&gt;excluded")</f>
        <v>0</v>
      </c>
      <c r="AF77" s="15" t="n">
        <f aca="false">COUNTIFS(Clips!$F:$F,$B77,Clips!$I:$I,"&lt;5",Clips!$C:$C,"&lt;&gt;excluded")</f>
        <v>1</v>
      </c>
      <c r="AG77" s="5"/>
    </row>
    <row r="78" customFormat="false" ht="15" hidden="false" customHeight="false" outlineLevel="0" collapsed="false">
      <c r="A78" s="15" t="n">
        <v>152</v>
      </c>
      <c r="B78" s="15" t="s">
        <v>385</v>
      </c>
      <c r="C78" s="15" t="s">
        <v>386</v>
      </c>
      <c r="D78" s="15" t="s">
        <v>387</v>
      </c>
      <c r="E78" s="15" t="s">
        <v>147</v>
      </c>
      <c r="F78" s="15" t="s">
        <v>148</v>
      </c>
      <c r="G78" s="15" t="str">
        <f aca="false">IF(AND($E78="bird",$K78&gt;0),"yes","")</f>
        <v/>
      </c>
      <c r="H78" s="15"/>
      <c r="I78" s="15" t="str">
        <f aca="false">IF($E78="bird",IF(COUNTIF('eBird List'!$A:$A,$B78)&gt;0,"yes","no"),"")</f>
        <v>yes</v>
      </c>
      <c r="J78" s="16" t="n">
        <f aca="false">IF(COUNTIF('eBird List'!$A:$A,$B78)=0,"",INDEX('eBird List'!$C:$C,MATCH($B78,'eBird List'!$A:$A,0)))</f>
        <v>0.104836788182035</v>
      </c>
      <c r="K78" s="15" t="n">
        <f aca="false">COUNTIFS(Clips!$B:$B,"site",Clips!$F:$F,$B78)+COUNTIFS(Clips!$B:$B,"site",Clips!$O:$O,"*"&amp;$B78&amp;"*")</f>
        <v>0</v>
      </c>
      <c r="L78" s="15" t="n">
        <f aca="false">COUNTIFS(Clips!$F:$F,$B78,Clips!$B:$B,"macaulay")</f>
        <v>12</v>
      </c>
      <c r="M78" s="15" t="n">
        <f aca="false">COUNTIFS(Clips!$F:$F,$B78,Clips!$B:$B,"xeno-canto")</f>
        <v>0</v>
      </c>
      <c r="N78" s="15" t="n">
        <f aca="false">K78+L78+M78</f>
        <v>12</v>
      </c>
      <c r="O78" s="15" t="n">
        <f aca="false">COUNTIFS(Clips!$F:$F,$B78,Clips!$C:$C,"excluded")</f>
        <v>0</v>
      </c>
      <c r="P78" s="15" t="n">
        <f aca="false">COUNTIFS(Clips!$F:$F,$B78,Clips!$C:$C,"train")</f>
        <v>8</v>
      </c>
      <c r="Q78" s="15" t="n">
        <f aca="false">COUNTIFS(Clips!$F:$F,$B78,Clips!$C:$C,"val")</f>
        <v>2</v>
      </c>
      <c r="R78" s="15" t="n">
        <f aca="false">COUNTIFS(Clips!$F:$F,$B78,Clips!$C:$C,"test")</f>
        <v>2</v>
      </c>
      <c r="S78" s="17" t="n">
        <f aca="false">SUMIFS(Clips!$I:$I,Clips!$F:$F,$B78,Clips!$C:$C,"train")/60</f>
        <v>8.328</v>
      </c>
      <c r="T78" s="17" t="n">
        <f aca="false">SUMIFS(Clips!$I:$I,Clips!$F:$F,$B78,Clips!$C:$C,"val")/60</f>
        <v>2.09188333333333</v>
      </c>
      <c r="U78" s="17" t="n">
        <f aca="false">SUMIFS(Clips!$I:$I,Clips!$F:$F,$B78,Clips!$C:$C,"test")/60</f>
        <v>0.405816666666667</v>
      </c>
      <c r="V78" s="15" t="n">
        <f aca="false">SUMIFS(Clips!$J:$J,Clips!$F:$F,$B78,Clips!$C:$C,"train")</f>
        <v>104</v>
      </c>
      <c r="W78" s="18" t="n">
        <f aca="false">IF(V78=0,"",Splits!$B$49/(Splits!$B$50*V78))</f>
        <v>1.49832184325109</v>
      </c>
      <c r="X78" s="15" t="str">
        <f aca="false">IF(P78&gt;0,IF(AND(Q78&gt;0,R78&gt;0),"train + val + test",IF(R78&gt;0,"train + test","train only")),IF(R78&gt;0,"test only (unknown class)",IF(K78&gt;0,"site extract only","no usable audio")))</f>
        <v>train + val + test</v>
      </c>
      <c r="Y78" s="15" t="str">
        <f aca="false">IF($P78=0,"",IF($E78="nonbird",$B78,IF($G78="yes",$B78,"other bird")))</f>
        <v>other bird</v>
      </c>
      <c r="Z78" s="15" t="str">
        <f aca="false">IF(AND($F78="core",$P78&gt;0),$B78,"")</f>
        <v>Plain-brown Woodcreeper</v>
      </c>
      <c r="AA78" s="15" t="str">
        <f aca="false">IF($P78&gt;0,$B78,"")</f>
        <v>Plain-brown Woodcreeper</v>
      </c>
      <c r="AB78" s="15" t="n">
        <v>10</v>
      </c>
      <c r="AC78" s="15" t="n">
        <v>9</v>
      </c>
      <c r="AD78" s="17" t="n">
        <f aca="false">IF(COUNTIFS(Clips!$F:$F,$B78,Clips!$M:$M,"&gt;0",Clips!$C:$C,"&lt;&gt;excluded")=0,"",AVERAGEIFS(Clips!$M:$M,Clips!$F:$F,$B78,Clips!$M:$M,"&gt;0",Clips!$C:$C,"&lt;&gt;excluded"))</f>
        <v>1.67</v>
      </c>
      <c r="AE78" s="15" t="n">
        <f aca="false">COUNTIFS(Clips!$F:$F,$B78,Clips!$O:$O,"&lt;&gt;",Clips!$B:$B,"&lt;&gt;site",Clips!$C:$C,"&lt;&gt;excluded")</f>
        <v>3</v>
      </c>
      <c r="AF78" s="15" t="n">
        <f aca="false">COUNTIFS(Clips!$F:$F,$B78,Clips!$I:$I,"&lt;5",Clips!$C:$C,"&lt;&gt;excluded")</f>
        <v>0</v>
      </c>
      <c r="AG78" s="5"/>
    </row>
    <row r="79" customFormat="false" ht="15" hidden="false" customHeight="false" outlineLevel="0" collapsed="false">
      <c r="A79" s="15" t="n">
        <v>220</v>
      </c>
      <c r="B79" s="15" t="s">
        <v>388</v>
      </c>
      <c r="C79" s="15" t="s">
        <v>389</v>
      </c>
      <c r="D79" s="15" t="s">
        <v>390</v>
      </c>
      <c r="E79" s="15" t="s">
        <v>147</v>
      </c>
      <c r="F79" s="15" t="s">
        <v>148</v>
      </c>
      <c r="G79" s="15" t="str">
        <f aca="false">IF(AND($E79="bird",$K79&gt;0),"yes","")</f>
        <v/>
      </c>
      <c r="H79" s="15"/>
      <c r="I79" s="15" t="str">
        <f aca="false">IF($E79="bird",IF(COUNTIF('eBird List'!$A:$A,$B79)&gt;0,"yes","no"),"")</f>
        <v>yes</v>
      </c>
      <c r="J79" s="16" t="n">
        <f aca="false">IF(COUNTIF('eBird List'!$A:$A,$B79)=0,"",INDEX('eBird List'!$C:$C,MATCH($B79,'eBird List'!$A:$A,0)))</f>
        <v>0.209494877293305</v>
      </c>
      <c r="K79" s="15" t="n">
        <f aca="false">COUNTIFS(Clips!$B:$B,"site",Clips!$F:$F,$B79)+COUNTIFS(Clips!$B:$B,"site",Clips!$O:$O,"*"&amp;$B79&amp;"*")</f>
        <v>0</v>
      </c>
      <c r="L79" s="15" t="n">
        <f aca="false">COUNTIFS(Clips!$F:$F,$B79,Clips!$B:$B,"macaulay")</f>
        <v>12</v>
      </c>
      <c r="M79" s="15" t="n">
        <f aca="false">COUNTIFS(Clips!$F:$F,$B79,Clips!$B:$B,"xeno-canto")</f>
        <v>0</v>
      </c>
      <c r="N79" s="15" t="n">
        <f aca="false">K79+L79+M79</f>
        <v>12</v>
      </c>
      <c r="O79" s="15" t="n">
        <f aca="false">COUNTIFS(Clips!$F:$F,$B79,Clips!$C:$C,"excluded")</f>
        <v>0</v>
      </c>
      <c r="P79" s="15" t="n">
        <f aca="false">COUNTIFS(Clips!$F:$F,$B79,Clips!$C:$C,"train")</f>
        <v>8</v>
      </c>
      <c r="Q79" s="15" t="n">
        <f aca="false">COUNTIFS(Clips!$F:$F,$B79,Clips!$C:$C,"val")</f>
        <v>2</v>
      </c>
      <c r="R79" s="15" t="n">
        <f aca="false">COUNTIFS(Clips!$F:$F,$B79,Clips!$C:$C,"test")</f>
        <v>2</v>
      </c>
      <c r="S79" s="17" t="n">
        <f aca="false">SUMIFS(Clips!$I:$I,Clips!$F:$F,$B79,Clips!$C:$C,"train")/60</f>
        <v>2.56968333333333</v>
      </c>
      <c r="T79" s="17" t="n">
        <f aca="false">SUMIFS(Clips!$I:$I,Clips!$F:$F,$B79,Clips!$C:$C,"val")/60</f>
        <v>2.30231666666667</v>
      </c>
      <c r="U79" s="17" t="n">
        <f aca="false">SUMIFS(Clips!$I:$I,Clips!$F:$F,$B79,Clips!$C:$C,"test")/60</f>
        <v>1.67343333333333</v>
      </c>
      <c r="V79" s="15" t="n">
        <f aca="false">SUMIFS(Clips!$J:$J,Clips!$F:$F,$B79,Clips!$C:$C,"train")</f>
        <v>35</v>
      </c>
      <c r="W79" s="18" t="n">
        <f aca="false">IF(V79=0,"",Splits!$B$49/(Splits!$B$50*V79))</f>
        <v>4.45215633423181</v>
      </c>
      <c r="X79" s="15" t="str">
        <f aca="false">IF(P79&gt;0,IF(AND(Q79&gt;0,R79&gt;0),"train + val + test",IF(R79&gt;0,"train + test","train only")),IF(R79&gt;0,"test only (unknown class)",IF(K79&gt;0,"site extract only","no usable audio")))</f>
        <v>train + val + test</v>
      </c>
      <c r="Y79" s="15" t="str">
        <f aca="false">IF($P79=0,"",IF($E79="nonbird",$B79,IF($G79="yes",$B79,"other bird")))</f>
        <v>other bird</v>
      </c>
      <c r="Z79" s="15" t="str">
        <f aca="false">IF(AND($F79="core",$P79&gt;0),$B79,"")</f>
        <v>White-crowned Parrot</v>
      </c>
      <c r="AA79" s="15" t="str">
        <f aca="false">IF($P79&gt;0,$B79,"")</f>
        <v>White-crowned Parrot</v>
      </c>
      <c r="AB79" s="15" t="n">
        <v>11</v>
      </c>
      <c r="AC79" s="15" t="n">
        <v>10</v>
      </c>
      <c r="AD79" s="17" t="n">
        <f aca="false">IF(COUNTIFS(Clips!$F:$F,$B79,Clips!$M:$M,"&gt;0",Clips!$C:$C,"&lt;&gt;excluded")=0,"",AVERAGEIFS(Clips!$M:$M,Clips!$F:$F,$B79,Clips!$M:$M,"&gt;0",Clips!$C:$C,"&lt;&gt;excluded"))</f>
        <v>3.215</v>
      </c>
      <c r="AE79" s="15" t="n">
        <f aca="false">COUNTIFS(Clips!$F:$F,$B79,Clips!$O:$O,"&lt;&gt;",Clips!$B:$B,"&lt;&gt;site",Clips!$C:$C,"&lt;&gt;excluded")</f>
        <v>2</v>
      </c>
      <c r="AF79" s="15" t="n">
        <f aca="false">COUNTIFS(Clips!$F:$F,$B79,Clips!$I:$I,"&lt;5",Clips!$C:$C,"&lt;&gt;excluded")</f>
        <v>0</v>
      </c>
      <c r="AG79" s="5"/>
    </row>
    <row r="80" customFormat="false" ht="15" hidden="false" customHeight="false" outlineLevel="0" collapsed="false">
      <c r="A80" s="15" t="n">
        <v>223</v>
      </c>
      <c r="B80" s="15" t="s">
        <v>391</v>
      </c>
      <c r="C80" s="15" t="s">
        <v>392</v>
      </c>
      <c r="D80" s="15" t="s">
        <v>393</v>
      </c>
      <c r="E80" s="15" t="s">
        <v>147</v>
      </c>
      <c r="F80" s="15" t="s">
        <v>148</v>
      </c>
      <c r="G80" s="15" t="str">
        <f aca="false">IF(AND($E80="bird",$K80&gt;0),"yes","")</f>
        <v/>
      </c>
      <c r="H80" s="15"/>
      <c r="I80" s="15" t="str">
        <f aca="false">IF($E80="bird",IF(COUNTIF('eBird List'!$A:$A,$B80)&gt;0,"yes","no"),"")</f>
        <v>yes</v>
      </c>
      <c r="J80" s="16" t="n">
        <f aca="false">IF(COUNTIF('eBird List'!$A:$A,$B80)=0,"",INDEX('eBird List'!$C:$C,MATCH($B80,'eBird List'!$A:$A,0)))</f>
        <v>0.0275196568977841</v>
      </c>
      <c r="K80" s="15" t="n">
        <f aca="false">COUNTIFS(Clips!$B:$B,"site",Clips!$F:$F,$B80)+COUNTIFS(Clips!$B:$B,"site",Clips!$O:$O,"*"&amp;$B80&amp;"*")</f>
        <v>0</v>
      </c>
      <c r="L80" s="15" t="n">
        <f aca="false">COUNTIFS(Clips!$F:$F,$B80,Clips!$B:$B,"macaulay")</f>
        <v>12</v>
      </c>
      <c r="M80" s="15" t="n">
        <f aca="false">COUNTIFS(Clips!$F:$F,$B80,Clips!$B:$B,"xeno-canto")</f>
        <v>0</v>
      </c>
      <c r="N80" s="15" t="n">
        <f aca="false">K80+L80+M80</f>
        <v>12</v>
      </c>
      <c r="O80" s="15" t="n">
        <f aca="false">COUNTIFS(Clips!$F:$F,$B80,Clips!$C:$C,"excluded")</f>
        <v>0</v>
      </c>
      <c r="P80" s="15" t="n">
        <f aca="false">COUNTIFS(Clips!$F:$F,$B80,Clips!$C:$C,"train")</f>
        <v>8</v>
      </c>
      <c r="Q80" s="15" t="n">
        <f aca="false">COUNTIFS(Clips!$F:$F,$B80,Clips!$C:$C,"val")</f>
        <v>2</v>
      </c>
      <c r="R80" s="15" t="n">
        <f aca="false">COUNTIFS(Clips!$F:$F,$B80,Clips!$C:$C,"test")</f>
        <v>2</v>
      </c>
      <c r="S80" s="17" t="n">
        <f aca="false">SUMIFS(Clips!$I:$I,Clips!$F:$F,$B80,Clips!$C:$C,"train")/60</f>
        <v>36.5118333333333</v>
      </c>
      <c r="T80" s="17" t="n">
        <f aca="false">SUMIFS(Clips!$I:$I,Clips!$F:$F,$B80,Clips!$C:$C,"val")/60</f>
        <v>15.1212166666667</v>
      </c>
      <c r="U80" s="17" t="n">
        <f aca="false">SUMIFS(Clips!$I:$I,Clips!$F:$F,$B80,Clips!$C:$C,"test")/60</f>
        <v>0.744733333333333</v>
      </c>
      <c r="V80" s="15" t="n">
        <f aca="false">SUMIFS(Clips!$J:$J,Clips!$F:$F,$B80,Clips!$C:$C,"train")</f>
        <v>355</v>
      </c>
      <c r="W80" s="18" t="n">
        <f aca="false">IF(V80=0,"",Splits!$B$49/(Splits!$B$50*V80))</f>
        <v>0.43894499069891</v>
      </c>
      <c r="X80" s="15" t="str">
        <f aca="false">IF(P80&gt;0,IF(AND(Q80&gt;0,R80&gt;0),"train + val + test",IF(R80&gt;0,"train + test","train only")),IF(R80&gt;0,"test only (unknown class)",IF(K80&gt;0,"site extract only","no usable audio")))</f>
        <v>train + val + test</v>
      </c>
      <c r="Y80" s="15" t="str">
        <f aca="false">IF($P80=0,"",IF($E80="nonbird",$B80,IF($G80="yes",$B80,"other bird")))</f>
        <v>other bird</v>
      </c>
      <c r="Z80" s="15" t="str">
        <f aca="false">IF(AND($F80="core",$P80&gt;0),$B80,"")</f>
        <v>White-fronted Nunbird</v>
      </c>
      <c r="AA80" s="15" t="str">
        <f aca="false">IF($P80&gt;0,$B80,"")</f>
        <v>White-fronted Nunbird</v>
      </c>
      <c r="AB80" s="15" t="n">
        <v>10</v>
      </c>
      <c r="AC80" s="15" t="n">
        <v>8</v>
      </c>
      <c r="AD80" s="17" t="n">
        <f aca="false">IF(COUNTIFS(Clips!$F:$F,$B80,Clips!$M:$M,"&gt;0",Clips!$C:$C,"&lt;&gt;excluded")=0,"",AVERAGEIFS(Clips!$M:$M,Clips!$F:$F,$B80,Clips!$M:$M,"&gt;0",Clips!$C:$C,"&lt;&gt;excluded"))</f>
        <v>3.04545454545455</v>
      </c>
      <c r="AE80" s="15" t="n">
        <f aca="false">COUNTIFS(Clips!$F:$F,$B80,Clips!$O:$O,"&lt;&gt;",Clips!$B:$B,"&lt;&gt;site",Clips!$C:$C,"&lt;&gt;excluded")</f>
        <v>2</v>
      </c>
      <c r="AF80" s="15" t="n">
        <f aca="false">COUNTIFS(Clips!$F:$F,$B80,Clips!$I:$I,"&lt;5",Clips!$C:$C,"&lt;&gt;excluded")</f>
        <v>0</v>
      </c>
      <c r="AG80" s="5"/>
    </row>
    <row r="81" customFormat="false" ht="15" hidden="false" customHeight="false" outlineLevel="0" collapsed="false">
      <c r="A81" s="15" t="n">
        <v>235</v>
      </c>
      <c r="B81" s="15" t="s">
        <v>394</v>
      </c>
      <c r="C81" s="15" t="s">
        <v>395</v>
      </c>
      <c r="D81" s="15" t="s">
        <v>396</v>
      </c>
      <c r="E81" s="15" t="s">
        <v>147</v>
      </c>
      <c r="F81" s="15" t="s">
        <v>148</v>
      </c>
      <c r="G81" s="15" t="str">
        <f aca="false">IF(AND($E81="bird",$K81&gt;0),"yes","")</f>
        <v/>
      </c>
      <c r="H81" s="15"/>
      <c r="I81" s="15" t="str">
        <f aca="false">IF($E81="bird",IF(COUNTIF('eBird List'!$A:$A,$B81)&gt;0,"yes","no"),"")</f>
        <v>yes</v>
      </c>
      <c r="J81" s="16" t="n">
        <f aca="false">IF(COUNTIF('eBird List'!$A:$A,$B81)=0,"",INDEX('eBird List'!$C:$C,MATCH($B81,'eBird List'!$A:$A,0)))</f>
        <v>0.114367405289492</v>
      </c>
      <c r="K81" s="15" t="n">
        <f aca="false">COUNTIFS(Clips!$B:$B,"site",Clips!$F:$F,$B81)+COUNTIFS(Clips!$B:$B,"site",Clips!$O:$O,"*"&amp;$B81&amp;"*")</f>
        <v>0</v>
      </c>
      <c r="L81" s="15" t="n">
        <f aca="false">COUNTIFS(Clips!$F:$F,$B81,Clips!$B:$B,"macaulay")</f>
        <v>13</v>
      </c>
      <c r="M81" s="15" t="n">
        <f aca="false">COUNTIFS(Clips!$F:$F,$B81,Clips!$B:$B,"xeno-canto")</f>
        <v>0</v>
      </c>
      <c r="N81" s="15" t="n">
        <f aca="false">K81+L81+M81</f>
        <v>13</v>
      </c>
      <c r="O81" s="15" t="n">
        <f aca="false">COUNTIFS(Clips!$F:$F,$B81,Clips!$C:$C,"excluded")</f>
        <v>1</v>
      </c>
      <c r="P81" s="15" t="n">
        <f aca="false">COUNTIFS(Clips!$F:$F,$B81,Clips!$C:$C,"train")</f>
        <v>8</v>
      </c>
      <c r="Q81" s="15" t="n">
        <f aca="false">COUNTIFS(Clips!$F:$F,$B81,Clips!$C:$C,"val")</f>
        <v>2</v>
      </c>
      <c r="R81" s="15" t="n">
        <f aca="false">COUNTIFS(Clips!$F:$F,$B81,Clips!$C:$C,"test")</f>
        <v>2</v>
      </c>
      <c r="S81" s="17" t="n">
        <f aca="false">SUMIFS(Clips!$I:$I,Clips!$F:$F,$B81,Clips!$C:$C,"train")/60</f>
        <v>4.46885</v>
      </c>
      <c r="T81" s="17" t="n">
        <f aca="false">SUMIFS(Clips!$I:$I,Clips!$F:$F,$B81,Clips!$C:$C,"val")/60</f>
        <v>0.7801</v>
      </c>
      <c r="U81" s="17" t="n">
        <f aca="false">SUMIFS(Clips!$I:$I,Clips!$F:$F,$B81,Clips!$C:$C,"test")/60</f>
        <v>4.67863333333333</v>
      </c>
      <c r="V81" s="15" t="n">
        <f aca="false">SUMIFS(Clips!$J:$J,Clips!$F:$F,$B81,Clips!$C:$C,"train")</f>
        <v>57</v>
      </c>
      <c r="W81" s="18" t="n">
        <f aca="false">IF(V81=0,"",Splits!$B$49/(Splits!$B$50*V81))</f>
        <v>2.73378020523006</v>
      </c>
      <c r="X81" s="15" t="str">
        <f aca="false">IF(P81&gt;0,IF(AND(Q81&gt;0,R81&gt;0),"train + val + test",IF(R81&gt;0,"train + test","train only")),IF(R81&gt;0,"test only (unknown class)",IF(K81&gt;0,"site extract only","no usable audio")))</f>
        <v>train + val + test</v>
      </c>
      <c r="Y81" s="15" t="str">
        <f aca="false">IF($P81=0,"",IF($E81="nonbird",$B81,IF($G81="yes",$B81,"other bird")))</f>
        <v>other bird</v>
      </c>
      <c r="Z81" s="15" t="str">
        <f aca="false">IF(AND($F81="core",$P81&gt;0),$B81,"")</f>
        <v>Wood Thrush</v>
      </c>
      <c r="AA81" s="15" t="str">
        <f aca="false">IF($P81&gt;0,$B81,"")</f>
        <v>Wood Thrush</v>
      </c>
      <c r="AB81" s="15" t="n">
        <v>11</v>
      </c>
      <c r="AC81" s="15" t="n">
        <v>7</v>
      </c>
      <c r="AD81" s="17" t="n">
        <f aca="false">IF(COUNTIFS(Clips!$F:$F,$B81,Clips!$M:$M,"&gt;0",Clips!$C:$C,"&lt;&gt;excluded")=0,"",AVERAGEIFS(Clips!$M:$M,Clips!$F:$F,$B81,Clips!$M:$M,"&gt;0",Clips!$C:$C,"&lt;&gt;excluded"))</f>
        <v>3.317</v>
      </c>
      <c r="AE81" s="15" t="n">
        <f aca="false">COUNTIFS(Clips!$F:$F,$B81,Clips!$O:$O,"&lt;&gt;",Clips!$B:$B,"&lt;&gt;site",Clips!$C:$C,"&lt;&gt;excluded")</f>
        <v>2</v>
      </c>
      <c r="AF81" s="15" t="n">
        <f aca="false">COUNTIFS(Clips!$F:$F,$B81,Clips!$I:$I,"&lt;5",Clips!$C:$C,"&lt;&gt;excluded")</f>
        <v>0</v>
      </c>
      <c r="AG81" s="5"/>
    </row>
    <row r="82" customFormat="false" ht="15" hidden="false" customHeight="false" outlineLevel="0" collapsed="false">
      <c r="A82" s="15" t="n">
        <v>3</v>
      </c>
      <c r="B82" s="15" t="s">
        <v>397</v>
      </c>
      <c r="C82" s="15" t="s">
        <v>398</v>
      </c>
      <c r="D82" s="15" t="s">
        <v>399</v>
      </c>
      <c r="E82" s="15" t="s">
        <v>147</v>
      </c>
      <c r="F82" s="15" t="s">
        <v>400</v>
      </c>
      <c r="G82" s="15" t="str">
        <f aca="false">IF(AND($E82="bird",$K82&gt;0),"yes","")</f>
        <v/>
      </c>
      <c r="H82" s="15"/>
      <c r="I82" s="15" t="str">
        <f aca="false">IF($E82="bird",IF(COUNTIF('eBird List'!$A:$A,$B82)&gt;0,"yes","no"),"")</f>
        <v>yes</v>
      </c>
      <c r="J82" s="16" t="n">
        <f aca="false">IF(COUNTIF('eBird List'!$A:$A,$B82)=0,"",INDEX('eBird List'!$C:$C,MATCH($B82,'eBird List'!$A:$A,0)))</f>
        <v>0.29473433404813</v>
      </c>
      <c r="K82" s="15" t="n">
        <f aca="false">COUNTIFS(Clips!$B:$B,"site",Clips!$F:$F,$B82)+COUNTIFS(Clips!$B:$B,"site",Clips!$O:$O,"*"&amp;$B82&amp;"*")</f>
        <v>0</v>
      </c>
      <c r="L82" s="15" t="n">
        <f aca="false">COUNTIFS(Clips!$F:$F,$B82,Clips!$B:$B,"macaulay")</f>
        <v>8</v>
      </c>
      <c r="M82" s="15" t="n">
        <f aca="false">COUNTIFS(Clips!$F:$F,$B82,Clips!$B:$B,"xeno-canto")</f>
        <v>3</v>
      </c>
      <c r="N82" s="15" t="n">
        <f aca="false">K82+L82+M82</f>
        <v>11</v>
      </c>
      <c r="O82" s="15" t="n">
        <f aca="false">COUNTIFS(Clips!$F:$F,$B82,Clips!$C:$C,"excluded")</f>
        <v>0</v>
      </c>
      <c r="P82" s="15" t="n">
        <f aca="false">COUNTIFS(Clips!$F:$F,$B82,Clips!$C:$C,"train")</f>
        <v>10</v>
      </c>
      <c r="Q82" s="15" t="n">
        <f aca="false">COUNTIFS(Clips!$F:$F,$B82,Clips!$C:$C,"val")</f>
        <v>0</v>
      </c>
      <c r="R82" s="15" t="n">
        <f aca="false">COUNTIFS(Clips!$F:$F,$B82,Clips!$C:$C,"test")</f>
        <v>1</v>
      </c>
      <c r="S82" s="17" t="n">
        <f aca="false">SUMIFS(Clips!$I:$I,Clips!$F:$F,$B82,Clips!$C:$C,"train")/60</f>
        <v>9.31546666666667</v>
      </c>
      <c r="T82" s="17" t="n">
        <f aca="false">SUMIFS(Clips!$I:$I,Clips!$F:$F,$B82,Clips!$C:$C,"val")/60</f>
        <v>0</v>
      </c>
      <c r="U82" s="17" t="n">
        <f aca="false">SUMIFS(Clips!$I:$I,Clips!$F:$F,$B82,Clips!$C:$C,"test")/60</f>
        <v>1.97333333333333</v>
      </c>
      <c r="V82" s="15" t="n">
        <f aca="false">SUMIFS(Clips!$J:$J,Clips!$F:$F,$B82,Clips!$C:$C,"train")</f>
        <v>118</v>
      </c>
      <c r="W82" s="18" t="n">
        <f aca="false">IF(V82=0,"",Splits!$B$49/(Splits!$B$50*V82))</f>
        <v>1.32055484489926</v>
      </c>
      <c r="X82" s="15" t="str">
        <f aca="false">IF(P82&gt;0,IF(AND(Q82&gt;0,R82&gt;0),"train + val + test",IF(R82&gt;0,"train + test","train only")),IF(R82&gt;0,"test only (unknown class)",IF(K82&gt;0,"site extract only","no usable audio")))</f>
        <v>train + test</v>
      </c>
      <c r="Y82" s="15" t="str">
        <f aca="false">IF($P82=0,"",IF($E82="nonbird",$B82,IF($G82="yes",$B82,"other bird")))</f>
        <v>other bird</v>
      </c>
      <c r="Z82" s="15" t="str">
        <f aca="false">IF(AND($F82="core",$P82&gt;0),$B82,"")</f>
        <v/>
      </c>
      <c r="AA82" s="15" t="str">
        <f aca="false">IF($P82&gt;0,$B82,"")</f>
        <v>Bananaquit</v>
      </c>
      <c r="AB82" s="15" t="n">
        <v>9</v>
      </c>
      <c r="AC82" s="15" t="n">
        <v>7</v>
      </c>
      <c r="AD82" s="17" t="n">
        <f aca="false">IF(COUNTIFS(Clips!$F:$F,$B82,Clips!$M:$M,"&gt;0",Clips!$C:$C,"&lt;&gt;excluded")=0,"",AVERAGEIFS(Clips!$M:$M,Clips!$F:$F,$B82,Clips!$M:$M,"&gt;0",Clips!$C:$C,"&lt;&gt;excluded"))</f>
        <v>3.35714285714286</v>
      </c>
      <c r="AE82" s="15" t="n">
        <f aca="false">COUNTIFS(Clips!$F:$F,$B82,Clips!$O:$O,"&lt;&gt;",Clips!$B:$B,"&lt;&gt;site",Clips!$C:$C,"&lt;&gt;excluded")</f>
        <v>2</v>
      </c>
      <c r="AF82" s="15" t="n">
        <f aca="false">COUNTIFS(Clips!$F:$F,$B82,Clips!$I:$I,"&lt;5",Clips!$C:$C,"&lt;&gt;excluded")</f>
        <v>0</v>
      </c>
      <c r="AG82" s="5"/>
    </row>
    <row r="83" customFormat="false" ht="15" hidden="false" customHeight="false" outlineLevel="0" collapsed="false">
      <c r="A83" s="15" t="n">
        <v>33</v>
      </c>
      <c r="B83" s="15" t="s">
        <v>401</v>
      </c>
      <c r="C83" s="15" t="s">
        <v>402</v>
      </c>
      <c r="D83" s="15" t="s">
        <v>403</v>
      </c>
      <c r="E83" s="15" t="s">
        <v>147</v>
      </c>
      <c r="F83" s="15" t="s">
        <v>148</v>
      </c>
      <c r="G83" s="15" t="str">
        <f aca="false">IF(AND($E83="bird",$K83&gt;0),"yes","")</f>
        <v/>
      </c>
      <c r="H83" s="15"/>
      <c r="I83" s="15" t="str">
        <f aca="false">IF($E83="bird",IF(COUNTIF('eBird List'!$A:$A,$B83)&gt;0,"yes","no"),"")</f>
        <v>yes</v>
      </c>
      <c r="J83" s="16" t="n">
        <f aca="false">IF(COUNTIF('eBird List'!$A:$A,$B83)=0,"",INDEX('eBird List'!$C:$C,MATCH($B83,'eBird List'!$A:$A,0)))</f>
        <v>0.104687872289731</v>
      </c>
      <c r="K83" s="15" t="n">
        <f aca="false">COUNTIFS(Clips!$B:$B,"site",Clips!$F:$F,$B83)+COUNTIFS(Clips!$B:$B,"site",Clips!$O:$O,"*"&amp;$B83&amp;"*")</f>
        <v>0</v>
      </c>
      <c r="L83" s="15" t="n">
        <f aca="false">COUNTIFS(Clips!$F:$F,$B83,Clips!$B:$B,"macaulay")</f>
        <v>10</v>
      </c>
      <c r="M83" s="15" t="n">
        <f aca="false">COUNTIFS(Clips!$F:$F,$B83,Clips!$B:$B,"xeno-canto")</f>
        <v>1</v>
      </c>
      <c r="N83" s="15" t="n">
        <f aca="false">K83+L83+M83</f>
        <v>11</v>
      </c>
      <c r="O83" s="15" t="n">
        <f aca="false">COUNTIFS(Clips!$F:$F,$B83,Clips!$C:$C,"excluded")</f>
        <v>0</v>
      </c>
      <c r="P83" s="15" t="n">
        <f aca="false">COUNTIFS(Clips!$F:$F,$B83,Clips!$C:$C,"train")</f>
        <v>7</v>
      </c>
      <c r="Q83" s="15" t="n">
        <f aca="false">COUNTIFS(Clips!$F:$F,$B83,Clips!$C:$C,"val")</f>
        <v>2</v>
      </c>
      <c r="R83" s="15" t="n">
        <f aca="false">COUNTIFS(Clips!$F:$F,$B83,Clips!$C:$C,"test")</f>
        <v>2</v>
      </c>
      <c r="S83" s="17" t="n">
        <f aca="false">SUMIFS(Clips!$I:$I,Clips!$F:$F,$B83,Clips!$C:$C,"train")/60</f>
        <v>4.18305</v>
      </c>
      <c r="T83" s="17" t="n">
        <f aca="false">SUMIFS(Clips!$I:$I,Clips!$F:$F,$B83,Clips!$C:$C,"val")/60</f>
        <v>1.28058333333333</v>
      </c>
      <c r="U83" s="17" t="n">
        <f aca="false">SUMIFS(Clips!$I:$I,Clips!$F:$F,$B83,Clips!$C:$C,"test")/60</f>
        <v>1.337</v>
      </c>
      <c r="V83" s="15" t="n">
        <f aca="false">SUMIFS(Clips!$J:$J,Clips!$F:$F,$B83,Clips!$C:$C,"train")</f>
        <v>54</v>
      </c>
      <c r="W83" s="18" t="n">
        <f aca="false">IF(V83=0,"",Splits!$B$49/(Splits!$B$50*V83))</f>
        <v>2.88565688329839</v>
      </c>
      <c r="X83" s="15" t="str">
        <f aca="false">IF(P83&gt;0,IF(AND(Q83&gt;0,R83&gt;0),"train + val + test",IF(R83&gt;0,"train + test","train only")),IF(R83&gt;0,"test only (unknown class)",IF(K83&gt;0,"site extract only","no usable audio")))</f>
        <v>train + val + test</v>
      </c>
      <c r="Y83" s="15" t="str">
        <f aca="false">IF($P83=0,"",IF($E83="nonbird",$B83,IF($G83="yes",$B83,"other bird")))</f>
        <v>other bird</v>
      </c>
      <c r="Z83" s="15" t="str">
        <f aca="false">IF(AND($F83="core",$P83&gt;0),$B83,"")</f>
        <v>Blue-black Grosbeak</v>
      </c>
      <c r="AA83" s="15" t="str">
        <f aca="false">IF($P83&gt;0,$B83,"")</f>
        <v>Blue-black Grosbeak</v>
      </c>
      <c r="AB83" s="15" t="n">
        <v>11</v>
      </c>
      <c r="AC83" s="15" t="n">
        <v>10</v>
      </c>
      <c r="AD83" s="17" t="n">
        <f aca="false">IF(COUNTIFS(Clips!$F:$F,$B83,Clips!$M:$M,"&gt;0",Clips!$C:$C,"&lt;&gt;excluded")=0,"",AVERAGEIFS(Clips!$M:$M,Clips!$F:$F,$B83,Clips!$M:$M,"&gt;0",Clips!$C:$C,"&lt;&gt;excluded"))</f>
        <v>3</v>
      </c>
      <c r="AE83" s="15" t="n">
        <f aca="false">COUNTIFS(Clips!$F:$F,$B83,Clips!$O:$O,"&lt;&gt;",Clips!$B:$B,"&lt;&gt;site",Clips!$C:$C,"&lt;&gt;excluded")</f>
        <v>0</v>
      </c>
      <c r="AF83" s="15" t="n">
        <f aca="false">COUNTIFS(Clips!$F:$F,$B83,Clips!$I:$I,"&lt;5",Clips!$C:$C,"&lt;&gt;excluded")</f>
        <v>0</v>
      </c>
      <c r="AG83" s="5"/>
    </row>
    <row r="84" customFormat="false" ht="15" hidden="false" customHeight="false" outlineLevel="0" collapsed="false">
      <c r="A84" s="15" t="n">
        <v>60</v>
      </c>
      <c r="B84" s="15" t="s">
        <v>404</v>
      </c>
      <c r="C84" s="15" t="s">
        <v>405</v>
      </c>
      <c r="D84" s="15" t="s">
        <v>406</v>
      </c>
      <c r="E84" s="15" t="s">
        <v>147</v>
      </c>
      <c r="F84" s="15" t="s">
        <v>148</v>
      </c>
      <c r="G84" s="15" t="str">
        <f aca="false">IF(AND($E84="bird",$K84&gt;0),"yes","")</f>
        <v/>
      </c>
      <c r="H84" s="15"/>
      <c r="I84" s="15" t="str">
        <f aca="false">IF($E84="bird",IF(COUNTIF('eBird List'!$A:$A,$B84)&gt;0,"yes","no"),"")</f>
        <v>yes</v>
      </c>
      <c r="J84" s="16" t="n">
        <f aca="false">IF(COUNTIF('eBird List'!$A:$A,$B84)=0,"",INDEX('eBird List'!$C:$C,MATCH($B84,'eBird List'!$A:$A,0)))</f>
        <v>0.032433881343817</v>
      </c>
      <c r="K84" s="15" t="n">
        <f aca="false">COUNTIFS(Clips!$B:$B,"site",Clips!$F:$F,$B84)+COUNTIFS(Clips!$B:$B,"site",Clips!$O:$O,"*"&amp;$B84&amp;"*")</f>
        <v>0</v>
      </c>
      <c r="L84" s="15" t="n">
        <f aca="false">COUNTIFS(Clips!$F:$F,$B84,Clips!$B:$B,"macaulay")</f>
        <v>11</v>
      </c>
      <c r="M84" s="15" t="n">
        <f aca="false">COUNTIFS(Clips!$F:$F,$B84,Clips!$B:$B,"xeno-canto")</f>
        <v>0</v>
      </c>
      <c r="N84" s="15" t="n">
        <f aca="false">K84+L84+M84</f>
        <v>11</v>
      </c>
      <c r="O84" s="15" t="n">
        <f aca="false">COUNTIFS(Clips!$F:$F,$B84,Clips!$C:$C,"excluded")</f>
        <v>0</v>
      </c>
      <c r="P84" s="15" t="n">
        <f aca="false">COUNTIFS(Clips!$F:$F,$B84,Clips!$C:$C,"train")</f>
        <v>7</v>
      </c>
      <c r="Q84" s="15" t="n">
        <f aca="false">COUNTIFS(Clips!$F:$F,$B84,Clips!$C:$C,"val")</f>
        <v>2</v>
      </c>
      <c r="R84" s="15" t="n">
        <f aca="false">COUNTIFS(Clips!$F:$F,$B84,Clips!$C:$C,"test")</f>
        <v>2</v>
      </c>
      <c r="S84" s="17" t="n">
        <f aca="false">SUMIFS(Clips!$I:$I,Clips!$F:$F,$B84,Clips!$C:$C,"train")/60</f>
        <v>4.3957</v>
      </c>
      <c r="T84" s="17" t="n">
        <f aca="false">SUMIFS(Clips!$I:$I,Clips!$F:$F,$B84,Clips!$C:$C,"val")/60</f>
        <v>1.32938333333333</v>
      </c>
      <c r="U84" s="17" t="n">
        <f aca="false">SUMIFS(Clips!$I:$I,Clips!$F:$F,$B84,Clips!$C:$C,"test")/60</f>
        <v>2.64773333333333</v>
      </c>
      <c r="V84" s="15" t="n">
        <f aca="false">SUMIFS(Clips!$J:$J,Clips!$F:$F,$B84,Clips!$C:$C,"train")</f>
        <v>56</v>
      </c>
      <c r="W84" s="18" t="n">
        <f aca="false">IF(V84=0,"",Splits!$B$49/(Splits!$B$50*V84))</f>
        <v>2.78259770889488</v>
      </c>
      <c r="X84" s="15" t="str">
        <f aca="false">IF(P84&gt;0,IF(AND(Q84&gt;0,R84&gt;0),"train + val + test",IF(R84&gt;0,"train + test","train only")),IF(R84&gt;0,"test only (unknown class)",IF(K84&gt;0,"site extract only","no usable audio")))</f>
        <v>train + val + test</v>
      </c>
      <c r="Y84" s="15" t="str">
        <f aca="false">IF($P84=0,"",IF($E84="nonbird",$B84,IF($G84="yes",$B84,"other bird")))</f>
        <v>other bird</v>
      </c>
      <c r="Z84" s="15" t="str">
        <f aca="false">IF(AND($F84="core",$P84&gt;0),$B84,"")</f>
        <v>Collared Forest-Falcon</v>
      </c>
      <c r="AA84" s="15" t="str">
        <f aca="false">IF($P84&gt;0,$B84,"")</f>
        <v>Collared Forest-Falcon</v>
      </c>
      <c r="AB84" s="15" t="n">
        <v>11</v>
      </c>
      <c r="AC84" s="15" t="n">
        <v>9</v>
      </c>
      <c r="AD84" s="17" t="n">
        <f aca="false">IF(COUNTIFS(Clips!$F:$F,$B84,Clips!$M:$M,"&gt;0",Clips!$C:$C,"&lt;&gt;excluded")=0,"",AVERAGEIFS(Clips!$M:$M,Clips!$F:$F,$B84,Clips!$M:$M,"&gt;0",Clips!$C:$C,"&lt;&gt;excluded"))</f>
        <v>3.22222222222222</v>
      </c>
      <c r="AE84" s="15" t="n">
        <f aca="false">COUNTIFS(Clips!$F:$F,$B84,Clips!$O:$O,"&lt;&gt;",Clips!$B:$B,"&lt;&gt;site",Clips!$C:$C,"&lt;&gt;excluded")</f>
        <v>1</v>
      </c>
      <c r="AF84" s="15" t="n">
        <f aca="false">COUNTIFS(Clips!$F:$F,$B84,Clips!$I:$I,"&lt;5",Clips!$C:$C,"&lt;&gt;excluded")</f>
        <v>0</v>
      </c>
      <c r="AG84" s="5"/>
    </row>
    <row r="85" customFormat="false" ht="15" hidden="false" customHeight="false" outlineLevel="0" collapsed="false">
      <c r="A85" s="15" t="n">
        <v>169</v>
      </c>
      <c r="B85" s="15" t="s">
        <v>407</v>
      </c>
      <c r="C85" s="15" t="s">
        <v>408</v>
      </c>
      <c r="D85" s="15" t="s">
        <v>409</v>
      </c>
      <c r="E85" s="15" t="s">
        <v>147</v>
      </c>
      <c r="F85" s="15" t="s">
        <v>148</v>
      </c>
      <c r="G85" s="15" t="str">
        <f aca="false">IF(AND($E85="bird",$K85&gt;0),"yes","")</f>
        <v/>
      </c>
      <c r="H85" s="15"/>
      <c r="I85" s="15" t="str">
        <f aca="false">IF($E85="bird",IF(COUNTIF('eBird List'!$A:$A,$B85)&gt;0,"yes","no"),"")</f>
        <v>yes</v>
      </c>
      <c r="J85" s="16" t="n">
        <f aca="false">IF(COUNTIF('eBird List'!$A:$A,$B85)=0,"",INDEX('eBird List'!$C:$C,MATCH($B85,'eBird List'!$A:$A,0)))</f>
        <v>0.45857159876102</v>
      </c>
      <c r="K85" s="15" t="n">
        <f aca="false">COUNTIFS(Clips!$B:$B,"site",Clips!$F:$F,$B85)+COUNTIFS(Clips!$B:$B,"site",Clips!$O:$O,"*"&amp;$B85&amp;"*")</f>
        <v>0</v>
      </c>
      <c r="L85" s="15" t="n">
        <f aca="false">COUNTIFS(Clips!$F:$F,$B85,Clips!$B:$B,"macaulay")</f>
        <v>10</v>
      </c>
      <c r="M85" s="15" t="n">
        <f aca="false">COUNTIFS(Clips!$F:$F,$B85,Clips!$B:$B,"xeno-canto")</f>
        <v>1</v>
      </c>
      <c r="N85" s="15" t="n">
        <f aca="false">K85+L85+M85</f>
        <v>11</v>
      </c>
      <c r="O85" s="15" t="n">
        <f aca="false">COUNTIFS(Clips!$F:$F,$B85,Clips!$C:$C,"excluded")</f>
        <v>0</v>
      </c>
      <c r="P85" s="15" t="n">
        <f aca="false">COUNTIFS(Clips!$F:$F,$B85,Clips!$C:$C,"train")</f>
        <v>7</v>
      </c>
      <c r="Q85" s="15" t="n">
        <f aca="false">COUNTIFS(Clips!$F:$F,$B85,Clips!$C:$C,"val")</f>
        <v>2</v>
      </c>
      <c r="R85" s="15" t="n">
        <f aca="false">COUNTIFS(Clips!$F:$F,$B85,Clips!$C:$C,"test")</f>
        <v>2</v>
      </c>
      <c r="S85" s="17" t="n">
        <f aca="false">SUMIFS(Clips!$I:$I,Clips!$F:$F,$B85,Clips!$C:$C,"train")/60</f>
        <v>3.21773333333333</v>
      </c>
      <c r="T85" s="17" t="n">
        <f aca="false">SUMIFS(Clips!$I:$I,Clips!$F:$F,$B85,Clips!$C:$C,"val")/60</f>
        <v>3.10505</v>
      </c>
      <c r="U85" s="17" t="n">
        <f aca="false">SUMIFS(Clips!$I:$I,Clips!$F:$F,$B85,Clips!$C:$C,"test")/60</f>
        <v>1.23673333333333</v>
      </c>
      <c r="V85" s="15" t="n">
        <f aca="false">SUMIFS(Clips!$J:$J,Clips!$F:$F,$B85,Clips!$C:$C,"train")</f>
        <v>41</v>
      </c>
      <c r="W85" s="18" t="n">
        <f aca="false">IF(V85=0,"",Splits!$B$49/(Splits!$B$50*V85))</f>
        <v>3.80062126092959</v>
      </c>
      <c r="X85" s="15" t="str">
        <f aca="false">IF(P85&gt;0,IF(AND(Q85&gt;0,R85&gt;0),"train + val + test",IF(R85&gt;0,"train + test","train only")),IF(R85&gt;0,"test only (unknown class)",IF(K85&gt;0,"site extract only","no usable audio")))</f>
        <v>train + val + test</v>
      </c>
      <c r="Y85" s="15" t="str">
        <f aca="false">IF($P85=0,"",IF($E85="nonbird",$B85,IF($G85="yes",$B85,"other bird")))</f>
        <v>other bird</v>
      </c>
      <c r="Z85" s="15" t="str">
        <f aca="false">IF(AND($F85="core",$P85&gt;0),$B85,"")</f>
        <v>Rufous-tailed Hummingbird</v>
      </c>
      <c r="AA85" s="15" t="str">
        <f aca="false">IF($P85&gt;0,$B85,"")</f>
        <v>Rufous-tailed Hummingbird</v>
      </c>
      <c r="AB85" s="15" t="n">
        <v>9</v>
      </c>
      <c r="AC85" s="15" t="n">
        <v>7</v>
      </c>
      <c r="AD85" s="17" t="n">
        <f aca="false">IF(COUNTIFS(Clips!$F:$F,$B85,Clips!$M:$M,"&gt;0",Clips!$C:$C,"&lt;&gt;excluded")=0,"",AVERAGEIFS(Clips!$M:$M,Clips!$F:$F,$B85,Clips!$M:$M,"&gt;0",Clips!$C:$C,"&lt;&gt;excluded"))</f>
        <v>2.917</v>
      </c>
      <c r="AE85" s="15" t="n">
        <f aca="false">COUNTIFS(Clips!$F:$F,$B85,Clips!$O:$O,"&lt;&gt;",Clips!$B:$B,"&lt;&gt;site",Clips!$C:$C,"&lt;&gt;excluded")</f>
        <v>0</v>
      </c>
      <c r="AF85" s="15" t="n">
        <f aca="false">COUNTIFS(Clips!$F:$F,$B85,Clips!$I:$I,"&lt;5",Clips!$C:$C,"&lt;&gt;excluded")</f>
        <v>1</v>
      </c>
      <c r="AG85" s="5"/>
    </row>
    <row r="86" customFormat="false" ht="15" hidden="false" customHeight="false" outlineLevel="0" collapsed="false">
      <c r="A86" s="15" t="n">
        <v>185</v>
      </c>
      <c r="B86" s="15" t="s">
        <v>410</v>
      </c>
      <c r="C86" s="15" t="s">
        <v>411</v>
      </c>
      <c r="D86" s="15" t="s">
        <v>412</v>
      </c>
      <c r="E86" s="15" t="s">
        <v>147</v>
      </c>
      <c r="F86" s="15" t="s">
        <v>148</v>
      </c>
      <c r="G86" s="15" t="str">
        <f aca="false">IF(AND($E86="bird",$K86&gt;0),"yes","")</f>
        <v/>
      </c>
      <c r="H86" s="15"/>
      <c r="I86" s="15" t="str">
        <f aca="false">IF($E86="bird",IF(COUNTIF('eBird List'!$A:$A,$B86)&gt;0,"yes","no"),"")</f>
        <v>yes</v>
      </c>
      <c r="J86" s="16" t="n">
        <f aca="false">IF(COUNTIF('eBird List'!$A:$A,$B86)=0,"",INDEX('eBird List'!$C:$C,MATCH($B86,'eBird List'!$A:$A,0)))</f>
        <v>0.00476530855372885</v>
      </c>
      <c r="K86" s="15" t="n">
        <f aca="false">COUNTIFS(Clips!$B:$B,"site",Clips!$F:$F,$B86)+COUNTIFS(Clips!$B:$B,"site",Clips!$O:$O,"*"&amp;$B86&amp;"*")</f>
        <v>0</v>
      </c>
      <c r="L86" s="15" t="n">
        <f aca="false">COUNTIFS(Clips!$F:$F,$B86,Clips!$B:$B,"macaulay")</f>
        <v>11</v>
      </c>
      <c r="M86" s="15" t="n">
        <f aca="false">COUNTIFS(Clips!$F:$F,$B86,Clips!$B:$B,"xeno-canto")</f>
        <v>0</v>
      </c>
      <c r="N86" s="15" t="n">
        <f aca="false">K86+L86+M86</f>
        <v>11</v>
      </c>
      <c r="O86" s="15" t="n">
        <f aca="false">COUNTIFS(Clips!$F:$F,$B86,Clips!$C:$C,"excluded")</f>
        <v>0</v>
      </c>
      <c r="P86" s="15" t="n">
        <f aca="false">COUNTIFS(Clips!$F:$F,$B86,Clips!$C:$C,"train")</f>
        <v>7</v>
      </c>
      <c r="Q86" s="15" t="n">
        <f aca="false">COUNTIFS(Clips!$F:$F,$B86,Clips!$C:$C,"val")</f>
        <v>2</v>
      </c>
      <c r="R86" s="15" t="n">
        <f aca="false">COUNTIFS(Clips!$F:$F,$B86,Clips!$C:$C,"test")</f>
        <v>2</v>
      </c>
      <c r="S86" s="17" t="n">
        <f aca="false">SUMIFS(Clips!$I:$I,Clips!$F:$F,$B86,Clips!$C:$C,"train")/60</f>
        <v>51.1798166666667</v>
      </c>
      <c r="T86" s="17" t="n">
        <f aca="false">SUMIFS(Clips!$I:$I,Clips!$F:$F,$B86,Clips!$C:$C,"val")/60</f>
        <v>2.85985</v>
      </c>
      <c r="U86" s="17" t="n">
        <f aca="false">SUMIFS(Clips!$I:$I,Clips!$F:$F,$B86,Clips!$C:$C,"test")/60</f>
        <v>0.299733333333333</v>
      </c>
      <c r="V86" s="15" t="n">
        <f aca="false">SUMIFS(Clips!$J:$J,Clips!$F:$F,$B86,Clips!$C:$C,"train")</f>
        <v>213</v>
      </c>
      <c r="W86" s="18" t="n">
        <f aca="false">IF(V86=0,"",Splits!$B$49/(Splits!$B$50*V86))</f>
        <v>0.731574984498184</v>
      </c>
      <c r="X86" s="15" t="str">
        <f aca="false">IF(P86&gt;0,IF(AND(Q86&gt;0,R86&gt;0),"train + val + test",IF(R86&gt;0,"train + test","train only")),IF(R86&gt;0,"test only (unknown class)",IF(K86&gt;0,"site extract only","no usable audio")))</f>
        <v>train + val + test</v>
      </c>
      <c r="Y86" s="15" t="str">
        <f aca="false">IF($P86=0,"",IF($E86="nonbird",$B86,IF($G86="yes",$B86,"other bird")))</f>
        <v>other bird</v>
      </c>
      <c r="Z86" s="15" t="str">
        <f aca="false">IF(AND($F86="core",$P86&gt;0),$B86,"")</f>
        <v>Slaty-backed Forest-Falcon</v>
      </c>
      <c r="AA86" s="15" t="str">
        <f aca="false">IF($P86&gt;0,$B86,"")</f>
        <v>Slaty-backed Forest-Falcon</v>
      </c>
      <c r="AB86" s="15" t="n">
        <v>9</v>
      </c>
      <c r="AC86" s="15" t="n">
        <v>7</v>
      </c>
      <c r="AD86" s="17" t="n">
        <f aca="false">IF(COUNTIFS(Clips!$F:$F,$B86,Clips!$M:$M,"&gt;0",Clips!$C:$C,"&lt;&gt;excluded")=0,"",AVERAGEIFS(Clips!$M:$M,Clips!$F:$F,$B86,Clips!$M:$M,"&gt;0",Clips!$C:$C,"&lt;&gt;excluded"))</f>
        <v>3.15555555555556</v>
      </c>
      <c r="AE86" s="15" t="n">
        <f aca="false">COUNTIFS(Clips!$F:$F,$B86,Clips!$O:$O,"&lt;&gt;",Clips!$B:$B,"&lt;&gt;site",Clips!$C:$C,"&lt;&gt;excluded")</f>
        <v>0</v>
      </c>
      <c r="AF86" s="15" t="n">
        <f aca="false">COUNTIFS(Clips!$F:$F,$B86,Clips!$I:$I,"&lt;5",Clips!$C:$C,"&lt;&gt;excluded")</f>
        <v>1</v>
      </c>
      <c r="AG86" s="5"/>
    </row>
    <row r="87" customFormat="false" ht="15" hidden="false" customHeight="false" outlineLevel="0" collapsed="false">
      <c r="A87" s="15" t="n">
        <v>200</v>
      </c>
      <c r="B87" s="15" t="s">
        <v>413</v>
      </c>
      <c r="C87" s="15" t="s">
        <v>414</v>
      </c>
      <c r="D87" s="15" t="s">
        <v>415</v>
      </c>
      <c r="E87" s="15" t="s">
        <v>147</v>
      </c>
      <c r="F87" s="15" t="s">
        <v>148</v>
      </c>
      <c r="G87" s="15" t="str">
        <f aca="false">IF(AND($E87="bird",$K87&gt;0),"yes","")</f>
        <v/>
      </c>
      <c r="H87" s="15"/>
      <c r="I87" s="15" t="str">
        <f aca="false">IF($E87="bird",IF(COUNTIF('eBird List'!$A:$A,$B87)&gt;0,"yes","no"),"")</f>
        <v>yes</v>
      </c>
      <c r="J87" s="16" t="n">
        <f aca="false">IF(COUNTIF('eBird List'!$A:$A,$B87)=0,"",INDEX('eBird List'!$C:$C,MATCH($B87,'eBird List'!$A:$A,0)))</f>
        <v>0.155766023350012</v>
      </c>
      <c r="K87" s="15" t="n">
        <f aca="false">COUNTIFS(Clips!$B:$B,"site",Clips!$F:$F,$B87)+COUNTIFS(Clips!$B:$B,"site",Clips!$O:$O,"*"&amp;$B87&amp;"*")</f>
        <v>0</v>
      </c>
      <c r="L87" s="15" t="n">
        <f aca="false">COUNTIFS(Clips!$F:$F,$B87,Clips!$B:$B,"macaulay")</f>
        <v>11</v>
      </c>
      <c r="M87" s="15" t="n">
        <f aca="false">COUNTIFS(Clips!$F:$F,$B87,Clips!$B:$B,"xeno-canto")</f>
        <v>0</v>
      </c>
      <c r="N87" s="15" t="n">
        <f aca="false">K87+L87+M87</f>
        <v>11</v>
      </c>
      <c r="O87" s="15" t="n">
        <f aca="false">COUNTIFS(Clips!$F:$F,$B87,Clips!$C:$C,"excluded")</f>
        <v>0</v>
      </c>
      <c r="P87" s="15" t="n">
        <f aca="false">COUNTIFS(Clips!$F:$F,$B87,Clips!$C:$C,"train")</f>
        <v>7</v>
      </c>
      <c r="Q87" s="15" t="n">
        <f aca="false">COUNTIFS(Clips!$F:$F,$B87,Clips!$C:$C,"val")</f>
        <v>2</v>
      </c>
      <c r="R87" s="15" t="n">
        <f aca="false">COUNTIFS(Clips!$F:$F,$B87,Clips!$C:$C,"test")</f>
        <v>2</v>
      </c>
      <c r="S87" s="17" t="n">
        <f aca="false">SUMIFS(Clips!$I:$I,Clips!$F:$F,$B87,Clips!$C:$C,"train")/60</f>
        <v>2.27446666666667</v>
      </c>
      <c r="T87" s="17" t="n">
        <f aca="false">SUMIFS(Clips!$I:$I,Clips!$F:$F,$B87,Clips!$C:$C,"val")/60</f>
        <v>0.5815</v>
      </c>
      <c r="U87" s="17" t="n">
        <f aca="false">SUMIFS(Clips!$I:$I,Clips!$F:$F,$B87,Clips!$C:$C,"test")/60</f>
        <v>0.999833333333333</v>
      </c>
      <c r="V87" s="15" t="n">
        <f aca="false">SUMIFS(Clips!$J:$J,Clips!$F:$F,$B87,Clips!$C:$C,"train")</f>
        <v>30</v>
      </c>
      <c r="W87" s="18" t="n">
        <f aca="false">IF(V87=0,"",Splits!$B$49/(Splits!$B$50*V87))</f>
        <v>5.19418238993711</v>
      </c>
      <c r="X87" s="15" t="str">
        <f aca="false">IF(P87&gt;0,IF(AND(Q87&gt;0,R87&gt;0),"train + val + test",IF(R87&gt;0,"train + test","train only")),IF(R87&gt;0,"test only (unknown class)",IF(K87&gt;0,"site extract only","no usable audio")))</f>
        <v>train + val + test</v>
      </c>
      <c r="Y87" s="15" t="str">
        <f aca="false">IF($P87=0,"",IF($E87="nonbird",$B87,IF($G87="yes",$B87,"other bird")))</f>
        <v>other bird</v>
      </c>
      <c r="Z87" s="15" t="str">
        <f aca="false">IF(AND($F87="core",$P87&gt;0),$B87,"")</f>
        <v>Stripe-throated Hermit</v>
      </c>
      <c r="AA87" s="15" t="str">
        <f aca="false">IF($P87&gt;0,$B87,"")</f>
        <v>Stripe-throated Hermit</v>
      </c>
      <c r="AB87" s="15" t="n">
        <v>8</v>
      </c>
      <c r="AC87" s="15" t="n">
        <v>7</v>
      </c>
      <c r="AD87" s="17" t="n">
        <f aca="false">IF(COUNTIFS(Clips!$F:$F,$B87,Clips!$M:$M,"&gt;0",Clips!$C:$C,"&lt;&gt;excluded")=0,"",AVERAGEIFS(Clips!$M:$M,Clips!$F:$F,$B87,Clips!$M:$M,"&gt;0",Clips!$C:$C,"&lt;&gt;excluded"))</f>
        <v>2.733</v>
      </c>
      <c r="AE87" s="15" t="n">
        <f aca="false">COUNTIFS(Clips!$F:$F,$B87,Clips!$O:$O,"&lt;&gt;",Clips!$B:$B,"&lt;&gt;site",Clips!$C:$C,"&lt;&gt;excluded")</f>
        <v>0</v>
      </c>
      <c r="AF87" s="15" t="n">
        <f aca="false">COUNTIFS(Clips!$F:$F,$B87,Clips!$I:$I,"&lt;5",Clips!$C:$C,"&lt;&gt;excluded")</f>
        <v>1</v>
      </c>
      <c r="AG87" s="5"/>
    </row>
    <row r="88" customFormat="false" ht="15" hidden="false" customHeight="false" outlineLevel="0" collapsed="false">
      <c r="A88" s="15" t="n">
        <v>240</v>
      </c>
      <c r="B88" s="15" t="s">
        <v>416</v>
      </c>
      <c r="C88" s="15" t="s">
        <v>417</v>
      </c>
      <c r="D88" s="15" t="s">
        <v>418</v>
      </c>
      <c r="E88" s="15" t="s">
        <v>147</v>
      </c>
      <c r="F88" s="15" t="s">
        <v>148</v>
      </c>
      <c r="G88" s="15" t="str">
        <f aca="false">IF(AND($E88="bird",$K88&gt;0),"yes","")</f>
        <v/>
      </c>
      <c r="H88" s="15"/>
      <c r="I88" s="15" t="str">
        <f aca="false">IF($E88="bird",IF(COUNTIF('eBird List'!$A:$A,$B88)&gt;0,"yes","no"),"")</f>
        <v>yes</v>
      </c>
      <c r="J88" s="16" t="n">
        <f aca="false">IF(COUNTIF('eBird List'!$A:$A,$B88)=0,"",INDEX('eBird List'!$C:$C,MATCH($B88,'eBird List'!$A:$A,0)))</f>
        <v>0.165117941386705</v>
      </c>
      <c r="K88" s="15" t="n">
        <f aca="false">COUNTIFS(Clips!$B:$B,"site",Clips!$F:$F,$B88)+COUNTIFS(Clips!$B:$B,"site",Clips!$O:$O,"*"&amp;$B88&amp;"*")</f>
        <v>0</v>
      </c>
      <c r="L88" s="15" t="n">
        <f aca="false">COUNTIFS(Clips!$F:$F,$B88,Clips!$B:$B,"macaulay")</f>
        <v>11</v>
      </c>
      <c r="M88" s="15" t="n">
        <f aca="false">COUNTIFS(Clips!$F:$F,$B88,Clips!$B:$B,"xeno-canto")</f>
        <v>0</v>
      </c>
      <c r="N88" s="15" t="n">
        <f aca="false">K88+L88+M88</f>
        <v>11</v>
      </c>
      <c r="O88" s="15" t="n">
        <f aca="false">COUNTIFS(Clips!$F:$F,$B88,Clips!$C:$C,"excluded")</f>
        <v>0</v>
      </c>
      <c r="P88" s="15" t="n">
        <f aca="false">COUNTIFS(Clips!$F:$F,$B88,Clips!$C:$C,"train")</f>
        <v>7</v>
      </c>
      <c r="Q88" s="15" t="n">
        <f aca="false">COUNTIFS(Clips!$F:$F,$B88,Clips!$C:$C,"val")</f>
        <v>2</v>
      </c>
      <c r="R88" s="15" t="n">
        <f aca="false">COUNTIFS(Clips!$F:$F,$B88,Clips!$C:$C,"test")</f>
        <v>2</v>
      </c>
      <c r="S88" s="17" t="n">
        <f aca="false">SUMIFS(Clips!$I:$I,Clips!$F:$F,$B88,Clips!$C:$C,"train")/60</f>
        <v>2.07206666666667</v>
      </c>
      <c r="T88" s="17" t="n">
        <f aca="false">SUMIFS(Clips!$I:$I,Clips!$F:$F,$B88,Clips!$C:$C,"val")/60</f>
        <v>1.22658333333333</v>
      </c>
      <c r="U88" s="17" t="n">
        <f aca="false">SUMIFS(Clips!$I:$I,Clips!$F:$F,$B88,Clips!$C:$C,"test")/60</f>
        <v>3.23885</v>
      </c>
      <c r="V88" s="15" t="n">
        <f aca="false">SUMIFS(Clips!$J:$J,Clips!$F:$F,$B88,Clips!$C:$C,"train")</f>
        <v>28</v>
      </c>
      <c r="W88" s="18" t="n">
        <f aca="false">IF(V88=0,"",Splits!$B$49/(Splits!$B$50*V88))</f>
        <v>5.56519541778976</v>
      </c>
      <c r="X88" s="15" t="str">
        <f aca="false">IF(P88&gt;0,IF(AND(Q88&gt;0,R88&gt;0),"train + val + test",IF(R88&gt;0,"train + test","train only")),IF(R88&gt;0,"test only (unknown class)",IF(K88&gt;0,"site extract only","no usable audio")))</f>
        <v>train + val + test</v>
      </c>
      <c r="Y88" s="15" t="str">
        <f aca="false">IF($P88=0,"",IF($E88="nonbird",$B88,IF($G88="yes",$B88,"other bird")))</f>
        <v>other bird</v>
      </c>
      <c r="Z88" s="15" t="str">
        <f aca="false">IF(AND($F88="core",$P88&gt;0),$B88,"")</f>
        <v>Yellow-crowned Euphonia</v>
      </c>
      <c r="AA88" s="15" t="str">
        <f aca="false">IF($P88&gt;0,$B88,"")</f>
        <v>Yellow-crowned Euphonia</v>
      </c>
      <c r="AB88" s="15" t="n">
        <v>8</v>
      </c>
      <c r="AC88" s="15" t="n">
        <v>7</v>
      </c>
      <c r="AD88" s="17" t="n">
        <f aca="false">IF(COUNTIFS(Clips!$F:$F,$B88,Clips!$M:$M,"&gt;0",Clips!$C:$C,"&lt;&gt;excluded")=0,"",AVERAGEIFS(Clips!$M:$M,Clips!$F:$F,$B88,Clips!$M:$M,"&gt;0",Clips!$C:$C,"&lt;&gt;excluded"))</f>
        <v>3.49</v>
      </c>
      <c r="AE88" s="15" t="n">
        <f aca="false">COUNTIFS(Clips!$F:$F,$B88,Clips!$O:$O,"&lt;&gt;",Clips!$B:$B,"&lt;&gt;site",Clips!$C:$C,"&lt;&gt;excluded")</f>
        <v>2</v>
      </c>
      <c r="AF88" s="15" t="n">
        <f aca="false">COUNTIFS(Clips!$F:$F,$B88,Clips!$I:$I,"&lt;5",Clips!$C:$C,"&lt;&gt;excluded")</f>
        <v>0</v>
      </c>
      <c r="AG88" s="5"/>
    </row>
    <row r="89" customFormat="false" ht="15" hidden="false" customHeight="false" outlineLevel="0" collapsed="false">
      <c r="A89" s="15" t="n">
        <v>82</v>
      </c>
      <c r="B89" s="15" t="s">
        <v>419</v>
      </c>
      <c r="C89" s="15" t="s">
        <v>420</v>
      </c>
      <c r="D89" s="15" t="s">
        <v>421</v>
      </c>
      <c r="E89" s="15" t="s">
        <v>147</v>
      </c>
      <c r="F89" s="15" t="s">
        <v>148</v>
      </c>
      <c r="G89" s="15" t="str">
        <f aca="false">IF(AND($E89="bird",$K89&gt;0),"yes","")</f>
        <v/>
      </c>
      <c r="H89" s="15"/>
      <c r="I89" s="15" t="str">
        <f aca="false">IF($E89="bird",IF(COUNTIF('eBird List'!$A:$A,$B89)&gt;0,"yes","no"),"")</f>
        <v>yes</v>
      </c>
      <c r="J89" s="16" t="n">
        <f aca="false">IF(COUNTIF('eBird List'!$A:$A,$B89)=0,"",INDEX('eBird List'!$C:$C,MATCH($B89,'eBird List'!$A:$A,0)))</f>
        <v>0.00550988801524899</v>
      </c>
      <c r="K89" s="15" t="n">
        <f aca="false">COUNTIFS(Clips!$B:$B,"site",Clips!$F:$F,$B89)+COUNTIFS(Clips!$B:$B,"site",Clips!$O:$O,"*"&amp;$B89&amp;"*")</f>
        <v>0</v>
      </c>
      <c r="L89" s="15" t="n">
        <f aca="false">COUNTIFS(Clips!$F:$F,$B89,Clips!$B:$B,"macaulay")</f>
        <v>10</v>
      </c>
      <c r="M89" s="15" t="n">
        <f aca="false">COUNTIFS(Clips!$F:$F,$B89,Clips!$B:$B,"xeno-canto")</f>
        <v>0</v>
      </c>
      <c r="N89" s="15" t="n">
        <f aca="false">K89+L89+M89</f>
        <v>10</v>
      </c>
      <c r="O89" s="15" t="n">
        <f aca="false">COUNTIFS(Clips!$F:$F,$B89,Clips!$C:$C,"excluded")</f>
        <v>0</v>
      </c>
      <c r="P89" s="15" t="n">
        <f aca="false">COUNTIFS(Clips!$F:$F,$B89,Clips!$C:$C,"train")</f>
        <v>6</v>
      </c>
      <c r="Q89" s="15" t="n">
        <f aca="false">COUNTIFS(Clips!$F:$F,$B89,Clips!$C:$C,"val")</f>
        <v>2</v>
      </c>
      <c r="R89" s="15" t="n">
        <f aca="false">COUNTIFS(Clips!$F:$F,$B89,Clips!$C:$C,"test")</f>
        <v>2</v>
      </c>
      <c r="S89" s="17" t="n">
        <f aca="false">SUMIFS(Clips!$I:$I,Clips!$F:$F,$B89,Clips!$C:$C,"train")/60</f>
        <v>20.5074333333333</v>
      </c>
      <c r="T89" s="17" t="n">
        <f aca="false">SUMIFS(Clips!$I:$I,Clips!$F:$F,$B89,Clips!$C:$C,"val")/60</f>
        <v>2.32268333333333</v>
      </c>
      <c r="U89" s="17" t="n">
        <f aca="false">SUMIFS(Clips!$I:$I,Clips!$F:$F,$B89,Clips!$C:$C,"test")/60</f>
        <v>1.85376666666667</v>
      </c>
      <c r="V89" s="15" t="n">
        <f aca="false">SUMIFS(Clips!$J:$J,Clips!$F:$F,$B89,Clips!$C:$C,"train")</f>
        <v>249</v>
      </c>
      <c r="W89" s="18" t="n">
        <f aca="false">IF(V89=0,"",Splits!$B$49/(Splits!$B$50*V89))</f>
        <v>0.625805107221338</v>
      </c>
      <c r="X89" s="15" t="str">
        <f aca="false">IF(P89&gt;0,IF(AND(Q89&gt;0,R89&gt;0),"train + val + test",IF(R89&gt;0,"train + test","train only")),IF(R89&gt;0,"test only (unknown class)",IF(K89&gt;0,"site extract only","no usable audio")))</f>
        <v>train + val + test</v>
      </c>
      <c r="Y89" s="15" t="str">
        <f aca="false">IF($P89=0,"",IF($E89="nonbird",$B89,IF($G89="yes",$B89,"other bird")))</f>
        <v>other bird</v>
      </c>
      <c r="Z89" s="15" t="str">
        <f aca="false">IF(AND($F89="core",$P89&gt;0),$B89,"")</f>
        <v>Fawn-throated Foliage-gleaner</v>
      </c>
      <c r="AA89" s="15" t="str">
        <f aca="false">IF($P89&gt;0,$B89,"")</f>
        <v>Fawn-throated Foliage-gleaner</v>
      </c>
      <c r="AB89" s="15" t="n">
        <v>9</v>
      </c>
      <c r="AC89" s="15" t="n">
        <v>4</v>
      </c>
      <c r="AD89" s="17" t="n">
        <f aca="false">IF(COUNTIFS(Clips!$F:$F,$B89,Clips!$M:$M,"&gt;0",Clips!$C:$C,"&lt;&gt;excluded")=0,"",AVERAGEIFS(Clips!$M:$M,Clips!$F:$F,$B89,Clips!$M:$M,"&gt;0",Clips!$C:$C,"&lt;&gt;excluded"))</f>
        <v>3.14</v>
      </c>
      <c r="AE89" s="15" t="n">
        <f aca="false">COUNTIFS(Clips!$F:$F,$B89,Clips!$O:$O,"&lt;&gt;",Clips!$B:$B,"&lt;&gt;site",Clips!$C:$C,"&lt;&gt;excluded")</f>
        <v>2</v>
      </c>
      <c r="AF89" s="15" t="n">
        <f aca="false">COUNTIFS(Clips!$F:$F,$B89,Clips!$I:$I,"&lt;5",Clips!$C:$C,"&lt;&gt;excluded")</f>
        <v>0</v>
      </c>
      <c r="AG89" s="5"/>
    </row>
    <row r="90" customFormat="false" ht="15" hidden="false" customHeight="false" outlineLevel="0" collapsed="false">
      <c r="A90" s="15" t="n">
        <v>103</v>
      </c>
      <c r="B90" s="15" t="s">
        <v>422</v>
      </c>
      <c r="C90" s="15" t="s">
        <v>423</v>
      </c>
      <c r="D90" s="15" t="s">
        <v>424</v>
      </c>
      <c r="E90" s="15" t="s">
        <v>147</v>
      </c>
      <c r="F90" s="15" t="s">
        <v>148</v>
      </c>
      <c r="G90" s="15" t="str">
        <f aca="false">IF(AND($E90="bird",$K90&gt;0),"yes","")</f>
        <v/>
      </c>
      <c r="H90" s="15"/>
      <c r="I90" s="15" t="str">
        <f aca="false">IF($E90="bird",IF(COUNTIF('eBird List'!$A:$A,$B90)&gt;0,"yes","no"),"")</f>
        <v>yes</v>
      </c>
      <c r="J90" s="16" t="n">
        <f aca="false">IF(COUNTIF('eBird List'!$A:$A,$B90)=0,"",INDEX('eBird List'!$C:$C,MATCH($B90,'eBird List'!$A:$A,0)))</f>
        <v>0.0280557541100786</v>
      </c>
      <c r="K90" s="15" t="n">
        <f aca="false">COUNTIFS(Clips!$B:$B,"site",Clips!$F:$F,$B90)+COUNTIFS(Clips!$B:$B,"site",Clips!$O:$O,"*"&amp;$B90&amp;"*")</f>
        <v>0</v>
      </c>
      <c r="L90" s="15" t="n">
        <f aca="false">COUNTIFS(Clips!$F:$F,$B90,Clips!$B:$B,"macaulay")</f>
        <v>10</v>
      </c>
      <c r="M90" s="15" t="n">
        <f aca="false">COUNTIFS(Clips!$F:$F,$B90,Clips!$B:$B,"xeno-canto")</f>
        <v>0</v>
      </c>
      <c r="N90" s="15" t="n">
        <f aca="false">K90+L90+M90</f>
        <v>10</v>
      </c>
      <c r="O90" s="15" t="n">
        <f aca="false">COUNTIFS(Clips!$F:$F,$B90,Clips!$C:$C,"excluded")</f>
        <v>0</v>
      </c>
      <c r="P90" s="15" t="n">
        <f aca="false">COUNTIFS(Clips!$F:$F,$B90,Clips!$C:$C,"train")</f>
        <v>6</v>
      </c>
      <c r="Q90" s="15" t="n">
        <f aca="false">COUNTIFS(Clips!$F:$F,$B90,Clips!$C:$C,"val")</f>
        <v>2</v>
      </c>
      <c r="R90" s="15" t="n">
        <f aca="false">COUNTIFS(Clips!$F:$F,$B90,Clips!$C:$C,"test")</f>
        <v>2</v>
      </c>
      <c r="S90" s="17" t="n">
        <f aca="false">SUMIFS(Clips!$I:$I,Clips!$F:$F,$B90,Clips!$C:$C,"train")/60</f>
        <v>23.2486666666667</v>
      </c>
      <c r="T90" s="17" t="n">
        <f aca="false">SUMIFS(Clips!$I:$I,Clips!$F:$F,$B90,Clips!$C:$C,"val")/60</f>
        <v>1.46163333333333</v>
      </c>
      <c r="U90" s="17" t="n">
        <f aca="false">SUMIFS(Clips!$I:$I,Clips!$F:$F,$B90,Clips!$C:$C,"test")/60</f>
        <v>2.72996666666667</v>
      </c>
      <c r="V90" s="15" t="n">
        <f aca="false">SUMIFS(Clips!$J:$J,Clips!$F:$F,$B90,Clips!$C:$C,"train")</f>
        <v>226</v>
      </c>
      <c r="W90" s="18" t="n">
        <f aca="false">IF(V90=0,"",Splits!$B$49/(Splits!$B$50*V90))</f>
        <v>0.689493237602271</v>
      </c>
      <c r="X90" s="15" t="str">
        <f aca="false">IF(P90&gt;0,IF(AND(Q90&gt;0,R90&gt;0),"train + val + test",IF(R90&gt;0,"train + test","train only")),IF(R90&gt;0,"test only (unknown class)",IF(K90&gt;0,"site extract only","no usable audio")))</f>
        <v>train + val + test</v>
      </c>
      <c r="Y90" s="15" t="str">
        <f aca="false">IF($P90=0,"",IF($E90="nonbird",$B90,IF($G90="yes",$B90,"other bird")))</f>
        <v>other bird</v>
      </c>
      <c r="Z90" s="15" t="str">
        <f aca="false">IF(AND($F90="core",$P90&gt;0),$B90,"")</f>
        <v>Great Potoo</v>
      </c>
      <c r="AA90" s="15" t="str">
        <f aca="false">IF($P90&gt;0,$B90,"")</f>
        <v>Great Potoo</v>
      </c>
      <c r="AB90" s="15" t="n">
        <v>9</v>
      </c>
      <c r="AC90" s="15" t="n">
        <v>7</v>
      </c>
      <c r="AD90" s="17" t="n">
        <f aca="false">IF(COUNTIFS(Clips!$F:$F,$B90,Clips!$M:$M,"&gt;0",Clips!$C:$C,"&lt;&gt;excluded")=0,"",AVERAGEIFS(Clips!$M:$M,Clips!$F:$F,$B90,Clips!$M:$M,"&gt;0",Clips!$C:$C,"&lt;&gt;excluded"))</f>
        <v>2.375</v>
      </c>
      <c r="AE90" s="15" t="n">
        <f aca="false">COUNTIFS(Clips!$F:$F,$B90,Clips!$O:$O,"&lt;&gt;",Clips!$B:$B,"&lt;&gt;site",Clips!$C:$C,"&lt;&gt;excluded")</f>
        <v>0</v>
      </c>
      <c r="AF90" s="15" t="n">
        <f aca="false">COUNTIFS(Clips!$F:$F,$B90,Clips!$I:$I,"&lt;5",Clips!$C:$C,"&lt;&gt;excluded")</f>
        <v>2</v>
      </c>
      <c r="AG90" s="5"/>
    </row>
    <row r="91" customFormat="false" ht="15" hidden="false" customHeight="false" outlineLevel="0" collapsed="false">
      <c r="A91" s="15" t="n">
        <v>142</v>
      </c>
      <c r="B91" s="15" t="s">
        <v>425</v>
      </c>
      <c r="C91" s="15" t="s">
        <v>426</v>
      </c>
      <c r="D91" s="15" t="s">
        <v>427</v>
      </c>
      <c r="E91" s="15" t="s">
        <v>147</v>
      </c>
      <c r="F91" s="15" t="s">
        <v>148</v>
      </c>
      <c r="G91" s="15" t="str">
        <f aca="false">IF(AND($E91="bird",$K91&gt;0),"yes","")</f>
        <v/>
      </c>
      <c r="H91" s="15"/>
      <c r="I91" s="15" t="str">
        <f aca="false">IF($E91="bird",IF(COUNTIF('eBird List'!$A:$A,$B91)&gt;0,"yes","no"),"")</f>
        <v>yes</v>
      </c>
      <c r="J91" s="16" t="n">
        <f aca="false">IF(COUNTIF('eBird List'!$A:$A,$B91)=0,"",INDEX('eBird List'!$C:$C,MATCH($B91,'eBird List'!$A:$A,0)))</f>
        <v>0.0239456754824875</v>
      </c>
      <c r="K91" s="15" t="n">
        <f aca="false">COUNTIFS(Clips!$B:$B,"site",Clips!$F:$F,$B91)+COUNTIFS(Clips!$B:$B,"site",Clips!$O:$O,"*"&amp;$B91&amp;"*")</f>
        <v>0</v>
      </c>
      <c r="L91" s="15" t="n">
        <f aca="false">COUNTIFS(Clips!$F:$F,$B91,Clips!$B:$B,"macaulay")</f>
        <v>10</v>
      </c>
      <c r="M91" s="15" t="n">
        <f aca="false">COUNTIFS(Clips!$F:$F,$B91,Clips!$B:$B,"xeno-canto")</f>
        <v>0</v>
      </c>
      <c r="N91" s="15" t="n">
        <f aca="false">K91+L91+M91</f>
        <v>10</v>
      </c>
      <c r="O91" s="15" t="n">
        <f aca="false">COUNTIFS(Clips!$F:$F,$B91,Clips!$C:$C,"excluded")</f>
        <v>0</v>
      </c>
      <c r="P91" s="15" t="n">
        <f aca="false">COUNTIFS(Clips!$F:$F,$B91,Clips!$C:$C,"train")</f>
        <v>6</v>
      </c>
      <c r="Q91" s="15" t="n">
        <f aca="false">COUNTIFS(Clips!$F:$F,$B91,Clips!$C:$C,"val")</f>
        <v>2</v>
      </c>
      <c r="R91" s="15" t="n">
        <f aca="false">COUNTIFS(Clips!$F:$F,$B91,Clips!$C:$C,"test")</f>
        <v>2</v>
      </c>
      <c r="S91" s="17" t="n">
        <f aca="false">SUMIFS(Clips!$I:$I,Clips!$F:$F,$B91,Clips!$C:$C,"train")/60</f>
        <v>2.63368333333333</v>
      </c>
      <c r="T91" s="17" t="n">
        <f aca="false">SUMIFS(Clips!$I:$I,Clips!$F:$F,$B91,Clips!$C:$C,"val")/60</f>
        <v>1.24918333333333</v>
      </c>
      <c r="U91" s="17" t="n">
        <f aca="false">SUMIFS(Clips!$I:$I,Clips!$F:$F,$B91,Clips!$C:$C,"test")/60</f>
        <v>3.26685</v>
      </c>
      <c r="V91" s="15" t="n">
        <f aca="false">SUMIFS(Clips!$J:$J,Clips!$F:$F,$B91,Clips!$C:$C,"train")</f>
        <v>35</v>
      </c>
      <c r="W91" s="18" t="n">
        <f aca="false">IF(V91=0,"",Splits!$B$49/(Splits!$B$50*V91))</f>
        <v>4.45215633423181</v>
      </c>
      <c r="X91" s="15" t="str">
        <f aca="false">IF(P91&gt;0,IF(AND(Q91&gt;0,R91&gt;0),"train + val + test",IF(R91&gt;0,"train + test","train only")),IF(R91&gt;0,"test only (unknown class)",IF(K91&gt;0,"site extract only","no usable audio")))</f>
        <v>train + val + test</v>
      </c>
      <c r="Y91" s="15" t="str">
        <f aca="false">IF($P91=0,"",IF($E91="nonbird",$B91,IF($G91="yes",$B91,"other bird")))</f>
        <v>other bird</v>
      </c>
      <c r="Z91" s="15" t="str">
        <f aca="false">IF(AND($F91="core",$P91&gt;0),$B91,"")</f>
        <v>Olive-crowned Yellowthroat</v>
      </c>
      <c r="AA91" s="15" t="str">
        <f aca="false">IF($P91&gt;0,$B91,"")</f>
        <v>Olive-crowned Yellowthroat</v>
      </c>
      <c r="AB91" s="15" t="n">
        <v>10</v>
      </c>
      <c r="AC91" s="15" t="n">
        <v>9</v>
      </c>
      <c r="AD91" s="17" t="n">
        <f aca="false">IF(COUNTIFS(Clips!$F:$F,$B91,Clips!$M:$M,"&gt;0",Clips!$C:$C,"&lt;&gt;excluded")=0,"",AVERAGEIFS(Clips!$M:$M,Clips!$F:$F,$B91,Clips!$M:$M,"&gt;0",Clips!$C:$C,"&lt;&gt;excluded"))</f>
        <v>2.95</v>
      </c>
      <c r="AE91" s="15" t="n">
        <f aca="false">COUNTIFS(Clips!$F:$F,$B91,Clips!$O:$O,"&lt;&gt;",Clips!$B:$B,"&lt;&gt;site",Clips!$C:$C,"&lt;&gt;excluded")</f>
        <v>1</v>
      </c>
      <c r="AF91" s="15" t="n">
        <f aca="false">COUNTIFS(Clips!$F:$F,$B91,Clips!$I:$I,"&lt;5",Clips!$C:$C,"&lt;&gt;excluded")</f>
        <v>0</v>
      </c>
      <c r="AG91" s="5"/>
    </row>
    <row r="92" customFormat="false" ht="15" hidden="false" customHeight="false" outlineLevel="0" collapsed="false">
      <c r="A92" s="15" t="n">
        <v>146</v>
      </c>
      <c r="B92" s="15" t="s">
        <v>428</v>
      </c>
      <c r="C92" s="15" t="s">
        <v>429</v>
      </c>
      <c r="D92" s="15" t="s">
        <v>430</v>
      </c>
      <c r="E92" s="15" t="s">
        <v>147</v>
      </c>
      <c r="F92" s="15" t="s">
        <v>400</v>
      </c>
      <c r="G92" s="15" t="str">
        <f aca="false">IF(AND($E92="bird",$K92&gt;0),"yes","")</f>
        <v/>
      </c>
      <c r="H92" s="15"/>
      <c r="I92" s="15" t="str">
        <f aca="false">IF($E92="bird",IF(COUNTIF('eBird List'!$A:$A,$B92)&gt;0,"yes","no"),"")</f>
        <v>yes</v>
      </c>
      <c r="J92" s="16" t="n">
        <f aca="false">IF(COUNTIF('eBird List'!$A:$A,$B92)=0,"",INDEX('eBird List'!$C:$C,MATCH($B92,'eBird List'!$A:$A,0)))</f>
        <v>0.234721229449607</v>
      </c>
      <c r="K92" s="15" t="n">
        <f aca="false">COUNTIFS(Clips!$B:$B,"site",Clips!$F:$F,$B92)+COUNTIFS(Clips!$B:$B,"site",Clips!$O:$O,"*"&amp;$B92&amp;"*")</f>
        <v>0</v>
      </c>
      <c r="L92" s="15" t="n">
        <f aca="false">COUNTIFS(Clips!$F:$F,$B92,Clips!$B:$B,"macaulay")</f>
        <v>9</v>
      </c>
      <c r="M92" s="15" t="n">
        <f aca="false">COUNTIFS(Clips!$F:$F,$B92,Clips!$B:$B,"xeno-canto")</f>
        <v>1</v>
      </c>
      <c r="N92" s="15" t="n">
        <f aca="false">K92+L92+M92</f>
        <v>10</v>
      </c>
      <c r="O92" s="15" t="n">
        <f aca="false">COUNTIFS(Clips!$F:$F,$B92,Clips!$C:$C,"excluded")</f>
        <v>0</v>
      </c>
      <c r="P92" s="15" t="n">
        <f aca="false">COUNTIFS(Clips!$F:$F,$B92,Clips!$C:$C,"train")</f>
        <v>9</v>
      </c>
      <c r="Q92" s="15" t="n">
        <f aca="false">COUNTIFS(Clips!$F:$F,$B92,Clips!$C:$C,"val")</f>
        <v>0</v>
      </c>
      <c r="R92" s="15" t="n">
        <f aca="false">COUNTIFS(Clips!$F:$F,$B92,Clips!$C:$C,"test")</f>
        <v>1</v>
      </c>
      <c r="S92" s="17" t="n">
        <f aca="false">SUMIFS(Clips!$I:$I,Clips!$F:$F,$B92,Clips!$C:$C,"train")/60</f>
        <v>3.15588333333333</v>
      </c>
      <c r="T92" s="17" t="n">
        <f aca="false">SUMIFS(Clips!$I:$I,Clips!$F:$F,$B92,Clips!$C:$C,"val")/60</f>
        <v>0</v>
      </c>
      <c r="U92" s="17" t="n">
        <f aca="false">SUMIFS(Clips!$I:$I,Clips!$F:$F,$B92,Clips!$C:$C,"test")/60</f>
        <v>0.579483333333333</v>
      </c>
      <c r="V92" s="15" t="n">
        <f aca="false">SUMIFS(Clips!$J:$J,Clips!$F:$F,$B92,Clips!$C:$C,"train")</f>
        <v>42</v>
      </c>
      <c r="W92" s="18" t="n">
        <f aca="false">IF(V92=0,"",Splits!$B$49/(Splits!$B$50*V92))</f>
        <v>3.71013027852651</v>
      </c>
      <c r="X92" s="15" t="str">
        <f aca="false">IF(P92&gt;0,IF(AND(Q92&gt;0,R92&gt;0),"train + val + test",IF(R92&gt;0,"train + test","train only")),IF(R92&gt;0,"test only (unknown class)",IF(K92&gt;0,"site extract only","no usable audio")))</f>
        <v>train + test</v>
      </c>
      <c r="Y92" s="15" t="str">
        <f aca="false">IF($P92=0,"",IF($E92="nonbird",$B92,IF($G92="yes",$B92,"other bird")))</f>
        <v>other bird</v>
      </c>
      <c r="Z92" s="15" t="str">
        <f aca="false">IF(AND($F92="core",$P92&gt;0),$B92,"")</f>
        <v/>
      </c>
      <c r="AA92" s="15" t="str">
        <f aca="false">IF($P92&gt;0,$B92,"")</f>
        <v>Orange-chinned Parakeet</v>
      </c>
      <c r="AB92" s="15" t="n">
        <v>10</v>
      </c>
      <c r="AC92" s="15" t="n">
        <v>10</v>
      </c>
      <c r="AD92" s="17" t="n">
        <f aca="false">IF(COUNTIFS(Clips!$F:$F,$B92,Clips!$M:$M,"&gt;0",Clips!$C:$C,"&lt;&gt;excluded")=0,"",AVERAGEIFS(Clips!$M:$M,Clips!$F:$F,$B92,Clips!$M:$M,"&gt;0",Clips!$C:$C,"&lt;&gt;excluded"))</f>
        <v>3.14285714285714</v>
      </c>
      <c r="AE92" s="15" t="n">
        <f aca="false">COUNTIFS(Clips!$F:$F,$B92,Clips!$O:$O,"&lt;&gt;",Clips!$B:$B,"&lt;&gt;site",Clips!$C:$C,"&lt;&gt;excluded")</f>
        <v>1</v>
      </c>
      <c r="AF92" s="15" t="n">
        <f aca="false">COUNTIFS(Clips!$F:$F,$B92,Clips!$I:$I,"&lt;5",Clips!$C:$C,"&lt;&gt;excluded")</f>
        <v>0</v>
      </c>
      <c r="AG92" s="5"/>
    </row>
    <row r="93" customFormat="false" ht="15" hidden="false" customHeight="false" outlineLevel="0" collapsed="false">
      <c r="A93" s="15" t="n">
        <v>182</v>
      </c>
      <c r="B93" s="15" t="s">
        <v>431</v>
      </c>
      <c r="C93" s="15" t="s">
        <v>432</v>
      </c>
      <c r="D93" s="15" t="s">
        <v>433</v>
      </c>
      <c r="E93" s="15" t="s">
        <v>147</v>
      </c>
      <c r="F93" s="15" t="s">
        <v>148</v>
      </c>
      <c r="G93" s="15" t="str">
        <f aca="false">IF(AND($E93="bird",$K93&gt;0),"yes","")</f>
        <v/>
      </c>
      <c r="H93" s="15"/>
      <c r="I93" s="15" t="str">
        <f aca="false">IF($E93="bird",IF(COUNTIF('eBird List'!$A:$A,$B93)&gt;0,"yes","no"),"")</f>
        <v>yes</v>
      </c>
      <c r="J93" s="16" t="n">
        <f aca="false">IF(COUNTIF('eBird List'!$A:$A,$B93)=0,"",INDEX('eBird List'!$C:$C,MATCH($B93,'eBird List'!$A:$A,0)))</f>
        <v>0.0179890397903264</v>
      </c>
      <c r="K93" s="15" t="n">
        <f aca="false">COUNTIFS(Clips!$B:$B,"site",Clips!$F:$F,$B93)+COUNTIFS(Clips!$B:$B,"site",Clips!$O:$O,"*"&amp;$B93&amp;"*")</f>
        <v>0</v>
      </c>
      <c r="L93" s="15" t="n">
        <f aca="false">COUNTIFS(Clips!$F:$F,$B93,Clips!$B:$B,"macaulay")</f>
        <v>10</v>
      </c>
      <c r="M93" s="15" t="n">
        <f aca="false">COUNTIFS(Clips!$F:$F,$B93,Clips!$B:$B,"xeno-canto")</f>
        <v>0</v>
      </c>
      <c r="N93" s="15" t="n">
        <f aca="false">K93+L93+M93</f>
        <v>10</v>
      </c>
      <c r="O93" s="15" t="n">
        <f aca="false">COUNTIFS(Clips!$F:$F,$B93,Clips!$C:$C,"excluded")</f>
        <v>0</v>
      </c>
      <c r="P93" s="15" t="n">
        <f aca="false">COUNTIFS(Clips!$F:$F,$B93,Clips!$C:$C,"train")</f>
        <v>6</v>
      </c>
      <c r="Q93" s="15" t="n">
        <f aca="false">COUNTIFS(Clips!$F:$F,$B93,Clips!$C:$C,"val")</f>
        <v>2</v>
      </c>
      <c r="R93" s="15" t="n">
        <f aca="false">COUNTIFS(Clips!$F:$F,$B93,Clips!$C:$C,"test")</f>
        <v>2</v>
      </c>
      <c r="S93" s="17" t="n">
        <f aca="false">SUMIFS(Clips!$I:$I,Clips!$F:$F,$B93,Clips!$C:$C,"train")/60</f>
        <v>12.0603166666667</v>
      </c>
      <c r="T93" s="17" t="n">
        <f aca="false">SUMIFS(Clips!$I:$I,Clips!$F:$F,$B93,Clips!$C:$C,"val")/60</f>
        <v>2.4434</v>
      </c>
      <c r="U93" s="17" t="n">
        <f aca="false">SUMIFS(Clips!$I:$I,Clips!$F:$F,$B93,Clips!$C:$C,"test")/60</f>
        <v>7.81588333333333</v>
      </c>
      <c r="V93" s="15" t="n">
        <f aca="false">SUMIFS(Clips!$J:$J,Clips!$F:$F,$B93,Clips!$C:$C,"train")</f>
        <v>148</v>
      </c>
      <c r="W93" s="18" t="n">
        <f aca="false">IF(V93=0,"",Splits!$B$49/(Splits!$B$50*V93))</f>
        <v>1.05287480877104</v>
      </c>
      <c r="X93" s="15" t="str">
        <f aca="false">IF(P93&gt;0,IF(AND(Q93&gt;0,R93&gt;0),"train + val + test",IF(R93&gt;0,"train + test","train only")),IF(R93&gt;0,"test only (unknown class)",IF(K93&gt;0,"site extract only","no usable audio")))</f>
        <v>train + val + test</v>
      </c>
      <c r="Y93" s="15" t="str">
        <f aca="false">IF($P93=0,"",IF($E93="nonbird",$B93,IF($G93="yes",$B93,"other bird")))</f>
        <v>other bird</v>
      </c>
      <c r="Z93" s="15" t="str">
        <f aca="false">IF(AND($F93="core",$P93&gt;0),$B93,"")</f>
        <v>Slate-colored Grosbeak</v>
      </c>
      <c r="AA93" s="15" t="str">
        <f aca="false">IF($P93&gt;0,$B93,"")</f>
        <v>Slate-colored Grosbeak</v>
      </c>
      <c r="AB93" s="15" t="n">
        <v>10</v>
      </c>
      <c r="AC93" s="15" t="n">
        <v>7</v>
      </c>
      <c r="AD93" s="17" t="n">
        <f aca="false">IF(COUNTIFS(Clips!$F:$F,$B93,Clips!$M:$M,"&gt;0",Clips!$C:$C,"&lt;&gt;excluded")=0,"",AVERAGEIFS(Clips!$M:$M,Clips!$F:$F,$B93,Clips!$M:$M,"&gt;0",Clips!$C:$C,"&lt;&gt;excluded"))</f>
        <v>3.07222222222222</v>
      </c>
      <c r="AE93" s="15" t="n">
        <f aca="false">COUNTIFS(Clips!$F:$F,$B93,Clips!$O:$O,"&lt;&gt;",Clips!$B:$B,"&lt;&gt;site",Clips!$C:$C,"&lt;&gt;excluded")</f>
        <v>0</v>
      </c>
      <c r="AF93" s="15" t="n">
        <f aca="false">COUNTIFS(Clips!$F:$F,$B93,Clips!$I:$I,"&lt;5",Clips!$C:$C,"&lt;&gt;excluded")</f>
        <v>0</v>
      </c>
      <c r="AG93" s="5"/>
    </row>
    <row r="94" customFormat="false" ht="15" hidden="false" customHeight="false" outlineLevel="0" collapsed="false">
      <c r="A94" s="15" t="n">
        <v>28</v>
      </c>
      <c r="B94" s="15" t="s">
        <v>434</v>
      </c>
      <c r="C94" s="15" t="s">
        <v>435</v>
      </c>
      <c r="D94" s="15" t="s">
        <v>436</v>
      </c>
      <c r="E94" s="15" t="s">
        <v>147</v>
      </c>
      <c r="F94" s="15" t="s">
        <v>400</v>
      </c>
      <c r="G94" s="15" t="str">
        <f aca="false">IF(AND($E94="bird",$K94&gt;0),"yes","")</f>
        <v>yes</v>
      </c>
      <c r="H94" s="15"/>
      <c r="I94" s="15" t="str">
        <f aca="false">IF($E94="bird",IF(COUNTIF('eBird List'!$A:$A,$B94)&gt;0,"yes","no"),"")</f>
        <v>yes</v>
      </c>
      <c r="J94" s="16" t="n">
        <f aca="false">IF(COUNTIF('eBird List'!$A:$A,$B94)=0,"",INDEX('eBird List'!$C:$C,MATCH($B94,'eBird List'!$A:$A,0)))</f>
        <v>0.0159637836549917</v>
      </c>
      <c r="K94" s="15" t="n">
        <f aca="false">COUNTIFS(Clips!$B:$B,"site",Clips!$F:$F,$B94)+COUNTIFS(Clips!$B:$B,"site",Clips!$O:$O,"*"&amp;$B94&amp;"*")</f>
        <v>1</v>
      </c>
      <c r="L94" s="15" t="n">
        <f aca="false">COUNTIFS(Clips!$F:$F,$B94,Clips!$B:$B,"macaulay")</f>
        <v>9</v>
      </c>
      <c r="M94" s="15" t="n">
        <f aca="false">COUNTIFS(Clips!$F:$F,$B94,Clips!$B:$B,"xeno-canto")</f>
        <v>0</v>
      </c>
      <c r="N94" s="15" t="n">
        <f aca="false">K94+L94+M94</f>
        <v>10</v>
      </c>
      <c r="O94" s="15" t="n">
        <f aca="false">COUNTIFS(Clips!$F:$F,$B94,Clips!$C:$C,"excluded")</f>
        <v>0</v>
      </c>
      <c r="P94" s="15" t="n">
        <f aca="false">COUNTIFS(Clips!$F:$F,$B94,Clips!$C:$C,"train")</f>
        <v>8</v>
      </c>
      <c r="Q94" s="15" t="n">
        <f aca="false">COUNTIFS(Clips!$F:$F,$B94,Clips!$C:$C,"val")</f>
        <v>0</v>
      </c>
      <c r="R94" s="15" t="n">
        <f aca="false">COUNTIFS(Clips!$F:$F,$B94,Clips!$C:$C,"test")</f>
        <v>1</v>
      </c>
      <c r="S94" s="17" t="n">
        <f aca="false">SUMIFS(Clips!$I:$I,Clips!$F:$F,$B94,Clips!$C:$C,"train")/60</f>
        <v>16.5881166666667</v>
      </c>
      <c r="T94" s="17" t="n">
        <f aca="false">SUMIFS(Clips!$I:$I,Clips!$F:$F,$B94,Clips!$C:$C,"val")/60</f>
        <v>0</v>
      </c>
      <c r="U94" s="17" t="n">
        <f aca="false">SUMIFS(Clips!$I:$I,Clips!$F:$F,$B94,Clips!$C:$C,"test")/60</f>
        <v>1.14393333333333</v>
      </c>
      <c r="V94" s="15" t="n">
        <f aca="false">SUMIFS(Clips!$J:$J,Clips!$F:$F,$B94,Clips!$C:$C,"train")</f>
        <v>204</v>
      </c>
      <c r="W94" s="18" t="n">
        <f aca="false">IF(V94=0,"",Splits!$B$49/(Splits!$B$50*V94))</f>
        <v>0.763850351461339</v>
      </c>
      <c r="X94" s="15" t="str">
        <f aca="false">IF(P94&gt;0,IF(AND(Q94&gt;0,R94&gt;0),"train + val + test",IF(R94&gt;0,"train + test","train only")),IF(R94&gt;0,"test only (unknown class)",IF(K94&gt;0,"site extract only","no usable audio")))</f>
        <v>train + test</v>
      </c>
      <c r="Y94" s="15" t="str">
        <f aca="false">IF($P94=0,"",IF($E94="nonbird",$B94,IF($G94="yes",$B94,"other bird")))</f>
        <v>Black-striped Woodcreeper</v>
      </c>
      <c r="Z94" s="15" t="str">
        <f aca="false">IF(AND($F94="core",$P94&gt;0),$B94,"")</f>
        <v/>
      </c>
      <c r="AA94" s="15" t="str">
        <f aca="false">IF($P94&gt;0,$B94,"")</f>
        <v>Black-striped Woodcreeper</v>
      </c>
      <c r="AB94" s="15" t="n">
        <v>9</v>
      </c>
      <c r="AC94" s="15" t="n">
        <v>5</v>
      </c>
      <c r="AD94" s="17" t="n">
        <f aca="false">IF(COUNTIFS(Clips!$F:$F,$B94,Clips!$M:$M,"&gt;0",Clips!$C:$C,"&lt;&gt;excluded")=0,"",AVERAGEIFS(Clips!$M:$M,Clips!$F:$F,$B94,Clips!$M:$M,"&gt;0",Clips!$C:$C,"&lt;&gt;excluded"))</f>
        <v>2.54285714285714</v>
      </c>
      <c r="AE94" s="15" t="n">
        <f aca="false">COUNTIFS(Clips!$F:$F,$B94,Clips!$O:$O,"&lt;&gt;",Clips!$B:$B,"&lt;&gt;site",Clips!$C:$C,"&lt;&gt;excluded")</f>
        <v>2</v>
      </c>
      <c r="AF94" s="15" t="n">
        <f aca="false">COUNTIFS(Clips!$F:$F,$B94,Clips!$I:$I,"&lt;5",Clips!$C:$C,"&lt;&gt;excluded")</f>
        <v>1</v>
      </c>
      <c r="AG94" s="5" t="s">
        <v>437</v>
      </c>
    </row>
    <row r="95" customFormat="false" ht="15" hidden="false" customHeight="false" outlineLevel="0" collapsed="false">
      <c r="A95" s="15" t="n">
        <v>127</v>
      </c>
      <c r="B95" s="15" t="s">
        <v>438</v>
      </c>
      <c r="C95" s="15" t="s">
        <v>439</v>
      </c>
      <c r="D95" s="15" t="s">
        <v>440</v>
      </c>
      <c r="E95" s="15" t="s">
        <v>147</v>
      </c>
      <c r="F95" s="15" t="s">
        <v>400</v>
      </c>
      <c r="G95" s="15" t="str">
        <f aca="false">IF(AND($E95="bird",$K95&gt;0),"yes","")</f>
        <v/>
      </c>
      <c r="H95" s="15"/>
      <c r="I95" s="15" t="str">
        <f aca="false">IF($E95="bird",IF(COUNTIF('eBird List'!$A:$A,$B95)&gt;0,"yes","no"),"")</f>
        <v>yes</v>
      </c>
      <c r="J95" s="16" t="n">
        <f aca="false">IF(COUNTIF('eBird List'!$A:$A,$B95)=0,"",INDEX('eBird List'!$C:$C,MATCH($B95,'eBird List'!$A:$A,0)))</f>
        <v>0.147367167024065</v>
      </c>
      <c r="K95" s="15" t="n">
        <f aca="false">COUNTIFS(Clips!$B:$B,"site",Clips!$F:$F,$B95)+COUNTIFS(Clips!$B:$B,"site",Clips!$O:$O,"*"&amp;$B95&amp;"*")</f>
        <v>0</v>
      </c>
      <c r="L95" s="15" t="n">
        <f aca="false">COUNTIFS(Clips!$F:$F,$B95,Clips!$B:$B,"macaulay")</f>
        <v>9</v>
      </c>
      <c r="M95" s="15" t="n">
        <f aca="false">COUNTIFS(Clips!$F:$F,$B95,Clips!$B:$B,"xeno-canto")</f>
        <v>0</v>
      </c>
      <c r="N95" s="15" t="n">
        <f aca="false">K95+L95+M95</f>
        <v>9</v>
      </c>
      <c r="O95" s="15" t="n">
        <f aca="false">COUNTIFS(Clips!$F:$F,$B95,Clips!$C:$C,"excluded")</f>
        <v>0</v>
      </c>
      <c r="P95" s="15" t="n">
        <f aca="false">COUNTIFS(Clips!$F:$F,$B95,Clips!$C:$C,"train")</f>
        <v>8</v>
      </c>
      <c r="Q95" s="15" t="n">
        <f aca="false">COUNTIFS(Clips!$F:$F,$B95,Clips!$C:$C,"val")</f>
        <v>0</v>
      </c>
      <c r="R95" s="15" t="n">
        <f aca="false">COUNTIFS(Clips!$F:$F,$B95,Clips!$C:$C,"test")</f>
        <v>1</v>
      </c>
      <c r="S95" s="17" t="n">
        <f aca="false">SUMIFS(Clips!$I:$I,Clips!$F:$F,$B95,Clips!$C:$C,"train")/60</f>
        <v>5.75823333333333</v>
      </c>
      <c r="T95" s="17" t="n">
        <f aca="false">SUMIFS(Clips!$I:$I,Clips!$F:$F,$B95,Clips!$C:$C,"val")/60</f>
        <v>0</v>
      </c>
      <c r="U95" s="17" t="n">
        <f aca="false">SUMIFS(Clips!$I:$I,Clips!$F:$F,$B95,Clips!$C:$C,"test")/60</f>
        <v>0.422816666666667</v>
      </c>
      <c r="V95" s="15" t="n">
        <f aca="false">SUMIFS(Clips!$J:$J,Clips!$F:$F,$B95,Clips!$C:$C,"train")</f>
        <v>74</v>
      </c>
      <c r="W95" s="18" t="n">
        <f aca="false">IF(V95=0,"",Splits!$B$49/(Splits!$B$50*V95))</f>
        <v>2.10574961754207</v>
      </c>
      <c r="X95" s="15" t="str">
        <f aca="false">IF(P95&gt;0,IF(AND(Q95&gt;0,R95&gt;0),"train + val + test",IF(R95&gt;0,"train + test","train only")),IF(R95&gt;0,"test only (unknown class)",IF(K95&gt;0,"site extract only","no usable audio")))</f>
        <v>train + test</v>
      </c>
      <c r="Y95" s="15" t="str">
        <f aca="false">IF($P95=0,"",IF($E95="nonbird",$B95,IF($G95="yes",$B95,"other bird")))</f>
        <v>other bird</v>
      </c>
      <c r="Z95" s="15" t="str">
        <f aca="false">IF(AND($F95="core",$P95&gt;0),$B95,"")</f>
        <v/>
      </c>
      <c r="AA95" s="15" t="str">
        <f aca="false">IF($P95&gt;0,$B95,"")</f>
        <v>Mistletoe Tyrannulet</v>
      </c>
      <c r="AB95" s="15" t="n">
        <v>9</v>
      </c>
      <c r="AC95" s="15" t="n">
        <v>7</v>
      </c>
      <c r="AD95" s="17" t="n">
        <f aca="false">IF(COUNTIFS(Clips!$F:$F,$B95,Clips!$M:$M,"&gt;0",Clips!$C:$C,"&lt;&gt;excluded")=0,"",AVERAGEIFS(Clips!$M:$M,Clips!$F:$F,$B95,Clips!$M:$M,"&gt;0",Clips!$C:$C,"&lt;&gt;excluded"))</f>
        <v>3.04666666666667</v>
      </c>
      <c r="AE95" s="15" t="n">
        <f aca="false">COUNTIFS(Clips!$F:$F,$B95,Clips!$O:$O,"&lt;&gt;",Clips!$B:$B,"&lt;&gt;site",Clips!$C:$C,"&lt;&gt;excluded")</f>
        <v>0</v>
      </c>
      <c r="AF95" s="15" t="n">
        <f aca="false">COUNTIFS(Clips!$F:$F,$B95,Clips!$I:$I,"&lt;5",Clips!$C:$C,"&lt;&gt;excluded")</f>
        <v>0</v>
      </c>
      <c r="AG95" s="5"/>
    </row>
    <row r="96" customFormat="false" ht="15" hidden="false" customHeight="false" outlineLevel="0" collapsed="false">
      <c r="A96" s="15" t="n">
        <v>129</v>
      </c>
      <c r="B96" s="15" t="s">
        <v>441</v>
      </c>
      <c r="C96" s="15" t="s">
        <v>442</v>
      </c>
      <c r="D96" s="15" t="s">
        <v>443</v>
      </c>
      <c r="E96" s="15" t="s">
        <v>147</v>
      </c>
      <c r="F96" s="15" t="s">
        <v>400</v>
      </c>
      <c r="G96" s="15" t="str">
        <f aca="false">IF(AND($E96="bird",$K96&gt;0),"yes","")</f>
        <v/>
      </c>
      <c r="H96" s="15"/>
      <c r="I96" s="15" t="str">
        <f aca="false">IF($E96="bird",IF(COUNTIF('eBird List'!$A:$A,$B96)&gt;0,"yes","no"),"")</f>
        <v>yes</v>
      </c>
      <c r="J96" s="16" t="n">
        <f aca="false">IF(COUNTIF('eBird List'!$A:$A,$B96)=0,"",INDEX('eBird List'!$C:$C,MATCH($B96,'eBird List'!$A:$A,0)))</f>
        <v>0.0122706695258518</v>
      </c>
      <c r="K96" s="15" t="n">
        <f aca="false">COUNTIFS(Clips!$B:$B,"site",Clips!$F:$F,$B96)+COUNTIFS(Clips!$B:$B,"site",Clips!$O:$O,"*"&amp;$B96&amp;"*")</f>
        <v>0</v>
      </c>
      <c r="L96" s="15" t="n">
        <f aca="false">COUNTIFS(Clips!$F:$F,$B96,Clips!$B:$B,"macaulay")</f>
        <v>9</v>
      </c>
      <c r="M96" s="15" t="n">
        <f aca="false">COUNTIFS(Clips!$F:$F,$B96,Clips!$B:$B,"xeno-canto")</f>
        <v>0</v>
      </c>
      <c r="N96" s="15" t="n">
        <f aca="false">K96+L96+M96</f>
        <v>9</v>
      </c>
      <c r="O96" s="15" t="n">
        <f aca="false">COUNTIFS(Clips!$F:$F,$B96,Clips!$C:$C,"excluded")</f>
        <v>0</v>
      </c>
      <c r="P96" s="15" t="n">
        <f aca="false">COUNTIFS(Clips!$F:$F,$B96,Clips!$C:$C,"train")</f>
        <v>8</v>
      </c>
      <c r="Q96" s="15" t="n">
        <f aca="false">COUNTIFS(Clips!$F:$F,$B96,Clips!$C:$C,"val")</f>
        <v>0</v>
      </c>
      <c r="R96" s="15" t="n">
        <f aca="false">COUNTIFS(Clips!$F:$F,$B96,Clips!$C:$C,"test")</f>
        <v>1</v>
      </c>
      <c r="S96" s="17" t="n">
        <f aca="false">SUMIFS(Clips!$I:$I,Clips!$F:$F,$B96,Clips!$C:$C,"train")/60</f>
        <v>4.18545</v>
      </c>
      <c r="T96" s="17" t="n">
        <f aca="false">SUMIFS(Clips!$I:$I,Clips!$F:$F,$B96,Clips!$C:$C,"val")/60</f>
        <v>0</v>
      </c>
      <c r="U96" s="17" t="n">
        <f aca="false">SUMIFS(Clips!$I:$I,Clips!$F:$F,$B96,Clips!$C:$C,"test")/60</f>
        <v>0.268766666666667</v>
      </c>
      <c r="V96" s="15" t="n">
        <f aca="false">SUMIFS(Clips!$J:$J,Clips!$F:$F,$B96,Clips!$C:$C,"train")</f>
        <v>54</v>
      </c>
      <c r="W96" s="18" t="n">
        <f aca="false">IF(V96=0,"",Splits!$B$49/(Splits!$B$50*V96))</f>
        <v>2.88565688329839</v>
      </c>
      <c r="X96" s="15" t="str">
        <f aca="false">IF(P96&gt;0,IF(AND(Q96&gt;0,R96&gt;0),"train + val + test",IF(R96&gt;0,"train + test","train only")),IF(R96&gt;0,"test only (unknown class)",IF(K96&gt;0,"site extract only","no usable audio")))</f>
        <v>train + test</v>
      </c>
      <c r="Y96" s="15" t="str">
        <f aca="false">IF($P96=0,"",IF($E96="nonbird",$B96,IF($G96="yes",$B96,"other bird")))</f>
        <v>other bird</v>
      </c>
      <c r="Z96" s="15" t="str">
        <f aca="false">IF(AND($F96="core",$P96&gt;0),$B96,"")</f>
        <v/>
      </c>
      <c r="AA96" s="15" t="str">
        <f aca="false">IF($P96&gt;0,$B96,"")</f>
        <v>Mottled Owl</v>
      </c>
      <c r="AB96" s="15" t="n">
        <v>8</v>
      </c>
      <c r="AC96" s="15" t="n">
        <v>6</v>
      </c>
      <c r="AD96" s="17" t="n">
        <f aca="false">IF(COUNTIFS(Clips!$F:$F,$B96,Clips!$M:$M,"&gt;0",Clips!$C:$C,"&lt;&gt;excluded")=0,"",AVERAGEIFS(Clips!$M:$M,Clips!$F:$F,$B96,Clips!$M:$M,"&gt;0",Clips!$C:$C,"&lt;&gt;excluded"))</f>
        <v>2.77833333333333</v>
      </c>
      <c r="AE96" s="15" t="n">
        <f aca="false">COUNTIFS(Clips!$F:$F,$B96,Clips!$O:$O,"&lt;&gt;",Clips!$B:$B,"&lt;&gt;site",Clips!$C:$C,"&lt;&gt;excluded")</f>
        <v>0</v>
      </c>
      <c r="AF96" s="15" t="n">
        <f aca="false">COUNTIFS(Clips!$F:$F,$B96,Clips!$I:$I,"&lt;5",Clips!$C:$C,"&lt;&gt;excluded")</f>
        <v>1</v>
      </c>
      <c r="AG96" s="5"/>
    </row>
    <row r="97" customFormat="false" ht="15" hidden="false" customHeight="false" outlineLevel="0" collapsed="false">
      <c r="A97" s="15" t="n">
        <v>149</v>
      </c>
      <c r="B97" s="15" t="s">
        <v>444</v>
      </c>
      <c r="C97" s="15" t="s">
        <v>445</v>
      </c>
      <c r="D97" s="15" t="s">
        <v>446</v>
      </c>
      <c r="E97" s="15" t="s">
        <v>147</v>
      </c>
      <c r="F97" s="15" t="s">
        <v>400</v>
      </c>
      <c r="G97" s="15" t="str">
        <f aca="false">IF(AND($E97="bird",$K97&gt;0),"yes","")</f>
        <v/>
      </c>
      <c r="H97" s="15"/>
      <c r="I97" s="15" t="str">
        <f aca="false">IF($E97="bird",IF(COUNTIF('eBird List'!$A:$A,$B97)&gt;0,"yes","no"),"")</f>
        <v>yes</v>
      </c>
      <c r="J97" s="16" t="n">
        <f aca="false">IF(COUNTIF('eBird List'!$A:$A,$B97)=0,"",INDEX('eBird List'!$C:$C,MATCH($B97,'eBird List'!$A:$A,0)))</f>
        <v>0.320883964736717</v>
      </c>
      <c r="K97" s="15" t="n">
        <f aca="false">COUNTIFS(Clips!$B:$B,"site",Clips!$F:$F,$B97)+COUNTIFS(Clips!$B:$B,"site",Clips!$O:$O,"*"&amp;$B97&amp;"*")</f>
        <v>0</v>
      </c>
      <c r="L97" s="15" t="n">
        <f aca="false">COUNTIFS(Clips!$F:$F,$B97,Clips!$B:$B,"macaulay")</f>
        <v>9</v>
      </c>
      <c r="M97" s="15" t="n">
        <f aca="false">COUNTIFS(Clips!$F:$F,$B97,Clips!$B:$B,"xeno-canto")</f>
        <v>0</v>
      </c>
      <c r="N97" s="15" t="n">
        <f aca="false">K97+L97+M97</f>
        <v>9</v>
      </c>
      <c r="O97" s="15" t="n">
        <f aca="false">COUNTIFS(Clips!$F:$F,$B97,Clips!$C:$C,"excluded")</f>
        <v>0</v>
      </c>
      <c r="P97" s="15" t="n">
        <f aca="false">COUNTIFS(Clips!$F:$F,$B97,Clips!$C:$C,"train")</f>
        <v>7</v>
      </c>
      <c r="Q97" s="15" t="n">
        <f aca="false">COUNTIFS(Clips!$F:$F,$B97,Clips!$C:$C,"val")</f>
        <v>0</v>
      </c>
      <c r="R97" s="15" t="n">
        <f aca="false">COUNTIFS(Clips!$F:$F,$B97,Clips!$C:$C,"test")</f>
        <v>2</v>
      </c>
      <c r="S97" s="17" t="n">
        <f aca="false">SUMIFS(Clips!$I:$I,Clips!$F:$F,$B97,Clips!$C:$C,"train")/60</f>
        <v>2.13756666666667</v>
      </c>
      <c r="T97" s="17" t="n">
        <f aca="false">SUMIFS(Clips!$I:$I,Clips!$F:$F,$B97,Clips!$C:$C,"val")/60</f>
        <v>0</v>
      </c>
      <c r="U97" s="17" t="n">
        <f aca="false">SUMIFS(Clips!$I:$I,Clips!$F:$F,$B97,Clips!$C:$C,"test")/60</f>
        <v>0.495683333333333</v>
      </c>
      <c r="V97" s="15" t="n">
        <f aca="false">SUMIFS(Clips!$J:$J,Clips!$F:$F,$B97,Clips!$C:$C,"train")</f>
        <v>28</v>
      </c>
      <c r="W97" s="18" t="n">
        <f aca="false">IF(V97=0,"",Splits!$B$49/(Splits!$B$50*V97))</f>
        <v>5.56519541778976</v>
      </c>
      <c r="X97" s="15" t="str">
        <f aca="false">IF(P97&gt;0,IF(AND(Q97&gt;0,R97&gt;0),"train + val + test",IF(R97&gt;0,"train + test","train only")),IF(R97&gt;0,"test only (unknown class)",IF(K97&gt;0,"site extract only","no usable audio")))</f>
        <v>train + test</v>
      </c>
      <c r="Y97" s="15" t="str">
        <f aca="false">IF($P97=0,"",IF($E97="nonbird",$B97,IF($G97="yes",$B97,"other bird")))</f>
        <v>other bird</v>
      </c>
      <c r="Z97" s="15" t="str">
        <f aca="false">IF(AND($F97="core",$P97&gt;0),$B97,"")</f>
        <v/>
      </c>
      <c r="AA97" s="15" t="str">
        <f aca="false">IF($P97&gt;0,$B97,"")</f>
        <v>Palm Tanager</v>
      </c>
      <c r="AB97" s="15" t="n">
        <v>6</v>
      </c>
      <c r="AC97" s="15" t="n">
        <v>6</v>
      </c>
      <c r="AD97" s="17" t="n">
        <f aca="false">IF(COUNTIFS(Clips!$F:$F,$B97,Clips!$M:$M,"&gt;0",Clips!$C:$C,"&lt;&gt;excluded")=0,"",AVERAGEIFS(Clips!$M:$M,Clips!$F:$F,$B97,Clips!$M:$M,"&gt;0",Clips!$C:$C,"&lt;&gt;excluded"))</f>
        <v>2.90625</v>
      </c>
      <c r="AE97" s="15" t="n">
        <f aca="false">COUNTIFS(Clips!$F:$F,$B97,Clips!$O:$O,"&lt;&gt;",Clips!$B:$B,"&lt;&gt;site",Clips!$C:$C,"&lt;&gt;excluded")</f>
        <v>0</v>
      </c>
      <c r="AF97" s="15" t="n">
        <f aca="false">COUNTIFS(Clips!$F:$F,$B97,Clips!$I:$I,"&lt;5",Clips!$C:$C,"&lt;&gt;excluded")</f>
        <v>1</v>
      </c>
      <c r="AG97" s="5"/>
    </row>
    <row r="98" customFormat="false" ht="15" hidden="false" customHeight="false" outlineLevel="0" collapsed="false">
      <c r="A98" s="15" t="n">
        <v>151</v>
      </c>
      <c r="B98" s="15" t="s">
        <v>447</v>
      </c>
      <c r="C98" s="15" t="s">
        <v>448</v>
      </c>
      <c r="D98" s="15" t="s">
        <v>449</v>
      </c>
      <c r="E98" s="15" t="s">
        <v>147</v>
      </c>
      <c r="F98" s="15" t="s">
        <v>400</v>
      </c>
      <c r="G98" s="15" t="str">
        <f aca="false">IF(AND($E98="bird",$K98&gt;0),"yes","")</f>
        <v/>
      </c>
      <c r="H98" s="15"/>
      <c r="I98" s="15" t="str">
        <f aca="false">IF($E98="bird",IF(COUNTIF('eBird List'!$A:$A,$B98)&gt;0,"yes","no"),"")</f>
        <v>yes</v>
      </c>
      <c r="J98" s="16" t="n">
        <f aca="false">IF(COUNTIF('eBird List'!$A:$A,$B98)=0,"",INDEX('eBird List'!$C:$C,MATCH($B98,'eBird List'!$A:$A,0)))</f>
        <v>0.122736478436979</v>
      </c>
      <c r="K98" s="15" t="n">
        <f aca="false">COUNTIFS(Clips!$B:$B,"site",Clips!$F:$F,$B98)+COUNTIFS(Clips!$B:$B,"site",Clips!$O:$O,"*"&amp;$B98&amp;"*")</f>
        <v>0</v>
      </c>
      <c r="L98" s="15" t="n">
        <f aca="false">COUNTIFS(Clips!$F:$F,$B98,Clips!$B:$B,"macaulay")</f>
        <v>9</v>
      </c>
      <c r="M98" s="15" t="n">
        <f aca="false">COUNTIFS(Clips!$F:$F,$B98,Clips!$B:$B,"xeno-canto")</f>
        <v>0</v>
      </c>
      <c r="N98" s="15" t="n">
        <f aca="false">K98+L98+M98</f>
        <v>9</v>
      </c>
      <c r="O98" s="15" t="n">
        <f aca="false">COUNTIFS(Clips!$F:$F,$B98,Clips!$C:$C,"excluded")</f>
        <v>0</v>
      </c>
      <c r="P98" s="15" t="n">
        <f aca="false">COUNTIFS(Clips!$F:$F,$B98,Clips!$C:$C,"train")</f>
        <v>8</v>
      </c>
      <c r="Q98" s="15" t="n">
        <f aca="false">COUNTIFS(Clips!$F:$F,$B98,Clips!$C:$C,"val")</f>
        <v>0</v>
      </c>
      <c r="R98" s="15" t="n">
        <f aca="false">COUNTIFS(Clips!$F:$F,$B98,Clips!$C:$C,"test")</f>
        <v>1</v>
      </c>
      <c r="S98" s="17" t="n">
        <f aca="false">SUMIFS(Clips!$I:$I,Clips!$F:$F,$B98,Clips!$C:$C,"train")/60</f>
        <v>12.33195</v>
      </c>
      <c r="T98" s="17" t="n">
        <f aca="false">SUMIFS(Clips!$I:$I,Clips!$F:$F,$B98,Clips!$C:$C,"val")/60</f>
        <v>0</v>
      </c>
      <c r="U98" s="17" t="n">
        <f aca="false">SUMIFS(Clips!$I:$I,Clips!$F:$F,$B98,Clips!$C:$C,"test")/60</f>
        <v>0.265816666666667</v>
      </c>
      <c r="V98" s="15" t="n">
        <f aca="false">SUMIFS(Clips!$J:$J,Clips!$F:$F,$B98,Clips!$C:$C,"train")</f>
        <v>153</v>
      </c>
      <c r="W98" s="18" t="n">
        <f aca="false">IF(V98=0,"",Splits!$B$49/(Splits!$B$50*V98))</f>
        <v>1.01846713528179</v>
      </c>
      <c r="X98" s="15" t="str">
        <f aca="false">IF(P98&gt;0,IF(AND(Q98&gt;0,R98&gt;0),"train + val + test",IF(R98&gt;0,"train + test","train only")),IF(R98&gt;0,"test only (unknown class)",IF(K98&gt;0,"site extract only","no usable audio")))</f>
        <v>train + test</v>
      </c>
      <c r="Y98" s="15" t="str">
        <f aca="false">IF($P98=0,"",IF($E98="nonbird",$B98,IF($G98="yes",$B98,"other bird")))</f>
        <v>other bird</v>
      </c>
      <c r="Z98" s="15" t="str">
        <f aca="false">IF(AND($F98="core",$P98&gt;0),$B98,"")</f>
        <v/>
      </c>
      <c r="AA98" s="15" t="str">
        <f aca="false">IF($P98&gt;0,$B98,"")</f>
        <v>Piratic Flycatcher</v>
      </c>
      <c r="AB98" s="15" t="n">
        <v>8</v>
      </c>
      <c r="AC98" s="15" t="n">
        <v>3</v>
      </c>
      <c r="AD98" s="17" t="n">
        <f aca="false">IF(COUNTIFS(Clips!$F:$F,$B98,Clips!$M:$M,"&gt;0",Clips!$C:$C,"&lt;&gt;excluded")=0,"",AVERAGEIFS(Clips!$M:$M,Clips!$F:$F,$B98,Clips!$M:$M,"&gt;0",Clips!$C:$C,"&lt;&gt;excluded"))</f>
        <v>3.8125</v>
      </c>
      <c r="AE98" s="15" t="n">
        <f aca="false">COUNTIFS(Clips!$F:$F,$B98,Clips!$O:$O,"&lt;&gt;",Clips!$B:$B,"&lt;&gt;site",Clips!$C:$C,"&lt;&gt;excluded")</f>
        <v>0</v>
      </c>
      <c r="AF98" s="15" t="n">
        <f aca="false">COUNTIFS(Clips!$F:$F,$B98,Clips!$I:$I,"&lt;5",Clips!$C:$C,"&lt;&gt;excluded")</f>
        <v>0</v>
      </c>
      <c r="AG98" s="5"/>
    </row>
    <row r="99" customFormat="false" ht="15" hidden="false" customHeight="false" outlineLevel="0" collapsed="false">
      <c r="A99" s="15" t="n">
        <v>184</v>
      </c>
      <c r="B99" s="15" t="s">
        <v>450</v>
      </c>
      <c r="C99" s="15" t="s">
        <v>451</v>
      </c>
      <c r="D99" s="15" t="s">
        <v>452</v>
      </c>
      <c r="E99" s="15" t="s">
        <v>147</v>
      </c>
      <c r="F99" s="15" t="s">
        <v>400</v>
      </c>
      <c r="G99" s="15" t="str">
        <f aca="false">IF(AND($E99="bird",$K99&gt;0),"yes","")</f>
        <v/>
      </c>
      <c r="H99" s="15"/>
      <c r="I99" s="15" t="str">
        <f aca="false">IF($E99="bird",IF(COUNTIF('eBird List'!$A:$A,$B99)&gt;0,"yes","no"),"")</f>
        <v>yes</v>
      </c>
      <c r="J99" s="16" t="n">
        <f aca="false">IF(COUNTIF('eBird List'!$A:$A,$B99)=0,"",INDEX('eBird List'!$C:$C,MATCH($B99,'eBird List'!$A:$A,0)))</f>
        <v>0.0117345723135573</v>
      </c>
      <c r="K99" s="15" t="n">
        <f aca="false">COUNTIFS(Clips!$B:$B,"site",Clips!$F:$F,$B99)+COUNTIFS(Clips!$B:$B,"site",Clips!$O:$O,"*"&amp;$B99&amp;"*")</f>
        <v>0</v>
      </c>
      <c r="L99" s="15" t="n">
        <f aca="false">COUNTIFS(Clips!$F:$F,$B99,Clips!$B:$B,"macaulay")</f>
        <v>8</v>
      </c>
      <c r="M99" s="15" t="n">
        <f aca="false">COUNTIFS(Clips!$F:$F,$B99,Clips!$B:$B,"xeno-canto")</f>
        <v>1</v>
      </c>
      <c r="N99" s="15" t="n">
        <f aca="false">K99+L99+M99</f>
        <v>9</v>
      </c>
      <c r="O99" s="15" t="n">
        <f aca="false">COUNTIFS(Clips!$F:$F,$B99,Clips!$C:$C,"excluded")</f>
        <v>0</v>
      </c>
      <c r="P99" s="15" t="n">
        <f aca="false">COUNTIFS(Clips!$F:$F,$B99,Clips!$C:$C,"train")</f>
        <v>8</v>
      </c>
      <c r="Q99" s="15" t="n">
        <f aca="false">COUNTIFS(Clips!$F:$F,$B99,Clips!$C:$C,"val")</f>
        <v>0</v>
      </c>
      <c r="R99" s="15" t="n">
        <f aca="false">COUNTIFS(Clips!$F:$F,$B99,Clips!$C:$C,"test")</f>
        <v>1</v>
      </c>
      <c r="S99" s="17" t="n">
        <f aca="false">SUMIFS(Clips!$I:$I,Clips!$F:$F,$B99,Clips!$C:$C,"train")/60</f>
        <v>6.85323333333333</v>
      </c>
      <c r="T99" s="17" t="n">
        <f aca="false">SUMIFS(Clips!$I:$I,Clips!$F:$F,$B99,Clips!$C:$C,"val")/60</f>
        <v>0</v>
      </c>
      <c r="U99" s="17" t="n">
        <f aca="false">SUMIFS(Clips!$I:$I,Clips!$F:$F,$B99,Clips!$C:$C,"test")/60</f>
        <v>0.753416666666667</v>
      </c>
      <c r="V99" s="15" t="n">
        <f aca="false">SUMIFS(Clips!$J:$J,Clips!$F:$F,$B99,Clips!$C:$C,"train")</f>
        <v>87</v>
      </c>
      <c r="W99" s="18" t="n">
        <f aca="false">IF(V99=0,"",Splits!$B$49/(Splits!$B$50*V99))</f>
        <v>1.79109737584038</v>
      </c>
      <c r="X99" s="15" t="str">
        <f aca="false">IF(P99&gt;0,IF(AND(Q99&gt;0,R99&gt;0),"train + val + test",IF(R99&gt;0,"train + test","train only")),IF(R99&gt;0,"test only (unknown class)",IF(K99&gt;0,"site extract only","no usable audio")))</f>
        <v>train + test</v>
      </c>
      <c r="Y99" s="15" t="str">
        <f aca="false">IF($P99=0,"",IF($E99="nonbird",$B99,IF($G99="yes",$B99,"other bird")))</f>
        <v>other bird</v>
      </c>
      <c r="Z99" s="15" t="str">
        <f aca="false">IF(AND($F99="core",$P99&gt;0),$B99,"")</f>
        <v/>
      </c>
      <c r="AA99" s="15" t="str">
        <f aca="false">IF($P99&gt;0,$B99,"")</f>
        <v>Slaty Spinetail</v>
      </c>
      <c r="AB99" s="15" t="n">
        <v>9</v>
      </c>
      <c r="AC99" s="15" t="n">
        <v>7</v>
      </c>
      <c r="AD99" s="17" t="n">
        <f aca="false">IF(COUNTIFS(Clips!$F:$F,$B99,Clips!$M:$M,"&gt;0",Clips!$C:$C,"&lt;&gt;excluded")=0,"",AVERAGEIFS(Clips!$M:$M,Clips!$F:$F,$B99,Clips!$M:$M,"&gt;0",Clips!$C:$C,"&lt;&gt;excluded"))</f>
        <v>2.28375</v>
      </c>
      <c r="AE99" s="15" t="n">
        <f aca="false">COUNTIFS(Clips!$F:$F,$B99,Clips!$O:$O,"&lt;&gt;",Clips!$B:$B,"&lt;&gt;site",Clips!$C:$C,"&lt;&gt;excluded")</f>
        <v>2</v>
      </c>
      <c r="AF99" s="15" t="n">
        <f aca="false">COUNTIFS(Clips!$F:$F,$B99,Clips!$I:$I,"&lt;5",Clips!$C:$C,"&lt;&gt;excluded")</f>
        <v>0</v>
      </c>
      <c r="AG99" s="5"/>
    </row>
    <row r="100" customFormat="false" ht="15" hidden="false" customHeight="false" outlineLevel="0" collapsed="false">
      <c r="A100" s="15" t="n">
        <v>191</v>
      </c>
      <c r="B100" s="15" t="s">
        <v>453</v>
      </c>
      <c r="C100" s="15" t="s">
        <v>454</v>
      </c>
      <c r="D100" s="15" t="s">
        <v>455</v>
      </c>
      <c r="E100" s="15" t="s">
        <v>147</v>
      </c>
      <c r="F100" s="15" t="s">
        <v>400</v>
      </c>
      <c r="G100" s="15" t="str">
        <f aca="false">IF(AND($E100="bird",$K100&gt;0),"yes","")</f>
        <v/>
      </c>
      <c r="H100" s="15"/>
      <c r="I100" s="15" t="str">
        <f aca="false">IF($E100="bird",IF(COUNTIF('eBird List'!$A:$A,$B100)&gt;0,"yes","no"),"")</f>
        <v>yes</v>
      </c>
      <c r="J100" s="16" t="n">
        <f aca="false">IF(COUNTIF('eBird List'!$A:$A,$B100)=0,"",INDEX('eBird List'!$C:$C,MATCH($B100,'eBird List'!$A:$A,0)))</f>
        <v>0.153383369073147</v>
      </c>
      <c r="K100" s="15" t="n">
        <f aca="false">COUNTIFS(Clips!$B:$B,"site",Clips!$F:$F,$B100)+COUNTIFS(Clips!$B:$B,"site",Clips!$O:$O,"*"&amp;$B100&amp;"*")</f>
        <v>0</v>
      </c>
      <c r="L100" s="15" t="n">
        <f aca="false">COUNTIFS(Clips!$F:$F,$B100,Clips!$B:$B,"macaulay")</f>
        <v>6</v>
      </c>
      <c r="M100" s="15" t="n">
        <f aca="false">COUNTIFS(Clips!$F:$F,$B100,Clips!$B:$B,"xeno-canto")</f>
        <v>3</v>
      </c>
      <c r="N100" s="15" t="n">
        <f aca="false">K100+L100+M100</f>
        <v>9</v>
      </c>
      <c r="O100" s="15" t="n">
        <f aca="false">COUNTIFS(Clips!$F:$F,$B100,Clips!$C:$C,"excluded")</f>
        <v>0</v>
      </c>
      <c r="P100" s="15" t="n">
        <f aca="false">COUNTIFS(Clips!$F:$F,$B100,Clips!$C:$C,"train")</f>
        <v>8</v>
      </c>
      <c r="Q100" s="15" t="n">
        <f aca="false">COUNTIFS(Clips!$F:$F,$B100,Clips!$C:$C,"val")</f>
        <v>0</v>
      </c>
      <c r="R100" s="15" t="n">
        <f aca="false">COUNTIFS(Clips!$F:$F,$B100,Clips!$C:$C,"test")</f>
        <v>1</v>
      </c>
      <c r="S100" s="17" t="n">
        <f aca="false">SUMIFS(Clips!$I:$I,Clips!$F:$F,$B100,Clips!$C:$C,"train")/60</f>
        <v>6.08848333333333</v>
      </c>
      <c r="T100" s="17" t="n">
        <f aca="false">SUMIFS(Clips!$I:$I,Clips!$F:$F,$B100,Clips!$C:$C,"val")/60</f>
        <v>0</v>
      </c>
      <c r="U100" s="17" t="n">
        <f aca="false">SUMIFS(Clips!$I:$I,Clips!$F:$F,$B100,Clips!$C:$C,"test")/60</f>
        <v>0.17635</v>
      </c>
      <c r="V100" s="15" t="n">
        <f aca="false">SUMIFS(Clips!$J:$J,Clips!$F:$F,$B100,Clips!$C:$C,"train")</f>
        <v>76</v>
      </c>
      <c r="W100" s="18" t="n">
        <f aca="false">IF(V100=0,"",Splits!$B$49/(Splits!$B$50*V100))</f>
        <v>2.05033515392254</v>
      </c>
      <c r="X100" s="15" t="str">
        <f aca="false">IF(P100&gt;0,IF(AND(Q100&gt;0,R100&gt;0),"train + val + test",IF(R100&gt;0,"train + test","train only")),IF(R100&gt;0,"test only (unknown class)",IF(K100&gt;0,"site extract only","no usable audio")))</f>
        <v>train + test</v>
      </c>
      <c r="Y100" s="15" t="str">
        <f aca="false">IF($P100=0,"",IF($E100="nonbird",$B100,IF($G100="yes",$B100,"other bird")))</f>
        <v>other bird</v>
      </c>
      <c r="Z100" s="15" t="str">
        <f aca="false">IF(AND($F100="core",$P100&gt;0),$B100,"")</f>
        <v/>
      </c>
      <c r="AA100" s="15" t="str">
        <f aca="false">IF($P100&gt;0,$B100,"")</f>
        <v>Southern House Wren</v>
      </c>
      <c r="AB100" s="15" t="n">
        <v>8</v>
      </c>
      <c r="AC100" s="15" t="n">
        <v>7</v>
      </c>
      <c r="AD100" s="17" t="n">
        <f aca="false">IF(COUNTIFS(Clips!$F:$F,$B100,Clips!$M:$M,"&gt;0",Clips!$C:$C,"&lt;&gt;excluded")=0,"",AVERAGEIFS(Clips!$M:$M,Clips!$F:$F,$B100,Clips!$M:$M,"&gt;0",Clips!$C:$C,"&lt;&gt;excluded"))</f>
        <v>3.2</v>
      </c>
      <c r="AE100" s="15" t="n">
        <f aca="false">COUNTIFS(Clips!$F:$F,$B100,Clips!$O:$O,"&lt;&gt;",Clips!$B:$B,"&lt;&gt;site",Clips!$C:$C,"&lt;&gt;excluded")</f>
        <v>0</v>
      </c>
      <c r="AF100" s="15" t="n">
        <f aca="false">COUNTIFS(Clips!$F:$F,$B100,Clips!$I:$I,"&lt;5",Clips!$C:$C,"&lt;&gt;excluded")</f>
        <v>1</v>
      </c>
      <c r="AG100" s="5" t="s">
        <v>456</v>
      </c>
    </row>
    <row r="101" customFormat="false" ht="15" hidden="false" customHeight="false" outlineLevel="0" collapsed="false">
      <c r="A101" s="15" t="n">
        <v>195</v>
      </c>
      <c r="B101" s="15" t="s">
        <v>457</v>
      </c>
      <c r="C101" s="15" t="s">
        <v>458</v>
      </c>
      <c r="D101" s="15" t="s">
        <v>459</v>
      </c>
      <c r="E101" s="15" t="s">
        <v>147</v>
      </c>
      <c r="F101" s="15" t="s">
        <v>400</v>
      </c>
      <c r="G101" s="15" t="str">
        <f aca="false">IF(AND($E101="bird",$K101&gt;0),"yes","")</f>
        <v/>
      </c>
      <c r="H101" s="15"/>
      <c r="I101" s="15" t="str">
        <f aca="false">IF($E101="bird",IF(COUNTIF('eBird List'!$A:$A,$B101)&gt;0,"yes","no"),"")</f>
        <v>yes</v>
      </c>
      <c r="J101" s="16" t="n">
        <f aca="false">IF(COUNTIF('eBird List'!$A:$A,$B101)=0,"",INDEX('eBird List'!$C:$C,MATCH($B101,'eBird List'!$A:$A,0)))</f>
        <v>0.0514653323802716</v>
      </c>
      <c r="K101" s="15" t="n">
        <f aca="false">COUNTIFS(Clips!$B:$B,"site",Clips!$F:$F,$B101)+COUNTIFS(Clips!$B:$B,"site",Clips!$O:$O,"*"&amp;$B101&amp;"*")</f>
        <v>0</v>
      </c>
      <c r="L101" s="15" t="n">
        <f aca="false">COUNTIFS(Clips!$F:$F,$B101,Clips!$B:$B,"macaulay")</f>
        <v>8</v>
      </c>
      <c r="M101" s="15" t="n">
        <f aca="false">COUNTIFS(Clips!$F:$F,$B101,Clips!$B:$B,"xeno-canto")</f>
        <v>1</v>
      </c>
      <c r="N101" s="15" t="n">
        <f aca="false">K101+L101+M101</f>
        <v>9</v>
      </c>
      <c r="O101" s="15" t="n">
        <f aca="false">COUNTIFS(Clips!$F:$F,$B101,Clips!$C:$C,"excluded")</f>
        <v>0</v>
      </c>
      <c r="P101" s="15" t="n">
        <f aca="false">COUNTIFS(Clips!$F:$F,$B101,Clips!$C:$C,"train")</f>
        <v>8</v>
      </c>
      <c r="Q101" s="15" t="n">
        <f aca="false">COUNTIFS(Clips!$F:$F,$B101,Clips!$C:$C,"val")</f>
        <v>0</v>
      </c>
      <c r="R101" s="15" t="n">
        <f aca="false">COUNTIFS(Clips!$F:$F,$B101,Clips!$C:$C,"test")</f>
        <v>1</v>
      </c>
      <c r="S101" s="17" t="n">
        <f aca="false">SUMIFS(Clips!$I:$I,Clips!$F:$F,$B101,Clips!$C:$C,"train")/60</f>
        <v>3.87361666666667</v>
      </c>
      <c r="T101" s="17" t="n">
        <f aca="false">SUMIFS(Clips!$I:$I,Clips!$F:$F,$B101,Clips!$C:$C,"val")/60</f>
        <v>0</v>
      </c>
      <c r="U101" s="17" t="n">
        <f aca="false">SUMIFS(Clips!$I:$I,Clips!$F:$F,$B101,Clips!$C:$C,"test")/60</f>
        <v>0.1</v>
      </c>
      <c r="V101" s="15" t="n">
        <f aca="false">SUMIFS(Clips!$J:$J,Clips!$F:$F,$B101,Clips!$C:$C,"train")</f>
        <v>51</v>
      </c>
      <c r="W101" s="18" t="n">
        <f aca="false">IF(V101=0,"",Splits!$B$49/(Splits!$B$50*V101))</f>
        <v>3.05540140584536</v>
      </c>
      <c r="X101" s="15" t="str">
        <f aca="false">IF(P101&gt;0,IF(AND(Q101&gt;0,R101&gt;0),"train + val + test",IF(R101&gt;0,"train + test","train only")),IF(R101&gt;0,"test only (unknown class)",IF(K101&gt;0,"site extract only","no usable audio")))</f>
        <v>train + test</v>
      </c>
      <c r="Y101" s="15" t="str">
        <f aca="false">IF($P101=0,"",IF($E101="nonbird",$B101,IF($G101="yes",$B101,"other bird")))</f>
        <v>other bird</v>
      </c>
      <c r="Z101" s="15" t="str">
        <f aca="false">IF(AND($F101="core",$P101&gt;0),$B101,"")</f>
        <v/>
      </c>
      <c r="AA101" s="15" t="str">
        <f aca="false">IF($P101&gt;0,$B101,"")</f>
        <v>Spotted Antbird</v>
      </c>
      <c r="AB101" s="15" t="n">
        <v>8</v>
      </c>
      <c r="AC101" s="15" t="n">
        <v>8</v>
      </c>
      <c r="AD101" s="17" t="n">
        <f aca="false">IF(COUNTIFS(Clips!$F:$F,$B101,Clips!$M:$M,"&gt;0",Clips!$C:$C,"&lt;&gt;excluded")=0,"",AVERAGEIFS(Clips!$M:$M,Clips!$F:$F,$B101,Clips!$M:$M,"&gt;0",Clips!$C:$C,"&lt;&gt;excluded"))</f>
        <v>3.23857142857143</v>
      </c>
      <c r="AE101" s="15" t="n">
        <f aca="false">COUNTIFS(Clips!$F:$F,$B101,Clips!$O:$O,"&lt;&gt;",Clips!$B:$B,"&lt;&gt;site",Clips!$C:$C,"&lt;&gt;excluded")</f>
        <v>0</v>
      </c>
      <c r="AF101" s="15" t="n">
        <f aca="false">COUNTIFS(Clips!$F:$F,$B101,Clips!$I:$I,"&lt;5",Clips!$C:$C,"&lt;&gt;excluded")</f>
        <v>0</v>
      </c>
      <c r="AG101" s="5"/>
    </row>
    <row r="102" customFormat="false" ht="15" hidden="false" customHeight="false" outlineLevel="0" collapsed="false">
      <c r="A102" s="15" t="n">
        <v>198</v>
      </c>
      <c r="B102" s="15" t="s">
        <v>460</v>
      </c>
      <c r="C102" s="15" t="s">
        <v>461</v>
      </c>
      <c r="D102" s="15" t="s">
        <v>462</v>
      </c>
      <c r="E102" s="15" t="s">
        <v>147</v>
      </c>
      <c r="F102" s="15" t="s">
        <v>400</v>
      </c>
      <c r="G102" s="15" t="str">
        <f aca="false">IF(AND($E102="bird",$K102&gt;0),"yes","")</f>
        <v/>
      </c>
      <c r="H102" s="15"/>
      <c r="I102" s="15" t="str">
        <f aca="false">IF($E102="bird",IF(COUNTIF('eBird List'!$A:$A,$B102)&gt;0,"yes","no"),"")</f>
        <v>yes</v>
      </c>
      <c r="J102" s="16" t="n">
        <f aca="false">IF(COUNTIF('eBird List'!$A:$A,$B102)=0,"",INDEX('eBird List'!$C:$C,MATCH($B102,'eBird List'!$A:$A,0)))</f>
        <v>0.208690731474863</v>
      </c>
      <c r="K102" s="15" t="n">
        <f aca="false">COUNTIFS(Clips!$B:$B,"site",Clips!$F:$F,$B102)+COUNTIFS(Clips!$B:$B,"site",Clips!$O:$O,"*"&amp;$B102&amp;"*")</f>
        <v>0</v>
      </c>
      <c r="L102" s="15" t="n">
        <f aca="false">COUNTIFS(Clips!$F:$F,$B102,Clips!$B:$B,"macaulay")</f>
        <v>9</v>
      </c>
      <c r="M102" s="15" t="n">
        <f aca="false">COUNTIFS(Clips!$F:$F,$B102,Clips!$B:$B,"xeno-canto")</f>
        <v>1</v>
      </c>
      <c r="N102" s="15" t="n">
        <f aca="false">K102+L102+M102</f>
        <v>10</v>
      </c>
      <c r="O102" s="15" t="n">
        <f aca="false">COUNTIFS(Clips!$F:$F,$B102,Clips!$C:$C,"excluded")</f>
        <v>1</v>
      </c>
      <c r="P102" s="15" t="n">
        <f aca="false">COUNTIFS(Clips!$F:$F,$B102,Clips!$C:$C,"train")</f>
        <v>8</v>
      </c>
      <c r="Q102" s="15" t="n">
        <f aca="false">COUNTIFS(Clips!$F:$F,$B102,Clips!$C:$C,"val")</f>
        <v>0</v>
      </c>
      <c r="R102" s="15" t="n">
        <f aca="false">COUNTIFS(Clips!$F:$F,$B102,Clips!$C:$C,"test")</f>
        <v>1</v>
      </c>
      <c r="S102" s="17" t="n">
        <f aca="false">SUMIFS(Clips!$I:$I,Clips!$F:$F,$B102,Clips!$C:$C,"train")/60</f>
        <v>3.9051</v>
      </c>
      <c r="T102" s="17" t="n">
        <f aca="false">SUMIFS(Clips!$I:$I,Clips!$F:$F,$B102,Clips!$C:$C,"val")/60</f>
        <v>0</v>
      </c>
      <c r="U102" s="17" t="n">
        <f aca="false">SUMIFS(Clips!$I:$I,Clips!$F:$F,$B102,Clips!$C:$C,"test")/60</f>
        <v>0.0697333333333333</v>
      </c>
      <c r="V102" s="15" t="n">
        <f aca="false">SUMIFS(Clips!$J:$J,Clips!$F:$F,$B102,Clips!$C:$C,"train")</f>
        <v>50</v>
      </c>
      <c r="W102" s="18" t="n">
        <f aca="false">IF(V102=0,"",Splits!$B$49/(Splits!$B$50*V102))</f>
        <v>3.11650943396226</v>
      </c>
      <c r="X102" s="15" t="str">
        <f aca="false">IF(P102&gt;0,IF(AND(Q102&gt;0,R102&gt;0),"train + val + test",IF(R102&gt;0,"train + test","train only")),IF(R102&gt;0,"test only (unknown class)",IF(K102&gt;0,"site extract only","no usable audio")))</f>
        <v>train + test</v>
      </c>
      <c r="Y102" s="15" t="str">
        <f aca="false">IF($P102=0,"",IF($E102="nonbird",$B102,IF($G102="yes",$B102,"other bird")))</f>
        <v>other bird</v>
      </c>
      <c r="Z102" s="15" t="str">
        <f aca="false">IF(AND($F102="core",$P102&gt;0),$B102,"")</f>
        <v/>
      </c>
      <c r="AA102" s="15" t="str">
        <f aca="false">IF($P102&gt;0,$B102,"")</f>
        <v>Streak-headed Woodcreeper</v>
      </c>
      <c r="AB102" s="15" t="n">
        <v>8</v>
      </c>
      <c r="AC102" s="15" t="n">
        <v>8</v>
      </c>
      <c r="AD102" s="17" t="n">
        <f aca="false">IF(COUNTIFS(Clips!$F:$F,$B102,Clips!$M:$M,"&gt;0",Clips!$C:$C,"&lt;&gt;excluded")=0,"",AVERAGEIFS(Clips!$M:$M,Clips!$F:$F,$B102,Clips!$M:$M,"&gt;0",Clips!$C:$C,"&lt;&gt;excluded"))</f>
        <v>2.57142857142857</v>
      </c>
      <c r="AE102" s="15" t="n">
        <f aca="false">COUNTIFS(Clips!$F:$F,$B102,Clips!$O:$O,"&lt;&gt;",Clips!$B:$B,"&lt;&gt;site",Clips!$C:$C,"&lt;&gt;excluded")</f>
        <v>0</v>
      </c>
      <c r="AF102" s="15" t="n">
        <f aca="false">COUNTIFS(Clips!$F:$F,$B102,Clips!$I:$I,"&lt;5",Clips!$C:$C,"&lt;&gt;excluded")</f>
        <v>4</v>
      </c>
      <c r="AG102" s="5"/>
    </row>
    <row r="103" customFormat="false" ht="15" hidden="false" customHeight="false" outlineLevel="0" collapsed="false">
      <c r="A103" s="15" t="n">
        <v>207</v>
      </c>
      <c r="B103" s="15" t="s">
        <v>463</v>
      </c>
      <c r="C103" s="15" t="s">
        <v>464</v>
      </c>
      <c r="D103" s="15" t="s">
        <v>465</v>
      </c>
      <c r="E103" s="15" t="s">
        <v>147</v>
      </c>
      <c r="F103" s="15" t="s">
        <v>400</v>
      </c>
      <c r="G103" s="15" t="str">
        <f aca="false">IF(AND($E103="bird",$K103&gt;0),"yes","")</f>
        <v/>
      </c>
      <c r="H103" s="15"/>
      <c r="I103" s="15" t="str">
        <f aca="false">IF($E103="bird",IF(COUNTIF('eBird List'!$A:$A,$B103)&gt;0,"yes","no"),"")</f>
        <v>yes</v>
      </c>
      <c r="J103" s="16" t="n">
        <f aca="false">IF(COUNTIF('eBird List'!$A:$A,$B103)=0,"",INDEX('eBird List'!$C:$C,MATCH($B103,'eBird List'!$A:$A,0)))</f>
        <v>0.03365499166071</v>
      </c>
      <c r="K103" s="15" t="n">
        <f aca="false">COUNTIFS(Clips!$B:$B,"site",Clips!$F:$F,$B103)+COUNTIFS(Clips!$B:$B,"site",Clips!$O:$O,"*"&amp;$B103&amp;"*")</f>
        <v>0</v>
      </c>
      <c r="L103" s="15" t="n">
        <f aca="false">COUNTIFS(Clips!$F:$F,$B103,Clips!$B:$B,"macaulay")</f>
        <v>9</v>
      </c>
      <c r="M103" s="15" t="n">
        <f aca="false">COUNTIFS(Clips!$F:$F,$B103,Clips!$B:$B,"xeno-canto")</f>
        <v>0</v>
      </c>
      <c r="N103" s="15" t="n">
        <f aca="false">K103+L103+M103</f>
        <v>9</v>
      </c>
      <c r="O103" s="15" t="n">
        <f aca="false">COUNTIFS(Clips!$F:$F,$B103,Clips!$C:$C,"excluded")</f>
        <v>0</v>
      </c>
      <c r="P103" s="15" t="n">
        <f aca="false">COUNTIFS(Clips!$F:$F,$B103,Clips!$C:$C,"train")</f>
        <v>7</v>
      </c>
      <c r="Q103" s="15" t="n">
        <f aca="false">COUNTIFS(Clips!$F:$F,$B103,Clips!$C:$C,"val")</f>
        <v>0</v>
      </c>
      <c r="R103" s="15" t="n">
        <f aca="false">COUNTIFS(Clips!$F:$F,$B103,Clips!$C:$C,"test")</f>
        <v>2</v>
      </c>
      <c r="S103" s="17" t="n">
        <f aca="false">SUMIFS(Clips!$I:$I,Clips!$F:$F,$B103,Clips!$C:$C,"train")/60</f>
        <v>16.3400333333333</v>
      </c>
      <c r="T103" s="17" t="n">
        <f aca="false">SUMIFS(Clips!$I:$I,Clips!$F:$F,$B103,Clips!$C:$C,"val")/60</f>
        <v>0</v>
      </c>
      <c r="U103" s="17" t="n">
        <f aca="false">SUMIFS(Clips!$I:$I,Clips!$F:$F,$B103,Clips!$C:$C,"test")/60</f>
        <v>12.0029666666667</v>
      </c>
      <c r="V103" s="15" t="n">
        <f aca="false">SUMIFS(Clips!$J:$J,Clips!$F:$F,$B103,Clips!$C:$C,"train")</f>
        <v>200</v>
      </c>
      <c r="W103" s="18" t="n">
        <f aca="false">IF(V103=0,"",Splits!$B$49/(Splits!$B$50*V103))</f>
        <v>0.779127358490566</v>
      </c>
      <c r="X103" s="15" t="str">
        <f aca="false">IF(P103&gt;0,IF(AND(Q103&gt;0,R103&gt;0),"train + val + test",IF(R103&gt;0,"train + test","train only")),IF(R103&gt;0,"test only (unknown class)",IF(K103&gt;0,"site extract only","no usable audio")))</f>
        <v>train + test</v>
      </c>
      <c r="Y103" s="15" t="str">
        <f aca="false">IF($P103=0,"",IF($E103="nonbird",$B103,IF($G103="yes",$B103,"other bird")))</f>
        <v>other bird</v>
      </c>
      <c r="Z103" s="15" t="str">
        <f aca="false">IF(AND($F103="core",$P103&gt;0),$B103,"")</f>
        <v/>
      </c>
      <c r="AA103" s="15" t="str">
        <f aca="false">IF($P103&gt;0,$B103,"")</f>
        <v>Thick-billed Seed-Finch</v>
      </c>
      <c r="AB103" s="15" t="n">
        <v>7</v>
      </c>
      <c r="AC103" s="15" t="n">
        <v>3</v>
      </c>
      <c r="AD103" s="17" t="n">
        <f aca="false">IF(COUNTIFS(Clips!$F:$F,$B103,Clips!$M:$M,"&gt;0",Clips!$C:$C,"&lt;&gt;excluded")=0,"",AVERAGEIFS(Clips!$M:$M,Clips!$F:$F,$B103,Clips!$M:$M,"&gt;0",Clips!$C:$C,"&lt;&gt;excluded"))</f>
        <v>3.27666666666667</v>
      </c>
      <c r="AE103" s="15" t="n">
        <f aca="false">COUNTIFS(Clips!$F:$F,$B103,Clips!$O:$O,"&lt;&gt;",Clips!$B:$B,"&lt;&gt;site",Clips!$C:$C,"&lt;&gt;excluded")</f>
        <v>0</v>
      </c>
      <c r="AF103" s="15" t="n">
        <f aca="false">COUNTIFS(Clips!$F:$F,$B103,Clips!$I:$I,"&lt;5",Clips!$C:$C,"&lt;&gt;excluded")</f>
        <v>1</v>
      </c>
      <c r="AG103" s="5"/>
    </row>
    <row r="104" customFormat="false" ht="15" hidden="false" customHeight="false" outlineLevel="0" collapsed="false">
      <c r="A104" s="15" t="n">
        <v>228</v>
      </c>
      <c r="B104" s="15" t="s">
        <v>466</v>
      </c>
      <c r="C104" s="15" t="s">
        <v>467</v>
      </c>
      <c r="D104" s="15" t="s">
        <v>468</v>
      </c>
      <c r="E104" s="15" t="s">
        <v>147</v>
      </c>
      <c r="F104" s="15" t="s">
        <v>400</v>
      </c>
      <c r="G104" s="15" t="str">
        <f aca="false">IF(AND($E104="bird",$K104&gt;0),"yes","")</f>
        <v/>
      </c>
      <c r="H104" s="15"/>
      <c r="I104" s="15" t="str">
        <f aca="false">IF($E104="bird",IF(COUNTIF('eBird List'!$A:$A,$B104)&gt;0,"yes","no"),"")</f>
        <v>yes</v>
      </c>
      <c r="J104" s="16" t="n">
        <f aca="false">IF(COUNTIF('eBird List'!$A:$A,$B104)=0,"",INDEX('eBird List'!$C:$C,MATCH($B104,'eBird List'!$A:$A,0)))</f>
        <v>0.0332380271622588</v>
      </c>
      <c r="K104" s="15" t="n">
        <f aca="false">COUNTIFS(Clips!$B:$B,"site",Clips!$F:$F,$B104)+COUNTIFS(Clips!$B:$B,"site",Clips!$O:$O,"*"&amp;$B104&amp;"*")</f>
        <v>0</v>
      </c>
      <c r="L104" s="15" t="n">
        <f aca="false">COUNTIFS(Clips!$F:$F,$B104,Clips!$B:$B,"macaulay")</f>
        <v>9</v>
      </c>
      <c r="M104" s="15" t="n">
        <f aca="false">COUNTIFS(Clips!$F:$F,$B104,Clips!$B:$B,"xeno-canto")</f>
        <v>0</v>
      </c>
      <c r="N104" s="15" t="n">
        <f aca="false">K104+L104+M104</f>
        <v>9</v>
      </c>
      <c r="O104" s="15" t="n">
        <f aca="false">COUNTIFS(Clips!$F:$F,$B104,Clips!$C:$C,"excluded")</f>
        <v>0</v>
      </c>
      <c r="P104" s="15" t="n">
        <f aca="false">COUNTIFS(Clips!$F:$F,$B104,Clips!$C:$C,"train")</f>
        <v>7</v>
      </c>
      <c r="Q104" s="15" t="n">
        <f aca="false">COUNTIFS(Clips!$F:$F,$B104,Clips!$C:$C,"val")</f>
        <v>0</v>
      </c>
      <c r="R104" s="15" t="n">
        <f aca="false">COUNTIFS(Clips!$F:$F,$B104,Clips!$C:$C,"test")</f>
        <v>2</v>
      </c>
      <c r="S104" s="17" t="n">
        <f aca="false">SUMIFS(Clips!$I:$I,Clips!$F:$F,$B104,Clips!$C:$C,"train")/60</f>
        <v>12.25245</v>
      </c>
      <c r="T104" s="17" t="n">
        <f aca="false">SUMIFS(Clips!$I:$I,Clips!$F:$F,$B104,Clips!$C:$C,"val")/60</f>
        <v>0</v>
      </c>
      <c r="U104" s="17" t="n">
        <f aca="false">SUMIFS(Clips!$I:$I,Clips!$F:$F,$B104,Clips!$C:$C,"test")/60</f>
        <v>9.18765</v>
      </c>
      <c r="V104" s="15" t="n">
        <f aca="false">SUMIFS(Clips!$J:$J,Clips!$F:$F,$B104,Clips!$C:$C,"train")</f>
        <v>150</v>
      </c>
      <c r="W104" s="18" t="n">
        <f aca="false">IF(V104=0,"",Splits!$B$49/(Splits!$B$50*V104))</f>
        <v>1.03883647798742</v>
      </c>
      <c r="X104" s="15" t="str">
        <f aca="false">IF(P104&gt;0,IF(AND(Q104&gt;0,R104&gt;0),"train + val + test",IF(R104&gt;0,"train + test","train only")),IF(R104&gt;0,"test only (unknown class)",IF(K104&gt;0,"site extract only","no usable audio")))</f>
        <v>train + test</v>
      </c>
      <c r="Y104" s="15" t="str">
        <f aca="false">IF($P104=0,"",IF($E104="nonbird",$B104,IF($G104="yes",$B104,"other bird")))</f>
        <v>other bird</v>
      </c>
      <c r="Z104" s="15" t="str">
        <f aca="false">IF(AND($F104="core",$P104&gt;0),$B104,"")</f>
        <v/>
      </c>
      <c r="AA104" s="15" t="str">
        <f aca="false">IF($P104&gt;0,$B104,"")</f>
        <v>White-throated Crake</v>
      </c>
      <c r="AB104" s="15" t="n">
        <v>6</v>
      </c>
      <c r="AC104" s="15" t="n">
        <v>4</v>
      </c>
      <c r="AD104" s="17" t="n">
        <f aca="false">IF(COUNTIFS(Clips!$F:$F,$B104,Clips!$M:$M,"&gt;0",Clips!$C:$C,"&lt;&gt;excluded")=0,"",AVERAGEIFS(Clips!$M:$M,Clips!$F:$F,$B104,Clips!$M:$M,"&gt;0",Clips!$C:$C,"&lt;&gt;excluded"))</f>
        <v>2.83333333333333</v>
      </c>
      <c r="AE104" s="15" t="n">
        <f aca="false">COUNTIFS(Clips!$F:$F,$B104,Clips!$O:$O,"&lt;&gt;",Clips!$B:$B,"&lt;&gt;site",Clips!$C:$C,"&lt;&gt;excluded")</f>
        <v>0</v>
      </c>
      <c r="AF104" s="15" t="n">
        <f aca="false">COUNTIFS(Clips!$F:$F,$B104,Clips!$I:$I,"&lt;5",Clips!$C:$C,"&lt;&gt;excluded")</f>
        <v>0</v>
      </c>
      <c r="AG104" s="5"/>
    </row>
    <row r="105" customFormat="false" ht="15" hidden="false" customHeight="false" outlineLevel="0" collapsed="false">
      <c r="A105" s="15" t="n">
        <v>246</v>
      </c>
      <c r="B105" s="15" t="s">
        <v>469</v>
      </c>
      <c r="C105" s="15" t="s">
        <v>470</v>
      </c>
      <c r="D105" s="15" t="s">
        <v>471</v>
      </c>
      <c r="E105" s="15" t="s">
        <v>147</v>
      </c>
      <c r="F105" s="15" t="s">
        <v>400</v>
      </c>
      <c r="G105" s="15" t="str">
        <f aca="false">IF(AND($E105="bird",$K105&gt;0),"yes","")</f>
        <v/>
      </c>
      <c r="H105" s="15"/>
      <c r="I105" s="15" t="str">
        <f aca="false">IF($E105="bird",IF(COUNTIF('eBird List'!$A:$A,$B105)&gt;0,"yes","no"),"")</f>
        <v>yes</v>
      </c>
      <c r="J105" s="16" t="n">
        <f aca="false">IF(COUNTIF('eBird List'!$A:$A,$B105)=0,"",INDEX('eBird List'!$C:$C,MATCH($B105,'eBird List'!$A:$A,0)))</f>
        <v>0.0369013581129378</v>
      </c>
      <c r="K105" s="15" t="n">
        <f aca="false">COUNTIFS(Clips!$B:$B,"site",Clips!$F:$F,$B105)+COUNTIFS(Clips!$B:$B,"site",Clips!$O:$O,"*"&amp;$B105&amp;"*")</f>
        <v>0</v>
      </c>
      <c r="L105" s="15" t="n">
        <f aca="false">COUNTIFS(Clips!$F:$F,$B105,Clips!$B:$B,"macaulay")</f>
        <v>9</v>
      </c>
      <c r="M105" s="15" t="n">
        <f aca="false">COUNTIFS(Clips!$F:$F,$B105,Clips!$B:$B,"xeno-canto")</f>
        <v>0</v>
      </c>
      <c r="N105" s="15" t="n">
        <f aca="false">K105+L105+M105</f>
        <v>9</v>
      </c>
      <c r="O105" s="15" t="n">
        <f aca="false">COUNTIFS(Clips!$F:$F,$B105,Clips!$C:$C,"excluded")</f>
        <v>0</v>
      </c>
      <c r="P105" s="15" t="n">
        <f aca="false">COUNTIFS(Clips!$F:$F,$B105,Clips!$C:$C,"train")</f>
        <v>7</v>
      </c>
      <c r="Q105" s="15" t="n">
        <f aca="false">COUNTIFS(Clips!$F:$F,$B105,Clips!$C:$C,"val")</f>
        <v>0</v>
      </c>
      <c r="R105" s="15" t="n">
        <f aca="false">COUNTIFS(Clips!$F:$F,$B105,Clips!$C:$C,"test")</f>
        <v>2</v>
      </c>
      <c r="S105" s="17" t="n">
        <f aca="false">SUMIFS(Clips!$I:$I,Clips!$F:$F,$B105,Clips!$C:$C,"train")/60</f>
        <v>2.35876666666667</v>
      </c>
      <c r="T105" s="17" t="n">
        <f aca="false">SUMIFS(Clips!$I:$I,Clips!$F:$F,$B105,Clips!$C:$C,"val")/60</f>
        <v>0</v>
      </c>
      <c r="U105" s="17" t="n">
        <f aca="false">SUMIFS(Clips!$I:$I,Clips!$F:$F,$B105,Clips!$C:$C,"test")/60</f>
        <v>0.86685</v>
      </c>
      <c r="V105" s="15" t="n">
        <f aca="false">SUMIFS(Clips!$J:$J,Clips!$F:$F,$B105,Clips!$C:$C,"train")</f>
        <v>32</v>
      </c>
      <c r="W105" s="18" t="n">
        <f aca="false">IF(V105=0,"",Splits!$B$49/(Splits!$B$50*V105))</f>
        <v>4.86954599056604</v>
      </c>
      <c r="X105" s="15" t="str">
        <f aca="false">IF(P105&gt;0,IF(AND(Q105&gt;0,R105&gt;0),"train + val + test",IF(R105&gt;0,"train + test","train only")),IF(R105&gt;0,"test only (unknown class)",IF(K105&gt;0,"site extract only","no usable audio")))</f>
        <v>train + test</v>
      </c>
      <c r="Y105" s="15" t="str">
        <f aca="false">IF($P105=0,"",IF($E105="nonbird",$B105,IF($G105="yes",$B105,"other bird")))</f>
        <v>other bird</v>
      </c>
      <c r="Z105" s="15" t="str">
        <f aca="false">IF(AND($F105="core",$P105&gt;0),$B105,"")</f>
        <v/>
      </c>
      <c r="AA105" s="15" t="str">
        <f aca="false">IF($P105&gt;0,$B105,"")</f>
        <v>Yellow-winged Flatbill</v>
      </c>
      <c r="AB105" s="15" t="n">
        <v>6</v>
      </c>
      <c r="AC105" s="15" t="n">
        <v>5</v>
      </c>
      <c r="AD105" s="17" t="n">
        <f aca="false">IF(COUNTIFS(Clips!$F:$F,$B105,Clips!$M:$M,"&gt;0",Clips!$C:$C,"&lt;&gt;excluded")=0,"",AVERAGEIFS(Clips!$M:$M,Clips!$F:$F,$B105,Clips!$M:$M,"&gt;0",Clips!$C:$C,"&lt;&gt;excluded"))</f>
        <v>2.47714285714286</v>
      </c>
      <c r="AE105" s="15" t="n">
        <f aca="false">COUNTIFS(Clips!$F:$F,$B105,Clips!$O:$O,"&lt;&gt;",Clips!$B:$B,"&lt;&gt;site",Clips!$C:$C,"&lt;&gt;excluded")</f>
        <v>0</v>
      </c>
      <c r="AF105" s="15" t="n">
        <f aca="false">COUNTIFS(Clips!$F:$F,$B105,Clips!$I:$I,"&lt;5",Clips!$C:$C,"&lt;&gt;excluded")</f>
        <v>1</v>
      </c>
      <c r="AG105" s="5"/>
    </row>
    <row r="106" customFormat="false" ht="15" hidden="false" customHeight="false" outlineLevel="0" collapsed="false">
      <c r="A106" s="15" t="n">
        <v>95</v>
      </c>
      <c r="B106" s="15" t="s">
        <v>472</v>
      </c>
      <c r="C106" s="15" t="s">
        <v>473</v>
      </c>
      <c r="D106" s="15" t="s">
        <v>474</v>
      </c>
      <c r="E106" s="15" t="s">
        <v>147</v>
      </c>
      <c r="F106" s="15" t="s">
        <v>400</v>
      </c>
      <c r="G106" s="15" t="str">
        <f aca="false">IF(AND($E106="bird",$K106&gt;0),"yes","")</f>
        <v/>
      </c>
      <c r="H106" s="15"/>
      <c r="I106" s="15" t="str">
        <f aca="false">IF($E106="bird",IF(COUNTIF('eBird List'!$A:$A,$B106)&gt;0,"yes","no"),"")</f>
        <v>yes</v>
      </c>
      <c r="J106" s="16" t="n">
        <f aca="false">IF(COUNTIF('eBird List'!$A:$A,$B106)=0,"",INDEX('eBird List'!$C:$C,MATCH($B106,'eBird List'!$A:$A,0)))</f>
        <v>0.0629020729092209</v>
      </c>
      <c r="K106" s="15" t="n">
        <f aca="false">COUNTIFS(Clips!$B:$B,"site",Clips!$F:$F,$B106)+COUNTIFS(Clips!$B:$B,"site",Clips!$O:$O,"*"&amp;$B106&amp;"*")</f>
        <v>0</v>
      </c>
      <c r="L106" s="15" t="n">
        <f aca="false">COUNTIFS(Clips!$F:$F,$B106,Clips!$B:$B,"macaulay")</f>
        <v>8</v>
      </c>
      <c r="M106" s="15" t="n">
        <f aca="false">COUNTIFS(Clips!$F:$F,$B106,Clips!$B:$B,"xeno-canto")</f>
        <v>0</v>
      </c>
      <c r="N106" s="15" t="n">
        <f aca="false">K106+L106+M106</f>
        <v>8</v>
      </c>
      <c r="O106" s="15" t="n">
        <f aca="false">COUNTIFS(Clips!$F:$F,$B106,Clips!$C:$C,"excluded")</f>
        <v>0</v>
      </c>
      <c r="P106" s="15" t="n">
        <f aca="false">COUNTIFS(Clips!$F:$F,$B106,Clips!$C:$C,"train")</f>
        <v>7</v>
      </c>
      <c r="Q106" s="15" t="n">
        <f aca="false">COUNTIFS(Clips!$F:$F,$B106,Clips!$C:$C,"val")</f>
        <v>0</v>
      </c>
      <c r="R106" s="15" t="n">
        <f aca="false">COUNTIFS(Clips!$F:$F,$B106,Clips!$C:$C,"test")</f>
        <v>1</v>
      </c>
      <c r="S106" s="17" t="n">
        <f aca="false">SUMIFS(Clips!$I:$I,Clips!$F:$F,$B106,Clips!$C:$C,"train")/60</f>
        <v>2.55753333333333</v>
      </c>
      <c r="T106" s="17" t="n">
        <f aca="false">SUMIFS(Clips!$I:$I,Clips!$F:$F,$B106,Clips!$C:$C,"val")/60</f>
        <v>0</v>
      </c>
      <c r="U106" s="17" t="n">
        <f aca="false">SUMIFS(Clips!$I:$I,Clips!$F:$F,$B106,Clips!$C:$C,"test")/60</f>
        <v>0.283466666666667</v>
      </c>
      <c r="V106" s="15" t="n">
        <f aca="false">SUMIFS(Clips!$J:$J,Clips!$F:$F,$B106,Clips!$C:$C,"train")</f>
        <v>34</v>
      </c>
      <c r="W106" s="18" t="n">
        <f aca="false">IF(V106=0,"",Splits!$B$49/(Splits!$B$50*V106))</f>
        <v>4.58310210876804</v>
      </c>
      <c r="X106" s="15" t="str">
        <f aca="false">IF(P106&gt;0,IF(AND(Q106&gt;0,R106&gt;0),"train + val + test",IF(R106&gt;0,"train + test","train only")),IF(R106&gt;0,"test only (unknown class)",IF(K106&gt;0,"site extract only","no usable audio")))</f>
        <v>train + test</v>
      </c>
      <c r="Y106" s="15" t="str">
        <f aca="false">IF($P106=0,"",IF($E106="nonbird",$B106,IF($G106="yes",$B106,"other bird")))</f>
        <v>other bird</v>
      </c>
      <c r="Z106" s="15" t="str">
        <f aca="false">IF(AND($F106="core",$P106&gt;0),$B106,"")</f>
        <v/>
      </c>
      <c r="AA106" s="15" t="str">
        <f aca="false">IF($P106&gt;0,$B106,"")</f>
        <v>Gray-headed Kite</v>
      </c>
      <c r="AB106" s="15" t="n">
        <v>6</v>
      </c>
      <c r="AC106" s="15" t="n">
        <v>6</v>
      </c>
      <c r="AD106" s="17" t="n">
        <f aca="false">IF(COUNTIFS(Clips!$F:$F,$B106,Clips!$M:$M,"&gt;0",Clips!$C:$C,"&lt;&gt;excluded")=0,"",AVERAGEIFS(Clips!$M:$M,Clips!$F:$F,$B106,Clips!$M:$M,"&gt;0",Clips!$C:$C,"&lt;&gt;excluded"))</f>
        <v>2.77142857142857</v>
      </c>
      <c r="AE106" s="15" t="n">
        <f aca="false">COUNTIFS(Clips!$F:$F,$B106,Clips!$O:$O,"&lt;&gt;",Clips!$B:$B,"&lt;&gt;site",Clips!$C:$C,"&lt;&gt;excluded")</f>
        <v>0</v>
      </c>
      <c r="AF106" s="15" t="n">
        <f aca="false">COUNTIFS(Clips!$F:$F,$B106,Clips!$I:$I,"&lt;5",Clips!$C:$C,"&lt;&gt;excluded")</f>
        <v>0</v>
      </c>
      <c r="AG106" s="5"/>
    </row>
    <row r="107" customFormat="false" ht="15" hidden="false" customHeight="false" outlineLevel="0" collapsed="false">
      <c r="A107" s="15" t="n">
        <v>98</v>
      </c>
      <c r="B107" s="15" t="s">
        <v>475</v>
      </c>
      <c r="C107" s="15" t="s">
        <v>476</v>
      </c>
      <c r="D107" s="15" t="s">
        <v>477</v>
      </c>
      <c r="E107" s="15" t="s">
        <v>147</v>
      </c>
      <c r="F107" s="15" t="s">
        <v>400</v>
      </c>
      <c r="G107" s="15" t="str">
        <f aca="false">IF(AND($E107="bird",$K107&gt;0),"yes","")</f>
        <v/>
      </c>
      <c r="H107" s="15"/>
      <c r="I107" s="15" t="str">
        <f aca="false">IF($E107="bird",IF(COUNTIF('eBird List'!$A:$A,$B107)&gt;0,"yes","no"),"")</f>
        <v>yes</v>
      </c>
      <c r="J107" s="16" t="n">
        <f aca="false">IF(COUNTIF('eBird List'!$A:$A,$B107)=0,"",INDEX('eBird List'!$C:$C,MATCH($B107,'eBird List'!$A:$A,0)))</f>
        <v>0.0275196568977841</v>
      </c>
      <c r="K107" s="15" t="n">
        <f aca="false">COUNTIFS(Clips!$B:$B,"site",Clips!$F:$F,$B107)+COUNTIFS(Clips!$B:$B,"site",Clips!$O:$O,"*"&amp;$B107&amp;"*")</f>
        <v>0</v>
      </c>
      <c r="L107" s="15" t="n">
        <f aca="false">COUNTIFS(Clips!$F:$F,$B107,Clips!$B:$B,"macaulay")</f>
        <v>8</v>
      </c>
      <c r="M107" s="15" t="n">
        <f aca="false">COUNTIFS(Clips!$F:$F,$B107,Clips!$B:$B,"xeno-canto")</f>
        <v>0</v>
      </c>
      <c r="N107" s="15" t="n">
        <f aca="false">K107+L107+M107</f>
        <v>8</v>
      </c>
      <c r="O107" s="15" t="n">
        <f aca="false">COUNTIFS(Clips!$F:$F,$B107,Clips!$C:$C,"excluded")</f>
        <v>0</v>
      </c>
      <c r="P107" s="15" t="n">
        <f aca="false">COUNTIFS(Clips!$F:$F,$B107,Clips!$C:$C,"train")</f>
        <v>7</v>
      </c>
      <c r="Q107" s="15" t="n">
        <f aca="false">COUNTIFS(Clips!$F:$F,$B107,Clips!$C:$C,"val")</f>
        <v>0</v>
      </c>
      <c r="R107" s="15" t="n">
        <f aca="false">COUNTIFS(Clips!$F:$F,$B107,Clips!$C:$C,"test")</f>
        <v>1</v>
      </c>
      <c r="S107" s="17" t="n">
        <f aca="false">SUMIFS(Clips!$I:$I,Clips!$F:$F,$B107,Clips!$C:$C,"train")/60</f>
        <v>5.49868333333333</v>
      </c>
      <c r="T107" s="17" t="n">
        <f aca="false">SUMIFS(Clips!$I:$I,Clips!$F:$F,$B107,Clips!$C:$C,"val")/60</f>
        <v>0</v>
      </c>
      <c r="U107" s="17" t="n">
        <f aca="false">SUMIFS(Clips!$I:$I,Clips!$F:$F,$B107,Clips!$C:$C,"test")/60</f>
        <v>2.54625</v>
      </c>
      <c r="V107" s="15" t="n">
        <f aca="false">SUMIFS(Clips!$J:$J,Clips!$F:$F,$B107,Clips!$C:$C,"train")</f>
        <v>69</v>
      </c>
      <c r="W107" s="18" t="n">
        <f aca="false">IF(V107=0,"",Splits!$B$49/(Splits!$B$50*V107))</f>
        <v>2.25834016953787</v>
      </c>
      <c r="X107" s="15" t="str">
        <f aca="false">IF(P107&gt;0,IF(AND(Q107&gt;0,R107&gt;0),"train + val + test",IF(R107&gt;0,"train + test","train only")),IF(R107&gt;0,"test only (unknown class)",IF(K107&gt;0,"site extract only","no usable audio")))</f>
        <v>train + test</v>
      </c>
      <c r="Y107" s="15" t="str">
        <f aca="false">IF($P107=0,"",IF($E107="nonbird",$B107,IF($G107="yes",$B107,"other bird")))</f>
        <v>other bird</v>
      </c>
      <c r="Z107" s="15" t="str">
        <f aca="false">IF(AND($F107="core",$P107&gt;0),$B107,"")</f>
        <v/>
      </c>
      <c r="AA107" s="15" t="str">
        <f aca="false">IF($P107&gt;0,$B107,"")</f>
        <v>Great Antshrike</v>
      </c>
      <c r="AB107" s="15" t="n">
        <v>7</v>
      </c>
      <c r="AC107" s="15" t="n">
        <v>6</v>
      </c>
      <c r="AD107" s="17" t="n">
        <f aca="false">IF(COUNTIFS(Clips!$F:$F,$B107,Clips!$M:$M,"&gt;0",Clips!$C:$C,"&lt;&gt;excluded")=0,"",AVERAGEIFS(Clips!$M:$M,Clips!$F:$F,$B107,Clips!$M:$M,"&gt;0",Clips!$C:$C,"&lt;&gt;excluded"))</f>
        <v>2.91666666666667</v>
      </c>
      <c r="AE107" s="15" t="n">
        <f aca="false">COUNTIFS(Clips!$F:$F,$B107,Clips!$O:$O,"&lt;&gt;",Clips!$B:$B,"&lt;&gt;site",Clips!$C:$C,"&lt;&gt;excluded")</f>
        <v>0</v>
      </c>
      <c r="AF107" s="15" t="n">
        <f aca="false">COUNTIFS(Clips!$F:$F,$B107,Clips!$I:$I,"&lt;5",Clips!$C:$C,"&lt;&gt;excluded")</f>
        <v>0</v>
      </c>
      <c r="AG107" s="5"/>
    </row>
    <row r="108" customFormat="false" ht="15" hidden="false" customHeight="false" outlineLevel="0" collapsed="false">
      <c r="A108" s="15" t="n">
        <v>105</v>
      </c>
      <c r="B108" s="15" t="s">
        <v>478</v>
      </c>
      <c r="C108" s="15" t="s">
        <v>479</v>
      </c>
      <c r="D108" s="15" t="s">
        <v>480</v>
      </c>
      <c r="E108" s="15" t="s">
        <v>147</v>
      </c>
      <c r="F108" s="15" t="s">
        <v>400</v>
      </c>
      <c r="G108" s="15" t="str">
        <f aca="false">IF(AND($E108="bird",$K108&gt;0),"yes","")</f>
        <v/>
      </c>
      <c r="H108" s="15"/>
      <c r="I108" s="15" t="str">
        <f aca="false">IF($E108="bird",IF(COUNTIF('eBird List'!$A:$A,$B108)&gt;0,"yes","no"),"")</f>
        <v>yes</v>
      </c>
      <c r="J108" s="16" t="n">
        <f aca="false">IF(COUNTIF('eBird List'!$A:$A,$B108)=0,"",INDEX('eBird List'!$C:$C,MATCH($B108,'eBird List'!$A:$A,0)))</f>
        <v>0.268793185608768</v>
      </c>
      <c r="K108" s="15" t="n">
        <f aca="false">COUNTIFS(Clips!$B:$B,"site",Clips!$F:$F,$B108)+COUNTIFS(Clips!$B:$B,"site",Clips!$O:$O,"*"&amp;$B108&amp;"*")</f>
        <v>0</v>
      </c>
      <c r="L108" s="15" t="n">
        <f aca="false">COUNTIFS(Clips!$F:$F,$B108,Clips!$B:$B,"macaulay")</f>
        <v>8</v>
      </c>
      <c r="M108" s="15" t="n">
        <f aca="false">COUNTIFS(Clips!$F:$F,$B108,Clips!$B:$B,"xeno-canto")</f>
        <v>0</v>
      </c>
      <c r="N108" s="15" t="n">
        <f aca="false">K108+L108+M108</f>
        <v>8</v>
      </c>
      <c r="O108" s="15" t="n">
        <f aca="false">COUNTIFS(Clips!$F:$F,$B108,Clips!$C:$C,"excluded")</f>
        <v>0</v>
      </c>
      <c r="P108" s="15" t="n">
        <f aca="false">COUNTIFS(Clips!$F:$F,$B108,Clips!$C:$C,"train")</f>
        <v>7</v>
      </c>
      <c r="Q108" s="15" t="n">
        <f aca="false">COUNTIFS(Clips!$F:$F,$B108,Clips!$C:$C,"val")</f>
        <v>0</v>
      </c>
      <c r="R108" s="15" t="n">
        <f aca="false">COUNTIFS(Clips!$F:$F,$B108,Clips!$C:$C,"test")</f>
        <v>1</v>
      </c>
      <c r="S108" s="17" t="n">
        <f aca="false">SUMIFS(Clips!$I:$I,Clips!$F:$F,$B108,Clips!$C:$C,"train")/60</f>
        <v>3.02233333333333</v>
      </c>
      <c r="T108" s="17" t="n">
        <f aca="false">SUMIFS(Clips!$I:$I,Clips!$F:$F,$B108,Clips!$C:$C,"val")/60</f>
        <v>0</v>
      </c>
      <c r="U108" s="17" t="n">
        <f aca="false">SUMIFS(Clips!$I:$I,Clips!$F:$F,$B108,Clips!$C:$C,"test")/60</f>
        <v>0.629</v>
      </c>
      <c r="V108" s="15" t="n">
        <f aca="false">SUMIFS(Clips!$J:$J,Clips!$F:$F,$B108,Clips!$C:$C,"train")</f>
        <v>41</v>
      </c>
      <c r="W108" s="18" t="n">
        <f aca="false">IF(V108=0,"",Splits!$B$49/(Splits!$B$50*V108))</f>
        <v>3.80062126092959</v>
      </c>
      <c r="X108" s="15" t="str">
        <f aca="false">IF(P108&gt;0,IF(AND(Q108&gt;0,R108&gt;0),"train + val + test",IF(R108&gt;0,"train + test","train only")),IF(R108&gt;0,"test only (unknown class)",IF(K108&gt;0,"site extract only","no usable audio")))</f>
        <v>train + test</v>
      </c>
      <c r="Y108" s="15" t="str">
        <f aca="false">IF($P108=0,"",IF($E108="nonbird",$B108,IF($G108="yes",$B108,"other bird")))</f>
        <v>other bird</v>
      </c>
      <c r="Z108" s="15" t="str">
        <f aca="false">IF(AND($F108="core",$P108&gt;0),$B108,"")</f>
        <v/>
      </c>
      <c r="AA108" s="15" t="str">
        <f aca="false">IF($P108&gt;0,$B108,"")</f>
        <v>Green Honeycreeper</v>
      </c>
      <c r="AB108" s="15" t="n">
        <v>7</v>
      </c>
      <c r="AC108" s="15" t="n">
        <v>6</v>
      </c>
      <c r="AD108" s="17" t="n">
        <f aca="false">IF(COUNTIFS(Clips!$F:$F,$B108,Clips!$M:$M,"&gt;0",Clips!$C:$C,"&lt;&gt;excluded")=0,"",AVERAGEIFS(Clips!$M:$M,Clips!$F:$F,$B108,Clips!$M:$M,"&gt;0",Clips!$C:$C,"&lt;&gt;excluded"))</f>
        <v>2.55625</v>
      </c>
      <c r="AE108" s="15" t="n">
        <f aca="false">COUNTIFS(Clips!$F:$F,$B108,Clips!$O:$O,"&lt;&gt;",Clips!$B:$B,"&lt;&gt;site",Clips!$C:$C,"&lt;&gt;excluded")</f>
        <v>1</v>
      </c>
      <c r="AF108" s="15" t="n">
        <f aca="false">COUNTIFS(Clips!$F:$F,$B108,Clips!$I:$I,"&lt;5",Clips!$C:$C,"&lt;&gt;excluded")</f>
        <v>0</v>
      </c>
      <c r="AG108" s="5"/>
    </row>
    <row r="109" customFormat="false" ht="15" hidden="false" customHeight="false" outlineLevel="0" collapsed="false">
      <c r="A109" s="15" t="n">
        <v>113</v>
      </c>
      <c r="B109" s="15" t="s">
        <v>481</v>
      </c>
      <c r="C109" s="15" t="s">
        <v>482</v>
      </c>
      <c r="D109" s="15" t="s">
        <v>483</v>
      </c>
      <c r="E109" s="15" t="s">
        <v>147</v>
      </c>
      <c r="F109" s="15" t="s">
        <v>400</v>
      </c>
      <c r="G109" s="15" t="str">
        <f aca="false">IF(AND($E109="bird",$K109&gt;0),"yes","")</f>
        <v/>
      </c>
      <c r="H109" s="15"/>
      <c r="I109" s="15" t="str">
        <f aca="false">IF($E109="bird",IF(COUNTIF('eBird List'!$A:$A,$B109)&gt;0,"yes","no"),"")</f>
        <v>yes</v>
      </c>
      <c r="J109" s="16" t="n">
        <f aca="false">IF(COUNTIF('eBird List'!$A:$A,$B109)=0,"",INDEX('eBird List'!$C:$C,MATCH($B109,'eBird List'!$A:$A,0)))</f>
        <v>0.0285322849654515</v>
      </c>
      <c r="K109" s="15" t="n">
        <f aca="false">COUNTIFS(Clips!$B:$B,"site",Clips!$F:$F,$B109)+COUNTIFS(Clips!$B:$B,"site",Clips!$O:$O,"*"&amp;$B109&amp;"*")</f>
        <v>0</v>
      </c>
      <c r="L109" s="15" t="n">
        <f aca="false">COUNTIFS(Clips!$F:$F,$B109,Clips!$B:$B,"macaulay")</f>
        <v>8</v>
      </c>
      <c r="M109" s="15" t="n">
        <f aca="false">COUNTIFS(Clips!$F:$F,$B109,Clips!$B:$B,"xeno-canto")</f>
        <v>0</v>
      </c>
      <c r="N109" s="15" t="n">
        <f aca="false">K109+L109+M109</f>
        <v>8</v>
      </c>
      <c r="O109" s="15" t="n">
        <f aca="false">COUNTIFS(Clips!$F:$F,$B109,Clips!$C:$C,"excluded")</f>
        <v>0</v>
      </c>
      <c r="P109" s="15" t="n">
        <f aca="false">COUNTIFS(Clips!$F:$F,$B109,Clips!$C:$C,"train")</f>
        <v>7</v>
      </c>
      <c r="Q109" s="15" t="n">
        <f aca="false">COUNTIFS(Clips!$F:$F,$B109,Clips!$C:$C,"val")</f>
        <v>0</v>
      </c>
      <c r="R109" s="15" t="n">
        <f aca="false">COUNTIFS(Clips!$F:$F,$B109,Clips!$C:$C,"test")</f>
        <v>1</v>
      </c>
      <c r="S109" s="17" t="n">
        <f aca="false">SUMIFS(Clips!$I:$I,Clips!$F:$F,$B109,Clips!$C:$C,"train")/60</f>
        <v>2.67811666666667</v>
      </c>
      <c r="T109" s="17" t="n">
        <f aca="false">SUMIFS(Clips!$I:$I,Clips!$F:$F,$B109,Clips!$C:$C,"val")/60</f>
        <v>0</v>
      </c>
      <c r="U109" s="17" t="n">
        <f aca="false">SUMIFS(Clips!$I:$I,Clips!$F:$F,$B109,Clips!$C:$C,"test")/60</f>
        <v>1.43566666666667</v>
      </c>
      <c r="V109" s="15" t="n">
        <f aca="false">SUMIFS(Clips!$J:$J,Clips!$F:$F,$B109,Clips!$C:$C,"train")</f>
        <v>36</v>
      </c>
      <c r="W109" s="18" t="n">
        <f aca="false">IF(V109=0,"",Splits!$B$49/(Splits!$B$50*V109))</f>
        <v>4.32848532494759</v>
      </c>
      <c r="X109" s="15" t="str">
        <f aca="false">IF(P109&gt;0,IF(AND(Q109&gt;0,R109&gt;0),"train + val + test",IF(R109&gt;0,"train + test","train only")),IF(R109&gt;0,"test only (unknown class)",IF(K109&gt;0,"site extract only","no usable audio")))</f>
        <v>train + test</v>
      </c>
      <c r="Y109" s="15" t="str">
        <f aca="false">IF($P109=0,"",IF($E109="nonbird",$B109,IF($G109="yes",$B109,"other bird")))</f>
        <v>other bird</v>
      </c>
      <c r="Z109" s="15" t="str">
        <f aca="false">IF(AND($F109="core",$P109&gt;0),$B109,"")</f>
        <v/>
      </c>
      <c r="AA109" s="15" t="str">
        <f aca="false">IF($P109&gt;0,$B109,"")</f>
        <v>Kentucky Warbler</v>
      </c>
      <c r="AB109" s="15" t="n">
        <v>7</v>
      </c>
      <c r="AC109" s="15" t="n">
        <v>6</v>
      </c>
      <c r="AD109" s="17" t="n">
        <f aca="false">IF(COUNTIFS(Clips!$F:$F,$B109,Clips!$M:$M,"&gt;0",Clips!$C:$C,"&lt;&gt;excluded")=0,"",AVERAGEIFS(Clips!$M:$M,Clips!$F:$F,$B109,Clips!$M:$M,"&gt;0",Clips!$C:$C,"&lt;&gt;excluded"))</f>
        <v>3.1875</v>
      </c>
      <c r="AE109" s="15" t="n">
        <f aca="false">COUNTIFS(Clips!$F:$F,$B109,Clips!$O:$O,"&lt;&gt;",Clips!$B:$B,"&lt;&gt;site",Clips!$C:$C,"&lt;&gt;excluded")</f>
        <v>1</v>
      </c>
      <c r="AF109" s="15" t="n">
        <f aca="false">COUNTIFS(Clips!$F:$F,$B109,Clips!$I:$I,"&lt;5",Clips!$C:$C,"&lt;&gt;excluded")</f>
        <v>1</v>
      </c>
      <c r="AG109" s="5"/>
    </row>
    <row r="110" customFormat="false" ht="15" hidden="false" customHeight="false" outlineLevel="0" collapsed="false">
      <c r="A110" s="15" t="n">
        <v>138</v>
      </c>
      <c r="B110" s="15" t="s">
        <v>484</v>
      </c>
      <c r="C110" s="15" t="s">
        <v>485</v>
      </c>
      <c r="D110" s="15" t="s">
        <v>486</v>
      </c>
      <c r="E110" s="15" t="s">
        <v>147</v>
      </c>
      <c r="F110" s="15" t="s">
        <v>400</v>
      </c>
      <c r="G110" s="15" t="str">
        <f aca="false">IF(AND($E110="bird",$K110&gt;0),"yes","")</f>
        <v/>
      </c>
      <c r="H110" s="15"/>
      <c r="I110" s="15" t="str">
        <f aca="false">IF($E110="bird",IF(COUNTIF('eBird List'!$A:$A,$B110)&gt;0,"yes","no"),"")</f>
        <v>yes</v>
      </c>
      <c r="J110" s="16" t="n">
        <f aca="false">IF(COUNTIF('eBird List'!$A:$A,$B110)=0,"",INDEX('eBird List'!$C:$C,MATCH($B110,'eBird List'!$A:$A,0)))</f>
        <v>0.0293364307838933</v>
      </c>
      <c r="K110" s="15" t="n">
        <f aca="false">COUNTIFS(Clips!$B:$B,"site",Clips!$F:$F,$B110)+COUNTIFS(Clips!$B:$B,"site",Clips!$O:$O,"*"&amp;$B110&amp;"*")</f>
        <v>0</v>
      </c>
      <c r="L110" s="15" t="n">
        <f aca="false">COUNTIFS(Clips!$F:$F,$B110,Clips!$B:$B,"macaulay")</f>
        <v>8</v>
      </c>
      <c r="M110" s="15" t="n">
        <f aca="false">COUNTIFS(Clips!$F:$F,$B110,Clips!$B:$B,"xeno-canto")</f>
        <v>0</v>
      </c>
      <c r="N110" s="15" t="n">
        <f aca="false">K110+L110+M110</f>
        <v>8</v>
      </c>
      <c r="O110" s="15" t="n">
        <f aca="false">COUNTIFS(Clips!$F:$F,$B110,Clips!$C:$C,"excluded")</f>
        <v>0</v>
      </c>
      <c r="P110" s="15" t="n">
        <f aca="false">COUNTIFS(Clips!$F:$F,$B110,Clips!$C:$C,"train")</f>
        <v>7</v>
      </c>
      <c r="Q110" s="15" t="n">
        <f aca="false">COUNTIFS(Clips!$F:$F,$B110,Clips!$C:$C,"val")</f>
        <v>0</v>
      </c>
      <c r="R110" s="15" t="n">
        <f aca="false">COUNTIFS(Clips!$F:$F,$B110,Clips!$C:$C,"test")</f>
        <v>1</v>
      </c>
      <c r="S110" s="17" t="n">
        <f aca="false">SUMIFS(Clips!$I:$I,Clips!$F:$F,$B110,Clips!$C:$C,"train")/60</f>
        <v>33.5514666666667</v>
      </c>
      <c r="T110" s="17" t="n">
        <f aca="false">SUMIFS(Clips!$I:$I,Clips!$F:$F,$B110,Clips!$C:$C,"val")/60</f>
        <v>0</v>
      </c>
      <c r="U110" s="17" t="n">
        <f aca="false">SUMIFS(Clips!$I:$I,Clips!$F:$F,$B110,Clips!$C:$C,"test")/60</f>
        <v>0.209066666666667</v>
      </c>
      <c r="V110" s="15" t="n">
        <f aca="false">SUMIFS(Clips!$J:$J,Clips!$F:$F,$B110,Clips!$C:$C,"train")</f>
        <v>186</v>
      </c>
      <c r="W110" s="18" t="n">
        <f aca="false">IF(V110=0,"",Splits!$B$49/(Splits!$B$50*V110))</f>
        <v>0.837771353215662</v>
      </c>
      <c r="X110" s="15" t="str">
        <f aca="false">IF(P110&gt;0,IF(AND(Q110&gt;0,R110&gt;0),"train + val + test",IF(R110&gt;0,"train + test","train only")),IF(R110&gt;0,"test only (unknown class)",IF(K110&gt;0,"site extract only","no usable audio")))</f>
        <v>train + test</v>
      </c>
      <c r="Y110" s="15" t="str">
        <f aca="false">IF($P110=0,"",IF($E110="nonbird",$B110,IF($G110="yes",$B110,"other bird")))</f>
        <v>other bird</v>
      </c>
      <c r="Z110" s="15" t="str">
        <f aca="false">IF(AND($F110="core",$P110&gt;0),$B110,"")</f>
        <v/>
      </c>
      <c r="AA110" s="15" t="str">
        <f aca="false">IF($P110&gt;0,$B110,"")</f>
        <v>Ocellated Antbird</v>
      </c>
      <c r="AB110" s="15" t="n">
        <v>7</v>
      </c>
      <c r="AC110" s="15" t="n">
        <v>7</v>
      </c>
      <c r="AD110" s="17" t="n">
        <f aca="false">IF(COUNTIFS(Clips!$F:$F,$B110,Clips!$M:$M,"&gt;0",Clips!$C:$C,"&lt;&gt;excluded")=0,"",AVERAGEIFS(Clips!$M:$M,Clips!$F:$F,$B110,Clips!$M:$M,"&gt;0",Clips!$C:$C,"&lt;&gt;excluded"))</f>
        <v>2.1</v>
      </c>
      <c r="AE110" s="15" t="n">
        <f aca="false">COUNTIFS(Clips!$F:$F,$B110,Clips!$O:$O,"&lt;&gt;",Clips!$B:$B,"&lt;&gt;site",Clips!$C:$C,"&lt;&gt;excluded")</f>
        <v>0</v>
      </c>
      <c r="AF110" s="15" t="n">
        <f aca="false">COUNTIFS(Clips!$F:$F,$B110,Clips!$I:$I,"&lt;5",Clips!$C:$C,"&lt;&gt;excluded")</f>
        <v>0</v>
      </c>
      <c r="AG110" s="5"/>
    </row>
    <row r="111" customFormat="false" ht="15" hidden="false" customHeight="false" outlineLevel="0" collapsed="false">
      <c r="A111" s="15" t="n">
        <v>181</v>
      </c>
      <c r="B111" s="15" t="s">
        <v>487</v>
      </c>
      <c r="C111" s="15" t="s">
        <v>488</v>
      </c>
      <c r="D111" s="15" t="s">
        <v>489</v>
      </c>
      <c r="E111" s="15" t="s">
        <v>147</v>
      </c>
      <c r="F111" s="15" t="s">
        <v>400</v>
      </c>
      <c r="G111" s="15" t="str">
        <f aca="false">IF(AND($E111="bird",$K111&gt;0),"yes","")</f>
        <v/>
      </c>
      <c r="H111" s="15"/>
      <c r="I111" s="15" t="str">
        <f aca="false">IF($E111="bird",IF(COUNTIF('eBird List'!$A:$A,$B111)&gt;0,"yes","no"),"")</f>
        <v>yes</v>
      </c>
      <c r="J111" s="16" t="n">
        <f aca="false">IF(COUNTIF('eBird List'!$A:$A,$B111)=0,"",INDEX('eBird List'!$C:$C,MATCH($B111,'eBird List'!$A:$A,0)))</f>
        <v>0.020967357636407</v>
      </c>
      <c r="K111" s="15" t="n">
        <f aca="false">COUNTIFS(Clips!$B:$B,"site",Clips!$F:$F,$B111)+COUNTIFS(Clips!$B:$B,"site",Clips!$O:$O,"*"&amp;$B111&amp;"*")</f>
        <v>0</v>
      </c>
      <c r="L111" s="15" t="n">
        <f aca="false">COUNTIFS(Clips!$F:$F,$B111,Clips!$B:$B,"macaulay")</f>
        <v>8</v>
      </c>
      <c r="M111" s="15" t="n">
        <f aca="false">COUNTIFS(Clips!$F:$F,$B111,Clips!$B:$B,"xeno-canto")</f>
        <v>0</v>
      </c>
      <c r="N111" s="15" t="n">
        <f aca="false">K111+L111+M111</f>
        <v>8</v>
      </c>
      <c r="O111" s="15" t="n">
        <f aca="false">COUNTIFS(Clips!$F:$F,$B111,Clips!$C:$C,"excluded")</f>
        <v>0</v>
      </c>
      <c r="P111" s="15" t="n">
        <f aca="false">COUNTIFS(Clips!$F:$F,$B111,Clips!$C:$C,"train")</f>
        <v>6</v>
      </c>
      <c r="Q111" s="15" t="n">
        <f aca="false">COUNTIFS(Clips!$F:$F,$B111,Clips!$C:$C,"val")</f>
        <v>0</v>
      </c>
      <c r="R111" s="15" t="n">
        <f aca="false">COUNTIFS(Clips!$F:$F,$B111,Clips!$C:$C,"test")</f>
        <v>2</v>
      </c>
      <c r="S111" s="17" t="n">
        <f aca="false">SUMIFS(Clips!$I:$I,Clips!$F:$F,$B111,Clips!$C:$C,"train")/60</f>
        <v>2.22261666666667</v>
      </c>
      <c r="T111" s="17" t="n">
        <f aca="false">SUMIFS(Clips!$I:$I,Clips!$F:$F,$B111,Clips!$C:$C,"val")/60</f>
        <v>0</v>
      </c>
      <c r="U111" s="17" t="n">
        <f aca="false">SUMIFS(Clips!$I:$I,Clips!$F:$F,$B111,Clips!$C:$C,"test")/60</f>
        <v>0.553583333333333</v>
      </c>
      <c r="V111" s="15" t="n">
        <f aca="false">SUMIFS(Clips!$J:$J,Clips!$F:$F,$B111,Clips!$C:$C,"train")</f>
        <v>30</v>
      </c>
      <c r="W111" s="18" t="n">
        <f aca="false">IF(V111=0,"",Splits!$B$49/(Splits!$B$50*V111))</f>
        <v>5.19418238993711</v>
      </c>
      <c r="X111" s="15" t="str">
        <f aca="false">IF(P111&gt;0,IF(AND(Q111&gt;0,R111&gt;0),"train + val + test",IF(R111&gt;0,"train + test","train only")),IF(R111&gt;0,"test only (unknown class)",IF(K111&gt;0,"site extract only","no usable audio")))</f>
        <v>train + test</v>
      </c>
      <c r="Y111" s="15" t="str">
        <f aca="false">IF($P111=0,"",IF($E111="nonbird",$B111,IF($G111="yes",$B111,"other bird")))</f>
        <v>other bird</v>
      </c>
      <c r="Z111" s="15" t="str">
        <f aca="false">IF(AND($F111="core",$P111&gt;0),$B111,"")</f>
        <v/>
      </c>
      <c r="AA111" s="15" t="str">
        <f aca="false">IF($P111&gt;0,$B111,"")</f>
        <v>Short-tailed Nighthawk</v>
      </c>
      <c r="AB111" s="15" t="n">
        <v>6</v>
      </c>
      <c r="AC111" s="15" t="n">
        <v>5</v>
      </c>
      <c r="AD111" s="17" t="n">
        <f aca="false">IF(COUNTIFS(Clips!$F:$F,$B111,Clips!$M:$M,"&gt;0",Clips!$C:$C,"&lt;&gt;excluded")=0,"",AVERAGEIFS(Clips!$M:$M,Clips!$F:$F,$B111,Clips!$M:$M,"&gt;0",Clips!$C:$C,"&lt;&gt;excluded"))</f>
        <v>3</v>
      </c>
      <c r="AE111" s="15" t="n">
        <f aca="false">COUNTIFS(Clips!$F:$F,$B111,Clips!$O:$O,"&lt;&gt;",Clips!$B:$B,"&lt;&gt;site",Clips!$C:$C,"&lt;&gt;excluded")</f>
        <v>1</v>
      </c>
      <c r="AF111" s="15" t="n">
        <f aca="false">COUNTIFS(Clips!$F:$F,$B111,Clips!$I:$I,"&lt;5",Clips!$C:$C,"&lt;&gt;excluded")</f>
        <v>1</v>
      </c>
      <c r="AG111" s="5"/>
    </row>
    <row r="112" customFormat="false" ht="15" hidden="false" customHeight="false" outlineLevel="0" collapsed="false">
      <c r="A112" s="15" t="n">
        <v>0</v>
      </c>
      <c r="B112" s="15" t="s">
        <v>490</v>
      </c>
      <c r="C112" s="15" t="s">
        <v>491</v>
      </c>
      <c r="D112" s="15" t="s">
        <v>492</v>
      </c>
      <c r="E112" s="15" t="s">
        <v>147</v>
      </c>
      <c r="F112" s="15" t="s">
        <v>400</v>
      </c>
      <c r="G112" s="15" t="str">
        <f aca="false">IF(AND($E112="bird",$K112&gt;0),"yes","")</f>
        <v/>
      </c>
      <c r="H112" s="15"/>
      <c r="I112" s="15" t="str">
        <f aca="false">IF($E112="bird",IF(COUNTIF('eBird List'!$A:$A,$B112)&gt;0,"yes","no"),"")</f>
        <v>yes</v>
      </c>
      <c r="J112" s="16" t="n">
        <f aca="false">IF(COUNTIF('eBird List'!$A:$A,$B112)=0,"",INDEX('eBird List'!$C:$C,MATCH($B112,'eBird List'!$A:$A,0)))</f>
        <v>0.0150107219442459</v>
      </c>
      <c r="K112" s="15" t="n">
        <f aca="false">COUNTIFS(Clips!$B:$B,"site",Clips!$F:$F,$B112)+COUNTIFS(Clips!$B:$B,"site",Clips!$O:$O,"*"&amp;$B112&amp;"*")</f>
        <v>0</v>
      </c>
      <c r="L112" s="15" t="n">
        <f aca="false">COUNTIFS(Clips!$F:$F,$B112,Clips!$B:$B,"macaulay")</f>
        <v>7</v>
      </c>
      <c r="M112" s="15" t="n">
        <f aca="false">COUNTIFS(Clips!$F:$F,$B112,Clips!$B:$B,"xeno-canto")</f>
        <v>0</v>
      </c>
      <c r="N112" s="15" t="n">
        <f aca="false">K112+L112+M112</f>
        <v>7</v>
      </c>
      <c r="O112" s="15" t="n">
        <f aca="false">COUNTIFS(Clips!$F:$F,$B112,Clips!$C:$C,"excluded")</f>
        <v>0</v>
      </c>
      <c r="P112" s="15" t="n">
        <f aca="false">COUNTIFS(Clips!$F:$F,$B112,Clips!$C:$C,"train")</f>
        <v>6</v>
      </c>
      <c r="Q112" s="15" t="n">
        <f aca="false">COUNTIFS(Clips!$F:$F,$B112,Clips!$C:$C,"val")</f>
        <v>0</v>
      </c>
      <c r="R112" s="15" t="n">
        <f aca="false">COUNTIFS(Clips!$F:$F,$B112,Clips!$C:$C,"test")</f>
        <v>1</v>
      </c>
      <c r="S112" s="17" t="n">
        <f aca="false">SUMIFS(Clips!$I:$I,Clips!$F:$F,$B112,Clips!$C:$C,"train")/60</f>
        <v>1.75423333333333</v>
      </c>
      <c r="T112" s="17" t="n">
        <f aca="false">SUMIFS(Clips!$I:$I,Clips!$F:$F,$B112,Clips!$C:$C,"val")/60</f>
        <v>0</v>
      </c>
      <c r="U112" s="17" t="n">
        <f aca="false">SUMIFS(Clips!$I:$I,Clips!$F:$F,$B112,Clips!$C:$C,"test")/60</f>
        <v>0.418433333333333</v>
      </c>
      <c r="V112" s="15" t="n">
        <f aca="false">SUMIFS(Clips!$J:$J,Clips!$F:$F,$B112,Clips!$C:$C,"train")</f>
        <v>25</v>
      </c>
      <c r="W112" s="18" t="n">
        <f aca="false">IF(V112=0,"",Splits!$B$49/(Splits!$B$50*V112))</f>
        <v>6.23301886792453</v>
      </c>
      <c r="X112" s="15" t="str">
        <f aca="false">IF(P112&gt;0,IF(AND(Q112&gt;0,R112&gt;0),"train + val + test",IF(R112&gt;0,"train + test","train only")),IF(R112&gt;0,"test only (unknown class)",IF(K112&gt;0,"site extract only","no usable audio")))</f>
        <v>train + test</v>
      </c>
      <c r="Y112" s="15" t="str">
        <f aca="false">IF($P112=0,"",IF($E112="nonbird",$B112,IF($G112="yes",$B112,"other bird")))</f>
        <v>other bird</v>
      </c>
      <c r="Z112" s="15" t="str">
        <f aca="false">IF(AND($F112="core",$P112&gt;0),$B112,"")</f>
        <v/>
      </c>
      <c r="AA112" s="15" t="str">
        <f aca="false">IF($P112&gt;0,$B112,"")</f>
        <v>Acadian Flycatcher</v>
      </c>
      <c r="AB112" s="15" t="n">
        <v>7</v>
      </c>
      <c r="AC112" s="15" t="n">
        <v>6</v>
      </c>
      <c r="AD112" s="17" t="n">
        <f aca="false">IF(COUNTIFS(Clips!$F:$F,$B112,Clips!$M:$M,"&gt;0",Clips!$C:$C,"&lt;&gt;excluded")=0,"",AVERAGEIFS(Clips!$M:$M,Clips!$F:$F,$B112,Clips!$M:$M,"&gt;0",Clips!$C:$C,"&lt;&gt;excluded"))</f>
        <v>3.38142857142857</v>
      </c>
      <c r="AE112" s="15" t="n">
        <f aca="false">COUNTIFS(Clips!$F:$F,$B112,Clips!$O:$O,"&lt;&gt;",Clips!$B:$B,"&lt;&gt;site",Clips!$C:$C,"&lt;&gt;excluded")</f>
        <v>0</v>
      </c>
      <c r="AF112" s="15" t="n">
        <f aca="false">COUNTIFS(Clips!$F:$F,$B112,Clips!$I:$I,"&lt;5",Clips!$C:$C,"&lt;&gt;excluded")</f>
        <v>0</v>
      </c>
      <c r="AG112" s="5"/>
    </row>
    <row r="113" customFormat="false" ht="15" hidden="false" customHeight="false" outlineLevel="0" collapsed="false">
      <c r="A113" s="15" t="n">
        <v>25</v>
      </c>
      <c r="B113" s="15" t="s">
        <v>493</v>
      </c>
      <c r="C113" s="15" t="s">
        <v>494</v>
      </c>
      <c r="D113" s="15" t="s">
        <v>495</v>
      </c>
      <c r="E113" s="15" t="s">
        <v>147</v>
      </c>
      <c r="F113" s="15" t="s">
        <v>400</v>
      </c>
      <c r="G113" s="15" t="str">
        <f aca="false">IF(AND($E113="bird",$K113&gt;0),"yes","")</f>
        <v/>
      </c>
      <c r="H113" s="15"/>
      <c r="I113" s="15" t="str">
        <f aca="false">IF($E113="bird",IF(COUNTIF('eBird List'!$A:$A,$B113)&gt;0,"yes","no"),"")</f>
        <v>yes</v>
      </c>
      <c r="J113" s="16" t="n">
        <f aca="false">IF(COUNTIF('eBird List'!$A:$A,$B113)=0,"",INDEX('eBird List'!$C:$C,MATCH($B113,'eBird List'!$A:$A,0)))</f>
        <v>0.0511377174172028</v>
      </c>
      <c r="K113" s="15" t="n">
        <f aca="false">COUNTIFS(Clips!$B:$B,"site",Clips!$F:$F,$B113)+COUNTIFS(Clips!$B:$B,"site",Clips!$O:$O,"*"&amp;$B113&amp;"*")</f>
        <v>0</v>
      </c>
      <c r="L113" s="15" t="n">
        <f aca="false">COUNTIFS(Clips!$F:$F,$B113,Clips!$B:$B,"macaulay")</f>
        <v>7</v>
      </c>
      <c r="M113" s="15" t="n">
        <f aca="false">COUNTIFS(Clips!$F:$F,$B113,Clips!$B:$B,"xeno-canto")</f>
        <v>0</v>
      </c>
      <c r="N113" s="15" t="n">
        <f aca="false">K113+L113+M113</f>
        <v>7</v>
      </c>
      <c r="O113" s="15" t="n">
        <f aca="false">COUNTIFS(Clips!$F:$F,$B113,Clips!$C:$C,"excluded")</f>
        <v>0</v>
      </c>
      <c r="P113" s="15" t="n">
        <f aca="false">COUNTIFS(Clips!$F:$F,$B113,Clips!$C:$C,"train")</f>
        <v>6</v>
      </c>
      <c r="Q113" s="15" t="n">
        <f aca="false">COUNTIFS(Clips!$F:$F,$B113,Clips!$C:$C,"val")</f>
        <v>0</v>
      </c>
      <c r="R113" s="15" t="n">
        <f aca="false">COUNTIFS(Clips!$F:$F,$B113,Clips!$C:$C,"test")</f>
        <v>1</v>
      </c>
      <c r="S113" s="17" t="n">
        <f aca="false">SUMIFS(Clips!$I:$I,Clips!$F:$F,$B113,Clips!$C:$C,"train")/60</f>
        <v>12.15385</v>
      </c>
      <c r="T113" s="17" t="n">
        <f aca="false">SUMIFS(Clips!$I:$I,Clips!$F:$F,$B113,Clips!$C:$C,"val")/60</f>
        <v>0</v>
      </c>
      <c r="U113" s="17" t="n">
        <f aca="false">SUMIFS(Clips!$I:$I,Clips!$F:$F,$B113,Clips!$C:$C,"test")/60</f>
        <v>1.09741666666667</v>
      </c>
      <c r="V113" s="15" t="n">
        <f aca="false">SUMIFS(Clips!$J:$J,Clips!$F:$F,$B113,Clips!$C:$C,"train")</f>
        <v>150</v>
      </c>
      <c r="W113" s="18" t="n">
        <f aca="false">IF(V113=0,"",Splits!$B$49/(Splits!$B$50*V113))</f>
        <v>1.03883647798742</v>
      </c>
      <c r="X113" s="15" t="str">
        <f aca="false">IF(P113&gt;0,IF(AND(Q113&gt;0,R113&gt;0),"train + val + test",IF(R113&gt;0,"train + test","train only")),IF(R113&gt;0,"test only (unknown class)",IF(K113&gt;0,"site extract only","no usable audio")))</f>
        <v>train + test</v>
      </c>
      <c r="Y113" s="15" t="str">
        <f aca="false">IF($P113=0,"",IF($E113="nonbird",$B113,IF($G113="yes",$B113,"other bird")))</f>
        <v>other bird</v>
      </c>
      <c r="Z113" s="15" t="str">
        <f aca="false">IF(AND($F113="core",$P113&gt;0),$B113,"")</f>
        <v/>
      </c>
      <c r="AA113" s="15" t="str">
        <f aca="false">IF($P113&gt;0,$B113,"")</f>
        <v>Black-headed Saltator</v>
      </c>
      <c r="AB113" s="15" t="n">
        <v>6</v>
      </c>
      <c r="AC113" s="15" t="n">
        <v>4</v>
      </c>
      <c r="AD113" s="17" t="n">
        <f aca="false">IF(COUNTIFS(Clips!$F:$F,$B113,Clips!$M:$M,"&gt;0",Clips!$C:$C,"&lt;&gt;excluded")=0,"",AVERAGEIFS(Clips!$M:$M,Clips!$F:$F,$B113,Clips!$M:$M,"&gt;0",Clips!$C:$C,"&lt;&gt;excluded"))</f>
        <v>3.195</v>
      </c>
      <c r="AE113" s="15" t="n">
        <f aca="false">COUNTIFS(Clips!$F:$F,$B113,Clips!$O:$O,"&lt;&gt;",Clips!$B:$B,"&lt;&gt;site",Clips!$C:$C,"&lt;&gt;excluded")</f>
        <v>0</v>
      </c>
      <c r="AF113" s="15" t="n">
        <f aca="false">COUNTIFS(Clips!$F:$F,$B113,Clips!$I:$I,"&lt;5",Clips!$C:$C,"&lt;&gt;excluded")</f>
        <v>0</v>
      </c>
      <c r="AG113" s="5"/>
    </row>
    <row r="114" customFormat="false" ht="15" hidden="false" customHeight="false" outlineLevel="0" collapsed="false">
      <c r="A114" s="15" t="n">
        <v>34</v>
      </c>
      <c r="B114" s="15" t="s">
        <v>496</v>
      </c>
      <c r="C114" s="15" t="s">
        <v>497</v>
      </c>
      <c r="D114" s="15" t="s">
        <v>498</v>
      </c>
      <c r="E114" s="15" t="s">
        <v>147</v>
      </c>
      <c r="F114" s="15" t="s">
        <v>400</v>
      </c>
      <c r="G114" s="15" t="str">
        <f aca="false">IF(AND($E114="bird",$K114&gt;0),"yes","")</f>
        <v/>
      </c>
      <c r="H114" s="15"/>
      <c r="I114" s="15" t="str">
        <f aca="false">IF($E114="bird",IF(COUNTIF('eBird List'!$A:$A,$B114)&gt;0,"yes","no"),"")</f>
        <v>yes</v>
      </c>
      <c r="J114" s="16" t="n">
        <f aca="false">IF(COUNTIF('eBird List'!$A:$A,$B114)=0,"",INDEX('eBird List'!$C:$C,MATCH($B114,'eBird List'!$A:$A,0)))</f>
        <v>0.166934715272814</v>
      </c>
      <c r="K114" s="15" t="n">
        <f aca="false">COUNTIFS(Clips!$B:$B,"site",Clips!$F:$F,$B114)+COUNTIFS(Clips!$B:$B,"site",Clips!$O:$O,"*"&amp;$B114&amp;"*")</f>
        <v>0</v>
      </c>
      <c r="L114" s="15" t="n">
        <f aca="false">COUNTIFS(Clips!$F:$F,$B114,Clips!$B:$B,"macaulay")</f>
        <v>7</v>
      </c>
      <c r="M114" s="15" t="n">
        <f aca="false">COUNTIFS(Clips!$F:$F,$B114,Clips!$B:$B,"xeno-canto")</f>
        <v>0</v>
      </c>
      <c r="N114" s="15" t="n">
        <f aca="false">K114+L114+M114</f>
        <v>7</v>
      </c>
      <c r="O114" s="15" t="n">
        <f aca="false">COUNTIFS(Clips!$F:$F,$B114,Clips!$C:$C,"excluded")</f>
        <v>0</v>
      </c>
      <c r="P114" s="15" t="n">
        <f aca="false">COUNTIFS(Clips!$F:$F,$B114,Clips!$C:$C,"train")</f>
        <v>6</v>
      </c>
      <c r="Q114" s="15" t="n">
        <f aca="false">COUNTIFS(Clips!$F:$F,$B114,Clips!$C:$C,"val")</f>
        <v>0</v>
      </c>
      <c r="R114" s="15" t="n">
        <f aca="false">COUNTIFS(Clips!$F:$F,$B114,Clips!$C:$C,"test")</f>
        <v>1</v>
      </c>
      <c r="S114" s="17" t="n">
        <f aca="false">SUMIFS(Clips!$I:$I,Clips!$F:$F,$B114,Clips!$C:$C,"train")/60</f>
        <v>3.31506666666667</v>
      </c>
      <c r="T114" s="17" t="n">
        <f aca="false">SUMIFS(Clips!$I:$I,Clips!$F:$F,$B114,Clips!$C:$C,"val")/60</f>
        <v>0</v>
      </c>
      <c r="U114" s="17" t="n">
        <f aca="false">SUMIFS(Clips!$I:$I,Clips!$F:$F,$B114,Clips!$C:$C,"test")/60</f>
        <v>4.97365</v>
      </c>
      <c r="V114" s="15" t="n">
        <f aca="false">SUMIFS(Clips!$J:$J,Clips!$F:$F,$B114,Clips!$C:$C,"train")</f>
        <v>43</v>
      </c>
      <c r="W114" s="18" t="n">
        <f aca="false">IF(V114=0,"",Splits!$B$49/(Splits!$B$50*V114))</f>
        <v>3.62384817902589</v>
      </c>
      <c r="X114" s="15" t="str">
        <f aca="false">IF(P114&gt;0,IF(AND(Q114&gt;0,R114&gt;0),"train + val + test",IF(R114&gt;0,"train + test","train only")),IF(R114&gt;0,"test only (unknown class)",IF(K114&gt;0,"site extract only","no usable audio")))</f>
        <v>train + test</v>
      </c>
      <c r="Y114" s="15" t="str">
        <f aca="false">IF($P114=0,"",IF($E114="nonbird",$B114,IF($G114="yes",$B114,"other bird")))</f>
        <v>other bird</v>
      </c>
      <c r="Z114" s="15" t="str">
        <f aca="false">IF(AND($F114="core",$P114&gt;0),$B114,"")</f>
        <v/>
      </c>
      <c r="AA114" s="15" t="str">
        <f aca="false">IF($P114&gt;0,$B114,"")</f>
        <v>Blue-chested Hummingbird</v>
      </c>
      <c r="AB114" s="15" t="n">
        <v>7</v>
      </c>
      <c r="AC114" s="15" t="n">
        <v>7</v>
      </c>
      <c r="AD114" s="17" t="n">
        <f aca="false">IF(COUNTIFS(Clips!$F:$F,$B114,Clips!$M:$M,"&gt;0",Clips!$C:$C,"&lt;&gt;excluded")=0,"",AVERAGEIFS(Clips!$M:$M,Clips!$F:$F,$B114,Clips!$M:$M,"&gt;0",Clips!$C:$C,"&lt;&gt;excluded"))</f>
        <v>2.78571428571429</v>
      </c>
      <c r="AE114" s="15" t="n">
        <f aca="false">COUNTIFS(Clips!$F:$F,$B114,Clips!$O:$O,"&lt;&gt;",Clips!$B:$B,"&lt;&gt;site",Clips!$C:$C,"&lt;&gt;excluded")</f>
        <v>0</v>
      </c>
      <c r="AF114" s="15" t="n">
        <f aca="false">COUNTIFS(Clips!$F:$F,$B114,Clips!$I:$I,"&lt;5",Clips!$C:$C,"&lt;&gt;excluded")</f>
        <v>0</v>
      </c>
      <c r="AG114" s="5"/>
    </row>
    <row r="115" customFormat="false" ht="15" hidden="false" customHeight="false" outlineLevel="0" collapsed="false">
      <c r="A115" s="15" t="n">
        <v>49</v>
      </c>
      <c r="B115" s="15" t="s">
        <v>499</v>
      </c>
      <c r="C115" s="15" t="s">
        <v>500</v>
      </c>
      <c r="D115" s="15" t="s">
        <v>501</v>
      </c>
      <c r="E115" s="15" t="s">
        <v>147</v>
      </c>
      <c r="F115" s="15" t="s">
        <v>400</v>
      </c>
      <c r="G115" s="15" t="str">
        <f aca="false">IF(AND($E115="bird",$K115&gt;0),"yes","")</f>
        <v/>
      </c>
      <c r="H115" s="15"/>
      <c r="I115" s="15" t="str">
        <f aca="false">IF($E115="bird",IF(COUNTIF('eBird List'!$A:$A,$B115)&gt;0,"yes","no"),"")</f>
        <v>yes</v>
      </c>
      <c r="J115" s="16" t="n">
        <f aca="false">IF(COUNTIF('eBird List'!$A:$A,$B115)=0,"",INDEX('eBird List'!$C:$C,MATCH($B115,'eBird List'!$A:$A,0)))</f>
        <v>0.015606385513462</v>
      </c>
      <c r="K115" s="15" t="n">
        <f aca="false">COUNTIFS(Clips!$B:$B,"site",Clips!$F:$F,$B115)+COUNTIFS(Clips!$B:$B,"site",Clips!$O:$O,"*"&amp;$B115&amp;"*")</f>
        <v>0</v>
      </c>
      <c r="L115" s="15" t="n">
        <f aca="false">COUNTIFS(Clips!$F:$F,$B115,Clips!$B:$B,"macaulay")</f>
        <v>7</v>
      </c>
      <c r="M115" s="15" t="n">
        <f aca="false">COUNTIFS(Clips!$F:$F,$B115,Clips!$B:$B,"xeno-canto")</f>
        <v>0</v>
      </c>
      <c r="N115" s="15" t="n">
        <f aca="false">K115+L115+M115</f>
        <v>7</v>
      </c>
      <c r="O115" s="15" t="n">
        <f aca="false">COUNTIFS(Clips!$F:$F,$B115,Clips!$C:$C,"excluded")</f>
        <v>0</v>
      </c>
      <c r="P115" s="15" t="n">
        <f aca="false">COUNTIFS(Clips!$F:$F,$B115,Clips!$C:$C,"train")</f>
        <v>6</v>
      </c>
      <c r="Q115" s="15" t="n">
        <f aca="false">COUNTIFS(Clips!$F:$F,$B115,Clips!$C:$C,"val")</f>
        <v>0</v>
      </c>
      <c r="R115" s="15" t="n">
        <f aca="false">COUNTIFS(Clips!$F:$F,$B115,Clips!$C:$C,"test")</f>
        <v>1</v>
      </c>
      <c r="S115" s="17" t="n">
        <f aca="false">SUMIFS(Clips!$I:$I,Clips!$F:$F,$B115,Clips!$C:$C,"train")/60</f>
        <v>2.55715</v>
      </c>
      <c r="T115" s="17" t="n">
        <f aca="false">SUMIFS(Clips!$I:$I,Clips!$F:$F,$B115,Clips!$C:$C,"val")/60</f>
        <v>0</v>
      </c>
      <c r="U115" s="17" t="n">
        <f aca="false">SUMIFS(Clips!$I:$I,Clips!$F:$F,$B115,Clips!$C:$C,"test")/60</f>
        <v>0.41635</v>
      </c>
      <c r="V115" s="15" t="n">
        <f aca="false">SUMIFS(Clips!$J:$J,Clips!$F:$F,$B115,Clips!$C:$C,"train")</f>
        <v>35</v>
      </c>
      <c r="W115" s="18" t="n">
        <f aca="false">IF(V115=0,"",Splits!$B$49/(Splits!$B$50*V115))</f>
        <v>4.45215633423181</v>
      </c>
      <c r="X115" s="15" t="str">
        <f aca="false">IF(P115&gt;0,IF(AND(Q115&gt;0,R115&gt;0),"train + val + test",IF(R115&gt;0,"train + test","train only")),IF(R115&gt;0,"test only (unknown class)",IF(K115&gt;0,"site extract only","no usable audio")))</f>
        <v>train + test</v>
      </c>
      <c r="Y115" s="15" t="str">
        <f aca="false">IF($P115=0,"",IF($E115="nonbird",$B115,IF($G115="yes",$B115,"other bird")))</f>
        <v>other bird</v>
      </c>
      <c r="Z115" s="15" t="str">
        <f aca="false">IF(AND($F115="core",$P115&gt;0),$B115,"")</f>
        <v/>
      </c>
      <c r="AA115" s="15" t="str">
        <f aca="false">IF($P115&gt;0,$B115,"")</f>
        <v>Checker-throated Stipplethroat</v>
      </c>
      <c r="AB115" s="15" t="n">
        <v>6</v>
      </c>
      <c r="AC115" s="15" t="n">
        <v>3</v>
      </c>
      <c r="AD115" s="17" t="n">
        <f aca="false">IF(COUNTIFS(Clips!$F:$F,$B115,Clips!$M:$M,"&gt;0",Clips!$C:$C,"&lt;&gt;excluded")=0,"",AVERAGEIFS(Clips!$M:$M,Clips!$F:$F,$B115,Clips!$M:$M,"&gt;0",Clips!$C:$C,"&lt;&gt;excluded"))</f>
        <v>3.07142857142857</v>
      </c>
      <c r="AE115" s="15" t="n">
        <f aca="false">COUNTIFS(Clips!$F:$F,$B115,Clips!$O:$O,"&lt;&gt;",Clips!$B:$B,"&lt;&gt;site",Clips!$C:$C,"&lt;&gt;excluded")</f>
        <v>1</v>
      </c>
      <c r="AF115" s="15" t="n">
        <f aca="false">COUNTIFS(Clips!$F:$F,$B115,Clips!$I:$I,"&lt;5",Clips!$C:$C,"&lt;&gt;excluded")</f>
        <v>0</v>
      </c>
      <c r="AG115" s="5"/>
    </row>
    <row r="116" customFormat="false" ht="15" hidden="false" customHeight="false" outlineLevel="0" collapsed="false">
      <c r="A116" s="15" t="n">
        <v>77</v>
      </c>
      <c r="B116" s="15" t="s">
        <v>502</v>
      </c>
      <c r="C116" s="15" t="s">
        <v>503</v>
      </c>
      <c r="D116" s="15" t="s">
        <v>504</v>
      </c>
      <c r="E116" s="15" t="s">
        <v>147</v>
      </c>
      <c r="F116" s="15" t="s">
        <v>400</v>
      </c>
      <c r="G116" s="15" t="str">
        <f aca="false">IF(AND($E116="bird",$K116&gt;0),"yes","")</f>
        <v/>
      </c>
      <c r="H116" s="15"/>
      <c r="I116" s="15" t="str">
        <f aca="false">IF($E116="bird",IF(COUNTIF('eBird List'!$A:$A,$B116)&gt;0,"yes","no"),"")</f>
        <v>yes</v>
      </c>
      <c r="J116" s="16" t="n">
        <f aca="false">IF(COUNTIF('eBird List'!$A:$A,$B116)=0,"",INDEX('eBird List'!$C:$C,MATCH($B116,'eBird List'!$A:$A,0)))</f>
        <v>0.153502501786991</v>
      </c>
      <c r="K116" s="15" t="n">
        <f aca="false">COUNTIFS(Clips!$B:$B,"site",Clips!$F:$F,$B116)+COUNTIFS(Clips!$B:$B,"site",Clips!$O:$O,"*"&amp;$B116&amp;"*")</f>
        <v>0</v>
      </c>
      <c r="L116" s="15" t="n">
        <f aca="false">COUNTIFS(Clips!$F:$F,$B116,Clips!$B:$B,"macaulay")</f>
        <v>7</v>
      </c>
      <c r="M116" s="15" t="n">
        <f aca="false">COUNTIFS(Clips!$F:$F,$B116,Clips!$B:$B,"xeno-canto")</f>
        <v>0</v>
      </c>
      <c r="N116" s="15" t="n">
        <f aca="false">K116+L116+M116</f>
        <v>7</v>
      </c>
      <c r="O116" s="15" t="n">
        <f aca="false">COUNTIFS(Clips!$F:$F,$B116,Clips!$C:$C,"excluded")</f>
        <v>0</v>
      </c>
      <c r="P116" s="15" t="n">
        <f aca="false">COUNTIFS(Clips!$F:$F,$B116,Clips!$C:$C,"train")</f>
        <v>6</v>
      </c>
      <c r="Q116" s="15" t="n">
        <f aca="false">COUNTIFS(Clips!$F:$F,$B116,Clips!$C:$C,"val")</f>
        <v>0</v>
      </c>
      <c r="R116" s="15" t="n">
        <f aca="false">COUNTIFS(Clips!$F:$F,$B116,Clips!$C:$C,"test")</f>
        <v>1</v>
      </c>
      <c r="S116" s="17" t="n">
        <f aca="false">SUMIFS(Clips!$I:$I,Clips!$F:$F,$B116,Clips!$C:$C,"train")/60</f>
        <v>2.73581666666667</v>
      </c>
      <c r="T116" s="17" t="n">
        <f aca="false">SUMIFS(Clips!$I:$I,Clips!$F:$F,$B116,Clips!$C:$C,"val")/60</f>
        <v>0</v>
      </c>
      <c r="U116" s="17" t="n">
        <f aca="false">SUMIFS(Clips!$I:$I,Clips!$F:$F,$B116,Clips!$C:$C,"test")/60</f>
        <v>0.5993</v>
      </c>
      <c r="V116" s="15" t="n">
        <f aca="false">SUMIFS(Clips!$J:$J,Clips!$F:$F,$B116,Clips!$C:$C,"train")</f>
        <v>36</v>
      </c>
      <c r="W116" s="18" t="n">
        <f aca="false">IF(V116=0,"",Splits!$B$49/(Splits!$B$50*V116))</f>
        <v>4.32848532494759</v>
      </c>
      <c r="X116" s="15" t="str">
        <f aca="false">IF(P116&gt;0,IF(AND(Q116&gt;0,R116&gt;0),"train + val + test",IF(R116&gt;0,"train + test","train only")),IF(R116&gt;0,"test only (unknown class)",IF(K116&gt;0,"site extract only","no usable audio")))</f>
        <v>train + test</v>
      </c>
      <c r="Y116" s="15" t="str">
        <f aca="false">IF($P116=0,"",IF($E116="nonbird",$B116,IF($G116="yes",$B116,"other bird")))</f>
        <v>other bird</v>
      </c>
      <c r="Z116" s="15" t="str">
        <f aca="false">IF(AND($F116="core",$P116&gt;0),$B116,"")</f>
        <v/>
      </c>
      <c r="AA116" s="15" t="str">
        <f aca="false">IF($P116&gt;0,$B116,"")</f>
        <v>Dusky-capped Flycatcher</v>
      </c>
      <c r="AB116" s="15" t="n">
        <v>7</v>
      </c>
      <c r="AC116" s="15" t="n">
        <v>4</v>
      </c>
      <c r="AD116" s="17" t="n">
        <f aca="false">IF(COUNTIFS(Clips!$F:$F,$B116,Clips!$M:$M,"&gt;0",Clips!$C:$C,"&lt;&gt;excluded")=0,"",AVERAGEIFS(Clips!$M:$M,Clips!$F:$F,$B116,Clips!$M:$M,"&gt;0",Clips!$C:$C,"&lt;&gt;excluded"))</f>
        <v>2.7</v>
      </c>
      <c r="AE116" s="15" t="n">
        <f aca="false">COUNTIFS(Clips!$F:$F,$B116,Clips!$O:$O,"&lt;&gt;",Clips!$B:$B,"&lt;&gt;site",Clips!$C:$C,"&lt;&gt;excluded")</f>
        <v>0</v>
      </c>
      <c r="AF116" s="15" t="n">
        <f aca="false">COUNTIFS(Clips!$F:$F,$B116,Clips!$I:$I,"&lt;5",Clips!$C:$C,"&lt;&gt;excluded")</f>
        <v>0</v>
      </c>
      <c r="AG116" s="5"/>
    </row>
    <row r="117" customFormat="false" ht="15" hidden="false" customHeight="false" outlineLevel="0" collapsed="false">
      <c r="A117" s="15" t="n">
        <v>99</v>
      </c>
      <c r="B117" s="15" t="s">
        <v>505</v>
      </c>
      <c r="C117" s="15" t="s">
        <v>506</v>
      </c>
      <c r="D117" s="15" t="s">
        <v>507</v>
      </c>
      <c r="E117" s="15" t="s">
        <v>147</v>
      </c>
      <c r="F117" s="15" t="s">
        <v>400</v>
      </c>
      <c r="G117" s="15" t="str">
        <f aca="false">IF(AND($E117="bird",$K117&gt;0),"yes","")</f>
        <v/>
      </c>
      <c r="H117" s="15"/>
      <c r="I117" s="15" t="str">
        <f aca="false">IF($E117="bird",IF(COUNTIF('eBird List'!$A:$A,$B117)&gt;0,"yes","no"),"")</f>
        <v>yes</v>
      </c>
      <c r="J117" s="16" t="n">
        <f aca="false">IF(COUNTIF('eBird List'!$A:$A,$B117)=0,"",INDEX('eBird List'!$C:$C,MATCH($B117,'eBird List'!$A:$A,0)))</f>
        <v>0.0871753633547772</v>
      </c>
      <c r="K117" s="15" t="n">
        <f aca="false">COUNTIFS(Clips!$B:$B,"site",Clips!$F:$F,$B117)+COUNTIFS(Clips!$B:$B,"site",Clips!$O:$O,"*"&amp;$B117&amp;"*")</f>
        <v>0</v>
      </c>
      <c r="L117" s="15" t="n">
        <f aca="false">COUNTIFS(Clips!$F:$F,$B117,Clips!$B:$B,"macaulay")</f>
        <v>7</v>
      </c>
      <c r="M117" s="15" t="n">
        <f aca="false">COUNTIFS(Clips!$F:$F,$B117,Clips!$B:$B,"xeno-canto")</f>
        <v>0</v>
      </c>
      <c r="N117" s="15" t="n">
        <f aca="false">K117+L117+M117</f>
        <v>7</v>
      </c>
      <c r="O117" s="15" t="n">
        <f aca="false">COUNTIFS(Clips!$F:$F,$B117,Clips!$C:$C,"excluded")</f>
        <v>0</v>
      </c>
      <c r="P117" s="15" t="n">
        <f aca="false">COUNTIFS(Clips!$F:$F,$B117,Clips!$C:$C,"train")</f>
        <v>6</v>
      </c>
      <c r="Q117" s="15" t="n">
        <f aca="false">COUNTIFS(Clips!$F:$F,$B117,Clips!$C:$C,"val")</f>
        <v>0</v>
      </c>
      <c r="R117" s="15" t="n">
        <f aca="false">COUNTIFS(Clips!$F:$F,$B117,Clips!$C:$C,"test")</f>
        <v>1</v>
      </c>
      <c r="S117" s="17" t="n">
        <f aca="false">SUMIFS(Clips!$I:$I,Clips!$F:$F,$B117,Clips!$C:$C,"train")/60</f>
        <v>3.38881666666667</v>
      </c>
      <c r="T117" s="17" t="n">
        <f aca="false">SUMIFS(Clips!$I:$I,Clips!$F:$F,$B117,Clips!$C:$C,"val")/60</f>
        <v>0</v>
      </c>
      <c r="U117" s="17" t="n">
        <f aca="false">SUMIFS(Clips!$I:$I,Clips!$F:$F,$B117,Clips!$C:$C,"test")/60</f>
        <v>0.4908</v>
      </c>
      <c r="V117" s="15" t="n">
        <f aca="false">SUMIFS(Clips!$J:$J,Clips!$F:$F,$B117,Clips!$C:$C,"train")</f>
        <v>45</v>
      </c>
      <c r="W117" s="18" t="n">
        <f aca="false">IF(V117=0,"",Splits!$B$49/(Splits!$B$50*V117))</f>
        <v>3.46278825995807</v>
      </c>
      <c r="X117" s="15" t="str">
        <f aca="false">IF(P117&gt;0,IF(AND(Q117&gt;0,R117&gt;0),"train + val + test",IF(R117&gt;0,"train + test","train only")),IF(R117&gt;0,"test only (unknown class)",IF(K117&gt;0,"site extract only","no usable audio")))</f>
        <v>train + test</v>
      </c>
      <c r="Y117" s="15" t="str">
        <f aca="false">IF($P117=0,"",IF($E117="nonbird",$B117,IF($G117="yes",$B117,"other bird")))</f>
        <v>other bird</v>
      </c>
      <c r="Z117" s="15" t="str">
        <f aca="false">IF(AND($F117="core",$P117&gt;0),$B117,"")</f>
        <v/>
      </c>
      <c r="AA117" s="15" t="str">
        <f aca="false">IF($P117&gt;0,$B117,"")</f>
        <v>Great Crested Flycatcher</v>
      </c>
      <c r="AB117" s="15" t="n">
        <v>7</v>
      </c>
      <c r="AC117" s="15" t="n">
        <v>7</v>
      </c>
      <c r="AD117" s="17" t="n">
        <f aca="false">IF(COUNTIFS(Clips!$F:$F,$B117,Clips!$M:$M,"&gt;0",Clips!$C:$C,"&lt;&gt;excluded")=0,"",AVERAGEIFS(Clips!$M:$M,Clips!$F:$F,$B117,Clips!$M:$M,"&gt;0",Clips!$C:$C,"&lt;&gt;excluded"))</f>
        <v>2.92857142857143</v>
      </c>
      <c r="AE117" s="15" t="n">
        <f aca="false">COUNTIFS(Clips!$F:$F,$B117,Clips!$O:$O,"&lt;&gt;",Clips!$B:$B,"&lt;&gt;site",Clips!$C:$C,"&lt;&gt;excluded")</f>
        <v>1</v>
      </c>
      <c r="AF117" s="15" t="n">
        <f aca="false">COUNTIFS(Clips!$F:$F,$B117,Clips!$I:$I,"&lt;5",Clips!$C:$C,"&lt;&gt;excluded")</f>
        <v>0</v>
      </c>
      <c r="AG117" s="5"/>
    </row>
    <row r="118" customFormat="false" ht="15" hidden="false" customHeight="false" outlineLevel="0" collapsed="false">
      <c r="A118" s="15" t="n">
        <v>132</v>
      </c>
      <c r="B118" s="15" t="s">
        <v>508</v>
      </c>
      <c r="C118" s="15" t="s">
        <v>509</v>
      </c>
      <c r="D118" s="15" t="s">
        <v>510</v>
      </c>
      <c r="E118" s="15" t="s">
        <v>147</v>
      </c>
      <c r="F118" s="15" t="s">
        <v>400</v>
      </c>
      <c r="G118" s="15" t="str">
        <f aca="false">IF(AND($E118="bird",$K118&gt;0),"yes","")</f>
        <v/>
      </c>
      <c r="H118" s="15"/>
      <c r="I118" s="15" t="str">
        <f aca="false">IF($E118="bird",IF(COUNTIF('eBird List'!$A:$A,$B118)&gt;0,"yes","no"),"")</f>
        <v>yes</v>
      </c>
      <c r="J118" s="16" t="n">
        <f aca="false">IF(COUNTIF('eBird List'!$A:$A,$B118)=0,"",INDEX('eBird List'!$C:$C,MATCH($B118,'eBird List'!$A:$A,0)))</f>
        <v>0.00288896831069812</v>
      </c>
      <c r="K118" s="15" t="n">
        <f aca="false">COUNTIFS(Clips!$B:$B,"site",Clips!$F:$F,$B118)+COUNTIFS(Clips!$B:$B,"site",Clips!$O:$O,"*"&amp;$B118&amp;"*")</f>
        <v>0</v>
      </c>
      <c r="L118" s="15" t="n">
        <f aca="false">COUNTIFS(Clips!$F:$F,$B118,Clips!$B:$B,"macaulay")</f>
        <v>5</v>
      </c>
      <c r="M118" s="15" t="n">
        <f aca="false">COUNTIFS(Clips!$F:$F,$B118,Clips!$B:$B,"xeno-canto")</f>
        <v>2</v>
      </c>
      <c r="N118" s="15" t="n">
        <f aca="false">K118+L118+M118</f>
        <v>7</v>
      </c>
      <c r="O118" s="15" t="n">
        <f aca="false">COUNTIFS(Clips!$F:$F,$B118,Clips!$C:$C,"excluded")</f>
        <v>0</v>
      </c>
      <c r="P118" s="15" t="n">
        <f aca="false">COUNTIFS(Clips!$F:$F,$B118,Clips!$C:$C,"train")</f>
        <v>6</v>
      </c>
      <c r="Q118" s="15" t="n">
        <f aca="false">COUNTIFS(Clips!$F:$F,$B118,Clips!$C:$C,"val")</f>
        <v>0</v>
      </c>
      <c r="R118" s="15" t="n">
        <f aca="false">COUNTIFS(Clips!$F:$F,$B118,Clips!$C:$C,"test")</f>
        <v>1</v>
      </c>
      <c r="S118" s="17" t="n">
        <f aca="false">SUMIFS(Clips!$I:$I,Clips!$F:$F,$B118,Clips!$C:$C,"train")/60</f>
        <v>18.8008</v>
      </c>
      <c r="T118" s="17" t="n">
        <f aca="false">SUMIFS(Clips!$I:$I,Clips!$F:$F,$B118,Clips!$C:$C,"val")/60</f>
        <v>0</v>
      </c>
      <c r="U118" s="17" t="n">
        <f aca="false">SUMIFS(Clips!$I:$I,Clips!$F:$F,$B118,Clips!$C:$C,"test")/60</f>
        <v>2.09825</v>
      </c>
      <c r="V118" s="15" t="n">
        <f aca="false">SUMIFS(Clips!$J:$J,Clips!$F:$F,$B118,Clips!$C:$C,"train")</f>
        <v>229</v>
      </c>
      <c r="W118" s="18" t="n">
        <f aca="false">IF(V118=0,"",Splits!$B$49/(Splits!$B$50*V118))</f>
        <v>0.680460575100931</v>
      </c>
      <c r="X118" s="15" t="str">
        <f aca="false">IF(P118&gt;0,IF(AND(Q118&gt;0,R118&gt;0),"train + val + test",IF(R118&gt;0,"train + test","train only")),IF(R118&gt;0,"test only (unknown class)",IF(K118&gt;0,"site extract only","no usable audio")))</f>
        <v>train + test</v>
      </c>
      <c r="Y118" s="15" t="str">
        <f aca="false">IF($P118=0,"",IF($E118="nonbird",$B118,IF($G118="yes",$B118,"other bird")))</f>
        <v>other bird</v>
      </c>
      <c r="Z118" s="15" t="str">
        <f aca="false">IF(AND($F118="core",$P118&gt;0),$B118,"")</f>
        <v/>
      </c>
      <c r="AA118" s="15" t="str">
        <f aca="false">IF($P118&gt;0,$B118,"")</f>
        <v>Nightingale Wren</v>
      </c>
      <c r="AB118" s="15" t="n">
        <v>6</v>
      </c>
      <c r="AC118" s="15" t="n">
        <v>5</v>
      </c>
      <c r="AD118" s="17" t="n">
        <f aca="false">IF(COUNTIFS(Clips!$F:$F,$B118,Clips!$M:$M,"&gt;0",Clips!$C:$C,"&lt;&gt;excluded")=0,"",AVERAGEIFS(Clips!$M:$M,Clips!$F:$F,$B118,Clips!$M:$M,"&gt;0",Clips!$C:$C,"&lt;&gt;excluded"))</f>
        <v>3.5</v>
      </c>
      <c r="AE118" s="15" t="n">
        <f aca="false">COUNTIFS(Clips!$F:$F,$B118,Clips!$O:$O,"&lt;&gt;",Clips!$B:$B,"&lt;&gt;site",Clips!$C:$C,"&lt;&gt;excluded")</f>
        <v>1</v>
      </c>
      <c r="AF118" s="15" t="n">
        <f aca="false">COUNTIFS(Clips!$F:$F,$B118,Clips!$I:$I,"&lt;5",Clips!$C:$C,"&lt;&gt;excluded")</f>
        <v>0</v>
      </c>
      <c r="AG118" s="5"/>
    </row>
    <row r="119" customFormat="false" ht="15" hidden="false" customHeight="false" outlineLevel="0" collapsed="false">
      <c r="A119" s="15" t="n">
        <v>233</v>
      </c>
      <c r="B119" s="15" t="s">
        <v>511</v>
      </c>
      <c r="C119" s="15" t="s">
        <v>512</v>
      </c>
      <c r="D119" s="15" t="s">
        <v>513</v>
      </c>
      <c r="E119" s="15" t="s">
        <v>147</v>
      </c>
      <c r="F119" s="15" t="s">
        <v>400</v>
      </c>
      <c r="G119" s="15" t="str">
        <f aca="false">IF(AND($E119="bird",$K119&gt;0),"yes","")</f>
        <v/>
      </c>
      <c r="H119" s="15"/>
      <c r="I119" s="15" t="str">
        <f aca="false">IF($E119="bird",IF(COUNTIF('eBird List'!$A:$A,$B119)&gt;0,"yes","no"),"")</f>
        <v>yes</v>
      </c>
      <c r="J119" s="16" t="n">
        <f aca="false">IF(COUNTIF('eBird List'!$A:$A,$B119)=0,"",INDEX('eBird List'!$C:$C,MATCH($B119,'eBird List'!$A:$A,0)))</f>
        <v>0.114367405289492</v>
      </c>
      <c r="K119" s="15" t="n">
        <f aca="false">COUNTIFS(Clips!$B:$B,"site",Clips!$F:$F,$B119)+COUNTIFS(Clips!$B:$B,"site",Clips!$O:$O,"*"&amp;$B119&amp;"*")</f>
        <v>0</v>
      </c>
      <c r="L119" s="15" t="n">
        <f aca="false">COUNTIFS(Clips!$F:$F,$B119,Clips!$B:$B,"macaulay")</f>
        <v>7</v>
      </c>
      <c r="M119" s="15" t="n">
        <f aca="false">COUNTIFS(Clips!$F:$F,$B119,Clips!$B:$B,"xeno-canto")</f>
        <v>0</v>
      </c>
      <c r="N119" s="15" t="n">
        <f aca="false">K119+L119+M119</f>
        <v>7</v>
      </c>
      <c r="O119" s="15" t="n">
        <f aca="false">COUNTIFS(Clips!$F:$F,$B119,Clips!$C:$C,"excluded")</f>
        <v>0</v>
      </c>
      <c r="P119" s="15" t="n">
        <f aca="false">COUNTIFS(Clips!$F:$F,$B119,Clips!$C:$C,"train")</f>
        <v>5</v>
      </c>
      <c r="Q119" s="15" t="n">
        <f aca="false">COUNTIFS(Clips!$F:$F,$B119,Clips!$C:$C,"val")</f>
        <v>0</v>
      </c>
      <c r="R119" s="15" t="n">
        <f aca="false">COUNTIFS(Clips!$F:$F,$B119,Clips!$C:$C,"test")</f>
        <v>2</v>
      </c>
      <c r="S119" s="17" t="n">
        <f aca="false">SUMIFS(Clips!$I:$I,Clips!$F:$F,$B119,Clips!$C:$C,"train")/60</f>
        <v>2.80415</v>
      </c>
      <c r="T119" s="17" t="n">
        <f aca="false">SUMIFS(Clips!$I:$I,Clips!$F:$F,$B119,Clips!$C:$C,"val")/60</f>
        <v>0</v>
      </c>
      <c r="U119" s="17" t="n">
        <f aca="false">SUMIFS(Clips!$I:$I,Clips!$F:$F,$B119,Clips!$C:$C,"test")/60</f>
        <v>0.559133333333333</v>
      </c>
      <c r="V119" s="15" t="n">
        <f aca="false">SUMIFS(Clips!$J:$J,Clips!$F:$F,$B119,Clips!$C:$C,"train")</f>
        <v>36</v>
      </c>
      <c r="W119" s="18" t="n">
        <f aca="false">IF(V119=0,"",Splits!$B$49/(Splits!$B$50*V119))</f>
        <v>4.32848532494759</v>
      </c>
      <c r="X119" s="15" t="str">
        <f aca="false">IF(P119&gt;0,IF(AND(Q119&gt;0,R119&gt;0),"train + val + test",IF(R119&gt;0,"train + test","train only")),IF(R119&gt;0,"test only (unknown class)",IF(K119&gt;0,"site extract only","no usable audio")))</f>
        <v>train + test</v>
      </c>
      <c r="Y119" s="15" t="str">
        <f aca="false">IF($P119=0,"",IF($E119="nonbird",$B119,IF($G119="yes",$B119,"other bird")))</f>
        <v>other bird</v>
      </c>
      <c r="Z119" s="15" t="str">
        <f aca="false">IF(AND($F119="core",$P119&gt;0),$B119,"")</f>
        <v/>
      </c>
      <c r="AA119" s="15" t="str">
        <f aca="false">IF($P119&gt;0,$B119,"")</f>
        <v>White-whiskered Puffbird</v>
      </c>
      <c r="AB119" s="15" t="n">
        <v>5</v>
      </c>
      <c r="AC119" s="15" t="n">
        <v>5</v>
      </c>
      <c r="AD119" s="17" t="n">
        <f aca="false">IF(COUNTIFS(Clips!$F:$F,$B119,Clips!$M:$M,"&gt;0",Clips!$C:$C,"&lt;&gt;excluded")=0,"",AVERAGEIFS(Clips!$M:$M,Clips!$F:$F,$B119,Clips!$M:$M,"&gt;0",Clips!$C:$C,"&lt;&gt;excluded"))</f>
        <v>3.16666666666667</v>
      </c>
      <c r="AE119" s="15" t="n">
        <f aca="false">COUNTIFS(Clips!$F:$F,$B119,Clips!$O:$O,"&lt;&gt;",Clips!$B:$B,"&lt;&gt;site",Clips!$C:$C,"&lt;&gt;excluded")</f>
        <v>2</v>
      </c>
      <c r="AF119" s="15" t="n">
        <f aca="false">COUNTIFS(Clips!$F:$F,$B119,Clips!$I:$I,"&lt;5",Clips!$C:$C,"&lt;&gt;excluded")</f>
        <v>0</v>
      </c>
      <c r="AG119" s="5"/>
    </row>
    <row r="120" customFormat="false" ht="15" hidden="false" customHeight="false" outlineLevel="0" collapsed="false">
      <c r="A120" s="15" t="n">
        <v>5</v>
      </c>
      <c r="B120" s="15" t="s">
        <v>514</v>
      </c>
      <c r="C120" s="15" t="s">
        <v>515</v>
      </c>
      <c r="D120" s="15" t="s">
        <v>516</v>
      </c>
      <c r="E120" s="15" t="s">
        <v>147</v>
      </c>
      <c r="F120" s="15" t="s">
        <v>400</v>
      </c>
      <c r="G120" s="15" t="str">
        <f aca="false">IF(AND($E120="bird",$K120&gt;0),"yes","")</f>
        <v/>
      </c>
      <c r="H120" s="15"/>
      <c r="I120" s="15" t="str">
        <f aca="false">IF($E120="bird",IF(COUNTIF('eBird List'!$A:$A,$B120)&gt;0,"yes","no"),"")</f>
        <v>yes</v>
      </c>
      <c r="J120" s="16" t="n">
        <f aca="false">IF(COUNTIF('eBird List'!$A:$A,$B120)=0,"",INDEX('eBird List'!$C:$C,MATCH($B120,'eBird List'!$A:$A,0)))</f>
        <v>0.0516142482725757</v>
      </c>
      <c r="K120" s="15" t="n">
        <f aca="false">COUNTIFS(Clips!$B:$B,"site",Clips!$F:$F,$B120)+COUNTIFS(Clips!$B:$B,"site",Clips!$O:$O,"*"&amp;$B120&amp;"*")</f>
        <v>0</v>
      </c>
      <c r="L120" s="15" t="n">
        <f aca="false">COUNTIFS(Clips!$F:$F,$B120,Clips!$B:$B,"macaulay")</f>
        <v>6</v>
      </c>
      <c r="M120" s="15" t="n">
        <f aca="false">COUNTIFS(Clips!$F:$F,$B120,Clips!$B:$B,"xeno-canto")</f>
        <v>0</v>
      </c>
      <c r="N120" s="15" t="n">
        <f aca="false">K120+L120+M120</f>
        <v>6</v>
      </c>
      <c r="O120" s="15" t="n">
        <f aca="false">COUNTIFS(Clips!$F:$F,$B120,Clips!$C:$C,"excluded")</f>
        <v>0</v>
      </c>
      <c r="P120" s="15" t="n">
        <f aca="false">COUNTIFS(Clips!$F:$F,$B120,Clips!$C:$C,"train")</f>
        <v>5</v>
      </c>
      <c r="Q120" s="15" t="n">
        <f aca="false">COUNTIFS(Clips!$F:$F,$B120,Clips!$C:$C,"val")</f>
        <v>0</v>
      </c>
      <c r="R120" s="15" t="n">
        <f aca="false">COUNTIFS(Clips!$F:$F,$B120,Clips!$C:$C,"test")</f>
        <v>1</v>
      </c>
      <c r="S120" s="17" t="n">
        <f aca="false">SUMIFS(Clips!$I:$I,Clips!$F:$F,$B120,Clips!$C:$C,"train")/60</f>
        <v>14.03825</v>
      </c>
      <c r="T120" s="17" t="n">
        <f aca="false">SUMIFS(Clips!$I:$I,Clips!$F:$F,$B120,Clips!$C:$C,"val")/60</f>
        <v>0</v>
      </c>
      <c r="U120" s="17" t="n">
        <f aca="false">SUMIFS(Clips!$I:$I,Clips!$F:$F,$B120,Clips!$C:$C,"test")/60</f>
        <v>4.78726666666667</v>
      </c>
      <c r="V120" s="15" t="n">
        <f aca="false">SUMIFS(Clips!$J:$J,Clips!$F:$F,$B120,Clips!$C:$C,"train")</f>
        <v>171</v>
      </c>
      <c r="W120" s="18" t="n">
        <f aca="false">IF(V120=0,"",Splits!$B$49/(Splits!$B$50*V120))</f>
        <v>0.911260068410019</v>
      </c>
      <c r="X120" s="15" t="str">
        <f aca="false">IF(P120&gt;0,IF(AND(Q120&gt;0,R120&gt;0),"train + val + test",IF(R120&gt;0,"train + test","train only")),IF(R120&gt;0,"test only (unknown class)",IF(K120&gt;0,"site extract only","no usable audio")))</f>
        <v>train + test</v>
      </c>
      <c r="Y120" s="15" t="str">
        <f aca="false">IF($P120=0,"",IF($E120="nonbird",$B120,IF($G120="yes",$B120,"other bird")))</f>
        <v>other bird</v>
      </c>
      <c r="Z120" s="15" t="str">
        <f aca="false">IF(AND($F120="core",$P120&gt;0),$B120,"")</f>
        <v/>
      </c>
      <c r="AA120" s="15" t="str">
        <f aca="false">IF($P120&gt;0,$B120,"")</f>
        <v>Band-tailed Barbthroat</v>
      </c>
      <c r="AB120" s="15" t="n">
        <v>6</v>
      </c>
      <c r="AC120" s="15" t="n">
        <v>5</v>
      </c>
      <c r="AD120" s="17" t="n">
        <f aca="false">IF(COUNTIFS(Clips!$F:$F,$B120,Clips!$M:$M,"&gt;0",Clips!$C:$C,"&lt;&gt;excluded")=0,"",AVERAGEIFS(Clips!$M:$M,Clips!$F:$F,$B120,Clips!$M:$M,"&gt;0",Clips!$C:$C,"&lt;&gt;excluded"))</f>
        <v>2.33333333333333</v>
      </c>
      <c r="AE120" s="15" t="n">
        <f aca="false">COUNTIFS(Clips!$F:$F,$B120,Clips!$O:$O,"&lt;&gt;",Clips!$B:$B,"&lt;&gt;site",Clips!$C:$C,"&lt;&gt;excluded")</f>
        <v>0</v>
      </c>
      <c r="AF120" s="15" t="n">
        <f aca="false">COUNTIFS(Clips!$F:$F,$B120,Clips!$I:$I,"&lt;5",Clips!$C:$C,"&lt;&gt;excluded")</f>
        <v>0</v>
      </c>
      <c r="AG120" s="5"/>
    </row>
    <row r="121" customFormat="false" ht="15" hidden="false" customHeight="false" outlineLevel="0" collapsed="false">
      <c r="A121" s="15" t="n">
        <v>14</v>
      </c>
      <c r="B121" s="15" t="s">
        <v>517</v>
      </c>
      <c r="C121" s="15" t="s">
        <v>518</v>
      </c>
      <c r="D121" s="15" t="s">
        <v>519</v>
      </c>
      <c r="E121" s="15" t="s">
        <v>147</v>
      </c>
      <c r="F121" s="15" t="s">
        <v>400</v>
      </c>
      <c r="G121" s="15" t="str">
        <f aca="false">IF(AND($E121="bird",$K121&gt;0),"yes","")</f>
        <v/>
      </c>
      <c r="H121" s="15"/>
      <c r="I121" s="15" t="str">
        <f aca="false">IF($E121="bird",IF(COUNTIF('eBird List'!$A:$A,$B121)&gt;0,"yes","no"),"")</f>
        <v>yes</v>
      </c>
      <c r="J121" s="16" t="n">
        <f aca="false">IF(COUNTIF('eBird List'!$A:$A,$B121)=0,"",INDEX('eBird List'!$C:$C,MATCH($B121,'eBird List'!$A:$A,0)))</f>
        <v>0.0238861091255659</v>
      </c>
      <c r="K121" s="15" t="n">
        <f aca="false">COUNTIFS(Clips!$B:$B,"site",Clips!$F:$F,$B121)+COUNTIFS(Clips!$B:$B,"site",Clips!$O:$O,"*"&amp;$B121&amp;"*")</f>
        <v>0</v>
      </c>
      <c r="L121" s="15" t="n">
        <f aca="false">COUNTIFS(Clips!$F:$F,$B121,Clips!$B:$B,"macaulay")</f>
        <v>6</v>
      </c>
      <c r="M121" s="15" t="n">
        <f aca="false">COUNTIFS(Clips!$F:$F,$B121,Clips!$B:$B,"xeno-canto")</f>
        <v>0</v>
      </c>
      <c r="N121" s="15" t="n">
        <f aca="false">K121+L121+M121</f>
        <v>6</v>
      </c>
      <c r="O121" s="15" t="n">
        <f aca="false">COUNTIFS(Clips!$F:$F,$B121,Clips!$C:$C,"excluded")</f>
        <v>0</v>
      </c>
      <c r="P121" s="15" t="n">
        <f aca="false">COUNTIFS(Clips!$F:$F,$B121,Clips!$C:$C,"train")</f>
        <v>5</v>
      </c>
      <c r="Q121" s="15" t="n">
        <f aca="false">COUNTIFS(Clips!$F:$F,$B121,Clips!$C:$C,"val")</f>
        <v>0</v>
      </c>
      <c r="R121" s="15" t="n">
        <f aca="false">COUNTIFS(Clips!$F:$F,$B121,Clips!$C:$C,"test")</f>
        <v>1</v>
      </c>
      <c r="S121" s="17" t="n">
        <f aca="false">SUMIFS(Clips!$I:$I,Clips!$F:$F,$B121,Clips!$C:$C,"train")/60</f>
        <v>9.55708333333334</v>
      </c>
      <c r="T121" s="17" t="n">
        <f aca="false">SUMIFS(Clips!$I:$I,Clips!$F:$F,$B121,Clips!$C:$C,"val")/60</f>
        <v>0</v>
      </c>
      <c r="U121" s="17" t="n">
        <f aca="false">SUMIFS(Clips!$I:$I,Clips!$F:$F,$B121,Clips!$C:$C,"test")/60</f>
        <v>1.17921666666667</v>
      </c>
      <c r="V121" s="15" t="n">
        <f aca="false">SUMIFS(Clips!$J:$J,Clips!$F:$F,$B121,Clips!$C:$C,"train")</f>
        <v>116</v>
      </c>
      <c r="W121" s="18" t="n">
        <f aca="false">IF(V121=0,"",Splits!$B$49/(Splits!$B$50*V121))</f>
        <v>1.34332303188029</v>
      </c>
      <c r="X121" s="15" t="str">
        <f aca="false">IF(P121&gt;0,IF(AND(Q121&gt;0,R121&gt;0),"train + val + test",IF(R121&gt;0,"train + test","train only")),IF(R121&gt;0,"test only (unknown class)",IF(K121&gt;0,"site extract only","no usable audio")))</f>
        <v>train + test</v>
      </c>
      <c r="Y121" s="15" t="str">
        <f aca="false">IF($P121=0,"",IF($E121="nonbird",$B121,IF($G121="yes",$B121,"other bird")))</f>
        <v>other bird</v>
      </c>
      <c r="Z121" s="15" t="str">
        <f aca="false">IF(AND($F121="core",$P121&gt;0),$B121,"")</f>
        <v/>
      </c>
      <c r="AA121" s="15" t="str">
        <f aca="false">IF($P121&gt;0,$B121,"")</f>
        <v>Black Hawk-Eagle</v>
      </c>
      <c r="AB121" s="15" t="n">
        <v>6</v>
      </c>
      <c r="AC121" s="15" t="n">
        <v>5</v>
      </c>
      <c r="AD121" s="17" t="n">
        <f aca="false">IF(COUNTIFS(Clips!$F:$F,$B121,Clips!$M:$M,"&gt;0",Clips!$C:$C,"&lt;&gt;excluded")=0,"",AVERAGEIFS(Clips!$M:$M,Clips!$F:$F,$B121,Clips!$M:$M,"&gt;0",Clips!$C:$C,"&lt;&gt;excluded"))</f>
        <v>3.2</v>
      </c>
      <c r="AE121" s="15" t="n">
        <f aca="false">COUNTIFS(Clips!$F:$F,$B121,Clips!$O:$O,"&lt;&gt;",Clips!$B:$B,"&lt;&gt;site",Clips!$C:$C,"&lt;&gt;excluded")</f>
        <v>0</v>
      </c>
      <c r="AF121" s="15" t="n">
        <f aca="false">COUNTIFS(Clips!$F:$F,$B121,Clips!$I:$I,"&lt;5",Clips!$C:$C,"&lt;&gt;excluded")</f>
        <v>1</v>
      </c>
      <c r="AG121" s="5"/>
    </row>
    <row r="122" customFormat="false" ht="15" hidden="false" customHeight="false" outlineLevel="0" collapsed="false">
      <c r="A122" s="15" t="n">
        <v>53</v>
      </c>
      <c r="B122" s="15" t="s">
        <v>520</v>
      </c>
      <c r="C122" s="15" t="s">
        <v>521</v>
      </c>
      <c r="D122" s="15" t="s">
        <v>522</v>
      </c>
      <c r="E122" s="15" t="s">
        <v>147</v>
      </c>
      <c r="F122" s="15" t="s">
        <v>400</v>
      </c>
      <c r="G122" s="15" t="str">
        <f aca="false">IF(AND($E122="bird",$K122&gt;0),"yes","")</f>
        <v/>
      </c>
      <c r="H122" s="15"/>
      <c r="I122" s="15" t="str">
        <f aca="false">IF($E122="bird",IF(COUNTIF('eBird List'!$A:$A,$B122)&gt;0,"yes","no"),"")</f>
        <v>yes</v>
      </c>
      <c r="J122" s="16" t="n">
        <f aca="false">IF(COUNTIF('eBird List'!$A:$A,$B122)=0,"",INDEX('eBird List'!$C:$C,MATCH($B122,'eBird List'!$A:$A,0)))</f>
        <v>0.405497974743865</v>
      </c>
      <c r="K122" s="15" t="n">
        <f aca="false">COUNTIFS(Clips!$B:$B,"site",Clips!$F:$F,$B122)+COUNTIFS(Clips!$B:$B,"site",Clips!$O:$O,"*"&amp;$B122&amp;"*")</f>
        <v>0</v>
      </c>
      <c r="L122" s="15" t="n">
        <f aca="false">COUNTIFS(Clips!$F:$F,$B122,Clips!$B:$B,"macaulay")</f>
        <v>6</v>
      </c>
      <c r="M122" s="15" t="n">
        <f aca="false">COUNTIFS(Clips!$F:$F,$B122,Clips!$B:$B,"xeno-canto")</f>
        <v>0</v>
      </c>
      <c r="N122" s="15" t="n">
        <f aca="false">K122+L122+M122</f>
        <v>6</v>
      </c>
      <c r="O122" s="15" t="n">
        <f aca="false">COUNTIFS(Clips!$F:$F,$B122,Clips!$C:$C,"excluded")</f>
        <v>0</v>
      </c>
      <c r="P122" s="15" t="n">
        <f aca="false">COUNTIFS(Clips!$F:$F,$B122,Clips!$C:$C,"train")</f>
        <v>5</v>
      </c>
      <c r="Q122" s="15" t="n">
        <f aca="false">COUNTIFS(Clips!$F:$F,$B122,Clips!$C:$C,"val")</f>
        <v>0</v>
      </c>
      <c r="R122" s="15" t="n">
        <f aca="false">COUNTIFS(Clips!$F:$F,$B122,Clips!$C:$C,"test")</f>
        <v>1</v>
      </c>
      <c r="S122" s="17" t="n">
        <f aca="false">SUMIFS(Clips!$I:$I,Clips!$F:$F,$B122,Clips!$C:$C,"train")/60</f>
        <v>1.71328333333333</v>
      </c>
      <c r="T122" s="17" t="n">
        <f aca="false">SUMIFS(Clips!$I:$I,Clips!$F:$F,$B122,Clips!$C:$C,"val")/60</f>
        <v>0</v>
      </c>
      <c r="U122" s="17" t="n">
        <f aca="false">SUMIFS(Clips!$I:$I,Clips!$F:$F,$B122,Clips!$C:$C,"test")/60</f>
        <v>0.24175</v>
      </c>
      <c r="V122" s="15" t="n">
        <f aca="false">SUMIFS(Clips!$J:$J,Clips!$F:$F,$B122,Clips!$C:$C,"train")</f>
        <v>23</v>
      </c>
      <c r="W122" s="18" t="n">
        <f aca="false">IF(V122=0,"",Splits!$B$49/(Splits!$B$50*V122))</f>
        <v>6.77502050861362</v>
      </c>
      <c r="X122" s="15" t="str">
        <f aca="false">IF(P122&gt;0,IF(AND(Q122&gt;0,R122&gt;0),"train + val + test",IF(R122&gt;0,"train + test","train only")),IF(R122&gt;0,"test only (unknown class)",IF(K122&gt;0,"site extract only","no usable audio")))</f>
        <v>train + test</v>
      </c>
      <c r="Y122" s="15" t="str">
        <f aca="false">IF($P122=0,"",IF($E122="nonbird",$B122,IF($G122="yes",$B122,"other bird")))</f>
        <v>other bird</v>
      </c>
      <c r="Z122" s="15" t="str">
        <f aca="false">IF(AND($F122="core",$P122&gt;0),$B122,"")</f>
        <v/>
      </c>
      <c r="AA122" s="15" t="str">
        <f aca="false">IF($P122&gt;0,$B122,"")</f>
        <v>Chestnut-sided Warbler</v>
      </c>
      <c r="AB122" s="15" t="n">
        <v>6</v>
      </c>
      <c r="AC122" s="15" t="n">
        <v>5</v>
      </c>
      <c r="AD122" s="17" t="n">
        <f aca="false">IF(COUNTIFS(Clips!$F:$F,$B122,Clips!$M:$M,"&gt;0",Clips!$C:$C,"&lt;&gt;excluded")=0,"",AVERAGEIFS(Clips!$M:$M,Clips!$F:$F,$B122,Clips!$M:$M,"&gt;0",Clips!$C:$C,"&lt;&gt;excluded"))</f>
        <v>2.66666666666667</v>
      </c>
      <c r="AE122" s="15" t="n">
        <f aca="false">COUNTIFS(Clips!$F:$F,$B122,Clips!$O:$O,"&lt;&gt;",Clips!$B:$B,"&lt;&gt;site",Clips!$C:$C,"&lt;&gt;excluded")</f>
        <v>1</v>
      </c>
      <c r="AF122" s="15" t="n">
        <f aca="false">COUNTIFS(Clips!$F:$F,$B122,Clips!$I:$I,"&lt;5",Clips!$C:$C,"&lt;&gt;excluded")</f>
        <v>0</v>
      </c>
      <c r="AG122" s="5"/>
    </row>
    <row r="123" customFormat="false" ht="15" hidden="false" customHeight="false" outlineLevel="0" collapsed="false">
      <c r="A123" s="15" t="n">
        <v>56</v>
      </c>
      <c r="B123" s="15" t="s">
        <v>523</v>
      </c>
      <c r="C123" s="15" t="s">
        <v>524</v>
      </c>
      <c r="D123" s="15" t="s">
        <v>525</v>
      </c>
      <c r="E123" s="15" t="s">
        <v>147</v>
      </c>
      <c r="F123" s="15" t="s">
        <v>400</v>
      </c>
      <c r="G123" s="15" t="str">
        <f aca="false">IF(AND($E123="bird",$K123&gt;0),"yes","")</f>
        <v/>
      </c>
      <c r="H123" s="15"/>
      <c r="I123" s="15" t="str">
        <f aca="false">IF($E123="bird",IF(COUNTIF('eBird List'!$A:$A,$B123)&gt;0,"yes","no"),"")</f>
        <v>yes</v>
      </c>
      <c r="J123" s="16" t="n">
        <f aca="false">IF(COUNTIF('eBird List'!$A:$A,$B123)=0,"",INDEX('eBird List'!$C:$C,MATCH($B123,'eBird List'!$A:$A,0)))</f>
        <v>0.0206099594948773</v>
      </c>
      <c r="K123" s="15" t="n">
        <f aca="false">COUNTIFS(Clips!$B:$B,"site",Clips!$F:$F,$B123)+COUNTIFS(Clips!$B:$B,"site",Clips!$O:$O,"*"&amp;$B123&amp;"*")</f>
        <v>0</v>
      </c>
      <c r="L123" s="15" t="n">
        <f aca="false">COUNTIFS(Clips!$F:$F,$B123,Clips!$B:$B,"macaulay")</f>
        <v>6</v>
      </c>
      <c r="M123" s="15" t="n">
        <f aca="false">COUNTIFS(Clips!$F:$F,$B123,Clips!$B:$B,"xeno-canto")</f>
        <v>0</v>
      </c>
      <c r="N123" s="15" t="n">
        <f aca="false">K123+L123+M123</f>
        <v>6</v>
      </c>
      <c r="O123" s="15" t="n">
        <f aca="false">COUNTIFS(Clips!$F:$F,$B123,Clips!$C:$C,"excluded")</f>
        <v>0</v>
      </c>
      <c r="P123" s="15" t="n">
        <f aca="false">COUNTIFS(Clips!$F:$F,$B123,Clips!$C:$C,"train")</f>
        <v>5</v>
      </c>
      <c r="Q123" s="15" t="n">
        <f aca="false">COUNTIFS(Clips!$F:$F,$B123,Clips!$C:$C,"val")</f>
        <v>0</v>
      </c>
      <c r="R123" s="15" t="n">
        <f aca="false">COUNTIFS(Clips!$F:$F,$B123,Clips!$C:$C,"test")</f>
        <v>1</v>
      </c>
      <c r="S123" s="17" t="n">
        <f aca="false">SUMIFS(Clips!$I:$I,Clips!$F:$F,$B123,Clips!$C:$C,"train")/60</f>
        <v>8.46613333333333</v>
      </c>
      <c r="T123" s="17" t="n">
        <f aca="false">SUMIFS(Clips!$I:$I,Clips!$F:$F,$B123,Clips!$C:$C,"val")/60</f>
        <v>0</v>
      </c>
      <c r="U123" s="17" t="n">
        <f aca="false">SUMIFS(Clips!$I:$I,Clips!$F:$F,$B123,Clips!$C:$C,"test")/60</f>
        <v>6.58315</v>
      </c>
      <c r="V123" s="15" t="n">
        <f aca="false">SUMIFS(Clips!$J:$J,Clips!$F:$F,$B123,Clips!$C:$C,"train")</f>
        <v>103</v>
      </c>
      <c r="W123" s="18" t="n">
        <f aca="false">IF(V123=0,"",Splits!$B$49/(Splits!$B$50*V123))</f>
        <v>1.51286865726324</v>
      </c>
      <c r="X123" s="15" t="str">
        <f aca="false">IF(P123&gt;0,IF(AND(Q123&gt;0,R123&gt;0),"train + val + test",IF(R123&gt;0,"train + test","train only")),IF(R123&gt;0,"test only (unknown class)",IF(K123&gt;0,"site extract only","no usable audio")))</f>
        <v>train + test</v>
      </c>
      <c r="Y123" s="15" t="str">
        <f aca="false">IF($P123=0,"",IF($E123="nonbird",$B123,IF($G123="yes",$B123,"other bird")))</f>
        <v>other bird</v>
      </c>
      <c r="Z123" s="15" t="str">
        <f aca="false">IF(AND($F123="core",$P123&gt;0),$B123,"")</f>
        <v/>
      </c>
      <c r="AA123" s="15" t="str">
        <f aca="false">IF($P123&gt;0,$B123,"")</f>
        <v>Cinnamon-bellied Saltator</v>
      </c>
      <c r="AB123" s="15" t="n">
        <v>6</v>
      </c>
      <c r="AC123" s="15" t="n">
        <v>2</v>
      </c>
      <c r="AD123" s="17" t="n">
        <f aca="false">IF(COUNTIFS(Clips!$F:$F,$B123,Clips!$M:$M,"&gt;0",Clips!$C:$C,"&lt;&gt;excluded")=0,"",AVERAGEIFS(Clips!$M:$M,Clips!$F:$F,$B123,Clips!$M:$M,"&gt;0",Clips!$C:$C,"&lt;&gt;excluded"))</f>
        <v>3.805</v>
      </c>
      <c r="AE123" s="15" t="n">
        <f aca="false">COUNTIFS(Clips!$F:$F,$B123,Clips!$O:$O,"&lt;&gt;",Clips!$B:$B,"&lt;&gt;site",Clips!$C:$C,"&lt;&gt;excluded")</f>
        <v>0</v>
      </c>
      <c r="AF123" s="15" t="n">
        <f aca="false">COUNTIFS(Clips!$F:$F,$B123,Clips!$I:$I,"&lt;5",Clips!$C:$C,"&lt;&gt;excluded")</f>
        <v>0</v>
      </c>
      <c r="AG123" s="5"/>
    </row>
    <row r="124" customFormat="false" ht="15" hidden="false" customHeight="false" outlineLevel="0" collapsed="false">
      <c r="A124" s="15" t="n">
        <v>59</v>
      </c>
      <c r="B124" s="15" t="s">
        <v>526</v>
      </c>
      <c r="C124" s="15" t="s">
        <v>527</v>
      </c>
      <c r="D124" s="15" t="s">
        <v>528</v>
      </c>
      <c r="E124" s="15" t="s">
        <v>147</v>
      </c>
      <c r="F124" s="15" t="s">
        <v>400</v>
      </c>
      <c r="G124" s="15" t="str">
        <f aca="false">IF(AND($E124="bird",$K124&gt;0),"yes","")</f>
        <v/>
      </c>
      <c r="H124" s="15"/>
      <c r="I124" s="15" t="str">
        <f aca="false">IF($E124="bird",IF(COUNTIF('eBird List'!$A:$A,$B124)&gt;0,"yes","no"),"")</f>
        <v>yes</v>
      </c>
      <c r="J124" s="16" t="n">
        <f aca="false">IF(COUNTIF('eBird List'!$A:$A,$B124)=0,"",INDEX('eBird List'!$C:$C,MATCH($B124,'eBird List'!$A:$A,0)))</f>
        <v>0.410710030974506</v>
      </c>
      <c r="K124" s="15" t="n">
        <f aca="false">COUNTIFS(Clips!$B:$B,"site",Clips!$F:$F,$B124)+COUNTIFS(Clips!$B:$B,"site",Clips!$O:$O,"*"&amp;$B124&amp;"*")</f>
        <v>0</v>
      </c>
      <c r="L124" s="15" t="n">
        <f aca="false">COUNTIFS(Clips!$F:$F,$B124,Clips!$B:$B,"macaulay")</f>
        <v>6</v>
      </c>
      <c r="M124" s="15" t="n">
        <f aca="false">COUNTIFS(Clips!$F:$F,$B124,Clips!$B:$B,"xeno-canto")</f>
        <v>0</v>
      </c>
      <c r="N124" s="15" t="n">
        <f aca="false">K124+L124+M124</f>
        <v>6</v>
      </c>
      <c r="O124" s="15" t="n">
        <f aca="false">COUNTIFS(Clips!$F:$F,$B124,Clips!$C:$C,"excluded")</f>
        <v>0</v>
      </c>
      <c r="P124" s="15" t="n">
        <f aca="false">COUNTIFS(Clips!$F:$F,$B124,Clips!$C:$C,"train")</f>
        <v>5</v>
      </c>
      <c r="Q124" s="15" t="n">
        <f aca="false">COUNTIFS(Clips!$F:$F,$B124,Clips!$C:$C,"val")</f>
        <v>0</v>
      </c>
      <c r="R124" s="15" t="n">
        <f aca="false">COUNTIFS(Clips!$F:$F,$B124,Clips!$C:$C,"test")</f>
        <v>1</v>
      </c>
      <c r="S124" s="17" t="n">
        <f aca="false">SUMIFS(Clips!$I:$I,Clips!$F:$F,$B124,Clips!$C:$C,"train")/60</f>
        <v>5.07745</v>
      </c>
      <c r="T124" s="17" t="n">
        <f aca="false">SUMIFS(Clips!$I:$I,Clips!$F:$F,$B124,Clips!$C:$C,"val")/60</f>
        <v>0</v>
      </c>
      <c r="U124" s="17" t="n">
        <f aca="false">SUMIFS(Clips!$I:$I,Clips!$F:$F,$B124,Clips!$C:$C,"test")/60</f>
        <v>2.22056666666667</v>
      </c>
      <c r="V124" s="15" t="n">
        <f aca="false">SUMIFS(Clips!$J:$J,Clips!$F:$F,$B124,Clips!$C:$C,"train")</f>
        <v>63</v>
      </c>
      <c r="W124" s="18" t="n">
        <f aca="false">IF(V124=0,"",Splits!$B$49/(Splits!$B$50*V124))</f>
        <v>2.47342018568434</v>
      </c>
      <c r="X124" s="15" t="str">
        <f aca="false">IF(P124&gt;0,IF(AND(Q124&gt;0,R124&gt;0),"train + val + test",IF(R124&gt;0,"train + test","train only")),IF(R124&gt;0,"test only (unknown class)",IF(K124&gt;0,"site extract only","no usable audio")))</f>
        <v>train + test</v>
      </c>
      <c r="Y124" s="15" t="str">
        <f aca="false">IF($P124=0,"",IF($E124="nonbird",$B124,IF($G124="yes",$B124,"other bird")))</f>
        <v>other bird</v>
      </c>
      <c r="Z124" s="15" t="str">
        <f aca="false">IF(AND($F124="core",$P124&gt;0),$B124,"")</f>
        <v/>
      </c>
      <c r="AA124" s="15" t="str">
        <f aca="false">IF($P124&gt;0,$B124,"")</f>
        <v>Collared Aracari</v>
      </c>
      <c r="AB124" s="15" t="n">
        <v>6</v>
      </c>
      <c r="AC124" s="15" t="n">
        <v>5</v>
      </c>
      <c r="AD124" s="17" t="n">
        <f aca="false">IF(COUNTIFS(Clips!$F:$F,$B124,Clips!$M:$M,"&gt;0",Clips!$C:$C,"&lt;&gt;excluded")=0,"",AVERAGEIFS(Clips!$M:$M,Clips!$F:$F,$B124,Clips!$M:$M,"&gt;0",Clips!$C:$C,"&lt;&gt;excluded"))</f>
        <v>2.89</v>
      </c>
      <c r="AE124" s="15" t="n">
        <f aca="false">COUNTIFS(Clips!$F:$F,$B124,Clips!$O:$O,"&lt;&gt;",Clips!$B:$B,"&lt;&gt;site",Clips!$C:$C,"&lt;&gt;excluded")</f>
        <v>0</v>
      </c>
      <c r="AF124" s="15" t="n">
        <f aca="false">COUNTIFS(Clips!$F:$F,$B124,Clips!$I:$I,"&lt;5",Clips!$C:$C,"&lt;&gt;excluded")</f>
        <v>0</v>
      </c>
      <c r="AG124" s="5"/>
    </row>
    <row r="125" customFormat="false" ht="15" hidden="false" customHeight="false" outlineLevel="0" collapsed="false">
      <c r="A125" s="15" t="n">
        <v>72</v>
      </c>
      <c r="B125" s="15" t="s">
        <v>529</v>
      </c>
      <c r="C125" s="15" t="s">
        <v>530</v>
      </c>
      <c r="D125" s="15" t="s">
        <v>531</v>
      </c>
      <c r="E125" s="15" t="s">
        <v>147</v>
      </c>
      <c r="F125" s="15" t="s">
        <v>400</v>
      </c>
      <c r="G125" s="15" t="str">
        <f aca="false">IF(AND($E125="bird",$K125&gt;0),"yes","")</f>
        <v/>
      </c>
      <c r="H125" s="15"/>
      <c r="I125" s="15" t="str">
        <f aca="false">IF($E125="bird",IF(COUNTIF('eBird List'!$A:$A,$B125)&gt;0,"yes","no"),"")</f>
        <v>yes</v>
      </c>
      <c r="J125" s="16" t="n">
        <f aca="false">IF(COUNTIF('eBird List'!$A:$A,$B125)=0,"",INDEX('eBird List'!$C:$C,MATCH($B125,'eBird List'!$A:$A,0)))</f>
        <v>0.052180128663331</v>
      </c>
      <c r="K125" s="15" t="n">
        <f aca="false">COUNTIFS(Clips!$B:$B,"site",Clips!$F:$F,$B125)+COUNTIFS(Clips!$B:$B,"site",Clips!$O:$O,"*"&amp;$B125&amp;"*")</f>
        <v>0</v>
      </c>
      <c r="L125" s="15" t="n">
        <f aca="false">COUNTIFS(Clips!$F:$F,$B125,Clips!$B:$B,"macaulay")</f>
        <v>6</v>
      </c>
      <c r="M125" s="15" t="n">
        <f aca="false">COUNTIFS(Clips!$F:$F,$B125,Clips!$B:$B,"xeno-canto")</f>
        <v>0</v>
      </c>
      <c r="N125" s="15" t="n">
        <f aca="false">K125+L125+M125</f>
        <v>6</v>
      </c>
      <c r="O125" s="15" t="n">
        <f aca="false">COUNTIFS(Clips!$F:$F,$B125,Clips!$C:$C,"excluded")</f>
        <v>0</v>
      </c>
      <c r="P125" s="15" t="n">
        <f aca="false">COUNTIFS(Clips!$F:$F,$B125,Clips!$C:$C,"train")</f>
        <v>5</v>
      </c>
      <c r="Q125" s="15" t="n">
        <f aca="false">COUNTIFS(Clips!$F:$F,$B125,Clips!$C:$C,"val")</f>
        <v>0</v>
      </c>
      <c r="R125" s="15" t="n">
        <f aca="false">COUNTIFS(Clips!$F:$F,$B125,Clips!$C:$C,"test")</f>
        <v>1</v>
      </c>
      <c r="S125" s="17" t="n">
        <f aca="false">SUMIFS(Clips!$I:$I,Clips!$F:$F,$B125,Clips!$C:$C,"train")/60</f>
        <v>1.81898333333333</v>
      </c>
      <c r="T125" s="17" t="n">
        <f aca="false">SUMIFS(Clips!$I:$I,Clips!$F:$F,$B125,Clips!$C:$C,"val")/60</f>
        <v>0</v>
      </c>
      <c r="U125" s="17" t="n">
        <f aca="false">SUMIFS(Clips!$I:$I,Clips!$F:$F,$B125,Clips!$C:$C,"test")/60</f>
        <v>1.39246666666667</v>
      </c>
      <c r="V125" s="15" t="n">
        <f aca="false">SUMIFS(Clips!$J:$J,Clips!$F:$F,$B125,Clips!$C:$C,"train")</f>
        <v>24</v>
      </c>
      <c r="W125" s="18" t="n">
        <f aca="false">IF(V125=0,"",Splits!$B$49/(Splits!$B$50*V125))</f>
        <v>6.49272798742138</v>
      </c>
      <c r="X125" s="15" t="str">
        <f aca="false">IF(P125&gt;0,IF(AND(Q125&gt;0,R125&gt;0),"train + val + test",IF(R125&gt;0,"train + test","train only")),IF(R125&gt;0,"test only (unknown class)",IF(K125&gt;0,"site extract only","no usable audio")))</f>
        <v>train + test</v>
      </c>
      <c r="Y125" s="15" t="str">
        <f aca="false">IF($P125=0,"",IF($E125="nonbird",$B125,IF($G125="yes",$B125,"other bird")))</f>
        <v>other bird</v>
      </c>
      <c r="Z125" s="15" t="str">
        <f aca="false">IF(AND($F125="core",$P125&gt;0),$B125,"")</f>
        <v/>
      </c>
      <c r="AA125" s="15" t="str">
        <f aca="false">IF($P125&gt;0,$B125,"")</f>
        <v>Crimson-collared Tanager</v>
      </c>
      <c r="AB125" s="15" t="n">
        <v>4</v>
      </c>
      <c r="AC125" s="15" t="n">
        <v>3</v>
      </c>
      <c r="AD125" s="17" t="n">
        <f aca="false">IF(COUNTIFS(Clips!$F:$F,$B125,Clips!$M:$M,"&gt;0",Clips!$C:$C,"&lt;&gt;excluded")=0,"",AVERAGEIFS(Clips!$M:$M,Clips!$F:$F,$B125,Clips!$M:$M,"&gt;0",Clips!$C:$C,"&lt;&gt;excluded"))</f>
        <v>4</v>
      </c>
      <c r="AE125" s="15" t="n">
        <f aca="false">COUNTIFS(Clips!$F:$F,$B125,Clips!$O:$O,"&lt;&gt;",Clips!$B:$B,"&lt;&gt;site",Clips!$C:$C,"&lt;&gt;excluded")</f>
        <v>4</v>
      </c>
      <c r="AF125" s="15" t="n">
        <f aca="false">COUNTIFS(Clips!$F:$F,$B125,Clips!$I:$I,"&lt;5",Clips!$C:$C,"&lt;&gt;excluded")</f>
        <v>0</v>
      </c>
      <c r="AG125" s="5"/>
    </row>
    <row r="126" customFormat="false" ht="15" hidden="false" customHeight="false" outlineLevel="0" collapsed="false">
      <c r="A126" s="15" t="n">
        <v>91</v>
      </c>
      <c r="B126" s="15" t="s">
        <v>532</v>
      </c>
      <c r="C126" s="15" t="s">
        <v>533</v>
      </c>
      <c r="D126" s="15" t="s">
        <v>534</v>
      </c>
      <c r="E126" s="15" t="s">
        <v>147</v>
      </c>
      <c r="F126" s="15" t="s">
        <v>400</v>
      </c>
      <c r="G126" s="15" t="str">
        <f aca="false">IF(AND($E126="bird",$K126&gt;0),"yes","")</f>
        <v/>
      </c>
      <c r="H126" s="15"/>
      <c r="I126" s="15" t="str">
        <f aca="false">IF($E126="bird",IF(COUNTIF('eBird List'!$A:$A,$B126)&gt;0,"yes","no"),"")</f>
        <v>yes</v>
      </c>
      <c r="J126" s="16" t="n">
        <f aca="false">IF(COUNTIF('eBird List'!$A:$A,$B126)=0,"",INDEX('eBird List'!$C:$C,MATCH($B126,'eBird List'!$A:$A,0)))</f>
        <v>0.132088396473672</v>
      </c>
      <c r="K126" s="15" t="n">
        <f aca="false">COUNTIFS(Clips!$B:$B,"site",Clips!$F:$F,$B126)+COUNTIFS(Clips!$B:$B,"site",Clips!$O:$O,"*"&amp;$B126&amp;"*")</f>
        <v>0</v>
      </c>
      <c r="L126" s="15" t="n">
        <f aca="false">COUNTIFS(Clips!$F:$F,$B126,Clips!$B:$B,"macaulay")</f>
        <v>6</v>
      </c>
      <c r="M126" s="15" t="n">
        <f aca="false">COUNTIFS(Clips!$F:$F,$B126,Clips!$B:$B,"xeno-canto")</f>
        <v>0</v>
      </c>
      <c r="N126" s="15" t="n">
        <f aca="false">K126+L126+M126</f>
        <v>6</v>
      </c>
      <c r="O126" s="15" t="n">
        <f aca="false">COUNTIFS(Clips!$F:$F,$B126,Clips!$C:$C,"excluded")</f>
        <v>0</v>
      </c>
      <c r="P126" s="15" t="n">
        <f aca="false">COUNTIFS(Clips!$F:$F,$B126,Clips!$C:$C,"train")</f>
        <v>5</v>
      </c>
      <c r="Q126" s="15" t="n">
        <f aca="false">COUNTIFS(Clips!$F:$F,$B126,Clips!$C:$C,"val")</f>
        <v>0</v>
      </c>
      <c r="R126" s="15" t="n">
        <f aca="false">COUNTIFS(Clips!$F:$F,$B126,Clips!$C:$C,"test")</f>
        <v>1</v>
      </c>
      <c r="S126" s="17" t="n">
        <f aca="false">SUMIFS(Clips!$I:$I,Clips!$F:$F,$B126,Clips!$C:$C,"train")/60</f>
        <v>2.29593333333333</v>
      </c>
      <c r="T126" s="17" t="n">
        <f aca="false">SUMIFS(Clips!$I:$I,Clips!$F:$F,$B126,Clips!$C:$C,"val")/60</f>
        <v>0</v>
      </c>
      <c r="U126" s="17" t="n">
        <f aca="false">SUMIFS(Clips!$I:$I,Clips!$F:$F,$B126,Clips!$C:$C,"test")/60</f>
        <v>0.674666666666667</v>
      </c>
      <c r="V126" s="15" t="n">
        <f aca="false">SUMIFS(Clips!$J:$J,Clips!$F:$F,$B126,Clips!$C:$C,"train")</f>
        <v>30</v>
      </c>
      <c r="W126" s="18" t="n">
        <f aca="false">IF(V126=0,"",Splits!$B$49/(Splits!$B$50*V126))</f>
        <v>5.19418238993711</v>
      </c>
      <c r="X126" s="15" t="str">
        <f aca="false">IF(P126&gt;0,IF(AND(Q126&gt;0,R126&gt;0),"train + val + test",IF(R126&gt;0,"train + test","train only")),IF(R126&gt;0,"test only (unknown class)",IF(K126&gt;0,"site extract only","no usable audio")))</f>
        <v>train + test</v>
      </c>
      <c r="Y126" s="15" t="str">
        <f aca="false">IF($P126=0,"",IF($E126="nonbird",$B126,IF($G126="yes",$B126,"other bird")))</f>
        <v>other bird</v>
      </c>
      <c r="Z126" s="15" t="str">
        <f aca="false">IF(AND($F126="core",$P126&gt;0),$B126,"")</f>
        <v/>
      </c>
      <c r="AA126" s="15" t="str">
        <f aca="false">IF($P126&gt;0,$B126,"")</f>
        <v>Gray-chested Dove</v>
      </c>
      <c r="AB126" s="15" t="n">
        <v>6</v>
      </c>
      <c r="AC126" s="15" t="n">
        <v>6</v>
      </c>
      <c r="AD126" s="17" t="n">
        <f aca="false">IF(COUNTIFS(Clips!$F:$F,$B126,Clips!$M:$M,"&gt;0",Clips!$C:$C,"&lt;&gt;excluded")=0,"",AVERAGEIFS(Clips!$M:$M,Clips!$F:$F,$B126,Clips!$M:$M,"&gt;0",Clips!$C:$C,"&lt;&gt;excluded"))</f>
        <v>2.075</v>
      </c>
      <c r="AE126" s="15" t="n">
        <f aca="false">COUNTIFS(Clips!$F:$F,$B126,Clips!$O:$O,"&lt;&gt;",Clips!$B:$B,"&lt;&gt;site",Clips!$C:$C,"&lt;&gt;excluded")</f>
        <v>0</v>
      </c>
      <c r="AF126" s="15" t="n">
        <f aca="false">COUNTIFS(Clips!$F:$F,$B126,Clips!$I:$I,"&lt;5",Clips!$C:$C,"&lt;&gt;excluded")</f>
        <v>0</v>
      </c>
      <c r="AG126" s="5"/>
    </row>
    <row r="127" customFormat="false" ht="15" hidden="false" customHeight="false" outlineLevel="0" collapsed="false">
      <c r="A127" s="15" t="n">
        <v>100</v>
      </c>
      <c r="B127" s="15" t="s">
        <v>535</v>
      </c>
      <c r="C127" s="15" t="s">
        <v>536</v>
      </c>
      <c r="D127" s="15" t="s">
        <v>537</v>
      </c>
      <c r="E127" s="15" t="s">
        <v>147</v>
      </c>
      <c r="F127" s="15" t="s">
        <v>400</v>
      </c>
      <c r="G127" s="15" t="str">
        <f aca="false">IF(AND($E127="bird",$K127&gt;0),"yes","")</f>
        <v/>
      </c>
      <c r="H127" s="15"/>
      <c r="I127" s="15" t="str">
        <f aca="false">IF($E127="bird",IF(COUNTIF('eBird List'!$A:$A,$B127)&gt;0,"yes","no"),"")</f>
        <v>yes</v>
      </c>
      <c r="J127" s="16" t="n">
        <f aca="false">IF(COUNTIF('eBird List'!$A:$A,$B127)=0,"",INDEX('eBird List'!$C:$C,MATCH($B127,'eBird List'!$A:$A,0)))</f>
        <v>0.191148439361449</v>
      </c>
      <c r="K127" s="15" t="n">
        <f aca="false">COUNTIFS(Clips!$B:$B,"site",Clips!$F:$F,$B127)+COUNTIFS(Clips!$B:$B,"site",Clips!$O:$O,"*"&amp;$B127&amp;"*")</f>
        <v>0</v>
      </c>
      <c r="L127" s="15" t="n">
        <f aca="false">COUNTIFS(Clips!$F:$F,$B127,Clips!$B:$B,"macaulay")</f>
        <v>6</v>
      </c>
      <c r="M127" s="15" t="n">
        <f aca="false">COUNTIFS(Clips!$F:$F,$B127,Clips!$B:$B,"xeno-canto")</f>
        <v>0</v>
      </c>
      <c r="N127" s="15" t="n">
        <f aca="false">K127+L127+M127</f>
        <v>6</v>
      </c>
      <c r="O127" s="15" t="n">
        <f aca="false">COUNTIFS(Clips!$F:$F,$B127,Clips!$C:$C,"excluded")</f>
        <v>0</v>
      </c>
      <c r="P127" s="15" t="n">
        <f aca="false">COUNTIFS(Clips!$F:$F,$B127,Clips!$C:$C,"train")</f>
        <v>5</v>
      </c>
      <c r="Q127" s="15" t="n">
        <f aca="false">COUNTIFS(Clips!$F:$F,$B127,Clips!$C:$C,"val")</f>
        <v>0</v>
      </c>
      <c r="R127" s="15" t="n">
        <f aca="false">COUNTIFS(Clips!$F:$F,$B127,Clips!$C:$C,"test")</f>
        <v>1</v>
      </c>
      <c r="S127" s="17" t="n">
        <f aca="false">SUMIFS(Clips!$I:$I,Clips!$F:$F,$B127,Clips!$C:$C,"train")/60</f>
        <v>3.3134</v>
      </c>
      <c r="T127" s="17" t="n">
        <f aca="false">SUMIFS(Clips!$I:$I,Clips!$F:$F,$B127,Clips!$C:$C,"val")/60</f>
        <v>0</v>
      </c>
      <c r="U127" s="17" t="n">
        <f aca="false">SUMIFS(Clips!$I:$I,Clips!$F:$F,$B127,Clips!$C:$C,"test")/60</f>
        <v>2.10645</v>
      </c>
      <c r="V127" s="15" t="n">
        <f aca="false">SUMIFS(Clips!$J:$J,Clips!$F:$F,$B127,Clips!$C:$C,"train")</f>
        <v>43</v>
      </c>
      <c r="W127" s="18" t="n">
        <f aca="false">IF(V127=0,"",Splits!$B$49/(Splits!$B$50*V127))</f>
        <v>3.62384817902589</v>
      </c>
      <c r="X127" s="15" t="str">
        <f aca="false">IF(P127&gt;0,IF(AND(Q127&gt;0,R127&gt;0),"train + val + test",IF(R127&gt;0,"train + test","train only")),IF(R127&gt;0,"test only (unknown class)",IF(K127&gt;0,"site extract only","no usable audio")))</f>
        <v>train + test</v>
      </c>
      <c r="Y127" s="15" t="str">
        <f aca="false">IF($P127=0,"",IF($E127="nonbird",$B127,IF($G127="yes",$B127,"other bird")))</f>
        <v>other bird</v>
      </c>
      <c r="Z127" s="15" t="str">
        <f aca="false">IF(AND($F127="core",$P127&gt;0),$B127,"")</f>
        <v/>
      </c>
      <c r="AA127" s="15" t="str">
        <f aca="false">IF($P127&gt;0,$B127,"")</f>
        <v>Great Curassow</v>
      </c>
      <c r="AB127" s="15" t="n">
        <v>6</v>
      </c>
      <c r="AC127" s="15" t="n">
        <v>5</v>
      </c>
      <c r="AD127" s="17" t="n">
        <f aca="false">IF(COUNTIFS(Clips!$F:$F,$B127,Clips!$M:$M,"&gt;0",Clips!$C:$C,"&lt;&gt;excluded")=0,"",AVERAGEIFS(Clips!$M:$M,Clips!$F:$F,$B127,Clips!$M:$M,"&gt;0",Clips!$C:$C,"&lt;&gt;excluded"))</f>
        <v>2.375</v>
      </c>
      <c r="AE127" s="15" t="n">
        <f aca="false">COUNTIFS(Clips!$F:$F,$B127,Clips!$O:$O,"&lt;&gt;",Clips!$B:$B,"&lt;&gt;site",Clips!$C:$C,"&lt;&gt;excluded")</f>
        <v>1</v>
      </c>
      <c r="AF127" s="15" t="n">
        <f aca="false">COUNTIFS(Clips!$F:$F,$B127,Clips!$I:$I,"&lt;5",Clips!$C:$C,"&lt;&gt;excluded")</f>
        <v>0</v>
      </c>
      <c r="AG127" s="5"/>
    </row>
    <row r="128" customFormat="false" ht="15" hidden="false" customHeight="false" outlineLevel="0" collapsed="false">
      <c r="A128" s="15" t="n">
        <v>111</v>
      </c>
      <c r="B128" s="15" t="s">
        <v>538</v>
      </c>
      <c r="C128" s="15" t="s">
        <v>539</v>
      </c>
      <c r="D128" s="15" t="s">
        <v>540</v>
      </c>
      <c r="E128" s="15" t="s">
        <v>147</v>
      </c>
      <c r="F128" s="15" t="s">
        <v>400</v>
      </c>
      <c r="G128" s="15" t="str">
        <f aca="false">IF(AND($E128="bird",$K128&gt;0),"yes","")</f>
        <v/>
      </c>
      <c r="H128" s="15"/>
      <c r="I128" s="15" t="str">
        <f aca="false">IF($E128="bird",IF(COUNTIF('eBird List'!$A:$A,$B128)&gt;0,"yes","no"),"")</f>
        <v>yes</v>
      </c>
      <c r="J128" s="16" t="n">
        <f aca="false">IF(COUNTIF('eBird List'!$A:$A,$B128)=0,"",INDEX('eBird List'!$C:$C,MATCH($B128,'eBird List'!$A:$A,0)))</f>
        <v>0.00369311412913986</v>
      </c>
      <c r="K128" s="15" t="n">
        <f aca="false">COUNTIFS(Clips!$B:$B,"site",Clips!$F:$F,$B128)+COUNTIFS(Clips!$B:$B,"site",Clips!$O:$O,"*"&amp;$B128&amp;"*")</f>
        <v>0</v>
      </c>
      <c r="L128" s="15" t="n">
        <f aca="false">COUNTIFS(Clips!$F:$F,$B128,Clips!$B:$B,"macaulay")</f>
        <v>6</v>
      </c>
      <c r="M128" s="15" t="n">
        <f aca="false">COUNTIFS(Clips!$F:$F,$B128,Clips!$B:$B,"xeno-canto")</f>
        <v>0</v>
      </c>
      <c r="N128" s="15" t="n">
        <f aca="false">K128+L128+M128</f>
        <v>6</v>
      </c>
      <c r="O128" s="15" t="n">
        <f aca="false">COUNTIFS(Clips!$F:$F,$B128,Clips!$C:$C,"excluded")</f>
        <v>0</v>
      </c>
      <c r="P128" s="15" t="n">
        <f aca="false">COUNTIFS(Clips!$F:$F,$B128,Clips!$C:$C,"train")</f>
        <v>5</v>
      </c>
      <c r="Q128" s="15" t="n">
        <f aca="false">COUNTIFS(Clips!$F:$F,$B128,Clips!$C:$C,"val")</f>
        <v>0</v>
      </c>
      <c r="R128" s="15" t="n">
        <f aca="false">COUNTIFS(Clips!$F:$F,$B128,Clips!$C:$C,"test")</f>
        <v>1</v>
      </c>
      <c r="S128" s="17" t="n">
        <f aca="false">SUMIFS(Clips!$I:$I,Clips!$F:$F,$B128,Clips!$C:$C,"train")/60</f>
        <v>2.26603333333333</v>
      </c>
      <c r="T128" s="17" t="n">
        <f aca="false">SUMIFS(Clips!$I:$I,Clips!$F:$F,$B128,Clips!$C:$C,"val")/60</f>
        <v>0</v>
      </c>
      <c r="U128" s="17" t="n">
        <f aca="false">SUMIFS(Clips!$I:$I,Clips!$F:$F,$B128,Clips!$C:$C,"test")/60</f>
        <v>0.229333333333333</v>
      </c>
      <c r="V128" s="15" t="n">
        <f aca="false">SUMIFS(Clips!$J:$J,Clips!$F:$F,$B128,Clips!$C:$C,"train")</f>
        <v>30</v>
      </c>
      <c r="W128" s="18" t="n">
        <f aca="false">IF(V128=0,"",Splits!$B$49/(Splits!$B$50*V128))</f>
        <v>5.19418238993711</v>
      </c>
      <c r="X128" s="15" t="str">
        <f aca="false">IF(P128&gt;0,IF(AND(Q128&gt;0,R128&gt;0),"train + val + test",IF(R128&gt;0,"train + test","train only")),IF(R128&gt;0,"test only (unknown class)",IF(K128&gt;0,"site extract only","no usable audio")))</f>
        <v>train + test</v>
      </c>
      <c r="Y128" s="15" t="str">
        <f aca="false">IF($P128=0,"",IF($E128="nonbird",$B128,IF($G128="yes",$B128,"other bird")))</f>
        <v>other bird</v>
      </c>
      <c r="Z128" s="15" t="str">
        <f aca="false">IF(AND($F128="core",$P128&gt;0),$B128,"")</f>
        <v/>
      </c>
      <c r="AA128" s="15" t="str">
        <f aca="false">IF($P128&gt;0,$B128,"")</f>
        <v>Keel-billed Motmot</v>
      </c>
      <c r="AB128" s="15" t="n">
        <v>6</v>
      </c>
      <c r="AC128" s="15" t="n">
        <v>3</v>
      </c>
      <c r="AD128" s="17" t="n">
        <f aca="false">IF(COUNTIFS(Clips!$F:$F,$B128,Clips!$M:$M,"&gt;0",Clips!$C:$C,"&lt;&gt;excluded")=0,"",AVERAGEIFS(Clips!$M:$M,Clips!$F:$F,$B128,Clips!$M:$M,"&gt;0",Clips!$C:$C,"&lt;&gt;excluded"))</f>
        <v>3.25</v>
      </c>
      <c r="AE128" s="15" t="n">
        <f aca="false">COUNTIFS(Clips!$F:$F,$B128,Clips!$O:$O,"&lt;&gt;",Clips!$B:$B,"&lt;&gt;site",Clips!$C:$C,"&lt;&gt;excluded")</f>
        <v>0</v>
      </c>
      <c r="AF128" s="15" t="n">
        <f aca="false">COUNTIFS(Clips!$F:$F,$B128,Clips!$I:$I,"&lt;5",Clips!$C:$C,"&lt;&gt;excluded")</f>
        <v>0</v>
      </c>
      <c r="AG128" s="5"/>
    </row>
    <row r="129" customFormat="false" ht="15" hidden="false" customHeight="false" outlineLevel="0" collapsed="false">
      <c r="A129" s="15" t="n">
        <v>143</v>
      </c>
      <c r="B129" s="15" t="s">
        <v>541</v>
      </c>
      <c r="C129" s="15" t="s">
        <v>542</v>
      </c>
      <c r="D129" s="15" t="s">
        <v>543</v>
      </c>
      <c r="E129" s="15" t="s">
        <v>147</v>
      </c>
      <c r="F129" s="15" t="s">
        <v>400</v>
      </c>
      <c r="G129" s="15" t="str">
        <f aca="false">IF(AND($E129="bird",$K129&gt;0),"yes","")</f>
        <v/>
      </c>
      <c r="H129" s="15"/>
      <c r="I129" s="15" t="str">
        <f aca="false">IF($E129="bird",IF(COUNTIF('eBird List'!$A:$A,$B129)&gt;0,"yes","no"),"")</f>
        <v>yes</v>
      </c>
      <c r="J129" s="16" t="n">
        <f aca="false">IF(COUNTIF('eBird List'!$A:$A,$B129)=0,"",INDEX('eBird List'!$C:$C,MATCH($B129,'eBird List'!$A:$A,0)))</f>
        <v>0.137181319990469</v>
      </c>
      <c r="K129" s="15" t="n">
        <f aca="false">COUNTIFS(Clips!$B:$B,"site",Clips!$F:$F,$B129)+COUNTIFS(Clips!$B:$B,"site",Clips!$O:$O,"*"&amp;$B129&amp;"*")</f>
        <v>0</v>
      </c>
      <c r="L129" s="15" t="n">
        <f aca="false">COUNTIFS(Clips!$F:$F,$B129,Clips!$B:$B,"macaulay")</f>
        <v>6</v>
      </c>
      <c r="M129" s="15" t="n">
        <f aca="false">COUNTIFS(Clips!$F:$F,$B129,Clips!$B:$B,"xeno-canto")</f>
        <v>0</v>
      </c>
      <c r="N129" s="15" t="n">
        <f aca="false">K129+L129+M129</f>
        <v>6</v>
      </c>
      <c r="O129" s="15" t="n">
        <f aca="false">COUNTIFS(Clips!$F:$F,$B129,Clips!$C:$C,"excluded")</f>
        <v>0</v>
      </c>
      <c r="P129" s="15" t="n">
        <f aca="false">COUNTIFS(Clips!$F:$F,$B129,Clips!$C:$C,"train")</f>
        <v>5</v>
      </c>
      <c r="Q129" s="15" t="n">
        <f aca="false">COUNTIFS(Clips!$F:$F,$B129,Clips!$C:$C,"val")</f>
        <v>0</v>
      </c>
      <c r="R129" s="15" t="n">
        <f aca="false">COUNTIFS(Clips!$F:$F,$B129,Clips!$C:$C,"test")</f>
        <v>1</v>
      </c>
      <c r="S129" s="17" t="n">
        <f aca="false">SUMIFS(Clips!$I:$I,Clips!$F:$F,$B129,Clips!$C:$C,"train")/60</f>
        <v>5.64551666666667</v>
      </c>
      <c r="T129" s="17" t="n">
        <f aca="false">SUMIFS(Clips!$I:$I,Clips!$F:$F,$B129,Clips!$C:$C,"val")/60</f>
        <v>0</v>
      </c>
      <c r="U129" s="17" t="n">
        <f aca="false">SUMIFS(Clips!$I:$I,Clips!$F:$F,$B129,Clips!$C:$C,"test")/60</f>
        <v>2.73453333333333</v>
      </c>
      <c r="V129" s="15" t="n">
        <f aca="false">SUMIFS(Clips!$J:$J,Clips!$F:$F,$B129,Clips!$C:$C,"train")</f>
        <v>70</v>
      </c>
      <c r="W129" s="18" t="n">
        <f aca="false">IF(V129=0,"",Splits!$B$49/(Splits!$B$50*V129))</f>
        <v>2.2260781671159</v>
      </c>
      <c r="X129" s="15" t="str">
        <f aca="false">IF(P129&gt;0,IF(AND(Q129&gt;0,R129&gt;0),"train + val + test",IF(R129&gt;0,"train + test","train only")),IF(R129&gt;0,"test only (unknown class)",IF(K129&gt;0,"site extract only","no usable audio")))</f>
        <v>train + test</v>
      </c>
      <c r="Y129" s="15" t="str">
        <f aca="false">IF($P129=0,"",IF($E129="nonbird",$B129,IF($G129="yes",$B129,"other bird")))</f>
        <v>other bird</v>
      </c>
      <c r="Z129" s="15" t="str">
        <f aca="false">IF(AND($F129="core",$P129&gt;0),$B129,"")</f>
        <v/>
      </c>
      <c r="AA129" s="15" t="str">
        <f aca="false">IF($P129&gt;0,$B129,"")</f>
        <v>Olive-throated Parakeet</v>
      </c>
      <c r="AB129" s="15" t="n">
        <v>5</v>
      </c>
      <c r="AC129" s="15" t="n">
        <v>2</v>
      </c>
      <c r="AD129" s="17" t="n">
        <f aca="false">IF(COUNTIFS(Clips!$F:$F,$B129,Clips!$M:$M,"&gt;0",Clips!$C:$C,"&lt;&gt;excluded")=0,"",AVERAGEIFS(Clips!$M:$M,Clips!$F:$F,$B129,Clips!$M:$M,"&gt;0",Clips!$C:$C,"&lt;&gt;excluded"))</f>
        <v>2.945</v>
      </c>
      <c r="AE129" s="15" t="n">
        <f aca="false">COUNTIFS(Clips!$F:$F,$B129,Clips!$O:$O,"&lt;&gt;",Clips!$B:$B,"&lt;&gt;site",Clips!$C:$C,"&lt;&gt;excluded")</f>
        <v>0</v>
      </c>
      <c r="AF129" s="15" t="n">
        <f aca="false">COUNTIFS(Clips!$F:$F,$B129,Clips!$I:$I,"&lt;5",Clips!$C:$C,"&lt;&gt;excluded")</f>
        <v>0</v>
      </c>
      <c r="AG129" s="5"/>
    </row>
    <row r="130" customFormat="false" ht="15" hidden="false" customHeight="false" outlineLevel="0" collapsed="false">
      <c r="A130" s="15" t="n">
        <v>213</v>
      </c>
      <c r="B130" s="15" t="s">
        <v>544</v>
      </c>
      <c r="C130" s="15" t="s">
        <v>545</v>
      </c>
      <c r="D130" s="15" t="s">
        <v>546</v>
      </c>
      <c r="E130" s="15" t="s">
        <v>147</v>
      </c>
      <c r="F130" s="15" t="s">
        <v>400</v>
      </c>
      <c r="G130" s="15" t="str">
        <f aca="false">IF(AND($E130="bird",$K130&gt;0),"yes","")</f>
        <v/>
      </c>
      <c r="H130" s="15"/>
      <c r="I130" s="15" t="str">
        <f aca="false">IF($E130="bird",IF(COUNTIF('eBird List'!$A:$A,$B130)&gt;0,"yes","no"),"")</f>
        <v>yes</v>
      </c>
      <c r="J130" s="16" t="n">
        <f aca="false">IF(COUNTIF('eBird List'!$A:$A,$B130)=0,"",INDEX('eBird List'!$C:$C,MATCH($B130,'eBird List'!$A:$A,0)))</f>
        <v>0.331456993090303</v>
      </c>
      <c r="K130" s="15" t="n">
        <f aca="false">COUNTIFS(Clips!$B:$B,"site",Clips!$F:$F,$B130)+COUNTIFS(Clips!$B:$B,"site",Clips!$O:$O,"*"&amp;$B130&amp;"*")</f>
        <v>0</v>
      </c>
      <c r="L130" s="15" t="n">
        <f aca="false">COUNTIFS(Clips!$F:$F,$B130,Clips!$B:$B,"macaulay")</f>
        <v>5</v>
      </c>
      <c r="M130" s="15" t="n">
        <f aca="false">COUNTIFS(Clips!$F:$F,$B130,Clips!$B:$B,"xeno-canto")</f>
        <v>1</v>
      </c>
      <c r="N130" s="15" t="n">
        <f aca="false">K130+L130+M130</f>
        <v>6</v>
      </c>
      <c r="O130" s="15" t="n">
        <f aca="false">COUNTIFS(Clips!$F:$F,$B130,Clips!$C:$C,"excluded")</f>
        <v>0</v>
      </c>
      <c r="P130" s="15" t="n">
        <f aca="false">COUNTIFS(Clips!$F:$F,$B130,Clips!$C:$C,"train")</f>
        <v>5</v>
      </c>
      <c r="Q130" s="15" t="n">
        <f aca="false">COUNTIFS(Clips!$F:$F,$B130,Clips!$C:$C,"val")</f>
        <v>0</v>
      </c>
      <c r="R130" s="15" t="n">
        <f aca="false">COUNTIFS(Clips!$F:$F,$B130,Clips!$C:$C,"test")</f>
        <v>1</v>
      </c>
      <c r="S130" s="17" t="n">
        <f aca="false">SUMIFS(Clips!$I:$I,Clips!$F:$F,$B130,Clips!$C:$C,"train")/60</f>
        <v>4.47133333333333</v>
      </c>
      <c r="T130" s="17" t="n">
        <f aca="false">SUMIFS(Clips!$I:$I,Clips!$F:$F,$B130,Clips!$C:$C,"val")/60</f>
        <v>0</v>
      </c>
      <c r="U130" s="17" t="n">
        <f aca="false">SUMIFS(Clips!$I:$I,Clips!$F:$F,$B130,Clips!$C:$C,"test")/60</f>
        <v>0.335566666666667</v>
      </c>
      <c r="V130" s="15" t="n">
        <f aca="false">SUMIFS(Clips!$J:$J,Clips!$F:$F,$B130,Clips!$C:$C,"train")</f>
        <v>56</v>
      </c>
      <c r="W130" s="18" t="n">
        <f aca="false">IF(V130=0,"",Splits!$B$49/(Splits!$B$50*V130))</f>
        <v>2.78259770889488</v>
      </c>
      <c r="X130" s="15" t="str">
        <f aca="false">IF(P130&gt;0,IF(AND(Q130&gt;0,R130&gt;0),"train + val + test",IF(R130&gt;0,"train + test","train only")),IF(R130&gt;0,"test only (unknown class)",IF(K130&gt;0,"site extract only","no usable audio")))</f>
        <v>train + test</v>
      </c>
      <c r="Y130" s="15" t="str">
        <f aca="false">IF($P130=0,"",IF($E130="nonbird",$B130,IF($G130="yes",$B130,"other bird")))</f>
        <v>other bird</v>
      </c>
      <c r="Z130" s="15" t="str">
        <f aca="false">IF(AND($F130="core",$P130&gt;0),$B130,"")</f>
        <v/>
      </c>
      <c r="AA130" s="15" t="str">
        <f aca="false">IF($P130&gt;0,$B130,"")</f>
        <v>Variable Seedeater</v>
      </c>
      <c r="AB130" s="15" t="n">
        <v>6</v>
      </c>
      <c r="AC130" s="15" t="n">
        <v>5</v>
      </c>
      <c r="AD130" s="17" t="n">
        <f aca="false">IF(COUNTIFS(Clips!$F:$F,$B130,Clips!$M:$M,"&gt;0",Clips!$C:$C,"&lt;&gt;excluded")=0,"",AVERAGEIFS(Clips!$M:$M,Clips!$F:$F,$B130,Clips!$M:$M,"&gt;0",Clips!$C:$C,"&lt;&gt;excluded"))</f>
        <v>2.934</v>
      </c>
      <c r="AE130" s="15" t="n">
        <f aca="false">COUNTIFS(Clips!$F:$F,$B130,Clips!$O:$O,"&lt;&gt;",Clips!$B:$B,"&lt;&gt;site",Clips!$C:$C,"&lt;&gt;excluded")</f>
        <v>0</v>
      </c>
      <c r="AF130" s="15" t="n">
        <f aca="false">COUNTIFS(Clips!$F:$F,$B130,Clips!$I:$I,"&lt;5",Clips!$C:$C,"&lt;&gt;excluded")</f>
        <v>0</v>
      </c>
      <c r="AG130" s="5"/>
    </row>
    <row r="131" customFormat="false" ht="15" hidden="false" customHeight="false" outlineLevel="0" collapsed="false">
      <c r="A131" s="15" t="n">
        <v>7</v>
      </c>
      <c r="B131" s="15" t="s">
        <v>547</v>
      </c>
      <c r="C131" s="15" t="s">
        <v>548</v>
      </c>
      <c r="D131" s="15" t="s">
        <v>549</v>
      </c>
      <c r="E131" s="15" t="s">
        <v>147</v>
      </c>
      <c r="F131" s="15" t="s">
        <v>400</v>
      </c>
      <c r="G131" s="15" t="str">
        <f aca="false">IF(AND($E131="bird",$K131&gt;0),"yes","")</f>
        <v/>
      </c>
      <c r="H131" s="15"/>
      <c r="I131" s="15" t="str">
        <f aca="false">IF($E131="bird",IF(COUNTIF('eBird List'!$A:$A,$B131)&gt;0,"yes","no"),"")</f>
        <v>yes</v>
      </c>
      <c r="J131" s="16" t="n">
        <f aca="false">IF(COUNTIF('eBird List'!$A:$A,$B131)=0,"",INDEX('eBird List'!$C:$C,MATCH($B131,'eBird List'!$A:$A,0)))</f>
        <v>0.033357159876102</v>
      </c>
      <c r="K131" s="15" t="n">
        <f aca="false">COUNTIFS(Clips!$B:$B,"site",Clips!$F:$F,$B131)+COUNTIFS(Clips!$B:$B,"site",Clips!$O:$O,"*"&amp;$B131&amp;"*")</f>
        <v>0</v>
      </c>
      <c r="L131" s="15" t="n">
        <f aca="false">COUNTIFS(Clips!$F:$F,$B131,Clips!$B:$B,"macaulay")</f>
        <v>5</v>
      </c>
      <c r="M131" s="15" t="n">
        <f aca="false">COUNTIFS(Clips!$F:$F,$B131,Clips!$B:$B,"xeno-canto")</f>
        <v>0</v>
      </c>
      <c r="N131" s="15" t="n">
        <f aca="false">K131+L131+M131</f>
        <v>5</v>
      </c>
      <c r="O131" s="15" t="n">
        <f aca="false">COUNTIFS(Clips!$F:$F,$B131,Clips!$C:$C,"excluded")</f>
        <v>0</v>
      </c>
      <c r="P131" s="15" t="n">
        <f aca="false">COUNTIFS(Clips!$F:$F,$B131,Clips!$C:$C,"train")</f>
        <v>4</v>
      </c>
      <c r="Q131" s="15" t="n">
        <f aca="false">COUNTIFS(Clips!$F:$F,$B131,Clips!$C:$C,"val")</f>
        <v>0</v>
      </c>
      <c r="R131" s="15" t="n">
        <f aca="false">COUNTIFS(Clips!$F:$F,$B131,Clips!$C:$C,"test")</f>
        <v>1</v>
      </c>
      <c r="S131" s="17" t="n">
        <f aca="false">SUMIFS(Clips!$I:$I,Clips!$F:$F,$B131,Clips!$C:$C,"train")/60</f>
        <v>3.25031666666667</v>
      </c>
      <c r="T131" s="17" t="n">
        <f aca="false">SUMIFS(Clips!$I:$I,Clips!$F:$F,$B131,Clips!$C:$C,"val")/60</f>
        <v>0</v>
      </c>
      <c r="U131" s="17" t="n">
        <f aca="false">SUMIFS(Clips!$I:$I,Clips!$F:$F,$B131,Clips!$C:$C,"test")/60</f>
        <v>0.452533333333333</v>
      </c>
      <c r="V131" s="15" t="n">
        <f aca="false">SUMIFS(Clips!$J:$J,Clips!$F:$F,$B131,Clips!$C:$C,"train")</f>
        <v>41</v>
      </c>
      <c r="W131" s="18" t="n">
        <f aca="false">IF(V131=0,"",Splits!$B$49/(Splits!$B$50*V131))</f>
        <v>3.80062126092959</v>
      </c>
      <c r="X131" s="15" t="str">
        <f aca="false">IF(P131&gt;0,IF(AND(Q131&gt;0,R131&gt;0),"train + val + test",IF(R131&gt;0,"train + test","train only")),IF(R131&gt;0,"test only (unknown class)",IF(K131&gt;0,"site extract only","no usable audio")))</f>
        <v>train + test</v>
      </c>
      <c r="Y131" s="15" t="str">
        <f aca="false">IF($P131=0,"",IF($E131="nonbird",$B131,IF($G131="yes",$B131,"other bird")))</f>
        <v>other bird</v>
      </c>
      <c r="Z131" s="15" t="str">
        <f aca="false">IF(AND($F131="core",$P131&gt;0),$B131,"")</f>
        <v/>
      </c>
      <c r="AA131" s="15" t="str">
        <f aca="false">IF($P131&gt;0,$B131,"")</f>
        <v>Barred Antshrike</v>
      </c>
      <c r="AB131" s="15" t="n">
        <v>4</v>
      </c>
      <c r="AC131" s="15" t="n">
        <v>4</v>
      </c>
      <c r="AD131" s="17" t="n">
        <f aca="false">IF(COUNTIFS(Clips!$F:$F,$B131,Clips!$M:$M,"&gt;0",Clips!$C:$C,"&lt;&gt;excluded")=0,"",AVERAGEIFS(Clips!$M:$M,Clips!$F:$F,$B131,Clips!$M:$M,"&gt;0",Clips!$C:$C,"&lt;&gt;excluded"))</f>
        <v>3.25</v>
      </c>
      <c r="AE131" s="15" t="n">
        <f aca="false">COUNTIFS(Clips!$F:$F,$B131,Clips!$O:$O,"&lt;&gt;",Clips!$B:$B,"&lt;&gt;site",Clips!$C:$C,"&lt;&gt;excluded")</f>
        <v>1</v>
      </c>
      <c r="AF131" s="15" t="n">
        <f aca="false">COUNTIFS(Clips!$F:$F,$B131,Clips!$I:$I,"&lt;5",Clips!$C:$C,"&lt;&gt;excluded")</f>
        <v>0</v>
      </c>
      <c r="AG131" s="5"/>
    </row>
    <row r="132" customFormat="false" ht="15" hidden="false" customHeight="false" outlineLevel="0" collapsed="false">
      <c r="A132" s="15" t="n">
        <v>26</v>
      </c>
      <c r="B132" s="15" t="s">
        <v>550</v>
      </c>
      <c r="C132" s="15" t="s">
        <v>551</v>
      </c>
      <c r="D132" s="15" t="s">
        <v>552</v>
      </c>
      <c r="E132" s="15" t="s">
        <v>147</v>
      </c>
      <c r="F132" s="15" t="s">
        <v>400</v>
      </c>
      <c r="G132" s="15" t="str">
        <f aca="false">IF(AND($E132="bird",$K132&gt;0),"yes","")</f>
        <v/>
      </c>
      <c r="H132" s="15"/>
      <c r="I132" s="15" t="str">
        <f aca="false">IF($E132="bird",IF(COUNTIF('eBird List'!$A:$A,$B132)&gt;0,"yes","no"),"")</f>
        <v>yes</v>
      </c>
      <c r="J132" s="16" t="n">
        <f aca="false">IF(COUNTIF('eBird List'!$A:$A,$B132)=0,"",INDEX('eBird List'!$C:$C,MATCH($B132,'eBird List'!$A:$A,0)))</f>
        <v>0.0732964021920419</v>
      </c>
      <c r="K132" s="15" t="n">
        <f aca="false">COUNTIFS(Clips!$B:$B,"site",Clips!$F:$F,$B132)+COUNTIFS(Clips!$B:$B,"site",Clips!$O:$O,"*"&amp;$B132&amp;"*")</f>
        <v>0</v>
      </c>
      <c r="L132" s="15" t="n">
        <f aca="false">COUNTIFS(Clips!$F:$F,$B132,Clips!$B:$B,"macaulay")</f>
        <v>5</v>
      </c>
      <c r="M132" s="15" t="n">
        <f aca="false">COUNTIFS(Clips!$F:$F,$B132,Clips!$B:$B,"xeno-canto")</f>
        <v>0</v>
      </c>
      <c r="N132" s="15" t="n">
        <f aca="false">K132+L132+M132</f>
        <v>5</v>
      </c>
      <c r="O132" s="15" t="n">
        <f aca="false">COUNTIFS(Clips!$F:$F,$B132,Clips!$C:$C,"excluded")</f>
        <v>0</v>
      </c>
      <c r="P132" s="15" t="n">
        <f aca="false">COUNTIFS(Clips!$F:$F,$B132,Clips!$C:$C,"train")</f>
        <v>4</v>
      </c>
      <c r="Q132" s="15" t="n">
        <f aca="false">COUNTIFS(Clips!$F:$F,$B132,Clips!$C:$C,"val")</f>
        <v>0</v>
      </c>
      <c r="R132" s="15" t="n">
        <f aca="false">COUNTIFS(Clips!$F:$F,$B132,Clips!$C:$C,"test")</f>
        <v>1</v>
      </c>
      <c r="S132" s="17" t="n">
        <f aca="false">SUMIFS(Clips!$I:$I,Clips!$F:$F,$B132,Clips!$C:$C,"train")/60</f>
        <v>6.0614</v>
      </c>
      <c r="T132" s="17" t="n">
        <f aca="false">SUMIFS(Clips!$I:$I,Clips!$F:$F,$B132,Clips!$C:$C,"val")/60</f>
        <v>0</v>
      </c>
      <c r="U132" s="17" t="n">
        <f aca="false">SUMIFS(Clips!$I:$I,Clips!$F:$F,$B132,Clips!$C:$C,"test")/60</f>
        <v>0.0938666666666667</v>
      </c>
      <c r="V132" s="15" t="n">
        <f aca="false">SUMIFS(Clips!$J:$J,Clips!$F:$F,$B132,Clips!$C:$C,"train")</f>
        <v>75</v>
      </c>
      <c r="W132" s="18" t="n">
        <f aca="false">IF(V132=0,"",Splits!$B$49/(Splits!$B$50*V132))</f>
        <v>2.07767295597484</v>
      </c>
      <c r="X132" s="15" t="str">
        <f aca="false">IF(P132&gt;0,IF(AND(Q132&gt;0,R132&gt;0),"train + val + test",IF(R132&gt;0,"train + test","train only")),IF(R132&gt;0,"test only (unknown class)",IF(K132&gt;0,"site extract only","no usable audio")))</f>
        <v>train + test</v>
      </c>
      <c r="Y132" s="15" t="str">
        <f aca="false">IF($P132=0,"",IF($E132="nonbird",$B132,IF($G132="yes",$B132,"other bird")))</f>
        <v>other bird</v>
      </c>
      <c r="Z132" s="15" t="str">
        <f aca="false">IF(AND($F132="core",$P132&gt;0),$B132,"")</f>
        <v/>
      </c>
      <c r="AA132" s="15" t="str">
        <f aca="false">IF($P132&gt;0,$B132,"")</f>
        <v>Black-headed Tody-Flycatcher</v>
      </c>
      <c r="AB132" s="15" t="n">
        <v>5</v>
      </c>
      <c r="AC132" s="15" t="n">
        <v>5</v>
      </c>
      <c r="AD132" s="17" t="n">
        <f aca="false">IF(COUNTIFS(Clips!$F:$F,$B132,Clips!$M:$M,"&gt;0",Clips!$C:$C,"&lt;&gt;excluded")=0,"",AVERAGEIFS(Clips!$M:$M,Clips!$F:$F,$B132,Clips!$M:$M,"&gt;0",Clips!$C:$C,"&lt;&gt;excluded"))</f>
        <v>3.434</v>
      </c>
      <c r="AE132" s="15" t="n">
        <f aca="false">COUNTIFS(Clips!$F:$F,$B132,Clips!$O:$O,"&lt;&gt;",Clips!$B:$B,"&lt;&gt;site",Clips!$C:$C,"&lt;&gt;excluded")</f>
        <v>0</v>
      </c>
      <c r="AF132" s="15" t="n">
        <f aca="false">COUNTIFS(Clips!$F:$F,$B132,Clips!$I:$I,"&lt;5",Clips!$C:$C,"&lt;&gt;excluded")</f>
        <v>0</v>
      </c>
      <c r="AG132" s="5"/>
    </row>
    <row r="133" customFormat="false" ht="15" hidden="false" customHeight="false" outlineLevel="0" collapsed="false">
      <c r="A133" s="15" t="n">
        <v>35</v>
      </c>
      <c r="B133" s="15" t="s">
        <v>553</v>
      </c>
      <c r="C133" s="15" t="s">
        <v>554</v>
      </c>
      <c r="D133" s="15" t="s">
        <v>555</v>
      </c>
      <c r="E133" s="15" t="s">
        <v>147</v>
      </c>
      <c r="F133" s="15" t="s">
        <v>400</v>
      </c>
      <c r="G133" s="15" t="str">
        <f aca="false">IF(AND($E133="bird",$K133&gt;0),"yes","")</f>
        <v/>
      </c>
      <c r="H133" s="15"/>
      <c r="I133" s="15" t="str">
        <f aca="false">IF($E133="bird",IF(COUNTIF('eBird List'!$A:$A,$B133)&gt;0,"yes","no"),"")</f>
        <v>yes</v>
      </c>
      <c r="J133" s="16" t="n">
        <f aca="false">IF(COUNTIF('eBird List'!$A:$A,$B133)=0,"",INDEX('eBird List'!$C:$C,MATCH($B133,'eBird List'!$A:$A,0)))</f>
        <v>0.386615439599714</v>
      </c>
      <c r="K133" s="15" t="n">
        <f aca="false">COUNTIFS(Clips!$B:$B,"site",Clips!$F:$F,$B133)+COUNTIFS(Clips!$B:$B,"site",Clips!$O:$O,"*"&amp;$B133&amp;"*")</f>
        <v>0</v>
      </c>
      <c r="L133" s="15" t="n">
        <f aca="false">COUNTIFS(Clips!$F:$F,$B133,Clips!$B:$B,"macaulay")</f>
        <v>4</v>
      </c>
      <c r="M133" s="15" t="n">
        <f aca="false">COUNTIFS(Clips!$F:$F,$B133,Clips!$B:$B,"xeno-canto")</f>
        <v>1</v>
      </c>
      <c r="N133" s="15" t="n">
        <f aca="false">K133+L133+M133</f>
        <v>5</v>
      </c>
      <c r="O133" s="15" t="n">
        <f aca="false">COUNTIFS(Clips!$F:$F,$B133,Clips!$C:$C,"excluded")</f>
        <v>0</v>
      </c>
      <c r="P133" s="15" t="n">
        <f aca="false">COUNTIFS(Clips!$F:$F,$B133,Clips!$C:$C,"train")</f>
        <v>4</v>
      </c>
      <c r="Q133" s="15" t="n">
        <f aca="false">COUNTIFS(Clips!$F:$F,$B133,Clips!$C:$C,"val")</f>
        <v>0</v>
      </c>
      <c r="R133" s="15" t="n">
        <f aca="false">COUNTIFS(Clips!$F:$F,$B133,Clips!$C:$C,"test")</f>
        <v>1</v>
      </c>
      <c r="S133" s="17" t="n">
        <f aca="false">SUMIFS(Clips!$I:$I,Clips!$F:$F,$B133,Clips!$C:$C,"train")/60</f>
        <v>2.21141666666667</v>
      </c>
      <c r="T133" s="17" t="n">
        <f aca="false">SUMIFS(Clips!$I:$I,Clips!$F:$F,$B133,Clips!$C:$C,"val")/60</f>
        <v>0</v>
      </c>
      <c r="U133" s="17" t="n">
        <f aca="false">SUMIFS(Clips!$I:$I,Clips!$F:$F,$B133,Clips!$C:$C,"test")/60</f>
        <v>0.248</v>
      </c>
      <c r="V133" s="15" t="n">
        <f aca="false">SUMIFS(Clips!$J:$J,Clips!$F:$F,$B133,Clips!$C:$C,"train")</f>
        <v>29</v>
      </c>
      <c r="W133" s="18" t="n">
        <f aca="false">IF(V133=0,"",Splits!$B$49/(Splits!$B$50*V133))</f>
        <v>5.37329212752115</v>
      </c>
      <c r="X133" s="15" t="str">
        <f aca="false">IF(P133&gt;0,IF(AND(Q133&gt;0,R133&gt;0),"train + val + test",IF(R133&gt;0,"train + test","train only")),IF(R133&gt;0,"test only (unknown class)",IF(K133&gt;0,"site extract only","no usable audio")))</f>
        <v>train + test</v>
      </c>
      <c r="Y133" s="15" t="str">
        <f aca="false">IF($P133=0,"",IF($E133="nonbird",$B133,IF($G133="yes",$B133,"other bird")))</f>
        <v>other bird</v>
      </c>
      <c r="Z133" s="15" t="str">
        <f aca="false">IF(AND($F133="core",$P133&gt;0),$B133,"")</f>
        <v/>
      </c>
      <c r="AA133" s="15" t="str">
        <f aca="false">IF($P133&gt;0,$B133,"")</f>
        <v>Blue-gray Tanager</v>
      </c>
      <c r="AB133" s="15" t="n">
        <v>5</v>
      </c>
      <c r="AC133" s="15" t="n">
        <v>5</v>
      </c>
      <c r="AD133" s="17" t="n">
        <f aca="false">IF(COUNTIFS(Clips!$F:$F,$B133,Clips!$M:$M,"&gt;0",Clips!$C:$C,"&lt;&gt;excluded")=0,"",AVERAGEIFS(Clips!$M:$M,Clips!$F:$F,$B133,Clips!$M:$M,"&gt;0",Clips!$C:$C,"&lt;&gt;excluded"))</f>
        <v>2.9575</v>
      </c>
      <c r="AE133" s="15" t="n">
        <f aca="false">COUNTIFS(Clips!$F:$F,$B133,Clips!$O:$O,"&lt;&gt;",Clips!$B:$B,"&lt;&gt;site",Clips!$C:$C,"&lt;&gt;excluded")</f>
        <v>1</v>
      </c>
      <c r="AF133" s="15" t="n">
        <f aca="false">COUNTIFS(Clips!$F:$F,$B133,Clips!$I:$I,"&lt;5",Clips!$C:$C,"&lt;&gt;excluded")</f>
        <v>0</v>
      </c>
      <c r="AG133" s="5"/>
    </row>
    <row r="134" customFormat="false" ht="15" hidden="false" customHeight="false" outlineLevel="0" collapsed="false">
      <c r="A134" s="15" t="n">
        <v>65</v>
      </c>
      <c r="B134" s="15" t="s">
        <v>556</v>
      </c>
      <c r="C134" s="15" t="s">
        <v>557</v>
      </c>
      <c r="D134" s="15" t="s">
        <v>558</v>
      </c>
      <c r="E134" s="15" t="s">
        <v>147</v>
      </c>
      <c r="F134" s="15" t="s">
        <v>400</v>
      </c>
      <c r="G134" s="15" t="str">
        <f aca="false">IF(AND($E134="bird",$K134&gt;0),"yes","")</f>
        <v/>
      </c>
      <c r="H134" s="15"/>
      <c r="I134" s="15" t="str">
        <f aca="false">IF($E134="bird",IF(COUNTIF('eBird List'!$A:$A,$B134)&gt;0,"yes","no"),"")</f>
        <v>yes</v>
      </c>
      <c r="J134" s="16" t="n">
        <f aca="false">IF(COUNTIF('eBird List'!$A:$A,$B134)=0,"",INDEX('eBird List'!$C:$C,MATCH($B134,'eBird List'!$A:$A,0)))</f>
        <v>0.290117941386705</v>
      </c>
      <c r="K134" s="15" t="n">
        <f aca="false">COUNTIFS(Clips!$B:$B,"site",Clips!$F:$F,$B134)+COUNTIFS(Clips!$B:$B,"site",Clips!$O:$O,"*"&amp;$B134&amp;"*")</f>
        <v>0</v>
      </c>
      <c r="L134" s="15" t="n">
        <f aca="false">COUNTIFS(Clips!$F:$F,$B134,Clips!$B:$B,"macaulay")</f>
        <v>5</v>
      </c>
      <c r="M134" s="15" t="n">
        <f aca="false">COUNTIFS(Clips!$F:$F,$B134,Clips!$B:$B,"xeno-canto")</f>
        <v>0</v>
      </c>
      <c r="N134" s="15" t="n">
        <f aca="false">K134+L134+M134</f>
        <v>5</v>
      </c>
      <c r="O134" s="15" t="n">
        <f aca="false">COUNTIFS(Clips!$F:$F,$B134,Clips!$C:$C,"excluded")</f>
        <v>0</v>
      </c>
      <c r="P134" s="15" t="n">
        <f aca="false">COUNTIFS(Clips!$F:$F,$B134,Clips!$C:$C,"train")</f>
        <v>4</v>
      </c>
      <c r="Q134" s="15" t="n">
        <f aca="false">COUNTIFS(Clips!$F:$F,$B134,Clips!$C:$C,"val")</f>
        <v>0</v>
      </c>
      <c r="R134" s="15" t="n">
        <f aca="false">COUNTIFS(Clips!$F:$F,$B134,Clips!$C:$C,"test")</f>
        <v>1</v>
      </c>
      <c r="S134" s="17" t="n">
        <f aca="false">SUMIFS(Clips!$I:$I,Clips!$F:$F,$B134,Clips!$C:$C,"train")/60</f>
        <v>1.40415</v>
      </c>
      <c r="T134" s="17" t="n">
        <f aca="false">SUMIFS(Clips!$I:$I,Clips!$F:$F,$B134,Clips!$C:$C,"val")/60</f>
        <v>0</v>
      </c>
      <c r="U134" s="17" t="n">
        <f aca="false">SUMIFS(Clips!$I:$I,Clips!$F:$F,$B134,Clips!$C:$C,"test")/60</f>
        <v>0.0779333333333333</v>
      </c>
      <c r="V134" s="15" t="n">
        <f aca="false">SUMIFS(Clips!$J:$J,Clips!$F:$F,$B134,Clips!$C:$C,"train")</f>
        <v>18</v>
      </c>
      <c r="W134" s="18" t="n">
        <f aca="false">IF(V134=0,"",Splits!$B$49/(Splits!$B$50*V134))</f>
        <v>8.65697064989518</v>
      </c>
      <c r="X134" s="15" t="str">
        <f aca="false">IF(P134&gt;0,IF(AND(Q134&gt;0,R134&gt;0),"train + val + test",IF(R134&gt;0,"train + test","train only")),IF(R134&gt;0,"test only (unknown class)",IF(K134&gt;0,"site extract only","no usable audio")))</f>
        <v>train + test</v>
      </c>
      <c r="Y134" s="15" t="str">
        <f aca="false">IF($P134=0,"",IF($E134="nonbird",$B134,IF($G134="yes",$B134,"other bird")))</f>
        <v>other bird</v>
      </c>
      <c r="Z134" s="15" t="str">
        <f aca="false">IF(AND($F134="core",$P134&gt;0),$B134,"")</f>
        <v/>
      </c>
      <c r="AA134" s="15" t="str">
        <f aca="false">IF($P134&gt;0,$B134,"")</f>
        <v>Common Squirrel-Cuckoo</v>
      </c>
      <c r="AB134" s="15" t="n">
        <v>5</v>
      </c>
      <c r="AC134" s="15" t="n">
        <v>5</v>
      </c>
      <c r="AD134" s="17" t="n">
        <f aca="false">IF(COUNTIFS(Clips!$F:$F,$B134,Clips!$M:$M,"&gt;0",Clips!$C:$C,"&lt;&gt;excluded")=0,"",AVERAGEIFS(Clips!$M:$M,Clips!$F:$F,$B134,Clips!$M:$M,"&gt;0",Clips!$C:$C,"&lt;&gt;excluded"))</f>
        <v>2.5</v>
      </c>
      <c r="AE134" s="15" t="n">
        <f aca="false">COUNTIFS(Clips!$F:$F,$B134,Clips!$O:$O,"&lt;&gt;",Clips!$B:$B,"&lt;&gt;site",Clips!$C:$C,"&lt;&gt;excluded")</f>
        <v>0</v>
      </c>
      <c r="AF134" s="15" t="n">
        <f aca="false">COUNTIFS(Clips!$F:$F,$B134,Clips!$I:$I,"&lt;5",Clips!$C:$C,"&lt;&gt;excluded")</f>
        <v>3</v>
      </c>
      <c r="AG134" s="5"/>
    </row>
    <row r="135" customFormat="false" ht="15" hidden="false" customHeight="false" outlineLevel="0" collapsed="false">
      <c r="A135" s="15" t="n">
        <v>73</v>
      </c>
      <c r="B135" s="15" t="s">
        <v>559</v>
      </c>
      <c r="C135" s="15" t="s">
        <v>560</v>
      </c>
      <c r="D135" s="15" t="s">
        <v>561</v>
      </c>
      <c r="E135" s="15" t="s">
        <v>147</v>
      </c>
      <c r="F135" s="15" t="s">
        <v>400</v>
      </c>
      <c r="G135" s="15" t="str">
        <f aca="false">IF(AND($E135="bird",$K135&gt;0),"yes","")</f>
        <v/>
      </c>
      <c r="H135" s="15"/>
      <c r="I135" s="15" t="str">
        <f aca="false">IF($E135="bird",IF(COUNTIF('eBird List'!$A:$A,$B135)&gt;0,"yes","no"),"")</f>
        <v>yes</v>
      </c>
      <c r="J135" s="16" t="n">
        <f aca="false">IF(COUNTIF('eBird List'!$A:$A,$B135)=0,"",INDEX('eBird List'!$C:$C,MATCH($B135,'eBird List'!$A:$A,0)))</f>
        <v>0.059208958780081</v>
      </c>
      <c r="K135" s="15" t="n">
        <f aca="false">COUNTIFS(Clips!$B:$B,"site",Clips!$F:$F,$B135)+COUNTIFS(Clips!$B:$B,"site",Clips!$O:$O,"*"&amp;$B135&amp;"*")</f>
        <v>0</v>
      </c>
      <c r="L135" s="15" t="n">
        <f aca="false">COUNTIFS(Clips!$F:$F,$B135,Clips!$B:$B,"macaulay")</f>
        <v>5</v>
      </c>
      <c r="M135" s="15" t="n">
        <f aca="false">COUNTIFS(Clips!$F:$F,$B135,Clips!$B:$B,"xeno-canto")</f>
        <v>0</v>
      </c>
      <c r="N135" s="15" t="n">
        <f aca="false">K135+L135+M135</f>
        <v>5</v>
      </c>
      <c r="O135" s="15" t="n">
        <f aca="false">COUNTIFS(Clips!$F:$F,$B135,Clips!$C:$C,"excluded")</f>
        <v>0</v>
      </c>
      <c r="P135" s="15" t="n">
        <f aca="false">COUNTIFS(Clips!$F:$F,$B135,Clips!$C:$C,"train")</f>
        <v>4</v>
      </c>
      <c r="Q135" s="15" t="n">
        <f aca="false">COUNTIFS(Clips!$F:$F,$B135,Clips!$C:$C,"val")</f>
        <v>0</v>
      </c>
      <c r="R135" s="15" t="n">
        <f aca="false">COUNTIFS(Clips!$F:$F,$B135,Clips!$C:$C,"test")</f>
        <v>1</v>
      </c>
      <c r="S135" s="17" t="n">
        <f aca="false">SUMIFS(Clips!$I:$I,Clips!$F:$F,$B135,Clips!$C:$C,"train")/60</f>
        <v>2.07866666666667</v>
      </c>
      <c r="T135" s="17" t="n">
        <f aca="false">SUMIFS(Clips!$I:$I,Clips!$F:$F,$B135,Clips!$C:$C,"val")/60</f>
        <v>0</v>
      </c>
      <c r="U135" s="17" t="n">
        <f aca="false">SUMIFS(Clips!$I:$I,Clips!$F:$F,$B135,Clips!$C:$C,"test")/60</f>
        <v>1.74775</v>
      </c>
      <c r="V135" s="15" t="n">
        <f aca="false">SUMIFS(Clips!$J:$J,Clips!$F:$F,$B135,Clips!$C:$C,"train")</f>
        <v>27</v>
      </c>
      <c r="W135" s="18" t="n">
        <f aca="false">IF(V135=0,"",Splits!$B$49/(Splits!$B$50*V135))</f>
        <v>5.77131376659679</v>
      </c>
      <c r="X135" s="15" t="str">
        <f aca="false">IF(P135&gt;0,IF(AND(Q135&gt;0,R135&gt;0),"train + val + test",IF(R135&gt;0,"train + test","train only")),IF(R135&gt;0,"test only (unknown class)",IF(K135&gt;0,"site extract only","no usable audio")))</f>
        <v>train + test</v>
      </c>
      <c r="Y135" s="15" t="str">
        <f aca="false">IF($P135=0,"",IF($E135="nonbird",$B135,IF($G135="yes",$B135,"other bird")))</f>
        <v>other bird</v>
      </c>
      <c r="Z135" s="15" t="str">
        <f aca="false">IF(AND($F135="core",$P135&gt;0),$B135,"")</f>
        <v/>
      </c>
      <c r="AA135" s="15" t="str">
        <f aca="false">IF($P135&gt;0,$B135,"")</f>
        <v>Crimson-fronted Parakeet</v>
      </c>
      <c r="AB135" s="15" t="n">
        <v>5</v>
      </c>
      <c r="AC135" s="15" t="n">
        <v>4</v>
      </c>
      <c r="AD135" s="17" t="n">
        <f aca="false">IF(COUNTIFS(Clips!$F:$F,$B135,Clips!$M:$M,"&gt;0",Clips!$C:$C,"&lt;&gt;excluded")=0,"",AVERAGEIFS(Clips!$M:$M,Clips!$F:$F,$B135,Clips!$M:$M,"&gt;0",Clips!$C:$C,"&lt;&gt;excluded"))</f>
        <v>2.36</v>
      </c>
      <c r="AE135" s="15" t="n">
        <f aca="false">COUNTIFS(Clips!$F:$F,$B135,Clips!$O:$O,"&lt;&gt;",Clips!$B:$B,"&lt;&gt;site",Clips!$C:$C,"&lt;&gt;excluded")</f>
        <v>2</v>
      </c>
      <c r="AF135" s="15" t="n">
        <f aca="false">COUNTIFS(Clips!$F:$F,$B135,Clips!$I:$I,"&lt;5",Clips!$C:$C,"&lt;&gt;excluded")</f>
        <v>0</v>
      </c>
      <c r="AG135" s="5"/>
    </row>
    <row r="136" customFormat="false" ht="15" hidden="false" customHeight="false" outlineLevel="0" collapsed="false">
      <c r="A136" s="15" t="n">
        <v>80</v>
      </c>
      <c r="B136" s="15" t="s">
        <v>562</v>
      </c>
      <c r="C136" s="15" t="s">
        <v>563</v>
      </c>
      <c r="D136" s="15" t="s">
        <v>564</v>
      </c>
      <c r="E136" s="15" t="s">
        <v>147</v>
      </c>
      <c r="F136" s="15" t="s">
        <v>400</v>
      </c>
      <c r="G136" s="15" t="str">
        <f aca="false">IF(AND($E136="bird",$K136&gt;0),"yes","")</f>
        <v/>
      </c>
      <c r="H136" s="15"/>
      <c r="I136" s="15" t="str">
        <f aca="false">IF($E136="bird",IF(COUNTIF('eBird List'!$A:$A,$B136)&gt;0,"yes","no"),"")</f>
        <v>yes</v>
      </c>
      <c r="J136" s="16" t="n">
        <f aca="false">IF(COUNTIF('eBird List'!$A:$A,$B136)=0,"",INDEX('eBird List'!$C:$C,MATCH($B136,'eBird List'!$A:$A,0)))</f>
        <v>0.059060042887777</v>
      </c>
      <c r="K136" s="15" t="n">
        <f aca="false">COUNTIFS(Clips!$B:$B,"site",Clips!$F:$F,$B136)+COUNTIFS(Clips!$B:$B,"site",Clips!$O:$O,"*"&amp;$B136&amp;"*")</f>
        <v>0</v>
      </c>
      <c r="L136" s="15" t="n">
        <f aca="false">COUNTIFS(Clips!$F:$F,$B136,Clips!$B:$B,"macaulay")</f>
        <v>5</v>
      </c>
      <c r="M136" s="15" t="n">
        <f aca="false">COUNTIFS(Clips!$F:$F,$B136,Clips!$B:$B,"xeno-canto")</f>
        <v>0</v>
      </c>
      <c r="N136" s="15" t="n">
        <f aca="false">K136+L136+M136</f>
        <v>5</v>
      </c>
      <c r="O136" s="15" t="n">
        <f aca="false">COUNTIFS(Clips!$F:$F,$B136,Clips!$C:$C,"excluded")</f>
        <v>0</v>
      </c>
      <c r="P136" s="15" t="n">
        <f aca="false">COUNTIFS(Clips!$F:$F,$B136,Clips!$C:$C,"train")</f>
        <v>4</v>
      </c>
      <c r="Q136" s="15" t="n">
        <f aca="false">COUNTIFS(Clips!$F:$F,$B136,Clips!$C:$C,"val")</f>
        <v>0</v>
      </c>
      <c r="R136" s="15" t="n">
        <f aca="false">COUNTIFS(Clips!$F:$F,$B136,Clips!$C:$C,"test")</f>
        <v>1</v>
      </c>
      <c r="S136" s="17" t="n">
        <f aca="false">SUMIFS(Clips!$I:$I,Clips!$F:$F,$B136,Clips!$C:$C,"train")/60</f>
        <v>3.33801666666667</v>
      </c>
      <c r="T136" s="17" t="n">
        <f aca="false">SUMIFS(Clips!$I:$I,Clips!$F:$F,$B136,Clips!$C:$C,"val")/60</f>
        <v>0</v>
      </c>
      <c r="U136" s="17" t="n">
        <f aca="false">SUMIFS(Clips!$I:$I,Clips!$F:$F,$B136,Clips!$C:$C,"test")/60</f>
        <v>2.1173</v>
      </c>
      <c r="V136" s="15" t="n">
        <f aca="false">SUMIFS(Clips!$J:$J,Clips!$F:$F,$B136,Clips!$C:$C,"train")</f>
        <v>42</v>
      </c>
      <c r="W136" s="18" t="n">
        <f aca="false">IF(V136=0,"",Splits!$B$49/(Splits!$B$50*V136))</f>
        <v>3.71013027852651</v>
      </c>
      <c r="X136" s="15" t="str">
        <f aca="false">IF(P136&gt;0,IF(AND(Q136&gt;0,R136&gt;0),"train + val + test",IF(R136&gt;0,"train + test","train only")),IF(R136&gt;0,"test only (unknown class)",IF(K136&gt;0,"site extract only","no usable audio")))</f>
        <v>train + test</v>
      </c>
      <c r="Y136" s="15" t="str">
        <f aca="false">IF($P136=0,"",IF($E136="nonbird",$B136,IF($G136="yes",$B136,"other bird")))</f>
        <v>other bird</v>
      </c>
      <c r="Z136" s="15" t="str">
        <f aca="false">IF(AND($F136="core",$P136&gt;0),$B136,"")</f>
        <v/>
      </c>
      <c r="AA136" s="15" t="str">
        <f aca="false">IF($P136&gt;0,$B136,"")</f>
        <v>Eye-ringed Flatbill</v>
      </c>
      <c r="AB136" s="15" t="n">
        <v>4</v>
      </c>
      <c r="AC136" s="15" t="n">
        <v>4</v>
      </c>
      <c r="AD136" s="17" t="n">
        <f aca="false">IF(COUNTIFS(Clips!$F:$F,$B136,Clips!$M:$M,"&gt;0",Clips!$C:$C,"&lt;&gt;excluded")=0,"",AVERAGEIFS(Clips!$M:$M,Clips!$F:$F,$B136,Clips!$M:$M,"&gt;0",Clips!$C:$C,"&lt;&gt;excluded"))</f>
        <v>2.532</v>
      </c>
      <c r="AE136" s="15" t="n">
        <f aca="false">COUNTIFS(Clips!$F:$F,$B136,Clips!$O:$O,"&lt;&gt;",Clips!$B:$B,"&lt;&gt;site",Clips!$C:$C,"&lt;&gt;excluded")</f>
        <v>1</v>
      </c>
      <c r="AF136" s="15" t="n">
        <f aca="false">COUNTIFS(Clips!$F:$F,$B136,Clips!$I:$I,"&lt;5",Clips!$C:$C,"&lt;&gt;excluded")</f>
        <v>1</v>
      </c>
      <c r="AG136" s="5"/>
    </row>
    <row r="137" customFormat="false" ht="15" hidden="false" customHeight="false" outlineLevel="0" collapsed="false">
      <c r="A137" s="15" t="n">
        <v>94</v>
      </c>
      <c r="B137" s="15" t="s">
        <v>565</v>
      </c>
      <c r="C137" s="15" t="s">
        <v>566</v>
      </c>
      <c r="D137" s="15" t="s">
        <v>567</v>
      </c>
      <c r="E137" s="15" t="s">
        <v>147</v>
      </c>
      <c r="F137" s="15" t="s">
        <v>400</v>
      </c>
      <c r="G137" s="15" t="str">
        <f aca="false">IF(AND($E137="bird",$K137&gt;0),"yes","")</f>
        <v/>
      </c>
      <c r="H137" s="15"/>
      <c r="I137" s="15" t="str">
        <f aca="false">IF($E137="bird",IF(COUNTIF('eBird List'!$A:$A,$B137)&gt;0,"yes","no"),"")</f>
        <v>yes</v>
      </c>
      <c r="J137" s="16" t="n">
        <f aca="false">IF(COUNTIF('eBird List'!$A:$A,$B137)=0,"",INDEX('eBird List'!$C:$C,MATCH($B137,'eBird List'!$A:$A,0)))</f>
        <v>0.0589409101739338</v>
      </c>
      <c r="K137" s="15" t="n">
        <f aca="false">COUNTIFS(Clips!$B:$B,"site",Clips!$F:$F,$B137)+COUNTIFS(Clips!$B:$B,"site",Clips!$O:$O,"*"&amp;$B137&amp;"*")</f>
        <v>0</v>
      </c>
      <c r="L137" s="15" t="n">
        <f aca="false">COUNTIFS(Clips!$F:$F,$B137,Clips!$B:$B,"macaulay")</f>
        <v>4</v>
      </c>
      <c r="M137" s="15" t="n">
        <f aca="false">COUNTIFS(Clips!$F:$F,$B137,Clips!$B:$B,"xeno-canto")</f>
        <v>1</v>
      </c>
      <c r="N137" s="15" t="n">
        <f aca="false">K137+L137+M137</f>
        <v>5</v>
      </c>
      <c r="O137" s="15" t="n">
        <f aca="false">COUNTIFS(Clips!$F:$F,$B137,Clips!$C:$C,"excluded")</f>
        <v>0</v>
      </c>
      <c r="P137" s="15" t="n">
        <f aca="false">COUNTIFS(Clips!$F:$F,$B137,Clips!$C:$C,"train")</f>
        <v>4</v>
      </c>
      <c r="Q137" s="15" t="n">
        <f aca="false">COUNTIFS(Clips!$F:$F,$B137,Clips!$C:$C,"val")</f>
        <v>0</v>
      </c>
      <c r="R137" s="15" t="n">
        <f aca="false">COUNTIFS(Clips!$F:$F,$B137,Clips!$C:$C,"test")</f>
        <v>1</v>
      </c>
      <c r="S137" s="17" t="n">
        <f aca="false">SUMIFS(Clips!$I:$I,Clips!$F:$F,$B137,Clips!$C:$C,"train")/60</f>
        <v>12.4436666666667</v>
      </c>
      <c r="T137" s="17" t="n">
        <f aca="false">SUMIFS(Clips!$I:$I,Clips!$F:$F,$B137,Clips!$C:$C,"val")/60</f>
        <v>0</v>
      </c>
      <c r="U137" s="17" t="n">
        <f aca="false">SUMIFS(Clips!$I:$I,Clips!$F:$F,$B137,Clips!$C:$C,"test")/60</f>
        <v>5.17645</v>
      </c>
      <c r="V137" s="15" t="n">
        <f aca="false">SUMIFS(Clips!$J:$J,Clips!$F:$F,$B137,Clips!$C:$C,"train")</f>
        <v>152</v>
      </c>
      <c r="W137" s="18" t="n">
        <f aca="false">IF(V137=0,"",Splits!$B$49/(Splits!$B$50*V137))</f>
        <v>1.02516757696127</v>
      </c>
      <c r="X137" s="15" t="str">
        <f aca="false">IF(P137&gt;0,IF(AND(Q137&gt;0,R137&gt;0),"train + val + test",IF(R137&gt;0,"train + test","train only")),IF(R137&gt;0,"test only (unknown class)",IF(K137&gt;0,"site extract only","no usable audio")))</f>
        <v>train + test</v>
      </c>
      <c r="Y137" s="15" t="str">
        <f aca="false">IF($P137=0,"",IF($E137="nonbird",$B137,IF($G137="yes",$B137,"other bird")))</f>
        <v>other bird</v>
      </c>
      <c r="Z137" s="15" t="str">
        <f aca="false">IF(AND($F137="core",$P137&gt;0),$B137,"")</f>
        <v/>
      </c>
      <c r="AA137" s="15" t="str">
        <f aca="false">IF($P137&gt;0,$B137,"")</f>
        <v>Gray-headed Chachalaca</v>
      </c>
      <c r="AB137" s="15" t="n">
        <v>5</v>
      </c>
      <c r="AC137" s="15" t="n">
        <v>3</v>
      </c>
      <c r="AD137" s="17" t="n">
        <f aca="false">IF(COUNTIFS(Clips!$F:$F,$B137,Clips!$M:$M,"&gt;0",Clips!$C:$C,"&lt;&gt;excluded")=0,"",AVERAGEIFS(Clips!$M:$M,Clips!$F:$F,$B137,Clips!$M:$M,"&gt;0",Clips!$C:$C,"&lt;&gt;excluded"))</f>
        <v>2.875</v>
      </c>
      <c r="AE137" s="15" t="n">
        <f aca="false">COUNTIFS(Clips!$F:$F,$B137,Clips!$O:$O,"&lt;&gt;",Clips!$B:$B,"&lt;&gt;site",Clips!$C:$C,"&lt;&gt;excluded")</f>
        <v>0</v>
      </c>
      <c r="AF137" s="15" t="n">
        <f aca="false">COUNTIFS(Clips!$F:$F,$B137,Clips!$I:$I,"&lt;5",Clips!$C:$C,"&lt;&gt;excluded")</f>
        <v>0</v>
      </c>
      <c r="AG137" s="5"/>
    </row>
    <row r="138" customFormat="false" ht="15" hidden="false" customHeight="false" outlineLevel="0" collapsed="false">
      <c r="A138" s="15" t="n">
        <v>114</v>
      </c>
      <c r="B138" s="15" t="s">
        <v>568</v>
      </c>
      <c r="C138" s="15" t="s">
        <v>569</v>
      </c>
      <c r="D138" s="15" t="s">
        <v>570</v>
      </c>
      <c r="E138" s="15" t="s">
        <v>147</v>
      </c>
      <c r="F138" s="15" t="s">
        <v>400</v>
      </c>
      <c r="G138" s="15" t="str">
        <f aca="false">IF(AND($E138="bird",$K138&gt;0),"yes","")</f>
        <v/>
      </c>
      <c r="H138" s="15"/>
      <c r="I138" s="15" t="str">
        <f aca="false">IF($E138="bird",IF(COUNTIF('eBird List'!$A:$A,$B138)&gt;0,"yes","no"),"")</f>
        <v>yes</v>
      </c>
      <c r="J138" s="16" t="n">
        <f aca="false">IF(COUNTIF('eBird List'!$A:$A,$B138)=0,"",INDEX('eBird List'!$C:$C,MATCH($B138,'eBird List'!$A:$A,0)))</f>
        <v>0.000923278532284966</v>
      </c>
      <c r="K138" s="15" t="n">
        <f aca="false">COUNTIFS(Clips!$B:$B,"site",Clips!$F:$F,$B138)+COUNTIFS(Clips!$B:$B,"site",Clips!$O:$O,"*"&amp;$B138&amp;"*")</f>
        <v>0</v>
      </c>
      <c r="L138" s="15" t="n">
        <f aca="false">COUNTIFS(Clips!$F:$F,$B138,Clips!$B:$B,"macaulay")</f>
        <v>5</v>
      </c>
      <c r="M138" s="15" t="n">
        <f aca="false">COUNTIFS(Clips!$F:$F,$B138,Clips!$B:$B,"xeno-canto")</f>
        <v>0</v>
      </c>
      <c r="N138" s="15" t="n">
        <f aca="false">K138+L138+M138</f>
        <v>5</v>
      </c>
      <c r="O138" s="15" t="n">
        <f aca="false">COUNTIFS(Clips!$F:$F,$B138,Clips!$C:$C,"excluded")</f>
        <v>0</v>
      </c>
      <c r="P138" s="15" t="n">
        <f aca="false">COUNTIFS(Clips!$F:$F,$B138,Clips!$C:$C,"train")</f>
        <v>4</v>
      </c>
      <c r="Q138" s="15" t="n">
        <f aca="false">COUNTIFS(Clips!$F:$F,$B138,Clips!$C:$C,"val")</f>
        <v>0</v>
      </c>
      <c r="R138" s="15" t="n">
        <f aca="false">COUNTIFS(Clips!$F:$F,$B138,Clips!$C:$C,"test")</f>
        <v>1</v>
      </c>
      <c r="S138" s="17" t="n">
        <f aca="false">SUMIFS(Clips!$I:$I,Clips!$F:$F,$B138,Clips!$C:$C,"train")/60</f>
        <v>27.5701166666667</v>
      </c>
      <c r="T138" s="17" t="n">
        <f aca="false">SUMIFS(Clips!$I:$I,Clips!$F:$F,$B138,Clips!$C:$C,"val")/60</f>
        <v>0</v>
      </c>
      <c r="U138" s="17" t="n">
        <f aca="false">SUMIFS(Clips!$I:$I,Clips!$F:$F,$B138,Clips!$C:$C,"test")/60</f>
        <v>1.79201666666667</v>
      </c>
      <c r="V138" s="15" t="n">
        <f aca="false">SUMIFS(Clips!$J:$J,Clips!$F:$F,$B138,Clips!$C:$C,"train")</f>
        <v>191</v>
      </c>
      <c r="W138" s="18" t="n">
        <f aca="false">IF(V138=0,"",Splits!$B$49/(Splits!$B$50*V138))</f>
        <v>0.815840165958708</v>
      </c>
      <c r="X138" s="15" t="str">
        <f aca="false">IF(P138&gt;0,IF(AND(Q138&gt;0,R138&gt;0),"train + val + test",IF(R138&gt;0,"train + test","train only")),IF(R138&gt;0,"test only (unknown class)",IF(K138&gt;0,"site extract only","no usable audio")))</f>
        <v>train + test</v>
      </c>
      <c r="Y138" s="15" t="str">
        <f aca="false">IF($P138=0,"",IF($E138="nonbird",$B138,IF($G138="yes",$B138,"other bird")))</f>
        <v>other bird</v>
      </c>
      <c r="Z138" s="15" t="str">
        <f aca="false">IF(AND($F138="core",$P138&gt;0),$B138,"")</f>
        <v/>
      </c>
      <c r="AA138" s="15" t="str">
        <f aca="false">IF($P138&gt;0,$B138,"")</f>
        <v>Lattice-tailed Trogon</v>
      </c>
      <c r="AB138" s="15" t="n">
        <v>4</v>
      </c>
      <c r="AC138" s="15" t="n">
        <v>4</v>
      </c>
      <c r="AD138" s="17" t="n">
        <f aca="false">IF(COUNTIFS(Clips!$F:$F,$B138,Clips!$M:$M,"&gt;0",Clips!$C:$C,"&lt;&gt;excluded")=0,"",AVERAGEIFS(Clips!$M:$M,Clips!$F:$F,$B138,Clips!$M:$M,"&gt;0",Clips!$C:$C,"&lt;&gt;excluded"))</f>
        <v>2</v>
      </c>
      <c r="AE138" s="15" t="n">
        <f aca="false">COUNTIFS(Clips!$F:$F,$B138,Clips!$O:$O,"&lt;&gt;",Clips!$B:$B,"&lt;&gt;site",Clips!$C:$C,"&lt;&gt;excluded")</f>
        <v>0</v>
      </c>
      <c r="AF138" s="15" t="n">
        <f aca="false">COUNTIFS(Clips!$F:$F,$B138,Clips!$I:$I,"&lt;5",Clips!$C:$C,"&lt;&gt;excluded")</f>
        <v>0</v>
      </c>
      <c r="AG138" s="5"/>
    </row>
    <row r="139" customFormat="false" ht="15" hidden="false" customHeight="false" outlineLevel="0" collapsed="false">
      <c r="A139" s="15" t="n">
        <v>136</v>
      </c>
      <c r="B139" s="15" t="s">
        <v>571</v>
      </c>
      <c r="C139" s="15" t="s">
        <v>572</v>
      </c>
      <c r="D139" s="15" t="s">
        <v>573</v>
      </c>
      <c r="E139" s="15" t="s">
        <v>147</v>
      </c>
      <c r="F139" s="15" t="s">
        <v>400</v>
      </c>
      <c r="G139" s="15" t="str">
        <f aca="false">IF(AND($E139="bird",$K139&gt;0),"yes","")</f>
        <v/>
      </c>
      <c r="H139" s="15"/>
      <c r="I139" s="15" t="str">
        <f aca="false">IF($E139="bird",IF(COUNTIF('eBird List'!$A:$A,$B139)&gt;0,"yes","no"),"")</f>
        <v>yes</v>
      </c>
      <c r="J139" s="16" t="n">
        <f aca="false">IF(COUNTIF('eBird List'!$A:$A,$B139)=0,"",INDEX('eBird List'!$C:$C,MATCH($B139,'eBird List'!$A:$A,0)))</f>
        <v>0.0413390517035978</v>
      </c>
      <c r="K139" s="15" t="n">
        <f aca="false">COUNTIFS(Clips!$B:$B,"site",Clips!$F:$F,$B139)+COUNTIFS(Clips!$B:$B,"site",Clips!$O:$O,"*"&amp;$B139&amp;"*")</f>
        <v>0</v>
      </c>
      <c r="L139" s="15" t="n">
        <f aca="false">COUNTIFS(Clips!$F:$F,$B139,Clips!$B:$B,"macaulay")</f>
        <v>5</v>
      </c>
      <c r="M139" s="15" t="n">
        <f aca="false">COUNTIFS(Clips!$F:$F,$B139,Clips!$B:$B,"xeno-canto")</f>
        <v>0</v>
      </c>
      <c r="N139" s="15" t="n">
        <f aca="false">K139+L139+M139</f>
        <v>5</v>
      </c>
      <c r="O139" s="15" t="n">
        <f aca="false">COUNTIFS(Clips!$F:$F,$B139,Clips!$C:$C,"excluded")</f>
        <v>0</v>
      </c>
      <c r="P139" s="15" t="n">
        <f aca="false">COUNTIFS(Clips!$F:$F,$B139,Clips!$C:$C,"train")</f>
        <v>4</v>
      </c>
      <c r="Q139" s="15" t="n">
        <f aca="false">COUNTIFS(Clips!$F:$F,$B139,Clips!$C:$C,"val")</f>
        <v>0</v>
      </c>
      <c r="R139" s="15" t="n">
        <f aca="false">COUNTIFS(Clips!$F:$F,$B139,Clips!$C:$C,"test")</f>
        <v>1</v>
      </c>
      <c r="S139" s="17" t="n">
        <f aca="false">SUMIFS(Clips!$I:$I,Clips!$F:$F,$B139,Clips!$C:$C,"train")/60</f>
        <v>10.0177666666667</v>
      </c>
      <c r="T139" s="17" t="n">
        <f aca="false">SUMIFS(Clips!$I:$I,Clips!$F:$F,$B139,Clips!$C:$C,"val")/60</f>
        <v>0</v>
      </c>
      <c r="U139" s="17" t="n">
        <f aca="false">SUMIFS(Clips!$I:$I,Clips!$F:$F,$B139,Clips!$C:$C,"test")/60</f>
        <v>1.83833333333333</v>
      </c>
      <c r="V139" s="15" t="n">
        <f aca="false">SUMIFS(Clips!$J:$J,Clips!$F:$F,$B139,Clips!$C:$C,"train")</f>
        <v>123</v>
      </c>
      <c r="W139" s="18" t="n">
        <f aca="false">IF(V139=0,"",Splits!$B$49/(Splits!$B$50*V139))</f>
        <v>1.2668737536432</v>
      </c>
      <c r="X139" s="15" t="str">
        <f aca="false">IF(P139&gt;0,IF(AND(Q139&gt;0,R139&gt;0),"train + val + test",IF(R139&gt;0,"train + test","train only")),IF(R139&gt;0,"test only (unknown class)",IF(K139&gt;0,"site extract only","no usable audio")))</f>
        <v>train + test</v>
      </c>
      <c r="Y139" s="15" t="str">
        <f aca="false">IF($P139=0,"",IF($E139="nonbird",$B139,IF($G139="yes",$B139,"other bird")))</f>
        <v>other bird</v>
      </c>
      <c r="Z139" s="15" t="str">
        <f aca="false">IF(AND($F139="core",$P139&gt;0),$B139,"")</f>
        <v/>
      </c>
      <c r="AA139" s="15" t="str">
        <f aca="false">IF($P139&gt;0,$B139,"")</f>
        <v>Northern Tropical Pewee</v>
      </c>
      <c r="AB139" s="15" t="n">
        <v>4</v>
      </c>
      <c r="AC139" s="15" t="n">
        <v>3</v>
      </c>
      <c r="AD139" s="17" t="n">
        <f aca="false">IF(COUNTIFS(Clips!$F:$F,$B139,Clips!$M:$M,"&gt;0",Clips!$C:$C,"&lt;&gt;excluded")=0,"",AVERAGEIFS(Clips!$M:$M,Clips!$F:$F,$B139,Clips!$M:$M,"&gt;0",Clips!$C:$C,"&lt;&gt;excluded"))</f>
        <v>3.28</v>
      </c>
      <c r="AE139" s="15" t="n">
        <f aca="false">COUNTIFS(Clips!$F:$F,$B139,Clips!$O:$O,"&lt;&gt;",Clips!$B:$B,"&lt;&gt;site",Clips!$C:$C,"&lt;&gt;excluded")</f>
        <v>1</v>
      </c>
      <c r="AF139" s="15" t="n">
        <f aca="false">COUNTIFS(Clips!$F:$F,$B139,Clips!$I:$I,"&lt;5",Clips!$C:$C,"&lt;&gt;excluded")</f>
        <v>0</v>
      </c>
      <c r="AG139" s="5"/>
    </row>
    <row r="140" customFormat="false" ht="15" hidden="false" customHeight="false" outlineLevel="0" collapsed="false">
      <c r="A140" s="15" t="n">
        <v>167</v>
      </c>
      <c r="B140" s="15" t="s">
        <v>574</v>
      </c>
      <c r="C140" s="15" t="s">
        <v>575</v>
      </c>
      <c r="D140" s="15" t="s">
        <v>576</v>
      </c>
      <c r="E140" s="15" t="s">
        <v>147</v>
      </c>
      <c r="F140" s="15" t="s">
        <v>400</v>
      </c>
      <c r="G140" s="15" t="str">
        <f aca="false">IF(AND($E140="bird",$K140&gt;0),"yes","")</f>
        <v/>
      </c>
      <c r="H140" s="15"/>
      <c r="I140" s="15" t="str">
        <f aca="false">IF($E140="bird",IF(COUNTIF('eBird List'!$A:$A,$B140)&gt;0,"yes","no"),"")</f>
        <v>yes</v>
      </c>
      <c r="J140" s="16" t="n">
        <f aca="false">IF(COUNTIF('eBird List'!$A:$A,$B140)=0,"",INDEX('eBird List'!$C:$C,MATCH($B140,'eBird List'!$A:$A,0)))</f>
        <v>0.0195377650702883</v>
      </c>
      <c r="K140" s="15" t="n">
        <f aca="false">COUNTIFS(Clips!$B:$B,"site",Clips!$F:$F,$B140)+COUNTIFS(Clips!$B:$B,"site",Clips!$O:$O,"*"&amp;$B140&amp;"*")</f>
        <v>0</v>
      </c>
      <c r="L140" s="15" t="n">
        <f aca="false">COUNTIFS(Clips!$F:$F,$B140,Clips!$B:$B,"macaulay")</f>
        <v>5</v>
      </c>
      <c r="M140" s="15" t="n">
        <f aca="false">COUNTIFS(Clips!$F:$F,$B140,Clips!$B:$B,"xeno-canto")</f>
        <v>0</v>
      </c>
      <c r="N140" s="15" t="n">
        <f aca="false">K140+L140+M140</f>
        <v>5</v>
      </c>
      <c r="O140" s="15" t="n">
        <f aca="false">COUNTIFS(Clips!$F:$F,$B140,Clips!$C:$C,"excluded")</f>
        <v>0</v>
      </c>
      <c r="P140" s="15" t="n">
        <f aca="false">COUNTIFS(Clips!$F:$F,$B140,Clips!$C:$C,"train")</f>
        <v>4</v>
      </c>
      <c r="Q140" s="15" t="n">
        <f aca="false">COUNTIFS(Clips!$F:$F,$B140,Clips!$C:$C,"val")</f>
        <v>0</v>
      </c>
      <c r="R140" s="15" t="n">
        <f aca="false">COUNTIFS(Clips!$F:$F,$B140,Clips!$C:$C,"test")</f>
        <v>1</v>
      </c>
      <c r="S140" s="17" t="n">
        <f aca="false">SUMIFS(Clips!$I:$I,Clips!$F:$F,$B140,Clips!$C:$C,"train")/60</f>
        <v>9.4038</v>
      </c>
      <c r="T140" s="17" t="n">
        <f aca="false">SUMIFS(Clips!$I:$I,Clips!$F:$F,$B140,Clips!$C:$C,"val")/60</f>
        <v>0</v>
      </c>
      <c r="U140" s="17" t="n">
        <f aca="false">SUMIFS(Clips!$I:$I,Clips!$F:$F,$B140,Clips!$C:$C,"test")/60</f>
        <v>3.20435</v>
      </c>
      <c r="V140" s="15" t="n">
        <f aca="false">SUMIFS(Clips!$J:$J,Clips!$F:$F,$B140,Clips!$C:$C,"train")</f>
        <v>114</v>
      </c>
      <c r="W140" s="18" t="n">
        <f aca="false">IF(V140=0,"",Splits!$B$49/(Splits!$B$50*V140))</f>
        <v>1.36689010261503</v>
      </c>
      <c r="X140" s="15" t="str">
        <f aca="false">IF(P140&gt;0,IF(AND(Q140&gt;0,R140&gt;0),"train + val + test",IF(R140&gt;0,"train + test","train only")),IF(R140&gt;0,"test only (unknown class)",IF(K140&gt;0,"site extract only","no usable audio")))</f>
        <v>train + test</v>
      </c>
      <c r="Y140" s="15" t="str">
        <f aca="false">IF($P140=0,"",IF($E140="nonbird",$B140,IF($G140="yes",$B140,"other bird")))</f>
        <v>other bird</v>
      </c>
      <c r="Z140" s="15" t="str">
        <f aca="false">IF(AND($F140="core",$P140&gt;0),$B140,"")</f>
        <v/>
      </c>
      <c r="AA140" s="15" t="str">
        <f aca="false">IF($P140&gt;0,$B140,"")</f>
        <v>Rufous Piha</v>
      </c>
      <c r="AB140" s="15" t="n">
        <v>3</v>
      </c>
      <c r="AC140" s="15" t="n">
        <v>3</v>
      </c>
      <c r="AD140" s="17" t="n">
        <f aca="false">IF(COUNTIFS(Clips!$F:$F,$B140,Clips!$M:$M,"&gt;0",Clips!$C:$C,"&lt;&gt;excluded")=0,"",AVERAGEIFS(Clips!$M:$M,Clips!$F:$F,$B140,Clips!$M:$M,"&gt;0",Clips!$C:$C,"&lt;&gt;excluded"))</f>
        <v>3.3</v>
      </c>
      <c r="AE140" s="15" t="n">
        <f aca="false">COUNTIFS(Clips!$F:$F,$B140,Clips!$O:$O,"&lt;&gt;",Clips!$B:$B,"&lt;&gt;site",Clips!$C:$C,"&lt;&gt;excluded")</f>
        <v>0</v>
      </c>
      <c r="AF140" s="15" t="n">
        <f aca="false">COUNTIFS(Clips!$F:$F,$B140,Clips!$I:$I,"&lt;5",Clips!$C:$C,"&lt;&gt;excluded")</f>
        <v>0</v>
      </c>
      <c r="AG140" s="5"/>
    </row>
    <row r="141" customFormat="false" ht="15" hidden="false" customHeight="false" outlineLevel="0" collapsed="false">
      <c r="A141" s="15" t="n">
        <v>173</v>
      </c>
      <c r="B141" s="15" t="s">
        <v>577</v>
      </c>
      <c r="C141" s="15" t="s">
        <v>578</v>
      </c>
      <c r="D141" s="15" t="s">
        <v>579</v>
      </c>
      <c r="E141" s="15" t="s">
        <v>147</v>
      </c>
      <c r="F141" s="15" t="s">
        <v>400</v>
      </c>
      <c r="G141" s="15" t="str">
        <f aca="false">IF(AND($E141="bird",$K141&gt;0),"yes","")</f>
        <v/>
      </c>
      <c r="H141" s="15"/>
      <c r="I141" s="15" t="str">
        <f aca="false">IF($E141="bird",IF(COUNTIF('eBird List'!$A:$A,$B141)&gt;0,"yes","no"),"")</f>
        <v>yes</v>
      </c>
      <c r="J141" s="16" t="n">
        <f aca="false">IF(COUNTIF('eBird List'!$A:$A,$B141)=0,"",INDEX('eBird List'!$C:$C,MATCH($B141,'eBird List'!$A:$A,0)))</f>
        <v>0.0509590183464379</v>
      </c>
      <c r="K141" s="15" t="n">
        <f aca="false">COUNTIFS(Clips!$B:$B,"site",Clips!$F:$F,$B141)+COUNTIFS(Clips!$B:$B,"site",Clips!$O:$O,"*"&amp;$B141&amp;"*")</f>
        <v>0</v>
      </c>
      <c r="L141" s="15" t="n">
        <f aca="false">COUNTIFS(Clips!$F:$F,$B141,Clips!$B:$B,"macaulay")</f>
        <v>5</v>
      </c>
      <c r="M141" s="15" t="n">
        <f aca="false">COUNTIFS(Clips!$F:$F,$B141,Clips!$B:$B,"xeno-canto")</f>
        <v>0</v>
      </c>
      <c r="N141" s="15" t="n">
        <f aca="false">K141+L141+M141</f>
        <v>5</v>
      </c>
      <c r="O141" s="15" t="n">
        <f aca="false">COUNTIFS(Clips!$F:$F,$B141,Clips!$C:$C,"excluded")</f>
        <v>0</v>
      </c>
      <c r="P141" s="15" t="n">
        <f aca="false">COUNTIFS(Clips!$F:$F,$B141,Clips!$C:$C,"train")</f>
        <v>4</v>
      </c>
      <c r="Q141" s="15" t="n">
        <f aca="false">COUNTIFS(Clips!$F:$F,$B141,Clips!$C:$C,"val")</f>
        <v>0</v>
      </c>
      <c r="R141" s="15" t="n">
        <f aca="false">COUNTIFS(Clips!$F:$F,$B141,Clips!$C:$C,"test")</f>
        <v>1</v>
      </c>
      <c r="S141" s="17" t="n">
        <f aca="false">SUMIFS(Clips!$I:$I,Clips!$F:$F,$B141,Clips!$C:$C,"train")/60</f>
        <v>0.638016666666667</v>
      </c>
      <c r="T141" s="17" t="n">
        <f aca="false">SUMIFS(Clips!$I:$I,Clips!$F:$F,$B141,Clips!$C:$C,"val")/60</f>
        <v>0</v>
      </c>
      <c r="U141" s="17" t="n">
        <f aca="false">SUMIFS(Clips!$I:$I,Clips!$F:$F,$B141,Clips!$C:$C,"test")/60</f>
        <v>0.75855</v>
      </c>
      <c r="V141" s="15" t="n">
        <f aca="false">SUMIFS(Clips!$J:$J,Clips!$F:$F,$B141,Clips!$C:$C,"train")</f>
        <v>9</v>
      </c>
      <c r="W141" s="18" t="n">
        <f aca="false">IF(V141=0,"",Splits!$B$49/(Splits!$B$50*V141))</f>
        <v>17.3139412997904</v>
      </c>
      <c r="X141" s="15" t="str">
        <f aca="false">IF(P141&gt;0,IF(AND(Q141&gt;0,R141&gt;0),"train + val + test",IF(R141&gt;0,"train + test","train only")),IF(R141&gt;0,"test only (unknown class)",IF(K141&gt;0,"site extract only","no usable audio")))</f>
        <v>train + test</v>
      </c>
      <c r="Y141" s="15" t="str">
        <f aca="false">IF($P141=0,"",IF($E141="nonbird",$B141,IF($G141="yes",$B141,"other bird")))</f>
        <v>other bird</v>
      </c>
      <c r="Z141" s="15" t="str">
        <f aca="false">IF(AND($F141="core",$P141&gt;0),$B141,"")</f>
        <v/>
      </c>
      <c r="AA141" s="15" t="str">
        <f aca="false">IF($P141&gt;0,$B141,"")</f>
        <v>Scaled Pigeon</v>
      </c>
      <c r="AB141" s="15" t="n">
        <v>4</v>
      </c>
      <c r="AC141" s="15" t="n">
        <v>4</v>
      </c>
      <c r="AD141" s="17" t="n">
        <f aca="false">IF(COUNTIFS(Clips!$F:$F,$B141,Clips!$M:$M,"&gt;0",Clips!$C:$C,"&lt;&gt;excluded")=0,"",AVERAGEIFS(Clips!$M:$M,Clips!$F:$F,$B141,Clips!$M:$M,"&gt;0",Clips!$C:$C,"&lt;&gt;excluded"))</f>
        <v>1.6675</v>
      </c>
      <c r="AE141" s="15" t="n">
        <f aca="false">COUNTIFS(Clips!$F:$F,$B141,Clips!$O:$O,"&lt;&gt;",Clips!$B:$B,"&lt;&gt;site",Clips!$C:$C,"&lt;&gt;excluded")</f>
        <v>2</v>
      </c>
      <c r="AF141" s="15" t="n">
        <f aca="false">COUNTIFS(Clips!$F:$F,$B141,Clips!$I:$I,"&lt;5",Clips!$C:$C,"&lt;&gt;excluded")</f>
        <v>1</v>
      </c>
      <c r="AG141" s="5"/>
    </row>
    <row r="142" customFormat="false" ht="15" hidden="false" customHeight="false" outlineLevel="0" collapsed="false">
      <c r="A142" s="15" t="n">
        <v>190</v>
      </c>
      <c r="B142" s="15" t="s">
        <v>580</v>
      </c>
      <c r="C142" s="15" t="s">
        <v>581</v>
      </c>
      <c r="D142" s="15" t="s">
        <v>582</v>
      </c>
      <c r="E142" s="15" t="s">
        <v>147</v>
      </c>
      <c r="F142" s="15" t="s">
        <v>400</v>
      </c>
      <c r="G142" s="15" t="str">
        <f aca="false">IF(AND($E142="bird",$K142&gt;0),"yes","")</f>
        <v/>
      </c>
      <c r="H142" s="15"/>
      <c r="I142" s="15" t="str">
        <f aca="false">IF($E142="bird",IF(COUNTIF('eBird List'!$A:$A,$B142)&gt;0,"yes","no"),"")</f>
        <v>yes</v>
      </c>
      <c r="J142" s="16" t="n">
        <f aca="false">IF(COUNTIF('eBird List'!$A:$A,$B142)=0,"",INDEX('eBird List'!$C:$C,MATCH($B142,'eBird List'!$A:$A,0)))</f>
        <v>0.00443769359066</v>
      </c>
      <c r="K142" s="15" t="n">
        <f aca="false">COUNTIFS(Clips!$B:$B,"site",Clips!$F:$F,$B142)+COUNTIFS(Clips!$B:$B,"site",Clips!$O:$O,"*"&amp;$B142&amp;"*")</f>
        <v>0</v>
      </c>
      <c r="L142" s="15" t="n">
        <f aca="false">COUNTIFS(Clips!$F:$F,$B142,Clips!$B:$B,"macaulay")</f>
        <v>5</v>
      </c>
      <c r="M142" s="15" t="n">
        <f aca="false">COUNTIFS(Clips!$F:$F,$B142,Clips!$B:$B,"xeno-canto")</f>
        <v>0</v>
      </c>
      <c r="N142" s="15" t="n">
        <f aca="false">K142+L142+M142</f>
        <v>5</v>
      </c>
      <c r="O142" s="15" t="n">
        <f aca="false">COUNTIFS(Clips!$F:$F,$B142,Clips!$C:$C,"excluded")</f>
        <v>0</v>
      </c>
      <c r="P142" s="15" t="n">
        <f aca="false">COUNTIFS(Clips!$F:$F,$B142,Clips!$C:$C,"train")</f>
        <v>4</v>
      </c>
      <c r="Q142" s="15" t="n">
        <f aca="false">COUNTIFS(Clips!$F:$F,$B142,Clips!$C:$C,"val")</f>
        <v>0</v>
      </c>
      <c r="R142" s="15" t="n">
        <f aca="false">COUNTIFS(Clips!$F:$F,$B142,Clips!$C:$C,"test")</f>
        <v>1</v>
      </c>
      <c r="S142" s="17" t="n">
        <f aca="false">SUMIFS(Clips!$I:$I,Clips!$F:$F,$B142,Clips!$C:$C,"train")/60</f>
        <v>5.54045</v>
      </c>
      <c r="T142" s="17" t="n">
        <f aca="false">SUMIFS(Clips!$I:$I,Clips!$F:$F,$B142,Clips!$C:$C,"val")/60</f>
        <v>0</v>
      </c>
      <c r="U142" s="17" t="n">
        <f aca="false">SUMIFS(Clips!$I:$I,Clips!$F:$F,$B142,Clips!$C:$C,"test")/60</f>
        <v>20.0598833333333</v>
      </c>
      <c r="V142" s="15" t="n">
        <f aca="false">SUMIFS(Clips!$J:$J,Clips!$F:$F,$B142,Clips!$C:$C,"train")</f>
        <v>69</v>
      </c>
      <c r="W142" s="18" t="n">
        <f aca="false">IF(V142=0,"",Splits!$B$49/(Splits!$B$50*V142))</f>
        <v>2.25834016953787</v>
      </c>
      <c r="X142" s="15" t="str">
        <f aca="false">IF(P142&gt;0,IF(AND(Q142&gt;0,R142&gt;0),"train + val + test",IF(R142&gt;0,"train + test","train only")),IF(R142&gt;0,"test only (unknown class)",IF(K142&gt;0,"site extract only","no usable audio")))</f>
        <v>train + test</v>
      </c>
      <c r="Y142" s="15" t="str">
        <f aca="false">IF($P142=0,"",IF($E142="nonbird",$B142,IF($G142="yes",$B142,"other bird")))</f>
        <v>other bird</v>
      </c>
      <c r="Z142" s="15" t="str">
        <f aca="false">IF(AND($F142="core",$P142&gt;0),$B142,"")</f>
        <v/>
      </c>
      <c r="AA142" s="15" t="str">
        <f aca="false">IF($P142&gt;0,$B142,"")</f>
        <v>Song Wren</v>
      </c>
      <c r="AB142" s="15" t="n">
        <v>5</v>
      </c>
      <c r="AC142" s="15" t="n">
        <v>5</v>
      </c>
      <c r="AD142" s="17" t="n">
        <f aca="false">IF(COUNTIFS(Clips!$F:$F,$B142,Clips!$M:$M,"&gt;0",Clips!$C:$C,"&lt;&gt;excluded")=0,"",AVERAGEIFS(Clips!$M:$M,Clips!$F:$F,$B142,Clips!$M:$M,"&gt;0",Clips!$C:$C,"&lt;&gt;excluded"))</f>
        <v>2.4</v>
      </c>
      <c r="AE142" s="15" t="n">
        <f aca="false">COUNTIFS(Clips!$F:$F,$B142,Clips!$O:$O,"&lt;&gt;",Clips!$B:$B,"&lt;&gt;site",Clips!$C:$C,"&lt;&gt;excluded")</f>
        <v>1</v>
      </c>
      <c r="AF142" s="15" t="n">
        <f aca="false">COUNTIFS(Clips!$F:$F,$B142,Clips!$I:$I,"&lt;5",Clips!$C:$C,"&lt;&gt;excluded")</f>
        <v>0</v>
      </c>
      <c r="AG142" s="5"/>
    </row>
    <row r="143" customFormat="false" ht="15" hidden="false" customHeight="false" outlineLevel="0" collapsed="false">
      <c r="A143" s="15" t="n">
        <v>197</v>
      </c>
      <c r="B143" s="15" t="s">
        <v>583</v>
      </c>
      <c r="C143" s="15" t="s">
        <v>584</v>
      </c>
      <c r="D143" s="15" t="s">
        <v>585</v>
      </c>
      <c r="E143" s="15" t="s">
        <v>147</v>
      </c>
      <c r="F143" s="15" t="s">
        <v>400</v>
      </c>
      <c r="G143" s="15" t="str">
        <f aca="false">IF(AND($E143="bird",$K143&gt;0),"yes","")</f>
        <v/>
      </c>
      <c r="H143" s="15"/>
      <c r="I143" s="15" t="str">
        <f aca="false">IF($E143="bird",IF(COUNTIF('eBird List'!$A:$A,$B143)&gt;0,"yes","no"),"")</f>
        <v>yes</v>
      </c>
      <c r="J143" s="16" t="n">
        <f aca="false">IF(COUNTIF('eBird List'!$A:$A,$B143)=0,"",INDEX('eBird List'!$C:$C,MATCH($B143,'eBird List'!$A:$A,0)))</f>
        <v>0.00786275911365261</v>
      </c>
      <c r="K143" s="15" t="n">
        <f aca="false">COUNTIFS(Clips!$B:$B,"site",Clips!$F:$F,$B143)+COUNTIFS(Clips!$B:$B,"site",Clips!$O:$O,"*"&amp;$B143&amp;"*")</f>
        <v>0</v>
      </c>
      <c r="L143" s="15" t="n">
        <f aca="false">COUNTIFS(Clips!$F:$F,$B143,Clips!$B:$B,"macaulay")</f>
        <v>5</v>
      </c>
      <c r="M143" s="15" t="n">
        <f aca="false">COUNTIFS(Clips!$F:$F,$B143,Clips!$B:$B,"xeno-canto")</f>
        <v>0</v>
      </c>
      <c r="N143" s="15" t="n">
        <f aca="false">K143+L143+M143</f>
        <v>5</v>
      </c>
      <c r="O143" s="15" t="n">
        <f aca="false">COUNTIFS(Clips!$F:$F,$B143,Clips!$C:$C,"excluded")</f>
        <v>0</v>
      </c>
      <c r="P143" s="15" t="n">
        <f aca="false">COUNTIFS(Clips!$F:$F,$B143,Clips!$C:$C,"train")</f>
        <v>4</v>
      </c>
      <c r="Q143" s="15" t="n">
        <f aca="false">COUNTIFS(Clips!$F:$F,$B143,Clips!$C:$C,"val")</f>
        <v>0</v>
      </c>
      <c r="R143" s="15" t="n">
        <f aca="false">COUNTIFS(Clips!$F:$F,$B143,Clips!$C:$C,"test")</f>
        <v>1</v>
      </c>
      <c r="S143" s="17" t="n">
        <f aca="false">SUMIFS(Clips!$I:$I,Clips!$F:$F,$B143,Clips!$C:$C,"train")/60</f>
        <v>7.87005</v>
      </c>
      <c r="T143" s="17" t="n">
        <f aca="false">SUMIFS(Clips!$I:$I,Clips!$F:$F,$B143,Clips!$C:$C,"val")/60</f>
        <v>0</v>
      </c>
      <c r="U143" s="17" t="n">
        <f aca="false">SUMIFS(Clips!$I:$I,Clips!$F:$F,$B143,Clips!$C:$C,"test")/60</f>
        <v>1.14225</v>
      </c>
      <c r="V143" s="15" t="n">
        <f aca="false">SUMIFS(Clips!$J:$J,Clips!$F:$F,$B143,Clips!$C:$C,"train")</f>
        <v>96</v>
      </c>
      <c r="W143" s="18" t="n">
        <f aca="false">IF(V143=0,"",Splits!$B$49/(Splits!$B$50*V143))</f>
        <v>1.62318199685535</v>
      </c>
      <c r="X143" s="15" t="str">
        <f aca="false">IF(P143&gt;0,IF(AND(Q143&gt;0,R143&gt;0),"train + val + test",IF(R143&gt;0,"train + test","train only")),IF(R143&gt;0,"test only (unknown class)",IF(K143&gt;0,"site extract only","no usable audio")))</f>
        <v>train + test</v>
      </c>
      <c r="Y143" s="15" t="str">
        <f aca="false">IF($P143=0,"",IF($E143="nonbird",$B143,IF($G143="yes",$B143,"other bird")))</f>
        <v>other bird</v>
      </c>
      <c r="Z143" s="15" t="str">
        <f aca="false">IF(AND($F143="core",$P143&gt;0),$B143,"")</f>
        <v/>
      </c>
      <c r="AA143" s="15" t="str">
        <f aca="false">IF($P143&gt;0,$B143,"")</f>
        <v>Streak-crowned Antvireo</v>
      </c>
      <c r="AB143" s="15" t="n">
        <v>5</v>
      </c>
      <c r="AC143" s="15" t="n">
        <v>3</v>
      </c>
      <c r="AD143" s="17" t="n">
        <f aca="false">IF(COUNTIFS(Clips!$F:$F,$B143,Clips!$M:$M,"&gt;0",Clips!$C:$C,"&lt;&gt;excluded")=0,"",AVERAGEIFS(Clips!$M:$M,Clips!$F:$F,$B143,Clips!$M:$M,"&gt;0",Clips!$C:$C,"&lt;&gt;excluded"))</f>
        <v>3.375</v>
      </c>
      <c r="AE143" s="15" t="n">
        <f aca="false">COUNTIFS(Clips!$F:$F,$B143,Clips!$O:$O,"&lt;&gt;",Clips!$B:$B,"&lt;&gt;site",Clips!$C:$C,"&lt;&gt;excluded")</f>
        <v>2</v>
      </c>
      <c r="AF143" s="15" t="n">
        <f aca="false">COUNTIFS(Clips!$F:$F,$B143,Clips!$I:$I,"&lt;5",Clips!$C:$C,"&lt;&gt;excluded")</f>
        <v>0</v>
      </c>
      <c r="AG143" s="5"/>
    </row>
    <row r="144" customFormat="false" ht="15" hidden="false" customHeight="false" outlineLevel="0" collapsed="false">
      <c r="A144" s="15" t="n">
        <v>201</v>
      </c>
      <c r="B144" s="15" t="s">
        <v>586</v>
      </c>
      <c r="C144" s="15" t="s">
        <v>587</v>
      </c>
      <c r="D144" s="15" t="s">
        <v>588</v>
      </c>
      <c r="E144" s="15" t="s">
        <v>147</v>
      </c>
      <c r="F144" s="15" t="s">
        <v>400</v>
      </c>
      <c r="G144" s="15" t="str">
        <f aca="false">IF(AND($E144="bird",$K144&gt;0),"yes","")</f>
        <v/>
      </c>
      <c r="H144" s="15"/>
      <c r="I144" s="15" t="str">
        <f aca="false">IF($E144="bird",IF(COUNTIF('eBird List'!$A:$A,$B144)&gt;0,"yes","no"),"")</f>
        <v>yes</v>
      </c>
      <c r="J144" s="16" t="n">
        <f aca="false">IF(COUNTIF('eBird List'!$A:$A,$B144)=0,"",INDEX('eBird List'!$C:$C,MATCH($B144,'eBird List'!$A:$A,0)))</f>
        <v>0.00574815344293543</v>
      </c>
      <c r="K144" s="15" t="n">
        <f aca="false">COUNTIFS(Clips!$B:$B,"site",Clips!$F:$F,$B144)+COUNTIFS(Clips!$B:$B,"site",Clips!$O:$O,"*"&amp;$B144&amp;"*")</f>
        <v>0</v>
      </c>
      <c r="L144" s="15" t="n">
        <f aca="false">COUNTIFS(Clips!$F:$F,$B144,Clips!$B:$B,"macaulay")</f>
        <v>5</v>
      </c>
      <c r="M144" s="15" t="n">
        <f aca="false">COUNTIFS(Clips!$F:$F,$B144,Clips!$B:$B,"xeno-canto")</f>
        <v>0</v>
      </c>
      <c r="N144" s="15" t="n">
        <f aca="false">K144+L144+M144</f>
        <v>5</v>
      </c>
      <c r="O144" s="15" t="n">
        <f aca="false">COUNTIFS(Clips!$F:$F,$B144,Clips!$C:$C,"excluded")</f>
        <v>0</v>
      </c>
      <c r="P144" s="15" t="n">
        <f aca="false">COUNTIFS(Clips!$F:$F,$B144,Clips!$C:$C,"train")</f>
        <v>4</v>
      </c>
      <c r="Q144" s="15" t="n">
        <f aca="false">COUNTIFS(Clips!$F:$F,$B144,Clips!$C:$C,"val")</f>
        <v>0</v>
      </c>
      <c r="R144" s="15" t="n">
        <f aca="false">COUNTIFS(Clips!$F:$F,$B144,Clips!$C:$C,"test")</f>
        <v>1</v>
      </c>
      <c r="S144" s="17" t="n">
        <f aca="false">SUMIFS(Clips!$I:$I,Clips!$F:$F,$B144,Clips!$C:$C,"train")/60</f>
        <v>9.13495</v>
      </c>
      <c r="T144" s="17" t="n">
        <f aca="false">SUMIFS(Clips!$I:$I,Clips!$F:$F,$B144,Clips!$C:$C,"val")/60</f>
        <v>0</v>
      </c>
      <c r="U144" s="17" t="n">
        <f aca="false">SUMIFS(Clips!$I:$I,Clips!$F:$F,$B144,Clips!$C:$C,"test")/60</f>
        <v>0.572083333333333</v>
      </c>
      <c r="V144" s="15" t="n">
        <f aca="false">SUMIFS(Clips!$J:$J,Clips!$F:$F,$B144,Clips!$C:$C,"train")</f>
        <v>112</v>
      </c>
      <c r="W144" s="18" t="n">
        <f aca="false">IF(V144=0,"",Splits!$B$49/(Splits!$B$50*V144))</f>
        <v>1.39129885444744</v>
      </c>
      <c r="X144" s="15" t="str">
        <f aca="false">IF(P144&gt;0,IF(AND(Q144&gt;0,R144&gt;0),"train + val + test",IF(R144&gt;0,"train + test","train only")),IF(R144&gt;0,"test only (unknown class)",IF(K144&gt;0,"site extract only","no usable audio")))</f>
        <v>train + test</v>
      </c>
      <c r="Y144" s="15" t="str">
        <f aca="false">IF($P144=0,"",IF($E144="nonbird",$B144,IF($G144="yes",$B144,"other bird")))</f>
        <v>other bird</v>
      </c>
      <c r="Z144" s="15" t="str">
        <f aca="false">IF(AND($F144="core",$P144&gt;0),$B144,"")</f>
        <v/>
      </c>
      <c r="AA144" s="15" t="str">
        <f aca="false">IF($P144&gt;0,$B144,"")</f>
        <v>Striped Cuckoo</v>
      </c>
      <c r="AB144" s="15" t="n">
        <v>3</v>
      </c>
      <c r="AC144" s="15" t="n">
        <v>3</v>
      </c>
      <c r="AD144" s="17" t="n">
        <f aca="false">IF(COUNTIFS(Clips!$F:$F,$B144,Clips!$M:$M,"&gt;0",Clips!$C:$C,"&lt;&gt;excluded")=0,"",AVERAGEIFS(Clips!$M:$M,Clips!$F:$F,$B144,Clips!$M:$M,"&gt;0",Clips!$C:$C,"&lt;&gt;excluded"))</f>
        <v>3</v>
      </c>
      <c r="AE144" s="15" t="n">
        <f aca="false">COUNTIFS(Clips!$F:$F,$B144,Clips!$O:$O,"&lt;&gt;",Clips!$B:$B,"&lt;&gt;site",Clips!$C:$C,"&lt;&gt;excluded")</f>
        <v>0</v>
      </c>
      <c r="AF144" s="15" t="n">
        <f aca="false">COUNTIFS(Clips!$F:$F,$B144,Clips!$I:$I,"&lt;5",Clips!$C:$C,"&lt;&gt;excluded")</f>
        <v>0</v>
      </c>
      <c r="AG144" s="5"/>
    </row>
    <row r="145" customFormat="false" ht="15" hidden="false" customHeight="false" outlineLevel="0" collapsed="false">
      <c r="A145" s="15" t="n">
        <v>12</v>
      </c>
      <c r="B145" s="15" t="s">
        <v>589</v>
      </c>
      <c r="C145" s="15" t="s">
        <v>590</v>
      </c>
      <c r="D145" s="15" t="s">
        <v>591</v>
      </c>
      <c r="E145" s="15" t="s">
        <v>147</v>
      </c>
      <c r="F145" s="15" t="s">
        <v>400</v>
      </c>
      <c r="G145" s="15" t="str">
        <f aca="false">IF(AND($E145="bird",$K145&gt;0),"yes","")</f>
        <v/>
      </c>
      <c r="H145" s="15"/>
      <c r="I145" s="15" t="str">
        <f aca="false">IF($E145="bird",IF(COUNTIF('eBird List'!$A:$A,$B145)&gt;0,"yes","no"),"")</f>
        <v>yes</v>
      </c>
      <c r="J145" s="16" t="n">
        <f aca="false">IF(COUNTIF('eBird List'!$A:$A,$B145)=0,"",INDEX('eBird List'!$C:$C,MATCH($B145,'eBird List'!$A:$A,0)))</f>
        <v>0.0282940195377651</v>
      </c>
      <c r="K145" s="15" t="n">
        <f aca="false">COUNTIFS(Clips!$B:$B,"site",Clips!$F:$F,$B145)+COUNTIFS(Clips!$B:$B,"site",Clips!$O:$O,"*"&amp;$B145&amp;"*")</f>
        <v>0</v>
      </c>
      <c r="L145" s="15" t="n">
        <f aca="false">COUNTIFS(Clips!$F:$F,$B145,Clips!$B:$B,"macaulay")</f>
        <v>4</v>
      </c>
      <c r="M145" s="15" t="n">
        <f aca="false">COUNTIFS(Clips!$F:$F,$B145,Clips!$B:$B,"xeno-canto")</f>
        <v>0</v>
      </c>
      <c r="N145" s="15" t="n">
        <f aca="false">K145+L145+M145</f>
        <v>4</v>
      </c>
      <c r="O145" s="15" t="n">
        <f aca="false">COUNTIFS(Clips!$F:$F,$B145,Clips!$C:$C,"excluded")</f>
        <v>0</v>
      </c>
      <c r="P145" s="15" t="n">
        <f aca="false">COUNTIFS(Clips!$F:$F,$B145,Clips!$C:$C,"train")</f>
        <v>3</v>
      </c>
      <c r="Q145" s="15" t="n">
        <f aca="false">COUNTIFS(Clips!$F:$F,$B145,Clips!$C:$C,"val")</f>
        <v>0</v>
      </c>
      <c r="R145" s="15" t="n">
        <f aca="false">COUNTIFS(Clips!$F:$F,$B145,Clips!$C:$C,"test")</f>
        <v>1</v>
      </c>
      <c r="S145" s="17" t="n">
        <f aca="false">SUMIFS(Clips!$I:$I,Clips!$F:$F,$B145,Clips!$C:$C,"train")/60</f>
        <v>5.18313333333333</v>
      </c>
      <c r="T145" s="17" t="n">
        <f aca="false">SUMIFS(Clips!$I:$I,Clips!$F:$F,$B145,Clips!$C:$C,"val")/60</f>
        <v>0</v>
      </c>
      <c r="U145" s="17" t="n">
        <f aca="false">SUMIFS(Clips!$I:$I,Clips!$F:$F,$B145,Clips!$C:$C,"test")/60</f>
        <v>4.19723333333333</v>
      </c>
      <c r="V145" s="15" t="n">
        <f aca="false">SUMIFS(Clips!$J:$J,Clips!$F:$F,$B145,Clips!$C:$C,"train")</f>
        <v>63</v>
      </c>
      <c r="W145" s="18" t="n">
        <f aca="false">IF(V145=0,"",Splits!$B$49/(Splits!$B$50*V145))</f>
        <v>2.47342018568434</v>
      </c>
      <c r="X145" s="15" t="str">
        <f aca="false">IF(P145&gt;0,IF(AND(Q145&gt;0,R145&gt;0),"train + val + test",IF(R145&gt;0,"train + test","train only")),IF(R145&gt;0,"test only (unknown class)",IF(K145&gt;0,"site extract only","no usable audio")))</f>
        <v>train + test</v>
      </c>
      <c r="Y145" s="15" t="str">
        <f aca="false">IF($P145=0,"",IF($E145="nonbird",$B145,IF($G145="yes",$B145,"other bird")))</f>
        <v>other bird</v>
      </c>
      <c r="Z145" s="15" t="str">
        <f aca="false">IF(AND($F145="core",$P145&gt;0),$B145,"")</f>
        <v/>
      </c>
      <c r="AA145" s="15" t="str">
        <f aca="false">IF($P145&gt;0,$B145,"")</f>
        <v>Bicolored Antbird</v>
      </c>
      <c r="AB145" s="15" t="n">
        <v>4</v>
      </c>
      <c r="AC145" s="15" t="n">
        <v>4</v>
      </c>
      <c r="AD145" s="17" t="n">
        <f aca="false">IF(COUNTIFS(Clips!$F:$F,$B145,Clips!$M:$M,"&gt;0",Clips!$C:$C,"&lt;&gt;excluded")=0,"",AVERAGEIFS(Clips!$M:$M,Clips!$F:$F,$B145,Clips!$M:$M,"&gt;0",Clips!$C:$C,"&lt;&gt;excluded"))</f>
        <v>2</v>
      </c>
      <c r="AE145" s="15" t="n">
        <f aca="false">COUNTIFS(Clips!$F:$F,$B145,Clips!$O:$O,"&lt;&gt;",Clips!$B:$B,"&lt;&gt;site",Clips!$C:$C,"&lt;&gt;excluded")</f>
        <v>2</v>
      </c>
      <c r="AF145" s="15" t="n">
        <f aca="false">COUNTIFS(Clips!$F:$F,$B145,Clips!$I:$I,"&lt;5",Clips!$C:$C,"&lt;&gt;excluded")</f>
        <v>0</v>
      </c>
      <c r="AG145" s="5"/>
    </row>
    <row r="146" customFormat="false" ht="15" hidden="false" customHeight="false" outlineLevel="0" collapsed="false">
      <c r="A146" s="15" t="n">
        <v>20</v>
      </c>
      <c r="B146" s="15" t="s">
        <v>592</v>
      </c>
      <c r="C146" s="15" t="s">
        <v>593</v>
      </c>
      <c r="D146" s="15" t="s">
        <v>594</v>
      </c>
      <c r="E146" s="15" t="s">
        <v>147</v>
      </c>
      <c r="F146" s="15" t="s">
        <v>400</v>
      </c>
      <c r="G146" s="15" t="str">
        <f aca="false">IF(AND($E146="bird",$K146&gt;0),"yes","")</f>
        <v/>
      </c>
      <c r="H146" s="15"/>
      <c r="I146" s="15" t="str">
        <f aca="false">IF($E146="bird",IF(COUNTIF('eBird List'!$A:$A,$B146)&gt;0,"yes","no"),"")</f>
        <v>yes</v>
      </c>
      <c r="J146" s="16" t="n">
        <f aca="false">IF(COUNTIF('eBird List'!$A:$A,$B146)=0,"",INDEX('eBird List'!$C:$C,MATCH($B146,'eBird List'!$A:$A,0)))</f>
        <v>0.217983083154634</v>
      </c>
      <c r="K146" s="15" t="n">
        <f aca="false">COUNTIFS(Clips!$B:$B,"site",Clips!$F:$F,$B146)+COUNTIFS(Clips!$B:$B,"site",Clips!$O:$O,"*"&amp;$B146&amp;"*")</f>
        <v>0</v>
      </c>
      <c r="L146" s="15" t="n">
        <f aca="false">COUNTIFS(Clips!$F:$F,$B146,Clips!$B:$B,"macaulay")</f>
        <v>4</v>
      </c>
      <c r="M146" s="15" t="n">
        <f aca="false">COUNTIFS(Clips!$F:$F,$B146,Clips!$B:$B,"xeno-canto")</f>
        <v>0</v>
      </c>
      <c r="N146" s="15" t="n">
        <f aca="false">K146+L146+M146</f>
        <v>4</v>
      </c>
      <c r="O146" s="15" t="n">
        <f aca="false">COUNTIFS(Clips!$F:$F,$B146,Clips!$C:$C,"excluded")</f>
        <v>0</v>
      </c>
      <c r="P146" s="15" t="n">
        <f aca="false">COUNTIFS(Clips!$F:$F,$B146,Clips!$C:$C,"train")</f>
        <v>3</v>
      </c>
      <c r="Q146" s="15" t="n">
        <f aca="false">COUNTIFS(Clips!$F:$F,$B146,Clips!$C:$C,"val")</f>
        <v>0</v>
      </c>
      <c r="R146" s="15" t="n">
        <f aca="false">COUNTIFS(Clips!$F:$F,$B146,Clips!$C:$C,"test")</f>
        <v>1</v>
      </c>
      <c r="S146" s="17" t="n">
        <f aca="false">SUMIFS(Clips!$I:$I,Clips!$F:$F,$B146,Clips!$C:$C,"train")/60</f>
        <v>1.72256666666667</v>
      </c>
      <c r="T146" s="17" t="n">
        <f aca="false">SUMIFS(Clips!$I:$I,Clips!$F:$F,$B146,Clips!$C:$C,"val")/60</f>
        <v>0</v>
      </c>
      <c r="U146" s="17" t="n">
        <f aca="false">SUMIFS(Clips!$I:$I,Clips!$F:$F,$B146,Clips!$C:$C,"test")/60</f>
        <v>0.464616666666667</v>
      </c>
      <c r="V146" s="15" t="n">
        <f aca="false">SUMIFS(Clips!$J:$J,Clips!$F:$F,$B146,Clips!$C:$C,"train")</f>
        <v>22</v>
      </c>
      <c r="W146" s="18" t="n">
        <f aca="false">IF(V146=0,"",Splits!$B$49/(Splits!$B$50*V146))</f>
        <v>7.08297598627787</v>
      </c>
      <c r="X146" s="15" t="str">
        <f aca="false">IF(P146&gt;0,IF(AND(Q146&gt;0,R146&gt;0),"train + val + test",IF(R146&gt;0,"train + test","train only")),IF(R146&gt;0,"test only (unknown class)",IF(K146&gt;0,"site extract only","no usable audio")))</f>
        <v>train + test</v>
      </c>
      <c r="Y146" s="15" t="str">
        <f aca="false">IF($P146=0,"",IF($E146="nonbird",$B146,IF($G146="yes",$B146,"other bird")))</f>
        <v>other bird</v>
      </c>
      <c r="Z146" s="15" t="str">
        <f aca="false">IF(AND($F146="core",$P146&gt;0),$B146,"")</f>
        <v/>
      </c>
      <c r="AA146" s="15" t="str">
        <f aca="false">IF($P146&gt;0,$B146,"")</f>
        <v>Black-cowled Oriole</v>
      </c>
      <c r="AB146" s="15" t="n">
        <v>4</v>
      </c>
      <c r="AC146" s="15" t="n">
        <v>4</v>
      </c>
      <c r="AD146" s="17" t="n">
        <f aca="false">IF(COUNTIFS(Clips!$F:$F,$B146,Clips!$M:$M,"&gt;0",Clips!$C:$C,"&lt;&gt;excluded")=0,"",AVERAGEIFS(Clips!$M:$M,Clips!$F:$F,$B146,Clips!$M:$M,"&gt;0",Clips!$C:$C,"&lt;&gt;excluded"))</f>
        <v>2.72333333333333</v>
      </c>
      <c r="AE146" s="15" t="n">
        <f aca="false">COUNTIFS(Clips!$F:$F,$B146,Clips!$O:$O,"&lt;&gt;",Clips!$B:$B,"&lt;&gt;site",Clips!$C:$C,"&lt;&gt;excluded")</f>
        <v>0</v>
      </c>
      <c r="AF146" s="15" t="n">
        <f aca="false">COUNTIFS(Clips!$F:$F,$B146,Clips!$I:$I,"&lt;5",Clips!$C:$C,"&lt;&gt;excluded")</f>
        <v>0</v>
      </c>
      <c r="AG146" s="5"/>
    </row>
    <row r="147" customFormat="false" ht="15" hidden="false" customHeight="false" outlineLevel="0" collapsed="false">
      <c r="A147" s="15" t="n">
        <v>31</v>
      </c>
      <c r="B147" s="15" t="s">
        <v>595</v>
      </c>
      <c r="C147" s="15" t="s">
        <v>596</v>
      </c>
      <c r="D147" s="15" t="s">
        <v>597</v>
      </c>
      <c r="E147" s="15" t="s">
        <v>147</v>
      </c>
      <c r="F147" s="15" t="s">
        <v>400</v>
      </c>
      <c r="G147" s="15" t="str">
        <f aca="false">IF(AND($E147="bird",$K147&gt;0),"yes","")</f>
        <v/>
      </c>
      <c r="H147" s="15"/>
      <c r="I147" s="15" t="str">
        <f aca="false">IF($E147="bird",IF(COUNTIF('eBird List'!$A:$A,$B147)&gt;0,"yes","no"),"")</f>
        <v>yes</v>
      </c>
      <c r="J147" s="16" t="n">
        <f aca="false">IF(COUNTIF('eBird List'!$A:$A,$B147)=0,"",INDEX('eBird List'!$C:$C,MATCH($B147,'eBird List'!$A:$A,0)))</f>
        <v>0.0227245651655945</v>
      </c>
      <c r="K147" s="15" t="n">
        <f aca="false">COUNTIFS(Clips!$B:$B,"site",Clips!$F:$F,$B147)+COUNTIFS(Clips!$B:$B,"site",Clips!$O:$O,"*"&amp;$B147&amp;"*")</f>
        <v>0</v>
      </c>
      <c r="L147" s="15" t="n">
        <f aca="false">COUNTIFS(Clips!$F:$F,$B147,Clips!$B:$B,"macaulay")</f>
        <v>4</v>
      </c>
      <c r="M147" s="15" t="n">
        <f aca="false">COUNTIFS(Clips!$F:$F,$B147,Clips!$B:$B,"xeno-canto")</f>
        <v>0</v>
      </c>
      <c r="N147" s="15" t="n">
        <f aca="false">K147+L147+M147</f>
        <v>4</v>
      </c>
      <c r="O147" s="15" t="n">
        <f aca="false">COUNTIFS(Clips!$F:$F,$B147,Clips!$C:$C,"excluded")</f>
        <v>0</v>
      </c>
      <c r="P147" s="15" t="n">
        <f aca="false">COUNTIFS(Clips!$F:$F,$B147,Clips!$C:$C,"train")</f>
        <v>3</v>
      </c>
      <c r="Q147" s="15" t="n">
        <f aca="false">COUNTIFS(Clips!$F:$F,$B147,Clips!$C:$C,"val")</f>
        <v>0</v>
      </c>
      <c r="R147" s="15" t="n">
        <f aca="false">COUNTIFS(Clips!$F:$F,$B147,Clips!$C:$C,"test")</f>
        <v>1</v>
      </c>
      <c r="S147" s="17" t="n">
        <f aca="false">SUMIFS(Clips!$I:$I,Clips!$F:$F,$B147,Clips!$C:$C,"train")/60</f>
        <v>1.6569</v>
      </c>
      <c r="T147" s="17" t="n">
        <f aca="false">SUMIFS(Clips!$I:$I,Clips!$F:$F,$B147,Clips!$C:$C,"val")/60</f>
        <v>0</v>
      </c>
      <c r="U147" s="17" t="n">
        <f aca="false">SUMIFS(Clips!$I:$I,Clips!$F:$F,$B147,Clips!$C:$C,"test")/60</f>
        <v>0.0245</v>
      </c>
      <c r="V147" s="15" t="n">
        <f aca="false">SUMIFS(Clips!$J:$J,Clips!$F:$F,$B147,Clips!$C:$C,"train")</f>
        <v>21</v>
      </c>
      <c r="W147" s="18" t="n">
        <f aca="false">IF(V147=0,"",Splits!$B$49/(Splits!$B$50*V147))</f>
        <v>7.42026055705301</v>
      </c>
      <c r="X147" s="15" t="str">
        <f aca="false">IF(P147&gt;0,IF(AND(Q147&gt;0,R147&gt;0),"train + val + test",IF(R147&gt;0,"train + test","train only")),IF(R147&gt;0,"test only (unknown class)",IF(K147&gt;0,"site extract only","no usable audio")))</f>
        <v>train + test</v>
      </c>
      <c r="Y147" s="15" t="str">
        <f aca="false">IF($P147=0,"",IF($E147="nonbird",$B147,IF($G147="yes",$B147,"other bird")))</f>
        <v>other bird</v>
      </c>
      <c r="Z147" s="15" t="str">
        <f aca="false">IF(AND($F147="core",$P147&gt;0),$B147,"")</f>
        <v/>
      </c>
      <c r="AA147" s="15" t="str">
        <f aca="false">IF($P147&gt;0,$B147,"")</f>
        <v>Blue Ground Dove</v>
      </c>
      <c r="AB147" s="15" t="n">
        <v>4</v>
      </c>
      <c r="AC147" s="15" t="n">
        <v>4</v>
      </c>
      <c r="AD147" s="17" t="n">
        <f aca="false">IF(COUNTIFS(Clips!$F:$F,$B147,Clips!$M:$M,"&gt;0",Clips!$C:$C,"&lt;&gt;excluded")=0,"",AVERAGEIFS(Clips!$M:$M,Clips!$F:$F,$B147,Clips!$M:$M,"&gt;0",Clips!$C:$C,"&lt;&gt;excluded"))</f>
        <v>1.66666666666667</v>
      </c>
      <c r="AE147" s="15" t="n">
        <f aca="false">COUNTIFS(Clips!$F:$F,$B147,Clips!$O:$O,"&lt;&gt;",Clips!$B:$B,"&lt;&gt;site",Clips!$C:$C,"&lt;&gt;excluded")</f>
        <v>0</v>
      </c>
      <c r="AF147" s="15" t="n">
        <f aca="false">COUNTIFS(Clips!$F:$F,$B147,Clips!$I:$I,"&lt;5",Clips!$C:$C,"&lt;&gt;excluded")</f>
        <v>1</v>
      </c>
      <c r="AG147" s="5"/>
    </row>
    <row r="148" customFormat="false" ht="15" hidden="false" customHeight="false" outlineLevel="0" collapsed="false">
      <c r="A148" s="15" t="n">
        <v>43</v>
      </c>
      <c r="B148" s="15" t="s">
        <v>598</v>
      </c>
      <c r="C148" s="15" t="s">
        <v>599</v>
      </c>
      <c r="D148" s="15" t="s">
        <v>600</v>
      </c>
      <c r="E148" s="15" t="s">
        <v>147</v>
      </c>
      <c r="F148" s="15" t="s">
        <v>400</v>
      </c>
      <c r="G148" s="15" t="str">
        <f aca="false">IF(AND($E148="bird",$K148&gt;0),"yes","")</f>
        <v/>
      </c>
      <c r="H148" s="15"/>
      <c r="I148" s="15" t="str">
        <f aca="false">IF($E148="bird",IF(COUNTIF('eBird List'!$A:$A,$B148)&gt;0,"yes","no"),"")</f>
        <v>yes</v>
      </c>
      <c r="J148" s="16" t="n">
        <f aca="false">IF(COUNTIF('eBird List'!$A:$A,$B148)=0,"",INDEX('eBird List'!$C:$C,MATCH($B148,'eBird List'!$A:$A,0)))</f>
        <v>0.0925065522992614</v>
      </c>
      <c r="K148" s="15" t="n">
        <f aca="false">COUNTIFS(Clips!$B:$B,"site",Clips!$F:$F,$B148)+COUNTIFS(Clips!$B:$B,"site",Clips!$O:$O,"*"&amp;$B148&amp;"*")</f>
        <v>0</v>
      </c>
      <c r="L148" s="15" t="n">
        <f aca="false">COUNTIFS(Clips!$F:$F,$B148,Clips!$B:$B,"macaulay")</f>
        <v>4</v>
      </c>
      <c r="M148" s="15" t="n">
        <f aca="false">COUNTIFS(Clips!$F:$F,$B148,Clips!$B:$B,"xeno-canto")</f>
        <v>0</v>
      </c>
      <c r="N148" s="15" t="n">
        <f aca="false">K148+L148+M148</f>
        <v>4</v>
      </c>
      <c r="O148" s="15" t="n">
        <f aca="false">COUNTIFS(Clips!$F:$F,$B148,Clips!$C:$C,"excluded")</f>
        <v>0</v>
      </c>
      <c r="P148" s="15" t="n">
        <f aca="false">COUNTIFS(Clips!$F:$F,$B148,Clips!$C:$C,"train")</f>
        <v>3</v>
      </c>
      <c r="Q148" s="15" t="n">
        <f aca="false">COUNTIFS(Clips!$F:$F,$B148,Clips!$C:$C,"val")</f>
        <v>0</v>
      </c>
      <c r="R148" s="15" t="n">
        <f aca="false">COUNTIFS(Clips!$F:$F,$B148,Clips!$C:$C,"test")</f>
        <v>1</v>
      </c>
      <c r="S148" s="17" t="n">
        <f aca="false">SUMIFS(Clips!$I:$I,Clips!$F:$F,$B148,Clips!$C:$C,"train")/60</f>
        <v>4.50491666666667</v>
      </c>
      <c r="T148" s="17" t="n">
        <f aca="false">SUMIFS(Clips!$I:$I,Clips!$F:$F,$B148,Clips!$C:$C,"val")/60</f>
        <v>0</v>
      </c>
      <c r="U148" s="17" t="n">
        <f aca="false">SUMIFS(Clips!$I:$I,Clips!$F:$F,$B148,Clips!$C:$C,"test")/60</f>
        <v>1.81293333333333</v>
      </c>
      <c r="V148" s="15" t="n">
        <f aca="false">SUMIFS(Clips!$J:$J,Clips!$F:$F,$B148,Clips!$C:$C,"train")</f>
        <v>55</v>
      </c>
      <c r="W148" s="18" t="n">
        <f aca="false">IF(V148=0,"",Splits!$B$49/(Splits!$B$50*V148))</f>
        <v>2.83319039451115</v>
      </c>
      <c r="X148" s="15" t="str">
        <f aca="false">IF(P148&gt;0,IF(AND(Q148&gt;0,R148&gt;0),"train + val + test",IF(R148&gt;0,"train + test","train only")),IF(R148&gt;0,"test only (unknown class)",IF(K148&gt;0,"site extract only","no usable audio")))</f>
        <v>train + test</v>
      </c>
      <c r="Y148" s="15" t="str">
        <f aca="false">IF($P148=0,"",IF($E148="nonbird",$B148,IF($G148="yes",$B148,"other bird")))</f>
        <v>other bird</v>
      </c>
      <c r="Z148" s="15" t="str">
        <f aca="false">IF(AND($F148="core",$P148&gt;0),$B148,"")</f>
        <v/>
      </c>
      <c r="AA148" s="15" t="str">
        <f aca="false">IF($P148&gt;0,$B148,"")</f>
        <v>Brown-hooded Parrot</v>
      </c>
      <c r="AB148" s="15" t="n">
        <v>4</v>
      </c>
      <c r="AC148" s="15" t="n">
        <v>2</v>
      </c>
      <c r="AD148" s="17" t="n">
        <f aca="false">IF(COUNTIFS(Clips!$F:$F,$B148,Clips!$M:$M,"&gt;0",Clips!$C:$C,"&lt;&gt;excluded")=0,"",AVERAGEIFS(Clips!$M:$M,Clips!$F:$F,$B148,Clips!$M:$M,"&gt;0",Clips!$C:$C,"&lt;&gt;excluded"))</f>
        <v>3.58333333333333</v>
      </c>
      <c r="AE148" s="15" t="n">
        <f aca="false">COUNTIFS(Clips!$F:$F,$B148,Clips!$O:$O,"&lt;&gt;",Clips!$B:$B,"&lt;&gt;site",Clips!$C:$C,"&lt;&gt;excluded")</f>
        <v>0</v>
      </c>
      <c r="AF148" s="15" t="n">
        <f aca="false">COUNTIFS(Clips!$F:$F,$B148,Clips!$I:$I,"&lt;5",Clips!$C:$C,"&lt;&gt;excluded")</f>
        <v>0</v>
      </c>
      <c r="AG148" s="5"/>
    </row>
    <row r="149" customFormat="false" ht="15" hidden="false" customHeight="false" outlineLevel="0" collapsed="false">
      <c r="A149" s="15" t="n">
        <v>64</v>
      </c>
      <c r="B149" s="15" t="s">
        <v>601</v>
      </c>
      <c r="C149" s="15" t="s">
        <v>602</v>
      </c>
      <c r="D149" s="15" t="s">
        <v>603</v>
      </c>
      <c r="E149" s="15" t="s">
        <v>147</v>
      </c>
      <c r="F149" s="15" t="s">
        <v>400</v>
      </c>
      <c r="G149" s="15" t="str">
        <f aca="false">IF(AND($E149="bird",$K149&gt;0),"yes","")</f>
        <v/>
      </c>
      <c r="H149" s="15"/>
      <c r="I149" s="15" t="str">
        <f aca="false">IF($E149="bird",IF(COUNTIF('eBird List'!$A:$A,$B149)&gt;0,"yes","no"),"")</f>
        <v>yes</v>
      </c>
      <c r="J149" s="16" t="n">
        <f aca="false">IF(COUNTIF('eBird List'!$A:$A,$B149)=0,"",INDEX('eBird List'!$C:$C,MATCH($B149,'eBird List'!$A:$A,0)))</f>
        <v>0.00518227305218013</v>
      </c>
      <c r="K149" s="15" t="n">
        <f aca="false">COUNTIFS(Clips!$B:$B,"site",Clips!$F:$F,$B149)+COUNTIFS(Clips!$B:$B,"site",Clips!$O:$O,"*"&amp;$B149&amp;"*")</f>
        <v>0</v>
      </c>
      <c r="L149" s="15" t="n">
        <f aca="false">COUNTIFS(Clips!$F:$F,$B149,Clips!$B:$B,"macaulay")</f>
        <v>4</v>
      </c>
      <c r="M149" s="15" t="n">
        <f aca="false">COUNTIFS(Clips!$F:$F,$B149,Clips!$B:$B,"xeno-canto")</f>
        <v>0</v>
      </c>
      <c r="N149" s="15" t="n">
        <f aca="false">K149+L149+M149</f>
        <v>4</v>
      </c>
      <c r="O149" s="15" t="n">
        <f aca="false">COUNTIFS(Clips!$F:$F,$B149,Clips!$C:$C,"excluded")</f>
        <v>0</v>
      </c>
      <c r="P149" s="15" t="n">
        <f aca="false">COUNTIFS(Clips!$F:$F,$B149,Clips!$C:$C,"train")</f>
        <v>3</v>
      </c>
      <c r="Q149" s="15" t="n">
        <f aca="false">COUNTIFS(Clips!$F:$F,$B149,Clips!$C:$C,"val")</f>
        <v>0</v>
      </c>
      <c r="R149" s="15" t="n">
        <f aca="false">COUNTIFS(Clips!$F:$F,$B149,Clips!$C:$C,"test")</f>
        <v>1</v>
      </c>
      <c r="S149" s="17" t="n">
        <f aca="false">SUMIFS(Clips!$I:$I,Clips!$F:$F,$B149,Clips!$C:$C,"train")/60</f>
        <v>36.2366</v>
      </c>
      <c r="T149" s="17" t="n">
        <f aca="false">SUMIFS(Clips!$I:$I,Clips!$F:$F,$B149,Clips!$C:$C,"val")/60</f>
        <v>0</v>
      </c>
      <c r="U149" s="17" t="n">
        <f aca="false">SUMIFS(Clips!$I:$I,Clips!$F:$F,$B149,Clips!$C:$C,"test")/60</f>
        <v>2.07068333333333</v>
      </c>
      <c r="V149" s="15" t="n">
        <f aca="false">SUMIFS(Clips!$J:$J,Clips!$F:$F,$B149,Clips!$C:$C,"train")</f>
        <v>299</v>
      </c>
      <c r="W149" s="18" t="n">
        <f aca="false">IF(V149=0,"",Splits!$B$49/(Splits!$B$50*V149))</f>
        <v>0.521155423739509</v>
      </c>
      <c r="X149" s="15" t="str">
        <f aca="false">IF(P149&gt;0,IF(AND(Q149&gt;0,R149&gt;0),"train + val + test",IF(R149&gt;0,"train + test","train only")),IF(R149&gt;0,"test only (unknown class)",IF(K149&gt;0,"site extract only","no usable audio")))</f>
        <v>train + test</v>
      </c>
      <c r="Y149" s="15" t="str">
        <f aca="false">IF($P149=0,"",IF($E149="nonbird",$B149,IF($G149="yes",$B149,"other bird")))</f>
        <v>other bird</v>
      </c>
      <c r="Z149" s="15" t="str">
        <f aca="false">IF(AND($F149="core",$P149&gt;0),$B149,"")</f>
        <v/>
      </c>
      <c r="AA149" s="15" t="str">
        <f aca="false">IF($P149&gt;0,$B149,"")</f>
        <v>Common Potoo</v>
      </c>
      <c r="AB149" s="15" t="n">
        <v>4</v>
      </c>
      <c r="AC149" s="15" t="n">
        <v>1</v>
      </c>
      <c r="AD149" s="17" t="n">
        <f aca="false">IF(COUNTIFS(Clips!$F:$F,$B149,Clips!$M:$M,"&gt;0",Clips!$C:$C,"&lt;&gt;excluded")=0,"",AVERAGEIFS(Clips!$M:$M,Clips!$F:$F,$B149,Clips!$M:$M,"&gt;0",Clips!$C:$C,"&lt;&gt;excluded"))</f>
        <v>2.385</v>
      </c>
      <c r="AE149" s="15" t="n">
        <f aca="false">COUNTIFS(Clips!$F:$F,$B149,Clips!$O:$O,"&lt;&gt;",Clips!$B:$B,"&lt;&gt;site",Clips!$C:$C,"&lt;&gt;excluded")</f>
        <v>1</v>
      </c>
      <c r="AF149" s="15" t="n">
        <f aca="false">COUNTIFS(Clips!$F:$F,$B149,Clips!$I:$I,"&lt;5",Clips!$C:$C,"&lt;&gt;excluded")</f>
        <v>0</v>
      </c>
      <c r="AG149" s="5"/>
    </row>
    <row r="150" customFormat="false" ht="15" hidden="false" customHeight="false" outlineLevel="0" collapsed="false">
      <c r="A150" s="15" t="n">
        <v>97</v>
      </c>
      <c r="B150" s="15" t="s">
        <v>604</v>
      </c>
      <c r="C150" s="15" t="s">
        <v>605</v>
      </c>
      <c r="D150" s="15" t="s">
        <v>606</v>
      </c>
      <c r="E150" s="15" t="s">
        <v>147</v>
      </c>
      <c r="F150" s="15" t="s">
        <v>400</v>
      </c>
      <c r="G150" s="15" t="str">
        <f aca="false">IF(AND($E150="bird",$K150&gt;0),"yes","")</f>
        <v/>
      </c>
      <c r="H150" s="15"/>
      <c r="I150" s="15" t="str">
        <f aca="false">IF($E150="bird",IF(COUNTIF('eBird List'!$A:$A,$B150)&gt;0,"yes","no"),"")</f>
        <v>yes</v>
      </c>
      <c r="J150" s="16" t="n">
        <f aca="false">IF(COUNTIF('eBird List'!$A:$A,$B150)=0,"",INDEX('eBird List'!$C:$C,MATCH($B150,'eBird List'!$A:$A,0)))</f>
        <v>0.281331903740767</v>
      </c>
      <c r="K150" s="15" t="n">
        <f aca="false">COUNTIFS(Clips!$B:$B,"site",Clips!$F:$F,$B150)+COUNTIFS(Clips!$B:$B,"site",Clips!$O:$O,"*"&amp;$B150&amp;"*")</f>
        <v>0</v>
      </c>
      <c r="L150" s="15" t="n">
        <f aca="false">COUNTIFS(Clips!$F:$F,$B150,Clips!$B:$B,"macaulay")</f>
        <v>4</v>
      </c>
      <c r="M150" s="15" t="n">
        <f aca="false">COUNTIFS(Clips!$F:$F,$B150,Clips!$B:$B,"xeno-canto")</f>
        <v>0</v>
      </c>
      <c r="N150" s="15" t="n">
        <f aca="false">K150+L150+M150</f>
        <v>4</v>
      </c>
      <c r="O150" s="15" t="n">
        <f aca="false">COUNTIFS(Clips!$F:$F,$B150,Clips!$C:$C,"excluded")</f>
        <v>0</v>
      </c>
      <c r="P150" s="15" t="n">
        <f aca="false">COUNTIFS(Clips!$F:$F,$B150,Clips!$C:$C,"train")</f>
        <v>3</v>
      </c>
      <c r="Q150" s="15" t="n">
        <f aca="false">COUNTIFS(Clips!$F:$F,$B150,Clips!$C:$C,"val")</f>
        <v>0</v>
      </c>
      <c r="R150" s="15" t="n">
        <f aca="false">COUNTIFS(Clips!$F:$F,$B150,Clips!$C:$C,"test")</f>
        <v>1</v>
      </c>
      <c r="S150" s="17" t="n">
        <f aca="false">SUMIFS(Clips!$I:$I,Clips!$F:$F,$B150,Clips!$C:$C,"train")/60</f>
        <v>3.84191666666667</v>
      </c>
      <c r="T150" s="17" t="n">
        <f aca="false">SUMIFS(Clips!$I:$I,Clips!$F:$F,$B150,Clips!$C:$C,"val")/60</f>
        <v>0</v>
      </c>
      <c r="U150" s="17" t="n">
        <f aca="false">SUMIFS(Clips!$I:$I,Clips!$F:$F,$B150,Clips!$C:$C,"test")/60</f>
        <v>0.1747</v>
      </c>
      <c r="V150" s="15" t="n">
        <f aca="false">SUMIFS(Clips!$J:$J,Clips!$F:$F,$B150,Clips!$C:$C,"train")</f>
        <v>47</v>
      </c>
      <c r="W150" s="18" t="n">
        <f aca="false">IF(V150=0,"",Splits!$B$49/(Splits!$B$50*V150))</f>
        <v>3.31543556804496</v>
      </c>
      <c r="X150" s="15" t="str">
        <f aca="false">IF(P150&gt;0,IF(AND(Q150&gt;0,R150&gt;0),"train + val + test",IF(R150&gt;0,"train + test","train only")),IF(R150&gt;0,"test only (unknown class)",IF(K150&gt;0,"site extract only","no usable audio")))</f>
        <v>train + test</v>
      </c>
      <c r="Y150" s="15" t="str">
        <f aca="false">IF($P150=0,"",IF($E150="nonbird",$B150,IF($G150="yes",$B150,"other bird")))</f>
        <v>other bird</v>
      </c>
      <c r="Z150" s="15" t="str">
        <f aca="false">IF(AND($F150="core",$P150&gt;0),$B150,"")</f>
        <v/>
      </c>
      <c r="AA150" s="15" t="str">
        <f aca="false">IF($P150&gt;0,$B150,"")</f>
        <v>Gray-rumped Swift</v>
      </c>
      <c r="AB150" s="15" t="n">
        <v>4</v>
      </c>
      <c r="AC150" s="15" t="n">
        <v>3</v>
      </c>
      <c r="AD150" s="17" t="n">
        <f aca="false">IF(COUNTIFS(Clips!$F:$F,$B150,Clips!$M:$M,"&gt;0",Clips!$C:$C,"&lt;&gt;excluded")=0,"",AVERAGEIFS(Clips!$M:$M,Clips!$F:$F,$B150,Clips!$M:$M,"&gt;0",Clips!$C:$C,"&lt;&gt;excluded"))</f>
        <v>2</v>
      </c>
      <c r="AE150" s="15" t="n">
        <f aca="false">COUNTIFS(Clips!$F:$F,$B150,Clips!$O:$O,"&lt;&gt;",Clips!$B:$B,"&lt;&gt;site",Clips!$C:$C,"&lt;&gt;excluded")</f>
        <v>1</v>
      </c>
      <c r="AF150" s="15" t="n">
        <f aca="false">COUNTIFS(Clips!$F:$F,$B150,Clips!$I:$I,"&lt;5",Clips!$C:$C,"&lt;&gt;excluded")</f>
        <v>1</v>
      </c>
      <c r="AG150" s="5"/>
    </row>
    <row r="151" customFormat="false" ht="15" hidden="false" customHeight="false" outlineLevel="0" collapsed="false">
      <c r="A151" s="15" t="n">
        <v>108</v>
      </c>
      <c r="B151" s="15" t="s">
        <v>607</v>
      </c>
      <c r="C151" s="15" t="s">
        <v>608</v>
      </c>
      <c r="D151" s="15" t="s">
        <v>609</v>
      </c>
      <c r="E151" s="15" t="s">
        <v>147</v>
      </c>
      <c r="F151" s="15" t="s">
        <v>400</v>
      </c>
      <c r="G151" s="15" t="str">
        <f aca="false">IF(AND($E151="bird",$K151&gt;0),"yes","")</f>
        <v/>
      </c>
      <c r="H151" s="15"/>
      <c r="I151" s="15" t="str">
        <f aca="false">IF($E151="bird",IF(COUNTIF('eBird List'!$A:$A,$B151)&gt;0,"yes","no"),"")</f>
        <v>yes</v>
      </c>
      <c r="J151" s="16" t="n">
        <f aca="false">IF(COUNTIF('eBird List'!$A:$A,$B151)=0,"",INDEX('eBird List'!$C:$C,MATCH($B151,'eBird List'!$A:$A,0)))</f>
        <v>0.0170955444365023</v>
      </c>
      <c r="K151" s="15" t="n">
        <f aca="false">COUNTIFS(Clips!$B:$B,"site",Clips!$F:$F,$B151)+COUNTIFS(Clips!$B:$B,"site",Clips!$O:$O,"*"&amp;$B151&amp;"*")</f>
        <v>0</v>
      </c>
      <c r="L151" s="15" t="n">
        <f aca="false">COUNTIFS(Clips!$F:$F,$B151,Clips!$B:$B,"macaulay")</f>
        <v>4</v>
      </c>
      <c r="M151" s="15" t="n">
        <f aca="false">COUNTIFS(Clips!$F:$F,$B151,Clips!$B:$B,"xeno-canto")</f>
        <v>0</v>
      </c>
      <c r="N151" s="15" t="n">
        <f aca="false">K151+L151+M151</f>
        <v>4</v>
      </c>
      <c r="O151" s="15" t="n">
        <f aca="false">COUNTIFS(Clips!$F:$F,$B151,Clips!$C:$C,"excluded")</f>
        <v>0</v>
      </c>
      <c r="P151" s="15" t="n">
        <f aca="false">COUNTIFS(Clips!$F:$F,$B151,Clips!$C:$C,"train")</f>
        <v>3</v>
      </c>
      <c r="Q151" s="15" t="n">
        <f aca="false">COUNTIFS(Clips!$F:$F,$B151,Clips!$C:$C,"val")</f>
        <v>0</v>
      </c>
      <c r="R151" s="15" t="n">
        <f aca="false">COUNTIFS(Clips!$F:$F,$B151,Clips!$C:$C,"test")</f>
        <v>1</v>
      </c>
      <c r="S151" s="17" t="n">
        <f aca="false">SUMIFS(Clips!$I:$I,Clips!$F:$F,$B151,Clips!$C:$C,"train")/60</f>
        <v>3.54051666666667</v>
      </c>
      <c r="T151" s="17" t="n">
        <f aca="false">SUMIFS(Clips!$I:$I,Clips!$F:$F,$B151,Clips!$C:$C,"val")/60</f>
        <v>0</v>
      </c>
      <c r="U151" s="17" t="n">
        <f aca="false">SUMIFS(Clips!$I:$I,Clips!$F:$F,$B151,Clips!$C:$C,"test")/60</f>
        <v>1.17815</v>
      </c>
      <c r="V151" s="15" t="n">
        <f aca="false">SUMIFS(Clips!$J:$J,Clips!$F:$F,$B151,Clips!$C:$C,"train")</f>
        <v>44</v>
      </c>
      <c r="W151" s="18" t="n">
        <f aca="false">IF(V151=0,"",Splits!$B$49/(Splits!$B$50*V151))</f>
        <v>3.54148799313894</v>
      </c>
      <c r="X151" s="15" t="str">
        <f aca="false">IF(P151&gt;0,IF(AND(Q151&gt;0,R151&gt;0),"train + val + test",IF(R151&gt;0,"train + test","train only")),IF(R151&gt;0,"test only (unknown class)",IF(K151&gt;0,"site extract only","no usable audio")))</f>
        <v>train + test</v>
      </c>
      <c r="Y151" s="15" t="str">
        <f aca="false">IF($P151=0,"",IF($E151="nonbird",$B151,IF($G151="yes",$B151,"other bird")))</f>
        <v>other bird</v>
      </c>
      <c r="Z151" s="15" t="str">
        <f aca="false">IF(AND($F151="core",$P151&gt;0),$B151,"")</f>
        <v/>
      </c>
      <c r="AA151" s="15" t="str">
        <f aca="false">IF($P151&gt;0,$B151,"")</f>
        <v>Green Shrike-Vireo</v>
      </c>
      <c r="AB151" s="15" t="n">
        <v>4</v>
      </c>
      <c r="AC151" s="15" t="n">
        <v>3</v>
      </c>
      <c r="AD151" s="17" t="n">
        <f aca="false">IF(COUNTIFS(Clips!$F:$F,$B151,Clips!$M:$M,"&gt;0",Clips!$C:$C,"&lt;&gt;excluded")=0,"",AVERAGEIFS(Clips!$M:$M,Clips!$F:$F,$B151,Clips!$M:$M,"&gt;0",Clips!$C:$C,"&lt;&gt;excluded"))</f>
        <v>3.05</v>
      </c>
      <c r="AE151" s="15" t="n">
        <f aca="false">COUNTIFS(Clips!$F:$F,$B151,Clips!$O:$O,"&lt;&gt;",Clips!$B:$B,"&lt;&gt;site",Clips!$C:$C,"&lt;&gt;excluded")</f>
        <v>0</v>
      </c>
      <c r="AF151" s="15" t="n">
        <f aca="false">COUNTIFS(Clips!$F:$F,$B151,Clips!$I:$I,"&lt;5",Clips!$C:$C,"&lt;&gt;excluded")</f>
        <v>0</v>
      </c>
      <c r="AG151" s="5"/>
    </row>
    <row r="152" customFormat="false" ht="15" hidden="false" customHeight="false" outlineLevel="0" collapsed="false">
      <c r="A152" s="15" t="n">
        <v>125</v>
      </c>
      <c r="B152" s="15" t="s">
        <v>610</v>
      </c>
      <c r="C152" s="15" t="s">
        <v>611</v>
      </c>
      <c r="D152" s="15" t="s">
        <v>612</v>
      </c>
      <c r="E152" s="15" t="s">
        <v>147</v>
      </c>
      <c r="F152" s="15" t="s">
        <v>613</v>
      </c>
      <c r="G152" s="15" t="str">
        <f aca="false">IF(AND($E152="bird",$K152&gt;0),"yes","")</f>
        <v/>
      </c>
      <c r="H152" s="15"/>
      <c r="I152" s="15" t="str">
        <f aca="false">IF($E152="bird",IF(COUNTIF('eBird List'!$A:$A,$B152)&gt;0,"yes","no"),"")</f>
        <v>yes</v>
      </c>
      <c r="J152" s="16" t="n">
        <f aca="false">IF(COUNTIF('eBird List'!$A:$A,$B152)=0,"",INDEX('eBird List'!$C:$C,MATCH($B152,'eBird List'!$A:$A,0)))</f>
        <v>0.0478317846080534</v>
      </c>
      <c r="K152" s="15" t="n">
        <f aca="false">COUNTIFS(Clips!$B:$B,"site",Clips!$F:$F,$B152)+COUNTIFS(Clips!$B:$B,"site",Clips!$O:$O,"*"&amp;$B152&amp;"*")</f>
        <v>0</v>
      </c>
      <c r="L152" s="15" t="n">
        <f aca="false">COUNTIFS(Clips!$F:$F,$B152,Clips!$B:$B,"macaulay")</f>
        <v>1</v>
      </c>
      <c r="M152" s="15" t="n">
        <f aca="false">COUNTIFS(Clips!$F:$F,$B152,Clips!$B:$B,"xeno-canto")</f>
        <v>3</v>
      </c>
      <c r="N152" s="15" t="n">
        <f aca="false">K152+L152+M152</f>
        <v>4</v>
      </c>
      <c r="O152" s="15" t="n">
        <f aca="false">COUNTIFS(Clips!$F:$F,$B152,Clips!$C:$C,"excluded")</f>
        <v>0</v>
      </c>
      <c r="P152" s="15" t="n">
        <f aca="false">COUNTIFS(Clips!$F:$F,$B152,Clips!$C:$C,"train")</f>
        <v>3</v>
      </c>
      <c r="Q152" s="15" t="n">
        <f aca="false">COUNTIFS(Clips!$F:$F,$B152,Clips!$C:$C,"val")</f>
        <v>0</v>
      </c>
      <c r="R152" s="15" t="n">
        <f aca="false">COUNTIFS(Clips!$F:$F,$B152,Clips!$C:$C,"test")</f>
        <v>1</v>
      </c>
      <c r="S152" s="17" t="n">
        <f aca="false">SUMIFS(Clips!$I:$I,Clips!$F:$F,$B152,Clips!$C:$C,"train")/60</f>
        <v>2.4864</v>
      </c>
      <c r="T152" s="17" t="n">
        <f aca="false">SUMIFS(Clips!$I:$I,Clips!$F:$F,$B152,Clips!$C:$C,"val")/60</f>
        <v>0</v>
      </c>
      <c r="U152" s="17" t="n">
        <f aca="false">SUMIFS(Clips!$I:$I,Clips!$F:$F,$B152,Clips!$C:$C,"test")/60</f>
        <v>0.0873166666666667</v>
      </c>
      <c r="V152" s="15" t="n">
        <f aca="false">SUMIFS(Clips!$J:$J,Clips!$F:$F,$B152,Clips!$C:$C,"train")</f>
        <v>31</v>
      </c>
      <c r="W152" s="18" t="n">
        <f aca="false">IF(V152=0,"",Splits!$B$49/(Splits!$B$50*V152))</f>
        <v>5.02662811929397</v>
      </c>
      <c r="X152" s="15" t="str">
        <f aca="false">IF(P152&gt;0,IF(AND(Q152&gt;0,R152&gt;0),"train + val + test",IF(R152&gt;0,"train + test","train only")),IF(R152&gt;0,"test only (unknown class)",IF(K152&gt;0,"site extract only","no usable audio")))</f>
        <v>train + test</v>
      </c>
      <c r="Y152" s="15" t="str">
        <f aca="false">IF($P152=0,"",IF($E152="nonbird",$B152,IF($G152="yes",$B152,"other bird")))</f>
        <v>other bird</v>
      </c>
      <c r="Z152" s="15" t="str">
        <f aca="false">IF(AND($F152="core",$P152&gt;0),$B152,"")</f>
        <v/>
      </c>
      <c r="AA152" s="15" t="str">
        <f aca="false">IF($P152&gt;0,$B152,"")</f>
        <v>Melodious Blackbird</v>
      </c>
      <c r="AB152" s="15" t="n">
        <v>4</v>
      </c>
      <c r="AC152" s="15" t="n">
        <v>2</v>
      </c>
      <c r="AD152" s="17" t="n">
        <f aca="false">IF(COUNTIFS(Clips!$F:$F,$B152,Clips!$M:$M,"&gt;0",Clips!$C:$C,"&lt;&gt;excluded")=0,"",AVERAGEIFS(Clips!$M:$M,Clips!$F:$F,$B152,Clips!$M:$M,"&gt;0",Clips!$C:$C,"&lt;&gt;excluded"))</f>
        <v>2</v>
      </c>
      <c r="AE152" s="15" t="n">
        <f aca="false">COUNTIFS(Clips!$F:$F,$B152,Clips!$O:$O,"&lt;&gt;",Clips!$B:$B,"&lt;&gt;site",Clips!$C:$C,"&lt;&gt;excluded")</f>
        <v>0</v>
      </c>
      <c r="AF152" s="15" t="n">
        <f aca="false">COUNTIFS(Clips!$F:$F,$B152,Clips!$I:$I,"&lt;5",Clips!$C:$C,"&lt;&gt;excluded")</f>
        <v>0</v>
      </c>
      <c r="AG152" s="5"/>
    </row>
    <row r="153" customFormat="false" ht="15" hidden="false" customHeight="false" outlineLevel="0" collapsed="false">
      <c r="A153" s="15" t="n">
        <v>131</v>
      </c>
      <c r="B153" s="15" t="s">
        <v>614</v>
      </c>
      <c r="C153" s="15" t="s">
        <v>615</v>
      </c>
      <c r="D153" s="15" t="s">
        <v>616</v>
      </c>
      <c r="E153" s="15" t="s">
        <v>147</v>
      </c>
      <c r="F153" s="15" t="s">
        <v>400</v>
      </c>
      <c r="G153" s="15" t="str">
        <f aca="false">IF(AND($E153="bird",$K153&gt;0),"yes","")</f>
        <v/>
      </c>
      <c r="H153" s="15"/>
      <c r="I153" s="15" t="str">
        <f aca="false">IF($E153="bird",IF(COUNTIF('eBird List'!$A:$A,$B153)&gt;0,"yes","no"),"")</f>
        <v>yes</v>
      </c>
      <c r="J153" s="16" t="n">
        <f aca="false">IF(COUNTIF('eBird List'!$A:$A,$B153)=0,"",INDEX('eBird List'!$C:$C,MATCH($B153,'eBird List'!$A:$A,0)))</f>
        <v>0.00735644507981892</v>
      </c>
      <c r="K153" s="15" t="n">
        <f aca="false">COUNTIFS(Clips!$B:$B,"site",Clips!$F:$F,$B153)+COUNTIFS(Clips!$B:$B,"site",Clips!$O:$O,"*"&amp;$B153&amp;"*")</f>
        <v>0</v>
      </c>
      <c r="L153" s="15" t="n">
        <f aca="false">COUNTIFS(Clips!$F:$F,$B153,Clips!$B:$B,"macaulay")</f>
        <v>4</v>
      </c>
      <c r="M153" s="15" t="n">
        <f aca="false">COUNTIFS(Clips!$F:$F,$B153,Clips!$B:$B,"xeno-canto")</f>
        <v>0</v>
      </c>
      <c r="N153" s="15" t="n">
        <f aca="false">K153+L153+M153</f>
        <v>4</v>
      </c>
      <c r="O153" s="15" t="n">
        <f aca="false">COUNTIFS(Clips!$F:$F,$B153,Clips!$C:$C,"excluded")</f>
        <v>0</v>
      </c>
      <c r="P153" s="15" t="n">
        <f aca="false">COUNTIFS(Clips!$F:$F,$B153,Clips!$C:$C,"train")</f>
        <v>3</v>
      </c>
      <c r="Q153" s="15" t="n">
        <f aca="false">COUNTIFS(Clips!$F:$F,$B153,Clips!$C:$C,"val")</f>
        <v>0</v>
      </c>
      <c r="R153" s="15" t="n">
        <f aca="false">COUNTIFS(Clips!$F:$F,$B153,Clips!$C:$C,"test")</f>
        <v>1</v>
      </c>
      <c r="S153" s="17" t="n">
        <f aca="false">SUMIFS(Clips!$I:$I,Clips!$F:$F,$B153,Clips!$C:$C,"train")/60</f>
        <v>13.4539166666667</v>
      </c>
      <c r="T153" s="17" t="n">
        <f aca="false">SUMIFS(Clips!$I:$I,Clips!$F:$F,$B153,Clips!$C:$C,"val")/60</f>
        <v>0</v>
      </c>
      <c r="U153" s="17" t="n">
        <f aca="false">SUMIFS(Clips!$I:$I,Clips!$F:$F,$B153,Clips!$C:$C,"test")/60</f>
        <v>4.04608333333333</v>
      </c>
      <c r="V153" s="15" t="n">
        <f aca="false">SUMIFS(Clips!$J:$J,Clips!$F:$F,$B153,Clips!$C:$C,"train")</f>
        <v>163</v>
      </c>
      <c r="W153" s="18" t="n">
        <f aca="false">IF(V153=0,"",Splits!$B$49/(Splits!$B$50*V153))</f>
        <v>0.95598448894548</v>
      </c>
      <c r="X153" s="15" t="str">
        <f aca="false">IF(P153&gt;0,IF(AND(Q153&gt;0,R153&gt;0),"train + val + test",IF(R153&gt;0,"train + test","train only")),IF(R153&gt;0,"test only (unknown class)",IF(K153&gt;0,"site extract only","no usable audio")))</f>
        <v>train + test</v>
      </c>
      <c r="Y153" s="15" t="str">
        <f aca="false">IF($P153=0,"",IF($E153="nonbird",$B153,IF($G153="yes",$B153,"other bird")))</f>
        <v>other bird</v>
      </c>
      <c r="Z153" s="15" t="str">
        <f aca="false">IF(AND($F153="core",$P153&gt;0),$B153,"")</f>
        <v/>
      </c>
      <c r="AA153" s="15" t="str">
        <f aca="false">IF($P153&gt;0,$B153,"")</f>
        <v>Nicaraguan Seed-Finch</v>
      </c>
      <c r="AB153" s="15" t="n">
        <v>4</v>
      </c>
      <c r="AC153" s="15" t="n">
        <v>4</v>
      </c>
      <c r="AD153" s="17" t="n">
        <f aca="false">IF(COUNTIFS(Clips!$F:$F,$B153,Clips!$M:$M,"&gt;0",Clips!$C:$C,"&lt;&gt;excluded")=0,"",AVERAGEIFS(Clips!$M:$M,Clips!$F:$F,$B153,Clips!$M:$M,"&gt;0",Clips!$C:$C,"&lt;&gt;excluded"))</f>
        <v>2.75</v>
      </c>
      <c r="AE153" s="15" t="n">
        <f aca="false">COUNTIFS(Clips!$F:$F,$B153,Clips!$O:$O,"&lt;&gt;",Clips!$B:$B,"&lt;&gt;site",Clips!$C:$C,"&lt;&gt;excluded")</f>
        <v>2</v>
      </c>
      <c r="AF153" s="15" t="n">
        <f aca="false">COUNTIFS(Clips!$F:$F,$B153,Clips!$I:$I,"&lt;5",Clips!$C:$C,"&lt;&gt;excluded")</f>
        <v>0</v>
      </c>
      <c r="AG153" s="5"/>
    </row>
    <row r="154" customFormat="false" ht="15" hidden="false" customHeight="false" outlineLevel="0" collapsed="false">
      <c r="A154" s="15" t="n">
        <v>163</v>
      </c>
      <c r="B154" s="15" t="s">
        <v>617</v>
      </c>
      <c r="C154" s="15" t="s">
        <v>618</v>
      </c>
      <c r="D154" s="15" t="s">
        <v>619</v>
      </c>
      <c r="E154" s="15" t="s">
        <v>147</v>
      </c>
      <c r="F154" s="15" t="s">
        <v>400</v>
      </c>
      <c r="G154" s="15" t="str">
        <f aca="false">IF(AND($E154="bird",$K154&gt;0),"yes","")</f>
        <v/>
      </c>
      <c r="H154" s="15"/>
      <c r="I154" s="15" t="str">
        <f aca="false">IF($E154="bird",IF(COUNTIF('eBird List'!$A:$A,$B154)&gt;0,"yes","no"),"")</f>
        <v>yes</v>
      </c>
      <c r="J154" s="16" t="n">
        <f aca="false">IF(COUNTIF('eBird List'!$A:$A,$B154)=0,"",INDEX('eBird List'!$C:$C,MATCH($B154,'eBird List'!$A:$A,0)))</f>
        <v>0.0539373361925185</v>
      </c>
      <c r="K154" s="15" t="n">
        <f aca="false">COUNTIFS(Clips!$B:$B,"site",Clips!$F:$F,$B154)+COUNTIFS(Clips!$B:$B,"site",Clips!$O:$O,"*"&amp;$B154&amp;"*")</f>
        <v>0</v>
      </c>
      <c r="L154" s="15" t="n">
        <f aca="false">COUNTIFS(Clips!$F:$F,$B154,Clips!$B:$B,"macaulay")</f>
        <v>4</v>
      </c>
      <c r="M154" s="15" t="n">
        <f aca="false">COUNTIFS(Clips!$F:$F,$B154,Clips!$B:$B,"xeno-canto")</f>
        <v>0</v>
      </c>
      <c r="N154" s="15" t="n">
        <f aca="false">K154+L154+M154</f>
        <v>4</v>
      </c>
      <c r="O154" s="15" t="n">
        <f aca="false">COUNTIFS(Clips!$F:$F,$B154,Clips!$C:$C,"excluded")</f>
        <v>0</v>
      </c>
      <c r="P154" s="15" t="n">
        <f aca="false">COUNTIFS(Clips!$F:$F,$B154,Clips!$C:$C,"train")</f>
        <v>3</v>
      </c>
      <c r="Q154" s="15" t="n">
        <f aca="false">COUNTIFS(Clips!$F:$F,$B154,Clips!$C:$C,"val")</f>
        <v>0</v>
      </c>
      <c r="R154" s="15" t="n">
        <f aca="false">COUNTIFS(Clips!$F:$F,$B154,Clips!$C:$C,"test")</f>
        <v>1</v>
      </c>
      <c r="S154" s="17" t="n">
        <f aca="false">SUMIFS(Clips!$I:$I,Clips!$F:$F,$B154,Clips!$C:$C,"train")/60</f>
        <v>1.17433333333333</v>
      </c>
      <c r="T154" s="17" t="n">
        <f aca="false">SUMIFS(Clips!$I:$I,Clips!$F:$F,$B154,Clips!$C:$C,"val")/60</f>
        <v>0</v>
      </c>
      <c r="U154" s="17" t="n">
        <f aca="false">SUMIFS(Clips!$I:$I,Clips!$F:$F,$B154,Clips!$C:$C,"test")/60</f>
        <v>0.230583333333333</v>
      </c>
      <c r="V154" s="15" t="n">
        <f aca="false">SUMIFS(Clips!$J:$J,Clips!$F:$F,$B154,Clips!$C:$C,"train")</f>
        <v>16</v>
      </c>
      <c r="W154" s="18" t="n">
        <f aca="false">IF(V154=0,"",Splits!$B$49/(Splits!$B$50*V154))</f>
        <v>9.73909198113208</v>
      </c>
      <c r="X154" s="15" t="str">
        <f aca="false">IF(P154&gt;0,IF(AND(Q154&gt;0,R154&gt;0),"train + val + test",IF(R154&gt;0,"train + test","train only")),IF(R154&gt;0,"test only (unknown class)",IF(K154&gt;0,"site extract only","no usable audio")))</f>
        <v>train + test</v>
      </c>
      <c r="Y154" s="15" t="str">
        <f aca="false">IF($P154=0,"",IF($E154="nonbird",$B154,IF($G154="yes",$B154,"other bird")))</f>
        <v>other bird</v>
      </c>
      <c r="Z154" s="15" t="str">
        <f aca="false">IF(AND($F154="core",$P154&gt;0),$B154,"")</f>
        <v/>
      </c>
      <c r="AA154" s="15" t="str">
        <f aca="false">IF($P154&gt;0,$B154,"")</f>
        <v>Ringed Kingfisher</v>
      </c>
      <c r="AB154" s="15" t="n">
        <v>3</v>
      </c>
      <c r="AC154" s="15" t="n">
        <v>3</v>
      </c>
      <c r="AD154" s="17" t="n">
        <f aca="false">IF(COUNTIFS(Clips!$F:$F,$B154,Clips!$M:$M,"&gt;0",Clips!$C:$C,"&lt;&gt;excluded")=0,"",AVERAGEIFS(Clips!$M:$M,Clips!$F:$F,$B154,Clips!$M:$M,"&gt;0",Clips!$C:$C,"&lt;&gt;excluded"))</f>
        <v>3.5</v>
      </c>
      <c r="AE154" s="15" t="n">
        <f aca="false">COUNTIFS(Clips!$F:$F,$B154,Clips!$O:$O,"&lt;&gt;",Clips!$B:$B,"&lt;&gt;site",Clips!$C:$C,"&lt;&gt;excluded")</f>
        <v>0</v>
      </c>
      <c r="AF154" s="15" t="n">
        <f aca="false">COUNTIFS(Clips!$F:$F,$B154,Clips!$I:$I,"&lt;5",Clips!$C:$C,"&lt;&gt;excluded")</f>
        <v>0</v>
      </c>
      <c r="AG154" s="5"/>
    </row>
    <row r="155" customFormat="false" ht="15" hidden="false" customHeight="false" outlineLevel="0" collapsed="false">
      <c r="A155" s="15" t="n">
        <v>171</v>
      </c>
      <c r="B155" s="15" t="s">
        <v>620</v>
      </c>
      <c r="C155" s="15" t="s">
        <v>621</v>
      </c>
      <c r="D155" s="15" t="s">
        <v>622</v>
      </c>
      <c r="E155" s="15" t="s">
        <v>147</v>
      </c>
      <c r="F155" s="15" t="s">
        <v>400</v>
      </c>
      <c r="G155" s="15" t="str">
        <f aca="false">IF(AND($E155="bird",$K155&gt;0),"yes","")</f>
        <v/>
      </c>
      <c r="H155" s="15"/>
      <c r="I155" s="15" t="str">
        <f aca="false">IF($E155="bird",IF(COUNTIF('eBird List'!$A:$A,$B155)&gt;0,"yes","no"),"")</f>
        <v>yes</v>
      </c>
      <c r="J155" s="16" t="n">
        <f aca="false">IF(COUNTIF('eBird List'!$A:$A,$B155)=0,"",INDEX('eBird List'!$C:$C,MATCH($B155,'eBird List'!$A:$A,0)))</f>
        <v>0.169406719085061</v>
      </c>
      <c r="K155" s="15" t="n">
        <f aca="false">COUNTIFS(Clips!$B:$B,"site",Clips!$F:$F,$B155)+COUNTIFS(Clips!$B:$B,"site",Clips!$O:$O,"*"&amp;$B155&amp;"*")</f>
        <v>0</v>
      </c>
      <c r="L155" s="15" t="n">
        <f aca="false">COUNTIFS(Clips!$F:$F,$B155,Clips!$B:$B,"macaulay")</f>
        <v>4</v>
      </c>
      <c r="M155" s="15" t="n">
        <f aca="false">COUNTIFS(Clips!$F:$F,$B155,Clips!$B:$B,"xeno-canto")</f>
        <v>0</v>
      </c>
      <c r="N155" s="15" t="n">
        <f aca="false">K155+L155+M155</f>
        <v>4</v>
      </c>
      <c r="O155" s="15" t="n">
        <f aca="false">COUNTIFS(Clips!$F:$F,$B155,Clips!$C:$C,"excluded")</f>
        <v>0</v>
      </c>
      <c r="P155" s="15" t="n">
        <f aca="false">COUNTIFS(Clips!$F:$F,$B155,Clips!$C:$C,"train")</f>
        <v>3</v>
      </c>
      <c r="Q155" s="15" t="n">
        <f aca="false">COUNTIFS(Clips!$F:$F,$B155,Clips!$C:$C,"val")</f>
        <v>0</v>
      </c>
      <c r="R155" s="15" t="n">
        <f aca="false">COUNTIFS(Clips!$F:$F,$B155,Clips!$C:$C,"test")</f>
        <v>1</v>
      </c>
      <c r="S155" s="17" t="n">
        <f aca="false">SUMIFS(Clips!$I:$I,Clips!$F:$F,$B155,Clips!$C:$C,"train")/60</f>
        <v>13.8588666666667</v>
      </c>
      <c r="T155" s="17" t="n">
        <f aca="false">SUMIFS(Clips!$I:$I,Clips!$F:$F,$B155,Clips!$C:$C,"val")/60</f>
        <v>0</v>
      </c>
      <c r="U155" s="17" t="n">
        <f aca="false">SUMIFS(Clips!$I:$I,Clips!$F:$F,$B155,Clips!$C:$C,"test")/60</f>
        <v>0.22025</v>
      </c>
      <c r="V155" s="15" t="n">
        <f aca="false">SUMIFS(Clips!$J:$J,Clips!$F:$F,$B155,Clips!$C:$C,"train")</f>
        <v>168</v>
      </c>
      <c r="W155" s="18" t="n">
        <f aca="false">IF(V155=0,"",Splits!$B$49/(Splits!$B$50*V155))</f>
        <v>0.927532569631626</v>
      </c>
      <c r="X155" s="15" t="str">
        <f aca="false">IF(P155&gt;0,IF(AND(Q155&gt;0,R155&gt;0),"train + val + test",IF(R155&gt;0,"train + test","train only")),IF(R155&gt;0,"test only (unknown class)",IF(K155&gt;0,"site extract only","no usable audio")))</f>
        <v>train + test</v>
      </c>
      <c r="Y155" s="15" t="str">
        <f aca="false">IF($P155=0,"",IF($E155="nonbird",$B155,IF($G155="yes",$B155,"other bird")))</f>
        <v>other bird</v>
      </c>
      <c r="Z155" s="15" t="str">
        <f aca="false">IF(AND($F155="core",$P155&gt;0),$B155,"")</f>
        <v/>
      </c>
      <c r="AA155" s="15" t="str">
        <f aca="false">IF($P155&gt;0,$B155,"")</f>
        <v>Rufous-winged Woodpecker</v>
      </c>
      <c r="AB155" s="15" t="n">
        <v>4</v>
      </c>
      <c r="AC155" s="15" t="n">
        <v>4</v>
      </c>
      <c r="AD155" s="17" t="n">
        <f aca="false">IF(COUNTIFS(Clips!$F:$F,$B155,Clips!$M:$M,"&gt;0",Clips!$C:$C,"&lt;&gt;excluded")=0,"",AVERAGEIFS(Clips!$M:$M,Clips!$F:$F,$B155,Clips!$M:$M,"&gt;0",Clips!$C:$C,"&lt;&gt;excluded"))</f>
        <v>2.77</v>
      </c>
      <c r="AE155" s="15" t="n">
        <f aca="false">COUNTIFS(Clips!$F:$F,$B155,Clips!$O:$O,"&lt;&gt;",Clips!$B:$B,"&lt;&gt;site",Clips!$C:$C,"&lt;&gt;excluded")</f>
        <v>0</v>
      </c>
      <c r="AF155" s="15" t="n">
        <f aca="false">COUNTIFS(Clips!$F:$F,$B155,Clips!$I:$I,"&lt;5",Clips!$C:$C,"&lt;&gt;excluded")</f>
        <v>0</v>
      </c>
      <c r="AG155" s="5"/>
    </row>
    <row r="156" customFormat="false" ht="15" hidden="false" customHeight="false" outlineLevel="0" collapsed="false">
      <c r="A156" s="15" t="n">
        <v>175</v>
      </c>
      <c r="B156" s="15" t="s">
        <v>623</v>
      </c>
      <c r="C156" s="15" t="s">
        <v>624</v>
      </c>
      <c r="D156" s="15" t="s">
        <v>625</v>
      </c>
      <c r="E156" s="15" t="s">
        <v>147</v>
      </c>
      <c r="F156" s="15" t="s">
        <v>400</v>
      </c>
      <c r="G156" s="15" t="str">
        <f aca="false">IF(AND($E156="bird",$K156&gt;0),"yes","")</f>
        <v/>
      </c>
      <c r="H156" s="15"/>
      <c r="I156" s="15" t="str">
        <f aca="false">IF($E156="bird",IF(COUNTIF('eBird List'!$A:$A,$B156)&gt;0,"yes","no"),"")</f>
        <v>yes</v>
      </c>
      <c r="J156" s="16" t="n">
        <f aca="false">IF(COUNTIF('eBird List'!$A:$A,$B156)=0,"",INDEX('eBird List'!$C:$C,MATCH($B156,'eBird List'!$A:$A,0)))</f>
        <v>0.0373481057898499</v>
      </c>
      <c r="K156" s="15" t="n">
        <f aca="false">COUNTIFS(Clips!$B:$B,"site",Clips!$F:$F,$B156)+COUNTIFS(Clips!$B:$B,"site",Clips!$O:$O,"*"&amp;$B156&amp;"*")</f>
        <v>0</v>
      </c>
      <c r="L156" s="15" t="n">
        <f aca="false">COUNTIFS(Clips!$F:$F,$B156,Clips!$B:$B,"macaulay")</f>
        <v>4</v>
      </c>
      <c r="M156" s="15" t="n">
        <f aca="false">COUNTIFS(Clips!$F:$F,$B156,Clips!$B:$B,"xeno-canto")</f>
        <v>0</v>
      </c>
      <c r="N156" s="15" t="n">
        <f aca="false">K156+L156+M156</f>
        <v>4</v>
      </c>
      <c r="O156" s="15" t="n">
        <f aca="false">COUNTIFS(Clips!$F:$F,$B156,Clips!$C:$C,"excluded")</f>
        <v>0</v>
      </c>
      <c r="P156" s="15" t="n">
        <f aca="false">COUNTIFS(Clips!$F:$F,$B156,Clips!$C:$C,"train")</f>
        <v>3</v>
      </c>
      <c r="Q156" s="15" t="n">
        <f aca="false">COUNTIFS(Clips!$F:$F,$B156,Clips!$C:$C,"val")</f>
        <v>0</v>
      </c>
      <c r="R156" s="15" t="n">
        <f aca="false">COUNTIFS(Clips!$F:$F,$B156,Clips!$C:$C,"test")</f>
        <v>1</v>
      </c>
      <c r="S156" s="17" t="n">
        <f aca="false">SUMIFS(Clips!$I:$I,Clips!$F:$F,$B156,Clips!$C:$C,"train")/60</f>
        <v>2.19915</v>
      </c>
      <c r="T156" s="17" t="n">
        <f aca="false">SUMIFS(Clips!$I:$I,Clips!$F:$F,$B156,Clips!$C:$C,"val")/60</f>
        <v>0</v>
      </c>
      <c r="U156" s="17" t="n">
        <f aca="false">SUMIFS(Clips!$I:$I,Clips!$F:$F,$B156,Clips!$C:$C,"test")/60</f>
        <v>0.557533333333333</v>
      </c>
      <c r="V156" s="15" t="n">
        <f aca="false">SUMIFS(Clips!$J:$J,Clips!$F:$F,$B156,Clips!$C:$C,"train")</f>
        <v>28</v>
      </c>
      <c r="W156" s="18" t="n">
        <f aca="false">IF(V156=0,"",Splits!$B$49/(Splits!$B$50*V156))</f>
        <v>5.56519541778976</v>
      </c>
      <c r="X156" s="15" t="str">
        <f aca="false">IF(P156&gt;0,IF(AND(Q156&gt;0,R156&gt;0),"train + val + test",IF(R156&gt;0,"train + test","train only")),IF(R156&gt;0,"test only (unknown class)",IF(K156&gt;0,"site extract only","no usable audio")))</f>
        <v>train + test</v>
      </c>
      <c r="Y156" s="15" t="str">
        <f aca="false">IF($P156=0,"",IF($E156="nonbird",$B156,IF($G156="yes",$B156,"other bird")))</f>
        <v>other bird</v>
      </c>
      <c r="Z156" s="15" t="str">
        <f aca="false">IF(AND($F156="core",$P156&gt;0),$B156,"")</f>
        <v/>
      </c>
      <c r="AA156" s="15" t="str">
        <f aca="false">IF($P156&gt;0,$B156,"")</f>
        <v>Scarlet Macaw</v>
      </c>
      <c r="AB156" s="15" t="n">
        <v>3</v>
      </c>
      <c r="AC156" s="15" t="n">
        <v>3</v>
      </c>
      <c r="AD156" s="17" t="n">
        <f aca="false">IF(COUNTIFS(Clips!$F:$F,$B156,Clips!$M:$M,"&gt;0",Clips!$C:$C,"&lt;&gt;excluded")=0,"",AVERAGEIFS(Clips!$M:$M,Clips!$F:$F,$B156,Clips!$M:$M,"&gt;0",Clips!$C:$C,"&lt;&gt;excluded"))</f>
        <v>3.75</v>
      </c>
      <c r="AE156" s="15" t="n">
        <f aca="false">COUNTIFS(Clips!$F:$F,$B156,Clips!$O:$O,"&lt;&gt;",Clips!$B:$B,"&lt;&gt;site",Clips!$C:$C,"&lt;&gt;excluded")</f>
        <v>2</v>
      </c>
      <c r="AF156" s="15" t="n">
        <f aca="false">COUNTIFS(Clips!$F:$F,$B156,Clips!$I:$I,"&lt;5",Clips!$C:$C,"&lt;&gt;excluded")</f>
        <v>0</v>
      </c>
      <c r="AG156" s="5"/>
    </row>
    <row r="157" customFormat="false" ht="15" hidden="false" customHeight="false" outlineLevel="0" collapsed="false">
      <c r="A157" s="15" t="n">
        <v>204</v>
      </c>
      <c r="B157" s="15" t="s">
        <v>626</v>
      </c>
      <c r="C157" s="15" t="s">
        <v>627</v>
      </c>
      <c r="D157" s="15" t="s">
        <v>628</v>
      </c>
      <c r="E157" s="15" t="s">
        <v>147</v>
      </c>
      <c r="F157" s="15" t="s">
        <v>400</v>
      </c>
      <c r="G157" s="15" t="str">
        <f aca="false">IF(AND($E157="bird",$K157&gt;0),"yes","")</f>
        <v/>
      </c>
      <c r="H157" s="15"/>
      <c r="I157" s="15" t="str">
        <f aca="false">IF($E157="bird",IF(COUNTIF('eBird List'!$A:$A,$B157)&gt;0,"yes","no"),"")</f>
        <v>yes</v>
      </c>
      <c r="J157" s="16" t="n">
        <f aca="false">IF(COUNTIF('eBird List'!$A:$A,$B157)=0,"",INDEX('eBird List'!$C:$C,MATCH($B157,'eBird List'!$A:$A,0)))</f>
        <v>0.223195139385275</v>
      </c>
      <c r="K157" s="15" t="n">
        <f aca="false">COUNTIFS(Clips!$B:$B,"site",Clips!$F:$F,$B157)+COUNTIFS(Clips!$B:$B,"site",Clips!$O:$O,"*"&amp;$B157&amp;"*")</f>
        <v>0</v>
      </c>
      <c r="L157" s="15" t="n">
        <f aca="false">COUNTIFS(Clips!$F:$F,$B157,Clips!$B:$B,"macaulay")</f>
        <v>4</v>
      </c>
      <c r="M157" s="15" t="n">
        <f aca="false">COUNTIFS(Clips!$F:$F,$B157,Clips!$B:$B,"xeno-canto")</f>
        <v>0</v>
      </c>
      <c r="N157" s="15" t="n">
        <f aca="false">K157+L157+M157</f>
        <v>4</v>
      </c>
      <c r="O157" s="15" t="n">
        <f aca="false">COUNTIFS(Clips!$F:$F,$B157,Clips!$C:$C,"excluded")</f>
        <v>0</v>
      </c>
      <c r="P157" s="15" t="n">
        <f aca="false">COUNTIFS(Clips!$F:$F,$B157,Clips!$C:$C,"train")</f>
        <v>3</v>
      </c>
      <c r="Q157" s="15" t="n">
        <f aca="false">COUNTIFS(Clips!$F:$F,$B157,Clips!$C:$C,"val")</f>
        <v>0</v>
      </c>
      <c r="R157" s="15" t="n">
        <f aca="false">COUNTIFS(Clips!$F:$F,$B157,Clips!$C:$C,"test")</f>
        <v>1</v>
      </c>
      <c r="S157" s="17" t="n">
        <f aca="false">SUMIFS(Clips!$I:$I,Clips!$F:$F,$B157,Clips!$C:$C,"train")/60</f>
        <v>0.732216666666667</v>
      </c>
      <c r="T157" s="17" t="n">
        <f aca="false">SUMIFS(Clips!$I:$I,Clips!$F:$F,$B157,Clips!$C:$C,"val")/60</f>
        <v>0</v>
      </c>
      <c r="U157" s="17" t="n">
        <f aca="false">SUMIFS(Clips!$I:$I,Clips!$F:$F,$B157,Clips!$C:$C,"test")/60</f>
        <v>0.873633333333333</v>
      </c>
      <c r="V157" s="15" t="n">
        <f aca="false">SUMIFS(Clips!$J:$J,Clips!$F:$F,$B157,Clips!$C:$C,"train")</f>
        <v>11</v>
      </c>
      <c r="W157" s="18" t="n">
        <f aca="false">IF(V157=0,"",Splits!$B$49/(Splits!$B$50*V157))</f>
        <v>14.1659519725557</v>
      </c>
      <c r="X157" s="15" t="str">
        <f aca="false">IF(P157&gt;0,IF(AND(Q157&gt;0,R157&gt;0),"train + val + test",IF(R157&gt;0,"train + test","train only")),IF(R157&gt;0,"test only (unknown class)",IF(K157&gt;0,"site extract only","no usable audio")))</f>
        <v>train + test</v>
      </c>
      <c r="Y157" s="15" t="str">
        <f aca="false">IF($P157=0,"",IF($E157="nonbird",$B157,IF($G157="yes",$B157,"other bird")))</f>
        <v>other bird</v>
      </c>
      <c r="Z157" s="15" t="str">
        <f aca="false">IF(AND($F157="core",$P157&gt;0),$B157,"")</f>
        <v/>
      </c>
      <c r="AA157" s="15" t="str">
        <f aca="false">IF($P157&gt;0,$B157,"")</f>
        <v>Summer Tanager</v>
      </c>
      <c r="AB157" s="15" t="n">
        <v>4</v>
      </c>
      <c r="AC157" s="15" t="n">
        <v>4</v>
      </c>
      <c r="AD157" s="17" t="n">
        <f aca="false">IF(COUNTIFS(Clips!$F:$F,$B157,Clips!$M:$M,"&gt;0",Clips!$C:$C,"&lt;&gt;excluded")=0,"",AVERAGEIFS(Clips!$M:$M,Clips!$F:$F,$B157,Clips!$M:$M,"&gt;0",Clips!$C:$C,"&lt;&gt;excluded"))</f>
        <v>2.125</v>
      </c>
      <c r="AE157" s="15" t="n">
        <f aca="false">COUNTIFS(Clips!$F:$F,$B157,Clips!$O:$O,"&lt;&gt;",Clips!$B:$B,"&lt;&gt;site",Clips!$C:$C,"&lt;&gt;excluded")</f>
        <v>1</v>
      </c>
      <c r="AF157" s="15" t="n">
        <f aca="false">COUNTIFS(Clips!$F:$F,$B157,Clips!$I:$I,"&lt;5",Clips!$C:$C,"&lt;&gt;excluded")</f>
        <v>0</v>
      </c>
      <c r="AG157" s="5"/>
    </row>
    <row r="158" customFormat="false" ht="15" hidden="false" customHeight="false" outlineLevel="0" collapsed="false">
      <c r="A158" s="15" t="n">
        <v>226</v>
      </c>
      <c r="B158" s="15" t="s">
        <v>629</v>
      </c>
      <c r="C158" s="15" t="s">
        <v>630</v>
      </c>
      <c r="D158" s="15" t="s">
        <v>631</v>
      </c>
      <c r="E158" s="15" t="s">
        <v>147</v>
      </c>
      <c r="F158" s="15" t="s">
        <v>400</v>
      </c>
      <c r="G158" s="15" t="str">
        <f aca="false">IF(AND($E158="bird",$K158&gt;0),"yes","")</f>
        <v/>
      </c>
      <c r="H158" s="15"/>
      <c r="I158" s="15" t="str">
        <f aca="false">IF($E158="bird",IF(COUNTIF('eBird List'!$A:$A,$B158)&gt;0,"yes","no"),"")</f>
        <v>yes</v>
      </c>
      <c r="J158" s="16" t="n">
        <f aca="false">IF(COUNTIF('eBird List'!$A:$A,$B158)=0,"",INDEX('eBird List'!$C:$C,MATCH($B158,'eBird List'!$A:$A,0)))</f>
        <v>0.0577495830355015</v>
      </c>
      <c r="K158" s="15" t="n">
        <f aca="false">COUNTIFS(Clips!$B:$B,"site",Clips!$F:$F,$B158)+COUNTIFS(Clips!$B:$B,"site",Clips!$O:$O,"*"&amp;$B158&amp;"*")</f>
        <v>0</v>
      </c>
      <c r="L158" s="15" t="n">
        <f aca="false">COUNTIFS(Clips!$F:$F,$B158,Clips!$B:$B,"macaulay")</f>
        <v>4</v>
      </c>
      <c r="M158" s="15" t="n">
        <f aca="false">COUNTIFS(Clips!$F:$F,$B158,Clips!$B:$B,"xeno-canto")</f>
        <v>0</v>
      </c>
      <c r="N158" s="15" t="n">
        <f aca="false">K158+L158+M158</f>
        <v>4</v>
      </c>
      <c r="O158" s="15" t="n">
        <f aca="false">COUNTIFS(Clips!$F:$F,$B158,Clips!$C:$C,"excluded")</f>
        <v>0</v>
      </c>
      <c r="P158" s="15" t="n">
        <f aca="false">COUNTIFS(Clips!$F:$F,$B158,Clips!$C:$C,"train")</f>
        <v>3</v>
      </c>
      <c r="Q158" s="15" t="n">
        <f aca="false">COUNTIFS(Clips!$F:$F,$B158,Clips!$C:$C,"val")</f>
        <v>0</v>
      </c>
      <c r="R158" s="15" t="n">
        <f aca="false">COUNTIFS(Clips!$F:$F,$B158,Clips!$C:$C,"test")</f>
        <v>1</v>
      </c>
      <c r="S158" s="17" t="n">
        <f aca="false">SUMIFS(Clips!$I:$I,Clips!$F:$F,$B158,Clips!$C:$C,"train")/60</f>
        <v>0.510183333333333</v>
      </c>
      <c r="T158" s="17" t="n">
        <f aca="false">SUMIFS(Clips!$I:$I,Clips!$F:$F,$B158,Clips!$C:$C,"val")/60</f>
        <v>0</v>
      </c>
      <c r="U158" s="17" t="n">
        <f aca="false">SUMIFS(Clips!$I:$I,Clips!$F:$F,$B158,Clips!$C:$C,"test")/60</f>
        <v>0.394716666666667</v>
      </c>
      <c r="V158" s="15" t="n">
        <f aca="false">SUMIFS(Clips!$J:$J,Clips!$F:$F,$B158,Clips!$C:$C,"train")</f>
        <v>7</v>
      </c>
      <c r="W158" s="18" t="n">
        <f aca="false">IF(V158=0,"",Splits!$B$49/(Splits!$B$50*V158))</f>
        <v>22.260781671159</v>
      </c>
      <c r="X158" s="15" t="str">
        <f aca="false">IF(P158&gt;0,IF(AND(Q158&gt;0,R158&gt;0),"train + val + test",IF(R158&gt;0,"train + test","train only")),IF(R158&gt;0,"test only (unknown class)",IF(K158&gt;0,"site extract only","no usable audio")))</f>
        <v>train + test</v>
      </c>
      <c r="Y158" s="15" t="str">
        <f aca="false">IF($P158=0,"",IF($E158="nonbird",$B158,IF($G158="yes",$B158,"other bird")))</f>
        <v>other bird</v>
      </c>
      <c r="Z158" s="15" t="str">
        <f aca="false">IF(AND($F158="core",$P158&gt;0),$B158,"")</f>
        <v/>
      </c>
      <c r="AA158" s="15" t="str">
        <f aca="false">IF($P158&gt;0,$B158,"")</f>
        <v>White-ruffed Manakin</v>
      </c>
      <c r="AB158" s="15" t="n">
        <v>4</v>
      </c>
      <c r="AC158" s="15" t="n">
        <v>4</v>
      </c>
      <c r="AD158" s="17" t="n">
        <f aca="false">IF(COUNTIFS(Clips!$F:$F,$B158,Clips!$M:$M,"&gt;0",Clips!$C:$C,"&lt;&gt;excluded")=0,"",AVERAGEIFS(Clips!$M:$M,Clips!$F:$F,$B158,Clips!$M:$M,"&gt;0",Clips!$C:$C,"&lt;&gt;excluded"))</f>
        <v>2</v>
      </c>
      <c r="AE158" s="15" t="n">
        <f aca="false">COUNTIFS(Clips!$F:$F,$B158,Clips!$O:$O,"&lt;&gt;",Clips!$B:$B,"&lt;&gt;site",Clips!$C:$C,"&lt;&gt;excluded")</f>
        <v>0</v>
      </c>
      <c r="AF158" s="15" t="n">
        <f aca="false">COUNTIFS(Clips!$F:$F,$B158,Clips!$I:$I,"&lt;5",Clips!$C:$C,"&lt;&gt;excluded")</f>
        <v>0</v>
      </c>
      <c r="AG158" s="5"/>
    </row>
    <row r="159" customFormat="false" ht="15" hidden="false" customHeight="false" outlineLevel="0" collapsed="false">
      <c r="A159" s="15" t="n">
        <v>237</v>
      </c>
      <c r="B159" s="15" t="s">
        <v>632</v>
      </c>
      <c r="C159" s="15" t="s">
        <v>633</v>
      </c>
      <c r="D159" s="15" t="s">
        <v>634</v>
      </c>
      <c r="E159" s="15" t="s">
        <v>147</v>
      </c>
      <c r="F159" s="15" t="s">
        <v>400</v>
      </c>
      <c r="G159" s="15" t="str">
        <f aca="false">IF(AND($E159="bird",$K159&gt;0),"yes","")</f>
        <v/>
      </c>
      <c r="H159" s="15"/>
      <c r="I159" s="15" t="str">
        <f aca="false">IF($E159="bird",IF(COUNTIF('eBird List'!$A:$A,$B159)&gt;0,"yes","no"),"")</f>
        <v>yes</v>
      </c>
      <c r="J159" s="16" t="n">
        <f aca="false">IF(COUNTIF('eBird List'!$A:$A,$B159)=0,"",INDEX('eBird List'!$C:$C,MATCH($B159,'eBird List'!$A:$A,0)))</f>
        <v>0.0380033357159876</v>
      </c>
      <c r="K159" s="15" t="n">
        <f aca="false">COUNTIFS(Clips!$B:$B,"site",Clips!$F:$F,$B159)+COUNTIFS(Clips!$B:$B,"site",Clips!$O:$O,"*"&amp;$B159&amp;"*")</f>
        <v>0</v>
      </c>
      <c r="L159" s="15" t="n">
        <f aca="false">COUNTIFS(Clips!$F:$F,$B159,Clips!$B:$B,"macaulay")</f>
        <v>4</v>
      </c>
      <c r="M159" s="15" t="n">
        <f aca="false">COUNTIFS(Clips!$F:$F,$B159,Clips!$B:$B,"xeno-canto")</f>
        <v>0</v>
      </c>
      <c r="N159" s="15" t="n">
        <f aca="false">K159+L159+M159</f>
        <v>4</v>
      </c>
      <c r="O159" s="15" t="n">
        <f aca="false">COUNTIFS(Clips!$F:$F,$B159,Clips!$C:$C,"excluded")</f>
        <v>0</v>
      </c>
      <c r="P159" s="15" t="n">
        <f aca="false">COUNTIFS(Clips!$F:$F,$B159,Clips!$C:$C,"train")</f>
        <v>3</v>
      </c>
      <c r="Q159" s="15" t="n">
        <f aca="false">COUNTIFS(Clips!$F:$F,$B159,Clips!$C:$C,"val")</f>
        <v>0</v>
      </c>
      <c r="R159" s="15" t="n">
        <f aca="false">COUNTIFS(Clips!$F:$F,$B159,Clips!$C:$C,"test")</f>
        <v>1</v>
      </c>
      <c r="S159" s="17" t="n">
        <f aca="false">SUMIFS(Clips!$I:$I,Clips!$F:$F,$B159,Clips!$C:$C,"train")/60</f>
        <v>1.12501666666667</v>
      </c>
      <c r="T159" s="17" t="n">
        <f aca="false">SUMIFS(Clips!$I:$I,Clips!$F:$F,$B159,Clips!$C:$C,"val")/60</f>
        <v>0</v>
      </c>
      <c r="U159" s="17" t="n">
        <f aca="false">SUMIFS(Clips!$I:$I,Clips!$F:$F,$B159,Clips!$C:$C,"test")/60</f>
        <v>0.397983333333333</v>
      </c>
      <c r="V159" s="15" t="n">
        <f aca="false">SUMIFS(Clips!$J:$J,Clips!$F:$F,$B159,Clips!$C:$C,"train")</f>
        <v>15</v>
      </c>
      <c r="W159" s="18" t="n">
        <f aca="false">IF(V159=0,"",Splits!$B$49/(Splits!$B$50*V159))</f>
        <v>10.3883647798742</v>
      </c>
      <c r="X159" s="15" t="str">
        <f aca="false">IF(P159&gt;0,IF(AND(Q159&gt;0,R159&gt;0),"train + val + test",IF(R159&gt;0,"train + test","train only")),IF(R159&gt;0,"test only (unknown class)",IF(K159&gt;0,"site extract only","no usable audio")))</f>
        <v>train + test</v>
      </c>
      <c r="Y159" s="15" t="str">
        <f aca="false">IF($P159=0,"",IF($E159="nonbird",$B159,IF($G159="yes",$B159,"other bird")))</f>
        <v>other bird</v>
      </c>
      <c r="Z159" s="15" t="str">
        <f aca="false">IF(AND($F159="core",$P159&gt;0),$B159,"")</f>
        <v/>
      </c>
      <c r="AA159" s="15" t="str">
        <f aca="false">IF($P159&gt;0,$B159,"")</f>
        <v>Yellow-bellied Elaenia</v>
      </c>
      <c r="AB159" s="15" t="n">
        <v>4</v>
      </c>
      <c r="AC159" s="15" t="n">
        <v>3</v>
      </c>
      <c r="AD159" s="17" t="n">
        <f aca="false">IF(COUNTIFS(Clips!$F:$F,$B159,Clips!$M:$M,"&gt;0",Clips!$C:$C,"&lt;&gt;excluded")=0,"",AVERAGEIFS(Clips!$M:$M,Clips!$F:$F,$B159,Clips!$M:$M,"&gt;0",Clips!$C:$C,"&lt;&gt;excluded"))</f>
        <v>2.75</v>
      </c>
      <c r="AE159" s="15" t="n">
        <f aca="false">COUNTIFS(Clips!$F:$F,$B159,Clips!$O:$O,"&lt;&gt;",Clips!$B:$B,"&lt;&gt;site",Clips!$C:$C,"&lt;&gt;excluded")</f>
        <v>0</v>
      </c>
      <c r="AF159" s="15" t="n">
        <f aca="false">COUNTIFS(Clips!$F:$F,$B159,Clips!$I:$I,"&lt;5",Clips!$C:$C,"&lt;&gt;excluded")</f>
        <v>1</v>
      </c>
      <c r="AG159" s="5"/>
    </row>
    <row r="160" customFormat="false" ht="15" hidden="false" customHeight="false" outlineLevel="0" collapsed="false">
      <c r="A160" s="15" t="n">
        <v>239</v>
      </c>
      <c r="B160" s="15" t="s">
        <v>635</v>
      </c>
      <c r="C160" s="15" t="s">
        <v>636</v>
      </c>
      <c r="D160" s="15" t="s">
        <v>637</v>
      </c>
      <c r="E160" s="15" t="s">
        <v>147</v>
      </c>
      <c r="F160" s="15" t="s">
        <v>400</v>
      </c>
      <c r="G160" s="15" t="str">
        <f aca="false">IF(AND($E160="bird",$K160&gt;0),"yes","")</f>
        <v/>
      </c>
      <c r="H160" s="15"/>
      <c r="I160" s="15" t="str">
        <f aca="false">IF($E160="bird",IF(COUNTIF('eBird List'!$A:$A,$B160)&gt;0,"yes","no"),"")</f>
        <v>yes</v>
      </c>
      <c r="J160" s="16" t="n">
        <f aca="false">IF(COUNTIF('eBird List'!$A:$A,$B160)=0,"",INDEX('eBird List'!$C:$C,MATCH($B160,'eBird List'!$A:$A,0)))</f>
        <v>0.0241541577317131</v>
      </c>
      <c r="K160" s="15" t="n">
        <f aca="false">COUNTIFS(Clips!$B:$B,"site",Clips!$F:$F,$B160)+COUNTIFS(Clips!$B:$B,"site",Clips!$O:$O,"*"&amp;$B160&amp;"*")</f>
        <v>0</v>
      </c>
      <c r="L160" s="15" t="n">
        <f aca="false">COUNTIFS(Clips!$F:$F,$B160,Clips!$B:$B,"macaulay")</f>
        <v>4</v>
      </c>
      <c r="M160" s="15" t="n">
        <f aca="false">COUNTIFS(Clips!$F:$F,$B160,Clips!$B:$B,"xeno-canto")</f>
        <v>0</v>
      </c>
      <c r="N160" s="15" t="n">
        <f aca="false">K160+L160+M160</f>
        <v>4</v>
      </c>
      <c r="O160" s="15" t="n">
        <f aca="false">COUNTIFS(Clips!$F:$F,$B160,Clips!$C:$C,"excluded")</f>
        <v>0</v>
      </c>
      <c r="P160" s="15" t="n">
        <f aca="false">COUNTIFS(Clips!$F:$F,$B160,Clips!$C:$C,"train")</f>
        <v>3</v>
      </c>
      <c r="Q160" s="15" t="n">
        <f aca="false">COUNTIFS(Clips!$F:$F,$B160,Clips!$C:$C,"val")</f>
        <v>0</v>
      </c>
      <c r="R160" s="15" t="n">
        <f aca="false">COUNTIFS(Clips!$F:$F,$B160,Clips!$C:$C,"test")</f>
        <v>1</v>
      </c>
      <c r="S160" s="17" t="n">
        <f aca="false">SUMIFS(Clips!$I:$I,Clips!$F:$F,$B160,Clips!$C:$C,"train")/60</f>
        <v>2.64463333333333</v>
      </c>
      <c r="T160" s="17" t="n">
        <f aca="false">SUMIFS(Clips!$I:$I,Clips!$F:$F,$B160,Clips!$C:$C,"val")/60</f>
        <v>0</v>
      </c>
      <c r="U160" s="17" t="n">
        <f aca="false">SUMIFS(Clips!$I:$I,Clips!$F:$F,$B160,Clips!$C:$C,"test")/60</f>
        <v>0.19985</v>
      </c>
      <c r="V160" s="15" t="n">
        <f aca="false">SUMIFS(Clips!$J:$J,Clips!$F:$F,$B160,Clips!$C:$C,"train")</f>
        <v>33</v>
      </c>
      <c r="W160" s="18" t="n">
        <f aca="false">IF(V160=0,"",Splits!$B$49/(Splits!$B$50*V160))</f>
        <v>4.72198399085192</v>
      </c>
      <c r="X160" s="15" t="str">
        <f aca="false">IF(P160&gt;0,IF(AND(Q160&gt;0,R160&gt;0),"train + val + test",IF(R160&gt;0,"train + test","train only")),IF(R160&gt;0,"test only (unknown class)",IF(K160&gt;0,"site extract only","no usable audio")))</f>
        <v>train + test</v>
      </c>
      <c r="Y160" s="15" t="str">
        <f aca="false">IF($P160=0,"",IF($E160="nonbird",$B160,IF($G160="yes",$B160,"other bird")))</f>
        <v>other bird</v>
      </c>
      <c r="Z160" s="15" t="str">
        <f aca="false">IF(AND($F160="core",$P160&gt;0),$B160,"")</f>
        <v/>
      </c>
      <c r="AA160" s="15" t="str">
        <f aca="false">IF($P160&gt;0,$B160,"")</f>
        <v>Yellow-billed Cacique</v>
      </c>
      <c r="AB160" s="15" t="n">
        <v>4</v>
      </c>
      <c r="AC160" s="15" t="n">
        <v>2</v>
      </c>
      <c r="AD160" s="17" t="n">
        <f aca="false">IF(COUNTIFS(Clips!$F:$F,$B160,Clips!$M:$M,"&gt;0",Clips!$C:$C,"&lt;&gt;excluded")=0,"",AVERAGEIFS(Clips!$M:$M,Clips!$F:$F,$B160,Clips!$M:$M,"&gt;0",Clips!$C:$C,"&lt;&gt;excluded"))</f>
        <v>2.6075</v>
      </c>
      <c r="AE160" s="15" t="n">
        <f aca="false">COUNTIFS(Clips!$F:$F,$B160,Clips!$O:$O,"&lt;&gt;",Clips!$B:$B,"&lt;&gt;site",Clips!$C:$C,"&lt;&gt;excluded")</f>
        <v>0</v>
      </c>
      <c r="AF160" s="15" t="n">
        <f aca="false">COUNTIFS(Clips!$F:$F,$B160,Clips!$I:$I,"&lt;5",Clips!$C:$C,"&lt;&gt;excluded")</f>
        <v>0</v>
      </c>
      <c r="AG160" s="5"/>
    </row>
    <row r="161" customFormat="false" ht="15" hidden="false" customHeight="false" outlineLevel="0" collapsed="false">
      <c r="A161" s="15" t="n">
        <v>16</v>
      </c>
      <c r="B161" s="15" t="s">
        <v>638</v>
      </c>
      <c r="C161" s="15" t="s">
        <v>639</v>
      </c>
      <c r="D161" s="15" t="s">
        <v>640</v>
      </c>
      <c r="E161" s="15" t="s">
        <v>147</v>
      </c>
      <c r="F161" s="15" t="s">
        <v>400</v>
      </c>
      <c r="G161" s="15" t="str">
        <f aca="false">IF(AND($E161="bird",$K161&gt;0),"yes","")</f>
        <v/>
      </c>
      <c r="H161" s="15"/>
      <c r="I161" s="15" t="str">
        <f aca="false">IF($E161="bird",IF(COUNTIF('eBird List'!$A:$A,$B161)&gt;0,"yes","no"),"")</f>
        <v>yes</v>
      </c>
      <c r="J161" s="16" t="n">
        <f aca="false">IF(COUNTIF('eBird List'!$A:$A,$B161)=0,"",INDEX('eBird List'!$C:$C,MATCH($B161,'eBird List'!$A:$A,0)))</f>
        <v>0.00985823207052657</v>
      </c>
      <c r="K161" s="15" t="n">
        <f aca="false">COUNTIFS(Clips!$B:$B,"site",Clips!$F:$F,$B161)+COUNTIFS(Clips!$B:$B,"site",Clips!$O:$O,"*"&amp;$B161&amp;"*")</f>
        <v>0</v>
      </c>
      <c r="L161" s="15" t="n">
        <f aca="false">COUNTIFS(Clips!$F:$F,$B161,Clips!$B:$B,"macaulay")</f>
        <v>3</v>
      </c>
      <c r="M161" s="15" t="n">
        <f aca="false">COUNTIFS(Clips!$F:$F,$B161,Clips!$B:$B,"xeno-canto")</f>
        <v>0</v>
      </c>
      <c r="N161" s="15" t="n">
        <f aca="false">K161+L161+M161</f>
        <v>3</v>
      </c>
      <c r="O161" s="15" t="n">
        <f aca="false">COUNTIFS(Clips!$F:$F,$B161,Clips!$C:$C,"excluded")</f>
        <v>0</v>
      </c>
      <c r="P161" s="15" t="n">
        <f aca="false">COUNTIFS(Clips!$F:$F,$B161,Clips!$C:$C,"train")</f>
        <v>2</v>
      </c>
      <c r="Q161" s="15" t="n">
        <f aca="false">COUNTIFS(Clips!$F:$F,$B161,Clips!$C:$C,"val")</f>
        <v>0</v>
      </c>
      <c r="R161" s="15" t="n">
        <f aca="false">COUNTIFS(Clips!$F:$F,$B161,Clips!$C:$C,"test")</f>
        <v>1</v>
      </c>
      <c r="S161" s="17" t="n">
        <f aca="false">SUMIFS(Clips!$I:$I,Clips!$F:$F,$B161,Clips!$C:$C,"train")/60</f>
        <v>1.56373333333333</v>
      </c>
      <c r="T161" s="17" t="n">
        <f aca="false">SUMIFS(Clips!$I:$I,Clips!$F:$F,$B161,Clips!$C:$C,"val")/60</f>
        <v>0</v>
      </c>
      <c r="U161" s="17" t="n">
        <f aca="false">SUMIFS(Clips!$I:$I,Clips!$F:$F,$B161,Clips!$C:$C,"test")/60</f>
        <v>0.4419</v>
      </c>
      <c r="V161" s="15" t="n">
        <f aca="false">SUMIFS(Clips!$J:$J,Clips!$F:$F,$B161,Clips!$C:$C,"train")</f>
        <v>19</v>
      </c>
      <c r="W161" s="18" t="n">
        <f aca="false">IF(V161=0,"",Splits!$B$49/(Splits!$B$50*V161))</f>
        <v>8.20134061569017</v>
      </c>
      <c r="X161" s="15" t="str">
        <f aca="false">IF(P161&gt;0,IF(AND(Q161&gt;0,R161&gt;0),"train + val + test",IF(R161&gt;0,"train + test","train only")),IF(R161&gt;0,"test only (unknown class)",IF(K161&gt;0,"site extract only","no usable audio")))</f>
        <v>train + test</v>
      </c>
      <c r="Y161" s="15" t="str">
        <f aca="false">IF($P161=0,"",IF($E161="nonbird",$B161,IF($G161="yes",$B161,"other bird")))</f>
        <v>other bird</v>
      </c>
      <c r="Z161" s="15" t="str">
        <f aca="false">IF(AND($F161="core",$P161&gt;0),$B161,"")</f>
        <v/>
      </c>
      <c r="AA161" s="15" t="str">
        <f aca="false">IF($P161&gt;0,$B161,"")</f>
        <v>Black-and-white Owl</v>
      </c>
      <c r="AB161" s="15" t="n">
        <v>3</v>
      </c>
      <c r="AC161" s="15" t="n">
        <v>3</v>
      </c>
      <c r="AD161" s="17" t="str">
        <f aca="false">IF(COUNTIFS(Clips!$F:$F,$B161,Clips!$M:$M,"&gt;0",Clips!$C:$C,"&lt;&gt;excluded")=0,"",AVERAGEIFS(Clips!$M:$M,Clips!$F:$F,$B161,Clips!$M:$M,"&gt;0",Clips!$C:$C,"&lt;&gt;excluded"))</f>
        <v/>
      </c>
      <c r="AE161" s="15" t="n">
        <f aca="false">COUNTIFS(Clips!$F:$F,$B161,Clips!$O:$O,"&lt;&gt;",Clips!$B:$B,"&lt;&gt;site",Clips!$C:$C,"&lt;&gt;excluded")</f>
        <v>0</v>
      </c>
      <c r="AF161" s="15" t="n">
        <f aca="false">COUNTIFS(Clips!$F:$F,$B161,Clips!$I:$I,"&lt;5",Clips!$C:$C,"&lt;&gt;excluded")</f>
        <v>0</v>
      </c>
      <c r="AG161" s="5"/>
    </row>
    <row r="162" customFormat="false" ht="15" hidden="false" customHeight="false" outlineLevel="0" collapsed="false">
      <c r="A162" s="15" t="n">
        <v>42</v>
      </c>
      <c r="B162" s="15" t="s">
        <v>641</v>
      </c>
      <c r="C162" s="15" t="s">
        <v>642</v>
      </c>
      <c r="D162" s="15" t="s">
        <v>643</v>
      </c>
      <c r="E162" s="15" t="s">
        <v>147</v>
      </c>
      <c r="F162" s="15" t="s">
        <v>613</v>
      </c>
      <c r="G162" s="15" t="str">
        <f aca="false">IF(AND($E162="bird",$K162&gt;0),"yes","")</f>
        <v/>
      </c>
      <c r="H162" s="15"/>
      <c r="I162" s="15" t="str">
        <f aca="false">IF($E162="bird",IF(COUNTIF('eBird List'!$A:$A,$B162)&gt;0,"yes","no"),"")</f>
        <v>yes</v>
      </c>
      <c r="J162" s="16" t="n">
        <f aca="false">IF(COUNTIF('eBird List'!$A:$A,$B162)=0,"",INDEX('eBird List'!$C:$C,MATCH($B162,'eBird List'!$A:$A,0)))</f>
        <v>0.00881582082439838</v>
      </c>
      <c r="K162" s="15" t="n">
        <f aca="false">COUNTIFS(Clips!$B:$B,"site",Clips!$F:$F,$B162)+COUNTIFS(Clips!$B:$B,"site",Clips!$O:$O,"*"&amp;$B162&amp;"*")</f>
        <v>0</v>
      </c>
      <c r="L162" s="15" t="n">
        <f aca="false">COUNTIFS(Clips!$F:$F,$B162,Clips!$B:$B,"macaulay")</f>
        <v>1</v>
      </c>
      <c r="M162" s="15" t="n">
        <f aca="false">COUNTIFS(Clips!$F:$F,$B162,Clips!$B:$B,"xeno-canto")</f>
        <v>2</v>
      </c>
      <c r="N162" s="15" t="n">
        <f aca="false">K162+L162+M162</f>
        <v>3</v>
      </c>
      <c r="O162" s="15" t="n">
        <f aca="false">COUNTIFS(Clips!$F:$F,$B162,Clips!$C:$C,"excluded")</f>
        <v>0</v>
      </c>
      <c r="P162" s="15" t="n">
        <f aca="false">COUNTIFS(Clips!$F:$F,$B162,Clips!$C:$C,"train")</f>
        <v>2</v>
      </c>
      <c r="Q162" s="15" t="n">
        <f aca="false">COUNTIFS(Clips!$F:$F,$B162,Clips!$C:$C,"val")</f>
        <v>0</v>
      </c>
      <c r="R162" s="15" t="n">
        <f aca="false">COUNTIFS(Clips!$F:$F,$B162,Clips!$C:$C,"test")</f>
        <v>1</v>
      </c>
      <c r="S162" s="17" t="n">
        <f aca="false">SUMIFS(Clips!$I:$I,Clips!$F:$F,$B162,Clips!$C:$C,"train")/60</f>
        <v>0.717016666666667</v>
      </c>
      <c r="T162" s="17" t="n">
        <f aca="false">SUMIFS(Clips!$I:$I,Clips!$F:$F,$B162,Clips!$C:$C,"val")/60</f>
        <v>0</v>
      </c>
      <c r="U162" s="17" t="n">
        <f aca="false">SUMIFS(Clips!$I:$I,Clips!$F:$F,$B162,Clips!$C:$C,"test")/60</f>
        <v>0.346666666666667</v>
      </c>
      <c r="V162" s="15" t="n">
        <f aca="false">SUMIFS(Clips!$J:$J,Clips!$F:$F,$B162,Clips!$C:$C,"train")</f>
        <v>10</v>
      </c>
      <c r="W162" s="18" t="n">
        <f aca="false">IF(V162=0,"",Splits!$B$49/(Splits!$B$50*V162))</f>
        <v>15.5825471698113</v>
      </c>
      <c r="X162" s="15" t="str">
        <f aca="false">IF(P162&gt;0,IF(AND(Q162&gt;0,R162&gt;0),"train + val + test",IF(R162&gt;0,"train + test","train only")),IF(R162&gt;0,"test only (unknown class)",IF(K162&gt;0,"site extract only","no usable audio")))</f>
        <v>train + test</v>
      </c>
      <c r="Y162" s="15" t="str">
        <f aca="false">IF($P162=0,"",IF($E162="nonbird",$B162,IF($G162="yes",$B162,"other bird")))</f>
        <v>other bird</v>
      </c>
      <c r="Z162" s="15" t="str">
        <f aca="false">IF(AND($F162="core",$P162&gt;0),$B162,"")</f>
        <v/>
      </c>
      <c r="AA162" s="15" t="str">
        <f aca="false">IF($P162&gt;0,$B162,"")</f>
        <v>Brown Jay</v>
      </c>
      <c r="AB162" s="15" t="n">
        <v>3</v>
      </c>
      <c r="AC162" s="15" t="n">
        <v>2</v>
      </c>
      <c r="AD162" s="17" t="n">
        <f aca="false">IF(COUNTIFS(Clips!$F:$F,$B162,Clips!$M:$M,"&gt;0",Clips!$C:$C,"&lt;&gt;excluded")=0,"",AVERAGEIFS(Clips!$M:$M,Clips!$F:$F,$B162,Clips!$M:$M,"&gt;0",Clips!$C:$C,"&lt;&gt;excluded"))</f>
        <v>3</v>
      </c>
      <c r="AE162" s="15" t="n">
        <f aca="false">COUNTIFS(Clips!$F:$F,$B162,Clips!$O:$O,"&lt;&gt;",Clips!$B:$B,"&lt;&gt;site",Clips!$C:$C,"&lt;&gt;excluded")</f>
        <v>0</v>
      </c>
      <c r="AF162" s="15" t="n">
        <f aca="false">COUNTIFS(Clips!$F:$F,$B162,Clips!$I:$I,"&lt;5",Clips!$C:$C,"&lt;&gt;excluded")</f>
        <v>0</v>
      </c>
      <c r="AG162" s="5" t="s">
        <v>644</v>
      </c>
    </row>
    <row r="163" customFormat="false" ht="15" hidden="false" customHeight="false" outlineLevel="0" collapsed="false">
      <c r="A163" s="15" t="n">
        <v>46</v>
      </c>
      <c r="B163" s="15" t="s">
        <v>645</v>
      </c>
      <c r="C163" s="15" t="s">
        <v>646</v>
      </c>
      <c r="D163" s="15"/>
      <c r="E163" s="15" t="s">
        <v>147</v>
      </c>
      <c r="F163" s="15" t="s">
        <v>647</v>
      </c>
      <c r="G163" s="15" t="str">
        <f aca="false">IF(AND($E163="bird",$K163&gt;0),"yes","")</f>
        <v/>
      </c>
      <c r="H163" s="15"/>
      <c r="I163" s="15" t="str">
        <f aca="false">IF($E163="bird",IF(COUNTIF('eBird List'!$A:$A,$B163)&gt;0,"yes","no"),"")</f>
        <v>no</v>
      </c>
      <c r="J163" s="16" t="str">
        <f aca="false">IF(COUNTIF('eBird List'!$A:$A,$B163)=0,"",INDEX('eBird List'!$C:$C,MATCH($B163,'eBird List'!$A:$A,0)))</f>
        <v/>
      </c>
      <c r="K163" s="15" t="n">
        <f aca="false">COUNTIFS(Clips!$B:$B,"site",Clips!$F:$F,$B163)+COUNTIFS(Clips!$B:$B,"site",Clips!$O:$O,"*"&amp;$B163&amp;"*")</f>
        <v>0</v>
      </c>
      <c r="L163" s="15" t="n">
        <f aca="false">COUNTIFS(Clips!$F:$F,$B163,Clips!$B:$B,"macaulay")</f>
        <v>0</v>
      </c>
      <c r="M163" s="15" t="n">
        <f aca="false">COUNTIFS(Clips!$F:$F,$B163,Clips!$B:$B,"xeno-canto")</f>
        <v>3</v>
      </c>
      <c r="N163" s="15" t="n">
        <f aca="false">K163+L163+M163</f>
        <v>3</v>
      </c>
      <c r="O163" s="15" t="n">
        <f aca="false">COUNTIFS(Clips!$F:$F,$B163,Clips!$C:$C,"excluded")</f>
        <v>0</v>
      </c>
      <c r="P163" s="15" t="n">
        <f aca="false">COUNTIFS(Clips!$F:$F,$B163,Clips!$C:$C,"train")</f>
        <v>3</v>
      </c>
      <c r="Q163" s="15" t="n">
        <f aca="false">COUNTIFS(Clips!$F:$F,$B163,Clips!$C:$C,"val")</f>
        <v>0</v>
      </c>
      <c r="R163" s="15" t="n">
        <f aca="false">COUNTIFS(Clips!$F:$F,$B163,Clips!$C:$C,"test")</f>
        <v>0</v>
      </c>
      <c r="S163" s="17" t="n">
        <f aca="false">SUMIFS(Clips!$I:$I,Clips!$F:$F,$B163,Clips!$C:$C,"train")/60</f>
        <v>2.4336</v>
      </c>
      <c r="T163" s="17" t="n">
        <f aca="false">SUMIFS(Clips!$I:$I,Clips!$F:$F,$B163,Clips!$C:$C,"val")/60</f>
        <v>0</v>
      </c>
      <c r="U163" s="17" t="n">
        <f aca="false">SUMIFS(Clips!$I:$I,Clips!$F:$F,$B163,Clips!$C:$C,"test")/60</f>
        <v>0</v>
      </c>
      <c r="V163" s="15" t="n">
        <f aca="false">SUMIFS(Clips!$J:$J,Clips!$F:$F,$B163,Clips!$C:$C,"train")</f>
        <v>31</v>
      </c>
      <c r="W163" s="18" t="n">
        <f aca="false">IF(V163=0,"",Splits!$B$49/(Splits!$B$50*V163))</f>
        <v>5.02662811929397</v>
      </c>
      <c r="X163" s="15" t="str">
        <f aca="false">IF(P163&gt;0,IF(AND(Q163&gt;0,R163&gt;0),"train + val + test",IF(R163&gt;0,"train + test","train only")),IF(R163&gt;0,"test only (unknown class)",IF(K163&gt;0,"site extract only","no usable audio")))</f>
        <v>train only</v>
      </c>
      <c r="Y163" s="15" t="str">
        <f aca="false">IF($P163=0,"",IF($E163="nonbird",$B163,IF($G163="yes",$B163,"other bird")))</f>
        <v>other bird</v>
      </c>
      <c r="Z163" s="15" t="str">
        <f aca="false">IF(AND($F163="core",$P163&gt;0),$B163,"")</f>
        <v/>
      </c>
      <c r="AA163" s="15" t="str">
        <f aca="false">IF($P163&gt;0,$B163,"")</f>
        <v>Cabanis's Wren</v>
      </c>
      <c r="AB163" s="15" t="n">
        <v>2</v>
      </c>
      <c r="AC163" s="15" t="n">
        <v>1</v>
      </c>
      <c r="AD163" s="17" t="str">
        <f aca="false">IF(COUNTIFS(Clips!$F:$F,$B163,Clips!$M:$M,"&gt;0",Clips!$C:$C,"&lt;&gt;excluded")=0,"",AVERAGEIFS(Clips!$M:$M,Clips!$F:$F,$B163,Clips!$M:$M,"&gt;0",Clips!$C:$C,"&lt;&gt;excluded"))</f>
        <v/>
      </c>
      <c r="AE163" s="15" t="n">
        <f aca="false">COUNTIFS(Clips!$F:$F,$B163,Clips!$O:$O,"&lt;&gt;",Clips!$B:$B,"&lt;&gt;site",Clips!$C:$C,"&lt;&gt;excluded")</f>
        <v>0</v>
      </c>
      <c r="AF163" s="15" t="n">
        <f aca="false">COUNTIFS(Clips!$F:$F,$B163,Clips!$I:$I,"&lt;5",Clips!$C:$C,"&lt;&gt;excluded")</f>
        <v>0</v>
      </c>
      <c r="AG163" s="5" t="s">
        <v>648</v>
      </c>
    </row>
    <row r="164" customFormat="false" ht="15" hidden="false" customHeight="false" outlineLevel="0" collapsed="false">
      <c r="A164" s="15" t="n">
        <v>79</v>
      </c>
      <c r="B164" s="15" t="s">
        <v>649</v>
      </c>
      <c r="C164" s="15" t="s">
        <v>650</v>
      </c>
      <c r="D164" s="15" t="s">
        <v>651</v>
      </c>
      <c r="E164" s="15" t="s">
        <v>147</v>
      </c>
      <c r="F164" s="15" t="s">
        <v>400</v>
      </c>
      <c r="G164" s="15" t="str">
        <f aca="false">IF(AND($E164="bird",$K164&gt;0),"yes","")</f>
        <v/>
      </c>
      <c r="H164" s="15"/>
      <c r="I164" s="15" t="str">
        <f aca="false">IF($E164="bird",IF(COUNTIF('eBird List'!$A:$A,$B164)&gt;0,"yes","no"),"")</f>
        <v>yes</v>
      </c>
      <c r="J164" s="16" t="n">
        <f aca="false">IF(COUNTIF('eBird List'!$A:$A,$B164)=0,"",INDEX('eBird List'!$C:$C,MATCH($B164,'eBird List'!$A:$A,0)))</f>
        <v>0.0601024541339052</v>
      </c>
      <c r="K164" s="15" t="n">
        <f aca="false">COUNTIFS(Clips!$B:$B,"site",Clips!$F:$F,$B164)+COUNTIFS(Clips!$B:$B,"site",Clips!$O:$O,"*"&amp;$B164&amp;"*")</f>
        <v>0</v>
      </c>
      <c r="L164" s="15" t="n">
        <f aca="false">COUNTIFS(Clips!$F:$F,$B164,Clips!$B:$B,"macaulay")</f>
        <v>3</v>
      </c>
      <c r="M164" s="15" t="n">
        <f aca="false">COUNTIFS(Clips!$F:$F,$B164,Clips!$B:$B,"xeno-canto")</f>
        <v>0</v>
      </c>
      <c r="N164" s="15" t="n">
        <f aca="false">K164+L164+M164</f>
        <v>3</v>
      </c>
      <c r="O164" s="15" t="n">
        <f aca="false">COUNTIFS(Clips!$F:$F,$B164,Clips!$C:$C,"excluded")</f>
        <v>0</v>
      </c>
      <c r="P164" s="15" t="n">
        <f aca="false">COUNTIFS(Clips!$F:$F,$B164,Clips!$C:$C,"train")</f>
        <v>2</v>
      </c>
      <c r="Q164" s="15" t="n">
        <f aca="false">COUNTIFS(Clips!$F:$F,$B164,Clips!$C:$C,"val")</f>
        <v>0</v>
      </c>
      <c r="R164" s="15" t="n">
        <f aca="false">COUNTIFS(Clips!$F:$F,$B164,Clips!$C:$C,"test")</f>
        <v>1</v>
      </c>
      <c r="S164" s="17" t="n">
        <f aca="false">SUMIFS(Clips!$I:$I,Clips!$F:$F,$B164,Clips!$C:$C,"train")/60</f>
        <v>1.06885</v>
      </c>
      <c r="T164" s="17" t="n">
        <f aca="false">SUMIFS(Clips!$I:$I,Clips!$F:$F,$B164,Clips!$C:$C,"val")/60</f>
        <v>0</v>
      </c>
      <c r="U164" s="17" t="n">
        <f aca="false">SUMIFS(Clips!$I:$I,Clips!$F:$F,$B164,Clips!$C:$C,"test")/60</f>
        <v>0.470166666666667</v>
      </c>
      <c r="V164" s="15" t="n">
        <f aca="false">SUMIFS(Clips!$J:$J,Clips!$F:$F,$B164,Clips!$C:$C,"train")</f>
        <v>14</v>
      </c>
      <c r="W164" s="18" t="n">
        <f aca="false">IF(V164=0,"",Splits!$B$49/(Splits!$B$50*V164))</f>
        <v>11.1303908355795</v>
      </c>
      <c r="X164" s="15" t="str">
        <f aca="false">IF(P164&gt;0,IF(AND(Q164&gt;0,R164&gt;0),"train + val + test",IF(R164&gt;0,"train + test","train only")),IF(R164&gt;0,"test only (unknown class)",IF(K164&gt;0,"site extract only","no usable audio")))</f>
        <v>train + test</v>
      </c>
      <c r="Y164" s="15" t="str">
        <f aca="false">IF($P164=0,"",IF($E164="nonbird",$B164,IF($G164="yes",$B164,"other bird")))</f>
        <v>other bird</v>
      </c>
      <c r="Z164" s="15" t="str">
        <f aca="false">IF(AND($F164="core",$P164&gt;0),$B164,"")</f>
        <v/>
      </c>
      <c r="AA164" s="15" t="str">
        <f aca="false">IF($P164&gt;0,$B164,"")</f>
        <v>Eastern Wood-Pewee</v>
      </c>
      <c r="AB164" s="15" t="n">
        <v>3</v>
      </c>
      <c r="AC164" s="15" t="n">
        <v>3</v>
      </c>
      <c r="AD164" s="17" t="n">
        <f aca="false">IF(COUNTIFS(Clips!$F:$F,$B164,Clips!$M:$M,"&gt;0",Clips!$C:$C,"&lt;&gt;excluded")=0,"",AVERAGEIFS(Clips!$M:$M,Clips!$F:$F,$B164,Clips!$M:$M,"&gt;0",Clips!$C:$C,"&lt;&gt;excluded"))</f>
        <v>2.5</v>
      </c>
      <c r="AE164" s="15" t="n">
        <f aca="false">COUNTIFS(Clips!$F:$F,$B164,Clips!$O:$O,"&lt;&gt;",Clips!$B:$B,"&lt;&gt;site",Clips!$C:$C,"&lt;&gt;excluded")</f>
        <v>0</v>
      </c>
      <c r="AF164" s="15" t="n">
        <f aca="false">COUNTIFS(Clips!$F:$F,$B164,Clips!$I:$I,"&lt;5",Clips!$C:$C,"&lt;&gt;excluded")</f>
        <v>0</v>
      </c>
      <c r="AG164" s="5"/>
    </row>
    <row r="165" customFormat="false" ht="15" hidden="false" customHeight="false" outlineLevel="0" collapsed="false">
      <c r="A165" s="15" t="n">
        <v>92</v>
      </c>
      <c r="B165" s="15" t="s">
        <v>652</v>
      </c>
      <c r="C165" s="15" t="s">
        <v>653</v>
      </c>
      <c r="D165" s="15" t="s">
        <v>654</v>
      </c>
      <c r="E165" s="15" t="s">
        <v>147</v>
      </c>
      <c r="F165" s="15" t="s">
        <v>400</v>
      </c>
      <c r="G165" s="15" t="str">
        <f aca="false">IF(AND($E165="bird",$K165&gt;0),"yes","")</f>
        <v/>
      </c>
      <c r="H165" s="15"/>
      <c r="I165" s="15" t="str">
        <f aca="false">IF($E165="bird",IF(COUNTIF('eBird List'!$A:$A,$B165)&gt;0,"yes","no"),"")</f>
        <v>yes</v>
      </c>
      <c r="J165" s="16" t="n">
        <f aca="false">IF(COUNTIF('eBird List'!$A:$A,$B165)=0,"",INDEX('eBird List'!$C:$C,MATCH($B165,'eBird List'!$A:$A,0)))</f>
        <v>0.00425899451989516</v>
      </c>
      <c r="K165" s="15" t="n">
        <f aca="false">COUNTIFS(Clips!$B:$B,"site",Clips!$F:$F,$B165)+COUNTIFS(Clips!$B:$B,"site",Clips!$O:$O,"*"&amp;$B165&amp;"*")</f>
        <v>0</v>
      </c>
      <c r="L165" s="15" t="n">
        <f aca="false">COUNTIFS(Clips!$F:$F,$B165,Clips!$B:$B,"macaulay")</f>
        <v>2</v>
      </c>
      <c r="M165" s="15" t="n">
        <f aca="false">COUNTIFS(Clips!$F:$F,$B165,Clips!$B:$B,"xeno-canto")</f>
        <v>1</v>
      </c>
      <c r="N165" s="15" t="n">
        <f aca="false">K165+L165+M165</f>
        <v>3</v>
      </c>
      <c r="O165" s="15" t="n">
        <f aca="false">COUNTIFS(Clips!$F:$F,$B165,Clips!$C:$C,"excluded")</f>
        <v>0</v>
      </c>
      <c r="P165" s="15" t="n">
        <f aca="false">COUNTIFS(Clips!$F:$F,$B165,Clips!$C:$C,"train")</f>
        <v>2</v>
      </c>
      <c r="Q165" s="15" t="n">
        <f aca="false">COUNTIFS(Clips!$F:$F,$B165,Clips!$C:$C,"val")</f>
        <v>0</v>
      </c>
      <c r="R165" s="15" t="n">
        <f aca="false">COUNTIFS(Clips!$F:$F,$B165,Clips!$C:$C,"test")</f>
        <v>1</v>
      </c>
      <c r="S165" s="17" t="n">
        <f aca="false">SUMIFS(Clips!$I:$I,Clips!$F:$F,$B165,Clips!$C:$C,"train")/60</f>
        <v>1.55548333333333</v>
      </c>
      <c r="T165" s="17" t="n">
        <f aca="false">SUMIFS(Clips!$I:$I,Clips!$F:$F,$B165,Clips!$C:$C,"val")/60</f>
        <v>0</v>
      </c>
      <c r="U165" s="17" t="n">
        <f aca="false">SUMIFS(Clips!$I:$I,Clips!$F:$F,$B165,Clips!$C:$C,"test")/60</f>
        <v>1.65716666666667</v>
      </c>
      <c r="V165" s="15" t="n">
        <f aca="false">SUMIFS(Clips!$J:$J,Clips!$F:$F,$B165,Clips!$C:$C,"train")</f>
        <v>20</v>
      </c>
      <c r="W165" s="18" t="n">
        <f aca="false">IF(V165=0,"",Splits!$B$49/(Splits!$B$50*V165))</f>
        <v>7.79127358490566</v>
      </c>
      <c r="X165" s="15" t="str">
        <f aca="false">IF(P165&gt;0,IF(AND(Q165&gt;0,R165&gt;0),"train + val + test",IF(R165&gt;0,"train + test","train only")),IF(R165&gt;0,"test only (unknown class)",IF(K165&gt;0,"site extract only","no usable audio")))</f>
        <v>train + test</v>
      </c>
      <c r="Y165" s="15" t="str">
        <f aca="false">IF($P165=0,"",IF($E165="nonbird",$B165,IF($G165="yes",$B165,"other bird")))</f>
        <v>other bird</v>
      </c>
      <c r="Z165" s="15" t="str">
        <f aca="false">IF(AND($F165="core",$P165&gt;0),$B165,"")</f>
        <v/>
      </c>
      <c r="AA165" s="15" t="str">
        <f aca="false">IF($P165&gt;0,$B165,"")</f>
        <v>Gray-crowned Yellowthroat</v>
      </c>
      <c r="AB165" s="15" t="n">
        <v>3</v>
      </c>
      <c r="AC165" s="15" t="n">
        <v>2</v>
      </c>
      <c r="AD165" s="17" t="n">
        <f aca="false">IF(COUNTIFS(Clips!$F:$F,$B165,Clips!$M:$M,"&gt;0",Clips!$C:$C,"&lt;&gt;excluded")=0,"",AVERAGEIFS(Clips!$M:$M,Clips!$F:$F,$B165,Clips!$M:$M,"&gt;0",Clips!$C:$C,"&lt;&gt;excluded"))</f>
        <v>2.5</v>
      </c>
      <c r="AE165" s="15" t="n">
        <f aca="false">COUNTIFS(Clips!$F:$F,$B165,Clips!$O:$O,"&lt;&gt;",Clips!$B:$B,"&lt;&gt;site",Clips!$C:$C,"&lt;&gt;excluded")</f>
        <v>0</v>
      </c>
      <c r="AF165" s="15" t="n">
        <f aca="false">COUNTIFS(Clips!$F:$F,$B165,Clips!$I:$I,"&lt;5",Clips!$C:$C,"&lt;&gt;excluded")</f>
        <v>0</v>
      </c>
      <c r="AG165" s="5"/>
    </row>
    <row r="166" customFormat="false" ht="15" hidden="false" customHeight="false" outlineLevel="0" collapsed="false">
      <c r="A166" s="15" t="n">
        <v>107</v>
      </c>
      <c r="B166" s="15" t="s">
        <v>655</v>
      </c>
      <c r="C166" s="15" t="s">
        <v>656</v>
      </c>
      <c r="D166" s="15" t="s">
        <v>657</v>
      </c>
      <c r="E166" s="15" t="s">
        <v>147</v>
      </c>
      <c r="F166" s="15" t="s">
        <v>400</v>
      </c>
      <c r="G166" s="15" t="str">
        <f aca="false">IF(AND($E166="bird",$K166&gt;0),"yes","")</f>
        <v/>
      </c>
      <c r="H166" s="15"/>
      <c r="I166" s="15" t="str">
        <f aca="false">IF($E166="bird",IF(COUNTIF('eBird List'!$A:$A,$B166)&gt;0,"yes","no"),"")</f>
        <v>yes</v>
      </c>
      <c r="J166" s="16" t="n">
        <f aca="false">IF(COUNTIF('eBird List'!$A:$A,$B166)=0,"",INDEX('eBird List'!$C:$C,MATCH($B166,'eBird List'!$A:$A,0)))</f>
        <v>0.093787228973076</v>
      </c>
      <c r="K166" s="15" t="n">
        <f aca="false">COUNTIFS(Clips!$B:$B,"site",Clips!$F:$F,$B166)+COUNTIFS(Clips!$B:$B,"site",Clips!$O:$O,"*"&amp;$B166&amp;"*")</f>
        <v>0</v>
      </c>
      <c r="L166" s="15" t="n">
        <f aca="false">COUNTIFS(Clips!$F:$F,$B166,Clips!$B:$B,"macaulay")</f>
        <v>3</v>
      </c>
      <c r="M166" s="15" t="n">
        <f aca="false">COUNTIFS(Clips!$F:$F,$B166,Clips!$B:$B,"xeno-canto")</f>
        <v>0</v>
      </c>
      <c r="N166" s="15" t="n">
        <f aca="false">K166+L166+M166</f>
        <v>3</v>
      </c>
      <c r="O166" s="15" t="n">
        <f aca="false">COUNTIFS(Clips!$F:$F,$B166,Clips!$C:$C,"excluded")</f>
        <v>0</v>
      </c>
      <c r="P166" s="15" t="n">
        <f aca="false">COUNTIFS(Clips!$F:$F,$B166,Clips!$C:$C,"train")</f>
        <v>2</v>
      </c>
      <c r="Q166" s="15" t="n">
        <f aca="false">COUNTIFS(Clips!$F:$F,$B166,Clips!$C:$C,"val")</f>
        <v>0</v>
      </c>
      <c r="R166" s="15" t="n">
        <f aca="false">COUNTIFS(Clips!$F:$F,$B166,Clips!$C:$C,"test")</f>
        <v>1</v>
      </c>
      <c r="S166" s="17" t="n">
        <f aca="false">SUMIFS(Clips!$I:$I,Clips!$F:$F,$B166,Clips!$C:$C,"train")/60</f>
        <v>1.60706666666667</v>
      </c>
      <c r="T166" s="17" t="n">
        <f aca="false">SUMIFS(Clips!$I:$I,Clips!$F:$F,$B166,Clips!$C:$C,"val")/60</f>
        <v>0</v>
      </c>
      <c r="U166" s="17" t="n">
        <f aca="false">SUMIFS(Clips!$I:$I,Clips!$F:$F,$B166,Clips!$C:$C,"test")/60</f>
        <v>0.213333333333333</v>
      </c>
      <c r="V166" s="15" t="n">
        <f aca="false">SUMIFS(Clips!$J:$J,Clips!$F:$F,$B166,Clips!$C:$C,"train")</f>
        <v>20</v>
      </c>
      <c r="W166" s="18" t="n">
        <f aca="false">IF(V166=0,"",Splits!$B$49/(Splits!$B$50*V166))</f>
        <v>7.79127358490566</v>
      </c>
      <c r="X166" s="15" t="str">
        <f aca="false">IF(P166&gt;0,IF(AND(Q166&gt;0,R166&gt;0),"train + val + test",IF(R166&gt;0,"train + test","train only")),IF(R166&gt;0,"test only (unknown class)",IF(K166&gt;0,"site extract only","no usable audio")))</f>
        <v>train + test</v>
      </c>
      <c r="Y166" s="15" t="str">
        <f aca="false">IF($P166=0,"",IF($E166="nonbird",$B166,IF($G166="yes",$B166,"other bird")))</f>
        <v>other bird</v>
      </c>
      <c r="Z166" s="15" t="str">
        <f aca="false">IF(AND($F166="core",$P166&gt;0),$B166,"")</f>
        <v/>
      </c>
      <c r="AA166" s="15" t="str">
        <f aca="false">IF($P166&gt;0,$B166,"")</f>
        <v>Green Kingfisher</v>
      </c>
      <c r="AB166" s="15" t="n">
        <v>3</v>
      </c>
      <c r="AC166" s="15" t="n">
        <v>2</v>
      </c>
      <c r="AD166" s="17" t="n">
        <f aca="false">IF(COUNTIFS(Clips!$F:$F,$B166,Clips!$M:$M,"&gt;0",Clips!$C:$C,"&lt;&gt;excluded")=0,"",AVERAGEIFS(Clips!$M:$M,Clips!$F:$F,$B166,Clips!$M:$M,"&gt;0",Clips!$C:$C,"&lt;&gt;excluded"))</f>
        <v>2.86333333333333</v>
      </c>
      <c r="AE166" s="15" t="n">
        <f aca="false">COUNTIFS(Clips!$F:$F,$B166,Clips!$O:$O,"&lt;&gt;",Clips!$B:$B,"&lt;&gt;site",Clips!$C:$C,"&lt;&gt;excluded")</f>
        <v>0</v>
      </c>
      <c r="AF166" s="15" t="n">
        <f aca="false">COUNTIFS(Clips!$F:$F,$B166,Clips!$I:$I,"&lt;5",Clips!$C:$C,"&lt;&gt;excluded")</f>
        <v>0</v>
      </c>
      <c r="AG166" s="5"/>
    </row>
    <row r="167" customFormat="false" ht="15" hidden="false" customHeight="false" outlineLevel="0" collapsed="false">
      <c r="A167" s="15" t="n">
        <v>123</v>
      </c>
      <c r="B167" s="15" t="s">
        <v>658</v>
      </c>
      <c r="C167" s="15" t="s">
        <v>659</v>
      </c>
      <c r="D167" s="15" t="s">
        <v>660</v>
      </c>
      <c r="E167" s="15" t="s">
        <v>147</v>
      </c>
      <c r="F167" s="15" t="s">
        <v>400</v>
      </c>
      <c r="G167" s="15" t="str">
        <f aca="false">IF(AND($E167="bird",$K167&gt;0),"yes","")</f>
        <v/>
      </c>
      <c r="H167" s="15"/>
      <c r="I167" s="15" t="str">
        <f aca="false">IF($E167="bird",IF(COUNTIF('eBird List'!$A:$A,$B167)&gt;0,"yes","no"),"")</f>
        <v>yes</v>
      </c>
      <c r="J167" s="16" t="n">
        <f aca="false">IF(COUNTIF('eBird List'!$A:$A,$B167)=0,"",INDEX('eBird List'!$C:$C,MATCH($B167,'eBird List'!$A:$A,0)))</f>
        <v>0.252144388849178</v>
      </c>
      <c r="K167" s="15" t="n">
        <f aca="false">COUNTIFS(Clips!$B:$B,"site",Clips!$F:$F,$B167)+COUNTIFS(Clips!$B:$B,"site",Clips!$O:$O,"*"&amp;$B167&amp;"*")</f>
        <v>0</v>
      </c>
      <c r="L167" s="15" t="n">
        <f aca="false">COUNTIFS(Clips!$F:$F,$B167,Clips!$B:$B,"macaulay")</f>
        <v>3</v>
      </c>
      <c r="M167" s="15" t="n">
        <f aca="false">COUNTIFS(Clips!$F:$F,$B167,Clips!$B:$B,"xeno-canto")</f>
        <v>0</v>
      </c>
      <c r="N167" s="15" t="n">
        <f aca="false">K167+L167+M167</f>
        <v>3</v>
      </c>
      <c r="O167" s="15" t="n">
        <f aca="false">COUNTIFS(Clips!$F:$F,$B167,Clips!$C:$C,"excluded")</f>
        <v>0</v>
      </c>
      <c r="P167" s="15" t="n">
        <f aca="false">COUNTIFS(Clips!$F:$F,$B167,Clips!$C:$C,"train")</f>
        <v>2</v>
      </c>
      <c r="Q167" s="15" t="n">
        <f aca="false">COUNTIFS(Clips!$F:$F,$B167,Clips!$C:$C,"val")</f>
        <v>0</v>
      </c>
      <c r="R167" s="15" t="n">
        <f aca="false">COUNTIFS(Clips!$F:$F,$B167,Clips!$C:$C,"test")</f>
        <v>1</v>
      </c>
      <c r="S167" s="17" t="n">
        <f aca="false">SUMIFS(Clips!$I:$I,Clips!$F:$F,$B167,Clips!$C:$C,"train")/60</f>
        <v>0.673283333333333</v>
      </c>
      <c r="T167" s="17" t="n">
        <f aca="false">SUMIFS(Clips!$I:$I,Clips!$F:$F,$B167,Clips!$C:$C,"val")/60</f>
        <v>0</v>
      </c>
      <c r="U167" s="17" t="n">
        <f aca="false">SUMIFS(Clips!$I:$I,Clips!$F:$F,$B167,Clips!$C:$C,"test")/60</f>
        <v>0.366716666666667</v>
      </c>
      <c r="V167" s="15" t="n">
        <f aca="false">SUMIFS(Clips!$J:$J,Clips!$F:$F,$B167,Clips!$C:$C,"train")</f>
        <v>9</v>
      </c>
      <c r="W167" s="18" t="n">
        <f aca="false">IF(V167=0,"",Splits!$B$49/(Splits!$B$50*V167))</f>
        <v>17.3139412997904</v>
      </c>
      <c r="X167" s="15" t="str">
        <f aca="false">IF(P167&gt;0,IF(AND(Q167&gt;0,R167&gt;0),"train + val + test",IF(R167&gt;0,"train + test","train only")),IF(R167&gt;0,"test only (unknown class)",IF(K167&gt;0,"site extract only","no usable audio")))</f>
        <v>train + test</v>
      </c>
      <c r="Y167" s="15" t="str">
        <f aca="false">IF($P167=0,"",IF($E167="nonbird",$B167,IF($G167="yes",$B167,"other bird")))</f>
        <v>other bird</v>
      </c>
      <c r="Z167" s="15" t="str">
        <f aca="false">IF(AND($F167="core",$P167&gt;0),$B167,"")</f>
        <v/>
      </c>
      <c r="AA167" s="15" t="str">
        <f aca="false">IF($P167&gt;0,$B167,"")</f>
        <v>Masked Tityra</v>
      </c>
      <c r="AB167" s="15" t="n">
        <v>3</v>
      </c>
      <c r="AC167" s="15" t="n">
        <v>3</v>
      </c>
      <c r="AD167" s="17" t="n">
        <f aca="false">IF(COUNTIFS(Clips!$F:$F,$B167,Clips!$M:$M,"&gt;0",Clips!$C:$C,"&lt;&gt;excluded")=0,"",AVERAGEIFS(Clips!$M:$M,Clips!$F:$F,$B167,Clips!$M:$M,"&gt;0",Clips!$C:$C,"&lt;&gt;excluded"))</f>
        <v>2.35666666666667</v>
      </c>
      <c r="AE167" s="15" t="n">
        <f aca="false">COUNTIFS(Clips!$F:$F,$B167,Clips!$O:$O,"&lt;&gt;",Clips!$B:$B,"&lt;&gt;site",Clips!$C:$C,"&lt;&gt;excluded")</f>
        <v>1</v>
      </c>
      <c r="AF167" s="15" t="n">
        <f aca="false">COUNTIFS(Clips!$F:$F,$B167,Clips!$I:$I,"&lt;5",Clips!$C:$C,"&lt;&gt;excluded")</f>
        <v>0</v>
      </c>
      <c r="AG167" s="5"/>
    </row>
    <row r="168" customFormat="false" ht="15" hidden="false" customHeight="false" outlineLevel="0" collapsed="false">
      <c r="A168" s="15" t="n">
        <v>134</v>
      </c>
      <c r="B168" s="15" t="s">
        <v>661</v>
      </c>
      <c r="C168" s="15" t="s">
        <v>662</v>
      </c>
      <c r="D168" s="15" t="s">
        <v>663</v>
      </c>
      <c r="E168" s="15" t="s">
        <v>147</v>
      </c>
      <c r="F168" s="15" t="s">
        <v>400</v>
      </c>
      <c r="G168" s="15" t="str">
        <f aca="false">IF(AND($E168="bird",$K168&gt;0),"yes","")</f>
        <v/>
      </c>
      <c r="H168" s="15"/>
      <c r="I168" s="15" t="str">
        <f aca="false">IF($E168="bird",IF(COUNTIF('eBird List'!$A:$A,$B168)&gt;0,"yes","no"),"")</f>
        <v>yes</v>
      </c>
      <c r="J168" s="16" t="n">
        <f aca="false">IF(COUNTIF('eBird List'!$A:$A,$B168)=0,"",INDEX('eBird List'!$C:$C,MATCH($B168,'eBird List'!$A:$A,0)))</f>
        <v>0.00905408625208482</v>
      </c>
      <c r="K168" s="15" t="n">
        <f aca="false">COUNTIFS(Clips!$B:$B,"site",Clips!$F:$F,$B168)+COUNTIFS(Clips!$B:$B,"site",Clips!$O:$O,"*"&amp;$B168&amp;"*")</f>
        <v>0</v>
      </c>
      <c r="L168" s="15" t="n">
        <f aca="false">COUNTIFS(Clips!$F:$F,$B168,Clips!$B:$B,"macaulay")</f>
        <v>4</v>
      </c>
      <c r="M168" s="15" t="n">
        <f aca="false">COUNTIFS(Clips!$F:$F,$B168,Clips!$B:$B,"xeno-canto")</f>
        <v>0</v>
      </c>
      <c r="N168" s="15" t="n">
        <f aca="false">K168+L168+M168</f>
        <v>4</v>
      </c>
      <c r="O168" s="15" t="n">
        <f aca="false">COUNTIFS(Clips!$F:$F,$B168,Clips!$C:$C,"excluded")</f>
        <v>1</v>
      </c>
      <c r="P168" s="15" t="n">
        <f aca="false">COUNTIFS(Clips!$F:$F,$B168,Clips!$C:$C,"train")</f>
        <v>2</v>
      </c>
      <c r="Q168" s="15" t="n">
        <f aca="false">COUNTIFS(Clips!$F:$F,$B168,Clips!$C:$C,"val")</f>
        <v>0</v>
      </c>
      <c r="R168" s="15" t="n">
        <f aca="false">COUNTIFS(Clips!$F:$F,$B168,Clips!$C:$C,"test")</f>
        <v>1</v>
      </c>
      <c r="S168" s="17" t="n">
        <f aca="false">SUMIFS(Clips!$I:$I,Clips!$F:$F,$B168,Clips!$C:$C,"train")/60</f>
        <v>3.4221</v>
      </c>
      <c r="T168" s="17" t="n">
        <f aca="false">SUMIFS(Clips!$I:$I,Clips!$F:$F,$B168,Clips!$C:$C,"val")/60</f>
        <v>0</v>
      </c>
      <c r="U168" s="17" t="n">
        <f aca="false">SUMIFS(Clips!$I:$I,Clips!$F:$F,$B168,Clips!$C:$C,"test")/60</f>
        <v>0.4014</v>
      </c>
      <c r="V168" s="15" t="n">
        <f aca="false">SUMIFS(Clips!$J:$J,Clips!$F:$F,$B168,Clips!$C:$C,"train")</f>
        <v>42</v>
      </c>
      <c r="W168" s="18" t="n">
        <f aca="false">IF(V168=0,"",Splits!$B$49/(Splits!$B$50*V168))</f>
        <v>3.71013027852651</v>
      </c>
      <c r="X168" s="15" t="str">
        <f aca="false">IF(P168&gt;0,IF(AND(Q168&gt;0,R168&gt;0),"train + val + test",IF(R168&gt;0,"train + test","train only")),IF(R168&gt;0,"test only (unknown class)",IF(K168&gt;0,"site extract only","no usable audio")))</f>
        <v>train + test</v>
      </c>
      <c r="Y168" s="15" t="str">
        <f aca="false">IF($P168=0,"",IF($E168="nonbird",$B168,IF($G168="yes",$B168,"other bird")))</f>
        <v>other bird</v>
      </c>
      <c r="Z168" s="15" t="str">
        <f aca="false">IF(AND($F168="core",$P168&gt;0),$B168,"")</f>
        <v/>
      </c>
      <c r="AA168" s="15" t="str">
        <f aca="false">IF($P168&gt;0,$B168,"")</f>
        <v>Northern Bentbill</v>
      </c>
      <c r="AB168" s="15" t="n">
        <v>3</v>
      </c>
      <c r="AC168" s="15" t="n">
        <v>3</v>
      </c>
      <c r="AD168" s="17" t="n">
        <f aca="false">IF(COUNTIFS(Clips!$F:$F,$B168,Clips!$M:$M,"&gt;0",Clips!$C:$C,"&lt;&gt;excluded")=0,"",AVERAGEIFS(Clips!$M:$M,Clips!$F:$F,$B168,Clips!$M:$M,"&gt;0",Clips!$C:$C,"&lt;&gt;excluded"))</f>
        <v>1.66666666666667</v>
      </c>
      <c r="AE168" s="15" t="n">
        <f aca="false">COUNTIFS(Clips!$F:$F,$B168,Clips!$O:$O,"&lt;&gt;",Clips!$B:$B,"&lt;&gt;site",Clips!$C:$C,"&lt;&gt;excluded")</f>
        <v>1</v>
      </c>
      <c r="AF168" s="15" t="n">
        <f aca="false">COUNTIFS(Clips!$F:$F,$B168,Clips!$I:$I,"&lt;5",Clips!$C:$C,"&lt;&gt;excluded")</f>
        <v>0</v>
      </c>
      <c r="AG168" s="5"/>
    </row>
    <row r="169" customFormat="false" ht="15" hidden="false" customHeight="false" outlineLevel="0" collapsed="false">
      <c r="A169" s="15" t="n">
        <v>144</v>
      </c>
      <c r="B169" s="15" t="s">
        <v>664</v>
      </c>
      <c r="C169" s="15" t="s">
        <v>665</v>
      </c>
      <c r="D169" s="15"/>
      <c r="E169" s="15" t="s">
        <v>147</v>
      </c>
      <c r="F169" s="15" t="s">
        <v>647</v>
      </c>
      <c r="G169" s="15" t="str">
        <f aca="false">IF(AND($E169="bird",$K169&gt;0),"yes","")</f>
        <v/>
      </c>
      <c r="H169" s="15"/>
      <c r="I169" s="15" t="str">
        <f aca="false">IF($E169="bird",IF(COUNTIF('eBird List'!$A:$A,$B169)&gt;0,"yes","no"),"")</f>
        <v>no</v>
      </c>
      <c r="J169" s="16" t="str">
        <f aca="false">IF(COUNTIF('eBird List'!$A:$A,$B169)=0,"",INDEX('eBird List'!$C:$C,MATCH($B169,'eBird List'!$A:$A,0)))</f>
        <v/>
      </c>
      <c r="K169" s="15" t="n">
        <f aca="false">COUNTIFS(Clips!$B:$B,"site",Clips!$F:$F,$B169)+COUNTIFS(Clips!$B:$B,"site",Clips!$O:$O,"*"&amp;$B169&amp;"*")</f>
        <v>0</v>
      </c>
      <c r="L169" s="15" t="n">
        <f aca="false">COUNTIFS(Clips!$F:$F,$B169,Clips!$B:$B,"macaulay")</f>
        <v>0</v>
      </c>
      <c r="M169" s="15" t="n">
        <f aca="false">COUNTIFS(Clips!$F:$F,$B169,Clips!$B:$B,"xeno-canto")</f>
        <v>3</v>
      </c>
      <c r="N169" s="15" t="n">
        <f aca="false">K169+L169+M169</f>
        <v>3</v>
      </c>
      <c r="O169" s="15" t="n">
        <f aca="false">COUNTIFS(Clips!$F:$F,$B169,Clips!$C:$C,"excluded")</f>
        <v>0</v>
      </c>
      <c r="P169" s="15" t="n">
        <f aca="false">COUNTIFS(Clips!$F:$F,$B169,Clips!$C:$C,"train")</f>
        <v>3</v>
      </c>
      <c r="Q169" s="15" t="n">
        <f aca="false">COUNTIFS(Clips!$F:$F,$B169,Clips!$C:$C,"val")</f>
        <v>0</v>
      </c>
      <c r="R169" s="15" t="n">
        <f aca="false">COUNTIFS(Clips!$F:$F,$B169,Clips!$C:$C,"test")</f>
        <v>0</v>
      </c>
      <c r="S169" s="17" t="n">
        <f aca="false">SUMIFS(Clips!$I:$I,Clips!$F:$F,$B169,Clips!$C:$C,"train")/60</f>
        <v>2.13395</v>
      </c>
      <c r="T169" s="17" t="n">
        <f aca="false">SUMIFS(Clips!$I:$I,Clips!$F:$F,$B169,Clips!$C:$C,"val")/60</f>
        <v>0</v>
      </c>
      <c r="U169" s="17" t="n">
        <f aca="false">SUMIFS(Clips!$I:$I,Clips!$F:$F,$B169,Clips!$C:$C,"test")/60</f>
        <v>0</v>
      </c>
      <c r="V169" s="15" t="n">
        <f aca="false">SUMIFS(Clips!$J:$J,Clips!$F:$F,$B169,Clips!$C:$C,"train")</f>
        <v>27</v>
      </c>
      <c r="W169" s="18" t="n">
        <f aca="false">IF(V169=0,"",Splits!$B$49/(Splits!$B$50*V169))</f>
        <v>5.77131376659679</v>
      </c>
      <c r="X169" s="15" t="str">
        <f aca="false">IF(P169&gt;0,IF(AND(Q169&gt;0,R169&gt;0),"train + val + test",IF(R169&gt;0,"train + test","train only")),IF(R169&gt;0,"test only (unknown class)",IF(K169&gt;0,"site extract only","no usable audio")))</f>
        <v>train only</v>
      </c>
      <c r="Y169" s="15" t="str">
        <f aca="false">IF($P169=0,"",IF($E169="nonbird",$B169,IF($G169="yes",$B169,"other bird")))</f>
        <v>other bird</v>
      </c>
      <c r="Z169" s="15" t="str">
        <f aca="false">IF(AND($F169="core",$P169&gt;0),$B169,"")</f>
        <v/>
      </c>
      <c r="AA169" s="15" t="str">
        <f aca="false">IF($P169&gt;0,$B169,"")</f>
        <v>Orange-billed Nightingale-Thrush</v>
      </c>
      <c r="AB169" s="15" t="n">
        <v>2</v>
      </c>
      <c r="AC169" s="15" t="n">
        <v>1</v>
      </c>
      <c r="AD169" s="17" t="str">
        <f aca="false">IF(COUNTIFS(Clips!$F:$F,$B169,Clips!$M:$M,"&gt;0",Clips!$C:$C,"&lt;&gt;excluded")=0,"",AVERAGEIFS(Clips!$M:$M,Clips!$F:$F,$B169,Clips!$M:$M,"&gt;0",Clips!$C:$C,"&lt;&gt;excluded"))</f>
        <v/>
      </c>
      <c r="AE169" s="15" t="n">
        <f aca="false">COUNTIFS(Clips!$F:$F,$B169,Clips!$O:$O,"&lt;&gt;",Clips!$B:$B,"&lt;&gt;site",Clips!$C:$C,"&lt;&gt;excluded")</f>
        <v>0</v>
      </c>
      <c r="AF169" s="15" t="n">
        <f aca="false">COUNTIFS(Clips!$F:$F,$B169,Clips!$I:$I,"&lt;5",Clips!$C:$C,"&lt;&gt;excluded")</f>
        <v>0</v>
      </c>
      <c r="AG169" s="5" t="s">
        <v>648</v>
      </c>
    </row>
    <row r="170" customFormat="false" ht="15" hidden="false" customHeight="false" outlineLevel="0" collapsed="false">
      <c r="A170" s="15" t="n">
        <v>153</v>
      </c>
      <c r="B170" s="15" t="s">
        <v>666</v>
      </c>
      <c r="C170" s="15" t="s">
        <v>667</v>
      </c>
      <c r="D170" s="15" t="s">
        <v>668</v>
      </c>
      <c r="E170" s="15" t="s">
        <v>147</v>
      </c>
      <c r="F170" s="15" t="s">
        <v>400</v>
      </c>
      <c r="G170" s="15" t="str">
        <f aca="false">IF(AND($E170="bird",$K170&gt;0),"yes","")</f>
        <v/>
      </c>
      <c r="H170" s="15"/>
      <c r="I170" s="15" t="str">
        <f aca="false">IF($E170="bird",IF(COUNTIF('eBird List'!$A:$A,$B170)&gt;0,"yes","no"),"")</f>
        <v>yes</v>
      </c>
      <c r="J170" s="16" t="n">
        <f aca="false">IF(COUNTIF('eBird List'!$A:$A,$B170)=0,"",INDEX('eBird List'!$C:$C,MATCH($B170,'eBird List'!$A:$A,0)))</f>
        <v>0.0992375506314034</v>
      </c>
      <c r="K170" s="15" t="n">
        <f aca="false">COUNTIFS(Clips!$B:$B,"site",Clips!$F:$F,$B170)+COUNTIFS(Clips!$B:$B,"site",Clips!$O:$O,"*"&amp;$B170&amp;"*")</f>
        <v>0</v>
      </c>
      <c r="L170" s="15" t="n">
        <f aca="false">COUNTIFS(Clips!$F:$F,$B170,Clips!$B:$B,"macaulay")</f>
        <v>3</v>
      </c>
      <c r="M170" s="15" t="n">
        <f aca="false">COUNTIFS(Clips!$F:$F,$B170,Clips!$B:$B,"xeno-canto")</f>
        <v>0</v>
      </c>
      <c r="N170" s="15" t="n">
        <f aca="false">K170+L170+M170</f>
        <v>3</v>
      </c>
      <c r="O170" s="15" t="n">
        <f aca="false">COUNTIFS(Clips!$F:$F,$B170,Clips!$C:$C,"excluded")</f>
        <v>0</v>
      </c>
      <c r="P170" s="15" t="n">
        <f aca="false">COUNTIFS(Clips!$F:$F,$B170,Clips!$C:$C,"train")</f>
        <v>2</v>
      </c>
      <c r="Q170" s="15" t="n">
        <f aca="false">COUNTIFS(Clips!$F:$F,$B170,Clips!$C:$C,"val")</f>
        <v>0</v>
      </c>
      <c r="R170" s="15" t="n">
        <f aca="false">COUNTIFS(Clips!$F:$F,$B170,Clips!$C:$C,"test")</f>
        <v>1</v>
      </c>
      <c r="S170" s="17" t="n">
        <f aca="false">SUMIFS(Clips!$I:$I,Clips!$F:$F,$B170,Clips!$C:$C,"train")/60</f>
        <v>1.91923333333333</v>
      </c>
      <c r="T170" s="17" t="n">
        <f aca="false">SUMIFS(Clips!$I:$I,Clips!$F:$F,$B170,Clips!$C:$C,"val")/60</f>
        <v>0</v>
      </c>
      <c r="U170" s="17" t="n">
        <f aca="false">SUMIFS(Clips!$I:$I,Clips!$F:$F,$B170,Clips!$C:$C,"test")/60</f>
        <v>0.512616666666667</v>
      </c>
      <c r="V170" s="15" t="n">
        <f aca="false">SUMIFS(Clips!$J:$J,Clips!$F:$F,$B170,Clips!$C:$C,"train")</f>
        <v>24</v>
      </c>
      <c r="W170" s="18" t="n">
        <f aca="false">IF(V170=0,"",Splits!$B$49/(Splits!$B$50*V170))</f>
        <v>6.49272798742138</v>
      </c>
      <c r="X170" s="15" t="str">
        <f aca="false">IF(P170&gt;0,IF(AND(Q170&gt;0,R170&gt;0),"train + val + test",IF(R170&gt;0,"train + test","train only")),IF(R170&gt;0,"test only (unknown class)",IF(K170&gt;0,"site extract only","no usable audio")))</f>
        <v>train + test</v>
      </c>
      <c r="Y170" s="15" t="str">
        <f aca="false">IF($P170=0,"",IF($E170="nonbird",$B170,IF($G170="yes",$B170,"other bird")))</f>
        <v>other bird</v>
      </c>
      <c r="Z170" s="15" t="str">
        <f aca="false">IF(AND($F170="core",$P170&gt;0),$B170,"")</f>
        <v/>
      </c>
      <c r="AA170" s="15" t="str">
        <f aca="false">IF($P170&gt;0,$B170,"")</f>
        <v>Plain-colored Tanager</v>
      </c>
      <c r="AB170" s="15" t="n">
        <v>3</v>
      </c>
      <c r="AC170" s="15" t="n">
        <v>3</v>
      </c>
      <c r="AD170" s="17" t="n">
        <f aca="false">IF(COUNTIFS(Clips!$F:$F,$B170,Clips!$M:$M,"&gt;0",Clips!$C:$C,"&lt;&gt;excluded")=0,"",AVERAGEIFS(Clips!$M:$M,Clips!$F:$F,$B170,Clips!$M:$M,"&gt;0",Clips!$C:$C,"&lt;&gt;excluded"))</f>
        <v>2.13333333333333</v>
      </c>
      <c r="AE170" s="15" t="n">
        <f aca="false">COUNTIFS(Clips!$F:$F,$B170,Clips!$O:$O,"&lt;&gt;",Clips!$B:$B,"&lt;&gt;site",Clips!$C:$C,"&lt;&gt;excluded")</f>
        <v>1</v>
      </c>
      <c r="AF170" s="15" t="n">
        <f aca="false">COUNTIFS(Clips!$F:$F,$B170,Clips!$I:$I,"&lt;5",Clips!$C:$C,"&lt;&gt;excluded")</f>
        <v>0</v>
      </c>
      <c r="AG170" s="5"/>
    </row>
    <row r="171" customFormat="false" ht="15" hidden="false" customHeight="false" outlineLevel="0" collapsed="false">
      <c r="A171" s="15" t="n">
        <v>168</v>
      </c>
      <c r="B171" s="15" t="s">
        <v>669</v>
      </c>
      <c r="C171" s="15" t="s">
        <v>670</v>
      </c>
      <c r="D171" s="15"/>
      <c r="E171" s="15" t="s">
        <v>147</v>
      </c>
      <c r="F171" s="15" t="s">
        <v>647</v>
      </c>
      <c r="G171" s="15" t="str">
        <f aca="false">IF(AND($E171="bird",$K171&gt;0),"yes","")</f>
        <v/>
      </c>
      <c r="H171" s="15"/>
      <c r="I171" s="15" t="str">
        <f aca="false">IF($E171="bird",IF(COUNTIF('eBird List'!$A:$A,$B171)&gt;0,"yes","no"),"")</f>
        <v>no</v>
      </c>
      <c r="J171" s="16" t="str">
        <f aca="false">IF(COUNTIF('eBird List'!$A:$A,$B171)=0,"",INDEX('eBird List'!$C:$C,MATCH($B171,'eBird List'!$A:$A,0)))</f>
        <v/>
      </c>
      <c r="K171" s="15" t="n">
        <f aca="false">COUNTIFS(Clips!$B:$B,"site",Clips!$F:$F,$B171)+COUNTIFS(Clips!$B:$B,"site",Clips!$O:$O,"*"&amp;$B171&amp;"*")</f>
        <v>0</v>
      </c>
      <c r="L171" s="15" t="n">
        <f aca="false">COUNTIFS(Clips!$F:$F,$B171,Clips!$B:$B,"macaulay")</f>
        <v>0</v>
      </c>
      <c r="M171" s="15" t="n">
        <f aca="false">COUNTIFS(Clips!$F:$F,$B171,Clips!$B:$B,"xeno-canto")</f>
        <v>3</v>
      </c>
      <c r="N171" s="15" t="n">
        <f aca="false">K171+L171+M171</f>
        <v>3</v>
      </c>
      <c r="O171" s="15" t="n">
        <f aca="false">COUNTIFS(Clips!$F:$F,$B171,Clips!$C:$C,"excluded")</f>
        <v>0</v>
      </c>
      <c r="P171" s="15" t="n">
        <f aca="false">COUNTIFS(Clips!$F:$F,$B171,Clips!$C:$C,"train")</f>
        <v>3</v>
      </c>
      <c r="Q171" s="15" t="n">
        <f aca="false">COUNTIFS(Clips!$F:$F,$B171,Clips!$C:$C,"val")</f>
        <v>0</v>
      </c>
      <c r="R171" s="15" t="n">
        <f aca="false">COUNTIFS(Clips!$F:$F,$B171,Clips!$C:$C,"test")</f>
        <v>0</v>
      </c>
      <c r="S171" s="17" t="n">
        <f aca="false">SUMIFS(Clips!$I:$I,Clips!$F:$F,$B171,Clips!$C:$C,"train")/60</f>
        <v>0.8576</v>
      </c>
      <c r="T171" s="17" t="n">
        <f aca="false">SUMIFS(Clips!$I:$I,Clips!$F:$F,$B171,Clips!$C:$C,"val")/60</f>
        <v>0</v>
      </c>
      <c r="U171" s="17" t="n">
        <f aca="false">SUMIFS(Clips!$I:$I,Clips!$F:$F,$B171,Clips!$C:$C,"test")/60</f>
        <v>0</v>
      </c>
      <c r="V171" s="15" t="n">
        <f aca="false">SUMIFS(Clips!$J:$J,Clips!$F:$F,$B171,Clips!$C:$C,"train")</f>
        <v>12</v>
      </c>
      <c r="W171" s="18" t="n">
        <f aca="false">IF(V171=0,"",Splits!$B$49/(Splits!$B$50*V171))</f>
        <v>12.9854559748428</v>
      </c>
      <c r="X171" s="15" t="str">
        <f aca="false">IF(P171&gt;0,IF(AND(Q171&gt;0,R171&gt;0),"train + val + test",IF(R171&gt;0,"train + test","train only")),IF(R171&gt;0,"test only (unknown class)",IF(K171&gt;0,"site extract only","no usable audio")))</f>
        <v>train only</v>
      </c>
      <c r="Y171" s="15" t="str">
        <f aca="false">IF($P171=0,"",IF($E171="nonbird",$B171,IF($G171="yes",$B171,"other bird")))</f>
        <v>other bird</v>
      </c>
      <c r="Z171" s="15" t="str">
        <f aca="false">IF(AND($F171="core",$P171&gt;0),$B171,"")</f>
        <v/>
      </c>
      <c r="AA171" s="15" t="str">
        <f aca="false">IF($P171&gt;0,$B171,"")</f>
        <v>Rufous-and-white Wren</v>
      </c>
      <c r="AB171" s="15" t="n">
        <v>3</v>
      </c>
      <c r="AC171" s="15" t="n">
        <v>1</v>
      </c>
      <c r="AD171" s="17" t="str">
        <f aca="false">IF(COUNTIFS(Clips!$F:$F,$B171,Clips!$M:$M,"&gt;0",Clips!$C:$C,"&lt;&gt;excluded")=0,"",AVERAGEIFS(Clips!$M:$M,Clips!$F:$F,$B171,Clips!$M:$M,"&gt;0",Clips!$C:$C,"&lt;&gt;excluded"))</f>
        <v/>
      </c>
      <c r="AE171" s="15" t="n">
        <f aca="false">COUNTIFS(Clips!$F:$F,$B171,Clips!$O:$O,"&lt;&gt;",Clips!$B:$B,"&lt;&gt;site",Clips!$C:$C,"&lt;&gt;excluded")</f>
        <v>0</v>
      </c>
      <c r="AF171" s="15" t="n">
        <f aca="false">COUNTIFS(Clips!$F:$F,$B171,Clips!$I:$I,"&lt;5",Clips!$C:$C,"&lt;&gt;excluded")</f>
        <v>0</v>
      </c>
      <c r="AG171" s="5" t="s">
        <v>648</v>
      </c>
    </row>
    <row r="172" customFormat="false" ht="15" hidden="false" customHeight="false" outlineLevel="0" collapsed="false">
      <c r="A172" s="15" t="n">
        <v>174</v>
      </c>
      <c r="B172" s="15" t="s">
        <v>671</v>
      </c>
      <c r="C172" s="15" t="s">
        <v>672</v>
      </c>
      <c r="D172" s="15" t="s">
        <v>673</v>
      </c>
      <c r="E172" s="15" t="s">
        <v>147</v>
      </c>
      <c r="F172" s="15" t="s">
        <v>613</v>
      </c>
      <c r="G172" s="15" t="str">
        <f aca="false">IF(AND($E172="bird",$K172&gt;0),"yes","")</f>
        <v/>
      </c>
      <c r="H172" s="15"/>
      <c r="I172" s="15" t="str">
        <f aca="false">IF($E172="bird",IF(COUNTIF('eBird List'!$A:$A,$B172)&gt;0,"yes","no"),"")</f>
        <v>yes</v>
      </c>
      <c r="J172" s="16" t="n">
        <f aca="false">IF(COUNTIF('eBird List'!$A:$A,$B172)=0,"",INDEX('eBird List'!$C:$C,MATCH($B172,'eBird List'!$A:$A,0)))</f>
        <v>0.0489039790326424</v>
      </c>
      <c r="K172" s="15" t="n">
        <f aca="false">COUNTIFS(Clips!$B:$B,"site",Clips!$F:$F,$B172)+COUNTIFS(Clips!$B:$B,"site",Clips!$O:$O,"*"&amp;$B172&amp;"*")</f>
        <v>0</v>
      </c>
      <c r="L172" s="15" t="n">
        <f aca="false">COUNTIFS(Clips!$F:$F,$B172,Clips!$B:$B,"macaulay")</f>
        <v>1</v>
      </c>
      <c r="M172" s="15" t="n">
        <f aca="false">COUNTIFS(Clips!$F:$F,$B172,Clips!$B:$B,"xeno-canto")</f>
        <v>2</v>
      </c>
      <c r="N172" s="15" t="n">
        <f aca="false">K172+L172+M172</f>
        <v>3</v>
      </c>
      <c r="O172" s="15" t="n">
        <f aca="false">COUNTIFS(Clips!$F:$F,$B172,Clips!$C:$C,"excluded")</f>
        <v>0</v>
      </c>
      <c r="P172" s="15" t="n">
        <f aca="false">COUNTIFS(Clips!$F:$F,$B172,Clips!$C:$C,"train")</f>
        <v>2</v>
      </c>
      <c r="Q172" s="15" t="n">
        <f aca="false">COUNTIFS(Clips!$F:$F,$B172,Clips!$C:$C,"val")</f>
        <v>0</v>
      </c>
      <c r="R172" s="15" t="n">
        <f aca="false">COUNTIFS(Clips!$F:$F,$B172,Clips!$C:$C,"test")</f>
        <v>1</v>
      </c>
      <c r="S172" s="17" t="n">
        <f aca="false">SUMIFS(Clips!$I:$I,Clips!$F:$F,$B172,Clips!$C:$C,"train")/60</f>
        <v>1.28843333333333</v>
      </c>
      <c r="T172" s="17" t="n">
        <f aca="false">SUMIFS(Clips!$I:$I,Clips!$F:$F,$B172,Clips!$C:$C,"val")/60</f>
        <v>0</v>
      </c>
      <c r="U172" s="17" t="n">
        <f aca="false">SUMIFS(Clips!$I:$I,Clips!$F:$F,$B172,Clips!$C:$C,"test")/60</f>
        <v>0.250916666666667</v>
      </c>
      <c r="V172" s="15" t="n">
        <f aca="false">SUMIFS(Clips!$J:$J,Clips!$F:$F,$B172,Clips!$C:$C,"train")</f>
        <v>16</v>
      </c>
      <c r="W172" s="18" t="n">
        <f aca="false">IF(V172=0,"",Splits!$B$49/(Splits!$B$50*V172))</f>
        <v>9.73909198113208</v>
      </c>
      <c r="X172" s="15" t="str">
        <f aca="false">IF(P172&gt;0,IF(AND(Q172&gt;0,R172&gt;0),"train + val + test",IF(R172&gt;0,"train + test","train only")),IF(R172&gt;0,"test only (unknown class)",IF(K172&gt;0,"site extract only","no usable audio")))</f>
        <v>train + test</v>
      </c>
      <c r="Y172" s="15" t="str">
        <f aca="false">IF($P172=0,"",IF($E172="nonbird",$B172,IF($G172="yes",$B172,"other bird")))</f>
        <v>other bird</v>
      </c>
      <c r="Z172" s="15" t="str">
        <f aca="false">IF(AND($F172="core",$P172&gt;0),$B172,"")</f>
        <v/>
      </c>
      <c r="AA172" s="15" t="str">
        <f aca="false">IF($P172&gt;0,$B172,"")</f>
        <v>Scaly-breasted Hummingbird</v>
      </c>
      <c r="AB172" s="15" t="n">
        <v>3</v>
      </c>
      <c r="AC172" s="15" t="n">
        <v>2</v>
      </c>
      <c r="AD172" s="17" t="n">
        <f aca="false">IF(COUNTIFS(Clips!$F:$F,$B172,Clips!$M:$M,"&gt;0",Clips!$C:$C,"&lt;&gt;excluded")=0,"",AVERAGEIFS(Clips!$M:$M,Clips!$F:$F,$B172,Clips!$M:$M,"&gt;0",Clips!$C:$C,"&lt;&gt;excluded"))</f>
        <v>3.5</v>
      </c>
      <c r="AE172" s="15" t="n">
        <f aca="false">COUNTIFS(Clips!$F:$F,$B172,Clips!$O:$O,"&lt;&gt;",Clips!$B:$B,"&lt;&gt;site",Clips!$C:$C,"&lt;&gt;excluded")</f>
        <v>1</v>
      </c>
      <c r="AF172" s="15" t="n">
        <f aca="false">COUNTIFS(Clips!$F:$F,$B172,Clips!$I:$I,"&lt;5",Clips!$C:$C,"&lt;&gt;excluded")</f>
        <v>0</v>
      </c>
      <c r="AG172" s="5"/>
    </row>
    <row r="173" customFormat="false" ht="15" hidden="false" customHeight="false" outlineLevel="0" collapsed="false">
      <c r="A173" s="15" t="n">
        <v>188</v>
      </c>
      <c r="B173" s="15" t="s">
        <v>674</v>
      </c>
      <c r="C173" s="15" t="s">
        <v>675</v>
      </c>
      <c r="D173" s="15" t="s">
        <v>676</v>
      </c>
      <c r="E173" s="15" t="s">
        <v>147</v>
      </c>
      <c r="F173" s="15" t="s">
        <v>400</v>
      </c>
      <c r="G173" s="15" t="str">
        <f aca="false">IF(AND($E173="bird",$K173&gt;0),"yes","")</f>
        <v/>
      </c>
      <c r="H173" s="15"/>
      <c r="I173" s="15" t="str">
        <f aca="false">IF($E173="bird",IF(COUNTIF('eBird List'!$A:$A,$B173)&gt;0,"yes","no"),"")</f>
        <v>yes</v>
      </c>
      <c r="J173" s="16" t="n">
        <f aca="false">IF(COUNTIF('eBird List'!$A:$A,$B173)=0,"",INDEX('eBird List'!$C:$C,MATCH($B173,'eBird List'!$A:$A,0)))</f>
        <v>0.0258220157255182</v>
      </c>
      <c r="K173" s="15" t="n">
        <f aca="false">COUNTIFS(Clips!$B:$B,"site",Clips!$F:$F,$B173)+COUNTIFS(Clips!$B:$B,"site",Clips!$O:$O,"*"&amp;$B173&amp;"*")</f>
        <v>0</v>
      </c>
      <c r="L173" s="15" t="n">
        <f aca="false">COUNTIFS(Clips!$F:$F,$B173,Clips!$B:$B,"macaulay")</f>
        <v>3</v>
      </c>
      <c r="M173" s="15" t="n">
        <f aca="false">COUNTIFS(Clips!$F:$F,$B173,Clips!$B:$B,"xeno-canto")</f>
        <v>0</v>
      </c>
      <c r="N173" s="15" t="n">
        <f aca="false">K173+L173+M173</f>
        <v>3</v>
      </c>
      <c r="O173" s="15" t="n">
        <f aca="false">COUNTIFS(Clips!$F:$F,$B173,Clips!$C:$C,"excluded")</f>
        <v>0</v>
      </c>
      <c r="P173" s="15" t="n">
        <f aca="false">COUNTIFS(Clips!$F:$F,$B173,Clips!$C:$C,"train")</f>
        <v>2</v>
      </c>
      <c r="Q173" s="15" t="n">
        <f aca="false">COUNTIFS(Clips!$F:$F,$B173,Clips!$C:$C,"val")</f>
        <v>0</v>
      </c>
      <c r="R173" s="15" t="n">
        <f aca="false">COUNTIFS(Clips!$F:$F,$B173,Clips!$C:$C,"test")</f>
        <v>1</v>
      </c>
      <c r="S173" s="17" t="n">
        <f aca="false">SUMIFS(Clips!$I:$I,Clips!$F:$F,$B173,Clips!$C:$C,"train")/60</f>
        <v>0.4629</v>
      </c>
      <c r="T173" s="17" t="n">
        <f aca="false">SUMIFS(Clips!$I:$I,Clips!$F:$F,$B173,Clips!$C:$C,"val")/60</f>
        <v>0</v>
      </c>
      <c r="U173" s="17" t="n">
        <f aca="false">SUMIFS(Clips!$I:$I,Clips!$F:$F,$B173,Clips!$C:$C,"test")/60</f>
        <v>0.859883333333333</v>
      </c>
      <c r="V173" s="15" t="n">
        <f aca="false">SUMIFS(Clips!$J:$J,Clips!$F:$F,$B173,Clips!$C:$C,"train")</f>
        <v>7</v>
      </c>
      <c r="W173" s="18" t="n">
        <f aca="false">IF(V173=0,"",Splits!$B$49/(Splits!$B$50*V173))</f>
        <v>22.260781671159</v>
      </c>
      <c r="X173" s="15" t="str">
        <f aca="false">IF(P173&gt;0,IF(AND(Q173&gt;0,R173&gt;0),"train + val + test",IF(R173&gt;0,"train + test","train only")),IF(R173&gt;0,"test only (unknown class)",IF(K173&gt;0,"site extract only","no usable audio")))</f>
        <v>train + test</v>
      </c>
      <c r="Y173" s="15" t="str">
        <f aca="false">IF($P173=0,"",IF($E173="nonbird",$B173,IF($G173="yes",$B173,"other bird")))</f>
        <v>other bird</v>
      </c>
      <c r="Z173" s="15" t="str">
        <f aca="false">IF(AND($F173="core",$P173&gt;0),$B173,"")</f>
        <v/>
      </c>
      <c r="AA173" s="15" t="str">
        <f aca="false">IF($P173&gt;0,$B173,"")</f>
        <v>Smoky-brown Woodpecker</v>
      </c>
      <c r="AB173" s="15" t="n">
        <v>3</v>
      </c>
      <c r="AC173" s="15" t="n">
        <v>3</v>
      </c>
      <c r="AD173" s="17" t="n">
        <f aca="false">IF(COUNTIFS(Clips!$F:$F,$B173,Clips!$M:$M,"&gt;0",Clips!$C:$C,"&lt;&gt;excluded")=0,"",AVERAGEIFS(Clips!$M:$M,Clips!$F:$F,$B173,Clips!$M:$M,"&gt;0",Clips!$C:$C,"&lt;&gt;excluded"))</f>
        <v>3.22333333333333</v>
      </c>
      <c r="AE173" s="15" t="n">
        <f aca="false">COUNTIFS(Clips!$F:$F,$B173,Clips!$O:$O,"&lt;&gt;",Clips!$B:$B,"&lt;&gt;site",Clips!$C:$C,"&lt;&gt;excluded")</f>
        <v>2</v>
      </c>
      <c r="AF173" s="15" t="n">
        <f aca="false">COUNTIFS(Clips!$F:$F,$B173,Clips!$I:$I,"&lt;5",Clips!$C:$C,"&lt;&gt;excluded")</f>
        <v>0</v>
      </c>
      <c r="AG173" s="5"/>
    </row>
    <row r="174" customFormat="false" ht="15" hidden="false" customHeight="false" outlineLevel="0" collapsed="false">
      <c r="A174" s="15" t="n">
        <v>192</v>
      </c>
      <c r="B174" s="15" t="s">
        <v>677</v>
      </c>
      <c r="C174" s="15" t="s">
        <v>678</v>
      </c>
      <c r="D174" s="15" t="s">
        <v>679</v>
      </c>
      <c r="E174" s="15" t="s">
        <v>147</v>
      </c>
      <c r="F174" s="15" t="s">
        <v>400</v>
      </c>
      <c r="G174" s="15" t="str">
        <f aca="false">IF(AND($E174="bird",$K174&gt;0),"yes","")</f>
        <v/>
      </c>
      <c r="H174" s="15"/>
      <c r="I174" s="15" t="str">
        <f aca="false">IF($E174="bird",IF(COUNTIF('eBird List'!$A:$A,$B174)&gt;0,"yes","no"),"")</f>
        <v>yes</v>
      </c>
      <c r="J174" s="16" t="n">
        <f aca="false">IF(COUNTIF('eBird List'!$A:$A,$B174)=0,"",INDEX('eBird List'!$C:$C,MATCH($B174,'eBird List'!$A:$A,0)))</f>
        <v>0.151834643793186</v>
      </c>
      <c r="K174" s="15" t="n">
        <f aca="false">COUNTIFS(Clips!$B:$B,"site",Clips!$F:$F,$B174)+COUNTIFS(Clips!$B:$B,"site",Clips!$O:$O,"*"&amp;$B174&amp;"*")</f>
        <v>0</v>
      </c>
      <c r="L174" s="15" t="n">
        <f aca="false">COUNTIFS(Clips!$F:$F,$B174,Clips!$B:$B,"macaulay")</f>
        <v>3</v>
      </c>
      <c r="M174" s="15" t="n">
        <f aca="false">COUNTIFS(Clips!$F:$F,$B174,Clips!$B:$B,"xeno-canto")</f>
        <v>0</v>
      </c>
      <c r="N174" s="15" t="n">
        <f aca="false">K174+L174+M174</f>
        <v>3</v>
      </c>
      <c r="O174" s="15" t="n">
        <f aca="false">COUNTIFS(Clips!$F:$F,$B174,Clips!$C:$C,"excluded")</f>
        <v>0</v>
      </c>
      <c r="P174" s="15" t="n">
        <f aca="false">COUNTIFS(Clips!$F:$F,$B174,Clips!$C:$C,"train")</f>
        <v>2</v>
      </c>
      <c r="Q174" s="15" t="n">
        <f aca="false">COUNTIFS(Clips!$F:$F,$B174,Clips!$C:$C,"val")</f>
        <v>0</v>
      </c>
      <c r="R174" s="15" t="n">
        <f aca="false">COUNTIFS(Clips!$F:$F,$B174,Clips!$C:$C,"test")</f>
        <v>1</v>
      </c>
      <c r="S174" s="17" t="n">
        <f aca="false">SUMIFS(Clips!$I:$I,Clips!$F:$F,$B174,Clips!$C:$C,"train")/60</f>
        <v>1.14933333333333</v>
      </c>
      <c r="T174" s="17" t="n">
        <f aca="false">SUMIFS(Clips!$I:$I,Clips!$F:$F,$B174,Clips!$C:$C,"val")/60</f>
        <v>0</v>
      </c>
      <c r="U174" s="17" t="n">
        <f aca="false">SUMIFS(Clips!$I:$I,Clips!$F:$F,$B174,Clips!$C:$C,"test")/60</f>
        <v>0.171</v>
      </c>
      <c r="V174" s="15" t="n">
        <f aca="false">SUMIFS(Clips!$J:$J,Clips!$F:$F,$B174,Clips!$C:$C,"train")</f>
        <v>15</v>
      </c>
      <c r="W174" s="18" t="n">
        <f aca="false">IF(V174=0,"",Splits!$B$49/(Splits!$B$50*V174))</f>
        <v>10.3883647798742</v>
      </c>
      <c r="X174" s="15" t="str">
        <f aca="false">IF(P174&gt;0,IF(AND(Q174&gt;0,R174&gt;0),"train + val + test",IF(R174&gt;0,"train + test","train only")),IF(R174&gt;0,"test only (unknown class)",IF(K174&gt;0,"site extract only","no usable audio")))</f>
        <v>train + test</v>
      </c>
      <c r="Y174" s="15" t="str">
        <f aca="false">IF($P174=0,"",IF($E174="nonbird",$B174,IF($G174="yes",$B174,"other bird")))</f>
        <v>other bird</v>
      </c>
      <c r="Z174" s="15" t="str">
        <f aca="false">IF(AND($F174="core",$P174&gt;0),$B174,"")</f>
        <v/>
      </c>
      <c r="AA174" s="15" t="str">
        <f aca="false">IF($P174&gt;0,$B174,"")</f>
        <v>Southern Rough-winged Swallow</v>
      </c>
      <c r="AB174" s="15" t="n">
        <v>2</v>
      </c>
      <c r="AC174" s="15" t="n">
        <v>2</v>
      </c>
      <c r="AD174" s="17" t="n">
        <f aca="false">IF(COUNTIFS(Clips!$F:$F,$B174,Clips!$M:$M,"&gt;0",Clips!$C:$C,"&lt;&gt;excluded")=0,"",AVERAGEIFS(Clips!$M:$M,Clips!$F:$F,$B174,Clips!$M:$M,"&gt;0",Clips!$C:$C,"&lt;&gt;excluded"))</f>
        <v>3.05</v>
      </c>
      <c r="AE174" s="15" t="n">
        <f aca="false">COUNTIFS(Clips!$F:$F,$B174,Clips!$O:$O,"&lt;&gt;",Clips!$B:$B,"&lt;&gt;site",Clips!$C:$C,"&lt;&gt;excluded")</f>
        <v>0</v>
      </c>
      <c r="AF174" s="15" t="n">
        <f aca="false">COUNTIFS(Clips!$F:$F,$B174,Clips!$I:$I,"&lt;5",Clips!$C:$C,"&lt;&gt;excluded")</f>
        <v>0</v>
      </c>
      <c r="AG174" s="5"/>
    </row>
    <row r="175" customFormat="false" ht="15" hidden="false" customHeight="false" outlineLevel="0" collapsed="false">
      <c r="A175" s="15" t="n">
        <v>205</v>
      </c>
      <c r="B175" s="15" t="s">
        <v>680</v>
      </c>
      <c r="C175" s="15" t="s">
        <v>681</v>
      </c>
      <c r="D175" s="15" t="s">
        <v>682</v>
      </c>
      <c r="E175" s="15" t="s">
        <v>147</v>
      </c>
      <c r="F175" s="15" t="s">
        <v>400</v>
      </c>
      <c r="G175" s="15" t="str">
        <f aca="false">IF(AND($E175="bird",$K175&gt;0),"yes","")</f>
        <v/>
      </c>
      <c r="H175" s="15"/>
      <c r="I175" s="15" t="str">
        <f aca="false">IF($E175="bird",IF(COUNTIF('eBird List'!$A:$A,$B175)&gt;0,"yes","no"),"")</f>
        <v>yes</v>
      </c>
      <c r="J175" s="16" t="n">
        <f aca="false">IF(COUNTIF('eBird List'!$A:$A,$B175)=0,"",INDEX('eBird List'!$C:$C,MATCH($B175,'eBird List'!$A:$A,0)))</f>
        <v>0.0193292828210627</v>
      </c>
      <c r="K175" s="15" t="n">
        <f aca="false">COUNTIFS(Clips!$B:$B,"site",Clips!$F:$F,$B175)+COUNTIFS(Clips!$B:$B,"site",Clips!$O:$O,"*"&amp;$B175&amp;"*")</f>
        <v>0</v>
      </c>
      <c r="L175" s="15" t="n">
        <f aca="false">COUNTIFS(Clips!$F:$F,$B175,Clips!$B:$B,"macaulay")</f>
        <v>3</v>
      </c>
      <c r="M175" s="15" t="n">
        <f aca="false">COUNTIFS(Clips!$F:$F,$B175,Clips!$B:$B,"xeno-canto")</f>
        <v>0</v>
      </c>
      <c r="N175" s="15" t="n">
        <f aca="false">K175+L175+M175</f>
        <v>3</v>
      </c>
      <c r="O175" s="15" t="n">
        <f aca="false">COUNTIFS(Clips!$F:$F,$B175,Clips!$C:$C,"excluded")</f>
        <v>0</v>
      </c>
      <c r="P175" s="15" t="n">
        <f aca="false">COUNTIFS(Clips!$F:$F,$B175,Clips!$C:$C,"train")</f>
        <v>2</v>
      </c>
      <c r="Q175" s="15" t="n">
        <f aca="false">COUNTIFS(Clips!$F:$F,$B175,Clips!$C:$C,"val")</f>
        <v>0</v>
      </c>
      <c r="R175" s="15" t="n">
        <f aca="false">COUNTIFS(Clips!$F:$F,$B175,Clips!$C:$C,"test")</f>
        <v>1</v>
      </c>
      <c r="S175" s="17" t="n">
        <f aca="false">SUMIFS(Clips!$I:$I,Clips!$F:$F,$B175,Clips!$C:$C,"train")/60</f>
        <v>1.26193333333333</v>
      </c>
      <c r="T175" s="17" t="n">
        <f aca="false">SUMIFS(Clips!$I:$I,Clips!$F:$F,$B175,Clips!$C:$C,"val")/60</f>
        <v>0</v>
      </c>
      <c r="U175" s="17" t="n">
        <f aca="false">SUMIFS(Clips!$I:$I,Clips!$F:$F,$B175,Clips!$C:$C,"test")/60</f>
        <v>1.15826666666667</v>
      </c>
      <c r="V175" s="15" t="n">
        <f aca="false">SUMIFS(Clips!$J:$J,Clips!$F:$F,$B175,Clips!$C:$C,"train")</f>
        <v>16</v>
      </c>
      <c r="W175" s="18" t="n">
        <f aca="false">IF(V175=0,"",Splits!$B$49/(Splits!$B$50*V175))</f>
        <v>9.73909198113208</v>
      </c>
      <c r="X175" s="15" t="str">
        <f aca="false">IF(P175&gt;0,IF(AND(Q175&gt;0,R175&gt;0),"train + val + test",IF(R175&gt;0,"train + test","train only")),IF(R175&gt;0,"test only (unknown class)",IF(K175&gt;0,"site extract only","no usable audio")))</f>
        <v>train + test</v>
      </c>
      <c r="Y175" s="15" t="str">
        <f aca="false">IF($P175=0,"",IF($E175="nonbird",$B175,IF($G175="yes",$B175,"other bird")))</f>
        <v>other bird</v>
      </c>
      <c r="Z175" s="15" t="str">
        <f aca="false">IF(AND($F175="core",$P175&gt;0),$B175,"")</f>
        <v/>
      </c>
      <c r="AA175" s="15" t="str">
        <f aca="false">IF($P175&gt;0,$B175,"")</f>
        <v>Sunbittern</v>
      </c>
      <c r="AB175" s="15" t="n">
        <v>3</v>
      </c>
      <c r="AC175" s="15" t="n">
        <v>3</v>
      </c>
      <c r="AD175" s="17" t="n">
        <f aca="false">IF(COUNTIFS(Clips!$F:$F,$B175,Clips!$M:$M,"&gt;0",Clips!$C:$C,"&lt;&gt;excluded")=0,"",AVERAGEIFS(Clips!$M:$M,Clips!$F:$F,$B175,Clips!$M:$M,"&gt;0",Clips!$C:$C,"&lt;&gt;excluded"))</f>
        <v>2.16666666666667</v>
      </c>
      <c r="AE175" s="15" t="n">
        <f aca="false">COUNTIFS(Clips!$F:$F,$B175,Clips!$O:$O,"&lt;&gt;",Clips!$B:$B,"&lt;&gt;site",Clips!$C:$C,"&lt;&gt;excluded")</f>
        <v>0</v>
      </c>
      <c r="AF175" s="15" t="n">
        <f aca="false">COUNTIFS(Clips!$F:$F,$B175,Clips!$I:$I,"&lt;5",Clips!$C:$C,"&lt;&gt;excluded")</f>
        <v>0</v>
      </c>
      <c r="AG175" s="5"/>
    </row>
    <row r="176" customFormat="false" ht="15" hidden="false" customHeight="false" outlineLevel="0" collapsed="false">
      <c r="A176" s="15" t="n">
        <v>210</v>
      </c>
      <c r="B176" s="15" t="s">
        <v>683</v>
      </c>
      <c r="C176" s="15" t="s">
        <v>684</v>
      </c>
      <c r="D176" s="15" t="s">
        <v>685</v>
      </c>
      <c r="E176" s="15" t="s">
        <v>147</v>
      </c>
      <c r="F176" s="15" t="s">
        <v>400</v>
      </c>
      <c r="G176" s="15" t="str">
        <f aca="false">IF(AND($E176="bird",$K176&gt;0),"yes","")</f>
        <v/>
      </c>
      <c r="H176" s="15"/>
      <c r="I176" s="15" t="str">
        <f aca="false">IF($E176="bird",IF(COUNTIF('eBird List'!$A:$A,$B176)&gt;0,"yes","no"),"")</f>
        <v>yes</v>
      </c>
      <c r="J176" s="16" t="n">
        <f aca="false">IF(COUNTIF('eBird List'!$A:$A,$B176)=0,"",INDEX('eBird List'!$C:$C,MATCH($B176,'eBird List'!$A:$A,0)))</f>
        <v>0.345961401000715</v>
      </c>
      <c r="K176" s="15" t="n">
        <f aca="false">COUNTIFS(Clips!$B:$B,"site",Clips!$F:$F,$B176)+COUNTIFS(Clips!$B:$B,"site",Clips!$O:$O,"*"&amp;$B176&amp;"*")</f>
        <v>0</v>
      </c>
      <c r="L176" s="15" t="n">
        <f aca="false">COUNTIFS(Clips!$F:$F,$B176,Clips!$B:$B,"macaulay")</f>
        <v>3</v>
      </c>
      <c r="M176" s="15" t="n">
        <f aca="false">COUNTIFS(Clips!$F:$F,$B176,Clips!$B:$B,"xeno-canto")</f>
        <v>0</v>
      </c>
      <c r="N176" s="15" t="n">
        <f aca="false">K176+L176+M176</f>
        <v>3</v>
      </c>
      <c r="O176" s="15" t="n">
        <f aca="false">COUNTIFS(Clips!$F:$F,$B176,Clips!$C:$C,"excluded")</f>
        <v>0</v>
      </c>
      <c r="P176" s="15" t="n">
        <f aca="false">COUNTIFS(Clips!$F:$F,$B176,Clips!$C:$C,"train")</f>
        <v>2</v>
      </c>
      <c r="Q176" s="15" t="n">
        <f aca="false">COUNTIFS(Clips!$F:$F,$B176,Clips!$C:$C,"val")</f>
        <v>0</v>
      </c>
      <c r="R176" s="15" t="n">
        <f aca="false">COUNTIFS(Clips!$F:$F,$B176,Clips!$C:$C,"test")</f>
        <v>1</v>
      </c>
      <c r="S176" s="17" t="n">
        <f aca="false">SUMIFS(Clips!$I:$I,Clips!$F:$F,$B176,Clips!$C:$C,"train")/60</f>
        <v>3.56678333333333</v>
      </c>
      <c r="T176" s="17" t="n">
        <f aca="false">SUMIFS(Clips!$I:$I,Clips!$F:$F,$B176,Clips!$C:$C,"val")/60</f>
        <v>0</v>
      </c>
      <c r="U176" s="17" t="n">
        <f aca="false">SUMIFS(Clips!$I:$I,Clips!$F:$F,$B176,Clips!$C:$C,"test")/60</f>
        <v>0.123316666666667</v>
      </c>
      <c r="V176" s="15" t="n">
        <f aca="false">SUMIFS(Clips!$J:$J,Clips!$F:$F,$B176,Clips!$C:$C,"train")</f>
        <v>43</v>
      </c>
      <c r="W176" s="18" t="n">
        <f aca="false">IF(V176=0,"",Splits!$B$49/(Splits!$B$50*V176))</f>
        <v>3.62384817902589</v>
      </c>
      <c r="X176" s="15" t="str">
        <f aca="false">IF(P176&gt;0,IF(AND(Q176&gt;0,R176&gt;0),"train + val + test",IF(R176&gt;0,"train + test","train only")),IF(R176&gt;0,"test only (unknown class)",IF(K176&gt;0,"site extract only","no usable audio")))</f>
        <v>train + test</v>
      </c>
      <c r="Y176" s="15" t="str">
        <f aca="false">IF($P176=0,"",IF($E176="nonbird",$B176,IF($G176="yes",$B176,"other bird")))</f>
        <v>other bird</v>
      </c>
      <c r="Z176" s="15" t="str">
        <f aca="false">IF(AND($F176="core",$P176&gt;0),$B176,"")</f>
        <v/>
      </c>
      <c r="AA176" s="15" t="str">
        <f aca="false">IF($P176&gt;0,$B176,"")</f>
        <v>Tropical Kingbird</v>
      </c>
      <c r="AB176" s="15" t="n">
        <v>3</v>
      </c>
      <c r="AC176" s="15" t="n">
        <v>3</v>
      </c>
      <c r="AD176" s="17" t="n">
        <f aca="false">IF(COUNTIFS(Clips!$F:$F,$B176,Clips!$M:$M,"&gt;0",Clips!$C:$C,"&lt;&gt;excluded")=0,"",AVERAGEIFS(Clips!$M:$M,Clips!$F:$F,$B176,Clips!$M:$M,"&gt;0",Clips!$C:$C,"&lt;&gt;excluded"))</f>
        <v>2.66666666666667</v>
      </c>
      <c r="AE176" s="15" t="n">
        <f aca="false">COUNTIFS(Clips!$F:$F,$B176,Clips!$O:$O,"&lt;&gt;",Clips!$B:$B,"&lt;&gt;site",Clips!$C:$C,"&lt;&gt;excluded")</f>
        <v>1</v>
      </c>
      <c r="AF176" s="15" t="n">
        <f aca="false">COUNTIFS(Clips!$F:$F,$B176,Clips!$I:$I,"&lt;5",Clips!$C:$C,"&lt;&gt;excluded")</f>
        <v>0</v>
      </c>
      <c r="AG176" s="5"/>
    </row>
    <row r="177" customFormat="false" ht="15" hidden="false" customHeight="false" outlineLevel="0" collapsed="false">
      <c r="A177" s="15" t="n">
        <v>221</v>
      </c>
      <c r="B177" s="15" t="s">
        <v>686</v>
      </c>
      <c r="C177" s="15" t="s">
        <v>687</v>
      </c>
      <c r="D177" s="15" t="s">
        <v>688</v>
      </c>
      <c r="E177" s="15" t="s">
        <v>147</v>
      </c>
      <c r="F177" s="15" t="s">
        <v>400</v>
      </c>
      <c r="G177" s="15" t="str">
        <f aca="false">IF(AND($E177="bird",$K177&gt;0),"yes","")</f>
        <v/>
      </c>
      <c r="H177" s="15"/>
      <c r="I177" s="15" t="str">
        <f aca="false">IF($E177="bird",IF(COUNTIF('eBird List'!$A:$A,$B177)&gt;0,"yes","no"),"")</f>
        <v>yes</v>
      </c>
      <c r="J177" s="16" t="n">
        <f aca="false">IF(COUNTIF('eBird List'!$A:$A,$B177)=0,"",INDEX('eBird List'!$C:$C,MATCH($B177,'eBird List'!$A:$A,0)))</f>
        <v>0.00979866571360496</v>
      </c>
      <c r="K177" s="15" t="n">
        <f aca="false">COUNTIFS(Clips!$B:$B,"site",Clips!$F:$F,$B177)+COUNTIFS(Clips!$B:$B,"site",Clips!$O:$O,"*"&amp;$B177&amp;"*")</f>
        <v>0</v>
      </c>
      <c r="L177" s="15" t="n">
        <f aca="false">COUNTIFS(Clips!$F:$F,$B177,Clips!$B:$B,"macaulay")</f>
        <v>3</v>
      </c>
      <c r="M177" s="15" t="n">
        <f aca="false">COUNTIFS(Clips!$F:$F,$B177,Clips!$B:$B,"xeno-canto")</f>
        <v>0</v>
      </c>
      <c r="N177" s="15" t="n">
        <f aca="false">K177+L177+M177</f>
        <v>3</v>
      </c>
      <c r="O177" s="15" t="n">
        <f aca="false">COUNTIFS(Clips!$F:$F,$B177,Clips!$C:$C,"excluded")</f>
        <v>0</v>
      </c>
      <c r="P177" s="15" t="n">
        <f aca="false">COUNTIFS(Clips!$F:$F,$B177,Clips!$C:$C,"train")</f>
        <v>2</v>
      </c>
      <c r="Q177" s="15" t="n">
        <f aca="false">COUNTIFS(Clips!$F:$F,$B177,Clips!$C:$C,"val")</f>
        <v>0</v>
      </c>
      <c r="R177" s="15" t="n">
        <f aca="false">COUNTIFS(Clips!$F:$F,$B177,Clips!$C:$C,"test")</f>
        <v>1</v>
      </c>
      <c r="S177" s="17" t="n">
        <f aca="false">SUMIFS(Clips!$I:$I,Clips!$F:$F,$B177,Clips!$C:$C,"train")/60</f>
        <v>3.73185</v>
      </c>
      <c r="T177" s="17" t="n">
        <f aca="false">SUMIFS(Clips!$I:$I,Clips!$F:$F,$B177,Clips!$C:$C,"val")/60</f>
        <v>0</v>
      </c>
      <c r="U177" s="17" t="n">
        <f aca="false">SUMIFS(Clips!$I:$I,Clips!$F:$F,$B177,Clips!$C:$C,"test")/60</f>
        <v>0.536183333333333</v>
      </c>
      <c r="V177" s="15" t="n">
        <f aca="false">SUMIFS(Clips!$J:$J,Clips!$F:$F,$B177,Clips!$C:$C,"train")</f>
        <v>46</v>
      </c>
      <c r="W177" s="18" t="n">
        <f aca="false">IF(V177=0,"",Splits!$B$49/(Splits!$B$50*V177))</f>
        <v>3.38751025430681</v>
      </c>
      <c r="X177" s="15" t="str">
        <f aca="false">IF(P177&gt;0,IF(AND(Q177&gt;0,R177&gt;0),"train + val + test",IF(R177&gt;0,"train + test","train only")),IF(R177&gt;0,"test only (unknown class)",IF(K177&gt;0,"site extract only","no usable audio")))</f>
        <v>train + test</v>
      </c>
      <c r="Y177" s="15" t="str">
        <f aca="false">IF($P177=0,"",IF($E177="nonbird",$B177,IF($G177="yes",$B177,"other bird")))</f>
        <v>other bird</v>
      </c>
      <c r="Z177" s="15" t="str">
        <f aca="false">IF(AND($F177="core",$P177&gt;0),$B177,"")</f>
        <v/>
      </c>
      <c r="AA177" s="15" t="str">
        <f aca="false">IF($P177&gt;0,$B177,"")</f>
        <v>White-flanked Antwren</v>
      </c>
      <c r="AB177" s="15" t="n">
        <v>3</v>
      </c>
      <c r="AC177" s="15" t="n">
        <v>3</v>
      </c>
      <c r="AD177" s="17" t="n">
        <f aca="false">IF(COUNTIFS(Clips!$F:$F,$B177,Clips!$M:$M,"&gt;0",Clips!$C:$C,"&lt;&gt;excluded")=0,"",AVERAGEIFS(Clips!$M:$M,Clips!$F:$F,$B177,Clips!$M:$M,"&gt;0",Clips!$C:$C,"&lt;&gt;excluded"))</f>
        <v>2</v>
      </c>
      <c r="AE177" s="15" t="n">
        <f aca="false">COUNTIFS(Clips!$F:$F,$B177,Clips!$O:$O,"&lt;&gt;",Clips!$B:$B,"&lt;&gt;site",Clips!$C:$C,"&lt;&gt;excluded")</f>
        <v>1</v>
      </c>
      <c r="AF177" s="15" t="n">
        <f aca="false">COUNTIFS(Clips!$F:$F,$B177,Clips!$I:$I,"&lt;5",Clips!$C:$C,"&lt;&gt;excluded")</f>
        <v>0</v>
      </c>
      <c r="AG177" s="5"/>
    </row>
    <row r="178" customFormat="false" ht="15" hidden="false" customHeight="false" outlineLevel="0" collapsed="false">
      <c r="A178" s="15" t="n">
        <v>236</v>
      </c>
      <c r="B178" s="15" t="s">
        <v>689</v>
      </c>
      <c r="C178" s="15" t="s">
        <v>690</v>
      </c>
      <c r="D178" s="15" t="s">
        <v>691</v>
      </c>
      <c r="E178" s="15" t="s">
        <v>147</v>
      </c>
      <c r="F178" s="15" t="s">
        <v>400</v>
      </c>
      <c r="G178" s="15" t="str">
        <f aca="false">IF(AND($E178="bird",$K178&gt;0),"yes","")</f>
        <v/>
      </c>
      <c r="H178" s="15"/>
      <c r="I178" s="15" t="str">
        <f aca="false">IF($E178="bird",IF(COUNTIF('eBird List'!$A:$A,$B178)&gt;0,"yes","no"),"")</f>
        <v>yes</v>
      </c>
      <c r="J178" s="16" t="n">
        <f aca="false">IF(COUNTIF('eBird List'!$A:$A,$B178)=0,"",INDEX('eBird List'!$C:$C,MATCH($B178,'eBird List'!$A:$A,0)))</f>
        <v>0.0300512270669526</v>
      </c>
      <c r="K178" s="15" t="n">
        <f aca="false">COUNTIFS(Clips!$B:$B,"site",Clips!$F:$F,$B178)+COUNTIFS(Clips!$B:$B,"site",Clips!$O:$O,"*"&amp;$B178&amp;"*")</f>
        <v>0</v>
      </c>
      <c r="L178" s="15" t="n">
        <f aca="false">COUNTIFS(Clips!$F:$F,$B178,Clips!$B:$B,"macaulay")</f>
        <v>3</v>
      </c>
      <c r="M178" s="15" t="n">
        <f aca="false">COUNTIFS(Clips!$F:$F,$B178,Clips!$B:$B,"xeno-canto")</f>
        <v>0</v>
      </c>
      <c r="N178" s="15" t="n">
        <f aca="false">K178+L178+M178</f>
        <v>3</v>
      </c>
      <c r="O178" s="15" t="n">
        <f aca="false">COUNTIFS(Clips!$F:$F,$B178,Clips!$C:$C,"excluded")</f>
        <v>0</v>
      </c>
      <c r="P178" s="15" t="n">
        <f aca="false">COUNTIFS(Clips!$F:$F,$B178,Clips!$C:$C,"train")</f>
        <v>2</v>
      </c>
      <c r="Q178" s="15" t="n">
        <f aca="false">COUNTIFS(Clips!$F:$F,$B178,Clips!$C:$C,"val")</f>
        <v>0</v>
      </c>
      <c r="R178" s="15" t="n">
        <f aca="false">COUNTIFS(Clips!$F:$F,$B178,Clips!$C:$C,"test")</f>
        <v>1</v>
      </c>
      <c r="S178" s="17" t="n">
        <f aca="false">SUMIFS(Clips!$I:$I,Clips!$F:$F,$B178,Clips!$C:$C,"train")/60</f>
        <v>6.56018333333333</v>
      </c>
      <c r="T178" s="17" t="n">
        <f aca="false">SUMIFS(Clips!$I:$I,Clips!$F:$F,$B178,Clips!$C:$C,"val")/60</f>
        <v>0</v>
      </c>
      <c r="U178" s="17" t="n">
        <f aca="false">SUMIFS(Clips!$I:$I,Clips!$F:$F,$B178,Clips!$C:$C,"test")/60</f>
        <v>0.452616666666667</v>
      </c>
      <c r="V178" s="15" t="n">
        <f aca="false">SUMIFS(Clips!$J:$J,Clips!$F:$F,$B178,Clips!$C:$C,"train")</f>
        <v>80</v>
      </c>
      <c r="W178" s="18" t="n">
        <f aca="false">IF(V178=0,"",Splits!$B$49/(Splits!$B$50*V178))</f>
        <v>1.94781839622642</v>
      </c>
      <c r="X178" s="15" t="str">
        <f aca="false">IF(P178&gt;0,IF(AND(Q178&gt;0,R178&gt;0),"train + val + test",IF(R178&gt;0,"train + test","train only")),IF(R178&gt;0,"test only (unknown class)",IF(K178&gt;0,"site extract only","no usable audio")))</f>
        <v>train + test</v>
      </c>
      <c r="Y178" s="15" t="str">
        <f aca="false">IF($P178=0,"",IF($E178="nonbird",$B178,IF($G178="yes",$B178,"other bird")))</f>
        <v>other bird</v>
      </c>
      <c r="Z178" s="15" t="str">
        <f aca="false">IF(AND($F178="core",$P178&gt;0),$B178,"")</f>
        <v/>
      </c>
      <c r="AA178" s="15" t="str">
        <f aca="false">IF($P178&gt;0,$B178,"")</f>
        <v>Yellow Tyrannulet</v>
      </c>
      <c r="AB178" s="15" t="n">
        <v>3</v>
      </c>
      <c r="AC178" s="15" t="n">
        <v>3</v>
      </c>
      <c r="AD178" s="17" t="n">
        <f aca="false">IF(COUNTIFS(Clips!$F:$F,$B178,Clips!$M:$M,"&gt;0",Clips!$C:$C,"&lt;&gt;excluded")=0,"",AVERAGEIFS(Clips!$M:$M,Clips!$F:$F,$B178,Clips!$M:$M,"&gt;0",Clips!$C:$C,"&lt;&gt;excluded"))</f>
        <v>4.165</v>
      </c>
      <c r="AE178" s="15" t="n">
        <f aca="false">COUNTIFS(Clips!$F:$F,$B178,Clips!$O:$O,"&lt;&gt;",Clips!$B:$B,"&lt;&gt;site",Clips!$C:$C,"&lt;&gt;excluded")</f>
        <v>0</v>
      </c>
      <c r="AF178" s="15" t="n">
        <f aca="false">COUNTIFS(Clips!$F:$F,$B178,Clips!$I:$I,"&lt;5",Clips!$C:$C,"&lt;&gt;excluded")</f>
        <v>0</v>
      </c>
      <c r="AG178" s="5"/>
    </row>
    <row r="179" customFormat="false" ht="15" hidden="false" customHeight="false" outlineLevel="0" collapsed="false">
      <c r="A179" s="15" t="n">
        <v>242</v>
      </c>
      <c r="B179" s="15" t="s">
        <v>692</v>
      </c>
      <c r="C179" s="15" t="s">
        <v>693</v>
      </c>
      <c r="D179" s="15" t="s">
        <v>694</v>
      </c>
      <c r="E179" s="15" t="s">
        <v>147</v>
      </c>
      <c r="F179" s="15" t="s">
        <v>400</v>
      </c>
      <c r="G179" s="15" t="str">
        <f aca="false">IF(AND($E179="bird",$K179&gt;0),"yes","")</f>
        <v/>
      </c>
      <c r="H179" s="15"/>
      <c r="I179" s="15" t="str">
        <f aca="false">IF($E179="bird",IF(COUNTIF('eBird List'!$A:$A,$B179)&gt;0,"yes","no"),"")</f>
        <v>yes</v>
      </c>
      <c r="J179" s="16" t="n">
        <f aca="false">IF(COUNTIF('eBird List'!$A:$A,$B179)=0,"",INDEX('eBird List'!$C:$C,MATCH($B179,'eBird List'!$A:$A,0)))</f>
        <v>0.0873838456040029</v>
      </c>
      <c r="K179" s="15" t="n">
        <f aca="false">COUNTIFS(Clips!$B:$B,"site",Clips!$F:$F,$B179)+COUNTIFS(Clips!$B:$B,"site",Clips!$O:$O,"*"&amp;$B179&amp;"*")</f>
        <v>0</v>
      </c>
      <c r="L179" s="15" t="n">
        <f aca="false">COUNTIFS(Clips!$F:$F,$B179,Clips!$B:$B,"macaulay")</f>
        <v>3</v>
      </c>
      <c r="M179" s="15" t="n">
        <f aca="false">COUNTIFS(Clips!$F:$F,$B179,Clips!$B:$B,"xeno-canto")</f>
        <v>0</v>
      </c>
      <c r="N179" s="15" t="n">
        <f aca="false">K179+L179+M179</f>
        <v>3</v>
      </c>
      <c r="O179" s="15" t="n">
        <f aca="false">COUNTIFS(Clips!$F:$F,$B179,Clips!$C:$C,"excluded")</f>
        <v>0</v>
      </c>
      <c r="P179" s="15" t="n">
        <f aca="false">COUNTIFS(Clips!$F:$F,$B179,Clips!$C:$C,"train")</f>
        <v>2</v>
      </c>
      <c r="Q179" s="15" t="n">
        <f aca="false">COUNTIFS(Clips!$F:$F,$B179,Clips!$C:$C,"val")</f>
        <v>0</v>
      </c>
      <c r="R179" s="15" t="n">
        <f aca="false">COUNTIFS(Clips!$F:$F,$B179,Clips!$C:$C,"test")</f>
        <v>1</v>
      </c>
      <c r="S179" s="17" t="n">
        <f aca="false">SUMIFS(Clips!$I:$I,Clips!$F:$F,$B179,Clips!$C:$C,"train")/60</f>
        <v>0.239283333333333</v>
      </c>
      <c r="T179" s="17" t="n">
        <f aca="false">SUMIFS(Clips!$I:$I,Clips!$F:$F,$B179,Clips!$C:$C,"val")/60</f>
        <v>0</v>
      </c>
      <c r="U179" s="17" t="n">
        <f aca="false">SUMIFS(Clips!$I:$I,Clips!$F:$F,$B179,Clips!$C:$C,"test")/60</f>
        <v>0.174066666666667</v>
      </c>
      <c r="V179" s="15" t="n">
        <f aca="false">SUMIFS(Clips!$J:$J,Clips!$F:$F,$B179,Clips!$C:$C,"train")</f>
        <v>4</v>
      </c>
      <c r="W179" s="18" t="n">
        <f aca="false">IF(V179=0,"",Splits!$B$49/(Splits!$B$50*V179))</f>
        <v>38.9563679245283</v>
      </c>
      <c r="X179" s="15" t="str">
        <f aca="false">IF(P179&gt;0,IF(AND(Q179&gt;0,R179&gt;0),"train + val + test",IF(R179&gt;0,"train + test","train only")),IF(R179&gt;0,"test only (unknown class)",IF(K179&gt;0,"site extract only","no usable audio")))</f>
        <v>train + test</v>
      </c>
      <c r="Y179" s="15" t="str">
        <f aca="false">IF($P179=0,"",IF($E179="nonbird",$B179,IF($G179="yes",$B179,"other bird")))</f>
        <v>other bird</v>
      </c>
      <c r="Z179" s="15" t="str">
        <f aca="false">IF(AND($F179="core",$P179&gt;0),$B179,"")</f>
        <v/>
      </c>
      <c r="AA179" s="15" t="str">
        <f aca="false">IF($P179&gt;0,$B179,"")</f>
        <v>Yellow-olive Flatbill</v>
      </c>
      <c r="AB179" s="15" t="n">
        <v>2</v>
      </c>
      <c r="AC179" s="15" t="n">
        <v>2</v>
      </c>
      <c r="AD179" s="17" t="n">
        <f aca="false">IF(COUNTIFS(Clips!$F:$F,$B179,Clips!$M:$M,"&gt;0",Clips!$C:$C,"&lt;&gt;excluded")=0,"",AVERAGEIFS(Clips!$M:$M,Clips!$F:$F,$B179,Clips!$M:$M,"&gt;0",Clips!$C:$C,"&lt;&gt;excluded"))</f>
        <v>1</v>
      </c>
      <c r="AE179" s="15" t="n">
        <f aca="false">COUNTIFS(Clips!$F:$F,$B179,Clips!$O:$O,"&lt;&gt;",Clips!$B:$B,"&lt;&gt;site",Clips!$C:$C,"&lt;&gt;excluded")</f>
        <v>0</v>
      </c>
      <c r="AF179" s="15" t="n">
        <f aca="false">COUNTIFS(Clips!$F:$F,$B179,Clips!$I:$I,"&lt;5",Clips!$C:$C,"&lt;&gt;excluded")</f>
        <v>0</v>
      </c>
      <c r="AG179" s="5"/>
    </row>
    <row r="180" customFormat="false" ht="15" hidden="false" customHeight="false" outlineLevel="0" collapsed="false">
      <c r="A180" s="15" t="n">
        <v>243</v>
      </c>
      <c r="B180" s="15" t="s">
        <v>695</v>
      </c>
      <c r="C180" s="15" t="s">
        <v>696</v>
      </c>
      <c r="D180" s="15" t="s">
        <v>697</v>
      </c>
      <c r="E180" s="15" t="s">
        <v>147</v>
      </c>
      <c r="F180" s="15" t="s">
        <v>400</v>
      </c>
      <c r="G180" s="15" t="str">
        <f aca="false">IF(AND($E180="bird",$K180&gt;0),"yes","")</f>
        <v/>
      </c>
      <c r="H180" s="15"/>
      <c r="I180" s="15" t="str">
        <f aca="false">IF($E180="bird",IF(COUNTIF('eBird List'!$A:$A,$B180)&gt;0,"yes","no"),"")</f>
        <v>yes</v>
      </c>
      <c r="J180" s="16" t="n">
        <f aca="false">IF(COUNTIF('eBird List'!$A:$A,$B180)=0,"",INDEX('eBird List'!$C:$C,MATCH($B180,'eBird List'!$A:$A,0)))</f>
        <v>0.0104836788182035</v>
      </c>
      <c r="K180" s="15" t="n">
        <f aca="false">COUNTIFS(Clips!$B:$B,"site",Clips!$F:$F,$B180)+COUNTIFS(Clips!$B:$B,"site",Clips!$O:$O,"*"&amp;$B180&amp;"*")</f>
        <v>0</v>
      </c>
      <c r="L180" s="15" t="n">
        <f aca="false">COUNTIFS(Clips!$F:$F,$B180,Clips!$B:$B,"macaulay")</f>
        <v>3</v>
      </c>
      <c r="M180" s="15" t="n">
        <f aca="false">COUNTIFS(Clips!$F:$F,$B180,Clips!$B:$B,"xeno-canto")</f>
        <v>0</v>
      </c>
      <c r="N180" s="15" t="n">
        <f aca="false">K180+L180+M180</f>
        <v>3</v>
      </c>
      <c r="O180" s="15" t="n">
        <f aca="false">COUNTIFS(Clips!$F:$F,$B180,Clips!$C:$C,"excluded")</f>
        <v>0</v>
      </c>
      <c r="P180" s="15" t="n">
        <f aca="false">COUNTIFS(Clips!$F:$F,$B180,Clips!$C:$C,"train")</f>
        <v>2</v>
      </c>
      <c r="Q180" s="15" t="n">
        <f aca="false">COUNTIFS(Clips!$F:$F,$B180,Clips!$C:$C,"val")</f>
        <v>0</v>
      </c>
      <c r="R180" s="15" t="n">
        <f aca="false">COUNTIFS(Clips!$F:$F,$B180,Clips!$C:$C,"test")</f>
        <v>1</v>
      </c>
      <c r="S180" s="17" t="n">
        <f aca="false">SUMIFS(Clips!$I:$I,Clips!$F:$F,$B180,Clips!$C:$C,"train")/60</f>
        <v>3.23228333333333</v>
      </c>
      <c r="T180" s="17" t="n">
        <f aca="false">SUMIFS(Clips!$I:$I,Clips!$F:$F,$B180,Clips!$C:$C,"val")/60</f>
        <v>0</v>
      </c>
      <c r="U180" s="17" t="n">
        <f aca="false">SUMIFS(Clips!$I:$I,Clips!$F:$F,$B180,Clips!$C:$C,"test")/60</f>
        <v>13.78215</v>
      </c>
      <c r="V180" s="15" t="n">
        <f aca="false">SUMIFS(Clips!$J:$J,Clips!$F:$F,$B180,Clips!$C:$C,"train")</f>
        <v>39</v>
      </c>
      <c r="W180" s="18" t="n">
        <f aca="false">IF(V180=0,"",Splits!$B$49/(Splits!$B$50*V180))</f>
        <v>3.99552491533624</v>
      </c>
      <c r="X180" s="15" t="str">
        <f aca="false">IF(P180&gt;0,IF(AND(Q180&gt;0,R180&gt;0),"train + val + test",IF(R180&gt;0,"train + test","train only")),IF(R180&gt;0,"test only (unknown class)",IF(K180&gt;0,"site extract only","no usable audio")))</f>
        <v>train + test</v>
      </c>
      <c r="Y180" s="15" t="str">
        <f aca="false">IF($P180=0,"",IF($E180="nonbird",$B180,IF($G180="yes",$B180,"other bird")))</f>
        <v>other bird</v>
      </c>
      <c r="Z180" s="15" t="str">
        <f aca="false">IF(AND($F180="core",$P180&gt;0),$B180,"")</f>
        <v/>
      </c>
      <c r="AA180" s="15" t="str">
        <f aca="false">IF($P180&gt;0,$B180,"")</f>
        <v>Yellow-tailed Oriole</v>
      </c>
      <c r="AB180" s="15" t="n">
        <v>3</v>
      </c>
      <c r="AC180" s="15" t="n">
        <v>3</v>
      </c>
      <c r="AD180" s="17" t="n">
        <f aca="false">IF(COUNTIFS(Clips!$F:$F,$B180,Clips!$M:$M,"&gt;0",Clips!$C:$C,"&lt;&gt;excluded")=0,"",AVERAGEIFS(Clips!$M:$M,Clips!$F:$F,$B180,Clips!$M:$M,"&gt;0",Clips!$C:$C,"&lt;&gt;excluded"))</f>
        <v>3.16666666666667</v>
      </c>
      <c r="AE180" s="15" t="n">
        <f aca="false">COUNTIFS(Clips!$F:$F,$B180,Clips!$O:$O,"&lt;&gt;",Clips!$B:$B,"&lt;&gt;site",Clips!$C:$C,"&lt;&gt;excluded")</f>
        <v>2</v>
      </c>
      <c r="AF180" s="15" t="n">
        <f aca="false">COUNTIFS(Clips!$F:$F,$B180,Clips!$I:$I,"&lt;5",Clips!$C:$C,"&lt;&gt;excluded")</f>
        <v>0</v>
      </c>
      <c r="AG180" s="5"/>
    </row>
    <row r="181" customFormat="false" ht="15" hidden="false" customHeight="false" outlineLevel="0" collapsed="false">
      <c r="A181" s="15" t="n">
        <v>6</v>
      </c>
      <c r="B181" s="15" t="s">
        <v>698</v>
      </c>
      <c r="C181" s="15" t="s">
        <v>699</v>
      </c>
      <c r="D181" s="15" t="s">
        <v>700</v>
      </c>
      <c r="E181" s="15" t="s">
        <v>147</v>
      </c>
      <c r="F181" s="15" t="s">
        <v>400</v>
      </c>
      <c r="G181" s="15" t="str">
        <f aca="false">IF(AND($E181="bird",$K181&gt;0),"yes","")</f>
        <v/>
      </c>
      <c r="H181" s="15"/>
      <c r="I181" s="15" t="str">
        <f aca="false">IF($E181="bird",IF(COUNTIF('eBird List'!$A:$A,$B181)&gt;0,"yes","no"),"")</f>
        <v>yes</v>
      </c>
      <c r="J181" s="16" t="n">
        <f aca="false">IF(COUNTIF('eBird List'!$A:$A,$B181)=0,"",INDEX('eBird List'!$C:$C,MATCH($B181,'eBird List'!$A:$A,0)))</f>
        <v>0.0477722182511318</v>
      </c>
      <c r="K181" s="15" t="n">
        <f aca="false">COUNTIFS(Clips!$B:$B,"site",Clips!$F:$F,$B181)+COUNTIFS(Clips!$B:$B,"site",Clips!$O:$O,"*"&amp;$B181&amp;"*")</f>
        <v>0</v>
      </c>
      <c r="L181" s="15" t="n">
        <f aca="false">COUNTIFS(Clips!$F:$F,$B181,Clips!$B:$B,"macaulay")</f>
        <v>2</v>
      </c>
      <c r="M181" s="15" t="n">
        <f aca="false">COUNTIFS(Clips!$F:$F,$B181,Clips!$B:$B,"xeno-canto")</f>
        <v>0</v>
      </c>
      <c r="N181" s="15" t="n">
        <f aca="false">K181+L181+M181</f>
        <v>2</v>
      </c>
      <c r="O181" s="15" t="n">
        <f aca="false">COUNTIFS(Clips!$F:$F,$B181,Clips!$C:$C,"excluded")</f>
        <v>0</v>
      </c>
      <c r="P181" s="15" t="n">
        <f aca="false">COUNTIFS(Clips!$F:$F,$B181,Clips!$C:$C,"train")</f>
        <v>1</v>
      </c>
      <c r="Q181" s="15" t="n">
        <f aca="false">COUNTIFS(Clips!$F:$F,$B181,Clips!$C:$C,"val")</f>
        <v>0</v>
      </c>
      <c r="R181" s="15" t="n">
        <f aca="false">COUNTIFS(Clips!$F:$F,$B181,Clips!$C:$C,"test")</f>
        <v>1</v>
      </c>
      <c r="S181" s="17" t="n">
        <f aca="false">SUMIFS(Clips!$I:$I,Clips!$F:$F,$B181,Clips!$C:$C,"train")/60</f>
        <v>1.3625</v>
      </c>
      <c r="T181" s="17" t="n">
        <f aca="false">SUMIFS(Clips!$I:$I,Clips!$F:$F,$B181,Clips!$C:$C,"val")/60</f>
        <v>0</v>
      </c>
      <c r="U181" s="17" t="n">
        <f aca="false">SUMIFS(Clips!$I:$I,Clips!$F:$F,$B181,Clips!$C:$C,"test")/60</f>
        <v>0.9305</v>
      </c>
      <c r="V181" s="15" t="n">
        <f aca="false">SUMIFS(Clips!$J:$J,Clips!$F:$F,$B181,Clips!$C:$C,"train")</f>
        <v>17</v>
      </c>
      <c r="W181" s="18" t="n">
        <f aca="false">IF(V181=0,"",Splits!$B$49/(Splits!$B$50*V181))</f>
        <v>9.16620421753607</v>
      </c>
      <c r="X181" s="15" t="str">
        <f aca="false">IF(P181&gt;0,IF(AND(Q181&gt;0,R181&gt;0),"train + val + test",IF(R181&gt;0,"train + test","train only")),IF(R181&gt;0,"test only (unknown class)",IF(K181&gt;0,"site extract only","no usable audio")))</f>
        <v>train + test</v>
      </c>
      <c r="Y181" s="15" t="str">
        <f aca="false">IF($P181=0,"",IF($E181="nonbird",$B181,IF($G181="yes",$B181,"other bird")))</f>
        <v>other bird</v>
      </c>
      <c r="Z181" s="15" t="str">
        <f aca="false">IF(AND($F181="core",$P181&gt;0),$B181,"")</f>
        <v/>
      </c>
      <c r="AA181" s="15" t="str">
        <f aca="false">IF($P181&gt;0,$B181,"")</f>
        <v>Bare-throated Tiger-Heron</v>
      </c>
      <c r="AB181" s="15" t="n">
        <v>2</v>
      </c>
      <c r="AC181" s="15" t="n">
        <v>2</v>
      </c>
      <c r="AD181" s="17" t="n">
        <f aca="false">IF(COUNTIFS(Clips!$F:$F,$B181,Clips!$M:$M,"&gt;0",Clips!$C:$C,"&lt;&gt;excluded")=0,"",AVERAGEIFS(Clips!$M:$M,Clips!$F:$F,$B181,Clips!$M:$M,"&gt;0",Clips!$C:$C,"&lt;&gt;excluded"))</f>
        <v>3.45</v>
      </c>
      <c r="AE181" s="15" t="n">
        <f aca="false">COUNTIFS(Clips!$F:$F,$B181,Clips!$O:$O,"&lt;&gt;",Clips!$B:$B,"&lt;&gt;site",Clips!$C:$C,"&lt;&gt;excluded")</f>
        <v>0</v>
      </c>
      <c r="AF181" s="15" t="n">
        <f aca="false">COUNTIFS(Clips!$F:$F,$B181,Clips!$I:$I,"&lt;5",Clips!$C:$C,"&lt;&gt;excluded")</f>
        <v>0</v>
      </c>
      <c r="AG181" s="5"/>
    </row>
    <row r="182" customFormat="false" ht="15" hidden="false" customHeight="false" outlineLevel="0" collapsed="false">
      <c r="A182" s="15" t="n">
        <v>8</v>
      </c>
      <c r="B182" s="15" t="s">
        <v>701</v>
      </c>
      <c r="C182" s="15" t="s">
        <v>702</v>
      </c>
      <c r="D182" s="15" t="s">
        <v>703</v>
      </c>
      <c r="E182" s="15" t="s">
        <v>147</v>
      </c>
      <c r="F182" s="15" t="s">
        <v>400</v>
      </c>
      <c r="G182" s="15" t="str">
        <f aca="false">IF(AND($E182="bird",$K182&gt;0),"yes","")</f>
        <v/>
      </c>
      <c r="H182" s="15"/>
      <c r="I182" s="15" t="str">
        <f aca="false">IF($E182="bird",IF(COUNTIF('eBird List'!$A:$A,$B182)&gt;0,"yes","no"),"")</f>
        <v>yes</v>
      </c>
      <c r="J182" s="16" t="n">
        <f aca="false">IF(COUNTIF('eBird List'!$A:$A,$B182)=0,"",INDEX('eBird List'!$C:$C,MATCH($B182,'eBird List'!$A:$A,0)))</f>
        <v>0.00107219442458899</v>
      </c>
      <c r="K182" s="15" t="n">
        <f aca="false">COUNTIFS(Clips!$B:$B,"site",Clips!$F:$F,$B182)+COUNTIFS(Clips!$B:$B,"site",Clips!$O:$O,"*"&amp;$B182&amp;"*")</f>
        <v>0</v>
      </c>
      <c r="L182" s="15" t="n">
        <f aca="false">COUNTIFS(Clips!$F:$F,$B182,Clips!$B:$B,"macaulay")</f>
        <v>2</v>
      </c>
      <c r="M182" s="15" t="n">
        <f aca="false">COUNTIFS(Clips!$F:$F,$B182,Clips!$B:$B,"xeno-canto")</f>
        <v>0</v>
      </c>
      <c r="N182" s="15" t="n">
        <f aca="false">K182+L182+M182</f>
        <v>2</v>
      </c>
      <c r="O182" s="15" t="n">
        <f aca="false">COUNTIFS(Clips!$F:$F,$B182,Clips!$C:$C,"excluded")</f>
        <v>0</v>
      </c>
      <c r="P182" s="15" t="n">
        <f aca="false">COUNTIFS(Clips!$F:$F,$B182,Clips!$C:$C,"train")</f>
        <v>1</v>
      </c>
      <c r="Q182" s="15" t="n">
        <f aca="false">COUNTIFS(Clips!$F:$F,$B182,Clips!$C:$C,"val")</f>
        <v>0</v>
      </c>
      <c r="R182" s="15" t="n">
        <f aca="false">COUNTIFS(Clips!$F:$F,$B182,Clips!$C:$C,"test")</f>
        <v>1</v>
      </c>
      <c r="S182" s="17" t="n">
        <f aca="false">SUMIFS(Clips!$I:$I,Clips!$F:$F,$B182,Clips!$C:$C,"train")/60</f>
        <v>13.90885</v>
      </c>
      <c r="T182" s="17" t="n">
        <f aca="false">SUMIFS(Clips!$I:$I,Clips!$F:$F,$B182,Clips!$C:$C,"val")/60</f>
        <v>0</v>
      </c>
      <c r="U182" s="17" t="n">
        <f aca="false">SUMIFS(Clips!$I:$I,Clips!$F:$F,$B182,Clips!$C:$C,"test")/60</f>
        <v>1.52525</v>
      </c>
      <c r="V182" s="15" t="n">
        <f aca="false">SUMIFS(Clips!$J:$J,Clips!$F:$F,$B182,Clips!$C:$C,"train")</f>
        <v>120</v>
      </c>
      <c r="W182" s="18" t="n">
        <f aca="false">IF(V182=0,"",Splits!$B$49/(Splits!$B$50*V182))</f>
        <v>1.29854559748428</v>
      </c>
      <c r="X182" s="15" t="str">
        <f aca="false">IF(P182&gt;0,IF(AND(Q182&gt;0,R182&gt;0),"train + val + test",IF(R182&gt;0,"train + test","train only")),IF(R182&gt;0,"test only (unknown class)",IF(K182&gt;0,"site extract only","no usable audio")))</f>
        <v>train + test</v>
      </c>
      <c r="Y182" s="15" t="str">
        <f aca="false">IF($P182=0,"",IF($E182="nonbird",$B182,IF($G182="yes",$B182,"other bird")))</f>
        <v>other bird</v>
      </c>
      <c r="Z182" s="15" t="str">
        <f aca="false">IF(AND($F182="core",$P182&gt;0),$B182,"")</f>
        <v/>
      </c>
      <c r="AA182" s="15" t="str">
        <f aca="false">IF($P182&gt;0,$B182,"")</f>
        <v>Barred Forest-Falcon</v>
      </c>
      <c r="AB182" s="15" t="n">
        <v>2</v>
      </c>
      <c r="AC182" s="15" t="n">
        <v>1</v>
      </c>
      <c r="AD182" s="17" t="n">
        <f aca="false">IF(COUNTIFS(Clips!$F:$F,$B182,Clips!$M:$M,"&gt;0",Clips!$C:$C,"&lt;&gt;excluded")=0,"",AVERAGEIFS(Clips!$M:$M,Clips!$F:$F,$B182,Clips!$M:$M,"&gt;0",Clips!$C:$C,"&lt;&gt;excluded"))</f>
        <v>2.5</v>
      </c>
      <c r="AE182" s="15" t="n">
        <f aca="false">COUNTIFS(Clips!$F:$F,$B182,Clips!$O:$O,"&lt;&gt;",Clips!$B:$B,"&lt;&gt;site",Clips!$C:$C,"&lt;&gt;excluded")</f>
        <v>1</v>
      </c>
      <c r="AF182" s="15" t="n">
        <f aca="false">COUNTIFS(Clips!$F:$F,$B182,Clips!$I:$I,"&lt;5",Clips!$C:$C,"&lt;&gt;excluded")</f>
        <v>0</v>
      </c>
      <c r="AG182" s="5"/>
    </row>
    <row r="183" customFormat="false" ht="15" hidden="false" customHeight="false" outlineLevel="0" collapsed="false">
      <c r="A183" s="15" t="n">
        <v>9</v>
      </c>
      <c r="B183" s="15" t="s">
        <v>704</v>
      </c>
      <c r="C183" s="15" t="s">
        <v>705</v>
      </c>
      <c r="D183" s="15" t="s">
        <v>706</v>
      </c>
      <c r="E183" s="15" t="s">
        <v>147</v>
      </c>
      <c r="F183" s="15" t="s">
        <v>400</v>
      </c>
      <c r="G183" s="15" t="str">
        <f aca="false">IF(AND($E183="bird",$K183&gt;0),"yes","")</f>
        <v/>
      </c>
      <c r="H183" s="15"/>
      <c r="I183" s="15" t="str">
        <f aca="false">IF($E183="bird",IF(COUNTIF('eBird List'!$A:$A,$B183)&gt;0,"yes","no"),"")</f>
        <v>yes</v>
      </c>
      <c r="J183" s="16" t="n">
        <f aca="false">IF(COUNTIF('eBird List'!$A:$A,$B183)=0,"",INDEX('eBird List'!$C:$C,MATCH($B183,'eBird List'!$A:$A,0)))</f>
        <v>0.0431260424112461</v>
      </c>
      <c r="K183" s="15" t="n">
        <f aca="false">COUNTIFS(Clips!$B:$B,"site",Clips!$F:$F,$B183)+COUNTIFS(Clips!$B:$B,"site",Clips!$O:$O,"*"&amp;$B183&amp;"*")</f>
        <v>0</v>
      </c>
      <c r="L183" s="15" t="n">
        <f aca="false">COUNTIFS(Clips!$F:$F,$B183,Clips!$B:$B,"macaulay")</f>
        <v>2</v>
      </c>
      <c r="M183" s="15" t="n">
        <f aca="false">COUNTIFS(Clips!$F:$F,$B183,Clips!$B:$B,"xeno-canto")</f>
        <v>0</v>
      </c>
      <c r="N183" s="15" t="n">
        <f aca="false">K183+L183+M183</f>
        <v>2</v>
      </c>
      <c r="O183" s="15" t="n">
        <f aca="false">COUNTIFS(Clips!$F:$F,$B183,Clips!$C:$C,"excluded")</f>
        <v>0</v>
      </c>
      <c r="P183" s="15" t="n">
        <f aca="false">COUNTIFS(Clips!$F:$F,$B183,Clips!$C:$C,"train")</f>
        <v>1</v>
      </c>
      <c r="Q183" s="15" t="n">
        <f aca="false">COUNTIFS(Clips!$F:$F,$B183,Clips!$C:$C,"val")</f>
        <v>0</v>
      </c>
      <c r="R183" s="15" t="n">
        <f aca="false">COUNTIFS(Clips!$F:$F,$B183,Clips!$C:$C,"test")</f>
        <v>1</v>
      </c>
      <c r="S183" s="17" t="n">
        <f aca="false">SUMIFS(Clips!$I:$I,Clips!$F:$F,$B183,Clips!$C:$C,"train")/60</f>
        <v>0.64365</v>
      </c>
      <c r="T183" s="17" t="n">
        <f aca="false">SUMIFS(Clips!$I:$I,Clips!$F:$F,$B183,Clips!$C:$C,"val")/60</f>
        <v>0</v>
      </c>
      <c r="U183" s="17" t="n">
        <f aca="false">SUMIFS(Clips!$I:$I,Clips!$F:$F,$B183,Clips!$C:$C,"test")/60</f>
        <v>0.264333333333333</v>
      </c>
      <c r="V183" s="15" t="n">
        <f aca="false">SUMIFS(Clips!$J:$J,Clips!$F:$F,$B183,Clips!$C:$C,"train")</f>
        <v>8</v>
      </c>
      <c r="W183" s="18" t="n">
        <f aca="false">IF(V183=0,"",Splits!$B$49/(Splits!$B$50*V183))</f>
        <v>19.4781839622642</v>
      </c>
      <c r="X183" s="15" t="str">
        <f aca="false">IF(P183&gt;0,IF(AND(Q183&gt;0,R183&gt;0),"train + val + test",IF(R183&gt;0,"train + test","train only")),IF(R183&gt;0,"test only (unknown class)",IF(K183&gt;0,"site extract only","no usable audio")))</f>
        <v>train + test</v>
      </c>
      <c r="Y183" s="15" t="str">
        <f aca="false">IF($P183=0,"",IF($E183="nonbird",$B183,IF($G183="yes",$B183,"other bird")))</f>
        <v>other bird</v>
      </c>
      <c r="Z183" s="15" t="str">
        <f aca="false">IF(AND($F183="core",$P183&gt;0),$B183,"")</f>
        <v/>
      </c>
      <c r="AA183" s="15" t="str">
        <f aca="false">IF($P183&gt;0,$B183,"")</f>
        <v>Bat Falcon</v>
      </c>
      <c r="AB183" s="15" t="n">
        <v>2</v>
      </c>
      <c r="AC183" s="15" t="n">
        <v>2</v>
      </c>
      <c r="AD183" s="17" t="n">
        <f aca="false">IF(COUNTIFS(Clips!$F:$F,$B183,Clips!$M:$M,"&gt;0",Clips!$C:$C,"&lt;&gt;excluded")=0,"",AVERAGEIFS(Clips!$M:$M,Clips!$F:$F,$B183,Clips!$M:$M,"&gt;0",Clips!$C:$C,"&lt;&gt;excluded"))</f>
        <v>2.375</v>
      </c>
      <c r="AE183" s="15" t="n">
        <f aca="false">COUNTIFS(Clips!$F:$F,$B183,Clips!$O:$O,"&lt;&gt;",Clips!$B:$B,"&lt;&gt;site",Clips!$C:$C,"&lt;&gt;excluded")</f>
        <v>0</v>
      </c>
      <c r="AF183" s="15" t="n">
        <f aca="false">COUNTIFS(Clips!$F:$F,$B183,Clips!$I:$I,"&lt;5",Clips!$C:$C,"&lt;&gt;excluded")</f>
        <v>0</v>
      </c>
      <c r="AG183" s="5"/>
    </row>
    <row r="184" customFormat="false" ht="15" hidden="false" customHeight="false" outlineLevel="0" collapsed="false">
      <c r="A184" s="15" t="n">
        <v>24</v>
      </c>
      <c r="B184" s="15" t="s">
        <v>707</v>
      </c>
      <c r="C184" s="15" t="s">
        <v>708</v>
      </c>
      <c r="D184" s="15" t="s">
        <v>709</v>
      </c>
      <c r="E184" s="15" t="s">
        <v>147</v>
      </c>
      <c r="F184" s="15" t="s">
        <v>647</v>
      </c>
      <c r="G184" s="15" t="str">
        <f aca="false">IF(AND($E184="bird",$K184&gt;0),"yes","")</f>
        <v/>
      </c>
      <c r="H184" s="15"/>
      <c r="I184" s="15" t="str">
        <f aca="false">IF($E184="bird",IF(COUNTIF('eBird List'!$A:$A,$B184)&gt;0,"yes","no"),"")</f>
        <v>yes</v>
      </c>
      <c r="J184" s="16" t="n">
        <f aca="false">IF(COUNTIF('eBird List'!$A:$A,$B184)=0,"",INDEX('eBird List'!$C:$C,MATCH($B184,'eBird List'!$A:$A,0)))</f>
        <v>0.000685013104598523</v>
      </c>
      <c r="K184" s="15" t="n">
        <f aca="false">COUNTIFS(Clips!$B:$B,"site",Clips!$F:$F,$B184)+COUNTIFS(Clips!$B:$B,"site",Clips!$O:$O,"*"&amp;$B184&amp;"*")</f>
        <v>0</v>
      </c>
      <c r="L184" s="15" t="n">
        <f aca="false">COUNTIFS(Clips!$F:$F,$B184,Clips!$B:$B,"macaulay")</f>
        <v>0</v>
      </c>
      <c r="M184" s="15" t="n">
        <f aca="false">COUNTIFS(Clips!$F:$F,$B184,Clips!$B:$B,"xeno-canto")</f>
        <v>2</v>
      </c>
      <c r="N184" s="15" t="n">
        <f aca="false">K184+L184+M184</f>
        <v>2</v>
      </c>
      <c r="O184" s="15" t="n">
        <f aca="false">COUNTIFS(Clips!$F:$F,$B184,Clips!$C:$C,"excluded")</f>
        <v>0</v>
      </c>
      <c r="P184" s="15" t="n">
        <f aca="false">COUNTIFS(Clips!$F:$F,$B184,Clips!$C:$C,"train")</f>
        <v>2</v>
      </c>
      <c r="Q184" s="15" t="n">
        <f aca="false">COUNTIFS(Clips!$F:$F,$B184,Clips!$C:$C,"val")</f>
        <v>0</v>
      </c>
      <c r="R184" s="15" t="n">
        <f aca="false">COUNTIFS(Clips!$F:$F,$B184,Clips!$C:$C,"test")</f>
        <v>0</v>
      </c>
      <c r="S184" s="17" t="n">
        <f aca="false">SUMIFS(Clips!$I:$I,Clips!$F:$F,$B184,Clips!$C:$C,"train")/60</f>
        <v>1.4036</v>
      </c>
      <c r="T184" s="17" t="n">
        <f aca="false">SUMIFS(Clips!$I:$I,Clips!$F:$F,$B184,Clips!$C:$C,"val")/60</f>
        <v>0</v>
      </c>
      <c r="U184" s="17" t="n">
        <f aca="false">SUMIFS(Clips!$I:$I,Clips!$F:$F,$B184,Clips!$C:$C,"test")/60</f>
        <v>0</v>
      </c>
      <c r="V184" s="15" t="n">
        <f aca="false">SUMIFS(Clips!$J:$J,Clips!$F:$F,$B184,Clips!$C:$C,"train")</f>
        <v>17</v>
      </c>
      <c r="W184" s="18" t="n">
        <f aca="false">IF(V184=0,"",Splits!$B$49/(Splits!$B$50*V184))</f>
        <v>9.16620421753607</v>
      </c>
      <c r="X184" s="15" t="str">
        <f aca="false">IF(P184&gt;0,IF(AND(Q184&gt;0,R184&gt;0),"train + val + test",IF(R184&gt;0,"train + test","train only")),IF(R184&gt;0,"test only (unknown class)",IF(K184&gt;0,"site extract only","no usable audio")))</f>
        <v>train only</v>
      </c>
      <c r="Y184" s="15" t="str">
        <f aca="false">IF($P184=0,"",IF($E184="nonbird",$B184,IF($G184="yes",$B184,"other bird")))</f>
        <v>other bird</v>
      </c>
      <c r="Z184" s="15" t="str">
        <f aca="false">IF(AND($F184="core",$P184&gt;0),$B184,"")</f>
        <v/>
      </c>
      <c r="AA184" s="15" t="str">
        <f aca="false">IF($P184&gt;0,$B184,"")</f>
        <v>Black-headed Nightingale-Thrush</v>
      </c>
      <c r="AB184" s="15" t="n">
        <v>1</v>
      </c>
      <c r="AC184" s="15" t="n">
        <v>1</v>
      </c>
      <c r="AD184" s="17" t="str">
        <f aca="false">IF(COUNTIFS(Clips!$F:$F,$B184,Clips!$M:$M,"&gt;0",Clips!$C:$C,"&lt;&gt;excluded")=0,"",AVERAGEIFS(Clips!$M:$M,Clips!$F:$F,$B184,Clips!$M:$M,"&gt;0",Clips!$C:$C,"&lt;&gt;excluded"))</f>
        <v/>
      </c>
      <c r="AE184" s="15" t="n">
        <f aca="false">COUNTIFS(Clips!$F:$F,$B184,Clips!$O:$O,"&lt;&gt;",Clips!$B:$B,"&lt;&gt;site",Clips!$C:$C,"&lt;&gt;excluded")</f>
        <v>0</v>
      </c>
      <c r="AF184" s="15" t="n">
        <f aca="false">COUNTIFS(Clips!$F:$F,$B184,Clips!$I:$I,"&lt;5",Clips!$C:$C,"&lt;&gt;excluded")</f>
        <v>0</v>
      </c>
      <c r="AG184" s="5" t="s">
        <v>710</v>
      </c>
    </row>
    <row r="185" customFormat="false" ht="15" hidden="false" customHeight="false" outlineLevel="0" collapsed="false">
      <c r="A185" s="15" t="n">
        <v>88</v>
      </c>
      <c r="B185" s="15" t="s">
        <v>711</v>
      </c>
      <c r="C185" s="15" t="s">
        <v>712</v>
      </c>
      <c r="D185" s="15" t="s">
        <v>713</v>
      </c>
      <c r="E185" s="15" t="s">
        <v>147</v>
      </c>
      <c r="F185" s="15" t="s">
        <v>714</v>
      </c>
      <c r="G185" s="15" t="str">
        <f aca="false">IF(AND($E185="bird",$K185&gt;0),"yes","")</f>
        <v/>
      </c>
      <c r="H185" s="15"/>
      <c r="I185" s="15" t="str">
        <f aca="false">IF($E185="bird",IF(COUNTIF('eBird List'!$A:$A,$B185)&gt;0,"yes","no"),"")</f>
        <v>yes</v>
      </c>
      <c r="J185" s="16" t="n">
        <f aca="false">IF(COUNTIF('eBird List'!$A:$A,$B185)=0,"",INDEX('eBird List'!$C:$C,MATCH($B185,'eBird List'!$A:$A,0)))</f>
        <v>0.00139980938765785</v>
      </c>
      <c r="K185" s="15" t="n">
        <f aca="false">COUNTIFS(Clips!$B:$B,"site",Clips!$F:$F,$B185)+COUNTIFS(Clips!$B:$B,"site",Clips!$O:$O,"*"&amp;$B185&amp;"*")</f>
        <v>0</v>
      </c>
      <c r="L185" s="15" t="n">
        <f aca="false">COUNTIFS(Clips!$F:$F,$B185,Clips!$B:$B,"macaulay")</f>
        <v>2</v>
      </c>
      <c r="M185" s="15" t="n">
        <f aca="false">COUNTIFS(Clips!$F:$F,$B185,Clips!$B:$B,"xeno-canto")</f>
        <v>0</v>
      </c>
      <c r="N185" s="15" t="n">
        <f aca="false">K185+L185+M185</f>
        <v>2</v>
      </c>
      <c r="O185" s="15" t="n">
        <f aca="false">COUNTIFS(Clips!$F:$F,$B185,Clips!$C:$C,"excluded")</f>
        <v>0</v>
      </c>
      <c r="P185" s="15" t="n">
        <f aca="false">COUNTIFS(Clips!$F:$F,$B185,Clips!$C:$C,"train")</f>
        <v>2</v>
      </c>
      <c r="Q185" s="15" t="n">
        <f aca="false">COUNTIFS(Clips!$F:$F,$B185,Clips!$C:$C,"val")</f>
        <v>0</v>
      </c>
      <c r="R185" s="15" t="n">
        <f aca="false">COUNTIFS(Clips!$F:$F,$B185,Clips!$C:$C,"test")</f>
        <v>0</v>
      </c>
      <c r="S185" s="17" t="n">
        <f aca="false">SUMIFS(Clips!$I:$I,Clips!$F:$F,$B185,Clips!$C:$C,"train")/60</f>
        <v>9.58275</v>
      </c>
      <c r="T185" s="17" t="n">
        <f aca="false">SUMIFS(Clips!$I:$I,Clips!$F:$F,$B185,Clips!$C:$C,"val")/60</f>
        <v>0</v>
      </c>
      <c r="U185" s="17" t="n">
        <f aca="false">SUMIFS(Clips!$I:$I,Clips!$F:$F,$B185,Clips!$C:$C,"test")/60</f>
        <v>0</v>
      </c>
      <c r="V185" s="15" t="n">
        <f aca="false">SUMIFS(Clips!$J:$J,Clips!$F:$F,$B185,Clips!$C:$C,"train")</f>
        <v>116</v>
      </c>
      <c r="W185" s="18" t="n">
        <f aca="false">IF(V185=0,"",Splits!$B$49/(Splits!$B$50*V185))</f>
        <v>1.34332303188029</v>
      </c>
      <c r="X185" s="15" t="str">
        <f aca="false">IF(P185&gt;0,IF(AND(Q185&gt;0,R185&gt;0),"train + val + test",IF(R185&gt;0,"train + test","train only")),IF(R185&gt;0,"test only (unknown class)",IF(K185&gt;0,"site extract only","no usable audio")))</f>
        <v>train only</v>
      </c>
      <c r="Y185" s="15" t="str">
        <f aca="false">IF($P185=0,"",IF($E185="nonbird",$B185,IF($G185="yes",$B185,"other bird")))</f>
        <v>other bird</v>
      </c>
      <c r="Z185" s="15" t="str">
        <f aca="false">IF(AND($F185="core",$P185&gt;0),$B185,"")</f>
        <v/>
      </c>
      <c r="AA185" s="15" t="str">
        <f aca="false">IF($P185&gt;0,$B185,"")</f>
        <v>Gray-breasted Crake</v>
      </c>
      <c r="AB185" s="15" t="n">
        <v>1</v>
      </c>
      <c r="AC185" s="15" t="n">
        <v>1</v>
      </c>
      <c r="AD185" s="17" t="n">
        <f aca="false">IF(COUNTIFS(Clips!$F:$F,$B185,Clips!$M:$M,"&gt;0",Clips!$C:$C,"&lt;&gt;excluded")=0,"",AVERAGEIFS(Clips!$M:$M,Clips!$F:$F,$B185,Clips!$M:$M,"&gt;0",Clips!$C:$C,"&lt;&gt;excluded"))</f>
        <v>3.4</v>
      </c>
      <c r="AE185" s="15" t="n">
        <f aca="false">COUNTIFS(Clips!$F:$F,$B185,Clips!$O:$O,"&lt;&gt;",Clips!$B:$B,"&lt;&gt;site",Clips!$C:$C,"&lt;&gt;excluded")</f>
        <v>0</v>
      </c>
      <c r="AF185" s="15" t="n">
        <f aca="false">COUNTIFS(Clips!$F:$F,$B185,Clips!$I:$I,"&lt;5",Clips!$C:$C,"&lt;&gt;excluded")</f>
        <v>0</v>
      </c>
      <c r="AG185" s="5"/>
    </row>
    <row r="186" customFormat="false" ht="15" hidden="false" customHeight="false" outlineLevel="0" collapsed="false">
      <c r="A186" s="15" t="n">
        <v>89</v>
      </c>
      <c r="B186" s="15" t="s">
        <v>715</v>
      </c>
      <c r="C186" s="15" t="s">
        <v>716</v>
      </c>
      <c r="D186" s="15"/>
      <c r="E186" s="15" t="s">
        <v>147</v>
      </c>
      <c r="F186" s="15" t="s">
        <v>647</v>
      </c>
      <c r="G186" s="15" t="str">
        <f aca="false">IF(AND($E186="bird",$K186&gt;0),"yes","")</f>
        <v/>
      </c>
      <c r="H186" s="15"/>
      <c r="I186" s="15" t="str">
        <f aca="false">IF($E186="bird",IF(COUNTIF('eBird List'!$A:$A,$B186)&gt;0,"yes","no"),"")</f>
        <v>no</v>
      </c>
      <c r="J186" s="16" t="str">
        <f aca="false">IF(COUNTIF('eBird List'!$A:$A,$B186)=0,"",INDEX('eBird List'!$C:$C,MATCH($B186,'eBird List'!$A:$A,0)))</f>
        <v/>
      </c>
      <c r="K186" s="15" t="n">
        <f aca="false">COUNTIFS(Clips!$B:$B,"site",Clips!$F:$F,$B186)+COUNTIFS(Clips!$B:$B,"site",Clips!$O:$O,"*"&amp;$B186&amp;"*")</f>
        <v>0</v>
      </c>
      <c r="L186" s="15" t="n">
        <f aca="false">COUNTIFS(Clips!$F:$F,$B186,Clips!$B:$B,"macaulay")</f>
        <v>0</v>
      </c>
      <c r="M186" s="15" t="n">
        <f aca="false">COUNTIFS(Clips!$F:$F,$B186,Clips!$B:$B,"xeno-canto")</f>
        <v>2</v>
      </c>
      <c r="N186" s="15" t="n">
        <f aca="false">K186+L186+M186</f>
        <v>2</v>
      </c>
      <c r="O186" s="15" t="n">
        <f aca="false">COUNTIFS(Clips!$F:$F,$B186,Clips!$C:$C,"excluded")</f>
        <v>0</v>
      </c>
      <c r="P186" s="15" t="n">
        <f aca="false">COUNTIFS(Clips!$F:$F,$B186,Clips!$C:$C,"train")</f>
        <v>2</v>
      </c>
      <c r="Q186" s="15" t="n">
        <f aca="false">COUNTIFS(Clips!$F:$F,$B186,Clips!$C:$C,"val")</f>
        <v>0</v>
      </c>
      <c r="R186" s="15" t="n">
        <f aca="false">COUNTIFS(Clips!$F:$F,$B186,Clips!$C:$C,"test")</f>
        <v>0</v>
      </c>
      <c r="S186" s="17" t="n">
        <f aca="false">SUMIFS(Clips!$I:$I,Clips!$F:$F,$B186,Clips!$C:$C,"train")/60</f>
        <v>5.562</v>
      </c>
      <c r="T186" s="17" t="n">
        <f aca="false">SUMIFS(Clips!$I:$I,Clips!$F:$F,$B186,Clips!$C:$C,"val")/60</f>
        <v>0</v>
      </c>
      <c r="U186" s="17" t="n">
        <f aca="false">SUMIFS(Clips!$I:$I,Clips!$F:$F,$B186,Clips!$C:$C,"test")/60</f>
        <v>0</v>
      </c>
      <c r="V186" s="15" t="n">
        <f aca="false">SUMIFS(Clips!$J:$J,Clips!$F:$F,$B186,Clips!$C:$C,"train")</f>
        <v>67</v>
      </c>
      <c r="W186" s="18" t="n">
        <f aca="false">IF(V186=0,"",Splits!$B$49/(Splits!$B$50*V186))</f>
        <v>2.32575330892706</v>
      </c>
      <c r="X186" s="15" t="str">
        <f aca="false">IF(P186&gt;0,IF(AND(Q186&gt;0,R186&gt;0),"train + val + test",IF(R186&gt;0,"train + test","train only")),IF(R186&gt;0,"test only (unknown class)",IF(K186&gt;0,"site extract only","no usable audio")))</f>
        <v>train only</v>
      </c>
      <c r="Y186" s="15" t="str">
        <f aca="false">IF($P186=0,"",IF($E186="nonbird",$B186,IF($G186="yes",$B186,"other bird")))</f>
        <v>other bird</v>
      </c>
      <c r="Z186" s="15" t="str">
        <f aca="false">IF(AND($F186="core",$P186&gt;0),$B186,"")</f>
        <v/>
      </c>
      <c r="AA186" s="15" t="str">
        <f aca="false">IF($P186&gt;0,$B186,"")</f>
        <v>Gray-breasted Wood-Wren</v>
      </c>
      <c r="AB186" s="15" t="n">
        <v>2</v>
      </c>
      <c r="AC186" s="15" t="n">
        <v>1</v>
      </c>
      <c r="AD186" s="17" t="str">
        <f aca="false">IF(COUNTIFS(Clips!$F:$F,$B186,Clips!$M:$M,"&gt;0",Clips!$C:$C,"&lt;&gt;excluded")=0,"",AVERAGEIFS(Clips!$M:$M,Clips!$F:$F,$B186,Clips!$M:$M,"&gt;0",Clips!$C:$C,"&lt;&gt;excluded"))</f>
        <v/>
      </c>
      <c r="AE186" s="15" t="n">
        <f aca="false">COUNTIFS(Clips!$F:$F,$B186,Clips!$O:$O,"&lt;&gt;",Clips!$B:$B,"&lt;&gt;site",Clips!$C:$C,"&lt;&gt;excluded")</f>
        <v>0</v>
      </c>
      <c r="AF186" s="15" t="n">
        <f aca="false">COUNTIFS(Clips!$F:$F,$B186,Clips!$I:$I,"&lt;5",Clips!$C:$C,"&lt;&gt;excluded")</f>
        <v>0</v>
      </c>
      <c r="AG186" s="5" t="s">
        <v>648</v>
      </c>
    </row>
    <row r="187" customFormat="false" ht="15" hidden="false" customHeight="false" outlineLevel="0" collapsed="false">
      <c r="A187" s="15" t="n">
        <v>110</v>
      </c>
      <c r="B187" s="15" t="s">
        <v>717</v>
      </c>
      <c r="C187" s="15" t="s">
        <v>718</v>
      </c>
      <c r="D187" s="15" t="s">
        <v>719</v>
      </c>
      <c r="E187" s="15" t="s">
        <v>147</v>
      </c>
      <c r="F187" s="15" t="s">
        <v>400</v>
      </c>
      <c r="G187" s="15" t="str">
        <f aca="false">IF(AND($E187="bird",$K187&gt;0),"yes","")</f>
        <v/>
      </c>
      <c r="H187" s="15"/>
      <c r="I187" s="15" t="str">
        <f aca="false">IF($E187="bird",IF(COUNTIF('eBird List'!$A:$A,$B187)&gt;0,"yes","no"),"")</f>
        <v>yes</v>
      </c>
      <c r="J187" s="16" t="n">
        <f aca="false">IF(COUNTIF('eBird List'!$A:$A,$B187)=0,"",INDEX('eBird List'!$C:$C,MATCH($B187,'eBird List'!$A:$A,0)))</f>
        <v>0.0153383369073147</v>
      </c>
      <c r="K187" s="15" t="n">
        <f aca="false">COUNTIFS(Clips!$B:$B,"site",Clips!$F:$F,$B187)+COUNTIFS(Clips!$B:$B,"site",Clips!$O:$O,"*"&amp;$B187&amp;"*")</f>
        <v>0</v>
      </c>
      <c r="L187" s="15" t="n">
        <f aca="false">COUNTIFS(Clips!$F:$F,$B187,Clips!$B:$B,"macaulay")</f>
        <v>2</v>
      </c>
      <c r="M187" s="15" t="n">
        <f aca="false">COUNTIFS(Clips!$F:$F,$B187,Clips!$B:$B,"xeno-canto")</f>
        <v>0</v>
      </c>
      <c r="N187" s="15" t="n">
        <f aca="false">K187+L187+M187</f>
        <v>2</v>
      </c>
      <c r="O187" s="15" t="n">
        <f aca="false">COUNTIFS(Clips!$F:$F,$B187,Clips!$C:$C,"excluded")</f>
        <v>0</v>
      </c>
      <c r="P187" s="15" t="n">
        <f aca="false">COUNTIFS(Clips!$F:$F,$B187,Clips!$C:$C,"train")</f>
        <v>1</v>
      </c>
      <c r="Q187" s="15" t="n">
        <f aca="false">COUNTIFS(Clips!$F:$F,$B187,Clips!$C:$C,"val")</f>
        <v>0</v>
      </c>
      <c r="R187" s="15" t="n">
        <f aca="false">COUNTIFS(Clips!$F:$F,$B187,Clips!$C:$C,"test")</f>
        <v>1</v>
      </c>
      <c r="S187" s="17" t="n">
        <f aca="false">SUMIFS(Clips!$I:$I,Clips!$F:$F,$B187,Clips!$C:$C,"train")/60</f>
        <v>0.23325</v>
      </c>
      <c r="T187" s="17" t="n">
        <f aca="false">SUMIFS(Clips!$I:$I,Clips!$F:$F,$B187,Clips!$C:$C,"val")/60</f>
        <v>0</v>
      </c>
      <c r="U187" s="17" t="n">
        <f aca="false">SUMIFS(Clips!$I:$I,Clips!$F:$F,$B187,Clips!$C:$C,"test")/60</f>
        <v>0.228616666666667</v>
      </c>
      <c r="V187" s="15" t="n">
        <f aca="false">SUMIFS(Clips!$J:$J,Clips!$F:$F,$B187,Clips!$C:$C,"train")</f>
        <v>3</v>
      </c>
      <c r="W187" s="18" t="n">
        <f aca="false">IF(V187=0,"",Splits!$B$49/(Splits!$B$50*V187))</f>
        <v>51.9418238993711</v>
      </c>
      <c r="X187" s="15" t="str">
        <f aca="false">IF(P187&gt;0,IF(AND(Q187&gt;0,R187&gt;0),"train + val + test",IF(R187&gt;0,"train + test","train only")),IF(R187&gt;0,"test only (unknown class)",IF(K187&gt;0,"site extract only","no usable audio")))</f>
        <v>train + test</v>
      </c>
      <c r="Y187" s="15" t="str">
        <f aca="false">IF($P187=0,"",IF($E187="nonbird",$B187,IF($G187="yes",$B187,"other bird")))</f>
        <v>other bird</v>
      </c>
      <c r="Z187" s="15" t="str">
        <f aca="false">IF(AND($F187="core",$P187&gt;0),$B187,"")</f>
        <v/>
      </c>
      <c r="AA187" s="15" t="str">
        <f aca="false">IF($P187&gt;0,$B187,"")</f>
        <v>Hooded Warbler</v>
      </c>
      <c r="AB187" s="15" t="n">
        <v>2</v>
      </c>
      <c r="AC187" s="15" t="n">
        <v>1</v>
      </c>
      <c r="AD187" s="17" t="n">
        <f aca="false">IF(COUNTIFS(Clips!$F:$F,$B187,Clips!$M:$M,"&gt;0",Clips!$C:$C,"&lt;&gt;excluded")=0,"",AVERAGEIFS(Clips!$M:$M,Clips!$F:$F,$B187,Clips!$M:$M,"&gt;0",Clips!$C:$C,"&lt;&gt;excluded"))</f>
        <v>5</v>
      </c>
      <c r="AE187" s="15" t="n">
        <f aca="false">COUNTIFS(Clips!$F:$F,$B187,Clips!$O:$O,"&lt;&gt;",Clips!$B:$B,"&lt;&gt;site",Clips!$C:$C,"&lt;&gt;excluded")</f>
        <v>0</v>
      </c>
      <c r="AF187" s="15" t="n">
        <f aca="false">COUNTIFS(Clips!$F:$F,$B187,Clips!$I:$I,"&lt;5",Clips!$C:$C,"&lt;&gt;excluded")</f>
        <v>0</v>
      </c>
      <c r="AG187" s="5"/>
    </row>
    <row r="188" customFormat="false" ht="15" hidden="false" customHeight="false" outlineLevel="0" collapsed="false">
      <c r="A188" s="15" t="n">
        <v>120</v>
      </c>
      <c r="B188" s="15" t="s">
        <v>720</v>
      </c>
      <c r="C188" s="15" t="s">
        <v>721</v>
      </c>
      <c r="D188" s="15"/>
      <c r="E188" s="15" t="s">
        <v>147</v>
      </c>
      <c r="F188" s="15" t="s">
        <v>647</v>
      </c>
      <c r="G188" s="15" t="str">
        <f aca="false">IF(AND($E188="bird",$K188&gt;0),"yes","")</f>
        <v/>
      </c>
      <c r="H188" s="15"/>
      <c r="I188" s="15" t="str">
        <f aca="false">IF($E188="bird",IF(COUNTIF('eBird List'!$A:$A,$B188)&gt;0,"yes","no"),"")</f>
        <v>no</v>
      </c>
      <c r="J188" s="16" t="str">
        <f aca="false">IF(COUNTIF('eBird List'!$A:$A,$B188)=0,"",INDEX('eBird List'!$C:$C,MATCH($B188,'eBird List'!$A:$A,0)))</f>
        <v/>
      </c>
      <c r="K188" s="15" t="n">
        <f aca="false">COUNTIFS(Clips!$B:$B,"site",Clips!$F:$F,$B188)+COUNTIFS(Clips!$B:$B,"site",Clips!$O:$O,"*"&amp;$B188&amp;"*")</f>
        <v>0</v>
      </c>
      <c r="L188" s="15" t="n">
        <f aca="false">COUNTIFS(Clips!$F:$F,$B188,Clips!$B:$B,"macaulay")</f>
        <v>0</v>
      </c>
      <c r="M188" s="15" t="n">
        <f aca="false">COUNTIFS(Clips!$F:$F,$B188,Clips!$B:$B,"xeno-canto")</f>
        <v>2</v>
      </c>
      <c r="N188" s="15" t="n">
        <f aca="false">K188+L188+M188</f>
        <v>2</v>
      </c>
      <c r="O188" s="15" t="n">
        <f aca="false">COUNTIFS(Clips!$F:$F,$B188,Clips!$C:$C,"excluded")</f>
        <v>0</v>
      </c>
      <c r="P188" s="15" t="n">
        <f aca="false">COUNTIFS(Clips!$F:$F,$B188,Clips!$C:$C,"train")</f>
        <v>2</v>
      </c>
      <c r="Q188" s="15" t="n">
        <f aca="false">COUNTIFS(Clips!$F:$F,$B188,Clips!$C:$C,"val")</f>
        <v>0</v>
      </c>
      <c r="R188" s="15" t="n">
        <f aca="false">COUNTIFS(Clips!$F:$F,$B188,Clips!$C:$C,"test")</f>
        <v>0</v>
      </c>
      <c r="S188" s="17" t="n">
        <f aca="false">SUMIFS(Clips!$I:$I,Clips!$F:$F,$B188,Clips!$C:$C,"train")/60</f>
        <v>0.5008</v>
      </c>
      <c r="T188" s="17" t="n">
        <f aca="false">SUMIFS(Clips!$I:$I,Clips!$F:$F,$B188,Clips!$C:$C,"val")/60</f>
        <v>0</v>
      </c>
      <c r="U188" s="17" t="n">
        <f aca="false">SUMIFS(Clips!$I:$I,Clips!$F:$F,$B188,Clips!$C:$C,"test")/60</f>
        <v>0</v>
      </c>
      <c r="V188" s="15" t="n">
        <f aca="false">SUMIFS(Clips!$J:$J,Clips!$F:$F,$B188,Clips!$C:$C,"train")</f>
        <v>8</v>
      </c>
      <c r="W188" s="18" t="n">
        <f aca="false">IF(V188=0,"",Splits!$B$49/(Splits!$B$50*V188))</f>
        <v>19.4781839622642</v>
      </c>
      <c r="X188" s="15" t="str">
        <f aca="false">IF(P188&gt;0,IF(AND(Q188&gt;0,R188&gt;0),"train + val + test",IF(R188&gt;0,"train + test","train only")),IF(R188&gt;0,"test only (unknown class)",IF(K188&gt;0,"site extract only","no usable audio")))</f>
        <v>train only</v>
      </c>
      <c r="Y188" s="15" t="str">
        <f aca="false">IF($P188=0,"",IF($E188="nonbird",$B188,IF($G188="yes",$B188,"other bird")))</f>
        <v>other bird</v>
      </c>
      <c r="Z188" s="15" t="str">
        <f aca="false">IF(AND($F188="core",$P188&gt;0),$B188,"")</f>
        <v/>
      </c>
      <c r="AA188" s="15" t="str">
        <f aca="false">IF($P188&gt;0,$B188,"")</f>
        <v>Long-tailed Manakin</v>
      </c>
      <c r="AB188" s="15" t="n">
        <v>1</v>
      </c>
      <c r="AC188" s="15" t="n">
        <v>1</v>
      </c>
      <c r="AD188" s="17" t="str">
        <f aca="false">IF(COUNTIFS(Clips!$F:$F,$B188,Clips!$M:$M,"&gt;0",Clips!$C:$C,"&lt;&gt;excluded")=0,"",AVERAGEIFS(Clips!$M:$M,Clips!$F:$F,$B188,Clips!$M:$M,"&gt;0",Clips!$C:$C,"&lt;&gt;excluded"))</f>
        <v/>
      </c>
      <c r="AE188" s="15" t="n">
        <f aca="false">COUNTIFS(Clips!$F:$F,$B188,Clips!$O:$O,"&lt;&gt;",Clips!$B:$B,"&lt;&gt;site",Clips!$C:$C,"&lt;&gt;excluded")</f>
        <v>0</v>
      </c>
      <c r="AF188" s="15" t="n">
        <f aca="false">COUNTIFS(Clips!$F:$F,$B188,Clips!$I:$I,"&lt;5",Clips!$C:$C,"&lt;&gt;excluded")</f>
        <v>0</v>
      </c>
      <c r="AG188" s="5" t="s">
        <v>648</v>
      </c>
    </row>
    <row r="189" customFormat="false" ht="15" hidden="false" customHeight="false" outlineLevel="0" collapsed="false">
      <c r="A189" s="15" t="n">
        <v>122</v>
      </c>
      <c r="B189" s="15" t="s">
        <v>722</v>
      </c>
      <c r="C189" s="15" t="s">
        <v>723</v>
      </c>
      <c r="D189" s="15" t="s">
        <v>724</v>
      </c>
      <c r="E189" s="15" t="s">
        <v>147</v>
      </c>
      <c r="F189" s="15" t="s">
        <v>400</v>
      </c>
      <c r="G189" s="15" t="str">
        <f aca="false">IF(AND($E189="bird",$K189&gt;0),"yes","")</f>
        <v/>
      </c>
      <c r="H189" s="15"/>
      <c r="I189" s="15" t="str">
        <f aca="false">IF($E189="bird",IF(COUNTIF('eBird List'!$A:$A,$B189)&gt;0,"yes","no"),"")</f>
        <v>yes</v>
      </c>
      <c r="J189" s="16" t="n">
        <f aca="false">IF(COUNTIF('eBird List'!$A:$A,$B189)=0,"",INDEX('eBird List'!$C:$C,MATCH($B189,'eBird List'!$A:$A,0)))</f>
        <v>0.0181677388610913</v>
      </c>
      <c r="K189" s="15" t="n">
        <f aca="false">COUNTIFS(Clips!$B:$B,"site",Clips!$F:$F,$B189)+COUNTIFS(Clips!$B:$B,"site",Clips!$O:$O,"*"&amp;$B189&amp;"*")</f>
        <v>0</v>
      </c>
      <c r="L189" s="15" t="n">
        <f aca="false">COUNTIFS(Clips!$F:$F,$B189,Clips!$B:$B,"macaulay")</f>
        <v>2</v>
      </c>
      <c r="M189" s="15" t="n">
        <f aca="false">COUNTIFS(Clips!$F:$F,$B189,Clips!$B:$B,"xeno-canto")</f>
        <v>0</v>
      </c>
      <c r="N189" s="15" t="n">
        <f aca="false">K189+L189+M189</f>
        <v>2</v>
      </c>
      <c r="O189" s="15" t="n">
        <f aca="false">COUNTIFS(Clips!$F:$F,$B189,Clips!$C:$C,"excluded")</f>
        <v>0</v>
      </c>
      <c r="P189" s="15" t="n">
        <f aca="false">COUNTIFS(Clips!$F:$F,$B189,Clips!$C:$C,"train")</f>
        <v>1</v>
      </c>
      <c r="Q189" s="15" t="n">
        <f aca="false">COUNTIFS(Clips!$F:$F,$B189,Clips!$C:$C,"val")</f>
        <v>0</v>
      </c>
      <c r="R189" s="15" t="n">
        <f aca="false">COUNTIFS(Clips!$F:$F,$B189,Clips!$C:$C,"test")</f>
        <v>1</v>
      </c>
      <c r="S189" s="17" t="n">
        <f aca="false">SUMIFS(Clips!$I:$I,Clips!$F:$F,$B189,Clips!$C:$C,"train")/60</f>
        <v>0.0440166666666667</v>
      </c>
      <c r="T189" s="17" t="n">
        <f aca="false">SUMIFS(Clips!$I:$I,Clips!$F:$F,$B189,Clips!$C:$C,"val")/60</f>
        <v>0</v>
      </c>
      <c r="U189" s="17" t="n">
        <f aca="false">SUMIFS(Clips!$I:$I,Clips!$F:$F,$B189,Clips!$C:$C,"test")/60</f>
        <v>0.859016666666667</v>
      </c>
      <c r="V189" s="15" t="n">
        <f aca="false">SUMIFS(Clips!$J:$J,Clips!$F:$F,$B189,Clips!$C:$C,"train")</f>
        <v>1</v>
      </c>
      <c r="W189" s="18" t="n">
        <f aca="false">IF(V189=0,"",Splits!$B$49/(Splits!$B$50*V189))</f>
        <v>155.825471698113</v>
      </c>
      <c r="X189" s="15" t="str">
        <f aca="false">IF(P189&gt;0,IF(AND(Q189&gt;0,R189&gt;0),"train + val + test",IF(R189&gt;0,"train + test","train only")),IF(R189&gt;0,"test only (unknown class)",IF(K189&gt;0,"site extract only","no usable audio")))</f>
        <v>train + test</v>
      </c>
      <c r="Y189" s="15" t="str">
        <f aca="false">IF($P189=0,"",IF($E189="nonbird",$B189,IF($G189="yes",$B189,"other bird")))</f>
        <v>other bird</v>
      </c>
      <c r="Z189" s="15" t="str">
        <f aca="false">IF(AND($F189="core",$P189&gt;0),$B189,"")</f>
        <v/>
      </c>
      <c r="AA189" s="15" t="str">
        <f aca="false">IF($P189&gt;0,$B189,"")</f>
        <v>Louisiana Waterthrush</v>
      </c>
      <c r="AB189" s="15" t="n">
        <v>2</v>
      </c>
      <c r="AC189" s="15" t="n">
        <v>2</v>
      </c>
      <c r="AD189" s="17" t="n">
        <f aca="false">IF(COUNTIFS(Clips!$F:$F,$B189,Clips!$M:$M,"&gt;0",Clips!$C:$C,"&lt;&gt;excluded")=0,"",AVERAGEIFS(Clips!$M:$M,Clips!$F:$F,$B189,Clips!$M:$M,"&gt;0",Clips!$C:$C,"&lt;&gt;excluded"))</f>
        <v>3.335</v>
      </c>
      <c r="AE189" s="15" t="n">
        <f aca="false">COUNTIFS(Clips!$F:$F,$B189,Clips!$O:$O,"&lt;&gt;",Clips!$B:$B,"&lt;&gt;site",Clips!$C:$C,"&lt;&gt;excluded")</f>
        <v>0</v>
      </c>
      <c r="AF189" s="15" t="n">
        <f aca="false">COUNTIFS(Clips!$F:$F,$B189,Clips!$I:$I,"&lt;5",Clips!$C:$C,"&lt;&gt;excluded")</f>
        <v>1</v>
      </c>
      <c r="AG189" s="5"/>
    </row>
    <row r="190" customFormat="false" ht="15" hidden="false" customHeight="false" outlineLevel="0" collapsed="false">
      <c r="A190" s="15" t="n">
        <v>164</v>
      </c>
      <c r="B190" s="15" t="s">
        <v>725</v>
      </c>
      <c r="C190" s="15" t="s">
        <v>726</v>
      </c>
      <c r="D190" s="15" t="s">
        <v>727</v>
      </c>
      <c r="E190" s="15" t="s">
        <v>147</v>
      </c>
      <c r="F190" s="15" t="s">
        <v>400</v>
      </c>
      <c r="G190" s="15" t="str">
        <f aca="false">IF(AND($E190="bird",$K190&gt;0),"yes","")</f>
        <v/>
      </c>
      <c r="H190" s="15"/>
      <c r="I190" s="15" t="str">
        <f aca="false">IF($E190="bird",IF(COUNTIF('eBird List'!$A:$A,$B190)&gt;0,"yes","no"),"")</f>
        <v>yes</v>
      </c>
      <c r="J190" s="16" t="n">
        <f aca="false">IF(COUNTIF('eBird List'!$A:$A,$B190)=0,"",INDEX('eBird List'!$C:$C,MATCH($B190,'eBird List'!$A:$A,0)))</f>
        <v>0.122438646652371</v>
      </c>
      <c r="K190" s="15" t="n">
        <f aca="false">COUNTIFS(Clips!$B:$B,"site",Clips!$F:$F,$B190)+COUNTIFS(Clips!$B:$B,"site",Clips!$O:$O,"*"&amp;$B190&amp;"*")</f>
        <v>0</v>
      </c>
      <c r="L190" s="15" t="n">
        <f aca="false">COUNTIFS(Clips!$F:$F,$B190,Clips!$B:$B,"macaulay")</f>
        <v>2</v>
      </c>
      <c r="M190" s="15" t="n">
        <f aca="false">COUNTIFS(Clips!$F:$F,$B190,Clips!$B:$B,"xeno-canto")</f>
        <v>0</v>
      </c>
      <c r="N190" s="15" t="n">
        <f aca="false">K190+L190+M190</f>
        <v>2</v>
      </c>
      <c r="O190" s="15" t="n">
        <f aca="false">COUNTIFS(Clips!$F:$F,$B190,Clips!$C:$C,"excluded")</f>
        <v>0</v>
      </c>
      <c r="P190" s="15" t="n">
        <f aca="false">COUNTIFS(Clips!$F:$F,$B190,Clips!$C:$C,"train")</f>
        <v>1</v>
      </c>
      <c r="Q190" s="15" t="n">
        <f aca="false">COUNTIFS(Clips!$F:$F,$B190,Clips!$C:$C,"val")</f>
        <v>0</v>
      </c>
      <c r="R190" s="15" t="n">
        <f aca="false">COUNTIFS(Clips!$F:$F,$B190,Clips!$C:$C,"test")</f>
        <v>1</v>
      </c>
      <c r="S190" s="17" t="n">
        <f aca="false">SUMIFS(Clips!$I:$I,Clips!$F:$F,$B190,Clips!$C:$C,"train")/60</f>
        <v>2.1806</v>
      </c>
      <c r="T190" s="17" t="n">
        <f aca="false">SUMIFS(Clips!$I:$I,Clips!$F:$F,$B190,Clips!$C:$C,"val")/60</f>
        <v>0</v>
      </c>
      <c r="U190" s="17" t="n">
        <f aca="false">SUMIFS(Clips!$I:$I,Clips!$F:$F,$B190,Clips!$C:$C,"test")/60</f>
        <v>0.338216666666667</v>
      </c>
      <c r="V190" s="15" t="n">
        <f aca="false">SUMIFS(Clips!$J:$J,Clips!$F:$F,$B190,Clips!$C:$C,"train")</f>
        <v>27</v>
      </c>
      <c r="W190" s="18" t="n">
        <f aca="false">IF(V190=0,"",Splits!$B$49/(Splits!$B$50*V190))</f>
        <v>5.77131376659679</v>
      </c>
      <c r="X190" s="15" t="str">
        <f aca="false">IF(P190&gt;0,IF(AND(Q190&gt;0,R190&gt;0),"train + val + test",IF(R190&gt;0,"train + test","train only")),IF(R190&gt;0,"test only (unknown class)",IF(K190&gt;0,"site extract only","no usable audio")))</f>
        <v>train + test</v>
      </c>
      <c r="Y190" s="15" t="str">
        <f aca="false">IF($P190=0,"",IF($E190="nonbird",$B190,IF($G190="yes",$B190,"other bird")))</f>
        <v>other bird</v>
      </c>
      <c r="Z190" s="15" t="str">
        <f aca="false">IF(AND($F190="core",$P190&gt;0),$B190,"")</f>
        <v/>
      </c>
      <c r="AA190" s="15" t="str">
        <f aca="false">IF($P190&gt;0,$B190,"")</f>
        <v>Ruddy Ground Dove</v>
      </c>
      <c r="AB190" s="15" t="n">
        <v>2</v>
      </c>
      <c r="AC190" s="15" t="n">
        <v>2</v>
      </c>
      <c r="AD190" s="17" t="n">
        <f aca="false">IF(COUNTIFS(Clips!$F:$F,$B190,Clips!$M:$M,"&gt;0",Clips!$C:$C,"&lt;&gt;excluded")=0,"",AVERAGEIFS(Clips!$M:$M,Clips!$F:$F,$B190,Clips!$M:$M,"&gt;0",Clips!$C:$C,"&lt;&gt;excluded"))</f>
        <v>1.5</v>
      </c>
      <c r="AE190" s="15" t="n">
        <f aca="false">COUNTIFS(Clips!$F:$F,$B190,Clips!$O:$O,"&lt;&gt;",Clips!$B:$B,"&lt;&gt;site",Clips!$C:$C,"&lt;&gt;excluded")</f>
        <v>0</v>
      </c>
      <c r="AF190" s="15" t="n">
        <f aca="false">COUNTIFS(Clips!$F:$F,$B190,Clips!$I:$I,"&lt;5",Clips!$C:$C,"&lt;&gt;excluded")</f>
        <v>0</v>
      </c>
      <c r="AG190" s="5"/>
    </row>
    <row r="191" customFormat="false" ht="15" hidden="false" customHeight="false" outlineLevel="0" collapsed="false">
      <c r="A191" s="15" t="n">
        <v>196</v>
      </c>
      <c r="B191" s="15" t="s">
        <v>728</v>
      </c>
      <c r="C191" s="15" t="s">
        <v>729</v>
      </c>
      <c r="D191" s="15" t="s">
        <v>730</v>
      </c>
      <c r="E191" s="15" t="s">
        <v>147</v>
      </c>
      <c r="F191" s="15" t="s">
        <v>400</v>
      </c>
      <c r="G191" s="15" t="str">
        <f aca="false">IF(AND($E191="bird",$K191&gt;0),"yes","")</f>
        <v/>
      </c>
      <c r="H191" s="15"/>
      <c r="I191" s="15" t="str">
        <f aca="false">IF($E191="bird",IF(COUNTIF('eBird List'!$A:$A,$B191)&gt;0,"yes","no"),"")</f>
        <v>yes</v>
      </c>
      <c r="J191" s="16" t="n">
        <f aca="false">IF(COUNTIF('eBird List'!$A:$A,$B191)=0,"",INDEX('eBird List'!$C:$C,MATCH($B191,'eBird List'!$A:$A,0)))</f>
        <v>0.00238265427686443</v>
      </c>
      <c r="K191" s="15" t="n">
        <f aca="false">COUNTIFS(Clips!$B:$B,"site",Clips!$F:$F,$B191)+COUNTIFS(Clips!$B:$B,"site",Clips!$O:$O,"*"&amp;$B191&amp;"*")</f>
        <v>0</v>
      </c>
      <c r="L191" s="15" t="n">
        <f aca="false">COUNTIFS(Clips!$F:$F,$B191,Clips!$B:$B,"macaulay")</f>
        <v>2</v>
      </c>
      <c r="M191" s="15" t="n">
        <f aca="false">COUNTIFS(Clips!$F:$F,$B191,Clips!$B:$B,"xeno-canto")</f>
        <v>0</v>
      </c>
      <c r="N191" s="15" t="n">
        <f aca="false">K191+L191+M191</f>
        <v>2</v>
      </c>
      <c r="O191" s="15" t="n">
        <f aca="false">COUNTIFS(Clips!$F:$F,$B191,Clips!$C:$C,"excluded")</f>
        <v>0</v>
      </c>
      <c r="P191" s="15" t="n">
        <f aca="false">COUNTIFS(Clips!$F:$F,$B191,Clips!$C:$C,"train")</f>
        <v>1</v>
      </c>
      <c r="Q191" s="15" t="n">
        <f aca="false">COUNTIFS(Clips!$F:$F,$B191,Clips!$C:$C,"val")</f>
        <v>0</v>
      </c>
      <c r="R191" s="15" t="n">
        <f aca="false">COUNTIFS(Clips!$F:$F,$B191,Clips!$C:$C,"test")</f>
        <v>1</v>
      </c>
      <c r="S191" s="17" t="n">
        <f aca="false">SUMIFS(Clips!$I:$I,Clips!$F:$F,$B191,Clips!$C:$C,"train")/60</f>
        <v>1.61593333333333</v>
      </c>
      <c r="T191" s="17" t="n">
        <f aca="false">SUMIFS(Clips!$I:$I,Clips!$F:$F,$B191,Clips!$C:$C,"val")/60</f>
        <v>0</v>
      </c>
      <c r="U191" s="17" t="n">
        <f aca="false">SUMIFS(Clips!$I:$I,Clips!$F:$F,$B191,Clips!$C:$C,"test")/60</f>
        <v>1.3302</v>
      </c>
      <c r="V191" s="15" t="n">
        <f aca="false">SUMIFS(Clips!$J:$J,Clips!$F:$F,$B191,Clips!$C:$C,"train")</f>
        <v>20</v>
      </c>
      <c r="W191" s="18" t="n">
        <f aca="false">IF(V191=0,"",Splits!$B$49/(Splits!$B$50*V191))</f>
        <v>7.79127358490566</v>
      </c>
      <c r="X191" s="15" t="str">
        <f aca="false">IF(P191&gt;0,IF(AND(Q191&gt;0,R191&gt;0),"train + val + test",IF(R191&gt;0,"train + test","train only")),IF(R191&gt;0,"test only (unknown class)",IF(K191&gt;0,"site extract only","no usable audio")))</f>
        <v>train + test</v>
      </c>
      <c r="Y191" s="15" t="str">
        <f aca="false">IF($P191=0,"",IF($E191="nonbird",$B191,IF($G191="yes",$B191,"other bird")))</f>
        <v>other bird</v>
      </c>
      <c r="Z191" s="15" t="str">
        <f aca="false">IF(AND($F191="core",$P191&gt;0),$B191,"")</f>
        <v/>
      </c>
      <c r="AA191" s="15" t="str">
        <f aca="false">IF($P191&gt;0,$B191,"")</f>
        <v>Streak-chested Antpitta</v>
      </c>
      <c r="AB191" s="15" t="n">
        <v>2</v>
      </c>
      <c r="AC191" s="15" t="n">
        <v>2</v>
      </c>
      <c r="AD191" s="17" t="n">
        <f aca="false">IF(COUNTIFS(Clips!$F:$F,$B191,Clips!$M:$M,"&gt;0",Clips!$C:$C,"&lt;&gt;excluded")=0,"",AVERAGEIFS(Clips!$M:$M,Clips!$F:$F,$B191,Clips!$M:$M,"&gt;0",Clips!$C:$C,"&lt;&gt;excluded"))</f>
        <v>3.25</v>
      </c>
      <c r="AE191" s="15" t="n">
        <f aca="false">COUNTIFS(Clips!$F:$F,$B191,Clips!$O:$O,"&lt;&gt;",Clips!$B:$B,"&lt;&gt;site",Clips!$C:$C,"&lt;&gt;excluded")</f>
        <v>1</v>
      </c>
      <c r="AF191" s="15" t="n">
        <f aca="false">COUNTIFS(Clips!$F:$F,$B191,Clips!$I:$I,"&lt;5",Clips!$C:$C,"&lt;&gt;excluded")</f>
        <v>0</v>
      </c>
      <c r="AG191" s="5"/>
    </row>
    <row r="192" customFormat="false" ht="15" hidden="false" customHeight="false" outlineLevel="0" collapsed="false">
      <c r="A192" s="15" t="n">
        <v>206</v>
      </c>
      <c r="B192" s="15" t="s">
        <v>731</v>
      </c>
      <c r="C192" s="15" t="s">
        <v>732</v>
      </c>
      <c r="D192" s="15" t="s">
        <v>733</v>
      </c>
      <c r="E192" s="15" t="s">
        <v>147</v>
      </c>
      <c r="F192" s="15" t="s">
        <v>400</v>
      </c>
      <c r="G192" s="15" t="str">
        <f aca="false">IF(AND($E192="bird",$K192&gt;0),"yes","")</f>
        <v/>
      </c>
      <c r="H192" s="15"/>
      <c r="I192" s="15" t="str">
        <f aca="false">IF($E192="bird",IF(COUNTIF('eBird List'!$A:$A,$B192)&gt;0,"yes","no"),"")</f>
        <v>yes</v>
      </c>
      <c r="J192" s="16" t="n">
        <f aca="false">IF(COUNTIF('eBird List'!$A:$A,$B192)=0,"",INDEX('eBird List'!$C:$C,MATCH($B192,'eBird List'!$A:$A,0)))</f>
        <v>0.00226352156302121</v>
      </c>
      <c r="K192" s="15" t="n">
        <f aca="false">COUNTIFS(Clips!$B:$B,"site",Clips!$F:$F,$B192)+COUNTIFS(Clips!$B:$B,"site",Clips!$O:$O,"*"&amp;$B192&amp;"*")</f>
        <v>0</v>
      </c>
      <c r="L192" s="15" t="n">
        <f aca="false">COUNTIFS(Clips!$F:$F,$B192,Clips!$B:$B,"macaulay")</f>
        <v>2</v>
      </c>
      <c r="M192" s="15" t="n">
        <f aca="false">COUNTIFS(Clips!$F:$F,$B192,Clips!$B:$B,"xeno-canto")</f>
        <v>0</v>
      </c>
      <c r="N192" s="15" t="n">
        <f aca="false">K192+L192+M192</f>
        <v>2</v>
      </c>
      <c r="O192" s="15" t="n">
        <f aca="false">COUNTIFS(Clips!$F:$F,$B192,Clips!$C:$C,"excluded")</f>
        <v>0</v>
      </c>
      <c r="P192" s="15" t="n">
        <f aca="false">COUNTIFS(Clips!$F:$F,$B192,Clips!$C:$C,"train")</f>
        <v>1</v>
      </c>
      <c r="Q192" s="15" t="n">
        <f aca="false">COUNTIFS(Clips!$F:$F,$B192,Clips!$C:$C,"val")</f>
        <v>0</v>
      </c>
      <c r="R192" s="15" t="n">
        <f aca="false">COUNTIFS(Clips!$F:$F,$B192,Clips!$C:$C,"test")</f>
        <v>1</v>
      </c>
      <c r="S192" s="17" t="n">
        <f aca="false">SUMIFS(Clips!$I:$I,Clips!$F:$F,$B192,Clips!$C:$C,"train")/60</f>
        <v>4.57778333333333</v>
      </c>
      <c r="T192" s="17" t="n">
        <f aca="false">SUMIFS(Clips!$I:$I,Clips!$F:$F,$B192,Clips!$C:$C,"val")/60</f>
        <v>0</v>
      </c>
      <c r="U192" s="17" t="n">
        <f aca="false">SUMIFS(Clips!$I:$I,Clips!$F:$F,$B192,Clips!$C:$C,"test")/60</f>
        <v>2.60781666666667</v>
      </c>
      <c r="V192" s="15" t="n">
        <f aca="false">SUMIFS(Clips!$J:$J,Clips!$F:$F,$B192,Clips!$C:$C,"train")</f>
        <v>55</v>
      </c>
      <c r="W192" s="18" t="n">
        <f aca="false">IF(V192=0,"",Splits!$B$49/(Splits!$B$50*V192))</f>
        <v>2.83319039451115</v>
      </c>
      <c r="X192" s="15" t="str">
        <f aca="false">IF(P192&gt;0,IF(AND(Q192&gt;0,R192&gt;0),"train + val + test",IF(R192&gt;0,"train + test","train only")),IF(R192&gt;0,"test only (unknown class)",IF(K192&gt;0,"site extract only","no usable audio")))</f>
        <v>train + test</v>
      </c>
      <c r="Y192" s="15" t="str">
        <f aca="false">IF($P192=0,"",IF($E192="nonbird",$B192,IF($G192="yes",$B192,"other bird")))</f>
        <v>other bird</v>
      </c>
      <c r="Z192" s="15" t="str">
        <f aca="false">IF(AND($F192="core",$P192&gt;0),$B192,"")</f>
        <v/>
      </c>
      <c r="AA192" s="15" t="str">
        <f aca="false">IF($P192&gt;0,$B192,"")</f>
        <v>Tawny-faced Gnatwren</v>
      </c>
      <c r="AB192" s="15" t="n">
        <v>2</v>
      </c>
      <c r="AC192" s="15" t="n">
        <v>2</v>
      </c>
      <c r="AD192" s="17" t="n">
        <f aca="false">IF(COUNTIFS(Clips!$F:$F,$B192,Clips!$M:$M,"&gt;0",Clips!$C:$C,"&lt;&gt;excluded")=0,"",AVERAGEIFS(Clips!$M:$M,Clips!$F:$F,$B192,Clips!$M:$M,"&gt;0",Clips!$C:$C,"&lt;&gt;excluded"))</f>
        <v>4</v>
      </c>
      <c r="AE192" s="15" t="n">
        <f aca="false">COUNTIFS(Clips!$F:$F,$B192,Clips!$O:$O,"&lt;&gt;",Clips!$B:$B,"&lt;&gt;site",Clips!$C:$C,"&lt;&gt;excluded")</f>
        <v>0</v>
      </c>
      <c r="AF192" s="15" t="n">
        <f aca="false">COUNTIFS(Clips!$F:$F,$B192,Clips!$I:$I,"&lt;5",Clips!$C:$C,"&lt;&gt;excluded")</f>
        <v>0</v>
      </c>
      <c r="AG192" s="5"/>
    </row>
    <row r="193" customFormat="false" ht="15" hidden="false" customHeight="false" outlineLevel="0" collapsed="false">
      <c r="A193" s="15" t="n">
        <v>212</v>
      </c>
      <c r="B193" s="15" t="s">
        <v>734</v>
      </c>
      <c r="C193" s="15" t="s">
        <v>735</v>
      </c>
      <c r="D193" s="15" t="s">
        <v>736</v>
      </c>
      <c r="E193" s="15" t="s">
        <v>147</v>
      </c>
      <c r="F193" s="15" t="s">
        <v>400</v>
      </c>
      <c r="G193" s="15" t="str">
        <f aca="false">IF(AND($E193="bird",$K193&gt;0),"yes","")</f>
        <v/>
      </c>
      <c r="H193" s="15"/>
      <c r="I193" s="15" t="str">
        <f aca="false">IF($E193="bird",IF(COUNTIF('eBird List'!$A:$A,$B193)&gt;0,"yes","no"),"")</f>
        <v>yes</v>
      </c>
      <c r="J193" s="16" t="n">
        <f aca="false">IF(COUNTIF('eBird List'!$A:$A,$B193)=0,"",INDEX('eBird List'!$C:$C,MATCH($B193,'eBird List'!$A:$A,0)))</f>
        <v>0.0126280676673815</v>
      </c>
      <c r="K193" s="15" t="n">
        <f aca="false">COUNTIFS(Clips!$B:$B,"site",Clips!$F:$F,$B193)+COUNTIFS(Clips!$B:$B,"site",Clips!$O:$O,"*"&amp;$B193&amp;"*")</f>
        <v>0</v>
      </c>
      <c r="L193" s="15" t="n">
        <f aca="false">COUNTIFS(Clips!$F:$F,$B193,Clips!$B:$B,"macaulay")</f>
        <v>2</v>
      </c>
      <c r="M193" s="15" t="n">
        <f aca="false">COUNTIFS(Clips!$F:$F,$B193,Clips!$B:$B,"xeno-canto")</f>
        <v>0</v>
      </c>
      <c r="N193" s="15" t="n">
        <f aca="false">K193+L193+M193</f>
        <v>2</v>
      </c>
      <c r="O193" s="15" t="n">
        <f aca="false">COUNTIFS(Clips!$F:$F,$B193,Clips!$C:$C,"excluded")</f>
        <v>0</v>
      </c>
      <c r="P193" s="15" t="n">
        <f aca="false">COUNTIFS(Clips!$F:$F,$B193,Clips!$C:$C,"train")</f>
        <v>1</v>
      </c>
      <c r="Q193" s="15" t="n">
        <f aca="false">COUNTIFS(Clips!$F:$F,$B193,Clips!$C:$C,"val")</f>
        <v>0</v>
      </c>
      <c r="R193" s="15" t="n">
        <f aca="false">COUNTIFS(Clips!$F:$F,$B193,Clips!$C:$C,"test")</f>
        <v>1</v>
      </c>
      <c r="S193" s="17" t="n">
        <f aca="false">SUMIFS(Clips!$I:$I,Clips!$F:$F,$B193,Clips!$C:$C,"train")/60</f>
        <v>0.414933333333333</v>
      </c>
      <c r="T193" s="17" t="n">
        <f aca="false">SUMIFS(Clips!$I:$I,Clips!$F:$F,$B193,Clips!$C:$C,"val")/60</f>
        <v>0</v>
      </c>
      <c r="U193" s="17" t="n">
        <f aca="false">SUMIFS(Clips!$I:$I,Clips!$F:$F,$B193,Clips!$C:$C,"test")/60</f>
        <v>0.12</v>
      </c>
      <c r="V193" s="15" t="n">
        <f aca="false">SUMIFS(Clips!$J:$J,Clips!$F:$F,$B193,Clips!$C:$C,"train")</f>
        <v>5</v>
      </c>
      <c r="W193" s="18" t="n">
        <f aca="false">IF(V193=0,"",Splits!$B$49/(Splits!$B$50*V193))</f>
        <v>31.1650943396226</v>
      </c>
      <c r="X193" s="15" t="str">
        <f aca="false">IF(P193&gt;0,IF(AND(Q193&gt;0,R193&gt;0),"train + val + test",IF(R193&gt;0,"train + test","train only")),IF(R193&gt;0,"test only (unknown class)",IF(K193&gt;0,"site extract only","no usable audio")))</f>
        <v>train + test</v>
      </c>
      <c r="Y193" s="15" t="str">
        <f aca="false">IF($P193=0,"",IF($E193="nonbird",$B193,IF($G193="yes",$B193,"other bird")))</f>
        <v>other bird</v>
      </c>
      <c r="Z193" s="15" t="str">
        <f aca="false">IF(AND($F193="core",$P193&gt;0),$B193,"")</f>
        <v/>
      </c>
      <c r="AA193" s="15" t="str">
        <f aca="false">IF($P193&gt;0,$B193,"")</f>
        <v>Uniform Crake</v>
      </c>
      <c r="AB193" s="15" t="n">
        <v>2</v>
      </c>
      <c r="AC193" s="15" t="n">
        <v>2</v>
      </c>
      <c r="AD193" s="17" t="n">
        <f aca="false">IF(COUNTIFS(Clips!$F:$F,$B193,Clips!$M:$M,"&gt;0",Clips!$C:$C,"&lt;&gt;excluded")=0,"",AVERAGEIFS(Clips!$M:$M,Clips!$F:$F,$B193,Clips!$M:$M,"&gt;0",Clips!$C:$C,"&lt;&gt;excluded"))</f>
        <v>3</v>
      </c>
      <c r="AE193" s="15" t="n">
        <f aca="false">COUNTIFS(Clips!$F:$F,$B193,Clips!$O:$O,"&lt;&gt;",Clips!$B:$B,"&lt;&gt;site",Clips!$C:$C,"&lt;&gt;excluded")</f>
        <v>0</v>
      </c>
      <c r="AF193" s="15" t="n">
        <f aca="false">COUNTIFS(Clips!$F:$F,$B193,Clips!$I:$I,"&lt;5",Clips!$C:$C,"&lt;&gt;excluded")</f>
        <v>0</v>
      </c>
      <c r="AG193" s="5"/>
    </row>
    <row r="194" customFormat="false" ht="15" hidden="false" customHeight="false" outlineLevel="0" collapsed="false">
      <c r="A194" s="15" t="n">
        <v>218</v>
      </c>
      <c r="B194" s="15" t="s">
        <v>737</v>
      </c>
      <c r="C194" s="15" t="s">
        <v>738</v>
      </c>
      <c r="D194" s="15" t="s">
        <v>739</v>
      </c>
      <c r="E194" s="15" t="s">
        <v>147</v>
      </c>
      <c r="F194" s="15" t="s">
        <v>400</v>
      </c>
      <c r="G194" s="15" t="str">
        <f aca="false">IF(AND($E194="bird",$K194&gt;0),"yes","")</f>
        <v/>
      </c>
      <c r="H194" s="15"/>
      <c r="I194" s="15" t="str">
        <f aca="false">IF($E194="bird",IF(COUNTIF('eBird List'!$A:$A,$B194)&gt;0,"yes","no"),"")</f>
        <v>yes</v>
      </c>
      <c r="J194" s="16" t="n">
        <f aca="false">IF(COUNTIF('eBird List'!$A:$A,$B194)=0,"",INDEX('eBird List'!$C:$C,MATCH($B194,'eBird List'!$A:$A,0)))</f>
        <v>0.102632832975935</v>
      </c>
      <c r="K194" s="15" t="n">
        <f aca="false">COUNTIFS(Clips!$B:$B,"site",Clips!$F:$F,$B194)+COUNTIFS(Clips!$B:$B,"site",Clips!$O:$O,"*"&amp;$B194&amp;"*")</f>
        <v>0</v>
      </c>
      <c r="L194" s="15" t="n">
        <f aca="false">COUNTIFS(Clips!$F:$F,$B194,Clips!$B:$B,"macaulay")</f>
        <v>2</v>
      </c>
      <c r="M194" s="15" t="n">
        <f aca="false">COUNTIFS(Clips!$F:$F,$B194,Clips!$B:$B,"xeno-canto")</f>
        <v>0</v>
      </c>
      <c r="N194" s="15" t="n">
        <f aca="false">K194+L194+M194</f>
        <v>2</v>
      </c>
      <c r="O194" s="15" t="n">
        <f aca="false">COUNTIFS(Clips!$F:$F,$B194,Clips!$C:$C,"excluded")</f>
        <v>0</v>
      </c>
      <c r="P194" s="15" t="n">
        <f aca="false">COUNTIFS(Clips!$F:$F,$B194,Clips!$C:$C,"train")</f>
        <v>1</v>
      </c>
      <c r="Q194" s="15" t="n">
        <f aca="false">COUNTIFS(Clips!$F:$F,$B194,Clips!$C:$C,"val")</f>
        <v>0</v>
      </c>
      <c r="R194" s="15" t="n">
        <f aca="false">COUNTIFS(Clips!$F:$F,$B194,Clips!$C:$C,"test")</f>
        <v>1</v>
      </c>
      <c r="S194" s="17" t="n">
        <f aca="false">SUMIFS(Clips!$I:$I,Clips!$F:$F,$B194,Clips!$C:$C,"train")/60</f>
        <v>0.145233333333333</v>
      </c>
      <c r="T194" s="17" t="n">
        <f aca="false">SUMIFS(Clips!$I:$I,Clips!$F:$F,$B194,Clips!$C:$C,"val")/60</f>
        <v>0</v>
      </c>
      <c r="U194" s="17" t="n">
        <f aca="false">SUMIFS(Clips!$I:$I,Clips!$F:$F,$B194,Clips!$C:$C,"test")/60</f>
        <v>0.291983333333333</v>
      </c>
      <c r="V194" s="15" t="n">
        <f aca="false">SUMIFS(Clips!$J:$J,Clips!$F:$F,$B194,Clips!$C:$C,"train")</f>
        <v>2</v>
      </c>
      <c r="W194" s="18" t="n">
        <f aca="false">IF(V194=0,"",Splits!$B$49/(Splits!$B$50*V194))</f>
        <v>77.9127358490566</v>
      </c>
      <c r="X194" s="15" t="str">
        <f aca="false">IF(P194&gt;0,IF(AND(Q194&gt;0,R194&gt;0),"train + val + test",IF(R194&gt;0,"train + test","train only")),IF(R194&gt;0,"test only (unknown class)",IF(K194&gt;0,"site extract only","no usable audio")))</f>
        <v>train + test</v>
      </c>
      <c r="Y194" s="15" t="str">
        <f aca="false">IF($P194=0,"",IF($E194="nonbird",$B194,IF($G194="yes",$B194,"other bird")))</f>
        <v>other bird</v>
      </c>
      <c r="Z194" s="15" t="str">
        <f aca="false">IF(AND($F194="core",$P194&gt;0),$B194,"")</f>
        <v/>
      </c>
      <c r="AA194" s="15" t="str">
        <f aca="false">IF($P194&gt;0,$B194,"")</f>
        <v>White-browed Gnatcatcher</v>
      </c>
      <c r="AB194" s="15" t="n">
        <v>2</v>
      </c>
      <c r="AC194" s="15" t="n">
        <v>2</v>
      </c>
      <c r="AD194" s="17" t="n">
        <f aca="false">IF(COUNTIFS(Clips!$F:$F,$B194,Clips!$M:$M,"&gt;0",Clips!$C:$C,"&lt;&gt;excluded")=0,"",AVERAGEIFS(Clips!$M:$M,Clips!$F:$F,$B194,Clips!$M:$M,"&gt;0",Clips!$C:$C,"&lt;&gt;excluded"))</f>
        <v>2</v>
      </c>
      <c r="AE194" s="15" t="n">
        <f aca="false">COUNTIFS(Clips!$F:$F,$B194,Clips!$O:$O,"&lt;&gt;",Clips!$B:$B,"&lt;&gt;site",Clips!$C:$C,"&lt;&gt;excluded")</f>
        <v>0</v>
      </c>
      <c r="AF194" s="15" t="n">
        <f aca="false">COUNTIFS(Clips!$F:$F,$B194,Clips!$I:$I,"&lt;5",Clips!$C:$C,"&lt;&gt;excluded")</f>
        <v>0</v>
      </c>
      <c r="AG194" s="5"/>
    </row>
    <row r="195" customFormat="false" ht="15" hidden="false" customHeight="false" outlineLevel="0" collapsed="false">
      <c r="A195" s="15" t="n">
        <v>227</v>
      </c>
      <c r="B195" s="15" t="s">
        <v>740</v>
      </c>
      <c r="C195" s="15" t="s">
        <v>741</v>
      </c>
      <c r="D195" s="15" t="s">
        <v>742</v>
      </c>
      <c r="E195" s="15" t="s">
        <v>147</v>
      </c>
      <c r="F195" s="15" t="s">
        <v>714</v>
      </c>
      <c r="G195" s="15" t="str">
        <f aca="false">IF(AND($E195="bird",$K195&gt;0),"yes","")</f>
        <v/>
      </c>
      <c r="H195" s="15"/>
      <c r="I195" s="15" t="str">
        <f aca="false">IF($E195="bird",IF(COUNTIF('eBird List'!$A:$A,$B195)&gt;0,"yes","no"),"")</f>
        <v>yes</v>
      </c>
      <c r="J195" s="16" t="n">
        <f aca="false">IF(COUNTIF('eBird List'!$A:$A,$B195)=0,"",INDEX('eBird List'!$C:$C,MATCH($B195,'eBird List'!$A:$A,0)))</f>
        <v>0.0249583035501549</v>
      </c>
      <c r="K195" s="15" t="n">
        <f aca="false">COUNTIFS(Clips!$B:$B,"site",Clips!$F:$F,$B195)+COUNTIFS(Clips!$B:$B,"site",Clips!$O:$O,"*"&amp;$B195&amp;"*")</f>
        <v>0</v>
      </c>
      <c r="L195" s="15" t="n">
        <f aca="false">COUNTIFS(Clips!$F:$F,$B195,Clips!$B:$B,"macaulay")</f>
        <v>2</v>
      </c>
      <c r="M195" s="15" t="n">
        <f aca="false">COUNTIFS(Clips!$F:$F,$B195,Clips!$B:$B,"xeno-canto")</f>
        <v>0</v>
      </c>
      <c r="N195" s="15" t="n">
        <f aca="false">K195+L195+M195</f>
        <v>2</v>
      </c>
      <c r="O195" s="15" t="n">
        <f aca="false">COUNTIFS(Clips!$F:$F,$B195,Clips!$C:$C,"excluded")</f>
        <v>0</v>
      </c>
      <c r="P195" s="15" t="n">
        <f aca="false">COUNTIFS(Clips!$F:$F,$B195,Clips!$C:$C,"train")</f>
        <v>2</v>
      </c>
      <c r="Q195" s="15" t="n">
        <f aca="false">COUNTIFS(Clips!$F:$F,$B195,Clips!$C:$C,"val")</f>
        <v>0</v>
      </c>
      <c r="R195" s="15" t="n">
        <f aca="false">COUNTIFS(Clips!$F:$F,$B195,Clips!$C:$C,"test")</f>
        <v>0</v>
      </c>
      <c r="S195" s="17" t="n">
        <f aca="false">SUMIFS(Clips!$I:$I,Clips!$F:$F,$B195,Clips!$C:$C,"train")/60</f>
        <v>0.667733333333333</v>
      </c>
      <c r="T195" s="17" t="n">
        <f aca="false">SUMIFS(Clips!$I:$I,Clips!$F:$F,$B195,Clips!$C:$C,"val")/60</f>
        <v>0</v>
      </c>
      <c r="U195" s="17" t="n">
        <f aca="false">SUMIFS(Clips!$I:$I,Clips!$F:$F,$B195,Clips!$C:$C,"test")/60</f>
        <v>0</v>
      </c>
      <c r="V195" s="15" t="n">
        <f aca="false">SUMIFS(Clips!$J:$J,Clips!$F:$F,$B195,Clips!$C:$C,"train")</f>
        <v>9</v>
      </c>
      <c r="W195" s="18" t="n">
        <f aca="false">IF(V195=0,"",Splits!$B$49/(Splits!$B$50*V195))</f>
        <v>17.3139412997904</v>
      </c>
      <c r="X195" s="15" t="str">
        <f aca="false">IF(P195&gt;0,IF(AND(Q195&gt;0,R195&gt;0),"train + val + test",IF(R195&gt;0,"train + test","train only")),IF(R195&gt;0,"test only (unknown class)",IF(K195&gt;0,"site extract only","no usable audio")))</f>
        <v>train only</v>
      </c>
      <c r="Y195" s="15" t="str">
        <f aca="false">IF($P195=0,"",IF($E195="nonbird",$B195,IF($G195="yes",$B195,"other bird")))</f>
        <v>other bird</v>
      </c>
      <c r="Z195" s="15" t="str">
        <f aca="false">IF(AND($F195="core",$P195&gt;0),$B195,"")</f>
        <v/>
      </c>
      <c r="AA195" s="15" t="str">
        <f aca="false">IF($P195&gt;0,$B195,"")</f>
        <v>White-shouldered Tanager</v>
      </c>
      <c r="AB195" s="15" t="n">
        <v>1</v>
      </c>
      <c r="AC195" s="15" t="n">
        <v>1</v>
      </c>
      <c r="AD195" s="17" t="str">
        <f aca="false">IF(COUNTIFS(Clips!$F:$F,$B195,Clips!$M:$M,"&gt;0",Clips!$C:$C,"&lt;&gt;excluded")=0,"",AVERAGEIFS(Clips!$M:$M,Clips!$F:$F,$B195,Clips!$M:$M,"&gt;0",Clips!$C:$C,"&lt;&gt;excluded"))</f>
        <v/>
      </c>
      <c r="AE195" s="15" t="n">
        <f aca="false">COUNTIFS(Clips!$F:$F,$B195,Clips!$O:$O,"&lt;&gt;",Clips!$B:$B,"&lt;&gt;site",Clips!$C:$C,"&lt;&gt;excluded")</f>
        <v>0</v>
      </c>
      <c r="AF195" s="15" t="n">
        <f aca="false">COUNTIFS(Clips!$F:$F,$B195,Clips!$I:$I,"&lt;5",Clips!$C:$C,"&lt;&gt;excluded")</f>
        <v>0</v>
      </c>
      <c r="AG195" s="5"/>
    </row>
    <row r="196" customFormat="false" ht="15" hidden="false" customHeight="false" outlineLevel="0" collapsed="false">
      <c r="A196" s="15" t="n">
        <v>232</v>
      </c>
      <c r="B196" s="15" t="s">
        <v>743</v>
      </c>
      <c r="C196" s="15" t="s">
        <v>744</v>
      </c>
      <c r="D196" s="15" t="s">
        <v>745</v>
      </c>
      <c r="E196" s="15" t="s">
        <v>147</v>
      </c>
      <c r="F196" s="15" t="s">
        <v>400</v>
      </c>
      <c r="G196" s="15" t="str">
        <f aca="false">IF(AND($E196="bird",$K196&gt;0),"yes","")</f>
        <v/>
      </c>
      <c r="H196" s="15"/>
      <c r="I196" s="15" t="str">
        <f aca="false">IF($E196="bird",IF(COUNTIF('eBird List'!$A:$A,$B196)&gt;0,"yes","no"),"")</f>
        <v>yes</v>
      </c>
      <c r="J196" s="16" t="n">
        <f aca="false">IF(COUNTIF('eBird List'!$A:$A,$B196)=0,"",INDEX('eBird List'!$C:$C,MATCH($B196,'eBird List'!$A:$A,0)))</f>
        <v>0.181975220395521</v>
      </c>
      <c r="K196" s="15" t="n">
        <f aca="false">COUNTIFS(Clips!$B:$B,"site",Clips!$F:$F,$B196)+COUNTIFS(Clips!$B:$B,"site",Clips!$O:$O,"*"&amp;$B196&amp;"*")</f>
        <v>0</v>
      </c>
      <c r="L196" s="15" t="n">
        <f aca="false">COUNTIFS(Clips!$F:$F,$B196,Clips!$B:$B,"macaulay")</f>
        <v>2</v>
      </c>
      <c r="M196" s="15" t="n">
        <f aca="false">COUNTIFS(Clips!$F:$F,$B196,Clips!$B:$B,"xeno-canto")</f>
        <v>0</v>
      </c>
      <c r="N196" s="15" t="n">
        <f aca="false">K196+L196+M196</f>
        <v>2</v>
      </c>
      <c r="O196" s="15" t="n">
        <f aca="false">COUNTIFS(Clips!$F:$F,$B196,Clips!$C:$C,"excluded")</f>
        <v>0</v>
      </c>
      <c r="P196" s="15" t="n">
        <f aca="false">COUNTIFS(Clips!$F:$F,$B196,Clips!$C:$C,"train")</f>
        <v>1</v>
      </c>
      <c r="Q196" s="15" t="n">
        <f aca="false">COUNTIFS(Clips!$F:$F,$B196,Clips!$C:$C,"val")</f>
        <v>0</v>
      </c>
      <c r="R196" s="15" t="n">
        <f aca="false">COUNTIFS(Clips!$F:$F,$B196,Clips!$C:$C,"test")</f>
        <v>1</v>
      </c>
      <c r="S196" s="17" t="n">
        <f aca="false">SUMIFS(Clips!$I:$I,Clips!$F:$F,$B196,Clips!$C:$C,"train")/60</f>
        <v>0.4107</v>
      </c>
      <c r="T196" s="17" t="n">
        <f aca="false">SUMIFS(Clips!$I:$I,Clips!$F:$F,$B196,Clips!$C:$C,"val")/60</f>
        <v>0</v>
      </c>
      <c r="U196" s="17" t="n">
        <f aca="false">SUMIFS(Clips!$I:$I,Clips!$F:$F,$B196,Clips!$C:$C,"test")/60</f>
        <v>0.9319</v>
      </c>
      <c r="V196" s="15" t="n">
        <f aca="false">SUMIFS(Clips!$J:$J,Clips!$F:$F,$B196,Clips!$C:$C,"train")</f>
        <v>5</v>
      </c>
      <c r="W196" s="18" t="n">
        <f aca="false">IF(V196=0,"",Splits!$B$49/(Splits!$B$50*V196))</f>
        <v>31.1650943396226</v>
      </c>
      <c r="X196" s="15" t="str">
        <f aca="false">IF(P196&gt;0,IF(AND(Q196&gt;0,R196&gt;0),"train + val + test",IF(R196&gt;0,"train + test","train only")),IF(R196&gt;0,"test only (unknown class)",IF(K196&gt;0,"site extract only","no usable audio")))</f>
        <v>train + test</v>
      </c>
      <c r="Y196" s="15" t="str">
        <f aca="false">IF($P196=0,"",IF($E196="nonbird",$B196,IF($G196="yes",$B196,"other bird")))</f>
        <v>other bird</v>
      </c>
      <c r="Z196" s="15" t="str">
        <f aca="false">IF(AND($F196="core",$P196&gt;0),$B196,"")</f>
        <v/>
      </c>
      <c r="AA196" s="15" t="str">
        <f aca="false">IF($P196&gt;0,$B196,"")</f>
        <v>White-tipped Dove</v>
      </c>
      <c r="AB196" s="15" t="n">
        <v>2</v>
      </c>
      <c r="AC196" s="15" t="n">
        <v>2</v>
      </c>
      <c r="AD196" s="17" t="n">
        <f aca="false">IF(COUNTIFS(Clips!$F:$F,$B196,Clips!$M:$M,"&gt;0",Clips!$C:$C,"&lt;&gt;excluded")=0,"",AVERAGEIFS(Clips!$M:$M,Clips!$F:$F,$B196,Clips!$M:$M,"&gt;0",Clips!$C:$C,"&lt;&gt;excluded"))</f>
        <v>3.5</v>
      </c>
      <c r="AE196" s="15" t="n">
        <f aca="false">COUNTIFS(Clips!$F:$F,$B196,Clips!$O:$O,"&lt;&gt;",Clips!$B:$B,"&lt;&gt;site",Clips!$C:$C,"&lt;&gt;excluded")</f>
        <v>1</v>
      </c>
      <c r="AF196" s="15" t="n">
        <f aca="false">COUNTIFS(Clips!$F:$F,$B196,Clips!$I:$I,"&lt;5",Clips!$C:$C,"&lt;&gt;excluded")</f>
        <v>0</v>
      </c>
      <c r="AG196" s="5"/>
    </row>
    <row r="197" customFormat="false" ht="15" hidden="false" customHeight="false" outlineLevel="0" collapsed="false">
      <c r="A197" s="15" t="n">
        <v>234</v>
      </c>
      <c r="B197" s="15" t="s">
        <v>746</v>
      </c>
      <c r="C197" s="15" t="s">
        <v>747</v>
      </c>
      <c r="D197" s="15" t="s">
        <v>748</v>
      </c>
      <c r="E197" s="15" t="s">
        <v>147</v>
      </c>
      <c r="F197" s="15" t="s">
        <v>400</v>
      </c>
      <c r="G197" s="15" t="str">
        <f aca="false">IF(AND($E197="bird",$K197&gt;0),"yes","")</f>
        <v/>
      </c>
      <c r="H197" s="15"/>
      <c r="I197" s="15" t="str">
        <f aca="false">IF($E197="bird",IF(COUNTIF('eBird List'!$A:$A,$B197)&gt;0,"yes","no"),"")</f>
        <v>yes</v>
      </c>
      <c r="J197" s="16" t="n">
        <f aca="false">IF(COUNTIF('eBird List'!$A:$A,$B197)=0,"",INDEX('eBird List'!$C:$C,MATCH($B197,'eBird List'!$A:$A,0)))</f>
        <v>0.0195377650702883</v>
      </c>
      <c r="K197" s="15" t="n">
        <f aca="false">COUNTIFS(Clips!$B:$B,"site",Clips!$F:$F,$B197)+COUNTIFS(Clips!$B:$B,"site",Clips!$O:$O,"*"&amp;$B197&amp;"*")</f>
        <v>0</v>
      </c>
      <c r="L197" s="15" t="n">
        <f aca="false">COUNTIFS(Clips!$F:$F,$B197,Clips!$B:$B,"macaulay")</f>
        <v>2</v>
      </c>
      <c r="M197" s="15" t="n">
        <f aca="false">COUNTIFS(Clips!$F:$F,$B197,Clips!$B:$B,"xeno-canto")</f>
        <v>0</v>
      </c>
      <c r="N197" s="15" t="n">
        <f aca="false">K197+L197+M197</f>
        <v>2</v>
      </c>
      <c r="O197" s="15" t="n">
        <f aca="false">COUNTIFS(Clips!$F:$F,$B197,Clips!$C:$C,"excluded")</f>
        <v>0</v>
      </c>
      <c r="P197" s="15" t="n">
        <f aca="false">COUNTIFS(Clips!$F:$F,$B197,Clips!$C:$C,"train")</f>
        <v>1</v>
      </c>
      <c r="Q197" s="15" t="n">
        <f aca="false">COUNTIFS(Clips!$F:$F,$B197,Clips!$C:$C,"val")</f>
        <v>0</v>
      </c>
      <c r="R197" s="15" t="n">
        <f aca="false">COUNTIFS(Clips!$F:$F,$B197,Clips!$C:$C,"test")</f>
        <v>1</v>
      </c>
      <c r="S197" s="17" t="n">
        <f aca="false">SUMIFS(Clips!$I:$I,Clips!$F:$F,$B197,Clips!$C:$C,"train")/60</f>
        <v>5.92775</v>
      </c>
      <c r="T197" s="17" t="n">
        <f aca="false">SUMIFS(Clips!$I:$I,Clips!$F:$F,$B197,Clips!$C:$C,"val")/60</f>
        <v>0</v>
      </c>
      <c r="U197" s="17" t="n">
        <f aca="false">SUMIFS(Clips!$I:$I,Clips!$F:$F,$B197,Clips!$C:$C,"test")/60</f>
        <v>1.11561666666667</v>
      </c>
      <c r="V197" s="15" t="n">
        <f aca="false">SUMIFS(Clips!$J:$J,Clips!$F:$F,$B197,Clips!$C:$C,"train")</f>
        <v>72</v>
      </c>
      <c r="W197" s="18" t="n">
        <f aca="false">IF(V197=0,"",Splits!$B$49/(Splits!$B$50*V197))</f>
        <v>2.16424266247379</v>
      </c>
      <c r="X197" s="15" t="str">
        <f aca="false">IF(P197&gt;0,IF(AND(Q197&gt;0,R197&gt;0),"train + val + test",IF(R197&gt;0,"train + test","train only")),IF(R197&gt;0,"test only (unknown class)",IF(K197&gt;0,"site extract only","no usable audio")))</f>
        <v>train + test</v>
      </c>
      <c r="Y197" s="15" t="str">
        <f aca="false">IF($P197=0,"",IF($E197="nonbird",$B197,IF($G197="yes",$B197,"other bird")))</f>
        <v>other bird</v>
      </c>
      <c r="Z197" s="15" t="str">
        <f aca="false">IF(AND($F197="core",$P197&gt;0),$B197,"")</f>
        <v/>
      </c>
      <c r="AA197" s="15" t="str">
        <f aca="false">IF($P197&gt;0,$B197,"")</f>
        <v>White-winged Becard</v>
      </c>
      <c r="AB197" s="15" t="n">
        <v>2</v>
      </c>
      <c r="AC197" s="15" t="n">
        <v>1</v>
      </c>
      <c r="AD197" s="17" t="n">
        <f aca="false">IF(COUNTIFS(Clips!$F:$F,$B197,Clips!$M:$M,"&gt;0",Clips!$C:$C,"&lt;&gt;excluded")=0,"",AVERAGEIFS(Clips!$M:$M,Clips!$F:$F,$B197,Clips!$M:$M,"&gt;0",Clips!$C:$C,"&lt;&gt;excluded"))</f>
        <v>2</v>
      </c>
      <c r="AE197" s="15" t="n">
        <f aca="false">COUNTIFS(Clips!$F:$F,$B197,Clips!$O:$O,"&lt;&gt;",Clips!$B:$B,"&lt;&gt;site",Clips!$C:$C,"&lt;&gt;excluded")</f>
        <v>0</v>
      </c>
      <c r="AF197" s="15" t="n">
        <f aca="false">COUNTIFS(Clips!$F:$F,$B197,Clips!$I:$I,"&lt;5",Clips!$C:$C,"&lt;&gt;excluded")</f>
        <v>0</v>
      </c>
      <c r="AG197" s="5"/>
    </row>
    <row r="198" customFormat="false" ht="15" hidden="false" customHeight="false" outlineLevel="0" collapsed="false">
      <c r="A198" s="15" t="n">
        <v>244</v>
      </c>
      <c r="B198" s="15" t="s">
        <v>749</v>
      </c>
      <c r="C198" s="15" t="s">
        <v>750</v>
      </c>
      <c r="D198" s="15" t="s">
        <v>751</v>
      </c>
      <c r="E198" s="15" t="s">
        <v>147</v>
      </c>
      <c r="F198" s="15" t="s">
        <v>613</v>
      </c>
      <c r="G198" s="15" t="str">
        <f aca="false">IF(AND($E198="bird",$K198&gt;0),"yes","")</f>
        <v/>
      </c>
      <c r="H198" s="15"/>
      <c r="I198" s="15" t="str">
        <f aca="false">IF($E198="bird",IF(COUNTIF('eBird List'!$A:$A,$B198)&gt;0,"yes","no"),"")</f>
        <v>yes</v>
      </c>
      <c r="J198" s="16" t="n">
        <f aca="false">IF(COUNTIF('eBird List'!$A:$A,$B198)=0,"",INDEX('eBird List'!$C:$C,MATCH($B198,'eBird List'!$A:$A,0)))</f>
        <v>0.0350250178699071</v>
      </c>
      <c r="K198" s="15" t="n">
        <f aca="false">COUNTIFS(Clips!$B:$B,"site",Clips!$F:$F,$B198)+COUNTIFS(Clips!$B:$B,"site",Clips!$O:$O,"*"&amp;$B198&amp;"*")</f>
        <v>0</v>
      </c>
      <c r="L198" s="15" t="n">
        <f aca="false">COUNTIFS(Clips!$F:$F,$B198,Clips!$B:$B,"macaulay")</f>
        <v>1</v>
      </c>
      <c r="M198" s="15" t="n">
        <f aca="false">COUNTIFS(Clips!$F:$F,$B198,Clips!$B:$B,"xeno-canto")</f>
        <v>1</v>
      </c>
      <c r="N198" s="15" t="n">
        <f aca="false">K198+L198+M198</f>
        <v>2</v>
      </c>
      <c r="O198" s="15" t="n">
        <f aca="false">COUNTIFS(Clips!$F:$F,$B198,Clips!$C:$C,"excluded")</f>
        <v>0</v>
      </c>
      <c r="P198" s="15" t="n">
        <f aca="false">COUNTIFS(Clips!$F:$F,$B198,Clips!$C:$C,"train")</f>
        <v>1</v>
      </c>
      <c r="Q198" s="15" t="n">
        <f aca="false">COUNTIFS(Clips!$F:$F,$B198,Clips!$C:$C,"val")</f>
        <v>0</v>
      </c>
      <c r="R198" s="15" t="n">
        <f aca="false">COUNTIFS(Clips!$F:$F,$B198,Clips!$C:$C,"test")</f>
        <v>1</v>
      </c>
      <c r="S198" s="17" t="n">
        <f aca="false">SUMIFS(Clips!$I:$I,Clips!$F:$F,$B198,Clips!$C:$C,"train")/60</f>
        <v>0.6744</v>
      </c>
      <c r="T198" s="17" t="n">
        <f aca="false">SUMIFS(Clips!$I:$I,Clips!$F:$F,$B198,Clips!$C:$C,"val")/60</f>
        <v>0</v>
      </c>
      <c r="U198" s="17" t="n">
        <f aca="false">SUMIFS(Clips!$I:$I,Clips!$F:$F,$B198,Clips!$C:$C,"test")/60</f>
        <v>0.0234166666666667</v>
      </c>
      <c r="V198" s="15" t="n">
        <f aca="false">SUMIFS(Clips!$J:$J,Clips!$F:$F,$B198,Clips!$C:$C,"train")</f>
        <v>9</v>
      </c>
      <c r="W198" s="18" t="n">
        <f aca="false">IF(V198=0,"",Splits!$B$49/(Splits!$B$50*V198))</f>
        <v>17.3139412997904</v>
      </c>
      <c r="X198" s="15" t="str">
        <f aca="false">IF(P198&gt;0,IF(AND(Q198&gt;0,R198&gt;0),"train + val + test",IF(R198&gt;0,"train + test","train only")),IF(R198&gt;0,"test only (unknown class)",IF(K198&gt;0,"site extract only","no usable audio")))</f>
        <v>train + test</v>
      </c>
      <c r="Y198" s="15" t="str">
        <f aca="false">IF($P198=0,"",IF($E198="nonbird",$B198,IF($G198="yes",$B198,"other bird")))</f>
        <v>other bird</v>
      </c>
      <c r="Z198" s="15" t="str">
        <f aca="false">IF(AND($F198="core",$P198&gt;0),$B198,"")</f>
        <v/>
      </c>
      <c r="AA198" s="15" t="str">
        <f aca="false">IF($P198&gt;0,$B198,"")</f>
        <v>Yellow-throated Euphonia</v>
      </c>
      <c r="AB198" s="15" t="n">
        <v>2</v>
      </c>
      <c r="AC198" s="15" t="n">
        <v>2</v>
      </c>
      <c r="AD198" s="17" t="str">
        <f aca="false">IF(COUNTIFS(Clips!$F:$F,$B198,Clips!$M:$M,"&gt;0",Clips!$C:$C,"&lt;&gt;excluded")=0,"",AVERAGEIFS(Clips!$M:$M,Clips!$F:$F,$B198,Clips!$M:$M,"&gt;0",Clips!$C:$C,"&lt;&gt;excluded"))</f>
        <v/>
      </c>
      <c r="AE198" s="15" t="n">
        <f aca="false">COUNTIFS(Clips!$F:$F,$B198,Clips!$O:$O,"&lt;&gt;",Clips!$B:$B,"&lt;&gt;site",Clips!$C:$C,"&lt;&gt;excluded")</f>
        <v>0</v>
      </c>
      <c r="AF198" s="15" t="n">
        <f aca="false">COUNTIFS(Clips!$F:$F,$B198,Clips!$I:$I,"&lt;5",Clips!$C:$C,"&lt;&gt;excluded")</f>
        <v>1</v>
      </c>
      <c r="AG198" s="5"/>
    </row>
    <row r="199" customFormat="false" ht="15" hidden="false" customHeight="false" outlineLevel="0" collapsed="false">
      <c r="A199" s="15" t="n">
        <v>1</v>
      </c>
      <c r="B199" s="15" t="s">
        <v>752</v>
      </c>
      <c r="C199" s="15" t="s">
        <v>753</v>
      </c>
      <c r="D199" s="15" t="s">
        <v>754</v>
      </c>
      <c r="E199" s="15" t="s">
        <v>147</v>
      </c>
      <c r="F199" s="15" t="s">
        <v>613</v>
      </c>
      <c r="G199" s="15" t="str">
        <f aca="false">IF(AND($E199="bird",$K199&gt;0),"yes","")</f>
        <v/>
      </c>
      <c r="H199" s="15"/>
      <c r="I199" s="15" t="str">
        <f aca="false">IF($E199="bird",IF(COUNTIF('eBird List'!$A:$A,$B199)&gt;0,"yes","no"),"")</f>
        <v>yes</v>
      </c>
      <c r="J199" s="16" t="n">
        <f aca="false">IF(COUNTIF('eBird List'!$A:$A,$B199)=0,"",INDEX('eBird List'!$C:$C,MATCH($B199,'eBird List'!$A:$A,0)))</f>
        <v>0.0441684536573743</v>
      </c>
      <c r="K199" s="15" t="n">
        <f aca="false">COUNTIFS(Clips!$B:$B,"site",Clips!$F:$F,$B199)+COUNTIFS(Clips!$B:$B,"site",Clips!$O:$O,"*"&amp;$B199&amp;"*")</f>
        <v>0</v>
      </c>
      <c r="L199" s="15" t="n">
        <f aca="false">COUNTIFS(Clips!$F:$F,$B199,Clips!$B:$B,"macaulay")</f>
        <v>1</v>
      </c>
      <c r="M199" s="15" t="n">
        <f aca="false">COUNTIFS(Clips!$F:$F,$B199,Clips!$B:$B,"xeno-canto")</f>
        <v>0</v>
      </c>
      <c r="N199" s="15" t="n">
        <f aca="false">K199+L199+M199</f>
        <v>1</v>
      </c>
      <c r="O199" s="15" t="n">
        <f aca="false">COUNTIFS(Clips!$F:$F,$B199,Clips!$C:$C,"excluded")</f>
        <v>0</v>
      </c>
      <c r="P199" s="15" t="n">
        <f aca="false">COUNTIFS(Clips!$F:$F,$B199,Clips!$C:$C,"train")</f>
        <v>0</v>
      </c>
      <c r="Q199" s="15" t="n">
        <f aca="false">COUNTIFS(Clips!$F:$F,$B199,Clips!$C:$C,"val")</f>
        <v>0</v>
      </c>
      <c r="R199" s="15" t="n">
        <f aca="false">COUNTIFS(Clips!$F:$F,$B199,Clips!$C:$C,"test")</f>
        <v>1</v>
      </c>
      <c r="S199" s="17" t="n">
        <f aca="false">SUMIFS(Clips!$I:$I,Clips!$F:$F,$B199,Clips!$C:$C,"train")/60</f>
        <v>0</v>
      </c>
      <c r="T199" s="17" t="n">
        <f aca="false">SUMIFS(Clips!$I:$I,Clips!$F:$F,$B199,Clips!$C:$C,"val")/60</f>
        <v>0</v>
      </c>
      <c r="U199" s="17" t="n">
        <f aca="false">SUMIFS(Clips!$I:$I,Clips!$F:$F,$B199,Clips!$C:$C,"test")/60</f>
        <v>2.63466666666667</v>
      </c>
      <c r="V199" s="15" t="n">
        <f aca="false">SUMIFS(Clips!$J:$J,Clips!$F:$F,$B199,Clips!$C:$C,"train")</f>
        <v>0</v>
      </c>
      <c r="W199" s="18" t="str">
        <f aca="false">IF(V199=0,"",Splits!$B$49/(Splits!$B$50*V199))</f>
        <v/>
      </c>
      <c r="X199" s="15" t="str">
        <f aca="false">IF(P199&gt;0,IF(AND(Q199&gt;0,R199&gt;0),"train + val + test",IF(R199&gt;0,"train + test","train only")),IF(R199&gt;0,"test only (unknown class)",IF(K199&gt;0,"site extract only","no usable audio")))</f>
        <v>test only (unknown class)</v>
      </c>
      <c r="Y199" s="15" t="str">
        <f aca="false">IF($P199=0,"",IF($E199="nonbird",$B199,IF($G199="yes",$B199,"other bird")))</f>
        <v/>
      </c>
      <c r="Z199" s="15" t="str">
        <f aca="false">IF(AND($F199="core",$P199&gt;0),$B199,"")</f>
        <v/>
      </c>
      <c r="AA199" s="15" t="str">
        <f aca="false">IF($P199&gt;0,$B199,"")</f>
        <v/>
      </c>
      <c r="AB199" s="15" t="n">
        <v>1</v>
      </c>
      <c r="AC199" s="15" t="n">
        <v>1</v>
      </c>
      <c r="AD199" s="17" t="n">
        <f aca="false">IF(COUNTIFS(Clips!$F:$F,$B199,Clips!$M:$M,"&gt;0",Clips!$C:$C,"&lt;&gt;excluded")=0,"",AVERAGEIFS(Clips!$M:$M,Clips!$F:$F,$B199,Clips!$M:$M,"&gt;0",Clips!$C:$C,"&lt;&gt;excluded"))</f>
        <v>3</v>
      </c>
      <c r="AE199" s="15" t="n">
        <f aca="false">COUNTIFS(Clips!$F:$F,$B199,Clips!$O:$O,"&lt;&gt;",Clips!$B:$B,"&lt;&gt;site",Clips!$C:$C,"&lt;&gt;excluded")</f>
        <v>0</v>
      </c>
      <c r="AF199" s="15" t="n">
        <f aca="false">COUNTIFS(Clips!$F:$F,$B199,Clips!$I:$I,"&lt;5",Clips!$C:$C,"&lt;&gt;excluded")</f>
        <v>0</v>
      </c>
      <c r="AG199" s="5"/>
    </row>
    <row r="200" customFormat="false" ht="15" hidden="false" customHeight="false" outlineLevel="0" collapsed="false">
      <c r="A200" s="15" t="n">
        <v>2</v>
      </c>
      <c r="B200" s="15" t="s">
        <v>755</v>
      </c>
      <c r="C200" s="15" t="s">
        <v>756</v>
      </c>
      <c r="D200" s="15" t="s">
        <v>757</v>
      </c>
      <c r="E200" s="15" t="s">
        <v>147</v>
      </c>
      <c r="F200" s="15" t="s">
        <v>613</v>
      </c>
      <c r="G200" s="15" t="str">
        <f aca="false">IF(AND($E200="bird",$K200&gt;0),"yes","")</f>
        <v/>
      </c>
      <c r="H200" s="15"/>
      <c r="I200" s="15" t="str">
        <f aca="false">IF($E200="bird",IF(COUNTIF('eBird List'!$A:$A,$B200)&gt;0,"yes","no"),"")</f>
        <v>yes</v>
      </c>
      <c r="J200" s="16" t="n">
        <f aca="false">IF(COUNTIF('eBird List'!$A:$A,$B200)=0,"",INDEX('eBird List'!$C:$C,MATCH($B200,'eBird List'!$A:$A,0)))</f>
        <v>0.00661186561829879</v>
      </c>
      <c r="K200" s="15" t="n">
        <f aca="false">COUNTIFS(Clips!$B:$B,"site",Clips!$F:$F,$B200)+COUNTIFS(Clips!$B:$B,"site",Clips!$O:$O,"*"&amp;$B200&amp;"*")</f>
        <v>0</v>
      </c>
      <c r="L200" s="15" t="n">
        <f aca="false">COUNTIFS(Clips!$F:$F,$B200,Clips!$B:$B,"macaulay")</f>
        <v>1</v>
      </c>
      <c r="M200" s="15" t="n">
        <f aca="false">COUNTIFS(Clips!$F:$F,$B200,Clips!$B:$B,"xeno-canto")</f>
        <v>0</v>
      </c>
      <c r="N200" s="15" t="n">
        <f aca="false">K200+L200+M200</f>
        <v>1</v>
      </c>
      <c r="O200" s="15" t="n">
        <f aca="false">COUNTIFS(Clips!$F:$F,$B200,Clips!$C:$C,"excluded")</f>
        <v>0</v>
      </c>
      <c r="P200" s="15" t="n">
        <f aca="false">COUNTIFS(Clips!$F:$F,$B200,Clips!$C:$C,"train")</f>
        <v>0</v>
      </c>
      <c r="Q200" s="15" t="n">
        <f aca="false">COUNTIFS(Clips!$F:$F,$B200,Clips!$C:$C,"val")</f>
        <v>0</v>
      </c>
      <c r="R200" s="15" t="n">
        <f aca="false">COUNTIFS(Clips!$F:$F,$B200,Clips!$C:$C,"test")</f>
        <v>1</v>
      </c>
      <c r="S200" s="17" t="n">
        <f aca="false">SUMIFS(Clips!$I:$I,Clips!$F:$F,$B200,Clips!$C:$C,"train")/60</f>
        <v>0</v>
      </c>
      <c r="T200" s="17" t="n">
        <f aca="false">SUMIFS(Clips!$I:$I,Clips!$F:$F,$B200,Clips!$C:$C,"val")/60</f>
        <v>0</v>
      </c>
      <c r="U200" s="17" t="n">
        <f aca="false">SUMIFS(Clips!$I:$I,Clips!$F:$F,$B200,Clips!$C:$C,"test")/60</f>
        <v>0.1236</v>
      </c>
      <c r="V200" s="15" t="n">
        <f aca="false">SUMIFS(Clips!$J:$J,Clips!$F:$F,$B200,Clips!$C:$C,"train")</f>
        <v>0</v>
      </c>
      <c r="W200" s="18" t="str">
        <f aca="false">IF(V200=0,"",Splits!$B$49/(Splits!$B$50*V200))</f>
        <v/>
      </c>
      <c r="X200" s="15" t="str">
        <f aca="false">IF(P200&gt;0,IF(AND(Q200&gt;0,R200&gt;0),"train + val + test",IF(R200&gt;0,"train + test","train only")),IF(R200&gt;0,"test only (unknown class)",IF(K200&gt;0,"site extract only","no usable audio")))</f>
        <v>test only (unknown class)</v>
      </c>
      <c r="Y200" s="15" t="str">
        <f aca="false">IF($P200=0,"",IF($E200="nonbird",$B200,IF($G200="yes",$B200,"other bird")))</f>
        <v/>
      </c>
      <c r="Z200" s="15" t="str">
        <f aca="false">IF(AND($F200="core",$P200&gt;0),$B200,"")</f>
        <v/>
      </c>
      <c r="AA200" s="15" t="str">
        <f aca="false">IF($P200&gt;0,$B200,"")</f>
        <v/>
      </c>
      <c r="AB200" s="15" t="n">
        <v>1</v>
      </c>
      <c r="AC200" s="15" t="n">
        <v>1</v>
      </c>
      <c r="AD200" s="17" t="n">
        <f aca="false">IF(COUNTIFS(Clips!$F:$F,$B200,Clips!$M:$M,"&gt;0",Clips!$C:$C,"&lt;&gt;excluded")=0,"",AVERAGEIFS(Clips!$M:$M,Clips!$F:$F,$B200,Clips!$M:$M,"&gt;0",Clips!$C:$C,"&lt;&gt;excluded"))</f>
        <v>2</v>
      </c>
      <c r="AE200" s="15" t="n">
        <f aca="false">COUNTIFS(Clips!$F:$F,$B200,Clips!$O:$O,"&lt;&gt;",Clips!$B:$B,"&lt;&gt;site",Clips!$C:$C,"&lt;&gt;excluded")</f>
        <v>1</v>
      </c>
      <c r="AF200" s="15" t="n">
        <f aca="false">COUNTIFS(Clips!$F:$F,$B200,Clips!$I:$I,"&lt;5",Clips!$C:$C,"&lt;&gt;excluded")</f>
        <v>0</v>
      </c>
      <c r="AG200" s="5"/>
    </row>
    <row r="201" customFormat="false" ht="15" hidden="false" customHeight="false" outlineLevel="0" collapsed="false">
      <c r="A201" s="15" t="n">
        <v>11</v>
      </c>
      <c r="B201" s="15" t="s">
        <v>758</v>
      </c>
      <c r="C201" s="15" t="s">
        <v>759</v>
      </c>
      <c r="D201" s="15" t="s">
        <v>760</v>
      </c>
      <c r="E201" s="15" t="s">
        <v>147</v>
      </c>
      <c r="F201" s="15" t="s">
        <v>613</v>
      </c>
      <c r="G201" s="15" t="str">
        <f aca="false">IF(AND($E201="bird",$K201&gt;0),"yes","")</f>
        <v/>
      </c>
      <c r="H201" s="15"/>
      <c r="I201" s="15" t="str">
        <f aca="false">IF($E201="bird",IF(COUNTIF('eBird List'!$A:$A,$B201)&gt;0,"yes","no"),"")</f>
        <v>yes</v>
      </c>
      <c r="J201" s="16" t="n">
        <f aca="false">IF(COUNTIF('eBird List'!$A:$A,$B201)=0,"",INDEX('eBird List'!$C:$C,MATCH($B201,'eBird List'!$A:$A,0)))</f>
        <v>0.0554562782940195</v>
      </c>
      <c r="K201" s="15" t="n">
        <f aca="false">COUNTIFS(Clips!$B:$B,"site",Clips!$F:$F,$B201)+COUNTIFS(Clips!$B:$B,"site",Clips!$O:$O,"*"&amp;$B201&amp;"*")</f>
        <v>0</v>
      </c>
      <c r="L201" s="15" t="n">
        <f aca="false">COUNTIFS(Clips!$F:$F,$B201,Clips!$B:$B,"macaulay")</f>
        <v>1</v>
      </c>
      <c r="M201" s="15" t="n">
        <f aca="false">COUNTIFS(Clips!$F:$F,$B201,Clips!$B:$B,"xeno-canto")</f>
        <v>0</v>
      </c>
      <c r="N201" s="15" t="n">
        <f aca="false">K201+L201+M201</f>
        <v>1</v>
      </c>
      <c r="O201" s="15" t="n">
        <f aca="false">COUNTIFS(Clips!$F:$F,$B201,Clips!$C:$C,"excluded")</f>
        <v>0</v>
      </c>
      <c r="P201" s="15" t="n">
        <f aca="false">COUNTIFS(Clips!$F:$F,$B201,Clips!$C:$C,"train")</f>
        <v>0</v>
      </c>
      <c r="Q201" s="15" t="n">
        <f aca="false">COUNTIFS(Clips!$F:$F,$B201,Clips!$C:$C,"val")</f>
        <v>0</v>
      </c>
      <c r="R201" s="15" t="n">
        <f aca="false">COUNTIFS(Clips!$F:$F,$B201,Clips!$C:$C,"test")</f>
        <v>1</v>
      </c>
      <c r="S201" s="17" t="n">
        <f aca="false">SUMIFS(Clips!$I:$I,Clips!$F:$F,$B201,Clips!$C:$C,"train")/60</f>
        <v>0</v>
      </c>
      <c r="T201" s="17" t="n">
        <f aca="false">SUMIFS(Clips!$I:$I,Clips!$F:$F,$B201,Clips!$C:$C,"val")/60</f>
        <v>0</v>
      </c>
      <c r="U201" s="17" t="n">
        <f aca="false">SUMIFS(Clips!$I:$I,Clips!$F:$F,$B201,Clips!$C:$C,"test")/60</f>
        <v>0.0739</v>
      </c>
      <c r="V201" s="15" t="n">
        <f aca="false">SUMIFS(Clips!$J:$J,Clips!$F:$F,$B201,Clips!$C:$C,"train")</f>
        <v>0</v>
      </c>
      <c r="W201" s="18" t="str">
        <f aca="false">IF(V201=0,"",Splits!$B$49/(Splits!$B$50*V201))</f>
        <v/>
      </c>
      <c r="X201" s="15" t="str">
        <f aca="false">IF(P201&gt;0,IF(AND(Q201&gt;0,R201&gt;0),"train + val + test",IF(R201&gt;0,"train + test","train only")),IF(R201&gt;0,"test only (unknown class)",IF(K201&gt;0,"site extract only","no usable audio")))</f>
        <v>test only (unknown class)</v>
      </c>
      <c r="Y201" s="15" t="str">
        <f aca="false">IF($P201=0,"",IF($E201="nonbird",$B201,IF($G201="yes",$B201,"other bird")))</f>
        <v/>
      </c>
      <c r="Z201" s="15" t="str">
        <f aca="false">IF(AND($F201="core",$P201&gt;0),$B201,"")</f>
        <v/>
      </c>
      <c r="AA201" s="15" t="str">
        <f aca="false">IF($P201&gt;0,$B201,"")</f>
        <v/>
      </c>
      <c r="AB201" s="15" t="n">
        <v>1</v>
      </c>
      <c r="AC201" s="15" t="n">
        <v>1</v>
      </c>
      <c r="AD201" s="17" t="n">
        <f aca="false">IF(COUNTIFS(Clips!$F:$F,$B201,Clips!$M:$M,"&gt;0",Clips!$C:$C,"&lt;&gt;excluded")=0,"",AVERAGEIFS(Clips!$M:$M,Clips!$F:$F,$B201,Clips!$M:$M,"&gt;0",Clips!$C:$C,"&lt;&gt;excluded"))</f>
        <v>2.67</v>
      </c>
      <c r="AE201" s="15" t="n">
        <f aca="false">COUNTIFS(Clips!$F:$F,$B201,Clips!$O:$O,"&lt;&gt;",Clips!$B:$B,"&lt;&gt;site",Clips!$C:$C,"&lt;&gt;excluded")</f>
        <v>0</v>
      </c>
      <c r="AF201" s="15" t="n">
        <f aca="false">COUNTIFS(Clips!$F:$F,$B201,Clips!$I:$I,"&lt;5",Clips!$C:$C,"&lt;&gt;excluded")</f>
        <v>1</v>
      </c>
      <c r="AG201" s="5"/>
    </row>
    <row r="202" customFormat="false" ht="15" hidden="false" customHeight="false" outlineLevel="0" collapsed="false">
      <c r="A202" s="15" t="n">
        <v>13</v>
      </c>
      <c r="B202" s="15" t="s">
        <v>761</v>
      </c>
      <c r="C202" s="15" t="s">
        <v>762</v>
      </c>
      <c r="D202" s="15" t="s">
        <v>763</v>
      </c>
      <c r="E202" s="15" t="s">
        <v>147</v>
      </c>
      <c r="F202" s="15" t="s">
        <v>613</v>
      </c>
      <c r="G202" s="15" t="str">
        <f aca="false">IF(AND($E202="bird",$K202&gt;0),"yes","")</f>
        <v/>
      </c>
      <c r="H202" s="15"/>
      <c r="I202" s="15" t="str">
        <f aca="false">IF($E202="bird",IF(COUNTIF('eBird List'!$A:$A,$B202)&gt;0,"yes","no"),"")</f>
        <v>yes</v>
      </c>
      <c r="J202" s="16" t="n">
        <f aca="false">IF(COUNTIF('eBird List'!$A:$A,$B202)=0,"",INDEX('eBird List'!$C:$C,MATCH($B202,'eBird List'!$A:$A,0)))</f>
        <v>0.00190612342149154</v>
      </c>
      <c r="K202" s="15" t="n">
        <f aca="false">COUNTIFS(Clips!$B:$B,"site",Clips!$F:$F,$B202)+COUNTIFS(Clips!$B:$B,"site",Clips!$O:$O,"*"&amp;$B202&amp;"*")</f>
        <v>0</v>
      </c>
      <c r="L202" s="15" t="n">
        <f aca="false">COUNTIFS(Clips!$F:$F,$B202,Clips!$B:$B,"macaulay")</f>
        <v>1</v>
      </c>
      <c r="M202" s="15" t="n">
        <f aca="false">COUNTIFS(Clips!$F:$F,$B202,Clips!$B:$B,"xeno-canto")</f>
        <v>0</v>
      </c>
      <c r="N202" s="15" t="n">
        <f aca="false">K202+L202+M202</f>
        <v>1</v>
      </c>
      <c r="O202" s="15" t="n">
        <f aca="false">COUNTIFS(Clips!$F:$F,$B202,Clips!$C:$C,"excluded")</f>
        <v>0</v>
      </c>
      <c r="P202" s="15" t="n">
        <f aca="false">COUNTIFS(Clips!$F:$F,$B202,Clips!$C:$C,"train")</f>
        <v>0</v>
      </c>
      <c r="Q202" s="15" t="n">
        <f aca="false">COUNTIFS(Clips!$F:$F,$B202,Clips!$C:$C,"val")</f>
        <v>0</v>
      </c>
      <c r="R202" s="15" t="n">
        <f aca="false">COUNTIFS(Clips!$F:$F,$B202,Clips!$C:$C,"test")</f>
        <v>1</v>
      </c>
      <c r="S202" s="17" t="n">
        <f aca="false">SUMIFS(Clips!$I:$I,Clips!$F:$F,$B202,Clips!$C:$C,"train")/60</f>
        <v>0</v>
      </c>
      <c r="T202" s="17" t="n">
        <f aca="false">SUMIFS(Clips!$I:$I,Clips!$F:$F,$B202,Clips!$C:$C,"val")/60</f>
        <v>0</v>
      </c>
      <c r="U202" s="17" t="n">
        <f aca="false">SUMIFS(Clips!$I:$I,Clips!$F:$F,$B202,Clips!$C:$C,"test")/60</f>
        <v>2.94381666666667</v>
      </c>
      <c r="V202" s="15" t="n">
        <f aca="false">SUMIFS(Clips!$J:$J,Clips!$F:$F,$B202,Clips!$C:$C,"train")</f>
        <v>0</v>
      </c>
      <c r="W202" s="18" t="str">
        <f aca="false">IF(V202=0,"",Splits!$B$49/(Splits!$B$50*V202))</f>
        <v/>
      </c>
      <c r="X202" s="15" t="str">
        <f aca="false">IF(P202&gt;0,IF(AND(Q202&gt;0,R202&gt;0),"train + val + test",IF(R202&gt;0,"train + test","train only")),IF(R202&gt;0,"test only (unknown class)",IF(K202&gt;0,"site extract only","no usable audio")))</f>
        <v>test only (unknown class)</v>
      </c>
      <c r="Y202" s="15" t="str">
        <f aca="false">IF($P202=0,"",IF($E202="nonbird",$B202,IF($G202="yes",$B202,"other bird")))</f>
        <v/>
      </c>
      <c r="Z202" s="15" t="str">
        <f aca="false">IF(AND($F202="core",$P202&gt;0),$B202,"")</f>
        <v/>
      </c>
      <c r="AA202" s="15" t="str">
        <f aca="false">IF($P202&gt;0,$B202,"")</f>
        <v/>
      </c>
      <c r="AB202" s="15" t="n">
        <v>1</v>
      </c>
      <c r="AC202" s="15" t="n">
        <v>1</v>
      </c>
      <c r="AD202" s="17" t="n">
        <f aca="false">IF(COUNTIFS(Clips!$F:$F,$B202,Clips!$M:$M,"&gt;0",Clips!$C:$C,"&lt;&gt;excluded")=0,"",AVERAGEIFS(Clips!$M:$M,Clips!$F:$F,$B202,Clips!$M:$M,"&gt;0",Clips!$C:$C,"&lt;&gt;excluded"))</f>
        <v>2</v>
      </c>
      <c r="AE202" s="15" t="n">
        <f aca="false">COUNTIFS(Clips!$F:$F,$B202,Clips!$O:$O,"&lt;&gt;",Clips!$B:$B,"&lt;&gt;site",Clips!$C:$C,"&lt;&gt;excluded")</f>
        <v>0</v>
      </c>
      <c r="AF202" s="15" t="n">
        <f aca="false">COUNTIFS(Clips!$F:$F,$B202,Clips!$I:$I,"&lt;5",Clips!$C:$C,"&lt;&gt;excluded")</f>
        <v>0</v>
      </c>
      <c r="AG202" s="5"/>
    </row>
    <row r="203" customFormat="false" ht="15" hidden="false" customHeight="false" outlineLevel="0" collapsed="false">
      <c r="A203" s="15" t="n">
        <v>15</v>
      </c>
      <c r="B203" s="15" t="s">
        <v>764</v>
      </c>
      <c r="C203" s="15" t="s">
        <v>765</v>
      </c>
      <c r="D203" s="15" t="s">
        <v>766</v>
      </c>
      <c r="E203" s="15" t="s">
        <v>147</v>
      </c>
      <c r="F203" s="15" t="s">
        <v>613</v>
      </c>
      <c r="G203" s="15" t="str">
        <f aca="false">IF(AND($E203="bird",$K203&gt;0),"yes","")</f>
        <v/>
      </c>
      <c r="H203" s="15"/>
      <c r="I203" s="15" t="str">
        <f aca="false">IF($E203="bird",IF(COUNTIF('eBird List'!$A:$A,$B203)&gt;0,"yes","no"),"")</f>
        <v>yes</v>
      </c>
      <c r="J203" s="16" t="n">
        <f aca="false">IF(COUNTIF('eBird List'!$A:$A,$B203)=0,"",INDEX('eBird List'!$C:$C,MATCH($B203,'eBird List'!$A:$A,0)))</f>
        <v>0.341315225160829</v>
      </c>
      <c r="K203" s="15" t="n">
        <f aca="false">COUNTIFS(Clips!$B:$B,"site",Clips!$F:$F,$B203)+COUNTIFS(Clips!$B:$B,"site",Clips!$O:$O,"*"&amp;$B203&amp;"*")</f>
        <v>0</v>
      </c>
      <c r="L203" s="15" t="n">
        <f aca="false">COUNTIFS(Clips!$F:$F,$B203,Clips!$B:$B,"macaulay")</f>
        <v>1</v>
      </c>
      <c r="M203" s="15" t="n">
        <f aca="false">COUNTIFS(Clips!$F:$F,$B203,Clips!$B:$B,"xeno-canto")</f>
        <v>0</v>
      </c>
      <c r="N203" s="15" t="n">
        <f aca="false">K203+L203+M203</f>
        <v>1</v>
      </c>
      <c r="O203" s="15" t="n">
        <f aca="false">COUNTIFS(Clips!$F:$F,$B203,Clips!$C:$C,"excluded")</f>
        <v>0</v>
      </c>
      <c r="P203" s="15" t="n">
        <f aca="false">COUNTIFS(Clips!$F:$F,$B203,Clips!$C:$C,"train")</f>
        <v>0</v>
      </c>
      <c r="Q203" s="15" t="n">
        <f aca="false">COUNTIFS(Clips!$F:$F,$B203,Clips!$C:$C,"val")</f>
        <v>0</v>
      </c>
      <c r="R203" s="15" t="n">
        <f aca="false">COUNTIFS(Clips!$F:$F,$B203,Clips!$C:$C,"test")</f>
        <v>1</v>
      </c>
      <c r="S203" s="17" t="n">
        <f aca="false">SUMIFS(Clips!$I:$I,Clips!$F:$F,$B203,Clips!$C:$C,"train")/60</f>
        <v>0</v>
      </c>
      <c r="T203" s="17" t="n">
        <f aca="false">SUMIFS(Clips!$I:$I,Clips!$F:$F,$B203,Clips!$C:$C,"val")/60</f>
        <v>0</v>
      </c>
      <c r="U203" s="17" t="n">
        <f aca="false">SUMIFS(Clips!$I:$I,Clips!$F:$F,$B203,Clips!$C:$C,"test")/60</f>
        <v>0.279116666666667</v>
      </c>
      <c r="V203" s="15" t="n">
        <f aca="false">SUMIFS(Clips!$J:$J,Clips!$F:$F,$B203,Clips!$C:$C,"train")</f>
        <v>0</v>
      </c>
      <c r="W203" s="18" t="str">
        <f aca="false">IF(V203=0,"",Splits!$B$49/(Splits!$B$50*V203))</f>
        <v/>
      </c>
      <c r="X203" s="15" t="str">
        <f aca="false">IF(P203&gt;0,IF(AND(Q203&gt;0,R203&gt;0),"train + val + test",IF(R203&gt;0,"train + test","train only")),IF(R203&gt;0,"test only (unknown class)",IF(K203&gt;0,"site extract only","no usable audio")))</f>
        <v>test only (unknown class)</v>
      </c>
      <c r="Y203" s="15" t="str">
        <f aca="false">IF($P203=0,"",IF($E203="nonbird",$B203,IF($G203="yes",$B203,"other bird")))</f>
        <v/>
      </c>
      <c r="Z203" s="15" t="str">
        <f aca="false">IF(AND($F203="core",$P203&gt;0),$B203,"")</f>
        <v/>
      </c>
      <c r="AA203" s="15" t="str">
        <f aca="false">IF($P203&gt;0,$B203,"")</f>
        <v/>
      </c>
      <c r="AB203" s="15" t="n">
        <v>1</v>
      </c>
      <c r="AC203" s="15" t="n">
        <v>1</v>
      </c>
      <c r="AD203" s="17" t="n">
        <f aca="false">IF(COUNTIFS(Clips!$F:$F,$B203,Clips!$M:$M,"&gt;0",Clips!$C:$C,"&lt;&gt;excluded")=0,"",AVERAGEIFS(Clips!$M:$M,Clips!$F:$F,$B203,Clips!$M:$M,"&gt;0",Clips!$C:$C,"&lt;&gt;excluded"))</f>
        <v>1.96</v>
      </c>
      <c r="AE203" s="15" t="n">
        <f aca="false">COUNTIFS(Clips!$F:$F,$B203,Clips!$O:$O,"&lt;&gt;",Clips!$B:$B,"&lt;&gt;site",Clips!$C:$C,"&lt;&gt;excluded")</f>
        <v>0</v>
      </c>
      <c r="AF203" s="15" t="n">
        <f aca="false">COUNTIFS(Clips!$F:$F,$B203,Clips!$I:$I,"&lt;5",Clips!$C:$C,"&lt;&gt;excluded")</f>
        <v>0</v>
      </c>
      <c r="AG203" s="5"/>
    </row>
    <row r="204" customFormat="false" ht="15" hidden="false" customHeight="false" outlineLevel="0" collapsed="false">
      <c r="A204" s="15" t="n">
        <v>17</v>
      </c>
      <c r="B204" s="15" t="s">
        <v>767</v>
      </c>
      <c r="C204" s="15" t="s">
        <v>768</v>
      </c>
      <c r="D204" s="15" t="s">
        <v>769</v>
      </c>
      <c r="E204" s="15" t="s">
        <v>147</v>
      </c>
      <c r="F204" s="15" t="s">
        <v>613</v>
      </c>
      <c r="G204" s="15" t="str">
        <f aca="false">IF(AND($E204="bird",$K204&gt;0),"yes","")</f>
        <v/>
      </c>
      <c r="H204" s="15"/>
      <c r="I204" s="15" t="str">
        <f aca="false">IF($E204="bird",IF(COUNTIF('eBird List'!$A:$A,$B204)&gt;0,"yes","no"),"")</f>
        <v>no</v>
      </c>
      <c r="J204" s="16" t="str">
        <f aca="false">IF(COUNTIF('eBird List'!$A:$A,$B204)=0,"",INDEX('eBird List'!$C:$C,MATCH($B204,'eBird List'!$A:$A,0)))</f>
        <v/>
      </c>
      <c r="K204" s="15" t="n">
        <f aca="false">COUNTIFS(Clips!$B:$B,"site",Clips!$F:$F,$B204)+COUNTIFS(Clips!$B:$B,"site",Clips!$O:$O,"*"&amp;$B204&amp;"*")</f>
        <v>0</v>
      </c>
      <c r="L204" s="15" t="n">
        <f aca="false">COUNTIFS(Clips!$F:$F,$B204,Clips!$B:$B,"macaulay")</f>
        <v>1</v>
      </c>
      <c r="M204" s="15" t="n">
        <f aca="false">COUNTIFS(Clips!$F:$F,$B204,Clips!$B:$B,"xeno-canto")</f>
        <v>0</v>
      </c>
      <c r="N204" s="15" t="n">
        <f aca="false">K204+L204+M204</f>
        <v>1</v>
      </c>
      <c r="O204" s="15" t="n">
        <f aca="false">COUNTIFS(Clips!$F:$F,$B204,Clips!$C:$C,"excluded")</f>
        <v>0</v>
      </c>
      <c r="P204" s="15" t="n">
        <f aca="false">COUNTIFS(Clips!$F:$F,$B204,Clips!$C:$C,"train")</f>
        <v>0</v>
      </c>
      <c r="Q204" s="15" t="n">
        <f aca="false">COUNTIFS(Clips!$F:$F,$B204,Clips!$C:$C,"val")</f>
        <v>0</v>
      </c>
      <c r="R204" s="15" t="n">
        <f aca="false">COUNTIFS(Clips!$F:$F,$B204,Clips!$C:$C,"test")</f>
        <v>1</v>
      </c>
      <c r="S204" s="17" t="n">
        <f aca="false">SUMIFS(Clips!$I:$I,Clips!$F:$F,$B204,Clips!$C:$C,"train")/60</f>
        <v>0</v>
      </c>
      <c r="T204" s="17" t="n">
        <f aca="false">SUMIFS(Clips!$I:$I,Clips!$F:$F,$B204,Clips!$C:$C,"val")/60</f>
        <v>0</v>
      </c>
      <c r="U204" s="17" t="n">
        <f aca="false">SUMIFS(Clips!$I:$I,Clips!$F:$F,$B204,Clips!$C:$C,"test")/60</f>
        <v>0.2702</v>
      </c>
      <c r="V204" s="15" t="n">
        <f aca="false">SUMIFS(Clips!$J:$J,Clips!$F:$F,$B204,Clips!$C:$C,"train")</f>
        <v>0</v>
      </c>
      <c r="W204" s="18" t="str">
        <f aca="false">IF(V204=0,"",Splits!$B$49/(Splits!$B$50*V204))</f>
        <v/>
      </c>
      <c r="X204" s="15" t="str">
        <f aca="false">IF(P204&gt;0,IF(AND(Q204&gt;0,R204&gt;0),"train + val + test",IF(R204&gt;0,"train + test","train only")),IF(R204&gt;0,"test only (unknown class)",IF(K204&gt;0,"site extract only","no usable audio")))</f>
        <v>test only (unknown class)</v>
      </c>
      <c r="Y204" s="15" t="str">
        <f aca="false">IF($P204=0,"",IF($E204="nonbird",$B204,IF($G204="yes",$B204,"other bird")))</f>
        <v/>
      </c>
      <c r="Z204" s="15" t="str">
        <f aca="false">IF(AND($F204="core",$P204&gt;0),$B204,"")</f>
        <v/>
      </c>
      <c r="AA204" s="15" t="str">
        <f aca="false">IF($P204&gt;0,$B204,"")</f>
        <v/>
      </c>
      <c r="AB204" s="15" t="n">
        <v>1</v>
      </c>
      <c r="AC204" s="15" t="n">
        <v>1</v>
      </c>
      <c r="AD204" s="17" t="n">
        <f aca="false">IF(COUNTIFS(Clips!$F:$F,$B204,Clips!$M:$M,"&gt;0",Clips!$C:$C,"&lt;&gt;excluded")=0,"",AVERAGEIFS(Clips!$M:$M,Clips!$F:$F,$B204,Clips!$M:$M,"&gt;0",Clips!$C:$C,"&lt;&gt;excluded"))</f>
        <v>1</v>
      </c>
      <c r="AE204" s="15" t="n">
        <f aca="false">COUNTIFS(Clips!$F:$F,$B204,Clips!$O:$O,"&lt;&gt;",Clips!$B:$B,"&lt;&gt;site",Clips!$C:$C,"&lt;&gt;excluded")</f>
        <v>0</v>
      </c>
      <c r="AF204" s="15" t="n">
        <f aca="false">COUNTIFS(Clips!$F:$F,$B204,Clips!$I:$I,"&lt;5",Clips!$C:$C,"&lt;&gt;excluded")</f>
        <v>0</v>
      </c>
      <c r="AG204" s="5" t="s">
        <v>770</v>
      </c>
    </row>
    <row r="205" customFormat="false" ht="15" hidden="false" customHeight="false" outlineLevel="0" collapsed="false">
      <c r="A205" s="15" t="n">
        <v>30</v>
      </c>
      <c r="B205" s="15" t="s">
        <v>771</v>
      </c>
      <c r="C205" s="15" t="s">
        <v>772</v>
      </c>
      <c r="D205" s="15" t="s">
        <v>773</v>
      </c>
      <c r="E205" s="15" t="s">
        <v>147</v>
      </c>
      <c r="F205" s="15" t="s">
        <v>613</v>
      </c>
      <c r="G205" s="15" t="str">
        <f aca="false">IF(AND($E205="bird",$K205&gt;0),"yes","")</f>
        <v/>
      </c>
      <c r="H205" s="15"/>
      <c r="I205" s="15" t="str">
        <f aca="false">IF($E205="bird",IF(COUNTIF('eBird List'!$A:$A,$B205)&gt;0,"yes","no"),"")</f>
        <v>yes</v>
      </c>
      <c r="J205" s="16" t="n">
        <f aca="false">IF(COUNTIF('eBird List'!$A:$A,$B205)=0,"",INDEX('eBird List'!$C:$C,MATCH($B205,'eBird List'!$A:$A,0)))</f>
        <v>0.11392065761258</v>
      </c>
      <c r="K205" s="15" t="n">
        <f aca="false">COUNTIFS(Clips!$B:$B,"site",Clips!$F:$F,$B205)+COUNTIFS(Clips!$B:$B,"site",Clips!$O:$O,"*"&amp;$B205&amp;"*")</f>
        <v>0</v>
      </c>
      <c r="L205" s="15" t="n">
        <f aca="false">COUNTIFS(Clips!$F:$F,$B205,Clips!$B:$B,"macaulay")</f>
        <v>1</v>
      </c>
      <c r="M205" s="15" t="n">
        <f aca="false">COUNTIFS(Clips!$F:$F,$B205,Clips!$B:$B,"xeno-canto")</f>
        <v>0</v>
      </c>
      <c r="N205" s="15" t="n">
        <f aca="false">K205+L205+M205</f>
        <v>1</v>
      </c>
      <c r="O205" s="15" t="n">
        <f aca="false">COUNTIFS(Clips!$F:$F,$B205,Clips!$C:$C,"excluded")</f>
        <v>0</v>
      </c>
      <c r="P205" s="15" t="n">
        <f aca="false">COUNTIFS(Clips!$F:$F,$B205,Clips!$C:$C,"train")</f>
        <v>0</v>
      </c>
      <c r="Q205" s="15" t="n">
        <f aca="false">COUNTIFS(Clips!$F:$F,$B205,Clips!$C:$C,"val")</f>
        <v>0</v>
      </c>
      <c r="R205" s="15" t="n">
        <f aca="false">COUNTIFS(Clips!$F:$F,$B205,Clips!$C:$C,"test")</f>
        <v>1</v>
      </c>
      <c r="S205" s="17" t="n">
        <f aca="false">SUMIFS(Clips!$I:$I,Clips!$F:$F,$B205,Clips!$C:$C,"train")/60</f>
        <v>0</v>
      </c>
      <c r="T205" s="17" t="n">
        <f aca="false">SUMIFS(Clips!$I:$I,Clips!$F:$F,$B205,Clips!$C:$C,"val")/60</f>
        <v>0</v>
      </c>
      <c r="U205" s="17" t="n">
        <f aca="false">SUMIFS(Clips!$I:$I,Clips!$F:$F,$B205,Clips!$C:$C,"test")/60</f>
        <v>0.392933333333333</v>
      </c>
      <c r="V205" s="15" t="n">
        <f aca="false">SUMIFS(Clips!$J:$J,Clips!$F:$F,$B205,Clips!$C:$C,"train")</f>
        <v>0</v>
      </c>
      <c r="W205" s="18" t="str">
        <f aca="false">IF(V205=0,"",Splits!$B$49/(Splits!$B$50*V205))</f>
        <v/>
      </c>
      <c r="X205" s="15" t="str">
        <f aca="false">IF(P205&gt;0,IF(AND(Q205&gt;0,R205&gt;0),"train + val + test",IF(R205&gt;0,"train + test","train only")),IF(R205&gt;0,"test only (unknown class)",IF(K205&gt;0,"site extract only","no usable audio")))</f>
        <v>test only (unknown class)</v>
      </c>
      <c r="Y205" s="15" t="str">
        <f aca="false">IF($P205=0,"",IF($E205="nonbird",$B205,IF($G205="yes",$B205,"other bird")))</f>
        <v/>
      </c>
      <c r="Z205" s="15" t="str">
        <f aca="false">IF(AND($F205="core",$P205&gt;0),$B205,"")</f>
        <v/>
      </c>
      <c r="AA205" s="15" t="str">
        <f aca="false">IF($P205&gt;0,$B205,"")</f>
        <v/>
      </c>
      <c r="AB205" s="15" t="n">
        <v>1</v>
      </c>
      <c r="AC205" s="15" t="n">
        <v>1</v>
      </c>
      <c r="AD205" s="17" t="n">
        <f aca="false">IF(COUNTIFS(Clips!$F:$F,$B205,Clips!$M:$M,"&gt;0",Clips!$C:$C,"&lt;&gt;excluded")=0,"",AVERAGEIFS(Clips!$M:$M,Clips!$F:$F,$B205,Clips!$M:$M,"&gt;0",Clips!$C:$C,"&lt;&gt;excluded"))</f>
        <v>2.2</v>
      </c>
      <c r="AE205" s="15" t="n">
        <f aca="false">COUNTIFS(Clips!$F:$F,$B205,Clips!$O:$O,"&lt;&gt;",Clips!$B:$B,"&lt;&gt;site",Clips!$C:$C,"&lt;&gt;excluded")</f>
        <v>0</v>
      </c>
      <c r="AF205" s="15" t="n">
        <f aca="false">COUNTIFS(Clips!$F:$F,$B205,Clips!$I:$I,"&lt;5",Clips!$C:$C,"&lt;&gt;excluded")</f>
        <v>0</v>
      </c>
      <c r="AG205" s="5"/>
    </row>
    <row r="206" customFormat="false" ht="15" hidden="false" customHeight="false" outlineLevel="0" collapsed="false">
      <c r="A206" s="15" t="n">
        <v>32</v>
      </c>
      <c r="B206" s="15" t="s">
        <v>774</v>
      </c>
      <c r="C206" s="15" t="s">
        <v>775</v>
      </c>
      <c r="D206" s="15" t="s">
        <v>776</v>
      </c>
      <c r="E206" s="15" t="s">
        <v>147</v>
      </c>
      <c r="F206" s="15" t="s">
        <v>613</v>
      </c>
      <c r="G206" s="15" t="str">
        <f aca="false">IF(AND($E206="bird",$K206&gt;0),"yes","")</f>
        <v/>
      </c>
      <c r="H206" s="15"/>
      <c r="I206" s="15" t="str">
        <f aca="false">IF($E206="bird",IF(COUNTIF('eBird List'!$A:$A,$B206)&gt;0,"yes","no"),"")</f>
        <v>yes</v>
      </c>
      <c r="J206" s="16" t="n">
        <f aca="false">IF(COUNTIF('eBird List'!$A:$A,$B206)=0,"",INDEX('eBird List'!$C:$C,MATCH($B206,'eBird List'!$A:$A,0)))</f>
        <v>0.0332975935191804</v>
      </c>
      <c r="K206" s="15" t="n">
        <f aca="false">COUNTIFS(Clips!$B:$B,"site",Clips!$F:$F,$B206)+COUNTIFS(Clips!$B:$B,"site",Clips!$O:$O,"*"&amp;$B206&amp;"*")</f>
        <v>0</v>
      </c>
      <c r="L206" s="15" t="n">
        <f aca="false">COUNTIFS(Clips!$F:$F,$B206,Clips!$B:$B,"macaulay")</f>
        <v>1</v>
      </c>
      <c r="M206" s="15" t="n">
        <f aca="false">COUNTIFS(Clips!$F:$F,$B206,Clips!$B:$B,"xeno-canto")</f>
        <v>0</v>
      </c>
      <c r="N206" s="15" t="n">
        <f aca="false">K206+L206+M206</f>
        <v>1</v>
      </c>
      <c r="O206" s="15" t="n">
        <f aca="false">COUNTIFS(Clips!$F:$F,$B206,Clips!$C:$C,"excluded")</f>
        <v>0</v>
      </c>
      <c r="P206" s="15" t="n">
        <f aca="false">COUNTIFS(Clips!$F:$F,$B206,Clips!$C:$C,"train")</f>
        <v>0</v>
      </c>
      <c r="Q206" s="15" t="n">
        <f aca="false">COUNTIFS(Clips!$F:$F,$B206,Clips!$C:$C,"val")</f>
        <v>0</v>
      </c>
      <c r="R206" s="15" t="n">
        <f aca="false">COUNTIFS(Clips!$F:$F,$B206,Clips!$C:$C,"test")</f>
        <v>1</v>
      </c>
      <c r="S206" s="17" t="n">
        <f aca="false">SUMIFS(Clips!$I:$I,Clips!$F:$F,$B206,Clips!$C:$C,"train")/60</f>
        <v>0</v>
      </c>
      <c r="T206" s="17" t="n">
        <f aca="false">SUMIFS(Clips!$I:$I,Clips!$F:$F,$B206,Clips!$C:$C,"val")/60</f>
        <v>0</v>
      </c>
      <c r="U206" s="17" t="n">
        <f aca="false">SUMIFS(Clips!$I:$I,Clips!$F:$F,$B206,Clips!$C:$C,"test")/60</f>
        <v>4.28308333333333</v>
      </c>
      <c r="V206" s="15" t="n">
        <f aca="false">SUMIFS(Clips!$J:$J,Clips!$F:$F,$B206,Clips!$C:$C,"train")</f>
        <v>0</v>
      </c>
      <c r="W206" s="18" t="str">
        <f aca="false">IF(V206=0,"",Splits!$B$49/(Splits!$B$50*V206))</f>
        <v/>
      </c>
      <c r="X206" s="15" t="str">
        <f aca="false">IF(P206&gt;0,IF(AND(Q206&gt;0,R206&gt;0),"train + val + test",IF(R206&gt;0,"train + test","train only")),IF(R206&gt;0,"test only (unknown class)",IF(K206&gt;0,"site extract only","no usable audio")))</f>
        <v>test only (unknown class)</v>
      </c>
      <c r="Y206" s="15" t="str">
        <f aca="false">IF($P206=0,"",IF($E206="nonbird",$B206,IF($G206="yes",$B206,"other bird")))</f>
        <v/>
      </c>
      <c r="Z206" s="15" t="str">
        <f aca="false">IF(AND($F206="core",$P206&gt;0),$B206,"")</f>
        <v/>
      </c>
      <c r="AA206" s="15" t="str">
        <f aca="false">IF($P206&gt;0,$B206,"")</f>
        <v/>
      </c>
      <c r="AB206" s="15" t="n">
        <v>1</v>
      </c>
      <c r="AC206" s="15" t="n">
        <v>1</v>
      </c>
      <c r="AD206" s="17" t="n">
        <f aca="false">IF(COUNTIFS(Clips!$F:$F,$B206,Clips!$M:$M,"&gt;0",Clips!$C:$C,"&lt;&gt;excluded")=0,"",AVERAGEIFS(Clips!$M:$M,Clips!$F:$F,$B206,Clips!$M:$M,"&gt;0",Clips!$C:$C,"&lt;&gt;excluded"))</f>
        <v>4</v>
      </c>
      <c r="AE206" s="15" t="n">
        <f aca="false">COUNTIFS(Clips!$F:$F,$B206,Clips!$O:$O,"&lt;&gt;",Clips!$B:$B,"&lt;&gt;site",Clips!$C:$C,"&lt;&gt;excluded")</f>
        <v>0</v>
      </c>
      <c r="AF206" s="15" t="n">
        <f aca="false">COUNTIFS(Clips!$F:$F,$B206,Clips!$I:$I,"&lt;5",Clips!$C:$C,"&lt;&gt;excluded")</f>
        <v>0</v>
      </c>
      <c r="AG206" s="5"/>
    </row>
    <row r="207" customFormat="false" ht="15" hidden="false" customHeight="false" outlineLevel="0" collapsed="false">
      <c r="A207" s="15" t="n">
        <v>36</v>
      </c>
      <c r="B207" s="15" t="s">
        <v>777</v>
      </c>
      <c r="C207" s="15" t="s">
        <v>778</v>
      </c>
      <c r="D207" s="15" t="s">
        <v>779</v>
      </c>
      <c r="E207" s="15" t="s">
        <v>147</v>
      </c>
      <c r="F207" s="15" t="s">
        <v>613</v>
      </c>
      <c r="G207" s="15" t="str">
        <f aca="false">IF(AND($E207="bird",$K207&gt;0),"yes","")</f>
        <v/>
      </c>
      <c r="H207" s="15"/>
      <c r="I207" s="15" t="str">
        <f aca="false">IF($E207="bird",IF(COUNTIF('eBird List'!$A:$A,$B207)&gt;0,"yes","no"),"")</f>
        <v>yes</v>
      </c>
      <c r="J207" s="16" t="n">
        <f aca="false">IF(COUNTIF('eBird List'!$A:$A,$B207)=0,"",INDEX('eBird List'!$C:$C,MATCH($B207,'eBird List'!$A:$A,0)))</f>
        <v>0.000327614963068859</v>
      </c>
      <c r="K207" s="15" t="n">
        <f aca="false">COUNTIFS(Clips!$B:$B,"site",Clips!$F:$F,$B207)+COUNTIFS(Clips!$B:$B,"site",Clips!$O:$O,"*"&amp;$B207&amp;"*")</f>
        <v>0</v>
      </c>
      <c r="L207" s="15" t="n">
        <f aca="false">COUNTIFS(Clips!$F:$F,$B207,Clips!$B:$B,"macaulay")</f>
        <v>1</v>
      </c>
      <c r="M207" s="15" t="n">
        <f aca="false">COUNTIFS(Clips!$F:$F,$B207,Clips!$B:$B,"xeno-canto")</f>
        <v>0</v>
      </c>
      <c r="N207" s="15" t="n">
        <f aca="false">K207+L207+M207</f>
        <v>1</v>
      </c>
      <c r="O207" s="15" t="n">
        <f aca="false">COUNTIFS(Clips!$F:$F,$B207,Clips!$C:$C,"excluded")</f>
        <v>0</v>
      </c>
      <c r="P207" s="15" t="n">
        <f aca="false">COUNTIFS(Clips!$F:$F,$B207,Clips!$C:$C,"train")</f>
        <v>0</v>
      </c>
      <c r="Q207" s="15" t="n">
        <f aca="false">COUNTIFS(Clips!$F:$F,$B207,Clips!$C:$C,"val")</f>
        <v>0</v>
      </c>
      <c r="R207" s="15" t="n">
        <f aca="false">COUNTIFS(Clips!$F:$F,$B207,Clips!$C:$C,"test")</f>
        <v>1</v>
      </c>
      <c r="S207" s="17" t="n">
        <f aca="false">SUMIFS(Clips!$I:$I,Clips!$F:$F,$B207,Clips!$C:$C,"train")/60</f>
        <v>0</v>
      </c>
      <c r="T207" s="17" t="n">
        <f aca="false">SUMIFS(Clips!$I:$I,Clips!$F:$F,$B207,Clips!$C:$C,"val")/60</f>
        <v>0</v>
      </c>
      <c r="U207" s="17" t="n">
        <f aca="false">SUMIFS(Clips!$I:$I,Clips!$F:$F,$B207,Clips!$C:$C,"test")/60</f>
        <v>1.17596666666667</v>
      </c>
      <c r="V207" s="15" t="n">
        <f aca="false">SUMIFS(Clips!$J:$J,Clips!$F:$F,$B207,Clips!$C:$C,"train")</f>
        <v>0</v>
      </c>
      <c r="W207" s="18" t="str">
        <f aca="false">IF(V207=0,"",Splits!$B$49/(Splits!$B$50*V207))</f>
        <v/>
      </c>
      <c r="X207" s="15" t="str">
        <f aca="false">IF(P207&gt;0,IF(AND(Q207&gt;0,R207&gt;0),"train + val + test",IF(R207&gt;0,"train + test","train only")),IF(R207&gt;0,"test only (unknown class)",IF(K207&gt;0,"site extract only","no usable audio")))</f>
        <v>test only (unknown class)</v>
      </c>
      <c r="Y207" s="15" t="str">
        <f aca="false">IF($P207=0,"",IF($E207="nonbird",$B207,IF($G207="yes",$B207,"other bird")))</f>
        <v/>
      </c>
      <c r="Z207" s="15" t="str">
        <f aca="false">IF(AND($F207="core",$P207&gt;0),$B207,"")</f>
        <v/>
      </c>
      <c r="AA207" s="15" t="str">
        <f aca="false">IF($P207&gt;0,$B207,"")</f>
        <v/>
      </c>
      <c r="AB207" s="15" t="n">
        <v>1</v>
      </c>
      <c r="AC207" s="15" t="n">
        <v>1</v>
      </c>
      <c r="AD207" s="17" t="str">
        <f aca="false">IF(COUNTIFS(Clips!$F:$F,$B207,Clips!$M:$M,"&gt;0",Clips!$C:$C,"&lt;&gt;excluded")=0,"",AVERAGEIFS(Clips!$M:$M,Clips!$F:$F,$B207,Clips!$M:$M,"&gt;0",Clips!$C:$C,"&lt;&gt;excluded"))</f>
        <v/>
      </c>
      <c r="AE207" s="15" t="n">
        <f aca="false">COUNTIFS(Clips!$F:$F,$B207,Clips!$O:$O,"&lt;&gt;",Clips!$B:$B,"&lt;&gt;site",Clips!$C:$C,"&lt;&gt;excluded")</f>
        <v>0</v>
      </c>
      <c r="AF207" s="15" t="n">
        <f aca="false">COUNTIFS(Clips!$F:$F,$B207,Clips!$I:$I,"&lt;5",Clips!$C:$C,"&lt;&gt;excluded")</f>
        <v>0</v>
      </c>
      <c r="AG207" s="5"/>
    </row>
    <row r="208" customFormat="false" ht="15" hidden="false" customHeight="false" outlineLevel="0" collapsed="false">
      <c r="A208" s="15" t="n">
        <v>40</v>
      </c>
      <c r="B208" s="15" t="s">
        <v>780</v>
      </c>
      <c r="C208" s="15" t="s">
        <v>781</v>
      </c>
      <c r="D208" s="15" t="s">
        <v>782</v>
      </c>
      <c r="E208" s="15" t="s">
        <v>147</v>
      </c>
      <c r="F208" s="15" t="s">
        <v>613</v>
      </c>
      <c r="G208" s="15" t="str">
        <f aca="false">IF(AND($E208="bird",$K208&gt;0),"yes","")</f>
        <v/>
      </c>
      <c r="H208" s="15"/>
      <c r="I208" s="15" t="str">
        <f aca="false">IF($E208="bird",IF(COUNTIF('eBird List'!$A:$A,$B208)&gt;0,"yes","no"),"")</f>
        <v>yes</v>
      </c>
      <c r="J208" s="16" t="n">
        <f aca="false">IF(COUNTIF('eBird List'!$A:$A,$B208)=0,"",INDEX('eBird List'!$C:$C,MATCH($B208,'eBird List'!$A:$A,0)))</f>
        <v>0.0772873481057899</v>
      </c>
      <c r="K208" s="15" t="n">
        <f aca="false">COUNTIFS(Clips!$B:$B,"site",Clips!$F:$F,$B208)+COUNTIFS(Clips!$B:$B,"site",Clips!$O:$O,"*"&amp;$B208&amp;"*")</f>
        <v>0</v>
      </c>
      <c r="L208" s="15" t="n">
        <f aca="false">COUNTIFS(Clips!$F:$F,$B208,Clips!$B:$B,"macaulay")</f>
        <v>1</v>
      </c>
      <c r="M208" s="15" t="n">
        <f aca="false">COUNTIFS(Clips!$F:$F,$B208,Clips!$B:$B,"xeno-canto")</f>
        <v>0</v>
      </c>
      <c r="N208" s="15" t="n">
        <f aca="false">K208+L208+M208</f>
        <v>1</v>
      </c>
      <c r="O208" s="15" t="n">
        <f aca="false">COUNTIFS(Clips!$F:$F,$B208,Clips!$C:$C,"excluded")</f>
        <v>0</v>
      </c>
      <c r="P208" s="15" t="n">
        <f aca="false">COUNTIFS(Clips!$F:$F,$B208,Clips!$C:$C,"train")</f>
        <v>0</v>
      </c>
      <c r="Q208" s="15" t="n">
        <f aca="false">COUNTIFS(Clips!$F:$F,$B208,Clips!$C:$C,"val")</f>
        <v>0</v>
      </c>
      <c r="R208" s="15" t="n">
        <f aca="false">COUNTIFS(Clips!$F:$F,$B208,Clips!$C:$C,"test")</f>
        <v>1</v>
      </c>
      <c r="S208" s="17" t="n">
        <f aca="false">SUMIFS(Clips!$I:$I,Clips!$F:$F,$B208,Clips!$C:$C,"train")/60</f>
        <v>0</v>
      </c>
      <c r="T208" s="17" t="n">
        <f aca="false">SUMIFS(Clips!$I:$I,Clips!$F:$F,$B208,Clips!$C:$C,"val")/60</f>
        <v>0</v>
      </c>
      <c r="U208" s="17" t="n">
        <f aca="false">SUMIFS(Clips!$I:$I,Clips!$F:$F,$B208,Clips!$C:$C,"test")/60</f>
        <v>0.114666666666667</v>
      </c>
      <c r="V208" s="15" t="n">
        <f aca="false">SUMIFS(Clips!$J:$J,Clips!$F:$F,$B208,Clips!$C:$C,"train")</f>
        <v>0</v>
      </c>
      <c r="W208" s="18" t="str">
        <f aca="false">IF(V208=0,"",Splits!$B$49/(Splits!$B$50*V208))</f>
        <v/>
      </c>
      <c r="X208" s="15" t="str">
        <f aca="false">IF(P208&gt;0,IF(AND(Q208&gt;0,R208&gt;0),"train + val + test",IF(R208&gt;0,"train + test","train only")),IF(R208&gt;0,"test only (unknown class)",IF(K208&gt;0,"site extract only","no usable audio")))</f>
        <v>test only (unknown class)</v>
      </c>
      <c r="Y208" s="15" t="str">
        <f aca="false">IF($P208=0,"",IF($E208="nonbird",$B208,IF($G208="yes",$B208,"other bird")))</f>
        <v/>
      </c>
      <c r="Z208" s="15" t="str">
        <f aca="false">IF(AND($F208="core",$P208&gt;0),$B208,"")</f>
        <v/>
      </c>
      <c r="AA208" s="15" t="str">
        <f aca="false">IF($P208&gt;0,$B208,"")</f>
        <v/>
      </c>
      <c r="AB208" s="15" t="n">
        <v>1</v>
      </c>
      <c r="AC208" s="15" t="n">
        <v>1</v>
      </c>
      <c r="AD208" s="17" t="n">
        <f aca="false">IF(COUNTIFS(Clips!$F:$F,$B208,Clips!$M:$M,"&gt;0",Clips!$C:$C,"&lt;&gt;excluded")=0,"",AVERAGEIFS(Clips!$M:$M,Clips!$F:$F,$B208,Clips!$M:$M,"&gt;0",Clips!$C:$C,"&lt;&gt;excluded"))</f>
        <v>4</v>
      </c>
      <c r="AE208" s="15" t="n">
        <f aca="false">COUNTIFS(Clips!$F:$F,$B208,Clips!$O:$O,"&lt;&gt;",Clips!$B:$B,"&lt;&gt;site",Clips!$C:$C,"&lt;&gt;excluded")</f>
        <v>0</v>
      </c>
      <c r="AF208" s="15" t="n">
        <f aca="false">COUNTIFS(Clips!$F:$F,$B208,Clips!$I:$I,"&lt;5",Clips!$C:$C,"&lt;&gt;excluded")</f>
        <v>0</v>
      </c>
      <c r="AG208" s="5"/>
    </row>
    <row r="209" customFormat="false" ht="15" hidden="false" customHeight="false" outlineLevel="0" collapsed="false">
      <c r="A209" s="15" t="n">
        <v>41</v>
      </c>
      <c r="B209" s="15" t="s">
        <v>783</v>
      </c>
      <c r="C209" s="15" t="s">
        <v>784</v>
      </c>
      <c r="D209" s="15" t="s">
        <v>785</v>
      </c>
      <c r="E209" s="15" t="s">
        <v>147</v>
      </c>
      <c r="F209" s="15" t="s">
        <v>613</v>
      </c>
      <c r="G209" s="15" t="str">
        <f aca="false">IF(AND($E209="bird",$K209&gt;0),"yes","")</f>
        <v/>
      </c>
      <c r="H209" s="15"/>
      <c r="I209" s="15" t="str">
        <f aca="false">IF($E209="bird",IF(COUNTIF('eBird List'!$A:$A,$B209)&gt;0,"yes","no"),"")</f>
        <v>yes</v>
      </c>
      <c r="J209" s="16" t="n">
        <f aca="false">IF(COUNTIF('eBird List'!$A:$A,$B209)=0,"",INDEX('eBird List'!$C:$C,MATCH($B209,'eBird List'!$A:$A,0)))</f>
        <v>0.0284727186085299</v>
      </c>
      <c r="K209" s="15" t="n">
        <f aca="false">COUNTIFS(Clips!$B:$B,"site",Clips!$F:$F,$B209)+COUNTIFS(Clips!$B:$B,"site",Clips!$O:$O,"*"&amp;$B209&amp;"*")</f>
        <v>0</v>
      </c>
      <c r="L209" s="15" t="n">
        <f aca="false">COUNTIFS(Clips!$F:$F,$B209,Clips!$B:$B,"macaulay")</f>
        <v>1</v>
      </c>
      <c r="M209" s="15" t="n">
        <f aca="false">COUNTIFS(Clips!$F:$F,$B209,Clips!$B:$B,"xeno-canto")</f>
        <v>0</v>
      </c>
      <c r="N209" s="15" t="n">
        <f aca="false">K209+L209+M209</f>
        <v>1</v>
      </c>
      <c r="O209" s="15" t="n">
        <f aca="false">COUNTIFS(Clips!$F:$F,$B209,Clips!$C:$C,"excluded")</f>
        <v>0</v>
      </c>
      <c r="P209" s="15" t="n">
        <f aca="false">COUNTIFS(Clips!$F:$F,$B209,Clips!$C:$C,"train")</f>
        <v>0</v>
      </c>
      <c r="Q209" s="15" t="n">
        <f aca="false">COUNTIFS(Clips!$F:$F,$B209,Clips!$C:$C,"val")</f>
        <v>0</v>
      </c>
      <c r="R209" s="15" t="n">
        <f aca="false">COUNTIFS(Clips!$F:$F,$B209,Clips!$C:$C,"test")</f>
        <v>1</v>
      </c>
      <c r="S209" s="17" t="n">
        <f aca="false">SUMIFS(Clips!$I:$I,Clips!$F:$F,$B209,Clips!$C:$C,"train")/60</f>
        <v>0</v>
      </c>
      <c r="T209" s="17" t="n">
        <f aca="false">SUMIFS(Clips!$I:$I,Clips!$F:$F,$B209,Clips!$C:$C,"val")/60</f>
        <v>0</v>
      </c>
      <c r="U209" s="17" t="n">
        <f aca="false">SUMIFS(Clips!$I:$I,Clips!$F:$F,$B209,Clips!$C:$C,"test")/60</f>
        <v>1.36976666666667</v>
      </c>
      <c r="V209" s="15" t="n">
        <f aca="false">SUMIFS(Clips!$J:$J,Clips!$F:$F,$B209,Clips!$C:$C,"train")</f>
        <v>0</v>
      </c>
      <c r="W209" s="18" t="str">
        <f aca="false">IF(V209=0,"",Splits!$B$49/(Splits!$B$50*V209))</f>
        <v/>
      </c>
      <c r="X209" s="15" t="str">
        <f aca="false">IF(P209&gt;0,IF(AND(Q209&gt;0,R209&gt;0),"train + val + test",IF(R209&gt;0,"train + test","train only")),IF(R209&gt;0,"test only (unknown class)",IF(K209&gt;0,"site extract only","no usable audio")))</f>
        <v>test only (unknown class)</v>
      </c>
      <c r="Y209" s="15" t="str">
        <f aca="false">IF($P209=0,"",IF($E209="nonbird",$B209,IF($G209="yes",$B209,"other bird")))</f>
        <v/>
      </c>
      <c r="Z209" s="15" t="str">
        <f aca="false">IF(AND($F209="core",$P209&gt;0),$B209,"")</f>
        <v/>
      </c>
      <c r="AA209" s="15" t="str">
        <f aca="false">IF($P209&gt;0,$B209,"")</f>
        <v/>
      </c>
      <c r="AB209" s="15" t="n">
        <v>1</v>
      </c>
      <c r="AC209" s="15" t="n">
        <v>1</v>
      </c>
      <c r="AD209" s="17" t="n">
        <f aca="false">IF(COUNTIFS(Clips!$F:$F,$B209,Clips!$M:$M,"&gt;0",Clips!$C:$C,"&lt;&gt;excluded")=0,"",AVERAGEIFS(Clips!$M:$M,Clips!$F:$F,$B209,Clips!$M:$M,"&gt;0",Clips!$C:$C,"&lt;&gt;excluded"))</f>
        <v>3</v>
      </c>
      <c r="AE209" s="15" t="n">
        <f aca="false">COUNTIFS(Clips!$F:$F,$B209,Clips!$O:$O,"&lt;&gt;",Clips!$B:$B,"&lt;&gt;site",Clips!$C:$C,"&lt;&gt;excluded")</f>
        <v>0</v>
      </c>
      <c r="AF209" s="15" t="n">
        <f aca="false">COUNTIFS(Clips!$F:$F,$B209,Clips!$I:$I,"&lt;5",Clips!$C:$C,"&lt;&gt;excluded")</f>
        <v>0</v>
      </c>
      <c r="AG209" s="5"/>
    </row>
    <row r="210" customFormat="false" ht="15" hidden="false" customHeight="false" outlineLevel="0" collapsed="false">
      <c r="A210" s="15" t="n">
        <v>61</v>
      </c>
      <c r="B210" s="15" t="s">
        <v>786</v>
      </c>
      <c r="C210" s="15" t="s">
        <v>787</v>
      </c>
      <c r="D210" s="15" t="s">
        <v>788</v>
      </c>
      <c r="E210" s="15" t="s">
        <v>147</v>
      </c>
      <c r="F210" s="15" t="s">
        <v>647</v>
      </c>
      <c r="G210" s="15" t="str">
        <f aca="false">IF(AND($E210="bird",$K210&gt;0),"yes","")</f>
        <v/>
      </c>
      <c r="H210" s="15"/>
      <c r="I210" s="15" t="str">
        <f aca="false">IF($E210="bird",IF(COUNTIF('eBird List'!$A:$A,$B210)&gt;0,"yes","no"),"")</f>
        <v>yes</v>
      </c>
      <c r="J210" s="16" t="n">
        <f aca="false">IF(COUNTIF('eBird List'!$A:$A,$B210)=0,"",INDEX('eBird List'!$C:$C,MATCH($B210,'eBird List'!$A:$A,0)))</f>
        <v>0.000565880390755301</v>
      </c>
      <c r="K210" s="15" t="n">
        <f aca="false">COUNTIFS(Clips!$B:$B,"site",Clips!$F:$F,$B210)+COUNTIFS(Clips!$B:$B,"site",Clips!$O:$O,"*"&amp;$B210&amp;"*")</f>
        <v>0</v>
      </c>
      <c r="L210" s="15" t="n">
        <f aca="false">COUNTIFS(Clips!$F:$F,$B210,Clips!$B:$B,"macaulay")</f>
        <v>0</v>
      </c>
      <c r="M210" s="15" t="n">
        <f aca="false">COUNTIFS(Clips!$F:$F,$B210,Clips!$B:$B,"xeno-canto")</f>
        <v>1</v>
      </c>
      <c r="N210" s="15" t="n">
        <f aca="false">K210+L210+M210</f>
        <v>1</v>
      </c>
      <c r="O210" s="15" t="n">
        <f aca="false">COUNTIFS(Clips!$F:$F,$B210,Clips!$C:$C,"excluded")</f>
        <v>0</v>
      </c>
      <c r="P210" s="15" t="n">
        <f aca="false">COUNTIFS(Clips!$F:$F,$B210,Clips!$C:$C,"train")</f>
        <v>1</v>
      </c>
      <c r="Q210" s="15" t="n">
        <f aca="false">COUNTIFS(Clips!$F:$F,$B210,Clips!$C:$C,"val")</f>
        <v>0</v>
      </c>
      <c r="R210" s="15" t="n">
        <f aca="false">COUNTIFS(Clips!$F:$F,$B210,Clips!$C:$C,"test")</f>
        <v>0</v>
      </c>
      <c r="S210" s="17" t="n">
        <f aca="false">SUMIFS(Clips!$I:$I,Clips!$F:$F,$B210,Clips!$C:$C,"train")/60</f>
        <v>0.1508</v>
      </c>
      <c r="T210" s="17" t="n">
        <f aca="false">SUMIFS(Clips!$I:$I,Clips!$F:$F,$B210,Clips!$C:$C,"val")/60</f>
        <v>0</v>
      </c>
      <c r="U210" s="17" t="n">
        <f aca="false">SUMIFS(Clips!$I:$I,Clips!$F:$F,$B210,Clips!$C:$C,"test")/60</f>
        <v>0</v>
      </c>
      <c r="V210" s="15" t="n">
        <f aca="false">SUMIFS(Clips!$J:$J,Clips!$F:$F,$B210,Clips!$C:$C,"train")</f>
        <v>2</v>
      </c>
      <c r="W210" s="18" t="n">
        <f aca="false">IF(V210=0,"",Splits!$B$49/(Splits!$B$50*V210))</f>
        <v>77.9127358490566</v>
      </c>
      <c r="X210" s="15" t="str">
        <f aca="false">IF(P210&gt;0,IF(AND(Q210&gt;0,R210&gt;0),"train + val + test",IF(R210&gt;0,"train + test","train only")),IF(R210&gt;0,"test only (unknown class)",IF(K210&gt;0,"site extract only","no usable audio")))</f>
        <v>train only</v>
      </c>
      <c r="Y210" s="15" t="str">
        <f aca="false">IF($P210=0,"",IF($E210="nonbird",$B210,IF($G210="yes",$B210,"other bird")))</f>
        <v>other bird</v>
      </c>
      <c r="Z210" s="15" t="str">
        <f aca="false">IF(AND($F210="core",$P210&gt;0),$B210,"")</f>
        <v/>
      </c>
      <c r="AA210" s="15" t="str">
        <f aca="false">IF($P210&gt;0,$B210,"")</f>
        <v>Collared Trogon</v>
      </c>
      <c r="AB210" s="15" t="n">
        <v>1</v>
      </c>
      <c r="AC210" s="15" t="n">
        <v>1</v>
      </c>
      <c r="AD210" s="17" t="str">
        <f aca="false">IF(COUNTIFS(Clips!$F:$F,$B210,Clips!$M:$M,"&gt;0",Clips!$C:$C,"&lt;&gt;excluded")=0,"",AVERAGEIFS(Clips!$M:$M,Clips!$F:$F,$B210,Clips!$M:$M,"&gt;0",Clips!$C:$C,"&lt;&gt;excluded"))</f>
        <v/>
      </c>
      <c r="AE210" s="15" t="n">
        <f aca="false">COUNTIFS(Clips!$F:$F,$B210,Clips!$O:$O,"&lt;&gt;",Clips!$B:$B,"&lt;&gt;site",Clips!$C:$C,"&lt;&gt;excluded")</f>
        <v>0</v>
      </c>
      <c r="AF210" s="15" t="n">
        <f aca="false">COUNTIFS(Clips!$F:$F,$B210,Clips!$I:$I,"&lt;5",Clips!$C:$C,"&lt;&gt;excluded")</f>
        <v>0</v>
      </c>
      <c r="AG210" s="5" t="s">
        <v>710</v>
      </c>
    </row>
    <row r="211" customFormat="false" ht="15" hidden="false" customHeight="false" outlineLevel="0" collapsed="false">
      <c r="A211" s="15" t="n">
        <v>62</v>
      </c>
      <c r="B211" s="15" t="s">
        <v>789</v>
      </c>
      <c r="C211" s="15" t="s">
        <v>790</v>
      </c>
      <c r="D211" s="15" t="s">
        <v>791</v>
      </c>
      <c r="E211" s="15" t="s">
        <v>147</v>
      </c>
      <c r="F211" s="15" t="s">
        <v>613</v>
      </c>
      <c r="G211" s="15" t="str">
        <f aca="false">IF(AND($E211="bird",$K211&gt;0),"yes","")</f>
        <v/>
      </c>
      <c r="H211" s="15"/>
      <c r="I211" s="15" t="str">
        <f aca="false">IF($E211="bird",IF(COUNTIF('eBird List'!$A:$A,$B211)&gt;0,"yes","no"),"")</f>
        <v>no</v>
      </c>
      <c r="J211" s="16" t="str">
        <f aca="false">IF(COUNTIF('eBird List'!$A:$A,$B211)=0,"",INDEX('eBird List'!$C:$C,MATCH($B211,'eBird List'!$A:$A,0)))</f>
        <v/>
      </c>
      <c r="K211" s="15" t="n">
        <f aca="false">COUNTIFS(Clips!$B:$B,"site",Clips!$F:$F,$B211)+COUNTIFS(Clips!$B:$B,"site",Clips!$O:$O,"*"&amp;$B211&amp;"*")</f>
        <v>0</v>
      </c>
      <c r="L211" s="15" t="n">
        <f aca="false">COUNTIFS(Clips!$F:$F,$B211,Clips!$B:$B,"macaulay")</f>
        <v>1</v>
      </c>
      <c r="M211" s="15" t="n">
        <f aca="false">COUNTIFS(Clips!$F:$F,$B211,Clips!$B:$B,"xeno-canto")</f>
        <v>0</v>
      </c>
      <c r="N211" s="15" t="n">
        <f aca="false">K211+L211+M211</f>
        <v>1</v>
      </c>
      <c r="O211" s="15" t="n">
        <f aca="false">COUNTIFS(Clips!$F:$F,$B211,Clips!$C:$C,"excluded")</f>
        <v>0</v>
      </c>
      <c r="P211" s="15" t="n">
        <f aca="false">COUNTIFS(Clips!$F:$F,$B211,Clips!$C:$C,"train")</f>
        <v>0</v>
      </c>
      <c r="Q211" s="15" t="n">
        <f aca="false">COUNTIFS(Clips!$F:$F,$B211,Clips!$C:$C,"val")</f>
        <v>0</v>
      </c>
      <c r="R211" s="15" t="n">
        <f aca="false">COUNTIFS(Clips!$F:$F,$B211,Clips!$C:$C,"test")</f>
        <v>1</v>
      </c>
      <c r="S211" s="17" t="n">
        <f aca="false">SUMIFS(Clips!$I:$I,Clips!$F:$F,$B211,Clips!$C:$C,"train")/60</f>
        <v>0</v>
      </c>
      <c r="T211" s="17" t="n">
        <f aca="false">SUMIFS(Clips!$I:$I,Clips!$F:$F,$B211,Clips!$C:$C,"val")/60</f>
        <v>0</v>
      </c>
      <c r="U211" s="17" t="n">
        <f aca="false">SUMIFS(Clips!$I:$I,Clips!$F:$F,$B211,Clips!$C:$C,"test")/60</f>
        <v>0.609116666666667</v>
      </c>
      <c r="V211" s="15" t="n">
        <f aca="false">SUMIFS(Clips!$J:$J,Clips!$F:$F,$B211,Clips!$C:$C,"train")</f>
        <v>0</v>
      </c>
      <c r="W211" s="18" t="str">
        <f aca="false">IF(V211=0,"",Splits!$B$49/(Splits!$B$50*V211))</f>
        <v/>
      </c>
      <c r="X211" s="15" t="str">
        <f aca="false">IF(P211&gt;0,IF(AND(Q211&gt;0,R211&gt;0),"train + val + test",IF(R211&gt;0,"train + test","train only")),IF(R211&gt;0,"test only (unknown class)",IF(K211&gt;0,"site extract only","no usable audio")))</f>
        <v>test only (unknown class)</v>
      </c>
      <c r="Y211" s="15" t="str">
        <f aca="false">IF($P211=0,"",IF($E211="nonbird",$B211,IF($G211="yes",$B211,"other bird")))</f>
        <v/>
      </c>
      <c r="Z211" s="15" t="str">
        <f aca="false">IF(AND($F211="core",$P211&gt;0),$B211,"")</f>
        <v/>
      </c>
      <c r="AA211" s="15" t="str">
        <f aca="false">IF($P211&gt;0,$B211,"")</f>
        <v/>
      </c>
      <c r="AB211" s="15" t="n">
        <v>1</v>
      </c>
      <c r="AC211" s="15" t="n">
        <v>1</v>
      </c>
      <c r="AD211" s="17" t="n">
        <f aca="false">IF(COUNTIFS(Clips!$F:$F,$B211,Clips!$M:$M,"&gt;0",Clips!$C:$C,"&lt;&gt;excluded")=0,"",AVERAGEIFS(Clips!$M:$M,Clips!$F:$F,$B211,Clips!$M:$M,"&gt;0",Clips!$C:$C,"&lt;&gt;excluded"))</f>
        <v>1</v>
      </c>
      <c r="AE211" s="15" t="n">
        <f aca="false">COUNTIFS(Clips!$F:$F,$B211,Clips!$O:$O,"&lt;&gt;",Clips!$B:$B,"&lt;&gt;site",Clips!$C:$C,"&lt;&gt;excluded")</f>
        <v>0</v>
      </c>
      <c r="AF211" s="15" t="n">
        <f aca="false">COUNTIFS(Clips!$F:$F,$B211,Clips!$I:$I,"&lt;5",Clips!$C:$C,"&lt;&gt;excluded")</f>
        <v>0</v>
      </c>
      <c r="AG211" s="5" t="s">
        <v>770</v>
      </c>
    </row>
    <row r="212" customFormat="false" ht="15" hidden="false" customHeight="false" outlineLevel="0" collapsed="false">
      <c r="A212" s="15" t="n">
        <v>67</v>
      </c>
      <c r="B212" s="15" t="s">
        <v>792</v>
      </c>
      <c r="C212" s="15" t="s">
        <v>793</v>
      </c>
      <c r="D212" s="15"/>
      <c r="E212" s="15" t="s">
        <v>147</v>
      </c>
      <c r="F212" s="15" t="s">
        <v>647</v>
      </c>
      <c r="G212" s="15" t="str">
        <f aca="false">IF(AND($E212="bird",$K212&gt;0),"yes","")</f>
        <v/>
      </c>
      <c r="H212" s="15"/>
      <c r="I212" s="15" t="str">
        <f aca="false">IF($E212="bird",IF(COUNTIF('eBird List'!$A:$A,$B212)&gt;0,"yes","no"),"")</f>
        <v>no</v>
      </c>
      <c r="J212" s="16" t="str">
        <f aca="false">IF(COUNTIF('eBird List'!$A:$A,$B212)=0,"",INDEX('eBird List'!$C:$C,MATCH($B212,'eBird List'!$A:$A,0)))</f>
        <v/>
      </c>
      <c r="K212" s="15" t="n">
        <f aca="false">COUNTIFS(Clips!$B:$B,"site",Clips!$F:$F,$B212)+COUNTIFS(Clips!$B:$B,"site",Clips!$O:$O,"*"&amp;$B212&amp;"*")</f>
        <v>0</v>
      </c>
      <c r="L212" s="15" t="n">
        <f aca="false">COUNTIFS(Clips!$F:$F,$B212,Clips!$B:$B,"macaulay")</f>
        <v>0</v>
      </c>
      <c r="M212" s="15" t="n">
        <f aca="false">COUNTIFS(Clips!$F:$F,$B212,Clips!$B:$B,"xeno-canto")</f>
        <v>1</v>
      </c>
      <c r="N212" s="15" t="n">
        <f aca="false">K212+L212+M212</f>
        <v>1</v>
      </c>
      <c r="O212" s="15" t="n">
        <f aca="false">COUNTIFS(Clips!$F:$F,$B212,Clips!$C:$C,"excluded")</f>
        <v>0</v>
      </c>
      <c r="P212" s="15" t="n">
        <f aca="false">COUNTIFS(Clips!$F:$F,$B212,Clips!$C:$C,"train")</f>
        <v>1</v>
      </c>
      <c r="Q212" s="15" t="n">
        <f aca="false">COUNTIFS(Clips!$F:$F,$B212,Clips!$C:$C,"val")</f>
        <v>0</v>
      </c>
      <c r="R212" s="15" t="n">
        <f aca="false">COUNTIFS(Clips!$F:$F,$B212,Clips!$C:$C,"test")</f>
        <v>0</v>
      </c>
      <c r="S212" s="17" t="n">
        <f aca="false">SUMIFS(Clips!$I:$I,Clips!$F:$F,$B212,Clips!$C:$C,"train")/60</f>
        <v>0.092</v>
      </c>
      <c r="T212" s="17" t="n">
        <f aca="false">SUMIFS(Clips!$I:$I,Clips!$F:$F,$B212,Clips!$C:$C,"val")/60</f>
        <v>0</v>
      </c>
      <c r="U212" s="17" t="n">
        <f aca="false">SUMIFS(Clips!$I:$I,Clips!$F:$F,$B212,Clips!$C:$C,"test")/60</f>
        <v>0</v>
      </c>
      <c r="V212" s="15" t="n">
        <f aca="false">SUMIFS(Clips!$J:$J,Clips!$F:$F,$B212,Clips!$C:$C,"train")</f>
        <v>2</v>
      </c>
      <c r="W212" s="18" t="n">
        <f aca="false">IF(V212=0,"",Splits!$B$49/(Splits!$B$50*V212))</f>
        <v>77.9127358490566</v>
      </c>
      <c r="X212" s="15" t="str">
        <f aca="false">IF(P212&gt;0,IF(AND(Q212&gt;0,R212&gt;0),"train + val + test",IF(R212&gt;0,"train + test","train only")),IF(R212&gt;0,"test only (unknown class)",IF(K212&gt;0,"site extract only","no usable audio")))</f>
        <v>train only</v>
      </c>
      <c r="Y212" s="15" t="str">
        <f aca="false">IF($P212=0,"",IF($E212="nonbird",$B212,IF($G212="yes",$B212,"other bird")))</f>
        <v>other bird</v>
      </c>
      <c r="Z212" s="15" t="str">
        <f aca="false">IF(AND($F212="core",$P212&gt;0),$B212,"")</f>
        <v/>
      </c>
      <c r="AA212" s="15" t="str">
        <f aca="false">IF($P212&gt;0,$B212,"")</f>
        <v>Coppery-headed Emerald</v>
      </c>
      <c r="AB212" s="15" t="n">
        <v>1</v>
      </c>
      <c r="AC212" s="15" t="n">
        <v>1</v>
      </c>
      <c r="AD212" s="17" t="str">
        <f aca="false">IF(COUNTIFS(Clips!$F:$F,$B212,Clips!$M:$M,"&gt;0",Clips!$C:$C,"&lt;&gt;excluded")=0,"",AVERAGEIFS(Clips!$M:$M,Clips!$F:$F,$B212,Clips!$M:$M,"&gt;0",Clips!$C:$C,"&lt;&gt;excluded"))</f>
        <v/>
      </c>
      <c r="AE212" s="15" t="n">
        <f aca="false">COUNTIFS(Clips!$F:$F,$B212,Clips!$O:$O,"&lt;&gt;",Clips!$B:$B,"&lt;&gt;site",Clips!$C:$C,"&lt;&gt;excluded")</f>
        <v>0</v>
      </c>
      <c r="AF212" s="15" t="n">
        <f aca="false">COUNTIFS(Clips!$F:$F,$B212,Clips!$I:$I,"&lt;5",Clips!$C:$C,"&lt;&gt;excluded")</f>
        <v>0</v>
      </c>
      <c r="AG212" s="5" t="s">
        <v>648</v>
      </c>
    </row>
    <row r="213" customFormat="false" ht="15" hidden="false" customHeight="false" outlineLevel="0" collapsed="false">
      <c r="A213" s="15" t="n">
        <v>68</v>
      </c>
      <c r="B213" s="15" t="s">
        <v>794</v>
      </c>
      <c r="C213" s="15" t="s">
        <v>795</v>
      </c>
      <c r="D213" s="15"/>
      <c r="E213" s="15" t="s">
        <v>147</v>
      </c>
      <c r="F213" s="15" t="s">
        <v>647</v>
      </c>
      <c r="G213" s="15" t="str">
        <f aca="false">IF(AND($E213="bird",$K213&gt;0),"yes","")</f>
        <v/>
      </c>
      <c r="H213" s="15"/>
      <c r="I213" s="15" t="str">
        <f aca="false">IF($E213="bird",IF(COUNTIF('eBird List'!$A:$A,$B213)&gt;0,"yes","no"),"")</f>
        <v>no</v>
      </c>
      <c r="J213" s="16" t="str">
        <f aca="false">IF(COUNTIF('eBird List'!$A:$A,$B213)=0,"",INDEX('eBird List'!$C:$C,MATCH($B213,'eBird List'!$A:$A,0)))</f>
        <v/>
      </c>
      <c r="K213" s="15" t="n">
        <f aca="false">COUNTIFS(Clips!$B:$B,"site",Clips!$F:$F,$B213)+COUNTIFS(Clips!$B:$B,"site",Clips!$O:$O,"*"&amp;$B213&amp;"*")</f>
        <v>0</v>
      </c>
      <c r="L213" s="15" t="n">
        <f aca="false">COUNTIFS(Clips!$F:$F,$B213,Clips!$B:$B,"macaulay")</f>
        <v>0</v>
      </c>
      <c r="M213" s="15" t="n">
        <f aca="false">COUNTIFS(Clips!$F:$F,$B213,Clips!$B:$B,"xeno-canto")</f>
        <v>1</v>
      </c>
      <c r="N213" s="15" t="n">
        <f aca="false">K213+L213+M213</f>
        <v>1</v>
      </c>
      <c r="O213" s="15" t="n">
        <f aca="false">COUNTIFS(Clips!$F:$F,$B213,Clips!$C:$C,"excluded")</f>
        <v>0</v>
      </c>
      <c r="P213" s="15" t="n">
        <f aca="false">COUNTIFS(Clips!$F:$F,$B213,Clips!$C:$C,"train")</f>
        <v>1</v>
      </c>
      <c r="Q213" s="15" t="n">
        <f aca="false">COUNTIFS(Clips!$F:$F,$B213,Clips!$C:$C,"val")</f>
        <v>0</v>
      </c>
      <c r="R213" s="15" t="n">
        <f aca="false">COUNTIFS(Clips!$F:$F,$B213,Clips!$C:$C,"test")</f>
        <v>0</v>
      </c>
      <c r="S213" s="17" t="n">
        <f aca="false">SUMIFS(Clips!$I:$I,Clips!$F:$F,$B213,Clips!$C:$C,"train")/60</f>
        <v>0.34</v>
      </c>
      <c r="T213" s="17" t="n">
        <f aca="false">SUMIFS(Clips!$I:$I,Clips!$F:$F,$B213,Clips!$C:$C,"val")/60</f>
        <v>0</v>
      </c>
      <c r="U213" s="17" t="n">
        <f aca="false">SUMIFS(Clips!$I:$I,Clips!$F:$F,$B213,Clips!$C:$C,"test")/60</f>
        <v>0</v>
      </c>
      <c r="V213" s="15" t="n">
        <f aca="false">SUMIFS(Clips!$J:$J,Clips!$F:$F,$B213,Clips!$C:$C,"train")</f>
        <v>5</v>
      </c>
      <c r="W213" s="18" t="n">
        <f aca="false">IF(V213=0,"",Splits!$B$49/(Splits!$B$50*V213))</f>
        <v>31.1650943396226</v>
      </c>
      <c r="X213" s="15" t="str">
        <f aca="false">IF(P213&gt;0,IF(AND(Q213&gt;0,R213&gt;0),"train + val + test",IF(R213&gt;0,"train + test","train only")),IF(R213&gt;0,"test only (unknown class)",IF(K213&gt;0,"site extract only","no usable audio")))</f>
        <v>train only</v>
      </c>
      <c r="Y213" s="15" t="str">
        <f aca="false">IF($P213=0,"",IF($E213="nonbird",$B213,IF($G213="yes",$B213,"other bird")))</f>
        <v>other bird</v>
      </c>
      <c r="Z213" s="15" t="str">
        <f aca="false">IF(AND($F213="core",$P213&gt;0),$B213,"")</f>
        <v/>
      </c>
      <c r="AA213" s="15" t="str">
        <f aca="false">IF($P213&gt;0,$B213,"")</f>
        <v>Costa Rican Warbler</v>
      </c>
      <c r="AB213" s="15" t="n">
        <v>1</v>
      </c>
      <c r="AC213" s="15" t="n">
        <v>1</v>
      </c>
      <c r="AD213" s="17" t="str">
        <f aca="false">IF(COUNTIFS(Clips!$F:$F,$B213,Clips!$M:$M,"&gt;0",Clips!$C:$C,"&lt;&gt;excluded")=0,"",AVERAGEIFS(Clips!$M:$M,Clips!$F:$F,$B213,Clips!$M:$M,"&gt;0",Clips!$C:$C,"&lt;&gt;excluded"))</f>
        <v/>
      </c>
      <c r="AE213" s="15" t="n">
        <f aca="false">COUNTIFS(Clips!$F:$F,$B213,Clips!$O:$O,"&lt;&gt;",Clips!$B:$B,"&lt;&gt;site",Clips!$C:$C,"&lt;&gt;excluded")</f>
        <v>0</v>
      </c>
      <c r="AF213" s="15" t="n">
        <f aca="false">COUNTIFS(Clips!$F:$F,$B213,Clips!$I:$I,"&lt;5",Clips!$C:$C,"&lt;&gt;excluded")</f>
        <v>0</v>
      </c>
      <c r="AG213" s="5" t="s">
        <v>648</v>
      </c>
    </row>
    <row r="214" customFormat="false" ht="15" hidden="false" customHeight="false" outlineLevel="0" collapsed="false">
      <c r="A214" s="15" t="n">
        <v>69</v>
      </c>
      <c r="B214" s="15" t="s">
        <v>796</v>
      </c>
      <c r="C214" s="15" t="s">
        <v>797</v>
      </c>
      <c r="D214" s="15" t="s">
        <v>798</v>
      </c>
      <c r="E214" s="15" t="s">
        <v>147</v>
      </c>
      <c r="F214" s="15" t="s">
        <v>613</v>
      </c>
      <c r="G214" s="15" t="str">
        <f aca="false">IF(AND($E214="bird",$K214&gt;0),"yes","")</f>
        <v/>
      </c>
      <c r="H214" s="15"/>
      <c r="I214" s="15" t="str">
        <f aca="false">IF($E214="bird",IF(COUNTIF('eBird List'!$A:$A,$B214)&gt;0,"yes","no"),"")</f>
        <v>yes</v>
      </c>
      <c r="J214" s="16" t="n">
        <f aca="false">IF(COUNTIF('eBird List'!$A:$A,$B214)=0,"",INDEX('eBird List'!$C:$C,MATCH($B214,'eBird List'!$A:$A,0)))</f>
        <v>0.0396711937097927</v>
      </c>
      <c r="K214" s="15" t="n">
        <f aca="false">COUNTIFS(Clips!$B:$B,"site",Clips!$F:$F,$B214)+COUNTIFS(Clips!$B:$B,"site",Clips!$O:$O,"*"&amp;$B214&amp;"*")</f>
        <v>0</v>
      </c>
      <c r="L214" s="15" t="n">
        <f aca="false">COUNTIFS(Clips!$F:$F,$B214,Clips!$B:$B,"macaulay")</f>
        <v>1</v>
      </c>
      <c r="M214" s="15" t="n">
        <f aca="false">COUNTIFS(Clips!$F:$F,$B214,Clips!$B:$B,"xeno-canto")</f>
        <v>0</v>
      </c>
      <c r="N214" s="15" t="n">
        <f aca="false">K214+L214+M214</f>
        <v>1</v>
      </c>
      <c r="O214" s="15" t="n">
        <f aca="false">COUNTIFS(Clips!$F:$F,$B214,Clips!$C:$C,"excluded")</f>
        <v>0</v>
      </c>
      <c r="P214" s="15" t="n">
        <f aca="false">COUNTIFS(Clips!$F:$F,$B214,Clips!$C:$C,"train")</f>
        <v>0</v>
      </c>
      <c r="Q214" s="15" t="n">
        <f aca="false">COUNTIFS(Clips!$F:$F,$B214,Clips!$C:$C,"val")</f>
        <v>0</v>
      </c>
      <c r="R214" s="15" t="n">
        <f aca="false">COUNTIFS(Clips!$F:$F,$B214,Clips!$C:$C,"test")</f>
        <v>1</v>
      </c>
      <c r="S214" s="17" t="n">
        <f aca="false">SUMIFS(Clips!$I:$I,Clips!$F:$F,$B214,Clips!$C:$C,"train")/60</f>
        <v>0</v>
      </c>
      <c r="T214" s="17" t="n">
        <f aca="false">SUMIFS(Clips!$I:$I,Clips!$F:$F,$B214,Clips!$C:$C,"val")/60</f>
        <v>0</v>
      </c>
      <c r="U214" s="17" t="n">
        <f aca="false">SUMIFS(Clips!$I:$I,Clips!$F:$F,$B214,Clips!$C:$C,"test")/60</f>
        <v>0.292816666666667</v>
      </c>
      <c r="V214" s="15" t="n">
        <f aca="false">SUMIFS(Clips!$J:$J,Clips!$F:$F,$B214,Clips!$C:$C,"train")</f>
        <v>0</v>
      </c>
      <c r="W214" s="18" t="str">
        <f aca="false">IF(V214=0,"",Splits!$B$49/(Splits!$B$50*V214))</f>
        <v/>
      </c>
      <c r="X214" s="15" t="str">
        <f aca="false">IF(P214&gt;0,IF(AND(Q214&gt;0,R214&gt;0),"train + val + test",IF(R214&gt;0,"train + test","train only")),IF(R214&gt;0,"test only (unknown class)",IF(K214&gt;0,"site extract only","no usable audio")))</f>
        <v>test only (unknown class)</v>
      </c>
      <c r="Y214" s="15" t="str">
        <f aca="false">IF($P214=0,"",IF($E214="nonbird",$B214,IF($G214="yes",$B214,"other bird")))</f>
        <v/>
      </c>
      <c r="Z214" s="15" t="str">
        <f aca="false">IF(AND($F214="core",$P214&gt;0),$B214,"")</f>
        <v/>
      </c>
      <c r="AA214" s="15" t="str">
        <f aca="false">IF($P214&gt;0,$B214,"")</f>
        <v/>
      </c>
      <c r="AB214" s="15" t="n">
        <v>1</v>
      </c>
      <c r="AC214" s="15" t="n">
        <v>1</v>
      </c>
      <c r="AD214" s="17" t="n">
        <f aca="false">IF(COUNTIFS(Clips!$F:$F,$B214,Clips!$M:$M,"&gt;0",Clips!$C:$C,"&lt;&gt;excluded")=0,"",AVERAGEIFS(Clips!$M:$M,Clips!$F:$F,$B214,Clips!$M:$M,"&gt;0",Clips!$C:$C,"&lt;&gt;excluded"))</f>
        <v>2</v>
      </c>
      <c r="AE214" s="15" t="n">
        <f aca="false">COUNTIFS(Clips!$F:$F,$B214,Clips!$O:$O,"&lt;&gt;",Clips!$B:$B,"&lt;&gt;site",Clips!$C:$C,"&lt;&gt;excluded")</f>
        <v>1</v>
      </c>
      <c r="AF214" s="15" t="n">
        <f aca="false">COUNTIFS(Clips!$F:$F,$B214,Clips!$I:$I,"&lt;5",Clips!$C:$C,"&lt;&gt;excluded")</f>
        <v>0</v>
      </c>
      <c r="AG214" s="5"/>
    </row>
    <row r="215" customFormat="false" ht="15" hidden="false" customHeight="false" outlineLevel="0" collapsed="false">
      <c r="A215" s="15" t="n">
        <v>74</v>
      </c>
      <c r="B215" s="15" t="s">
        <v>799</v>
      </c>
      <c r="C215" s="15" t="s">
        <v>800</v>
      </c>
      <c r="D215" s="15" t="s">
        <v>801</v>
      </c>
      <c r="E215" s="15" t="s">
        <v>147</v>
      </c>
      <c r="F215" s="15" t="s">
        <v>613</v>
      </c>
      <c r="G215" s="15" t="str">
        <f aca="false">IF(AND($E215="bird",$K215&gt;0),"yes","")</f>
        <v/>
      </c>
      <c r="H215" s="15"/>
      <c r="I215" s="15" t="str">
        <f aca="false">IF($E215="bird",IF(COUNTIF('eBird List'!$A:$A,$B215)&gt;0,"yes","no"),"")</f>
        <v>yes</v>
      </c>
      <c r="J215" s="16" t="n">
        <f aca="false">IF(COUNTIF('eBird List'!$A:$A,$B215)=0,"",INDEX('eBird List'!$C:$C,MATCH($B215,'eBird List'!$A:$A,0)))</f>
        <v>0.112461281868001</v>
      </c>
      <c r="K215" s="15" t="n">
        <f aca="false">COUNTIFS(Clips!$B:$B,"site",Clips!$F:$F,$B215)+COUNTIFS(Clips!$B:$B,"site",Clips!$O:$O,"*"&amp;$B215&amp;"*")</f>
        <v>0</v>
      </c>
      <c r="L215" s="15" t="n">
        <f aca="false">COUNTIFS(Clips!$F:$F,$B215,Clips!$B:$B,"macaulay")</f>
        <v>1</v>
      </c>
      <c r="M215" s="15" t="n">
        <f aca="false">COUNTIFS(Clips!$F:$F,$B215,Clips!$B:$B,"xeno-canto")</f>
        <v>0</v>
      </c>
      <c r="N215" s="15" t="n">
        <f aca="false">K215+L215+M215</f>
        <v>1</v>
      </c>
      <c r="O215" s="15" t="n">
        <f aca="false">COUNTIFS(Clips!$F:$F,$B215,Clips!$C:$C,"excluded")</f>
        <v>0</v>
      </c>
      <c r="P215" s="15" t="n">
        <f aca="false">COUNTIFS(Clips!$F:$F,$B215,Clips!$C:$C,"train")</f>
        <v>0</v>
      </c>
      <c r="Q215" s="15" t="n">
        <f aca="false">COUNTIFS(Clips!$F:$F,$B215,Clips!$C:$C,"val")</f>
        <v>0</v>
      </c>
      <c r="R215" s="15" t="n">
        <f aca="false">COUNTIFS(Clips!$F:$F,$B215,Clips!$C:$C,"test")</f>
        <v>1</v>
      </c>
      <c r="S215" s="17" t="n">
        <f aca="false">SUMIFS(Clips!$I:$I,Clips!$F:$F,$B215,Clips!$C:$C,"train")/60</f>
        <v>0</v>
      </c>
      <c r="T215" s="17" t="n">
        <f aca="false">SUMIFS(Clips!$I:$I,Clips!$F:$F,$B215,Clips!$C:$C,"val")/60</f>
        <v>0</v>
      </c>
      <c r="U215" s="17" t="n">
        <f aca="false">SUMIFS(Clips!$I:$I,Clips!$F:$F,$B215,Clips!$C:$C,"test")/60</f>
        <v>0.436916666666667</v>
      </c>
      <c r="V215" s="15" t="n">
        <f aca="false">SUMIFS(Clips!$J:$J,Clips!$F:$F,$B215,Clips!$C:$C,"train")</f>
        <v>0</v>
      </c>
      <c r="W215" s="18" t="str">
        <f aca="false">IF(V215=0,"",Splits!$B$49/(Splits!$B$50*V215))</f>
        <v/>
      </c>
      <c r="X215" s="15" t="str">
        <f aca="false">IF(P215&gt;0,IF(AND(Q215&gt;0,R215&gt;0),"train + val + test",IF(R215&gt;0,"train + test","train only")),IF(R215&gt;0,"test only (unknown class)",IF(K215&gt;0,"site extract only","no usable audio")))</f>
        <v>test only (unknown class)</v>
      </c>
      <c r="Y215" s="15" t="str">
        <f aca="false">IF($P215=0,"",IF($E215="nonbird",$B215,IF($G215="yes",$B215,"other bird")))</f>
        <v/>
      </c>
      <c r="Z215" s="15" t="str">
        <f aca="false">IF(AND($F215="core",$P215&gt;0),$B215,"")</f>
        <v/>
      </c>
      <c r="AA215" s="15" t="str">
        <f aca="false">IF($P215&gt;0,$B215,"")</f>
        <v/>
      </c>
      <c r="AB215" s="15" t="n">
        <v>1</v>
      </c>
      <c r="AC215" s="15" t="n">
        <v>1</v>
      </c>
      <c r="AD215" s="17" t="n">
        <f aca="false">IF(COUNTIFS(Clips!$F:$F,$B215,Clips!$M:$M,"&gt;0",Clips!$C:$C,"&lt;&gt;excluded")=0,"",AVERAGEIFS(Clips!$M:$M,Clips!$F:$F,$B215,Clips!$M:$M,"&gt;0",Clips!$C:$C,"&lt;&gt;excluded"))</f>
        <v>1.5</v>
      </c>
      <c r="AE215" s="15" t="n">
        <f aca="false">COUNTIFS(Clips!$F:$F,$B215,Clips!$O:$O,"&lt;&gt;",Clips!$B:$B,"&lt;&gt;site",Clips!$C:$C,"&lt;&gt;excluded")</f>
        <v>0</v>
      </c>
      <c r="AF215" s="15" t="n">
        <f aca="false">COUNTIFS(Clips!$F:$F,$B215,Clips!$I:$I,"&lt;5",Clips!$C:$C,"&lt;&gt;excluded")</f>
        <v>0</v>
      </c>
      <c r="AG215" s="5"/>
    </row>
    <row r="216" customFormat="false" ht="15" hidden="false" customHeight="false" outlineLevel="0" collapsed="false">
      <c r="A216" s="15" t="n">
        <v>75</v>
      </c>
      <c r="B216" s="15" t="s">
        <v>802</v>
      </c>
      <c r="C216" s="15" t="s">
        <v>803</v>
      </c>
      <c r="D216" s="15" t="s">
        <v>804</v>
      </c>
      <c r="E216" s="15" t="s">
        <v>147</v>
      </c>
      <c r="F216" s="15" t="s">
        <v>613</v>
      </c>
      <c r="G216" s="15" t="str">
        <f aca="false">IF(AND($E216="bird",$K216&gt;0),"yes","")</f>
        <v/>
      </c>
      <c r="H216" s="15"/>
      <c r="I216" s="15" t="str">
        <f aca="false">IF($E216="bird",IF(COUNTIF('eBird List'!$A:$A,$B216)&gt;0,"yes","no"),"")</f>
        <v>yes</v>
      </c>
      <c r="J216" s="16" t="n">
        <f aca="false">IF(COUNTIF('eBird List'!$A:$A,$B216)=0,"",INDEX('eBird List'!$C:$C,MATCH($B216,'eBird List'!$A:$A,0)))</f>
        <v>0.0687395758875387</v>
      </c>
      <c r="K216" s="15" t="n">
        <f aca="false">COUNTIFS(Clips!$B:$B,"site",Clips!$F:$F,$B216)+COUNTIFS(Clips!$B:$B,"site",Clips!$O:$O,"*"&amp;$B216&amp;"*")</f>
        <v>0</v>
      </c>
      <c r="L216" s="15" t="n">
        <f aca="false">COUNTIFS(Clips!$F:$F,$B216,Clips!$B:$B,"macaulay")</f>
        <v>1</v>
      </c>
      <c r="M216" s="15" t="n">
        <f aca="false">COUNTIFS(Clips!$F:$F,$B216,Clips!$B:$B,"xeno-canto")</f>
        <v>0</v>
      </c>
      <c r="N216" s="15" t="n">
        <f aca="false">K216+L216+M216</f>
        <v>1</v>
      </c>
      <c r="O216" s="15" t="n">
        <f aca="false">COUNTIFS(Clips!$F:$F,$B216,Clips!$C:$C,"excluded")</f>
        <v>0</v>
      </c>
      <c r="P216" s="15" t="n">
        <f aca="false">COUNTIFS(Clips!$F:$F,$B216,Clips!$C:$C,"train")</f>
        <v>0</v>
      </c>
      <c r="Q216" s="15" t="n">
        <f aca="false">COUNTIFS(Clips!$F:$F,$B216,Clips!$C:$C,"val")</f>
        <v>0</v>
      </c>
      <c r="R216" s="15" t="n">
        <f aca="false">COUNTIFS(Clips!$F:$F,$B216,Clips!$C:$C,"test")</f>
        <v>1</v>
      </c>
      <c r="S216" s="17" t="n">
        <f aca="false">SUMIFS(Clips!$I:$I,Clips!$F:$F,$B216,Clips!$C:$C,"train")/60</f>
        <v>0</v>
      </c>
      <c r="T216" s="17" t="n">
        <f aca="false">SUMIFS(Clips!$I:$I,Clips!$F:$F,$B216,Clips!$C:$C,"val")/60</f>
        <v>0</v>
      </c>
      <c r="U216" s="17" t="n">
        <f aca="false">SUMIFS(Clips!$I:$I,Clips!$F:$F,$B216,Clips!$C:$C,"test")/60</f>
        <v>1.75931666666667</v>
      </c>
      <c r="V216" s="15" t="n">
        <f aca="false">SUMIFS(Clips!$J:$J,Clips!$F:$F,$B216,Clips!$C:$C,"train")</f>
        <v>0</v>
      </c>
      <c r="W216" s="18" t="str">
        <f aca="false">IF(V216=0,"",Splits!$B$49/(Splits!$B$50*V216))</f>
        <v/>
      </c>
      <c r="X216" s="15" t="str">
        <f aca="false">IF(P216&gt;0,IF(AND(Q216&gt;0,R216&gt;0),"train + val + test",IF(R216&gt;0,"train + test","train only")),IF(R216&gt;0,"test only (unknown class)",IF(K216&gt;0,"site extract only","no usable audio")))</f>
        <v>test only (unknown class)</v>
      </c>
      <c r="Y216" s="15" t="str">
        <f aca="false">IF($P216=0,"",IF($E216="nonbird",$B216,IF($G216="yes",$B216,"other bird")))</f>
        <v/>
      </c>
      <c r="Z216" s="15" t="str">
        <f aca="false">IF(AND($F216="core",$P216&gt;0),$B216,"")</f>
        <v/>
      </c>
      <c r="AA216" s="15" t="str">
        <f aca="false">IF($P216&gt;0,$B216,"")</f>
        <v/>
      </c>
      <c r="AB216" s="15" t="n">
        <v>1</v>
      </c>
      <c r="AC216" s="15" t="n">
        <v>1</v>
      </c>
      <c r="AD216" s="17" t="n">
        <f aca="false">IF(COUNTIFS(Clips!$F:$F,$B216,Clips!$M:$M,"&gt;0",Clips!$C:$C,"&lt;&gt;excluded")=0,"",AVERAGEIFS(Clips!$M:$M,Clips!$F:$F,$B216,Clips!$M:$M,"&gt;0",Clips!$C:$C,"&lt;&gt;excluded"))</f>
        <v>2.2</v>
      </c>
      <c r="AE216" s="15" t="n">
        <f aca="false">COUNTIFS(Clips!$F:$F,$B216,Clips!$O:$O,"&lt;&gt;",Clips!$B:$B,"&lt;&gt;site",Clips!$C:$C,"&lt;&gt;excluded")</f>
        <v>0</v>
      </c>
      <c r="AF216" s="15" t="n">
        <f aca="false">COUNTIFS(Clips!$F:$F,$B216,Clips!$I:$I,"&lt;5",Clips!$C:$C,"&lt;&gt;excluded")</f>
        <v>0</v>
      </c>
      <c r="AG216" s="5"/>
    </row>
    <row r="217" customFormat="false" ht="15" hidden="false" customHeight="false" outlineLevel="0" collapsed="false">
      <c r="A217" s="15" t="n">
        <v>84</v>
      </c>
      <c r="B217" s="15" t="s">
        <v>805</v>
      </c>
      <c r="C217" s="15" t="s">
        <v>806</v>
      </c>
      <c r="D217" s="15" t="s">
        <v>807</v>
      </c>
      <c r="E217" s="15" t="s">
        <v>147</v>
      </c>
      <c r="F217" s="15" t="s">
        <v>613</v>
      </c>
      <c r="G217" s="15" t="str">
        <f aca="false">IF(AND($E217="bird",$K217&gt;0),"yes","")</f>
        <v/>
      </c>
      <c r="H217" s="15"/>
      <c r="I217" s="15" t="str">
        <f aca="false">IF($E217="bird",IF(COUNTIF('eBird List'!$A:$A,$B217)&gt;0,"yes","no"),"")</f>
        <v>yes</v>
      </c>
      <c r="J217" s="16" t="n">
        <f aca="false">IF(COUNTIF('eBird List'!$A:$A,$B217)=0,"",INDEX('eBird List'!$C:$C,MATCH($B217,'eBird List'!$A:$A,0)))</f>
        <v>0.00196568977841315</v>
      </c>
      <c r="K217" s="15" t="n">
        <f aca="false">COUNTIFS(Clips!$B:$B,"site",Clips!$F:$F,$B217)+COUNTIFS(Clips!$B:$B,"site",Clips!$O:$O,"*"&amp;$B217&amp;"*")</f>
        <v>0</v>
      </c>
      <c r="L217" s="15" t="n">
        <f aca="false">COUNTIFS(Clips!$F:$F,$B217,Clips!$B:$B,"macaulay")</f>
        <v>1</v>
      </c>
      <c r="M217" s="15" t="n">
        <f aca="false">COUNTIFS(Clips!$F:$F,$B217,Clips!$B:$B,"xeno-canto")</f>
        <v>0</v>
      </c>
      <c r="N217" s="15" t="n">
        <f aca="false">K217+L217+M217</f>
        <v>1</v>
      </c>
      <c r="O217" s="15" t="n">
        <f aca="false">COUNTIFS(Clips!$F:$F,$B217,Clips!$C:$C,"excluded")</f>
        <v>0</v>
      </c>
      <c r="P217" s="15" t="n">
        <f aca="false">COUNTIFS(Clips!$F:$F,$B217,Clips!$C:$C,"train")</f>
        <v>0</v>
      </c>
      <c r="Q217" s="15" t="n">
        <f aca="false">COUNTIFS(Clips!$F:$F,$B217,Clips!$C:$C,"val")</f>
        <v>0</v>
      </c>
      <c r="R217" s="15" t="n">
        <f aca="false">COUNTIFS(Clips!$F:$F,$B217,Clips!$C:$C,"test")</f>
        <v>1</v>
      </c>
      <c r="S217" s="17" t="n">
        <f aca="false">SUMIFS(Clips!$I:$I,Clips!$F:$F,$B217,Clips!$C:$C,"train")/60</f>
        <v>0</v>
      </c>
      <c r="T217" s="17" t="n">
        <f aca="false">SUMIFS(Clips!$I:$I,Clips!$F:$F,$B217,Clips!$C:$C,"val")/60</f>
        <v>0</v>
      </c>
      <c r="U217" s="17" t="n">
        <f aca="false">SUMIFS(Clips!$I:$I,Clips!$F:$F,$B217,Clips!$C:$C,"test")/60</f>
        <v>2.76271666666667</v>
      </c>
      <c r="V217" s="15" t="n">
        <f aca="false">SUMIFS(Clips!$J:$J,Clips!$F:$F,$B217,Clips!$C:$C,"train")</f>
        <v>0</v>
      </c>
      <c r="W217" s="18" t="str">
        <f aca="false">IF(V217=0,"",Splits!$B$49/(Splits!$B$50*V217))</f>
        <v/>
      </c>
      <c r="X217" s="15" t="str">
        <f aca="false">IF(P217&gt;0,IF(AND(Q217&gt;0,R217&gt;0),"train + val + test",IF(R217&gt;0,"train + test","train only")),IF(R217&gt;0,"test only (unknown class)",IF(K217&gt;0,"site extract only","no usable audio")))</f>
        <v>test only (unknown class)</v>
      </c>
      <c r="Y217" s="15" t="str">
        <f aca="false">IF($P217=0,"",IF($E217="nonbird",$B217,IF($G217="yes",$B217,"other bird")))</f>
        <v/>
      </c>
      <c r="Z217" s="15" t="str">
        <f aca="false">IF(AND($F217="core",$P217&gt;0),$B217,"")</f>
        <v/>
      </c>
      <c r="AA217" s="15" t="str">
        <f aca="false">IF($P217&gt;0,$B217,"")</f>
        <v/>
      </c>
      <c r="AB217" s="15" t="n">
        <v>1</v>
      </c>
      <c r="AC217" s="15" t="n">
        <v>1</v>
      </c>
      <c r="AD217" s="17" t="n">
        <f aca="false">IF(COUNTIFS(Clips!$F:$F,$B217,Clips!$M:$M,"&gt;0",Clips!$C:$C,"&lt;&gt;excluded")=0,"",AVERAGEIFS(Clips!$M:$M,Clips!$F:$F,$B217,Clips!$M:$M,"&gt;0",Clips!$C:$C,"&lt;&gt;excluded"))</f>
        <v>2.4</v>
      </c>
      <c r="AE217" s="15" t="n">
        <f aca="false">COUNTIFS(Clips!$F:$F,$B217,Clips!$O:$O,"&lt;&gt;",Clips!$B:$B,"&lt;&gt;site",Clips!$C:$C,"&lt;&gt;excluded")</f>
        <v>0</v>
      </c>
      <c r="AF217" s="15" t="n">
        <f aca="false">COUNTIFS(Clips!$F:$F,$B217,Clips!$I:$I,"&lt;5",Clips!$C:$C,"&lt;&gt;excluded")</f>
        <v>0</v>
      </c>
      <c r="AG217" s="5"/>
    </row>
    <row r="218" customFormat="false" ht="15" hidden="false" customHeight="false" outlineLevel="0" collapsed="false">
      <c r="A218" s="15" t="n">
        <v>87</v>
      </c>
      <c r="B218" s="15" t="s">
        <v>808</v>
      </c>
      <c r="C218" s="15" t="s">
        <v>809</v>
      </c>
      <c r="D218" s="15" t="s">
        <v>810</v>
      </c>
      <c r="E218" s="15" t="s">
        <v>147</v>
      </c>
      <c r="F218" s="15" t="s">
        <v>613</v>
      </c>
      <c r="G218" s="15" t="str">
        <f aca="false">IF(AND($E218="bird",$K218&gt;0),"yes","")</f>
        <v/>
      </c>
      <c r="H218" s="15"/>
      <c r="I218" s="15" t="str">
        <f aca="false">IF($E218="bird",IF(COUNTIF('eBird List'!$A:$A,$B218)&gt;0,"yes","no"),"")</f>
        <v>yes</v>
      </c>
      <c r="J218" s="16" t="n">
        <f aca="false">IF(COUNTIF('eBird List'!$A:$A,$B218)=0,"",INDEX('eBird List'!$C:$C,MATCH($B218,'eBird List'!$A:$A,0)))</f>
        <v>0.0364546104360257</v>
      </c>
      <c r="K218" s="15" t="n">
        <f aca="false">COUNTIFS(Clips!$B:$B,"site",Clips!$F:$F,$B218)+COUNTIFS(Clips!$B:$B,"site",Clips!$O:$O,"*"&amp;$B218&amp;"*")</f>
        <v>0</v>
      </c>
      <c r="L218" s="15" t="n">
        <f aca="false">COUNTIFS(Clips!$F:$F,$B218,Clips!$B:$B,"macaulay")</f>
        <v>1</v>
      </c>
      <c r="M218" s="15" t="n">
        <f aca="false">COUNTIFS(Clips!$F:$F,$B218,Clips!$B:$B,"xeno-canto")</f>
        <v>0</v>
      </c>
      <c r="N218" s="15" t="n">
        <f aca="false">K218+L218+M218</f>
        <v>1</v>
      </c>
      <c r="O218" s="15" t="n">
        <f aca="false">COUNTIFS(Clips!$F:$F,$B218,Clips!$C:$C,"excluded")</f>
        <v>0</v>
      </c>
      <c r="P218" s="15" t="n">
        <f aca="false">COUNTIFS(Clips!$F:$F,$B218,Clips!$C:$C,"train")</f>
        <v>0</v>
      </c>
      <c r="Q218" s="15" t="n">
        <f aca="false">COUNTIFS(Clips!$F:$F,$B218,Clips!$C:$C,"val")</f>
        <v>0</v>
      </c>
      <c r="R218" s="15" t="n">
        <f aca="false">COUNTIFS(Clips!$F:$F,$B218,Clips!$C:$C,"test")</f>
        <v>1</v>
      </c>
      <c r="S218" s="17" t="n">
        <f aca="false">SUMIFS(Clips!$I:$I,Clips!$F:$F,$B218,Clips!$C:$C,"train")/60</f>
        <v>0</v>
      </c>
      <c r="T218" s="17" t="n">
        <f aca="false">SUMIFS(Clips!$I:$I,Clips!$F:$F,$B218,Clips!$C:$C,"val")/60</f>
        <v>0</v>
      </c>
      <c r="U218" s="17" t="n">
        <f aca="false">SUMIFS(Clips!$I:$I,Clips!$F:$F,$B218,Clips!$C:$C,"test")/60</f>
        <v>0.0573</v>
      </c>
      <c r="V218" s="15" t="n">
        <f aca="false">SUMIFS(Clips!$J:$J,Clips!$F:$F,$B218,Clips!$C:$C,"train")</f>
        <v>0</v>
      </c>
      <c r="W218" s="18" t="str">
        <f aca="false">IF(V218=0,"",Splits!$B$49/(Splits!$B$50*V218))</f>
        <v/>
      </c>
      <c r="X218" s="15" t="str">
        <f aca="false">IF(P218&gt;0,IF(AND(Q218&gt;0,R218&gt;0),"train + val + test",IF(R218&gt;0,"train + test","train only")),IF(R218&gt;0,"test only (unknown class)",IF(K218&gt;0,"site extract only","no usable audio")))</f>
        <v>test only (unknown class)</v>
      </c>
      <c r="Y218" s="15" t="str">
        <f aca="false">IF($P218=0,"",IF($E218="nonbird",$B218,IF($G218="yes",$B218,"other bird")))</f>
        <v/>
      </c>
      <c r="Z218" s="15" t="str">
        <f aca="false">IF(AND($F218="core",$P218&gt;0),$B218,"")</f>
        <v/>
      </c>
      <c r="AA218" s="15" t="str">
        <f aca="false">IF($P218&gt;0,$B218,"")</f>
        <v/>
      </c>
      <c r="AB218" s="15" t="n">
        <v>1</v>
      </c>
      <c r="AC218" s="15" t="n">
        <v>1</v>
      </c>
      <c r="AD218" s="17" t="n">
        <f aca="false">IF(COUNTIFS(Clips!$F:$F,$B218,Clips!$M:$M,"&gt;0",Clips!$C:$C,"&lt;&gt;excluded")=0,"",AVERAGEIFS(Clips!$M:$M,Clips!$F:$F,$B218,Clips!$M:$M,"&gt;0",Clips!$C:$C,"&lt;&gt;excluded"))</f>
        <v>3</v>
      </c>
      <c r="AE218" s="15" t="n">
        <f aca="false">COUNTIFS(Clips!$F:$F,$B218,Clips!$O:$O,"&lt;&gt;",Clips!$B:$B,"&lt;&gt;site",Clips!$C:$C,"&lt;&gt;excluded")</f>
        <v>0</v>
      </c>
      <c r="AF218" s="15" t="n">
        <f aca="false">COUNTIFS(Clips!$F:$F,$B218,Clips!$I:$I,"&lt;5",Clips!$C:$C,"&lt;&gt;excluded")</f>
        <v>1</v>
      </c>
      <c r="AG218" s="5"/>
    </row>
    <row r="219" customFormat="false" ht="15" hidden="false" customHeight="false" outlineLevel="0" collapsed="false">
      <c r="A219" s="15" t="n">
        <v>93</v>
      </c>
      <c r="B219" s="15" t="s">
        <v>811</v>
      </c>
      <c r="C219" s="15" t="s">
        <v>812</v>
      </c>
      <c r="D219" s="15" t="s">
        <v>813</v>
      </c>
      <c r="E219" s="15" t="s">
        <v>147</v>
      </c>
      <c r="F219" s="15" t="s">
        <v>613</v>
      </c>
      <c r="G219" s="15" t="str">
        <f aca="false">IF(AND($E219="bird",$K219&gt;0),"yes","")</f>
        <v/>
      </c>
      <c r="H219" s="15"/>
      <c r="I219" s="15" t="str">
        <f aca="false">IF($E219="bird",IF(COUNTIF('eBird List'!$A:$A,$B219)&gt;0,"yes","no"),"")</f>
        <v>no</v>
      </c>
      <c r="J219" s="16" t="str">
        <f aca="false">IF(COUNTIF('eBird List'!$A:$A,$B219)=0,"",INDEX('eBird List'!$C:$C,MATCH($B219,'eBird List'!$A:$A,0)))</f>
        <v/>
      </c>
      <c r="K219" s="15" t="n">
        <f aca="false">COUNTIFS(Clips!$B:$B,"site",Clips!$F:$F,$B219)+COUNTIFS(Clips!$B:$B,"site",Clips!$O:$O,"*"&amp;$B219&amp;"*")</f>
        <v>0</v>
      </c>
      <c r="L219" s="15" t="n">
        <f aca="false">COUNTIFS(Clips!$F:$F,$B219,Clips!$B:$B,"macaulay")</f>
        <v>1</v>
      </c>
      <c r="M219" s="15" t="n">
        <f aca="false">COUNTIFS(Clips!$F:$F,$B219,Clips!$B:$B,"xeno-canto")</f>
        <v>0</v>
      </c>
      <c r="N219" s="15" t="n">
        <f aca="false">K219+L219+M219</f>
        <v>1</v>
      </c>
      <c r="O219" s="15" t="n">
        <f aca="false">COUNTIFS(Clips!$F:$F,$B219,Clips!$C:$C,"excluded")</f>
        <v>0</v>
      </c>
      <c r="P219" s="15" t="n">
        <f aca="false">COUNTIFS(Clips!$F:$F,$B219,Clips!$C:$C,"train")</f>
        <v>0</v>
      </c>
      <c r="Q219" s="15" t="n">
        <f aca="false">COUNTIFS(Clips!$F:$F,$B219,Clips!$C:$C,"val")</f>
        <v>0</v>
      </c>
      <c r="R219" s="15" t="n">
        <f aca="false">COUNTIFS(Clips!$F:$F,$B219,Clips!$C:$C,"test")</f>
        <v>1</v>
      </c>
      <c r="S219" s="17" t="n">
        <f aca="false">SUMIFS(Clips!$I:$I,Clips!$F:$F,$B219,Clips!$C:$C,"train")/60</f>
        <v>0</v>
      </c>
      <c r="T219" s="17" t="n">
        <f aca="false">SUMIFS(Clips!$I:$I,Clips!$F:$F,$B219,Clips!$C:$C,"val")/60</f>
        <v>0</v>
      </c>
      <c r="U219" s="17" t="n">
        <f aca="false">SUMIFS(Clips!$I:$I,Clips!$F:$F,$B219,Clips!$C:$C,"test")/60</f>
        <v>2.13253333333333</v>
      </c>
      <c r="V219" s="15" t="n">
        <f aca="false">SUMIFS(Clips!$J:$J,Clips!$F:$F,$B219,Clips!$C:$C,"train")</f>
        <v>0</v>
      </c>
      <c r="W219" s="18" t="str">
        <f aca="false">IF(V219=0,"",Splits!$B$49/(Splits!$B$50*V219))</f>
        <v/>
      </c>
      <c r="X219" s="15" t="str">
        <f aca="false">IF(P219&gt;0,IF(AND(Q219&gt;0,R219&gt;0),"train + val + test",IF(R219&gt;0,"train + test","train only")),IF(R219&gt;0,"test only (unknown class)",IF(K219&gt;0,"site extract only","no usable audio")))</f>
        <v>test only (unknown class)</v>
      </c>
      <c r="Y219" s="15" t="str">
        <f aca="false">IF($P219=0,"",IF($E219="nonbird",$B219,IF($G219="yes",$B219,"other bird")))</f>
        <v/>
      </c>
      <c r="Z219" s="15" t="str">
        <f aca="false">IF(AND($F219="core",$P219&gt;0),$B219,"")</f>
        <v/>
      </c>
      <c r="AA219" s="15" t="str">
        <f aca="false">IF($P219&gt;0,$B219,"")</f>
        <v/>
      </c>
      <c r="AB219" s="15" t="n">
        <v>1</v>
      </c>
      <c r="AC219" s="15" t="n">
        <v>1</v>
      </c>
      <c r="AD219" s="17" t="n">
        <f aca="false">IF(COUNTIFS(Clips!$F:$F,$B219,Clips!$M:$M,"&gt;0",Clips!$C:$C,"&lt;&gt;excluded")=0,"",AVERAGEIFS(Clips!$M:$M,Clips!$F:$F,$B219,Clips!$M:$M,"&gt;0",Clips!$C:$C,"&lt;&gt;excluded"))</f>
        <v>2</v>
      </c>
      <c r="AE219" s="15" t="n">
        <f aca="false">COUNTIFS(Clips!$F:$F,$B219,Clips!$O:$O,"&lt;&gt;",Clips!$B:$B,"&lt;&gt;site",Clips!$C:$C,"&lt;&gt;excluded")</f>
        <v>0</v>
      </c>
      <c r="AF219" s="15" t="n">
        <f aca="false">COUNTIFS(Clips!$F:$F,$B219,Clips!$I:$I,"&lt;5",Clips!$C:$C,"&lt;&gt;excluded")</f>
        <v>0</v>
      </c>
      <c r="AG219" s="5" t="s">
        <v>770</v>
      </c>
    </row>
    <row r="220" customFormat="false" ht="15" hidden="false" customHeight="false" outlineLevel="0" collapsed="false">
      <c r="A220" s="15" t="n">
        <v>96</v>
      </c>
      <c r="B220" s="15" t="s">
        <v>814</v>
      </c>
      <c r="C220" s="15" t="s">
        <v>815</v>
      </c>
      <c r="D220" s="15" t="s">
        <v>816</v>
      </c>
      <c r="E220" s="15" t="s">
        <v>147</v>
      </c>
      <c r="F220" s="15" t="s">
        <v>613</v>
      </c>
      <c r="G220" s="15" t="str">
        <f aca="false">IF(AND($E220="bird",$K220&gt;0),"yes","")</f>
        <v/>
      </c>
      <c r="H220" s="15"/>
      <c r="I220" s="15" t="str">
        <f aca="false">IF($E220="bird",IF(COUNTIF('eBird List'!$A:$A,$B220)&gt;0,"yes","no"),"")</f>
        <v>yes</v>
      </c>
      <c r="J220" s="16" t="n">
        <f aca="false">IF(COUNTIF('eBird List'!$A:$A,$B220)=0,"",INDEX('eBird List'!$C:$C,MATCH($B220,'eBird List'!$A:$A,0)))</f>
        <v>0.000476530855372885</v>
      </c>
      <c r="K220" s="15" t="n">
        <f aca="false">COUNTIFS(Clips!$B:$B,"site",Clips!$F:$F,$B220)+COUNTIFS(Clips!$B:$B,"site",Clips!$O:$O,"*"&amp;$B220&amp;"*")</f>
        <v>0</v>
      </c>
      <c r="L220" s="15" t="n">
        <f aca="false">COUNTIFS(Clips!$F:$F,$B220,Clips!$B:$B,"macaulay")</f>
        <v>1</v>
      </c>
      <c r="M220" s="15" t="n">
        <f aca="false">COUNTIFS(Clips!$F:$F,$B220,Clips!$B:$B,"xeno-canto")</f>
        <v>0</v>
      </c>
      <c r="N220" s="15" t="n">
        <f aca="false">K220+L220+M220</f>
        <v>1</v>
      </c>
      <c r="O220" s="15" t="n">
        <f aca="false">COUNTIFS(Clips!$F:$F,$B220,Clips!$C:$C,"excluded")</f>
        <v>0</v>
      </c>
      <c r="P220" s="15" t="n">
        <f aca="false">COUNTIFS(Clips!$F:$F,$B220,Clips!$C:$C,"train")</f>
        <v>0</v>
      </c>
      <c r="Q220" s="15" t="n">
        <f aca="false">COUNTIFS(Clips!$F:$F,$B220,Clips!$C:$C,"val")</f>
        <v>0</v>
      </c>
      <c r="R220" s="15" t="n">
        <f aca="false">COUNTIFS(Clips!$F:$F,$B220,Clips!$C:$C,"test")</f>
        <v>1</v>
      </c>
      <c r="S220" s="17" t="n">
        <f aca="false">SUMIFS(Clips!$I:$I,Clips!$F:$F,$B220,Clips!$C:$C,"train")/60</f>
        <v>0</v>
      </c>
      <c r="T220" s="17" t="n">
        <f aca="false">SUMIFS(Clips!$I:$I,Clips!$F:$F,$B220,Clips!$C:$C,"val")/60</f>
        <v>0</v>
      </c>
      <c r="U220" s="17" t="n">
        <f aca="false">SUMIFS(Clips!$I:$I,Clips!$F:$F,$B220,Clips!$C:$C,"test")/60</f>
        <v>5.80765</v>
      </c>
      <c r="V220" s="15" t="n">
        <f aca="false">SUMIFS(Clips!$J:$J,Clips!$F:$F,$B220,Clips!$C:$C,"train")</f>
        <v>0</v>
      </c>
      <c r="W220" s="18" t="str">
        <f aca="false">IF(V220=0,"",Splits!$B$49/(Splits!$B$50*V220))</f>
        <v/>
      </c>
      <c r="X220" s="15" t="str">
        <f aca="false">IF(P220&gt;0,IF(AND(Q220&gt;0,R220&gt;0),"train + val + test",IF(R220&gt;0,"train + test","train only")),IF(R220&gt;0,"test only (unknown class)",IF(K220&gt;0,"site extract only","no usable audio")))</f>
        <v>test only (unknown class)</v>
      </c>
      <c r="Y220" s="15" t="str">
        <f aca="false">IF($P220=0,"",IF($E220="nonbird",$B220,IF($G220="yes",$B220,"other bird")))</f>
        <v/>
      </c>
      <c r="Z220" s="15" t="str">
        <f aca="false">IF(AND($F220="core",$P220&gt;0),$B220,"")</f>
        <v/>
      </c>
      <c r="AA220" s="15" t="str">
        <f aca="false">IF($P220&gt;0,$B220,"")</f>
        <v/>
      </c>
      <c r="AB220" s="15" t="n">
        <v>1</v>
      </c>
      <c r="AC220" s="15" t="n">
        <v>1</v>
      </c>
      <c r="AD220" s="17" t="n">
        <f aca="false">IF(COUNTIFS(Clips!$F:$F,$B220,Clips!$M:$M,"&gt;0",Clips!$C:$C,"&lt;&gt;excluded")=0,"",AVERAGEIFS(Clips!$M:$M,Clips!$F:$F,$B220,Clips!$M:$M,"&gt;0",Clips!$C:$C,"&lt;&gt;excluded"))</f>
        <v>2</v>
      </c>
      <c r="AE220" s="15" t="n">
        <f aca="false">COUNTIFS(Clips!$F:$F,$B220,Clips!$O:$O,"&lt;&gt;",Clips!$B:$B,"&lt;&gt;site",Clips!$C:$C,"&lt;&gt;excluded")</f>
        <v>0</v>
      </c>
      <c r="AF220" s="15" t="n">
        <f aca="false">COUNTIFS(Clips!$F:$F,$B220,Clips!$I:$I,"&lt;5",Clips!$C:$C,"&lt;&gt;excluded")</f>
        <v>0</v>
      </c>
      <c r="AG220" s="5"/>
    </row>
    <row r="221" customFormat="false" ht="15" hidden="false" customHeight="false" outlineLevel="0" collapsed="false">
      <c r="A221" s="15" t="n">
        <v>101</v>
      </c>
      <c r="B221" s="15" t="s">
        <v>817</v>
      </c>
      <c r="C221" s="15" t="s">
        <v>818</v>
      </c>
      <c r="D221" s="15" t="s">
        <v>819</v>
      </c>
      <c r="E221" s="15" t="s">
        <v>147</v>
      </c>
      <c r="F221" s="15" t="s">
        <v>613</v>
      </c>
      <c r="G221" s="15" t="str">
        <f aca="false">IF(AND($E221="bird",$K221&gt;0),"yes","")</f>
        <v/>
      </c>
      <c r="H221" s="15"/>
      <c r="I221" s="15" t="str">
        <f aca="false">IF($E221="bird",IF(COUNTIF('eBird List'!$A:$A,$B221)&gt;0,"yes","no"),"")</f>
        <v>yes</v>
      </c>
      <c r="J221" s="16" t="n">
        <f aca="false">IF(COUNTIF('eBird List'!$A:$A,$B221)=0,"",INDEX('eBird List'!$C:$C,MATCH($B221,'eBird List'!$A:$A,0)))</f>
        <v>8.9349535382416E-005</v>
      </c>
      <c r="K221" s="15" t="n">
        <f aca="false">COUNTIFS(Clips!$B:$B,"site",Clips!$F:$F,$B221)+COUNTIFS(Clips!$B:$B,"site",Clips!$O:$O,"*"&amp;$B221&amp;"*")</f>
        <v>0</v>
      </c>
      <c r="L221" s="15" t="n">
        <f aca="false">COUNTIFS(Clips!$F:$F,$B221,Clips!$B:$B,"macaulay")</f>
        <v>1</v>
      </c>
      <c r="M221" s="15" t="n">
        <f aca="false">COUNTIFS(Clips!$F:$F,$B221,Clips!$B:$B,"xeno-canto")</f>
        <v>0</v>
      </c>
      <c r="N221" s="15" t="n">
        <f aca="false">K221+L221+M221</f>
        <v>1</v>
      </c>
      <c r="O221" s="15" t="n">
        <f aca="false">COUNTIFS(Clips!$F:$F,$B221,Clips!$C:$C,"excluded")</f>
        <v>0</v>
      </c>
      <c r="P221" s="15" t="n">
        <f aca="false">COUNTIFS(Clips!$F:$F,$B221,Clips!$C:$C,"train")</f>
        <v>0</v>
      </c>
      <c r="Q221" s="15" t="n">
        <f aca="false">COUNTIFS(Clips!$F:$F,$B221,Clips!$C:$C,"val")</f>
        <v>0</v>
      </c>
      <c r="R221" s="15" t="n">
        <f aca="false">COUNTIFS(Clips!$F:$F,$B221,Clips!$C:$C,"test")</f>
        <v>1</v>
      </c>
      <c r="S221" s="17" t="n">
        <f aca="false">SUMIFS(Clips!$I:$I,Clips!$F:$F,$B221,Clips!$C:$C,"train")/60</f>
        <v>0</v>
      </c>
      <c r="T221" s="17" t="n">
        <f aca="false">SUMIFS(Clips!$I:$I,Clips!$F:$F,$B221,Clips!$C:$C,"val")/60</f>
        <v>0</v>
      </c>
      <c r="U221" s="17" t="n">
        <f aca="false">SUMIFS(Clips!$I:$I,Clips!$F:$F,$B221,Clips!$C:$C,"test")/60</f>
        <v>0.572766666666667</v>
      </c>
      <c r="V221" s="15" t="n">
        <f aca="false">SUMIFS(Clips!$J:$J,Clips!$F:$F,$B221,Clips!$C:$C,"train")</f>
        <v>0</v>
      </c>
      <c r="W221" s="18" t="str">
        <f aca="false">IF(V221=0,"",Splits!$B$49/(Splits!$B$50*V221))</f>
        <v/>
      </c>
      <c r="X221" s="15" t="str">
        <f aca="false">IF(P221&gt;0,IF(AND(Q221&gt;0,R221&gt;0),"train + val + test",IF(R221&gt;0,"train + test","train only")),IF(R221&gt;0,"test only (unknown class)",IF(K221&gt;0,"site extract only","no usable audio")))</f>
        <v>test only (unknown class)</v>
      </c>
      <c r="Y221" s="15" t="str">
        <f aca="false">IF($P221=0,"",IF($E221="nonbird",$B221,IF($G221="yes",$B221,"other bird")))</f>
        <v/>
      </c>
      <c r="Z221" s="15" t="str">
        <f aca="false">IF(AND($F221="core",$P221&gt;0),$B221,"")</f>
        <v/>
      </c>
      <c r="AA221" s="15" t="str">
        <f aca="false">IF($P221&gt;0,$B221,"")</f>
        <v/>
      </c>
      <c r="AB221" s="15" t="n">
        <v>1</v>
      </c>
      <c r="AC221" s="15" t="n">
        <v>1</v>
      </c>
      <c r="AD221" s="17" t="n">
        <f aca="false">IF(COUNTIFS(Clips!$F:$F,$B221,Clips!$M:$M,"&gt;0",Clips!$C:$C,"&lt;&gt;excluded")=0,"",AVERAGEIFS(Clips!$M:$M,Clips!$F:$F,$B221,Clips!$M:$M,"&gt;0",Clips!$C:$C,"&lt;&gt;excluded"))</f>
        <v>1.33</v>
      </c>
      <c r="AE221" s="15" t="n">
        <f aca="false">COUNTIFS(Clips!$F:$F,$B221,Clips!$O:$O,"&lt;&gt;",Clips!$B:$B,"&lt;&gt;site",Clips!$C:$C,"&lt;&gt;excluded")</f>
        <v>0</v>
      </c>
      <c r="AF221" s="15" t="n">
        <f aca="false">COUNTIFS(Clips!$F:$F,$B221,Clips!$I:$I,"&lt;5",Clips!$C:$C,"&lt;&gt;excluded")</f>
        <v>0</v>
      </c>
      <c r="AG221" s="5"/>
    </row>
    <row r="222" customFormat="false" ht="15" hidden="false" customHeight="false" outlineLevel="0" collapsed="false">
      <c r="A222" s="15" t="n">
        <v>109</v>
      </c>
      <c r="B222" s="15" t="s">
        <v>820</v>
      </c>
      <c r="C222" s="15" t="s">
        <v>821</v>
      </c>
      <c r="D222" s="15" t="s">
        <v>822</v>
      </c>
      <c r="E222" s="15" t="s">
        <v>147</v>
      </c>
      <c r="F222" s="15" t="s">
        <v>613</v>
      </c>
      <c r="G222" s="15" t="str">
        <f aca="false">IF(AND($E222="bird",$K222&gt;0),"yes","")</f>
        <v/>
      </c>
      <c r="H222" s="15"/>
      <c r="I222" s="15" t="str">
        <f aca="false">IF($E222="bird",IF(COUNTIF('eBird List'!$A:$A,$B222)&gt;0,"yes","no"),"")</f>
        <v>yes</v>
      </c>
      <c r="J222" s="16" t="n">
        <f aca="false">IF(COUNTIF('eBird List'!$A:$A,$B222)=0,"",INDEX('eBird List'!$C:$C,MATCH($B222,'eBird List'!$A:$A,0)))</f>
        <v>0.0395520609959495</v>
      </c>
      <c r="K222" s="15" t="n">
        <f aca="false">COUNTIFS(Clips!$B:$B,"site",Clips!$F:$F,$B222)+COUNTIFS(Clips!$B:$B,"site",Clips!$O:$O,"*"&amp;$B222&amp;"*")</f>
        <v>0</v>
      </c>
      <c r="L222" s="15" t="n">
        <f aca="false">COUNTIFS(Clips!$F:$F,$B222,Clips!$B:$B,"macaulay")</f>
        <v>1</v>
      </c>
      <c r="M222" s="15" t="n">
        <f aca="false">COUNTIFS(Clips!$F:$F,$B222,Clips!$B:$B,"xeno-canto")</f>
        <v>0</v>
      </c>
      <c r="N222" s="15" t="n">
        <f aca="false">K222+L222+M222</f>
        <v>1</v>
      </c>
      <c r="O222" s="15" t="n">
        <f aca="false">COUNTIFS(Clips!$F:$F,$B222,Clips!$C:$C,"excluded")</f>
        <v>0</v>
      </c>
      <c r="P222" s="15" t="n">
        <f aca="false">COUNTIFS(Clips!$F:$F,$B222,Clips!$C:$C,"train")</f>
        <v>0</v>
      </c>
      <c r="Q222" s="15" t="n">
        <f aca="false">COUNTIFS(Clips!$F:$F,$B222,Clips!$C:$C,"val")</f>
        <v>0</v>
      </c>
      <c r="R222" s="15" t="n">
        <f aca="false">COUNTIFS(Clips!$F:$F,$B222,Clips!$C:$C,"test")</f>
        <v>1</v>
      </c>
      <c r="S222" s="17" t="n">
        <f aca="false">SUMIFS(Clips!$I:$I,Clips!$F:$F,$B222,Clips!$C:$C,"train")/60</f>
        <v>0</v>
      </c>
      <c r="T222" s="17" t="n">
        <f aca="false">SUMIFS(Clips!$I:$I,Clips!$F:$F,$B222,Clips!$C:$C,"val")/60</f>
        <v>0</v>
      </c>
      <c r="U222" s="17" t="n">
        <f aca="false">SUMIFS(Clips!$I:$I,Clips!$F:$F,$B222,Clips!$C:$C,"test")/60</f>
        <v>0.437366666666667</v>
      </c>
      <c r="V222" s="15" t="n">
        <f aca="false">SUMIFS(Clips!$J:$J,Clips!$F:$F,$B222,Clips!$C:$C,"train")</f>
        <v>0</v>
      </c>
      <c r="W222" s="18" t="str">
        <f aca="false">IF(V222=0,"",Splits!$B$49/(Splits!$B$50*V222))</f>
        <v/>
      </c>
      <c r="X222" s="15" t="str">
        <f aca="false">IF(P222&gt;0,IF(AND(Q222&gt;0,R222&gt;0),"train + val + test",IF(R222&gt;0,"train + test","train only")),IF(R222&gt;0,"test only (unknown class)",IF(K222&gt;0,"site extract only","no usable audio")))</f>
        <v>test only (unknown class)</v>
      </c>
      <c r="Y222" s="15" t="str">
        <f aca="false">IF($P222=0,"",IF($E222="nonbird",$B222,IF($G222="yes",$B222,"other bird")))</f>
        <v/>
      </c>
      <c r="Z222" s="15" t="str">
        <f aca="false">IF(AND($F222="core",$P222&gt;0),$B222,"")</f>
        <v/>
      </c>
      <c r="AA222" s="15" t="str">
        <f aca="false">IF($P222&gt;0,$B222,"")</f>
        <v/>
      </c>
      <c r="AB222" s="15" t="n">
        <v>1</v>
      </c>
      <c r="AC222" s="15" t="n">
        <v>1</v>
      </c>
      <c r="AD222" s="17" t="n">
        <f aca="false">IF(COUNTIFS(Clips!$F:$F,$B222,Clips!$M:$M,"&gt;0",Clips!$C:$C,"&lt;&gt;excluded")=0,"",AVERAGEIFS(Clips!$M:$M,Clips!$F:$F,$B222,Clips!$M:$M,"&gt;0",Clips!$C:$C,"&lt;&gt;excluded"))</f>
        <v>3</v>
      </c>
      <c r="AE222" s="15" t="n">
        <f aca="false">COUNTIFS(Clips!$F:$F,$B222,Clips!$O:$O,"&lt;&gt;",Clips!$B:$B,"&lt;&gt;site",Clips!$C:$C,"&lt;&gt;excluded")</f>
        <v>0</v>
      </c>
      <c r="AF222" s="15" t="n">
        <f aca="false">COUNTIFS(Clips!$F:$F,$B222,Clips!$I:$I,"&lt;5",Clips!$C:$C,"&lt;&gt;excluded")</f>
        <v>0</v>
      </c>
      <c r="AG222" s="5"/>
    </row>
    <row r="223" customFormat="false" ht="15" hidden="false" customHeight="false" outlineLevel="0" collapsed="false">
      <c r="A223" s="15" t="n">
        <v>130</v>
      </c>
      <c r="B223" s="15" t="s">
        <v>823</v>
      </c>
      <c r="C223" s="15" t="s">
        <v>824</v>
      </c>
      <c r="D223" s="15" t="s">
        <v>825</v>
      </c>
      <c r="E223" s="15" t="s">
        <v>147</v>
      </c>
      <c r="F223" s="15" t="s">
        <v>613</v>
      </c>
      <c r="G223" s="15" t="str">
        <f aca="false">IF(AND($E223="bird",$K223&gt;0),"yes","")</f>
        <v/>
      </c>
      <c r="H223" s="15"/>
      <c r="I223" s="15" t="str">
        <f aca="false">IF($E223="bird",IF(COUNTIF('eBird List'!$A:$A,$B223)&gt;0,"yes","no"),"")</f>
        <v>yes</v>
      </c>
      <c r="J223" s="16" t="n">
        <f aca="false">IF(COUNTIF('eBird List'!$A:$A,$B223)=0,"",INDEX('eBird List'!$C:$C,MATCH($B223,'eBird List'!$A:$A,0)))</f>
        <v>0.0125685013104599</v>
      </c>
      <c r="K223" s="15" t="n">
        <f aca="false">COUNTIFS(Clips!$B:$B,"site",Clips!$F:$F,$B223)+COUNTIFS(Clips!$B:$B,"site",Clips!$O:$O,"*"&amp;$B223&amp;"*")</f>
        <v>0</v>
      </c>
      <c r="L223" s="15" t="n">
        <f aca="false">COUNTIFS(Clips!$F:$F,$B223,Clips!$B:$B,"macaulay")</f>
        <v>1</v>
      </c>
      <c r="M223" s="15" t="n">
        <f aca="false">COUNTIFS(Clips!$F:$F,$B223,Clips!$B:$B,"xeno-canto")</f>
        <v>0</v>
      </c>
      <c r="N223" s="15" t="n">
        <f aca="false">K223+L223+M223</f>
        <v>1</v>
      </c>
      <c r="O223" s="15" t="n">
        <f aca="false">COUNTIFS(Clips!$F:$F,$B223,Clips!$C:$C,"excluded")</f>
        <v>0</v>
      </c>
      <c r="P223" s="15" t="n">
        <f aca="false">COUNTIFS(Clips!$F:$F,$B223,Clips!$C:$C,"train")</f>
        <v>0</v>
      </c>
      <c r="Q223" s="15" t="n">
        <f aca="false">COUNTIFS(Clips!$F:$F,$B223,Clips!$C:$C,"val")</f>
        <v>0</v>
      </c>
      <c r="R223" s="15" t="n">
        <f aca="false">COUNTIFS(Clips!$F:$F,$B223,Clips!$C:$C,"test")</f>
        <v>1</v>
      </c>
      <c r="S223" s="17" t="n">
        <f aca="false">SUMIFS(Clips!$I:$I,Clips!$F:$F,$B223,Clips!$C:$C,"train")/60</f>
        <v>0</v>
      </c>
      <c r="T223" s="17" t="n">
        <f aca="false">SUMIFS(Clips!$I:$I,Clips!$F:$F,$B223,Clips!$C:$C,"val")/60</f>
        <v>0</v>
      </c>
      <c r="U223" s="17" t="n">
        <f aca="false">SUMIFS(Clips!$I:$I,Clips!$F:$F,$B223,Clips!$C:$C,"test")/60</f>
        <v>0.525483333333333</v>
      </c>
      <c r="V223" s="15" t="n">
        <f aca="false">SUMIFS(Clips!$J:$J,Clips!$F:$F,$B223,Clips!$C:$C,"train")</f>
        <v>0</v>
      </c>
      <c r="W223" s="18" t="str">
        <f aca="false">IF(V223=0,"",Splits!$B$49/(Splits!$B$50*V223))</f>
        <v/>
      </c>
      <c r="X223" s="15" t="str">
        <f aca="false">IF(P223&gt;0,IF(AND(Q223&gt;0,R223&gt;0),"train + val + test",IF(R223&gt;0,"train + test","train only")),IF(R223&gt;0,"test only (unknown class)",IF(K223&gt;0,"site extract only","no usable audio")))</f>
        <v>test only (unknown class)</v>
      </c>
      <c r="Y223" s="15" t="str">
        <f aca="false">IF($P223=0,"",IF($E223="nonbird",$B223,IF($G223="yes",$B223,"other bird")))</f>
        <v/>
      </c>
      <c r="Z223" s="15" t="str">
        <f aca="false">IF(AND($F223="core",$P223&gt;0),$B223,"")</f>
        <v/>
      </c>
      <c r="AA223" s="15" t="str">
        <f aca="false">IF($P223&gt;0,$B223,"")</f>
        <v/>
      </c>
      <c r="AB223" s="15" t="n">
        <v>1</v>
      </c>
      <c r="AC223" s="15" t="n">
        <v>1</v>
      </c>
      <c r="AD223" s="17" t="n">
        <f aca="false">IF(COUNTIFS(Clips!$F:$F,$B223,Clips!$M:$M,"&gt;0",Clips!$C:$C,"&lt;&gt;excluded")=0,"",AVERAGEIFS(Clips!$M:$M,Clips!$F:$F,$B223,Clips!$M:$M,"&gt;0",Clips!$C:$C,"&lt;&gt;excluded"))</f>
        <v>2</v>
      </c>
      <c r="AE223" s="15" t="n">
        <f aca="false">COUNTIFS(Clips!$F:$F,$B223,Clips!$O:$O,"&lt;&gt;",Clips!$B:$B,"&lt;&gt;site",Clips!$C:$C,"&lt;&gt;excluded")</f>
        <v>0</v>
      </c>
      <c r="AF223" s="15" t="n">
        <f aca="false">COUNTIFS(Clips!$F:$F,$B223,Clips!$I:$I,"&lt;5",Clips!$C:$C,"&lt;&gt;excluded")</f>
        <v>0</v>
      </c>
      <c r="AG223" s="5"/>
    </row>
    <row r="224" customFormat="false" ht="15" hidden="false" customHeight="false" outlineLevel="0" collapsed="false">
      <c r="A224" s="15" t="n">
        <v>137</v>
      </c>
      <c r="B224" s="15" t="s">
        <v>826</v>
      </c>
      <c r="C224" s="15" t="s">
        <v>827</v>
      </c>
      <c r="D224" s="15" t="s">
        <v>828</v>
      </c>
      <c r="E224" s="15" t="s">
        <v>147</v>
      </c>
      <c r="F224" s="15" t="s">
        <v>613</v>
      </c>
      <c r="G224" s="15" t="str">
        <f aca="false">IF(AND($E224="bird",$K224&gt;0),"yes","")</f>
        <v/>
      </c>
      <c r="H224" s="15"/>
      <c r="I224" s="15" t="str">
        <f aca="false">IF($E224="bird",IF(COUNTIF('eBird List'!$A:$A,$B224)&gt;0,"yes","no"),"")</f>
        <v>yes</v>
      </c>
      <c r="J224" s="16" t="n">
        <f aca="false">IF(COUNTIF('eBird List'!$A:$A,$B224)=0,"",INDEX('eBird List'!$C:$C,MATCH($B224,'eBird List'!$A:$A,0)))</f>
        <v>0.0556051941863236</v>
      </c>
      <c r="K224" s="15" t="n">
        <f aca="false">COUNTIFS(Clips!$B:$B,"site",Clips!$F:$F,$B224)+COUNTIFS(Clips!$B:$B,"site",Clips!$O:$O,"*"&amp;$B224&amp;"*")</f>
        <v>0</v>
      </c>
      <c r="L224" s="15" t="n">
        <f aca="false">COUNTIFS(Clips!$F:$F,$B224,Clips!$B:$B,"macaulay")</f>
        <v>1</v>
      </c>
      <c r="M224" s="15" t="n">
        <f aca="false">COUNTIFS(Clips!$F:$F,$B224,Clips!$B:$B,"xeno-canto")</f>
        <v>0</v>
      </c>
      <c r="N224" s="15" t="n">
        <f aca="false">K224+L224+M224</f>
        <v>1</v>
      </c>
      <c r="O224" s="15" t="n">
        <f aca="false">COUNTIFS(Clips!$F:$F,$B224,Clips!$C:$C,"excluded")</f>
        <v>0</v>
      </c>
      <c r="P224" s="15" t="n">
        <f aca="false">COUNTIFS(Clips!$F:$F,$B224,Clips!$C:$C,"train")</f>
        <v>0</v>
      </c>
      <c r="Q224" s="15" t="n">
        <f aca="false">COUNTIFS(Clips!$F:$F,$B224,Clips!$C:$C,"val")</f>
        <v>0</v>
      </c>
      <c r="R224" s="15" t="n">
        <f aca="false">COUNTIFS(Clips!$F:$F,$B224,Clips!$C:$C,"test")</f>
        <v>1</v>
      </c>
      <c r="S224" s="17" t="n">
        <f aca="false">SUMIFS(Clips!$I:$I,Clips!$F:$F,$B224,Clips!$C:$C,"train")/60</f>
        <v>0</v>
      </c>
      <c r="T224" s="17" t="n">
        <f aca="false">SUMIFS(Clips!$I:$I,Clips!$F:$F,$B224,Clips!$C:$C,"val")/60</f>
        <v>0</v>
      </c>
      <c r="U224" s="17" t="n">
        <f aca="false">SUMIFS(Clips!$I:$I,Clips!$F:$F,$B224,Clips!$C:$C,"test")/60</f>
        <v>0.03935</v>
      </c>
      <c r="V224" s="15" t="n">
        <f aca="false">SUMIFS(Clips!$J:$J,Clips!$F:$F,$B224,Clips!$C:$C,"train")</f>
        <v>0</v>
      </c>
      <c r="W224" s="18" t="str">
        <f aca="false">IF(V224=0,"",Splits!$B$49/(Splits!$B$50*V224))</f>
        <v/>
      </c>
      <c r="X224" s="15" t="str">
        <f aca="false">IF(P224&gt;0,IF(AND(Q224&gt;0,R224&gt;0),"train + val + test",IF(R224&gt;0,"train + test","train only")),IF(R224&gt;0,"test only (unknown class)",IF(K224&gt;0,"site extract only","no usable audio")))</f>
        <v>test only (unknown class)</v>
      </c>
      <c r="Y224" s="15" t="str">
        <f aca="false">IF($P224=0,"",IF($E224="nonbird",$B224,IF($G224="yes",$B224,"other bird")))</f>
        <v/>
      </c>
      <c r="Z224" s="15" t="str">
        <f aca="false">IF(AND($F224="core",$P224&gt;0),$B224,"")</f>
        <v/>
      </c>
      <c r="AA224" s="15" t="str">
        <f aca="false">IF($P224&gt;0,$B224,"")</f>
        <v/>
      </c>
      <c r="AB224" s="15" t="n">
        <v>1</v>
      </c>
      <c r="AC224" s="15" t="n">
        <v>1</v>
      </c>
      <c r="AD224" s="17" t="str">
        <f aca="false">IF(COUNTIFS(Clips!$F:$F,$B224,Clips!$M:$M,"&gt;0",Clips!$C:$C,"&lt;&gt;excluded")=0,"",AVERAGEIFS(Clips!$M:$M,Clips!$F:$F,$B224,Clips!$M:$M,"&gt;0",Clips!$C:$C,"&lt;&gt;excluded"))</f>
        <v/>
      </c>
      <c r="AE224" s="15" t="n">
        <f aca="false">COUNTIFS(Clips!$F:$F,$B224,Clips!$O:$O,"&lt;&gt;",Clips!$B:$B,"&lt;&gt;site",Clips!$C:$C,"&lt;&gt;excluded")</f>
        <v>0</v>
      </c>
      <c r="AF224" s="15" t="n">
        <f aca="false">COUNTIFS(Clips!$F:$F,$B224,Clips!$I:$I,"&lt;5",Clips!$C:$C,"&lt;&gt;excluded")</f>
        <v>1</v>
      </c>
      <c r="AG224" s="5"/>
    </row>
    <row r="225" customFormat="false" ht="15" hidden="false" customHeight="false" outlineLevel="0" collapsed="false">
      <c r="A225" s="15" t="n">
        <v>140</v>
      </c>
      <c r="B225" s="15" t="s">
        <v>829</v>
      </c>
      <c r="C225" s="15" t="s">
        <v>830</v>
      </c>
      <c r="D225" s="15" t="s">
        <v>831</v>
      </c>
      <c r="E225" s="15" t="s">
        <v>147</v>
      </c>
      <c r="F225" s="15" t="s">
        <v>613</v>
      </c>
      <c r="G225" s="15" t="str">
        <f aca="false">IF(AND($E225="bird",$K225&gt;0),"yes","")</f>
        <v/>
      </c>
      <c r="H225" s="15"/>
      <c r="I225" s="15" t="str">
        <f aca="false">IF($E225="bird",IF(COUNTIF('eBird List'!$A:$A,$B225)&gt;0,"yes","no"),"")</f>
        <v>yes</v>
      </c>
      <c r="J225" s="16" t="n">
        <f aca="false">IF(COUNTIF('eBird List'!$A:$A,$B225)=0,"",INDEX('eBird List'!$C:$C,MATCH($B225,'eBird List'!$A:$A,0)))</f>
        <v>0.00241243745532523</v>
      </c>
      <c r="K225" s="15" t="n">
        <f aca="false">COUNTIFS(Clips!$B:$B,"site",Clips!$F:$F,$B225)+COUNTIFS(Clips!$B:$B,"site",Clips!$O:$O,"*"&amp;$B225&amp;"*")</f>
        <v>0</v>
      </c>
      <c r="L225" s="15" t="n">
        <f aca="false">COUNTIFS(Clips!$F:$F,$B225,Clips!$B:$B,"macaulay")</f>
        <v>1</v>
      </c>
      <c r="M225" s="15" t="n">
        <f aca="false">COUNTIFS(Clips!$F:$F,$B225,Clips!$B:$B,"xeno-canto")</f>
        <v>0</v>
      </c>
      <c r="N225" s="15" t="n">
        <f aca="false">K225+L225+M225</f>
        <v>1</v>
      </c>
      <c r="O225" s="15" t="n">
        <f aca="false">COUNTIFS(Clips!$F:$F,$B225,Clips!$C:$C,"excluded")</f>
        <v>0</v>
      </c>
      <c r="P225" s="15" t="n">
        <f aca="false">COUNTIFS(Clips!$F:$F,$B225,Clips!$C:$C,"train")</f>
        <v>0</v>
      </c>
      <c r="Q225" s="15" t="n">
        <f aca="false">COUNTIFS(Clips!$F:$F,$B225,Clips!$C:$C,"val")</f>
        <v>0</v>
      </c>
      <c r="R225" s="15" t="n">
        <f aca="false">COUNTIFS(Clips!$F:$F,$B225,Clips!$C:$C,"test")</f>
        <v>1</v>
      </c>
      <c r="S225" s="17" t="n">
        <f aca="false">SUMIFS(Clips!$I:$I,Clips!$F:$F,$B225,Clips!$C:$C,"train")/60</f>
        <v>0</v>
      </c>
      <c r="T225" s="17" t="n">
        <f aca="false">SUMIFS(Clips!$I:$I,Clips!$F:$F,$B225,Clips!$C:$C,"val")/60</f>
        <v>0</v>
      </c>
      <c r="U225" s="17" t="n">
        <f aca="false">SUMIFS(Clips!$I:$I,Clips!$F:$F,$B225,Clips!$C:$C,"test")/60</f>
        <v>1.25818333333333</v>
      </c>
      <c r="V225" s="15" t="n">
        <f aca="false">SUMIFS(Clips!$J:$J,Clips!$F:$F,$B225,Clips!$C:$C,"train")</f>
        <v>0</v>
      </c>
      <c r="W225" s="18" t="str">
        <f aca="false">IF(V225=0,"",Splits!$B$49/(Splits!$B$50*V225))</f>
        <v/>
      </c>
      <c r="X225" s="15" t="str">
        <f aca="false">IF(P225&gt;0,IF(AND(Q225&gt;0,R225&gt;0),"train + val + test",IF(R225&gt;0,"train + test","train only")),IF(R225&gt;0,"test only (unknown class)",IF(K225&gt;0,"site extract only","no usable audio")))</f>
        <v>test only (unknown class)</v>
      </c>
      <c r="Y225" s="15" t="str">
        <f aca="false">IF($P225=0,"",IF($E225="nonbird",$B225,IF($G225="yes",$B225,"other bird")))</f>
        <v/>
      </c>
      <c r="Z225" s="15" t="str">
        <f aca="false">IF(AND($F225="core",$P225&gt;0),$B225,"")</f>
        <v/>
      </c>
      <c r="AA225" s="15" t="str">
        <f aca="false">IF($P225&gt;0,$B225,"")</f>
        <v/>
      </c>
      <c r="AB225" s="15" t="n">
        <v>1</v>
      </c>
      <c r="AC225" s="15" t="n">
        <v>1</v>
      </c>
      <c r="AD225" s="17" t="n">
        <f aca="false">IF(COUNTIFS(Clips!$F:$F,$B225,Clips!$M:$M,"&gt;0",Clips!$C:$C,"&lt;&gt;excluded")=0,"",AVERAGEIFS(Clips!$M:$M,Clips!$F:$F,$B225,Clips!$M:$M,"&gt;0",Clips!$C:$C,"&lt;&gt;excluded"))</f>
        <v>2</v>
      </c>
      <c r="AE225" s="15" t="n">
        <f aca="false">COUNTIFS(Clips!$F:$F,$B225,Clips!$O:$O,"&lt;&gt;",Clips!$B:$B,"&lt;&gt;site",Clips!$C:$C,"&lt;&gt;excluded")</f>
        <v>0</v>
      </c>
      <c r="AF225" s="15" t="n">
        <f aca="false">COUNTIFS(Clips!$F:$F,$B225,Clips!$I:$I,"&lt;5",Clips!$C:$C,"&lt;&gt;excluded")</f>
        <v>0</v>
      </c>
      <c r="AG225" s="5"/>
    </row>
    <row r="226" customFormat="false" ht="15" hidden="false" customHeight="false" outlineLevel="0" collapsed="false">
      <c r="A226" s="15" t="n">
        <v>147</v>
      </c>
      <c r="B226" s="15" t="s">
        <v>832</v>
      </c>
      <c r="C226" s="15" t="s">
        <v>833</v>
      </c>
      <c r="D226" s="15" t="s">
        <v>834</v>
      </c>
      <c r="E226" s="15" t="s">
        <v>147</v>
      </c>
      <c r="F226" s="15" t="s">
        <v>613</v>
      </c>
      <c r="G226" s="15" t="str">
        <f aca="false">IF(AND($E226="bird",$K226&gt;0),"yes","")</f>
        <v/>
      </c>
      <c r="H226" s="15"/>
      <c r="I226" s="15" t="str">
        <f aca="false">IF($E226="bird",IF(COUNTIF('eBird List'!$A:$A,$B226)&gt;0,"yes","no"),"")</f>
        <v>yes</v>
      </c>
      <c r="J226" s="16" t="n">
        <f aca="false">IF(COUNTIF('eBird List'!$A:$A,$B226)=0,"",INDEX('eBird List'!$C:$C,MATCH($B226,'eBird List'!$A:$A,0)))</f>
        <v>0.00491422444603288</v>
      </c>
      <c r="K226" s="15" t="n">
        <f aca="false">COUNTIFS(Clips!$B:$B,"site",Clips!$F:$F,$B226)+COUNTIFS(Clips!$B:$B,"site",Clips!$O:$O,"*"&amp;$B226&amp;"*")</f>
        <v>0</v>
      </c>
      <c r="L226" s="15" t="n">
        <f aca="false">COUNTIFS(Clips!$F:$F,$B226,Clips!$B:$B,"macaulay")</f>
        <v>1</v>
      </c>
      <c r="M226" s="15" t="n">
        <f aca="false">COUNTIFS(Clips!$F:$F,$B226,Clips!$B:$B,"xeno-canto")</f>
        <v>0</v>
      </c>
      <c r="N226" s="15" t="n">
        <f aca="false">K226+L226+M226</f>
        <v>1</v>
      </c>
      <c r="O226" s="15" t="n">
        <f aca="false">COUNTIFS(Clips!$F:$F,$B226,Clips!$C:$C,"excluded")</f>
        <v>0</v>
      </c>
      <c r="P226" s="15" t="n">
        <f aca="false">COUNTIFS(Clips!$F:$F,$B226,Clips!$C:$C,"train")</f>
        <v>0</v>
      </c>
      <c r="Q226" s="15" t="n">
        <f aca="false">COUNTIFS(Clips!$F:$F,$B226,Clips!$C:$C,"val")</f>
        <v>0</v>
      </c>
      <c r="R226" s="15" t="n">
        <f aca="false">COUNTIFS(Clips!$F:$F,$B226,Clips!$C:$C,"test")</f>
        <v>1</v>
      </c>
      <c r="S226" s="17" t="n">
        <f aca="false">SUMIFS(Clips!$I:$I,Clips!$F:$F,$B226,Clips!$C:$C,"train")/60</f>
        <v>0</v>
      </c>
      <c r="T226" s="17" t="n">
        <f aca="false">SUMIFS(Clips!$I:$I,Clips!$F:$F,$B226,Clips!$C:$C,"val")/60</f>
        <v>0</v>
      </c>
      <c r="U226" s="17" t="n">
        <f aca="false">SUMIFS(Clips!$I:$I,Clips!$F:$F,$B226,Clips!$C:$C,"test")/60</f>
        <v>0.563783333333333</v>
      </c>
      <c r="V226" s="15" t="n">
        <f aca="false">SUMIFS(Clips!$J:$J,Clips!$F:$F,$B226,Clips!$C:$C,"train")</f>
        <v>0</v>
      </c>
      <c r="W226" s="18" t="str">
        <f aca="false">IF(V226=0,"",Splits!$B$49/(Splits!$B$50*V226))</f>
        <v/>
      </c>
      <c r="X226" s="15" t="str">
        <f aca="false">IF(P226&gt;0,IF(AND(Q226&gt;0,R226&gt;0),"train + val + test",IF(R226&gt;0,"train + test","train only")),IF(R226&gt;0,"test only (unknown class)",IF(K226&gt;0,"site extract only","no usable audio")))</f>
        <v>test only (unknown class)</v>
      </c>
      <c r="Y226" s="15" t="str">
        <f aca="false">IF($P226=0,"",IF($E226="nonbird",$B226,IF($G226="yes",$B226,"other bird")))</f>
        <v/>
      </c>
      <c r="Z226" s="15" t="str">
        <f aca="false">IF(AND($F226="core",$P226&gt;0),$B226,"")</f>
        <v/>
      </c>
      <c r="AA226" s="15" t="str">
        <f aca="false">IF($P226&gt;0,$B226,"")</f>
        <v/>
      </c>
      <c r="AB226" s="15" t="n">
        <v>1</v>
      </c>
      <c r="AC226" s="15" t="n">
        <v>1</v>
      </c>
      <c r="AD226" s="17" t="n">
        <f aca="false">IF(COUNTIFS(Clips!$F:$F,$B226,Clips!$M:$M,"&gt;0",Clips!$C:$C,"&lt;&gt;excluded")=0,"",AVERAGEIFS(Clips!$M:$M,Clips!$F:$F,$B226,Clips!$M:$M,"&gt;0",Clips!$C:$C,"&lt;&gt;excluded"))</f>
        <v>1.2</v>
      </c>
      <c r="AE226" s="15" t="n">
        <f aca="false">COUNTIFS(Clips!$F:$F,$B226,Clips!$O:$O,"&lt;&gt;",Clips!$B:$B,"&lt;&gt;site",Clips!$C:$C,"&lt;&gt;excluded")</f>
        <v>0</v>
      </c>
      <c r="AF226" s="15" t="n">
        <f aca="false">COUNTIFS(Clips!$F:$F,$B226,Clips!$I:$I,"&lt;5",Clips!$C:$C,"&lt;&gt;excluded")</f>
        <v>0</v>
      </c>
      <c r="AG226" s="5"/>
    </row>
    <row r="227" customFormat="false" ht="15" hidden="false" customHeight="false" outlineLevel="0" collapsed="false">
      <c r="A227" s="15" t="n">
        <v>150</v>
      </c>
      <c r="B227" s="15" t="s">
        <v>835</v>
      </c>
      <c r="C227" s="15" t="s">
        <v>836</v>
      </c>
      <c r="D227" s="15" t="s">
        <v>837</v>
      </c>
      <c r="E227" s="15" t="s">
        <v>147</v>
      </c>
      <c r="F227" s="15" t="s">
        <v>613</v>
      </c>
      <c r="G227" s="15" t="str">
        <f aca="false">IF(AND($E227="bird",$K227&gt;0),"yes","")</f>
        <v/>
      </c>
      <c r="H227" s="15"/>
      <c r="I227" s="15" t="str">
        <f aca="false">IF($E227="bird",IF(COUNTIF('eBird List'!$A:$A,$B227)&gt;0,"yes","no"),"")</f>
        <v>yes</v>
      </c>
      <c r="J227" s="16" t="n">
        <f aca="false">IF(COUNTIF('eBird List'!$A:$A,$B227)=0,"",INDEX('eBird List'!$C:$C,MATCH($B227,'eBird List'!$A:$A,0)))</f>
        <v>0.0398201096020967</v>
      </c>
      <c r="K227" s="15" t="n">
        <f aca="false">COUNTIFS(Clips!$B:$B,"site",Clips!$F:$F,$B227)+COUNTIFS(Clips!$B:$B,"site",Clips!$O:$O,"*"&amp;$B227&amp;"*")</f>
        <v>0</v>
      </c>
      <c r="L227" s="15" t="n">
        <f aca="false">COUNTIFS(Clips!$F:$F,$B227,Clips!$B:$B,"macaulay")</f>
        <v>1</v>
      </c>
      <c r="M227" s="15" t="n">
        <f aca="false">COUNTIFS(Clips!$F:$F,$B227,Clips!$B:$B,"xeno-canto")</f>
        <v>0</v>
      </c>
      <c r="N227" s="15" t="n">
        <f aca="false">K227+L227+M227</f>
        <v>1</v>
      </c>
      <c r="O227" s="15" t="n">
        <f aca="false">COUNTIFS(Clips!$F:$F,$B227,Clips!$C:$C,"excluded")</f>
        <v>0</v>
      </c>
      <c r="P227" s="15" t="n">
        <f aca="false">COUNTIFS(Clips!$F:$F,$B227,Clips!$C:$C,"train")</f>
        <v>0</v>
      </c>
      <c r="Q227" s="15" t="n">
        <f aca="false">COUNTIFS(Clips!$F:$F,$B227,Clips!$C:$C,"val")</f>
        <v>0</v>
      </c>
      <c r="R227" s="15" t="n">
        <f aca="false">COUNTIFS(Clips!$F:$F,$B227,Clips!$C:$C,"test")</f>
        <v>1</v>
      </c>
      <c r="S227" s="17" t="n">
        <f aca="false">SUMIFS(Clips!$I:$I,Clips!$F:$F,$B227,Clips!$C:$C,"train")/60</f>
        <v>0</v>
      </c>
      <c r="T227" s="17" t="n">
        <f aca="false">SUMIFS(Clips!$I:$I,Clips!$F:$F,$B227,Clips!$C:$C,"val")/60</f>
        <v>0</v>
      </c>
      <c r="U227" s="17" t="n">
        <f aca="false">SUMIFS(Clips!$I:$I,Clips!$F:$F,$B227,Clips!$C:$C,"test")/60</f>
        <v>0.0910166666666667</v>
      </c>
      <c r="V227" s="15" t="n">
        <f aca="false">SUMIFS(Clips!$J:$J,Clips!$F:$F,$B227,Clips!$C:$C,"train")</f>
        <v>0</v>
      </c>
      <c r="W227" s="18" t="str">
        <f aca="false">IF(V227=0,"",Splits!$B$49/(Splits!$B$50*V227))</f>
        <v/>
      </c>
      <c r="X227" s="15" t="str">
        <f aca="false">IF(P227&gt;0,IF(AND(Q227&gt;0,R227&gt;0),"train + val + test",IF(R227&gt;0,"train + test","train only")),IF(R227&gt;0,"test only (unknown class)",IF(K227&gt;0,"site extract only","no usable audio")))</f>
        <v>test only (unknown class)</v>
      </c>
      <c r="Y227" s="15" t="str">
        <f aca="false">IF($P227=0,"",IF($E227="nonbird",$B227,IF($G227="yes",$B227,"other bird")))</f>
        <v/>
      </c>
      <c r="Z227" s="15" t="str">
        <f aca="false">IF(AND($F227="core",$P227&gt;0),$B227,"")</f>
        <v/>
      </c>
      <c r="AA227" s="15" t="str">
        <f aca="false">IF($P227&gt;0,$B227,"")</f>
        <v/>
      </c>
      <c r="AB227" s="15" t="n">
        <v>1</v>
      </c>
      <c r="AC227" s="15" t="n">
        <v>1</v>
      </c>
      <c r="AD227" s="17" t="n">
        <f aca="false">IF(COUNTIFS(Clips!$F:$F,$B227,Clips!$M:$M,"&gt;0",Clips!$C:$C,"&lt;&gt;excluded")=0,"",AVERAGEIFS(Clips!$M:$M,Clips!$F:$F,$B227,Clips!$M:$M,"&gt;0",Clips!$C:$C,"&lt;&gt;excluded"))</f>
        <v>4</v>
      </c>
      <c r="AE227" s="15" t="n">
        <f aca="false">COUNTIFS(Clips!$F:$F,$B227,Clips!$O:$O,"&lt;&gt;",Clips!$B:$B,"&lt;&gt;site",Clips!$C:$C,"&lt;&gt;excluded")</f>
        <v>0</v>
      </c>
      <c r="AF227" s="15" t="n">
        <f aca="false">COUNTIFS(Clips!$F:$F,$B227,Clips!$I:$I,"&lt;5",Clips!$C:$C,"&lt;&gt;excluded")</f>
        <v>0</v>
      </c>
      <c r="AG227" s="5"/>
    </row>
    <row r="228" customFormat="false" ht="15" hidden="false" customHeight="false" outlineLevel="0" collapsed="false">
      <c r="A228" s="15" t="n">
        <v>154</v>
      </c>
      <c r="B228" s="15" t="s">
        <v>838</v>
      </c>
      <c r="C228" s="15" t="s">
        <v>839</v>
      </c>
      <c r="D228" s="15" t="s">
        <v>840</v>
      </c>
      <c r="E228" s="15" t="s">
        <v>147</v>
      </c>
      <c r="F228" s="15" t="s">
        <v>613</v>
      </c>
      <c r="G228" s="15" t="str">
        <f aca="false">IF(AND($E228="bird",$K228&gt;0),"yes","")</f>
        <v/>
      </c>
      <c r="H228" s="15"/>
      <c r="I228" s="15" t="str">
        <f aca="false">IF($E228="bird",IF(COUNTIF('eBird List'!$A:$A,$B228)&gt;0,"yes","no"),"")</f>
        <v>yes</v>
      </c>
      <c r="J228" s="16" t="n">
        <f aca="false">IF(COUNTIF('eBird List'!$A:$A,$B228)=0,"",INDEX('eBird List'!$C:$C,MATCH($B228,'eBird List'!$A:$A,0)))</f>
        <v>0.00387181319990469</v>
      </c>
      <c r="K228" s="15" t="n">
        <f aca="false">COUNTIFS(Clips!$B:$B,"site",Clips!$F:$F,$B228)+COUNTIFS(Clips!$B:$B,"site",Clips!$O:$O,"*"&amp;$B228&amp;"*")</f>
        <v>0</v>
      </c>
      <c r="L228" s="15" t="n">
        <f aca="false">COUNTIFS(Clips!$F:$F,$B228,Clips!$B:$B,"macaulay")</f>
        <v>1</v>
      </c>
      <c r="M228" s="15" t="n">
        <f aca="false">COUNTIFS(Clips!$F:$F,$B228,Clips!$B:$B,"xeno-canto")</f>
        <v>0</v>
      </c>
      <c r="N228" s="15" t="n">
        <f aca="false">K228+L228+M228</f>
        <v>1</v>
      </c>
      <c r="O228" s="15" t="n">
        <f aca="false">COUNTIFS(Clips!$F:$F,$B228,Clips!$C:$C,"excluded")</f>
        <v>0</v>
      </c>
      <c r="P228" s="15" t="n">
        <f aca="false">COUNTIFS(Clips!$F:$F,$B228,Clips!$C:$C,"train")</f>
        <v>0</v>
      </c>
      <c r="Q228" s="15" t="n">
        <f aca="false">COUNTIFS(Clips!$F:$F,$B228,Clips!$C:$C,"val")</f>
        <v>0</v>
      </c>
      <c r="R228" s="15" t="n">
        <f aca="false">COUNTIFS(Clips!$F:$F,$B228,Clips!$C:$C,"test")</f>
        <v>1</v>
      </c>
      <c r="S228" s="17" t="n">
        <f aca="false">SUMIFS(Clips!$I:$I,Clips!$F:$F,$B228,Clips!$C:$C,"train")/60</f>
        <v>0</v>
      </c>
      <c r="T228" s="17" t="n">
        <f aca="false">SUMIFS(Clips!$I:$I,Clips!$F:$F,$B228,Clips!$C:$C,"val")/60</f>
        <v>0</v>
      </c>
      <c r="U228" s="17" t="n">
        <f aca="false">SUMIFS(Clips!$I:$I,Clips!$F:$F,$B228,Clips!$C:$C,"test")/60</f>
        <v>0.373283333333333</v>
      </c>
      <c r="V228" s="15" t="n">
        <f aca="false">SUMIFS(Clips!$J:$J,Clips!$F:$F,$B228,Clips!$C:$C,"train")</f>
        <v>0</v>
      </c>
      <c r="W228" s="18" t="str">
        <f aca="false">IF(V228=0,"",Splits!$B$49/(Splits!$B$50*V228))</f>
        <v/>
      </c>
      <c r="X228" s="15" t="str">
        <f aca="false">IF(P228&gt;0,IF(AND(Q228&gt;0,R228&gt;0),"train + val + test",IF(R228&gt;0,"train + test","train only")),IF(R228&gt;0,"test only (unknown class)",IF(K228&gt;0,"site extract only","no usable audio")))</f>
        <v>test only (unknown class)</v>
      </c>
      <c r="Y228" s="15" t="str">
        <f aca="false">IF($P228=0,"",IF($E228="nonbird",$B228,IF($G228="yes",$B228,"other bird")))</f>
        <v/>
      </c>
      <c r="Z228" s="15" t="str">
        <f aca="false">IF(AND($F228="core",$P228&gt;0),$B228,"")</f>
        <v/>
      </c>
      <c r="AA228" s="15" t="str">
        <f aca="false">IF($P228&gt;0,$B228,"")</f>
        <v/>
      </c>
      <c r="AB228" s="15" t="n">
        <v>1</v>
      </c>
      <c r="AC228" s="15" t="n">
        <v>1</v>
      </c>
      <c r="AD228" s="17" t="n">
        <f aca="false">IF(COUNTIFS(Clips!$F:$F,$B228,Clips!$M:$M,"&gt;0",Clips!$C:$C,"&lt;&gt;excluded")=0,"",AVERAGEIFS(Clips!$M:$M,Clips!$F:$F,$B228,Clips!$M:$M,"&gt;0",Clips!$C:$C,"&lt;&gt;excluded"))</f>
        <v>3</v>
      </c>
      <c r="AE228" s="15" t="n">
        <f aca="false">COUNTIFS(Clips!$F:$F,$B228,Clips!$O:$O,"&lt;&gt;",Clips!$B:$B,"&lt;&gt;site",Clips!$C:$C,"&lt;&gt;excluded")</f>
        <v>0</v>
      </c>
      <c r="AF228" s="15" t="n">
        <f aca="false">COUNTIFS(Clips!$F:$F,$B228,Clips!$I:$I,"&lt;5",Clips!$C:$C,"&lt;&gt;excluded")</f>
        <v>0</v>
      </c>
      <c r="AG228" s="5"/>
    </row>
    <row r="229" customFormat="false" ht="15" hidden="false" customHeight="false" outlineLevel="0" collapsed="false">
      <c r="A229" s="15" t="n">
        <v>156</v>
      </c>
      <c r="B229" s="15" t="s">
        <v>841</v>
      </c>
      <c r="C229" s="15" t="s">
        <v>842</v>
      </c>
      <c r="D229" s="15" t="s">
        <v>843</v>
      </c>
      <c r="E229" s="15" t="s">
        <v>147</v>
      </c>
      <c r="F229" s="15" t="s">
        <v>613</v>
      </c>
      <c r="G229" s="15" t="str">
        <f aca="false">IF(AND($E229="bird",$K229&gt;0),"yes","")</f>
        <v/>
      </c>
      <c r="H229" s="15"/>
      <c r="I229" s="15" t="str">
        <f aca="false">IF($E229="bird",IF(COUNTIF('eBird List'!$A:$A,$B229)&gt;0,"yes","no"),"")</f>
        <v>yes</v>
      </c>
      <c r="J229" s="16" t="n">
        <f aca="false">IF(COUNTIF('eBird List'!$A:$A,$B229)=0,"",INDEX('eBird List'!$C:$C,MATCH($B229,'eBird List'!$A:$A,0)))</f>
        <v>0.053401238980224</v>
      </c>
      <c r="K229" s="15" t="n">
        <f aca="false">COUNTIFS(Clips!$B:$B,"site",Clips!$F:$F,$B229)+COUNTIFS(Clips!$B:$B,"site",Clips!$O:$O,"*"&amp;$B229&amp;"*")</f>
        <v>0</v>
      </c>
      <c r="L229" s="15" t="n">
        <f aca="false">COUNTIFS(Clips!$F:$F,$B229,Clips!$B:$B,"macaulay")</f>
        <v>1</v>
      </c>
      <c r="M229" s="15" t="n">
        <f aca="false">COUNTIFS(Clips!$F:$F,$B229,Clips!$B:$B,"xeno-canto")</f>
        <v>0</v>
      </c>
      <c r="N229" s="15" t="n">
        <f aca="false">K229+L229+M229</f>
        <v>1</v>
      </c>
      <c r="O229" s="15" t="n">
        <f aca="false">COUNTIFS(Clips!$F:$F,$B229,Clips!$C:$C,"excluded")</f>
        <v>0</v>
      </c>
      <c r="P229" s="15" t="n">
        <f aca="false">COUNTIFS(Clips!$F:$F,$B229,Clips!$C:$C,"train")</f>
        <v>0</v>
      </c>
      <c r="Q229" s="15" t="n">
        <f aca="false">COUNTIFS(Clips!$F:$F,$B229,Clips!$C:$C,"val")</f>
        <v>0</v>
      </c>
      <c r="R229" s="15" t="n">
        <f aca="false">COUNTIFS(Clips!$F:$F,$B229,Clips!$C:$C,"test")</f>
        <v>1</v>
      </c>
      <c r="S229" s="17" t="n">
        <f aca="false">SUMIFS(Clips!$I:$I,Clips!$F:$F,$B229,Clips!$C:$C,"train")/60</f>
        <v>0</v>
      </c>
      <c r="T229" s="17" t="n">
        <f aca="false">SUMIFS(Clips!$I:$I,Clips!$F:$F,$B229,Clips!$C:$C,"val")/60</f>
        <v>0</v>
      </c>
      <c r="U229" s="17" t="n">
        <f aca="false">SUMIFS(Clips!$I:$I,Clips!$F:$F,$B229,Clips!$C:$C,"test")/60</f>
        <v>0.17635</v>
      </c>
      <c r="V229" s="15" t="n">
        <f aca="false">SUMIFS(Clips!$J:$J,Clips!$F:$F,$B229,Clips!$C:$C,"train")</f>
        <v>0</v>
      </c>
      <c r="W229" s="18" t="str">
        <f aca="false">IF(V229=0,"",Splits!$B$49/(Splits!$B$50*V229))</f>
        <v/>
      </c>
      <c r="X229" s="15" t="str">
        <f aca="false">IF(P229&gt;0,IF(AND(Q229&gt;0,R229&gt;0),"train + val + test",IF(R229&gt;0,"train + test","train only")),IF(R229&gt;0,"test only (unknown class)",IF(K229&gt;0,"site extract only","no usable audio")))</f>
        <v>test only (unknown class)</v>
      </c>
      <c r="Y229" s="15" t="str">
        <f aca="false">IF($P229=0,"",IF($E229="nonbird",$B229,IF($G229="yes",$B229,"other bird")))</f>
        <v/>
      </c>
      <c r="Z229" s="15" t="str">
        <f aca="false">IF(AND($F229="core",$P229&gt;0),$B229,"")</f>
        <v/>
      </c>
      <c r="AA229" s="15" t="str">
        <f aca="false">IF($P229&gt;0,$B229,"")</f>
        <v/>
      </c>
      <c r="AB229" s="15" t="n">
        <v>1</v>
      </c>
      <c r="AC229" s="15" t="n">
        <v>1</v>
      </c>
      <c r="AD229" s="17" t="n">
        <f aca="false">IF(COUNTIFS(Clips!$F:$F,$B229,Clips!$M:$M,"&gt;0",Clips!$C:$C,"&lt;&gt;excluded")=0,"",AVERAGEIFS(Clips!$M:$M,Clips!$F:$F,$B229,Clips!$M:$M,"&gt;0",Clips!$C:$C,"&lt;&gt;excluded"))</f>
        <v>2.33</v>
      </c>
      <c r="AE229" s="15" t="n">
        <f aca="false">COUNTIFS(Clips!$F:$F,$B229,Clips!$O:$O,"&lt;&gt;",Clips!$B:$B,"&lt;&gt;site",Clips!$C:$C,"&lt;&gt;excluded")</f>
        <v>0</v>
      </c>
      <c r="AF229" s="15" t="n">
        <f aca="false">COUNTIFS(Clips!$F:$F,$B229,Clips!$I:$I,"&lt;5",Clips!$C:$C,"&lt;&gt;excluded")</f>
        <v>0</v>
      </c>
      <c r="AG229" s="5"/>
    </row>
    <row r="230" customFormat="false" ht="15" hidden="false" customHeight="false" outlineLevel="0" collapsed="false">
      <c r="A230" s="15" t="n">
        <v>158</v>
      </c>
      <c r="B230" s="15" t="s">
        <v>844</v>
      </c>
      <c r="C230" s="15" t="s">
        <v>845</v>
      </c>
      <c r="D230" s="15" t="s">
        <v>846</v>
      </c>
      <c r="E230" s="15" t="s">
        <v>147</v>
      </c>
      <c r="F230" s="15" t="s">
        <v>613</v>
      </c>
      <c r="G230" s="15" t="str">
        <f aca="false">IF(AND($E230="bird",$K230&gt;0),"yes","")</f>
        <v/>
      </c>
      <c r="H230" s="15"/>
      <c r="I230" s="15" t="str">
        <f aca="false">IF($E230="bird",IF(COUNTIF('eBird List'!$A:$A,$B230)&gt;0,"yes","no"),"")</f>
        <v>no</v>
      </c>
      <c r="J230" s="16" t="str">
        <f aca="false">IF(COUNTIF('eBird List'!$A:$A,$B230)=0,"",INDEX('eBird List'!$C:$C,MATCH($B230,'eBird List'!$A:$A,0)))</f>
        <v/>
      </c>
      <c r="K230" s="15" t="n">
        <f aca="false">COUNTIFS(Clips!$B:$B,"site",Clips!$F:$F,$B230)+COUNTIFS(Clips!$B:$B,"site",Clips!$O:$O,"*"&amp;$B230&amp;"*")</f>
        <v>0</v>
      </c>
      <c r="L230" s="15" t="n">
        <f aca="false">COUNTIFS(Clips!$F:$F,$B230,Clips!$B:$B,"macaulay")</f>
        <v>1</v>
      </c>
      <c r="M230" s="15" t="n">
        <f aca="false">COUNTIFS(Clips!$F:$F,$B230,Clips!$B:$B,"xeno-canto")</f>
        <v>0</v>
      </c>
      <c r="N230" s="15" t="n">
        <f aca="false">K230+L230+M230</f>
        <v>1</v>
      </c>
      <c r="O230" s="15" t="n">
        <f aca="false">COUNTIFS(Clips!$F:$F,$B230,Clips!$C:$C,"excluded")</f>
        <v>0</v>
      </c>
      <c r="P230" s="15" t="n">
        <f aca="false">COUNTIFS(Clips!$F:$F,$B230,Clips!$C:$C,"train")</f>
        <v>0</v>
      </c>
      <c r="Q230" s="15" t="n">
        <f aca="false">COUNTIFS(Clips!$F:$F,$B230,Clips!$C:$C,"val")</f>
        <v>0</v>
      </c>
      <c r="R230" s="15" t="n">
        <f aca="false">COUNTIFS(Clips!$F:$F,$B230,Clips!$C:$C,"test")</f>
        <v>1</v>
      </c>
      <c r="S230" s="17" t="n">
        <f aca="false">SUMIFS(Clips!$I:$I,Clips!$F:$F,$B230,Clips!$C:$C,"train")/60</f>
        <v>0</v>
      </c>
      <c r="T230" s="17" t="n">
        <f aca="false">SUMIFS(Clips!$I:$I,Clips!$F:$F,$B230,Clips!$C:$C,"val")/60</f>
        <v>0</v>
      </c>
      <c r="U230" s="17" t="n">
        <f aca="false">SUMIFS(Clips!$I:$I,Clips!$F:$F,$B230,Clips!$C:$C,"test")/60</f>
        <v>1.74111666666667</v>
      </c>
      <c r="V230" s="15" t="n">
        <f aca="false">SUMIFS(Clips!$J:$J,Clips!$F:$F,$B230,Clips!$C:$C,"train")</f>
        <v>0</v>
      </c>
      <c r="W230" s="18" t="str">
        <f aca="false">IF(V230=0,"",Splits!$B$49/(Splits!$B$50*V230))</f>
        <v/>
      </c>
      <c r="X230" s="15" t="str">
        <f aca="false">IF(P230&gt;0,IF(AND(Q230&gt;0,R230&gt;0),"train + val + test",IF(R230&gt;0,"train + test","train only")),IF(R230&gt;0,"test only (unknown class)",IF(K230&gt;0,"site extract only","no usable audio")))</f>
        <v>test only (unknown class)</v>
      </c>
      <c r="Y230" s="15" t="str">
        <f aca="false">IF($P230=0,"",IF($E230="nonbird",$B230,IF($G230="yes",$B230,"other bird")))</f>
        <v/>
      </c>
      <c r="Z230" s="15" t="str">
        <f aca="false">IF(AND($F230="core",$P230&gt;0),$B230,"")</f>
        <v/>
      </c>
      <c r="AA230" s="15" t="str">
        <f aca="false">IF($P230&gt;0,$B230,"")</f>
        <v/>
      </c>
      <c r="AB230" s="15" t="n">
        <v>1</v>
      </c>
      <c r="AC230" s="15" t="n">
        <v>1</v>
      </c>
      <c r="AD230" s="17" t="n">
        <f aca="false">IF(COUNTIFS(Clips!$F:$F,$B230,Clips!$M:$M,"&gt;0",Clips!$C:$C,"&lt;&gt;excluded")=0,"",AVERAGEIFS(Clips!$M:$M,Clips!$F:$F,$B230,Clips!$M:$M,"&gt;0",Clips!$C:$C,"&lt;&gt;excluded"))</f>
        <v>2</v>
      </c>
      <c r="AE230" s="15" t="n">
        <f aca="false">COUNTIFS(Clips!$F:$F,$B230,Clips!$O:$O,"&lt;&gt;",Clips!$B:$B,"&lt;&gt;site",Clips!$C:$C,"&lt;&gt;excluded")</f>
        <v>0</v>
      </c>
      <c r="AF230" s="15" t="n">
        <f aca="false">COUNTIFS(Clips!$F:$F,$B230,Clips!$I:$I,"&lt;5",Clips!$C:$C,"&lt;&gt;excluded")</f>
        <v>0</v>
      </c>
      <c r="AG230" s="5" t="s">
        <v>770</v>
      </c>
    </row>
    <row r="231" customFormat="false" ht="15" hidden="false" customHeight="false" outlineLevel="0" collapsed="false">
      <c r="A231" s="15" t="n">
        <v>161</v>
      </c>
      <c r="B231" s="15" t="s">
        <v>847</v>
      </c>
      <c r="C231" s="15" t="s">
        <v>848</v>
      </c>
      <c r="D231" s="15" t="s">
        <v>849</v>
      </c>
      <c r="E231" s="15" t="s">
        <v>147</v>
      </c>
      <c r="F231" s="15" t="s">
        <v>613</v>
      </c>
      <c r="G231" s="15" t="str">
        <f aca="false">IF(AND($E231="bird",$K231&gt;0),"yes","")</f>
        <v/>
      </c>
      <c r="H231" s="15"/>
      <c r="I231" s="15" t="str">
        <f aca="false">IF($E231="bird",IF(COUNTIF('eBird List'!$A:$A,$B231)&gt;0,"yes","no"),"")</f>
        <v>yes</v>
      </c>
      <c r="J231" s="16" t="n">
        <f aca="false">IF(COUNTIF('eBird List'!$A:$A,$B231)=0,"",INDEX('eBird List'!$C:$C,MATCH($B231,'eBird List'!$A:$A,0)))</f>
        <v>0.000119132713843221</v>
      </c>
      <c r="K231" s="15" t="n">
        <f aca="false">COUNTIFS(Clips!$B:$B,"site",Clips!$F:$F,$B231)+COUNTIFS(Clips!$B:$B,"site",Clips!$O:$O,"*"&amp;$B231&amp;"*")</f>
        <v>0</v>
      </c>
      <c r="L231" s="15" t="n">
        <f aca="false">COUNTIFS(Clips!$F:$F,$B231,Clips!$B:$B,"macaulay")</f>
        <v>1</v>
      </c>
      <c r="M231" s="15" t="n">
        <f aca="false">COUNTIFS(Clips!$F:$F,$B231,Clips!$B:$B,"xeno-canto")</f>
        <v>0</v>
      </c>
      <c r="N231" s="15" t="n">
        <f aca="false">K231+L231+M231</f>
        <v>1</v>
      </c>
      <c r="O231" s="15" t="n">
        <f aca="false">COUNTIFS(Clips!$F:$F,$B231,Clips!$C:$C,"excluded")</f>
        <v>0</v>
      </c>
      <c r="P231" s="15" t="n">
        <f aca="false">COUNTIFS(Clips!$F:$F,$B231,Clips!$C:$C,"train")</f>
        <v>0</v>
      </c>
      <c r="Q231" s="15" t="n">
        <f aca="false">COUNTIFS(Clips!$F:$F,$B231,Clips!$C:$C,"val")</f>
        <v>0</v>
      </c>
      <c r="R231" s="15" t="n">
        <f aca="false">COUNTIFS(Clips!$F:$F,$B231,Clips!$C:$C,"test")</f>
        <v>1</v>
      </c>
      <c r="S231" s="17" t="n">
        <f aca="false">SUMIFS(Clips!$I:$I,Clips!$F:$F,$B231,Clips!$C:$C,"train")/60</f>
        <v>0</v>
      </c>
      <c r="T231" s="17" t="n">
        <f aca="false">SUMIFS(Clips!$I:$I,Clips!$F:$F,$B231,Clips!$C:$C,"val")/60</f>
        <v>0</v>
      </c>
      <c r="U231" s="17" t="n">
        <f aca="false">SUMIFS(Clips!$I:$I,Clips!$F:$F,$B231,Clips!$C:$C,"test")/60</f>
        <v>0.429566666666667</v>
      </c>
      <c r="V231" s="15" t="n">
        <f aca="false">SUMIFS(Clips!$J:$J,Clips!$F:$F,$B231,Clips!$C:$C,"train")</f>
        <v>0</v>
      </c>
      <c r="W231" s="18" t="str">
        <f aca="false">IF(V231=0,"",Splits!$B$49/(Splits!$B$50*V231))</f>
        <v/>
      </c>
      <c r="X231" s="15" t="str">
        <f aca="false">IF(P231&gt;0,IF(AND(Q231&gt;0,R231&gt;0),"train + val + test",IF(R231&gt;0,"train + test","train only")),IF(R231&gt;0,"test only (unknown class)",IF(K231&gt;0,"site extract only","no usable audio")))</f>
        <v>test only (unknown class)</v>
      </c>
      <c r="Y231" s="15" t="str">
        <f aca="false">IF($P231=0,"",IF($E231="nonbird",$B231,IF($G231="yes",$B231,"other bird")))</f>
        <v/>
      </c>
      <c r="Z231" s="15" t="str">
        <f aca="false">IF(AND($F231="core",$P231&gt;0),$B231,"")</f>
        <v/>
      </c>
      <c r="AA231" s="15" t="str">
        <f aca="false">IF($P231&gt;0,$B231,"")</f>
        <v/>
      </c>
      <c r="AB231" s="15" t="n">
        <v>1</v>
      </c>
      <c r="AC231" s="15" t="n">
        <v>1</v>
      </c>
      <c r="AD231" s="17" t="n">
        <f aca="false">IF(COUNTIFS(Clips!$F:$F,$B231,Clips!$M:$M,"&gt;0",Clips!$C:$C,"&lt;&gt;excluded")=0,"",AVERAGEIFS(Clips!$M:$M,Clips!$F:$F,$B231,Clips!$M:$M,"&gt;0",Clips!$C:$C,"&lt;&gt;excluded"))</f>
        <v>1</v>
      </c>
      <c r="AE231" s="15" t="n">
        <f aca="false">COUNTIFS(Clips!$F:$F,$B231,Clips!$O:$O,"&lt;&gt;",Clips!$B:$B,"&lt;&gt;site",Clips!$C:$C,"&lt;&gt;excluded")</f>
        <v>1</v>
      </c>
      <c r="AF231" s="15" t="n">
        <f aca="false">COUNTIFS(Clips!$F:$F,$B231,Clips!$I:$I,"&lt;5",Clips!$C:$C,"&lt;&gt;excluded")</f>
        <v>0</v>
      </c>
      <c r="AG231" s="5"/>
    </row>
    <row r="232" customFormat="false" ht="15" hidden="false" customHeight="false" outlineLevel="0" collapsed="false">
      <c r="A232" s="15" t="n">
        <v>162</v>
      </c>
      <c r="B232" s="15" t="s">
        <v>850</v>
      </c>
      <c r="C232" s="15" t="s">
        <v>851</v>
      </c>
      <c r="D232" s="15" t="s">
        <v>852</v>
      </c>
      <c r="E232" s="15" t="s">
        <v>147</v>
      </c>
      <c r="F232" s="15" t="s">
        <v>647</v>
      </c>
      <c r="G232" s="15" t="str">
        <f aca="false">IF(AND($E232="bird",$K232&gt;0),"yes","")</f>
        <v/>
      </c>
      <c r="H232" s="15"/>
      <c r="I232" s="15" t="str">
        <f aca="false">IF($E232="bird",IF(COUNTIF('eBird List'!$A:$A,$B232)&gt;0,"yes","no"),"")</f>
        <v>yes</v>
      </c>
      <c r="J232" s="16" t="n">
        <f aca="false">IF(COUNTIF('eBird List'!$A:$A,$B232)=0,"",INDEX('eBird List'!$C:$C,MATCH($B232,'eBird List'!$A:$A,0)))</f>
        <v>2.97831784608053E-005</v>
      </c>
      <c r="K232" s="15" t="n">
        <f aca="false">COUNTIFS(Clips!$B:$B,"site",Clips!$F:$F,$B232)+COUNTIFS(Clips!$B:$B,"site",Clips!$O:$O,"*"&amp;$B232&amp;"*")</f>
        <v>0</v>
      </c>
      <c r="L232" s="15" t="n">
        <f aca="false">COUNTIFS(Clips!$F:$F,$B232,Clips!$B:$B,"macaulay")</f>
        <v>0</v>
      </c>
      <c r="M232" s="15" t="n">
        <f aca="false">COUNTIFS(Clips!$F:$F,$B232,Clips!$B:$B,"xeno-canto")</f>
        <v>1</v>
      </c>
      <c r="N232" s="15" t="n">
        <f aca="false">K232+L232+M232</f>
        <v>1</v>
      </c>
      <c r="O232" s="15" t="n">
        <f aca="false">COUNTIFS(Clips!$F:$F,$B232,Clips!$C:$C,"excluded")</f>
        <v>0</v>
      </c>
      <c r="P232" s="15" t="n">
        <f aca="false">COUNTIFS(Clips!$F:$F,$B232,Clips!$C:$C,"train")</f>
        <v>1</v>
      </c>
      <c r="Q232" s="15" t="n">
        <f aca="false">COUNTIFS(Clips!$F:$F,$B232,Clips!$C:$C,"val")</f>
        <v>0</v>
      </c>
      <c r="R232" s="15" t="n">
        <f aca="false">COUNTIFS(Clips!$F:$F,$B232,Clips!$C:$C,"test")</f>
        <v>0</v>
      </c>
      <c r="S232" s="17" t="n">
        <f aca="false">SUMIFS(Clips!$I:$I,Clips!$F:$F,$B232,Clips!$C:$C,"train")/60</f>
        <v>1.404</v>
      </c>
      <c r="T232" s="17" t="n">
        <f aca="false">SUMIFS(Clips!$I:$I,Clips!$F:$F,$B232,Clips!$C:$C,"val")/60</f>
        <v>0</v>
      </c>
      <c r="U232" s="17" t="n">
        <f aca="false">SUMIFS(Clips!$I:$I,Clips!$F:$F,$B232,Clips!$C:$C,"test")/60</f>
        <v>0</v>
      </c>
      <c r="V232" s="15" t="n">
        <f aca="false">SUMIFS(Clips!$J:$J,Clips!$F:$F,$B232,Clips!$C:$C,"train")</f>
        <v>17</v>
      </c>
      <c r="W232" s="18" t="n">
        <f aca="false">IF(V232=0,"",Splits!$B$49/(Splits!$B$50*V232))</f>
        <v>9.16620421753607</v>
      </c>
      <c r="X232" s="15" t="str">
        <f aca="false">IF(P232&gt;0,IF(AND(Q232&gt;0,R232&gt;0),"train + val + test",IF(R232&gt;0,"train + test","train only")),IF(R232&gt;0,"test only (unknown class)",IF(K232&gt;0,"site extract only","no usable audio")))</f>
        <v>train only</v>
      </c>
      <c r="Y232" s="15" t="str">
        <f aca="false">IF($P232=0,"",IF($E232="nonbird",$B232,IF($G232="yes",$B232,"other bird")))</f>
        <v>other bird</v>
      </c>
      <c r="Z232" s="15" t="str">
        <f aca="false">IF(AND($F232="core",$P232&gt;0),$B232,"")</f>
        <v/>
      </c>
      <c r="AA232" s="15" t="str">
        <f aca="false">IF($P232&gt;0,$B232,"")</f>
        <v>Resplendent Quetzal</v>
      </c>
      <c r="AB232" s="15" t="n">
        <v>1</v>
      </c>
      <c r="AC232" s="15" t="n">
        <v>1</v>
      </c>
      <c r="AD232" s="17" t="str">
        <f aca="false">IF(COUNTIFS(Clips!$F:$F,$B232,Clips!$M:$M,"&gt;0",Clips!$C:$C,"&lt;&gt;excluded")=0,"",AVERAGEIFS(Clips!$M:$M,Clips!$F:$F,$B232,Clips!$M:$M,"&gt;0",Clips!$C:$C,"&lt;&gt;excluded"))</f>
        <v/>
      </c>
      <c r="AE232" s="15" t="n">
        <f aca="false">COUNTIFS(Clips!$F:$F,$B232,Clips!$O:$O,"&lt;&gt;",Clips!$B:$B,"&lt;&gt;site",Clips!$C:$C,"&lt;&gt;excluded")</f>
        <v>0</v>
      </c>
      <c r="AF232" s="15" t="n">
        <f aca="false">COUNTIFS(Clips!$F:$F,$B232,Clips!$I:$I,"&lt;5",Clips!$C:$C,"&lt;&gt;excluded")</f>
        <v>0</v>
      </c>
      <c r="AG232" s="5" t="s">
        <v>710</v>
      </c>
    </row>
    <row r="233" customFormat="false" ht="15" hidden="false" customHeight="false" outlineLevel="0" collapsed="false">
      <c r="A233" s="15" t="n">
        <v>172</v>
      </c>
      <c r="B233" s="15" t="s">
        <v>853</v>
      </c>
      <c r="C233" s="15" t="s">
        <v>854</v>
      </c>
      <c r="D233" s="15" t="s">
        <v>855</v>
      </c>
      <c r="E233" s="15" t="s">
        <v>147</v>
      </c>
      <c r="F233" s="15" t="s">
        <v>613</v>
      </c>
      <c r="G233" s="15" t="str">
        <f aca="false">IF(AND($E233="bird",$K233&gt;0),"yes","")</f>
        <v/>
      </c>
      <c r="H233" s="15"/>
      <c r="I233" s="15" t="str">
        <f aca="false">IF($E233="bird",IF(COUNTIF('eBird List'!$A:$A,$B233)&gt;0,"yes","no"),"")</f>
        <v>yes</v>
      </c>
      <c r="J233" s="16" t="n">
        <f aca="false">IF(COUNTIF('eBird List'!$A:$A,$B233)=0,"",INDEX('eBird List'!$C:$C,MATCH($B233,'eBird List'!$A:$A,0)))</f>
        <v>0.00116154395997141</v>
      </c>
      <c r="K233" s="15" t="n">
        <f aca="false">COUNTIFS(Clips!$B:$B,"site",Clips!$F:$F,$B233)+COUNTIFS(Clips!$B:$B,"site",Clips!$O:$O,"*"&amp;$B233&amp;"*")</f>
        <v>0</v>
      </c>
      <c r="L233" s="15" t="n">
        <f aca="false">COUNTIFS(Clips!$F:$F,$B233,Clips!$B:$B,"macaulay")</f>
        <v>1</v>
      </c>
      <c r="M233" s="15" t="n">
        <f aca="false">COUNTIFS(Clips!$F:$F,$B233,Clips!$B:$B,"xeno-canto")</f>
        <v>0</v>
      </c>
      <c r="N233" s="15" t="n">
        <f aca="false">K233+L233+M233</f>
        <v>1</v>
      </c>
      <c r="O233" s="15" t="n">
        <f aca="false">COUNTIFS(Clips!$F:$F,$B233,Clips!$C:$C,"excluded")</f>
        <v>0</v>
      </c>
      <c r="P233" s="15" t="n">
        <f aca="false">COUNTIFS(Clips!$F:$F,$B233,Clips!$C:$C,"train")</f>
        <v>0</v>
      </c>
      <c r="Q233" s="15" t="n">
        <f aca="false">COUNTIFS(Clips!$F:$F,$B233,Clips!$C:$C,"val")</f>
        <v>0</v>
      </c>
      <c r="R233" s="15" t="n">
        <f aca="false">COUNTIFS(Clips!$F:$F,$B233,Clips!$C:$C,"test")</f>
        <v>1</v>
      </c>
      <c r="S233" s="17" t="n">
        <f aca="false">SUMIFS(Clips!$I:$I,Clips!$F:$F,$B233,Clips!$C:$C,"train")/60</f>
        <v>0</v>
      </c>
      <c r="T233" s="17" t="n">
        <f aca="false">SUMIFS(Clips!$I:$I,Clips!$F:$F,$B233,Clips!$C:$C,"val")/60</f>
        <v>0</v>
      </c>
      <c r="U233" s="17" t="n">
        <f aca="false">SUMIFS(Clips!$I:$I,Clips!$F:$F,$B233,Clips!$C:$C,"test")/60</f>
        <v>0.0482166666666667</v>
      </c>
      <c r="V233" s="15" t="n">
        <f aca="false">SUMIFS(Clips!$J:$J,Clips!$F:$F,$B233,Clips!$C:$C,"train")</f>
        <v>0</v>
      </c>
      <c r="W233" s="18" t="str">
        <f aca="false">IF(V233=0,"",Splits!$B$49/(Splits!$B$50*V233))</f>
        <v/>
      </c>
      <c r="X233" s="15" t="str">
        <f aca="false">IF(P233&gt;0,IF(AND(Q233&gt;0,R233&gt;0),"train + val + test",IF(R233&gt;0,"train + test","train only")),IF(R233&gt;0,"test only (unknown class)",IF(K233&gt;0,"site extract only","no usable audio")))</f>
        <v>test only (unknown class)</v>
      </c>
      <c r="Y233" s="15" t="str">
        <f aca="false">IF($P233=0,"",IF($E233="nonbird",$B233,IF($G233="yes",$B233,"other bird")))</f>
        <v/>
      </c>
      <c r="Z233" s="15" t="str">
        <f aca="false">IF(AND($F233="core",$P233&gt;0),$B233,"")</f>
        <v/>
      </c>
      <c r="AA233" s="15" t="str">
        <f aca="false">IF($P233&gt;0,$B233,"")</f>
        <v/>
      </c>
      <c r="AB233" s="15" t="n">
        <v>1</v>
      </c>
      <c r="AC233" s="15" t="n">
        <v>1</v>
      </c>
      <c r="AD233" s="17" t="n">
        <f aca="false">IF(COUNTIFS(Clips!$F:$F,$B233,Clips!$M:$M,"&gt;0",Clips!$C:$C,"&lt;&gt;excluded")=0,"",AVERAGEIFS(Clips!$M:$M,Clips!$F:$F,$B233,Clips!$M:$M,"&gt;0",Clips!$C:$C,"&lt;&gt;excluded"))</f>
        <v>1</v>
      </c>
      <c r="AE233" s="15" t="n">
        <f aca="false">COUNTIFS(Clips!$F:$F,$B233,Clips!$O:$O,"&lt;&gt;",Clips!$B:$B,"&lt;&gt;site",Clips!$C:$C,"&lt;&gt;excluded")</f>
        <v>0</v>
      </c>
      <c r="AF233" s="15" t="n">
        <f aca="false">COUNTIFS(Clips!$F:$F,$B233,Clips!$I:$I,"&lt;5",Clips!$C:$C,"&lt;&gt;excluded")</f>
        <v>1</v>
      </c>
      <c r="AG233" s="5"/>
    </row>
    <row r="234" customFormat="false" ht="15" hidden="false" customHeight="false" outlineLevel="0" collapsed="false">
      <c r="A234" s="15" t="n">
        <v>179</v>
      </c>
      <c r="B234" s="15" t="s">
        <v>856</v>
      </c>
      <c r="C234" s="15" t="s">
        <v>857</v>
      </c>
      <c r="D234" s="15" t="s">
        <v>858</v>
      </c>
      <c r="E234" s="15" t="s">
        <v>147</v>
      </c>
      <c r="F234" s="15" t="s">
        <v>613</v>
      </c>
      <c r="G234" s="15" t="str">
        <f aca="false">IF(AND($E234="bird",$K234&gt;0),"yes","")</f>
        <v/>
      </c>
      <c r="H234" s="15"/>
      <c r="I234" s="15" t="str">
        <f aca="false">IF($E234="bird",IF(COUNTIF('eBird List'!$A:$A,$B234)&gt;0,"yes","no"),"")</f>
        <v>yes</v>
      </c>
      <c r="J234" s="16" t="n">
        <f aca="false">IF(COUNTIF('eBird List'!$A:$A,$B234)=0,"",INDEX('eBird List'!$C:$C,MATCH($B234,'eBird List'!$A:$A,0)))</f>
        <v>0.186174648558494</v>
      </c>
      <c r="K234" s="15" t="n">
        <f aca="false">COUNTIFS(Clips!$B:$B,"site",Clips!$F:$F,$B234)+COUNTIFS(Clips!$B:$B,"site",Clips!$O:$O,"*"&amp;$B234&amp;"*")</f>
        <v>0</v>
      </c>
      <c r="L234" s="15" t="n">
        <f aca="false">COUNTIFS(Clips!$F:$F,$B234,Clips!$B:$B,"macaulay")</f>
        <v>1</v>
      </c>
      <c r="M234" s="15" t="n">
        <f aca="false">COUNTIFS(Clips!$F:$F,$B234,Clips!$B:$B,"xeno-canto")</f>
        <v>0</v>
      </c>
      <c r="N234" s="15" t="n">
        <f aca="false">K234+L234+M234</f>
        <v>1</v>
      </c>
      <c r="O234" s="15" t="n">
        <f aca="false">COUNTIFS(Clips!$F:$F,$B234,Clips!$C:$C,"excluded")</f>
        <v>0</v>
      </c>
      <c r="P234" s="15" t="n">
        <f aca="false">COUNTIFS(Clips!$F:$F,$B234,Clips!$C:$C,"train")</f>
        <v>0</v>
      </c>
      <c r="Q234" s="15" t="n">
        <f aca="false">COUNTIFS(Clips!$F:$F,$B234,Clips!$C:$C,"val")</f>
        <v>0</v>
      </c>
      <c r="R234" s="15" t="n">
        <f aca="false">COUNTIFS(Clips!$F:$F,$B234,Clips!$C:$C,"test")</f>
        <v>1</v>
      </c>
      <c r="S234" s="17" t="n">
        <f aca="false">SUMIFS(Clips!$I:$I,Clips!$F:$F,$B234,Clips!$C:$C,"train")/60</f>
        <v>0</v>
      </c>
      <c r="T234" s="17" t="n">
        <f aca="false">SUMIFS(Clips!$I:$I,Clips!$F:$F,$B234,Clips!$C:$C,"val")/60</f>
        <v>0</v>
      </c>
      <c r="U234" s="17" t="n">
        <f aca="false">SUMIFS(Clips!$I:$I,Clips!$F:$F,$B234,Clips!$C:$C,"test")/60</f>
        <v>0.333133333333333</v>
      </c>
      <c r="V234" s="15" t="n">
        <f aca="false">SUMIFS(Clips!$J:$J,Clips!$F:$F,$B234,Clips!$C:$C,"train")</f>
        <v>0</v>
      </c>
      <c r="W234" s="18" t="str">
        <f aca="false">IF(V234=0,"",Splits!$B$49/(Splits!$B$50*V234))</f>
        <v/>
      </c>
      <c r="X234" s="15" t="str">
        <f aca="false">IF(P234&gt;0,IF(AND(Q234&gt;0,R234&gt;0),"train + val + test",IF(R234&gt;0,"train + test","train only")),IF(R234&gt;0,"test only (unknown class)",IF(K234&gt;0,"site extract only","no usable audio")))</f>
        <v>test only (unknown class)</v>
      </c>
      <c r="Y234" s="15" t="str">
        <f aca="false">IF($P234=0,"",IF($E234="nonbird",$B234,IF($G234="yes",$B234,"other bird")))</f>
        <v/>
      </c>
      <c r="Z234" s="15" t="str">
        <f aca="false">IF(AND($F234="core",$P234&gt;0),$B234,"")</f>
        <v/>
      </c>
      <c r="AA234" s="15" t="str">
        <f aca="false">IF($P234&gt;0,$B234,"")</f>
        <v/>
      </c>
      <c r="AB234" s="15" t="n">
        <v>1</v>
      </c>
      <c r="AC234" s="15" t="n">
        <v>1</v>
      </c>
      <c r="AD234" s="17" t="n">
        <f aca="false">IF(COUNTIFS(Clips!$F:$F,$B234,Clips!$M:$M,"&gt;0",Clips!$C:$C,"&lt;&gt;excluded")=0,"",AVERAGEIFS(Clips!$M:$M,Clips!$F:$F,$B234,Clips!$M:$M,"&gt;0",Clips!$C:$C,"&lt;&gt;excluded"))</f>
        <v>2.25</v>
      </c>
      <c r="AE234" s="15" t="n">
        <f aca="false">COUNTIFS(Clips!$F:$F,$B234,Clips!$O:$O,"&lt;&gt;",Clips!$B:$B,"&lt;&gt;site",Clips!$C:$C,"&lt;&gt;excluded")</f>
        <v>0</v>
      </c>
      <c r="AF234" s="15" t="n">
        <f aca="false">COUNTIFS(Clips!$F:$F,$B234,Clips!$I:$I,"&lt;5",Clips!$C:$C,"&lt;&gt;excluded")</f>
        <v>0</v>
      </c>
      <c r="AG234" s="5"/>
    </row>
    <row r="235" customFormat="false" ht="15" hidden="false" customHeight="false" outlineLevel="0" collapsed="false">
      <c r="A235" s="15" t="n">
        <v>183</v>
      </c>
      <c r="B235" s="15" t="s">
        <v>859</v>
      </c>
      <c r="C235" s="15" t="s">
        <v>860</v>
      </c>
      <c r="D235" s="15"/>
      <c r="E235" s="15" t="s">
        <v>147</v>
      </c>
      <c r="F235" s="15" t="s">
        <v>647</v>
      </c>
      <c r="G235" s="15" t="str">
        <f aca="false">IF(AND($E235="bird",$K235&gt;0),"yes","")</f>
        <v/>
      </c>
      <c r="H235" s="15"/>
      <c r="I235" s="15" t="str">
        <f aca="false">IF($E235="bird",IF(COUNTIF('eBird List'!$A:$A,$B235)&gt;0,"yes","no"),"")</f>
        <v>no</v>
      </c>
      <c r="J235" s="16" t="str">
        <f aca="false">IF(COUNTIF('eBird List'!$A:$A,$B235)=0,"",INDEX('eBird List'!$C:$C,MATCH($B235,'eBird List'!$A:$A,0)))</f>
        <v/>
      </c>
      <c r="K235" s="15" t="n">
        <f aca="false">COUNTIFS(Clips!$B:$B,"site",Clips!$F:$F,$B235)+COUNTIFS(Clips!$B:$B,"site",Clips!$O:$O,"*"&amp;$B235&amp;"*")</f>
        <v>0</v>
      </c>
      <c r="L235" s="15" t="n">
        <f aca="false">COUNTIFS(Clips!$F:$F,$B235,Clips!$B:$B,"macaulay")</f>
        <v>0</v>
      </c>
      <c r="M235" s="15" t="n">
        <f aca="false">COUNTIFS(Clips!$F:$F,$B235,Clips!$B:$B,"xeno-canto")</f>
        <v>1</v>
      </c>
      <c r="N235" s="15" t="n">
        <f aca="false">K235+L235+M235</f>
        <v>1</v>
      </c>
      <c r="O235" s="15" t="n">
        <f aca="false">COUNTIFS(Clips!$F:$F,$B235,Clips!$C:$C,"excluded")</f>
        <v>0</v>
      </c>
      <c r="P235" s="15" t="n">
        <f aca="false">COUNTIFS(Clips!$F:$F,$B235,Clips!$C:$C,"train")</f>
        <v>1</v>
      </c>
      <c r="Q235" s="15" t="n">
        <f aca="false">COUNTIFS(Clips!$F:$F,$B235,Clips!$C:$C,"val")</f>
        <v>0</v>
      </c>
      <c r="R235" s="15" t="n">
        <f aca="false">COUNTIFS(Clips!$F:$F,$B235,Clips!$C:$C,"test")</f>
        <v>0</v>
      </c>
      <c r="S235" s="17" t="n">
        <f aca="false">SUMIFS(Clips!$I:$I,Clips!$F:$F,$B235,Clips!$C:$C,"train")/60</f>
        <v>0.4636</v>
      </c>
      <c r="T235" s="17" t="n">
        <f aca="false">SUMIFS(Clips!$I:$I,Clips!$F:$F,$B235,Clips!$C:$C,"val")/60</f>
        <v>0</v>
      </c>
      <c r="U235" s="17" t="n">
        <f aca="false">SUMIFS(Clips!$I:$I,Clips!$F:$F,$B235,Clips!$C:$C,"test")/60</f>
        <v>0</v>
      </c>
      <c r="V235" s="15" t="n">
        <f aca="false">SUMIFS(Clips!$J:$J,Clips!$F:$F,$B235,Clips!$C:$C,"train")</f>
        <v>6</v>
      </c>
      <c r="W235" s="18" t="n">
        <f aca="false">IF(V235=0,"",Splits!$B$49/(Splits!$B$50*V235))</f>
        <v>25.9709119496855</v>
      </c>
      <c r="X235" s="15" t="str">
        <f aca="false">IF(P235&gt;0,IF(AND(Q235&gt;0,R235&gt;0),"train + val + test",IF(R235&gt;0,"train + test","train only")),IF(R235&gt;0,"test only (unknown class)",IF(K235&gt;0,"site extract only","no usable audio")))</f>
        <v>train only</v>
      </c>
      <c r="Y235" s="15" t="str">
        <f aca="false">IF($P235=0,"",IF($E235="nonbird",$B235,IF($G235="yes",$B235,"other bird")))</f>
        <v>other bird</v>
      </c>
      <c r="Z235" s="15" t="str">
        <f aca="false">IF(AND($F235="core",$P235&gt;0),$B235,"")</f>
        <v/>
      </c>
      <c r="AA235" s="15" t="str">
        <f aca="false">IF($P235&gt;0,$B235,"")</f>
        <v>Slate-throated Redstart</v>
      </c>
      <c r="AB235" s="15" t="n">
        <v>1</v>
      </c>
      <c r="AC235" s="15" t="n">
        <v>1</v>
      </c>
      <c r="AD235" s="17" t="str">
        <f aca="false">IF(COUNTIFS(Clips!$F:$F,$B235,Clips!$M:$M,"&gt;0",Clips!$C:$C,"&lt;&gt;excluded")=0,"",AVERAGEIFS(Clips!$M:$M,Clips!$F:$F,$B235,Clips!$M:$M,"&gt;0",Clips!$C:$C,"&lt;&gt;excluded"))</f>
        <v/>
      </c>
      <c r="AE235" s="15" t="n">
        <f aca="false">COUNTIFS(Clips!$F:$F,$B235,Clips!$O:$O,"&lt;&gt;",Clips!$B:$B,"&lt;&gt;site",Clips!$C:$C,"&lt;&gt;excluded")</f>
        <v>0</v>
      </c>
      <c r="AF235" s="15" t="n">
        <f aca="false">COUNTIFS(Clips!$F:$F,$B235,Clips!$I:$I,"&lt;5",Clips!$C:$C,"&lt;&gt;excluded")</f>
        <v>0</v>
      </c>
      <c r="AG235" s="5" t="s">
        <v>648</v>
      </c>
    </row>
    <row r="236" customFormat="false" ht="15" hidden="false" customHeight="false" outlineLevel="0" collapsed="false">
      <c r="A236" s="15" t="n">
        <v>193</v>
      </c>
      <c r="B236" s="15" t="s">
        <v>861</v>
      </c>
      <c r="C236" s="15" t="s">
        <v>862</v>
      </c>
      <c r="D236" s="15" t="s">
        <v>863</v>
      </c>
      <c r="E236" s="15" t="s">
        <v>147</v>
      </c>
      <c r="F236" s="15" t="s">
        <v>613</v>
      </c>
      <c r="G236" s="15" t="str">
        <f aca="false">IF(AND($E236="bird",$K236&gt;0),"yes","")</f>
        <v/>
      </c>
      <c r="H236" s="15"/>
      <c r="I236" s="15" t="str">
        <f aca="false">IF($E236="bird",IF(COUNTIF('eBird List'!$A:$A,$B236)&gt;0,"yes","no"),"")</f>
        <v>yes</v>
      </c>
      <c r="J236" s="16" t="n">
        <f aca="false">IF(COUNTIF('eBird List'!$A:$A,$B236)=0,"",INDEX('eBird List'!$C:$C,MATCH($B236,'eBird List'!$A:$A,0)))</f>
        <v>0.000148915892304027</v>
      </c>
      <c r="K236" s="15" t="n">
        <f aca="false">COUNTIFS(Clips!$B:$B,"site",Clips!$F:$F,$B236)+COUNTIFS(Clips!$B:$B,"site",Clips!$O:$O,"*"&amp;$B236&amp;"*")</f>
        <v>0</v>
      </c>
      <c r="L236" s="15" t="n">
        <f aca="false">COUNTIFS(Clips!$F:$F,$B236,Clips!$B:$B,"macaulay")</f>
        <v>1</v>
      </c>
      <c r="M236" s="15" t="n">
        <f aca="false">COUNTIFS(Clips!$F:$F,$B236,Clips!$B:$B,"xeno-canto")</f>
        <v>0</v>
      </c>
      <c r="N236" s="15" t="n">
        <f aca="false">K236+L236+M236</f>
        <v>1</v>
      </c>
      <c r="O236" s="15" t="n">
        <f aca="false">COUNTIFS(Clips!$F:$F,$B236,Clips!$C:$C,"excluded")</f>
        <v>0</v>
      </c>
      <c r="P236" s="15" t="n">
        <f aca="false">COUNTIFS(Clips!$F:$F,$B236,Clips!$C:$C,"train")</f>
        <v>0</v>
      </c>
      <c r="Q236" s="15" t="n">
        <f aca="false">COUNTIFS(Clips!$F:$F,$B236,Clips!$C:$C,"val")</f>
        <v>0</v>
      </c>
      <c r="R236" s="15" t="n">
        <f aca="false">COUNTIFS(Clips!$F:$F,$B236,Clips!$C:$C,"test")</f>
        <v>1</v>
      </c>
      <c r="S236" s="17" t="n">
        <f aca="false">SUMIFS(Clips!$I:$I,Clips!$F:$F,$B236,Clips!$C:$C,"train")/60</f>
        <v>0</v>
      </c>
      <c r="T236" s="17" t="n">
        <f aca="false">SUMIFS(Clips!$I:$I,Clips!$F:$F,$B236,Clips!$C:$C,"val")/60</f>
        <v>0</v>
      </c>
      <c r="U236" s="17" t="n">
        <f aca="false">SUMIFS(Clips!$I:$I,Clips!$F:$F,$B236,Clips!$C:$C,"test")/60</f>
        <v>21.0511</v>
      </c>
      <c r="V236" s="15" t="n">
        <f aca="false">SUMIFS(Clips!$J:$J,Clips!$F:$F,$B236,Clips!$C:$C,"train")</f>
        <v>0</v>
      </c>
      <c r="W236" s="18" t="str">
        <f aca="false">IF(V236=0,"",Splits!$B$49/(Splits!$B$50*V236))</f>
        <v/>
      </c>
      <c r="X236" s="15" t="str">
        <f aca="false">IF(P236&gt;0,IF(AND(Q236&gt;0,R236&gt;0),"train + val + test",IF(R236&gt;0,"train + test","train only")),IF(R236&gt;0,"test only (unknown class)",IF(K236&gt;0,"site extract only","no usable audio")))</f>
        <v>test only (unknown class)</v>
      </c>
      <c r="Y236" s="15" t="str">
        <f aca="false">IF($P236=0,"",IF($E236="nonbird",$B236,IF($G236="yes",$B236,"other bird")))</f>
        <v/>
      </c>
      <c r="Z236" s="15" t="str">
        <f aca="false">IF(AND($F236="core",$P236&gt;0),$B236,"")</f>
        <v/>
      </c>
      <c r="AA236" s="15" t="str">
        <f aca="false">IF($P236&gt;0,$B236,"")</f>
        <v/>
      </c>
      <c r="AB236" s="15" t="n">
        <v>1</v>
      </c>
      <c r="AC236" s="15" t="n">
        <v>1</v>
      </c>
      <c r="AD236" s="17" t="n">
        <f aca="false">IF(COUNTIFS(Clips!$F:$F,$B236,Clips!$M:$M,"&gt;0",Clips!$C:$C,"&lt;&gt;excluded")=0,"",AVERAGEIFS(Clips!$M:$M,Clips!$F:$F,$B236,Clips!$M:$M,"&gt;0",Clips!$C:$C,"&lt;&gt;excluded"))</f>
        <v>3.67</v>
      </c>
      <c r="AE236" s="15" t="n">
        <f aca="false">COUNTIFS(Clips!$F:$F,$B236,Clips!$O:$O,"&lt;&gt;",Clips!$B:$B,"&lt;&gt;site",Clips!$C:$C,"&lt;&gt;excluded")</f>
        <v>0</v>
      </c>
      <c r="AF236" s="15" t="n">
        <f aca="false">COUNTIFS(Clips!$F:$F,$B236,Clips!$I:$I,"&lt;5",Clips!$C:$C,"&lt;&gt;excluded")</f>
        <v>0</v>
      </c>
      <c r="AG236" s="5"/>
    </row>
    <row r="237" customFormat="false" ht="15" hidden="false" customHeight="false" outlineLevel="0" collapsed="false">
      <c r="A237" s="15" t="n">
        <v>202</v>
      </c>
      <c r="B237" s="15" t="s">
        <v>864</v>
      </c>
      <c r="C237" s="15" t="s">
        <v>865</v>
      </c>
      <c r="D237" s="15" t="s">
        <v>866</v>
      </c>
      <c r="E237" s="15" t="s">
        <v>147</v>
      </c>
      <c r="F237" s="15" t="s">
        <v>647</v>
      </c>
      <c r="G237" s="15" t="str">
        <f aca="false">IF(AND($E237="bird",$K237&gt;0),"yes","")</f>
        <v/>
      </c>
      <c r="H237" s="15"/>
      <c r="I237" s="15" t="str">
        <f aca="false">IF($E237="bird",IF(COUNTIF('eBird List'!$A:$A,$B237)&gt;0,"yes","no"),"")</f>
        <v>yes</v>
      </c>
      <c r="J237" s="16" t="n">
        <f aca="false">IF(COUNTIF('eBird List'!$A:$A,$B237)=0,"",INDEX('eBird List'!$C:$C,MATCH($B237,'eBird List'!$A:$A,0)))</f>
        <v>0.0176316416487968</v>
      </c>
      <c r="K237" s="15" t="n">
        <f aca="false">COUNTIFS(Clips!$B:$B,"site",Clips!$F:$F,$B237)+COUNTIFS(Clips!$B:$B,"site",Clips!$O:$O,"*"&amp;$B237&amp;"*")</f>
        <v>0</v>
      </c>
      <c r="L237" s="15" t="n">
        <f aca="false">COUNTIFS(Clips!$F:$F,$B237,Clips!$B:$B,"macaulay")</f>
        <v>0</v>
      </c>
      <c r="M237" s="15" t="n">
        <f aca="false">COUNTIFS(Clips!$F:$F,$B237,Clips!$B:$B,"xeno-canto")</f>
        <v>1</v>
      </c>
      <c r="N237" s="15" t="n">
        <f aca="false">K237+L237+M237</f>
        <v>1</v>
      </c>
      <c r="O237" s="15" t="n">
        <f aca="false">COUNTIFS(Clips!$F:$F,$B237,Clips!$C:$C,"excluded")</f>
        <v>0</v>
      </c>
      <c r="P237" s="15" t="n">
        <f aca="false">COUNTIFS(Clips!$F:$F,$B237,Clips!$C:$C,"train")</f>
        <v>1</v>
      </c>
      <c r="Q237" s="15" t="n">
        <f aca="false">COUNTIFS(Clips!$F:$F,$B237,Clips!$C:$C,"val")</f>
        <v>0</v>
      </c>
      <c r="R237" s="15" t="n">
        <f aca="false">COUNTIFS(Clips!$F:$F,$B237,Clips!$C:$C,"test")</f>
        <v>0</v>
      </c>
      <c r="S237" s="17" t="n">
        <f aca="false">SUMIFS(Clips!$I:$I,Clips!$F:$F,$B237,Clips!$C:$C,"train")/60</f>
        <v>0.485</v>
      </c>
      <c r="T237" s="17" t="n">
        <f aca="false">SUMIFS(Clips!$I:$I,Clips!$F:$F,$B237,Clips!$C:$C,"val")/60</f>
        <v>0</v>
      </c>
      <c r="U237" s="17" t="n">
        <f aca="false">SUMIFS(Clips!$I:$I,Clips!$F:$F,$B237,Clips!$C:$C,"test")/60</f>
        <v>0</v>
      </c>
      <c r="V237" s="15" t="n">
        <f aca="false">SUMIFS(Clips!$J:$J,Clips!$F:$F,$B237,Clips!$C:$C,"train")</f>
        <v>6</v>
      </c>
      <c r="W237" s="18" t="n">
        <f aca="false">IF(V237=0,"",Splits!$B$49/(Splits!$B$50*V237))</f>
        <v>25.9709119496855</v>
      </c>
      <c r="X237" s="15" t="str">
        <f aca="false">IF(P237&gt;0,IF(AND(Q237&gt;0,R237&gt;0),"train + val + test",IF(R237&gt;0,"train + test","train only")),IF(R237&gt;0,"test only (unknown class)",IF(K237&gt;0,"site extract only","no usable audio")))</f>
        <v>train only</v>
      </c>
      <c r="Y237" s="15" t="str">
        <f aca="false">IF($P237=0,"",IF($E237="nonbird",$B237,IF($G237="yes",$B237,"other bird")))</f>
        <v>other bird</v>
      </c>
      <c r="Z237" s="15" t="str">
        <f aca="false">IF(AND($F237="core",$P237&gt;0),$B237,"")</f>
        <v/>
      </c>
      <c r="AA237" s="15" t="str">
        <f aca="false">IF($P237&gt;0,$B237,"")</f>
        <v>Sulphur-bellied Flycatcher</v>
      </c>
      <c r="AB237" s="15" t="n">
        <v>1</v>
      </c>
      <c r="AC237" s="15" t="n">
        <v>1</v>
      </c>
      <c r="AD237" s="17" t="str">
        <f aca="false">IF(COUNTIFS(Clips!$F:$F,$B237,Clips!$M:$M,"&gt;0",Clips!$C:$C,"&lt;&gt;excluded")=0,"",AVERAGEIFS(Clips!$M:$M,Clips!$F:$F,$B237,Clips!$M:$M,"&gt;0",Clips!$C:$C,"&lt;&gt;excluded"))</f>
        <v/>
      </c>
      <c r="AE237" s="15" t="n">
        <f aca="false">COUNTIFS(Clips!$F:$F,$B237,Clips!$O:$O,"&lt;&gt;",Clips!$B:$B,"&lt;&gt;site",Clips!$C:$C,"&lt;&gt;excluded")</f>
        <v>0</v>
      </c>
      <c r="AF237" s="15" t="n">
        <f aca="false">COUNTIFS(Clips!$F:$F,$B237,Clips!$I:$I,"&lt;5",Clips!$C:$C,"&lt;&gt;excluded")</f>
        <v>0</v>
      </c>
      <c r="AG237" s="5" t="s">
        <v>710</v>
      </c>
    </row>
    <row r="238" customFormat="false" ht="15" hidden="false" customHeight="false" outlineLevel="0" collapsed="false">
      <c r="A238" s="15" t="n">
        <v>203</v>
      </c>
      <c r="B238" s="15" t="s">
        <v>867</v>
      </c>
      <c r="C238" s="15" t="s">
        <v>868</v>
      </c>
      <c r="D238" s="15" t="s">
        <v>869</v>
      </c>
      <c r="E238" s="15" t="s">
        <v>147</v>
      </c>
      <c r="F238" s="15" t="s">
        <v>613</v>
      </c>
      <c r="G238" s="15" t="str">
        <f aca="false">IF(AND($E238="bird",$K238&gt;0),"yes","")</f>
        <v/>
      </c>
      <c r="H238" s="15"/>
      <c r="I238" s="15" t="str">
        <f aca="false">IF($E238="bird",IF(COUNTIF('eBird List'!$A:$A,$B238)&gt;0,"yes","no"),"")</f>
        <v>yes</v>
      </c>
      <c r="J238" s="16" t="n">
        <f aca="false">IF(COUNTIF('eBird List'!$A:$A,$B238)=0,"",INDEX('eBird List'!$C:$C,MATCH($B238,'eBird List'!$A:$A,0)))</f>
        <v>0.00268048606147248</v>
      </c>
      <c r="K238" s="15" t="n">
        <f aca="false">COUNTIFS(Clips!$B:$B,"site",Clips!$F:$F,$B238)+COUNTIFS(Clips!$B:$B,"site",Clips!$O:$O,"*"&amp;$B238&amp;"*")</f>
        <v>0</v>
      </c>
      <c r="L238" s="15" t="n">
        <f aca="false">COUNTIFS(Clips!$F:$F,$B238,Clips!$B:$B,"macaulay")</f>
        <v>1</v>
      </c>
      <c r="M238" s="15" t="n">
        <f aca="false">COUNTIFS(Clips!$F:$F,$B238,Clips!$B:$B,"xeno-canto")</f>
        <v>0</v>
      </c>
      <c r="N238" s="15" t="n">
        <f aca="false">K238+L238+M238</f>
        <v>1</v>
      </c>
      <c r="O238" s="15" t="n">
        <f aca="false">COUNTIFS(Clips!$F:$F,$B238,Clips!$C:$C,"excluded")</f>
        <v>0</v>
      </c>
      <c r="P238" s="15" t="n">
        <f aca="false">COUNTIFS(Clips!$F:$F,$B238,Clips!$C:$C,"train")</f>
        <v>0</v>
      </c>
      <c r="Q238" s="15" t="n">
        <f aca="false">COUNTIFS(Clips!$F:$F,$B238,Clips!$C:$C,"val")</f>
        <v>0</v>
      </c>
      <c r="R238" s="15" t="n">
        <f aca="false">COUNTIFS(Clips!$F:$F,$B238,Clips!$C:$C,"test")</f>
        <v>1</v>
      </c>
      <c r="S238" s="17" t="n">
        <f aca="false">SUMIFS(Clips!$I:$I,Clips!$F:$F,$B238,Clips!$C:$C,"train")/60</f>
        <v>0</v>
      </c>
      <c r="T238" s="17" t="n">
        <f aca="false">SUMIFS(Clips!$I:$I,Clips!$F:$F,$B238,Clips!$C:$C,"val")/60</f>
        <v>0</v>
      </c>
      <c r="U238" s="17" t="n">
        <f aca="false">SUMIFS(Clips!$I:$I,Clips!$F:$F,$B238,Clips!$C:$C,"test")/60</f>
        <v>0.813033333333333</v>
      </c>
      <c r="V238" s="15" t="n">
        <f aca="false">SUMIFS(Clips!$J:$J,Clips!$F:$F,$B238,Clips!$C:$C,"train")</f>
        <v>0</v>
      </c>
      <c r="W238" s="18" t="str">
        <f aca="false">IF(V238=0,"",Splits!$B$49/(Splits!$B$50*V238))</f>
        <v/>
      </c>
      <c r="X238" s="15" t="str">
        <f aca="false">IF(P238&gt;0,IF(AND(Q238&gt;0,R238&gt;0),"train + val + test",IF(R238&gt;0,"train + test","train only")),IF(R238&gt;0,"test only (unknown class)",IF(K238&gt;0,"site extract only","no usable audio")))</f>
        <v>test only (unknown class)</v>
      </c>
      <c r="Y238" s="15" t="str">
        <f aca="false">IF($P238=0,"",IF($E238="nonbird",$B238,IF($G238="yes",$B238,"other bird")))</f>
        <v/>
      </c>
      <c r="Z238" s="15" t="str">
        <f aca="false">IF(AND($F238="core",$P238&gt;0),$B238,"")</f>
        <v/>
      </c>
      <c r="AA238" s="15" t="str">
        <f aca="false">IF($P238&gt;0,$B238,"")</f>
        <v/>
      </c>
      <c r="AB238" s="15" t="n">
        <v>1</v>
      </c>
      <c r="AC238" s="15" t="n">
        <v>1</v>
      </c>
      <c r="AD238" s="17" t="n">
        <f aca="false">IF(COUNTIFS(Clips!$F:$F,$B238,Clips!$M:$M,"&gt;0",Clips!$C:$C,"&lt;&gt;excluded")=0,"",AVERAGEIFS(Clips!$M:$M,Clips!$F:$F,$B238,Clips!$M:$M,"&gt;0",Clips!$C:$C,"&lt;&gt;excluded"))</f>
        <v>2.22</v>
      </c>
      <c r="AE238" s="15" t="n">
        <f aca="false">COUNTIFS(Clips!$F:$F,$B238,Clips!$O:$O,"&lt;&gt;",Clips!$B:$B,"&lt;&gt;site",Clips!$C:$C,"&lt;&gt;excluded")</f>
        <v>0</v>
      </c>
      <c r="AF238" s="15" t="n">
        <f aca="false">COUNTIFS(Clips!$F:$F,$B238,Clips!$I:$I,"&lt;5",Clips!$C:$C,"&lt;&gt;excluded")</f>
        <v>0</v>
      </c>
      <c r="AG238" s="5"/>
    </row>
    <row r="239" customFormat="false" ht="15" hidden="false" customHeight="false" outlineLevel="0" collapsed="false">
      <c r="A239" s="15" t="n">
        <v>211</v>
      </c>
      <c r="B239" s="15" t="s">
        <v>870</v>
      </c>
      <c r="C239" s="15" t="s">
        <v>871</v>
      </c>
      <c r="D239" s="15" t="s">
        <v>872</v>
      </c>
      <c r="E239" s="15" t="s">
        <v>147</v>
      </c>
      <c r="F239" s="15" t="s">
        <v>613</v>
      </c>
      <c r="G239" s="15" t="str">
        <f aca="false">IF(AND($E239="bird",$K239&gt;0),"yes","")</f>
        <v/>
      </c>
      <c r="H239" s="15"/>
      <c r="I239" s="15" t="str">
        <f aca="false">IF($E239="bird",IF(COUNTIF('eBird List'!$A:$A,$B239)&gt;0,"yes","no"),"")</f>
        <v>yes</v>
      </c>
      <c r="J239" s="16" t="n">
        <f aca="false">IF(COUNTIF('eBird List'!$A:$A,$B239)=0,"",INDEX('eBird List'!$C:$C,MATCH($B239,'eBird List'!$A:$A,0)))</f>
        <v>0.0130152489873719</v>
      </c>
      <c r="K239" s="15" t="n">
        <f aca="false">COUNTIFS(Clips!$B:$B,"site",Clips!$F:$F,$B239)+COUNTIFS(Clips!$B:$B,"site",Clips!$O:$O,"*"&amp;$B239&amp;"*")</f>
        <v>0</v>
      </c>
      <c r="L239" s="15" t="n">
        <f aca="false">COUNTIFS(Clips!$F:$F,$B239,Clips!$B:$B,"macaulay")</f>
        <v>1</v>
      </c>
      <c r="M239" s="15" t="n">
        <f aca="false">COUNTIFS(Clips!$F:$F,$B239,Clips!$B:$B,"xeno-canto")</f>
        <v>0</v>
      </c>
      <c r="N239" s="15" t="n">
        <f aca="false">K239+L239+M239</f>
        <v>1</v>
      </c>
      <c r="O239" s="15" t="n">
        <f aca="false">COUNTIFS(Clips!$F:$F,$B239,Clips!$C:$C,"excluded")</f>
        <v>0</v>
      </c>
      <c r="P239" s="15" t="n">
        <f aca="false">COUNTIFS(Clips!$F:$F,$B239,Clips!$C:$C,"train")</f>
        <v>0</v>
      </c>
      <c r="Q239" s="15" t="n">
        <f aca="false">COUNTIFS(Clips!$F:$F,$B239,Clips!$C:$C,"val")</f>
        <v>0</v>
      </c>
      <c r="R239" s="15" t="n">
        <f aca="false">COUNTIFS(Clips!$F:$F,$B239,Clips!$C:$C,"test")</f>
        <v>1</v>
      </c>
      <c r="S239" s="17" t="n">
        <f aca="false">SUMIFS(Clips!$I:$I,Clips!$F:$F,$B239,Clips!$C:$C,"train")/60</f>
        <v>0</v>
      </c>
      <c r="T239" s="17" t="n">
        <f aca="false">SUMIFS(Clips!$I:$I,Clips!$F:$F,$B239,Clips!$C:$C,"val")/60</f>
        <v>0</v>
      </c>
      <c r="U239" s="17" t="n">
        <f aca="false">SUMIFS(Clips!$I:$I,Clips!$F:$F,$B239,Clips!$C:$C,"test")/60</f>
        <v>0.30325</v>
      </c>
      <c r="V239" s="15" t="n">
        <f aca="false">SUMIFS(Clips!$J:$J,Clips!$F:$F,$B239,Clips!$C:$C,"train")</f>
        <v>0</v>
      </c>
      <c r="W239" s="18" t="str">
        <f aca="false">IF(V239=0,"",Splits!$B$49/(Splits!$B$50*V239))</f>
        <v/>
      </c>
      <c r="X239" s="15" t="str">
        <f aca="false">IF(P239&gt;0,IF(AND(Q239&gt;0,R239&gt;0),"train + val + test",IF(R239&gt;0,"train + test","train only")),IF(R239&gt;0,"test only (unknown class)",IF(K239&gt;0,"site extract only","no usable audio")))</f>
        <v>test only (unknown class)</v>
      </c>
      <c r="Y239" s="15" t="str">
        <f aca="false">IF($P239=0,"",IF($E239="nonbird",$B239,IF($G239="yes",$B239,"other bird")))</f>
        <v/>
      </c>
      <c r="Z239" s="15" t="str">
        <f aca="false">IF(AND($F239="core",$P239&gt;0),$B239,"")</f>
        <v/>
      </c>
      <c r="AA239" s="15" t="str">
        <f aca="false">IF($P239&gt;0,$B239,"")</f>
        <v/>
      </c>
      <c r="AB239" s="15" t="n">
        <v>1</v>
      </c>
      <c r="AC239" s="15" t="n">
        <v>1</v>
      </c>
      <c r="AD239" s="17" t="n">
        <f aca="false">IF(COUNTIFS(Clips!$F:$F,$B239,Clips!$M:$M,"&gt;0",Clips!$C:$C,"&lt;&gt;excluded")=0,"",AVERAGEIFS(Clips!$M:$M,Clips!$F:$F,$B239,Clips!$M:$M,"&gt;0",Clips!$C:$C,"&lt;&gt;excluded"))</f>
        <v>5</v>
      </c>
      <c r="AE239" s="15" t="n">
        <f aca="false">COUNTIFS(Clips!$F:$F,$B239,Clips!$O:$O,"&lt;&gt;",Clips!$B:$B,"&lt;&gt;site",Clips!$C:$C,"&lt;&gt;excluded")</f>
        <v>1</v>
      </c>
      <c r="AF239" s="15" t="n">
        <f aca="false">COUNTIFS(Clips!$F:$F,$B239,Clips!$I:$I,"&lt;5",Clips!$C:$C,"&lt;&gt;excluded")</f>
        <v>0</v>
      </c>
      <c r="AG239" s="5"/>
    </row>
    <row r="240" customFormat="false" ht="15" hidden="false" customHeight="false" outlineLevel="0" collapsed="false">
      <c r="A240" s="15" t="n">
        <v>214</v>
      </c>
      <c r="B240" s="15" t="s">
        <v>873</v>
      </c>
      <c r="C240" s="15" t="s">
        <v>874</v>
      </c>
      <c r="D240" s="15" t="s">
        <v>875</v>
      </c>
      <c r="E240" s="15" t="s">
        <v>147</v>
      </c>
      <c r="F240" s="15" t="s">
        <v>613</v>
      </c>
      <c r="G240" s="15" t="str">
        <f aca="false">IF(AND($E240="bird",$K240&gt;0),"yes","")</f>
        <v/>
      </c>
      <c r="H240" s="15"/>
      <c r="I240" s="15" t="str">
        <f aca="false">IF($E240="bird",IF(COUNTIF('eBird List'!$A:$A,$B240)&gt;0,"yes","no"),"")</f>
        <v>no</v>
      </c>
      <c r="J240" s="16" t="str">
        <f aca="false">IF(COUNTIF('eBird List'!$A:$A,$B240)=0,"",INDEX('eBird List'!$C:$C,MATCH($B240,'eBird List'!$A:$A,0)))</f>
        <v/>
      </c>
      <c r="K240" s="15" t="n">
        <f aca="false">COUNTIFS(Clips!$B:$B,"site",Clips!$F:$F,$B240)+COUNTIFS(Clips!$B:$B,"site",Clips!$O:$O,"*"&amp;$B240&amp;"*")</f>
        <v>0</v>
      </c>
      <c r="L240" s="15" t="n">
        <f aca="false">COUNTIFS(Clips!$F:$F,$B240,Clips!$B:$B,"macaulay")</f>
        <v>1</v>
      </c>
      <c r="M240" s="15" t="n">
        <f aca="false">COUNTIFS(Clips!$F:$F,$B240,Clips!$B:$B,"xeno-canto")</f>
        <v>0</v>
      </c>
      <c r="N240" s="15" t="n">
        <f aca="false">K240+L240+M240</f>
        <v>1</v>
      </c>
      <c r="O240" s="15" t="n">
        <f aca="false">COUNTIFS(Clips!$F:$F,$B240,Clips!$C:$C,"excluded")</f>
        <v>0</v>
      </c>
      <c r="P240" s="15" t="n">
        <f aca="false">COUNTIFS(Clips!$F:$F,$B240,Clips!$C:$C,"train")</f>
        <v>0</v>
      </c>
      <c r="Q240" s="15" t="n">
        <f aca="false">COUNTIFS(Clips!$F:$F,$B240,Clips!$C:$C,"val")</f>
        <v>0</v>
      </c>
      <c r="R240" s="15" t="n">
        <f aca="false">COUNTIFS(Clips!$F:$F,$B240,Clips!$C:$C,"test")</f>
        <v>1</v>
      </c>
      <c r="S240" s="17" t="n">
        <f aca="false">SUMIFS(Clips!$I:$I,Clips!$F:$F,$B240,Clips!$C:$C,"train")/60</f>
        <v>0</v>
      </c>
      <c r="T240" s="17" t="n">
        <f aca="false">SUMIFS(Clips!$I:$I,Clips!$F:$F,$B240,Clips!$C:$C,"val")/60</f>
        <v>0</v>
      </c>
      <c r="U240" s="17" t="n">
        <f aca="false">SUMIFS(Clips!$I:$I,Clips!$F:$F,$B240,Clips!$C:$C,"test")/60</f>
        <v>0.356733333333333</v>
      </c>
      <c r="V240" s="15" t="n">
        <f aca="false">SUMIFS(Clips!$J:$J,Clips!$F:$F,$B240,Clips!$C:$C,"train")</f>
        <v>0</v>
      </c>
      <c r="W240" s="18" t="str">
        <f aca="false">IF(V240=0,"",Splits!$B$49/(Splits!$B$50*V240))</f>
        <v/>
      </c>
      <c r="X240" s="15" t="str">
        <f aca="false">IF(P240&gt;0,IF(AND(Q240&gt;0,R240&gt;0),"train + val + test",IF(R240&gt;0,"train + test","train only")),IF(R240&gt;0,"test only (unknown class)",IF(K240&gt;0,"site extract only","no usable audio")))</f>
        <v>test only (unknown class)</v>
      </c>
      <c r="Y240" s="15" t="str">
        <f aca="false">IF($P240=0,"",IF($E240="nonbird",$B240,IF($G240="yes",$B240,"other bird")))</f>
        <v/>
      </c>
      <c r="Z240" s="15" t="str">
        <f aca="false">IF(AND($F240="core",$P240&gt;0),$B240,"")</f>
        <v/>
      </c>
      <c r="AA240" s="15" t="str">
        <f aca="false">IF($P240&gt;0,$B240,"")</f>
        <v/>
      </c>
      <c r="AB240" s="15" t="n">
        <v>1</v>
      </c>
      <c r="AC240" s="15" t="n">
        <v>1</v>
      </c>
      <c r="AD240" s="17" t="str">
        <f aca="false">IF(COUNTIFS(Clips!$F:$F,$B240,Clips!$M:$M,"&gt;0",Clips!$C:$C,"&lt;&gt;excluded")=0,"",AVERAGEIFS(Clips!$M:$M,Clips!$F:$F,$B240,Clips!$M:$M,"&gt;0",Clips!$C:$C,"&lt;&gt;excluded"))</f>
        <v/>
      </c>
      <c r="AE240" s="15" t="n">
        <f aca="false">COUNTIFS(Clips!$F:$F,$B240,Clips!$O:$O,"&lt;&gt;",Clips!$B:$B,"&lt;&gt;site",Clips!$C:$C,"&lt;&gt;excluded")</f>
        <v>0</v>
      </c>
      <c r="AF240" s="15" t="n">
        <f aca="false">COUNTIFS(Clips!$F:$F,$B240,Clips!$I:$I,"&lt;5",Clips!$C:$C,"&lt;&gt;excluded")</f>
        <v>0</v>
      </c>
      <c r="AG240" s="5" t="s">
        <v>770</v>
      </c>
    </row>
    <row r="241" customFormat="false" ht="15" hidden="false" customHeight="false" outlineLevel="0" collapsed="false">
      <c r="A241" s="15" t="n">
        <v>215</v>
      </c>
      <c r="B241" s="15" t="s">
        <v>876</v>
      </c>
      <c r="C241" s="15" t="s">
        <v>877</v>
      </c>
      <c r="D241" s="15" t="s">
        <v>878</v>
      </c>
      <c r="E241" s="15" t="s">
        <v>147</v>
      </c>
      <c r="F241" s="15" t="s">
        <v>613</v>
      </c>
      <c r="G241" s="15" t="str">
        <f aca="false">IF(AND($E241="bird",$K241&gt;0),"yes","")</f>
        <v/>
      </c>
      <c r="H241" s="15"/>
      <c r="I241" s="15" t="str">
        <f aca="false">IF($E241="bird",IF(COUNTIF('eBird List'!$A:$A,$B241)&gt;0,"yes","no"),"")</f>
        <v>yes</v>
      </c>
      <c r="J241" s="16" t="n">
        <f aca="false">IF(COUNTIF('eBird List'!$A:$A,$B241)=0,"",INDEX('eBird List'!$C:$C,MATCH($B241,'eBird List'!$A:$A,0)))</f>
        <v>0.0676375982844889</v>
      </c>
      <c r="K241" s="15" t="n">
        <f aca="false">COUNTIFS(Clips!$B:$B,"site",Clips!$F:$F,$B241)+COUNTIFS(Clips!$B:$B,"site",Clips!$O:$O,"*"&amp;$B241&amp;"*")</f>
        <v>0</v>
      </c>
      <c r="L241" s="15" t="n">
        <f aca="false">COUNTIFS(Clips!$F:$F,$B241,Clips!$B:$B,"macaulay")</f>
        <v>1</v>
      </c>
      <c r="M241" s="15" t="n">
        <f aca="false">COUNTIFS(Clips!$F:$F,$B241,Clips!$B:$B,"xeno-canto")</f>
        <v>0</v>
      </c>
      <c r="N241" s="15" t="n">
        <f aca="false">K241+L241+M241</f>
        <v>1</v>
      </c>
      <c r="O241" s="15" t="n">
        <f aca="false">COUNTIFS(Clips!$F:$F,$B241,Clips!$C:$C,"excluded")</f>
        <v>0</v>
      </c>
      <c r="P241" s="15" t="n">
        <f aca="false">COUNTIFS(Clips!$F:$F,$B241,Clips!$C:$C,"train")</f>
        <v>0</v>
      </c>
      <c r="Q241" s="15" t="n">
        <f aca="false">COUNTIFS(Clips!$F:$F,$B241,Clips!$C:$C,"val")</f>
        <v>0</v>
      </c>
      <c r="R241" s="15" t="n">
        <f aca="false">COUNTIFS(Clips!$F:$F,$B241,Clips!$C:$C,"test")</f>
        <v>1</v>
      </c>
      <c r="S241" s="17" t="n">
        <f aca="false">SUMIFS(Clips!$I:$I,Clips!$F:$F,$B241,Clips!$C:$C,"train")/60</f>
        <v>0</v>
      </c>
      <c r="T241" s="17" t="n">
        <f aca="false">SUMIFS(Clips!$I:$I,Clips!$F:$F,$B241,Clips!$C:$C,"val")/60</f>
        <v>0</v>
      </c>
      <c r="U241" s="17" t="n">
        <f aca="false">SUMIFS(Clips!$I:$I,Clips!$F:$F,$B241,Clips!$C:$C,"test")/60</f>
        <v>0.584616666666667</v>
      </c>
      <c r="V241" s="15" t="n">
        <f aca="false">SUMIFS(Clips!$J:$J,Clips!$F:$F,$B241,Clips!$C:$C,"train")</f>
        <v>0</v>
      </c>
      <c r="W241" s="18" t="str">
        <f aca="false">IF(V241=0,"",Splits!$B$49/(Splits!$B$50*V241))</f>
        <v/>
      </c>
      <c r="X241" s="15" t="str">
        <f aca="false">IF(P241&gt;0,IF(AND(Q241&gt;0,R241&gt;0),"train + val + test",IF(R241&gt;0,"train + test","train only")),IF(R241&gt;0,"test only (unknown class)",IF(K241&gt;0,"site extract only","no usable audio")))</f>
        <v>test only (unknown class)</v>
      </c>
      <c r="Y241" s="15" t="str">
        <f aca="false">IF($P241=0,"",IF($E241="nonbird",$B241,IF($G241="yes",$B241,"other bird")))</f>
        <v/>
      </c>
      <c r="Z241" s="15" t="str">
        <f aca="false">IF(AND($F241="core",$P241&gt;0),$B241,"")</f>
        <v/>
      </c>
      <c r="AA241" s="15" t="str">
        <f aca="false">IF($P241&gt;0,$B241,"")</f>
        <v/>
      </c>
      <c r="AB241" s="15" t="n">
        <v>1</v>
      </c>
      <c r="AC241" s="15" t="n">
        <v>1</v>
      </c>
      <c r="AD241" s="17" t="n">
        <f aca="false">IF(COUNTIFS(Clips!$F:$F,$B241,Clips!$M:$M,"&gt;0",Clips!$C:$C,"&lt;&gt;excluded")=0,"",AVERAGEIFS(Clips!$M:$M,Clips!$F:$F,$B241,Clips!$M:$M,"&gt;0",Clips!$C:$C,"&lt;&gt;excluded"))</f>
        <v>3</v>
      </c>
      <c r="AE241" s="15" t="n">
        <f aca="false">COUNTIFS(Clips!$F:$F,$B241,Clips!$O:$O,"&lt;&gt;",Clips!$B:$B,"&lt;&gt;site",Clips!$C:$C,"&lt;&gt;excluded")</f>
        <v>1</v>
      </c>
      <c r="AF241" s="15" t="n">
        <f aca="false">COUNTIFS(Clips!$F:$F,$B241,Clips!$I:$I,"&lt;5",Clips!$C:$C,"&lt;&gt;excluded")</f>
        <v>0</v>
      </c>
      <c r="AG241" s="5"/>
    </row>
    <row r="242" customFormat="false" ht="15" hidden="false" customHeight="false" outlineLevel="0" collapsed="false">
      <c r="A242" s="15" t="n">
        <v>222</v>
      </c>
      <c r="B242" s="15" t="s">
        <v>879</v>
      </c>
      <c r="C242" s="15" t="s">
        <v>880</v>
      </c>
      <c r="D242" s="15" t="s">
        <v>881</v>
      </c>
      <c r="E242" s="15" t="s">
        <v>147</v>
      </c>
      <c r="F242" s="15" t="s">
        <v>613</v>
      </c>
      <c r="G242" s="15" t="str">
        <f aca="false">IF(AND($E242="bird",$K242&gt;0),"yes","")</f>
        <v/>
      </c>
      <c r="H242" s="15"/>
      <c r="I242" s="15" t="str">
        <f aca="false">IF($E242="bird",IF(COUNTIF('eBird List'!$A:$A,$B242)&gt;0,"yes","no"),"")</f>
        <v>yes</v>
      </c>
      <c r="J242" s="16" t="n">
        <f aca="false">IF(COUNTIF('eBird List'!$A:$A,$B242)=0,"",INDEX('eBird List'!$C:$C,MATCH($B242,'eBird List'!$A:$A,0)))</f>
        <v>2.97831784608053E-005</v>
      </c>
      <c r="K242" s="15" t="n">
        <f aca="false">COUNTIFS(Clips!$B:$B,"site",Clips!$F:$F,$B242)+COUNTIFS(Clips!$B:$B,"site",Clips!$O:$O,"*"&amp;$B242&amp;"*")</f>
        <v>0</v>
      </c>
      <c r="L242" s="15" t="n">
        <f aca="false">COUNTIFS(Clips!$F:$F,$B242,Clips!$B:$B,"macaulay")</f>
        <v>1</v>
      </c>
      <c r="M242" s="15" t="n">
        <f aca="false">COUNTIFS(Clips!$F:$F,$B242,Clips!$B:$B,"xeno-canto")</f>
        <v>0</v>
      </c>
      <c r="N242" s="15" t="n">
        <f aca="false">K242+L242+M242</f>
        <v>1</v>
      </c>
      <c r="O242" s="15" t="n">
        <f aca="false">COUNTIFS(Clips!$F:$F,$B242,Clips!$C:$C,"excluded")</f>
        <v>0</v>
      </c>
      <c r="P242" s="15" t="n">
        <f aca="false">COUNTIFS(Clips!$F:$F,$B242,Clips!$C:$C,"train")</f>
        <v>0</v>
      </c>
      <c r="Q242" s="15" t="n">
        <f aca="false">COUNTIFS(Clips!$F:$F,$B242,Clips!$C:$C,"val")</f>
        <v>0</v>
      </c>
      <c r="R242" s="15" t="n">
        <f aca="false">COUNTIFS(Clips!$F:$F,$B242,Clips!$C:$C,"test")</f>
        <v>1</v>
      </c>
      <c r="S242" s="17" t="n">
        <f aca="false">SUMIFS(Clips!$I:$I,Clips!$F:$F,$B242,Clips!$C:$C,"train")/60</f>
        <v>0</v>
      </c>
      <c r="T242" s="17" t="n">
        <f aca="false">SUMIFS(Clips!$I:$I,Clips!$F:$F,$B242,Clips!$C:$C,"val")/60</f>
        <v>0</v>
      </c>
      <c r="U242" s="17" t="n">
        <f aca="false">SUMIFS(Clips!$I:$I,Clips!$F:$F,$B242,Clips!$C:$C,"test")/60</f>
        <v>1.35566666666667</v>
      </c>
      <c r="V242" s="15" t="n">
        <f aca="false">SUMIFS(Clips!$J:$J,Clips!$F:$F,$B242,Clips!$C:$C,"train")</f>
        <v>0</v>
      </c>
      <c r="W242" s="18" t="str">
        <f aca="false">IF(V242=0,"",Splits!$B$49/(Splits!$B$50*V242))</f>
        <v/>
      </c>
      <c r="X242" s="15" t="str">
        <f aca="false">IF(P242&gt;0,IF(AND(Q242&gt;0,R242&gt;0),"train + val + test",IF(R242&gt;0,"train + test","train only")),IF(R242&gt;0,"test only (unknown class)",IF(K242&gt;0,"site extract only","no usable audio")))</f>
        <v>test only (unknown class)</v>
      </c>
      <c r="Y242" s="15" t="str">
        <f aca="false">IF($P242=0,"",IF($E242="nonbird",$B242,IF($G242="yes",$B242,"other bird")))</f>
        <v/>
      </c>
      <c r="Z242" s="15" t="str">
        <f aca="false">IF(AND($F242="core",$P242&gt;0),$B242,"")</f>
        <v/>
      </c>
      <c r="AA242" s="15" t="str">
        <f aca="false">IF($P242&gt;0,$B242,"")</f>
        <v/>
      </c>
      <c r="AB242" s="15" t="n">
        <v>1</v>
      </c>
      <c r="AC242" s="15" t="n">
        <v>1</v>
      </c>
      <c r="AD242" s="17" t="n">
        <f aca="false">IF(COUNTIFS(Clips!$F:$F,$B242,Clips!$M:$M,"&gt;0",Clips!$C:$C,"&lt;&gt;excluded")=0,"",AVERAGEIFS(Clips!$M:$M,Clips!$F:$F,$B242,Clips!$M:$M,"&gt;0",Clips!$C:$C,"&lt;&gt;excluded"))</f>
        <v>3</v>
      </c>
      <c r="AE242" s="15" t="n">
        <f aca="false">COUNTIFS(Clips!$F:$F,$B242,Clips!$O:$O,"&lt;&gt;",Clips!$B:$B,"&lt;&gt;site",Clips!$C:$C,"&lt;&gt;excluded")</f>
        <v>0</v>
      </c>
      <c r="AF242" s="15" t="n">
        <f aca="false">COUNTIFS(Clips!$F:$F,$B242,Clips!$I:$I,"&lt;5",Clips!$C:$C,"&lt;&gt;excluded")</f>
        <v>0</v>
      </c>
      <c r="AG242" s="5"/>
    </row>
    <row r="243" customFormat="false" ht="15" hidden="false" customHeight="false" outlineLevel="0" collapsed="false">
      <c r="A243" s="15" t="n">
        <v>224</v>
      </c>
      <c r="B243" s="15" t="s">
        <v>882</v>
      </c>
      <c r="C243" s="15" t="s">
        <v>883</v>
      </c>
      <c r="D243" s="15" t="s">
        <v>884</v>
      </c>
      <c r="E243" s="15" t="s">
        <v>147</v>
      </c>
      <c r="F243" s="15" t="s">
        <v>613</v>
      </c>
      <c r="G243" s="15" t="str">
        <f aca="false">IF(AND($E243="bird",$K243&gt;0),"yes","")</f>
        <v/>
      </c>
      <c r="H243" s="15"/>
      <c r="I243" s="15" t="str">
        <f aca="false">IF($E243="bird",IF(COUNTIF('eBird List'!$A:$A,$B243)&gt;0,"yes","no"),"")</f>
        <v>yes</v>
      </c>
      <c r="J243" s="16" t="n">
        <f aca="false">IF(COUNTIF('eBird List'!$A:$A,$B243)=0,"",INDEX('eBird List'!$C:$C,MATCH($B243,'eBird List'!$A:$A,0)))</f>
        <v>0.0681736954967834</v>
      </c>
      <c r="K243" s="15" t="n">
        <f aca="false">COUNTIFS(Clips!$B:$B,"site",Clips!$F:$F,$B243)+COUNTIFS(Clips!$B:$B,"site",Clips!$O:$O,"*"&amp;$B243&amp;"*")</f>
        <v>0</v>
      </c>
      <c r="L243" s="15" t="n">
        <f aca="false">COUNTIFS(Clips!$F:$F,$B243,Clips!$B:$B,"macaulay")</f>
        <v>2</v>
      </c>
      <c r="M243" s="15" t="n">
        <f aca="false">COUNTIFS(Clips!$F:$F,$B243,Clips!$B:$B,"xeno-canto")</f>
        <v>0</v>
      </c>
      <c r="N243" s="15" t="n">
        <f aca="false">K243+L243+M243</f>
        <v>2</v>
      </c>
      <c r="O243" s="15" t="n">
        <f aca="false">COUNTIFS(Clips!$F:$F,$B243,Clips!$C:$C,"excluded")</f>
        <v>1</v>
      </c>
      <c r="P243" s="15" t="n">
        <f aca="false">COUNTIFS(Clips!$F:$F,$B243,Clips!$C:$C,"train")</f>
        <v>0</v>
      </c>
      <c r="Q243" s="15" t="n">
        <f aca="false">COUNTIFS(Clips!$F:$F,$B243,Clips!$C:$C,"val")</f>
        <v>0</v>
      </c>
      <c r="R243" s="15" t="n">
        <f aca="false">COUNTIFS(Clips!$F:$F,$B243,Clips!$C:$C,"test")</f>
        <v>1</v>
      </c>
      <c r="S243" s="17" t="n">
        <f aca="false">SUMIFS(Clips!$I:$I,Clips!$F:$F,$B243,Clips!$C:$C,"train")/60</f>
        <v>0</v>
      </c>
      <c r="T243" s="17" t="n">
        <f aca="false">SUMIFS(Clips!$I:$I,Clips!$F:$F,$B243,Clips!$C:$C,"val")/60</f>
        <v>0</v>
      </c>
      <c r="U243" s="17" t="n">
        <f aca="false">SUMIFS(Clips!$I:$I,Clips!$F:$F,$B243,Clips!$C:$C,"test")/60</f>
        <v>0.0945833333333333</v>
      </c>
      <c r="V243" s="15" t="n">
        <f aca="false">SUMIFS(Clips!$J:$J,Clips!$F:$F,$B243,Clips!$C:$C,"train")</f>
        <v>0</v>
      </c>
      <c r="W243" s="18" t="str">
        <f aca="false">IF(V243=0,"",Splits!$B$49/(Splits!$B$50*V243))</f>
        <v/>
      </c>
      <c r="X243" s="15" t="str">
        <f aca="false">IF(P243&gt;0,IF(AND(Q243&gt;0,R243&gt;0),"train + val + test",IF(R243&gt;0,"train + test","train only")),IF(R243&gt;0,"test only (unknown class)",IF(K243&gt;0,"site extract only","no usable audio")))</f>
        <v>test only (unknown class)</v>
      </c>
      <c r="Y243" s="15" t="str">
        <f aca="false">IF($P243=0,"",IF($E243="nonbird",$B243,IF($G243="yes",$B243,"other bird")))</f>
        <v/>
      </c>
      <c r="Z243" s="15" t="str">
        <f aca="false">IF(AND($F243="core",$P243&gt;0),$B243,"")</f>
        <v/>
      </c>
      <c r="AA243" s="15" t="str">
        <f aca="false">IF($P243&gt;0,$B243,"")</f>
        <v/>
      </c>
      <c r="AB243" s="15" t="n">
        <v>1</v>
      </c>
      <c r="AC243" s="15" t="n">
        <v>1</v>
      </c>
      <c r="AD243" s="17" t="n">
        <f aca="false">IF(COUNTIFS(Clips!$F:$F,$B243,Clips!$M:$M,"&gt;0",Clips!$C:$C,"&lt;&gt;excluded")=0,"",AVERAGEIFS(Clips!$M:$M,Clips!$F:$F,$B243,Clips!$M:$M,"&gt;0",Clips!$C:$C,"&lt;&gt;excluded"))</f>
        <v>2</v>
      </c>
      <c r="AE243" s="15" t="n">
        <f aca="false">COUNTIFS(Clips!$F:$F,$B243,Clips!$O:$O,"&lt;&gt;",Clips!$B:$B,"&lt;&gt;site",Clips!$C:$C,"&lt;&gt;excluded")</f>
        <v>0</v>
      </c>
      <c r="AF243" s="15" t="n">
        <f aca="false">COUNTIFS(Clips!$F:$F,$B243,Clips!$I:$I,"&lt;5",Clips!$C:$C,"&lt;&gt;excluded")</f>
        <v>0</v>
      </c>
      <c r="AG243" s="5"/>
    </row>
    <row r="244" customFormat="false" ht="23.85" hidden="false" customHeight="false" outlineLevel="0" collapsed="false">
      <c r="A244" s="15" t="n">
        <v>229</v>
      </c>
      <c r="B244" s="15" t="s">
        <v>885</v>
      </c>
      <c r="C244" s="15" t="s">
        <v>886</v>
      </c>
      <c r="D244" s="15" t="s">
        <v>887</v>
      </c>
      <c r="E244" s="15" t="s">
        <v>147</v>
      </c>
      <c r="F244" s="15" t="s">
        <v>647</v>
      </c>
      <c r="G244" s="15" t="str">
        <f aca="false">IF(AND($E244="bird",$K244&gt;0),"yes","")</f>
        <v/>
      </c>
      <c r="H244" s="15"/>
      <c r="I244" s="15" t="str">
        <f aca="false">IF($E244="bird",IF(COUNTIF('eBird List'!$A:$A,$B244)&gt;0,"yes","no"),"")</f>
        <v>yes</v>
      </c>
      <c r="J244" s="16" t="n">
        <f aca="false">IF(COUNTIF('eBird List'!$A:$A,$B244)=0,"",INDEX('eBird List'!$C:$C,MATCH($B244,'eBird List'!$A:$A,0)))</f>
        <v>0.000655229926137717</v>
      </c>
      <c r="K244" s="15" t="n">
        <f aca="false">COUNTIFS(Clips!$B:$B,"site",Clips!$F:$F,$B244)+COUNTIFS(Clips!$B:$B,"site",Clips!$O:$O,"*"&amp;$B244&amp;"*")</f>
        <v>0</v>
      </c>
      <c r="L244" s="15" t="n">
        <f aca="false">COUNTIFS(Clips!$F:$F,$B244,Clips!$B:$B,"macaulay")</f>
        <v>0</v>
      </c>
      <c r="M244" s="15" t="n">
        <f aca="false">COUNTIFS(Clips!$F:$F,$B244,Clips!$B:$B,"xeno-canto")</f>
        <v>1</v>
      </c>
      <c r="N244" s="15" t="n">
        <f aca="false">K244+L244+M244</f>
        <v>1</v>
      </c>
      <c r="O244" s="15" t="n">
        <f aca="false">COUNTIFS(Clips!$F:$F,$B244,Clips!$C:$C,"excluded")</f>
        <v>0</v>
      </c>
      <c r="P244" s="15" t="n">
        <f aca="false">COUNTIFS(Clips!$F:$F,$B244,Clips!$C:$C,"train")</f>
        <v>1</v>
      </c>
      <c r="Q244" s="15" t="n">
        <f aca="false">COUNTIFS(Clips!$F:$F,$B244,Clips!$C:$C,"val")</f>
        <v>0</v>
      </c>
      <c r="R244" s="15" t="n">
        <f aca="false">COUNTIFS(Clips!$F:$F,$B244,Clips!$C:$C,"test")</f>
        <v>0</v>
      </c>
      <c r="S244" s="17" t="n">
        <f aca="false">SUMIFS(Clips!$I:$I,Clips!$F:$F,$B244,Clips!$C:$C,"train")/60</f>
        <v>0.3396</v>
      </c>
      <c r="T244" s="17" t="n">
        <f aca="false">SUMIFS(Clips!$I:$I,Clips!$F:$F,$B244,Clips!$C:$C,"val")/60</f>
        <v>0</v>
      </c>
      <c r="U244" s="17" t="n">
        <f aca="false">SUMIFS(Clips!$I:$I,Clips!$F:$F,$B244,Clips!$C:$C,"test")/60</f>
        <v>0</v>
      </c>
      <c r="V244" s="15" t="n">
        <f aca="false">SUMIFS(Clips!$J:$J,Clips!$F:$F,$B244,Clips!$C:$C,"train")</f>
        <v>5</v>
      </c>
      <c r="W244" s="18" t="n">
        <f aca="false">IF(V244=0,"",Splits!$B$49/(Splits!$B$50*V244))</f>
        <v>31.1650943396226</v>
      </c>
      <c r="X244" s="15" t="str">
        <f aca="false">IF(P244&gt;0,IF(AND(Q244&gt;0,R244&gt;0),"train + val + test",IF(R244&gt;0,"train + test","train only")),IF(R244&gt;0,"test only (unknown class)",IF(K244&gt;0,"site extract only","no usable audio")))</f>
        <v>train only</v>
      </c>
      <c r="Y244" s="15" t="str">
        <f aca="false">IF($P244=0,"",IF($E244="nonbird",$B244,IF($G244="yes",$B244,"other bird")))</f>
        <v>other bird</v>
      </c>
      <c r="Z244" s="15" t="str">
        <f aca="false">IF(AND($F244="core",$P244&gt;0),$B244,"")</f>
        <v/>
      </c>
      <c r="AA244" s="15" t="str">
        <f aca="false">IF($P244&gt;0,$B244,"")</f>
        <v>White-throated Magpie-Jay</v>
      </c>
      <c r="AB244" s="15" t="n">
        <v>1</v>
      </c>
      <c r="AC244" s="15" t="n">
        <v>1</v>
      </c>
      <c r="AD244" s="17" t="str">
        <f aca="false">IF(COUNTIFS(Clips!$F:$F,$B244,Clips!$M:$M,"&gt;0",Clips!$C:$C,"&lt;&gt;excluded")=0,"",AVERAGEIFS(Clips!$M:$M,Clips!$F:$F,$B244,Clips!$M:$M,"&gt;0",Clips!$C:$C,"&lt;&gt;excluded"))</f>
        <v/>
      </c>
      <c r="AE244" s="15" t="n">
        <f aca="false">COUNTIFS(Clips!$F:$F,$B244,Clips!$O:$O,"&lt;&gt;",Clips!$B:$B,"&lt;&gt;site",Clips!$C:$C,"&lt;&gt;excluded")</f>
        <v>0</v>
      </c>
      <c r="AF244" s="15" t="n">
        <f aca="false">COUNTIFS(Clips!$F:$F,$B244,Clips!$I:$I,"&lt;5",Clips!$C:$C,"&lt;&gt;excluded")</f>
        <v>0</v>
      </c>
      <c r="AG244" s="5" t="s">
        <v>888</v>
      </c>
    </row>
    <row r="245" customFormat="false" ht="15" hidden="false" customHeight="false" outlineLevel="0" collapsed="false">
      <c r="A245" s="15" t="n">
        <v>230</v>
      </c>
      <c r="B245" s="15" t="s">
        <v>889</v>
      </c>
      <c r="C245" s="15" t="s">
        <v>890</v>
      </c>
      <c r="D245" s="15" t="s">
        <v>891</v>
      </c>
      <c r="E245" s="15" t="s">
        <v>147</v>
      </c>
      <c r="F245" s="15" t="s">
        <v>647</v>
      </c>
      <c r="G245" s="15" t="str">
        <f aca="false">IF(AND($E245="bird",$K245&gt;0),"yes","")</f>
        <v/>
      </c>
      <c r="H245" s="15"/>
      <c r="I245" s="15" t="str">
        <f aca="false">IF($E245="bird",IF(COUNTIF('eBird List'!$A:$A,$B245)&gt;0,"yes","no"),"")</f>
        <v>yes</v>
      </c>
      <c r="J245" s="16" t="n">
        <f aca="false">IF(COUNTIF('eBird List'!$A:$A,$B245)=0,"",INDEX('eBird List'!$C:$C,MATCH($B245,'eBird List'!$A:$A,0)))</f>
        <v>0.000119132713843221</v>
      </c>
      <c r="K245" s="15" t="n">
        <f aca="false">COUNTIFS(Clips!$B:$B,"site",Clips!$F:$F,$B245)+COUNTIFS(Clips!$B:$B,"site",Clips!$O:$O,"*"&amp;$B245&amp;"*")</f>
        <v>0</v>
      </c>
      <c r="L245" s="15" t="n">
        <f aca="false">COUNTIFS(Clips!$F:$F,$B245,Clips!$B:$B,"macaulay")</f>
        <v>0</v>
      </c>
      <c r="M245" s="15" t="n">
        <f aca="false">COUNTIFS(Clips!$F:$F,$B245,Clips!$B:$B,"xeno-canto")</f>
        <v>1</v>
      </c>
      <c r="N245" s="15" t="n">
        <f aca="false">K245+L245+M245</f>
        <v>1</v>
      </c>
      <c r="O245" s="15" t="n">
        <f aca="false">COUNTIFS(Clips!$F:$F,$B245,Clips!$C:$C,"excluded")</f>
        <v>0</v>
      </c>
      <c r="P245" s="15" t="n">
        <f aca="false">COUNTIFS(Clips!$F:$F,$B245,Clips!$C:$C,"train")</f>
        <v>1</v>
      </c>
      <c r="Q245" s="15" t="n">
        <f aca="false">COUNTIFS(Clips!$F:$F,$B245,Clips!$C:$C,"val")</f>
        <v>0</v>
      </c>
      <c r="R245" s="15" t="n">
        <f aca="false">COUNTIFS(Clips!$F:$F,$B245,Clips!$C:$C,"test")</f>
        <v>0</v>
      </c>
      <c r="S245" s="17" t="n">
        <f aca="false">SUMIFS(Clips!$I:$I,Clips!$F:$F,$B245,Clips!$C:$C,"train")/60</f>
        <v>0.1332</v>
      </c>
      <c r="T245" s="17" t="n">
        <f aca="false">SUMIFS(Clips!$I:$I,Clips!$F:$F,$B245,Clips!$C:$C,"val")/60</f>
        <v>0</v>
      </c>
      <c r="U245" s="17" t="n">
        <f aca="false">SUMIFS(Clips!$I:$I,Clips!$F:$F,$B245,Clips!$C:$C,"test")/60</f>
        <v>0</v>
      </c>
      <c r="V245" s="15" t="n">
        <f aca="false">SUMIFS(Clips!$J:$J,Clips!$F:$F,$B245,Clips!$C:$C,"train")</f>
        <v>2</v>
      </c>
      <c r="W245" s="18" t="n">
        <f aca="false">IF(V245=0,"",Splits!$B$49/(Splits!$B$50*V245))</f>
        <v>77.9127358490566</v>
      </c>
      <c r="X245" s="15" t="str">
        <f aca="false">IF(P245&gt;0,IF(AND(Q245&gt;0,R245&gt;0),"train + val + test",IF(R245&gt;0,"train + test","train only")),IF(R245&gt;0,"test only (unknown class)",IF(K245&gt;0,"site extract only","no usable audio")))</f>
        <v>train only</v>
      </c>
      <c r="Y245" s="15" t="str">
        <f aca="false">IF($P245=0,"",IF($E245="nonbird",$B245,IF($G245="yes",$B245,"other bird")))</f>
        <v>other bird</v>
      </c>
      <c r="Z245" s="15" t="str">
        <f aca="false">IF(AND($F245="core",$P245&gt;0),$B245,"")</f>
        <v/>
      </c>
      <c r="AA245" s="15" t="str">
        <f aca="false">IF($P245&gt;0,$B245,"")</f>
        <v>White-throated Spadebill</v>
      </c>
      <c r="AB245" s="15" t="n">
        <v>1</v>
      </c>
      <c r="AC245" s="15" t="n">
        <v>1</v>
      </c>
      <c r="AD245" s="17" t="str">
        <f aca="false">IF(COUNTIFS(Clips!$F:$F,$B245,Clips!$M:$M,"&gt;0",Clips!$C:$C,"&lt;&gt;excluded")=0,"",AVERAGEIFS(Clips!$M:$M,Clips!$F:$F,$B245,Clips!$M:$M,"&gt;0",Clips!$C:$C,"&lt;&gt;excluded"))</f>
        <v/>
      </c>
      <c r="AE245" s="15" t="n">
        <f aca="false">COUNTIFS(Clips!$F:$F,$B245,Clips!$O:$O,"&lt;&gt;",Clips!$B:$B,"&lt;&gt;site",Clips!$C:$C,"&lt;&gt;excluded")</f>
        <v>0</v>
      </c>
      <c r="AF245" s="15" t="n">
        <f aca="false">COUNTIFS(Clips!$F:$F,$B245,Clips!$I:$I,"&lt;5",Clips!$C:$C,"&lt;&gt;excluded")</f>
        <v>0</v>
      </c>
      <c r="AG245" s="5" t="s">
        <v>710</v>
      </c>
    </row>
    <row r="246" customFormat="false" ht="15" hidden="false" customHeight="false" outlineLevel="0" collapsed="false">
      <c r="A246" s="15" t="n">
        <v>231</v>
      </c>
      <c r="B246" s="15" t="s">
        <v>892</v>
      </c>
      <c r="C246" s="15" t="s">
        <v>893</v>
      </c>
      <c r="D246" s="15" t="s">
        <v>894</v>
      </c>
      <c r="E246" s="15" t="s">
        <v>147</v>
      </c>
      <c r="F246" s="15" t="s">
        <v>647</v>
      </c>
      <c r="G246" s="15" t="str">
        <f aca="false">IF(AND($E246="bird",$K246&gt;0),"yes","")</f>
        <v/>
      </c>
      <c r="H246" s="15"/>
      <c r="I246" s="15" t="str">
        <f aca="false">IF($E246="bird",IF(COUNTIF('eBird List'!$A:$A,$B246)&gt;0,"yes","no"),"")</f>
        <v>yes</v>
      </c>
      <c r="J246" s="16" t="n">
        <f aca="false">IF(COUNTIF('eBird List'!$A:$A,$B246)=0,"",INDEX('eBird List'!$C:$C,MATCH($B246,'eBird List'!$A:$A,0)))</f>
        <v>0.00682034786752442</v>
      </c>
      <c r="K246" s="15" t="n">
        <f aca="false">COUNTIFS(Clips!$B:$B,"site",Clips!$F:$F,$B246)+COUNTIFS(Clips!$B:$B,"site",Clips!$O:$O,"*"&amp;$B246&amp;"*")</f>
        <v>0</v>
      </c>
      <c r="L246" s="15" t="n">
        <f aca="false">COUNTIFS(Clips!$F:$F,$B246,Clips!$B:$B,"macaulay")</f>
        <v>0</v>
      </c>
      <c r="M246" s="15" t="n">
        <f aca="false">COUNTIFS(Clips!$F:$F,$B246,Clips!$B:$B,"xeno-canto")</f>
        <v>1</v>
      </c>
      <c r="N246" s="15" t="n">
        <f aca="false">K246+L246+M246</f>
        <v>1</v>
      </c>
      <c r="O246" s="15" t="n">
        <f aca="false">COUNTIFS(Clips!$F:$F,$B246,Clips!$C:$C,"excluded")</f>
        <v>0</v>
      </c>
      <c r="P246" s="15" t="n">
        <f aca="false">COUNTIFS(Clips!$F:$F,$B246,Clips!$C:$C,"train")</f>
        <v>1</v>
      </c>
      <c r="Q246" s="15" t="n">
        <f aca="false">COUNTIFS(Clips!$F:$F,$B246,Clips!$C:$C,"val")</f>
        <v>0</v>
      </c>
      <c r="R246" s="15" t="n">
        <f aca="false">COUNTIFS(Clips!$F:$F,$B246,Clips!$C:$C,"test")</f>
        <v>0</v>
      </c>
      <c r="S246" s="17" t="n">
        <f aca="false">SUMIFS(Clips!$I:$I,Clips!$F:$F,$B246,Clips!$C:$C,"train")/60</f>
        <v>1.432</v>
      </c>
      <c r="T246" s="17" t="n">
        <f aca="false">SUMIFS(Clips!$I:$I,Clips!$F:$F,$B246,Clips!$C:$C,"val")/60</f>
        <v>0</v>
      </c>
      <c r="U246" s="17" t="n">
        <f aca="false">SUMIFS(Clips!$I:$I,Clips!$F:$F,$B246,Clips!$C:$C,"test")/60</f>
        <v>0</v>
      </c>
      <c r="V246" s="15" t="n">
        <f aca="false">SUMIFS(Clips!$J:$J,Clips!$F:$F,$B246,Clips!$C:$C,"train")</f>
        <v>18</v>
      </c>
      <c r="W246" s="18" t="n">
        <f aca="false">IF(V246=0,"",Splits!$B$49/(Splits!$B$50*V246))</f>
        <v>8.65697064989518</v>
      </c>
      <c r="X246" s="15" t="str">
        <f aca="false">IF(P246&gt;0,IF(AND(Q246&gt;0,R246&gt;0),"train + val + test",IF(R246&gt;0,"train + test","train only")),IF(R246&gt;0,"test only (unknown class)",IF(K246&gt;0,"site extract only","no usable audio")))</f>
        <v>train only</v>
      </c>
      <c r="Y246" s="15" t="str">
        <f aca="false">IF($P246=0,"",IF($E246="nonbird",$B246,IF($G246="yes",$B246,"other bird")))</f>
        <v>other bird</v>
      </c>
      <c r="Z246" s="15" t="str">
        <f aca="false">IF(AND($F246="core",$P246&gt;0),$B246,"")</f>
        <v/>
      </c>
      <c r="AA246" s="15" t="str">
        <f aca="false">IF($P246&gt;0,$B246,"")</f>
        <v>White-throated Thrush</v>
      </c>
      <c r="AB246" s="15" t="n">
        <v>1</v>
      </c>
      <c r="AC246" s="15" t="n">
        <v>1</v>
      </c>
      <c r="AD246" s="17" t="str">
        <f aca="false">IF(COUNTIFS(Clips!$F:$F,$B246,Clips!$M:$M,"&gt;0",Clips!$C:$C,"&lt;&gt;excluded")=0,"",AVERAGEIFS(Clips!$M:$M,Clips!$F:$F,$B246,Clips!$M:$M,"&gt;0",Clips!$C:$C,"&lt;&gt;excluded"))</f>
        <v/>
      </c>
      <c r="AE246" s="15" t="n">
        <f aca="false">COUNTIFS(Clips!$F:$F,$B246,Clips!$O:$O,"&lt;&gt;",Clips!$B:$B,"&lt;&gt;site",Clips!$C:$C,"&lt;&gt;excluded")</f>
        <v>0</v>
      </c>
      <c r="AF246" s="15" t="n">
        <f aca="false">COUNTIFS(Clips!$F:$F,$B246,Clips!$I:$I,"&lt;5",Clips!$C:$C,"&lt;&gt;excluded")</f>
        <v>0</v>
      </c>
      <c r="AG246" s="5" t="s">
        <v>710</v>
      </c>
    </row>
    <row r="247" customFormat="false" ht="15" hidden="false" customHeight="false" outlineLevel="0" collapsed="false">
      <c r="A247" s="15" t="n">
        <v>238</v>
      </c>
      <c r="B247" s="15" t="s">
        <v>895</v>
      </c>
      <c r="C247" s="15" t="s">
        <v>896</v>
      </c>
      <c r="D247" s="15" t="s">
        <v>897</v>
      </c>
      <c r="E247" s="15" t="s">
        <v>147</v>
      </c>
      <c r="F247" s="15" t="s">
        <v>613</v>
      </c>
      <c r="G247" s="15" t="str">
        <f aca="false">IF(AND($E247="bird",$K247&gt;0),"yes","")</f>
        <v/>
      </c>
      <c r="H247" s="15"/>
      <c r="I247" s="15" t="str">
        <f aca="false">IF($E247="bird",IF(COUNTIF('eBird List'!$A:$A,$B247)&gt;0,"yes","no"),"")</f>
        <v>yes</v>
      </c>
      <c r="J247" s="16" t="n">
        <f aca="false">IF(COUNTIF('eBird List'!$A:$A,$B247)=0,"",INDEX('eBird List'!$C:$C,MATCH($B247,'eBird List'!$A:$A,0)))</f>
        <v>0.0392542292113414</v>
      </c>
      <c r="K247" s="15" t="n">
        <f aca="false">COUNTIFS(Clips!$B:$B,"site",Clips!$F:$F,$B247)+COUNTIFS(Clips!$B:$B,"site",Clips!$O:$O,"*"&amp;$B247&amp;"*")</f>
        <v>0</v>
      </c>
      <c r="L247" s="15" t="n">
        <f aca="false">COUNTIFS(Clips!$F:$F,$B247,Clips!$B:$B,"macaulay")</f>
        <v>1</v>
      </c>
      <c r="M247" s="15" t="n">
        <f aca="false">COUNTIFS(Clips!$F:$F,$B247,Clips!$B:$B,"xeno-canto")</f>
        <v>0</v>
      </c>
      <c r="N247" s="15" t="n">
        <f aca="false">K247+L247+M247</f>
        <v>1</v>
      </c>
      <c r="O247" s="15" t="n">
        <f aca="false">COUNTIFS(Clips!$F:$F,$B247,Clips!$C:$C,"excluded")</f>
        <v>0</v>
      </c>
      <c r="P247" s="15" t="n">
        <f aca="false">COUNTIFS(Clips!$F:$F,$B247,Clips!$C:$C,"train")</f>
        <v>0</v>
      </c>
      <c r="Q247" s="15" t="n">
        <f aca="false">COUNTIFS(Clips!$F:$F,$B247,Clips!$C:$C,"val")</f>
        <v>0</v>
      </c>
      <c r="R247" s="15" t="n">
        <f aca="false">COUNTIFS(Clips!$F:$F,$B247,Clips!$C:$C,"test")</f>
        <v>1</v>
      </c>
      <c r="S247" s="17" t="n">
        <f aca="false">SUMIFS(Clips!$I:$I,Clips!$F:$F,$B247,Clips!$C:$C,"train")/60</f>
        <v>0</v>
      </c>
      <c r="T247" s="17" t="n">
        <f aca="false">SUMIFS(Clips!$I:$I,Clips!$F:$F,$B247,Clips!$C:$C,"val")/60</f>
        <v>0</v>
      </c>
      <c r="U247" s="17" t="n">
        <f aca="false">SUMIFS(Clips!$I:$I,Clips!$F:$F,$B247,Clips!$C:$C,"test")/60</f>
        <v>0.378066666666667</v>
      </c>
      <c r="V247" s="15" t="n">
        <f aca="false">SUMIFS(Clips!$J:$J,Clips!$F:$F,$B247,Clips!$C:$C,"train")</f>
        <v>0</v>
      </c>
      <c r="W247" s="18" t="str">
        <f aca="false">IF(V247=0,"",Splits!$B$49/(Splits!$B$50*V247))</f>
        <v/>
      </c>
      <c r="X247" s="15" t="str">
        <f aca="false">IF(P247&gt;0,IF(AND(Q247&gt;0,R247&gt;0),"train + val + test",IF(R247&gt;0,"train + test","train only")),IF(R247&gt;0,"test only (unknown class)",IF(K247&gt;0,"site extract only","no usable audio")))</f>
        <v>test only (unknown class)</v>
      </c>
      <c r="Y247" s="15" t="str">
        <f aca="false">IF($P247=0,"",IF($E247="nonbird",$B247,IF($G247="yes",$B247,"other bird")))</f>
        <v/>
      </c>
      <c r="Z247" s="15" t="str">
        <f aca="false">IF(AND($F247="core",$P247&gt;0),$B247,"")</f>
        <v/>
      </c>
      <c r="AA247" s="15" t="str">
        <f aca="false">IF($P247&gt;0,$B247,"")</f>
        <v/>
      </c>
      <c r="AB247" s="15" t="n">
        <v>1</v>
      </c>
      <c r="AC247" s="15" t="n">
        <v>1</v>
      </c>
      <c r="AD247" s="17" t="str">
        <f aca="false">IF(COUNTIFS(Clips!$F:$F,$B247,Clips!$M:$M,"&gt;0",Clips!$C:$C,"&lt;&gt;excluded")=0,"",AVERAGEIFS(Clips!$M:$M,Clips!$F:$F,$B247,Clips!$M:$M,"&gt;0",Clips!$C:$C,"&lt;&gt;excluded"))</f>
        <v/>
      </c>
      <c r="AE247" s="15" t="n">
        <f aca="false">COUNTIFS(Clips!$F:$F,$B247,Clips!$O:$O,"&lt;&gt;",Clips!$B:$B,"&lt;&gt;site",Clips!$C:$C,"&lt;&gt;excluded")</f>
        <v>0</v>
      </c>
      <c r="AF247" s="15" t="n">
        <f aca="false">COUNTIFS(Clips!$F:$F,$B247,Clips!$I:$I,"&lt;5",Clips!$C:$C,"&lt;&gt;excluded")</f>
        <v>0</v>
      </c>
      <c r="AG247" s="5"/>
    </row>
    <row r="248" customFormat="false" ht="15" hidden="false" customHeight="false" outlineLevel="0" collapsed="false">
      <c r="A248" s="15" t="n">
        <v>241</v>
      </c>
      <c r="B248" s="15" t="s">
        <v>898</v>
      </c>
      <c r="C248" s="15" t="s">
        <v>899</v>
      </c>
      <c r="D248" s="15" t="s">
        <v>900</v>
      </c>
      <c r="E248" s="15" t="s">
        <v>147</v>
      </c>
      <c r="F248" s="15" t="s">
        <v>647</v>
      </c>
      <c r="G248" s="15" t="str">
        <f aca="false">IF(AND($E248="bird",$K248&gt;0),"yes","")</f>
        <v/>
      </c>
      <c r="H248" s="15"/>
      <c r="I248" s="15" t="str">
        <f aca="false">IF($E248="bird",IF(COUNTIF('eBird List'!$A:$A,$B248)&gt;0,"yes","no"),"")</f>
        <v>yes</v>
      </c>
      <c r="J248" s="16" t="n">
        <f aca="false">IF(COUNTIF('eBird List'!$A:$A,$B248)=0,"",INDEX('eBird List'!$C:$C,MATCH($B248,'eBird List'!$A:$A,0)))</f>
        <v>0.00652251608291637</v>
      </c>
      <c r="K248" s="15" t="n">
        <f aca="false">COUNTIFS(Clips!$B:$B,"site",Clips!$F:$F,$B248)+COUNTIFS(Clips!$B:$B,"site",Clips!$O:$O,"*"&amp;$B248&amp;"*")</f>
        <v>0</v>
      </c>
      <c r="L248" s="15" t="n">
        <f aca="false">COUNTIFS(Clips!$F:$F,$B248,Clips!$B:$B,"macaulay")</f>
        <v>0</v>
      </c>
      <c r="M248" s="15" t="n">
        <f aca="false">COUNTIFS(Clips!$F:$F,$B248,Clips!$B:$B,"xeno-canto")</f>
        <v>1</v>
      </c>
      <c r="N248" s="15" t="n">
        <f aca="false">K248+L248+M248</f>
        <v>1</v>
      </c>
      <c r="O248" s="15" t="n">
        <f aca="false">COUNTIFS(Clips!$F:$F,$B248,Clips!$C:$C,"excluded")</f>
        <v>0</v>
      </c>
      <c r="P248" s="15" t="n">
        <f aca="false">COUNTIFS(Clips!$F:$F,$B248,Clips!$C:$C,"train")</f>
        <v>1</v>
      </c>
      <c r="Q248" s="15" t="n">
        <f aca="false">COUNTIFS(Clips!$F:$F,$B248,Clips!$C:$C,"val")</f>
        <v>0</v>
      </c>
      <c r="R248" s="15" t="n">
        <f aca="false">COUNTIFS(Clips!$F:$F,$B248,Clips!$C:$C,"test")</f>
        <v>0</v>
      </c>
      <c r="S248" s="17" t="n">
        <f aca="false">SUMIFS(Clips!$I:$I,Clips!$F:$F,$B248,Clips!$C:$C,"train")/60</f>
        <v>0.6008</v>
      </c>
      <c r="T248" s="17" t="n">
        <f aca="false">SUMIFS(Clips!$I:$I,Clips!$F:$F,$B248,Clips!$C:$C,"val")/60</f>
        <v>0</v>
      </c>
      <c r="U248" s="17" t="n">
        <f aca="false">SUMIFS(Clips!$I:$I,Clips!$F:$F,$B248,Clips!$C:$C,"test")/60</f>
        <v>0</v>
      </c>
      <c r="V248" s="15" t="n">
        <f aca="false">SUMIFS(Clips!$J:$J,Clips!$F:$F,$B248,Clips!$C:$C,"train")</f>
        <v>8</v>
      </c>
      <c r="W248" s="18" t="n">
        <f aca="false">IF(V248=0,"",Splits!$B$49/(Splits!$B$50*V248))</f>
        <v>19.4781839622642</v>
      </c>
      <c r="X248" s="15" t="str">
        <f aca="false">IF(P248&gt;0,IF(AND(Q248&gt;0,R248&gt;0),"train + val + test",IF(R248&gt;0,"train + test","train only")),IF(R248&gt;0,"test only (unknown class)",IF(K248&gt;0,"site extract only","no usable audio")))</f>
        <v>train only</v>
      </c>
      <c r="Y248" s="15" t="str">
        <f aca="false">IF($P248=0,"",IF($E248="nonbird",$B248,IF($G248="yes",$B248,"other bird")))</f>
        <v>other bird</v>
      </c>
      <c r="Z248" s="15" t="str">
        <f aca="false">IF(AND($F248="core",$P248&gt;0),$B248,"")</f>
        <v/>
      </c>
      <c r="AA248" s="15" t="str">
        <f aca="false">IF($P248&gt;0,$B248,"")</f>
        <v>Yellow-faced Grassquit</v>
      </c>
      <c r="AB248" s="15" t="n">
        <v>1</v>
      </c>
      <c r="AC248" s="15" t="n">
        <v>1</v>
      </c>
      <c r="AD248" s="17" t="str">
        <f aca="false">IF(COUNTIFS(Clips!$F:$F,$B248,Clips!$M:$M,"&gt;0",Clips!$C:$C,"&lt;&gt;excluded")=0,"",AVERAGEIFS(Clips!$M:$M,Clips!$F:$F,$B248,Clips!$M:$M,"&gt;0",Clips!$C:$C,"&lt;&gt;excluded"))</f>
        <v/>
      </c>
      <c r="AE248" s="15" t="n">
        <f aca="false">COUNTIFS(Clips!$F:$F,$B248,Clips!$O:$O,"&lt;&gt;",Clips!$B:$B,"&lt;&gt;site",Clips!$C:$C,"&lt;&gt;excluded")</f>
        <v>0</v>
      </c>
      <c r="AF248" s="15" t="n">
        <f aca="false">COUNTIFS(Clips!$F:$F,$B248,Clips!$I:$I,"&lt;5",Clips!$C:$C,"&lt;&gt;excluded")</f>
        <v>0</v>
      </c>
      <c r="AG248" s="5" t="s">
        <v>710</v>
      </c>
    </row>
    <row r="249" customFormat="false" ht="23.85" hidden="false" customHeight="false" outlineLevel="0" collapsed="false">
      <c r="A249" s="15"/>
      <c r="B249" s="15" t="s">
        <v>901</v>
      </c>
      <c r="C249" s="15" t="s">
        <v>902</v>
      </c>
      <c r="D249" s="15"/>
      <c r="E249" s="15" t="s">
        <v>147</v>
      </c>
      <c r="F249" s="15" t="s">
        <v>903</v>
      </c>
      <c r="G249" s="15" t="str">
        <f aca="false">IF(AND($E249="bird",$K249&gt;0),"yes","")</f>
        <v>yes</v>
      </c>
      <c r="H249" s="15" t="s">
        <v>149</v>
      </c>
      <c r="I249" s="15" t="str">
        <f aca="false">IF($E249="bird",IF(COUNTIF('eBird List'!$A:$A,$B249)&gt;0,"yes","no"),"")</f>
        <v>no</v>
      </c>
      <c r="J249" s="16" t="str">
        <f aca="false">IF(COUNTIF('eBird List'!$A:$A,$B249)=0,"",INDEX('eBird List'!$C:$C,MATCH($B249,'eBird List'!$A:$A,0)))</f>
        <v/>
      </c>
      <c r="K249" s="15" t="n">
        <f aca="false">COUNTIFS(Clips!$B:$B,"site",Clips!$F:$F,$B249)+COUNTIFS(Clips!$B:$B,"site",Clips!$O:$O,"*"&amp;$B249&amp;"*")</f>
        <v>1</v>
      </c>
      <c r="L249" s="15" t="n">
        <f aca="false">COUNTIFS(Clips!$F:$F,$B249,Clips!$B:$B,"macaulay")</f>
        <v>0</v>
      </c>
      <c r="M249" s="15" t="n">
        <f aca="false">COUNTIFS(Clips!$F:$F,$B249,Clips!$B:$B,"xeno-canto")</f>
        <v>0</v>
      </c>
      <c r="N249" s="15" t="n">
        <f aca="false">K249+L249+M249</f>
        <v>1</v>
      </c>
      <c r="O249" s="15" t="n">
        <f aca="false">COUNTIFS(Clips!$F:$F,$B249,Clips!$C:$C,"excluded")</f>
        <v>0</v>
      </c>
      <c r="P249" s="15" t="n">
        <f aca="false">COUNTIFS(Clips!$F:$F,$B249,Clips!$C:$C,"train")</f>
        <v>0</v>
      </c>
      <c r="Q249" s="15" t="n">
        <f aca="false">COUNTIFS(Clips!$F:$F,$B249,Clips!$C:$C,"val")</f>
        <v>0</v>
      </c>
      <c r="R249" s="15" t="n">
        <f aca="false">COUNTIFS(Clips!$F:$F,$B249,Clips!$C:$C,"test")</f>
        <v>0</v>
      </c>
      <c r="S249" s="17" t="n">
        <f aca="false">SUMIFS(Clips!$I:$I,Clips!$F:$F,$B249,Clips!$C:$C,"train")/60</f>
        <v>0</v>
      </c>
      <c r="T249" s="17" t="n">
        <f aca="false">SUMIFS(Clips!$I:$I,Clips!$F:$F,$B249,Clips!$C:$C,"val")/60</f>
        <v>0</v>
      </c>
      <c r="U249" s="17" t="n">
        <f aca="false">SUMIFS(Clips!$I:$I,Clips!$F:$F,$B249,Clips!$C:$C,"test")/60</f>
        <v>0</v>
      </c>
      <c r="V249" s="15" t="n">
        <f aca="false">SUMIFS(Clips!$J:$J,Clips!$F:$F,$B249,Clips!$C:$C,"train")</f>
        <v>0</v>
      </c>
      <c r="W249" s="18" t="str">
        <f aca="false">IF(V249=0,"",Splits!$B$49/(Splits!$B$50*V249))</f>
        <v/>
      </c>
      <c r="X249" s="15" t="str">
        <f aca="false">IF(P249&gt;0,IF(AND(Q249&gt;0,R249&gt;0),"train + val + test",IF(R249&gt;0,"train + test","train only")),IF(R249&gt;0,"test only (unknown class)",IF(K249&gt;0,"site extract only","no usable audio")))</f>
        <v>site extract only</v>
      </c>
      <c r="Y249" s="15" t="str">
        <f aca="false">IF($P249=0,"",IF($E249="nonbird",$B249,IF($G249="yes",$B249,"other bird")))</f>
        <v/>
      </c>
      <c r="Z249" s="15" t="str">
        <f aca="false">IF(AND($F249="core",$P249&gt;0),$B249,"")</f>
        <v/>
      </c>
      <c r="AA249" s="15" t="str">
        <f aca="false">IF($P249&gt;0,$B249,"")</f>
        <v/>
      </c>
      <c r="AB249" s="15"/>
      <c r="AC249" s="15"/>
      <c r="AD249" s="17" t="str">
        <f aca="false">IF(COUNTIFS(Clips!$F:$F,$B249,Clips!$M:$M,"&gt;0",Clips!$C:$C,"&lt;&gt;excluded")=0,"",AVERAGEIFS(Clips!$M:$M,Clips!$F:$F,$B249,Clips!$M:$M,"&gt;0",Clips!$C:$C,"&lt;&gt;excluded"))</f>
        <v/>
      </c>
      <c r="AE249" s="15" t="n">
        <f aca="false">COUNTIFS(Clips!$F:$F,$B249,Clips!$O:$O,"&lt;&gt;",Clips!$B:$B,"&lt;&gt;site",Clips!$C:$C,"&lt;&gt;excluded")</f>
        <v>0</v>
      </c>
      <c r="AF249" s="15" t="n">
        <f aca="false">COUNTIFS(Clips!$F:$F,$B249,Clips!$I:$I,"&lt;5",Clips!$C:$C,"&lt;&gt;excluded")</f>
        <v>0</v>
      </c>
      <c r="AG249" s="5" t="s">
        <v>904</v>
      </c>
    </row>
    <row r="250" customFormat="false" ht="15" hidden="false" customHeight="false" outlineLevel="0" collapsed="false">
      <c r="A250" s="15"/>
      <c r="B250" s="15" t="s">
        <v>905</v>
      </c>
      <c r="C250" s="15" t="s">
        <v>906</v>
      </c>
      <c r="D250" s="15" t="s">
        <v>907</v>
      </c>
      <c r="E250" s="15" t="s">
        <v>147</v>
      </c>
      <c r="F250" s="15" t="s">
        <v>908</v>
      </c>
      <c r="G250" s="15" t="str">
        <f aca="false">IF(AND($E250="bird",$K250&gt;0),"yes","")</f>
        <v/>
      </c>
      <c r="H250" s="15"/>
      <c r="I250" s="15" t="str">
        <f aca="false">IF($E250="bird",IF(COUNTIF('eBird List'!$A:$A,$B250)&gt;0,"yes","no"),"")</f>
        <v>yes</v>
      </c>
      <c r="J250" s="16" t="n">
        <f aca="false">IF(COUNTIF('eBird List'!$A:$A,$B250)=0,"",INDEX('eBird List'!$C:$C,MATCH($B250,'eBird List'!$A:$A,0)))</f>
        <v>0.0115856564212533</v>
      </c>
      <c r="K250" s="15" t="n">
        <f aca="false">COUNTIFS(Clips!$B:$B,"site",Clips!$F:$F,$B250)+COUNTIFS(Clips!$B:$B,"site",Clips!$O:$O,"*"&amp;$B250&amp;"*")</f>
        <v>0</v>
      </c>
      <c r="L250" s="15" t="n">
        <f aca="false">COUNTIFS(Clips!$F:$F,$B250,Clips!$B:$B,"macaulay")</f>
        <v>1</v>
      </c>
      <c r="M250" s="15" t="n">
        <f aca="false">COUNTIFS(Clips!$F:$F,$B250,Clips!$B:$B,"xeno-canto")</f>
        <v>0</v>
      </c>
      <c r="N250" s="15" t="n">
        <f aca="false">K250+L250+M250</f>
        <v>1</v>
      </c>
      <c r="O250" s="15" t="n">
        <f aca="false">COUNTIFS(Clips!$F:$F,$B250,Clips!$C:$C,"excluded")</f>
        <v>1</v>
      </c>
      <c r="P250" s="15" t="n">
        <f aca="false">COUNTIFS(Clips!$F:$F,$B250,Clips!$C:$C,"train")</f>
        <v>0</v>
      </c>
      <c r="Q250" s="15" t="n">
        <f aca="false">COUNTIFS(Clips!$F:$F,$B250,Clips!$C:$C,"val")</f>
        <v>0</v>
      </c>
      <c r="R250" s="15" t="n">
        <f aca="false">COUNTIFS(Clips!$F:$F,$B250,Clips!$C:$C,"test")</f>
        <v>0</v>
      </c>
      <c r="S250" s="17" t="n">
        <f aca="false">SUMIFS(Clips!$I:$I,Clips!$F:$F,$B250,Clips!$C:$C,"train")/60</f>
        <v>0</v>
      </c>
      <c r="T250" s="17" t="n">
        <f aca="false">SUMIFS(Clips!$I:$I,Clips!$F:$F,$B250,Clips!$C:$C,"val")/60</f>
        <v>0</v>
      </c>
      <c r="U250" s="17" t="n">
        <f aca="false">SUMIFS(Clips!$I:$I,Clips!$F:$F,$B250,Clips!$C:$C,"test")/60</f>
        <v>0</v>
      </c>
      <c r="V250" s="15" t="n">
        <f aca="false">SUMIFS(Clips!$J:$J,Clips!$F:$F,$B250,Clips!$C:$C,"train")</f>
        <v>0</v>
      </c>
      <c r="W250" s="18" t="str">
        <f aca="false">IF(V250=0,"",Splits!$B$49/(Splits!$B$50*V250))</f>
        <v/>
      </c>
      <c r="X250" s="15" t="str">
        <f aca="false">IF(P250&gt;0,IF(AND(Q250&gt;0,R250&gt;0),"train + val + test",IF(R250&gt;0,"train + test","train only")),IF(R250&gt;0,"test only (unknown class)",IF(K250&gt;0,"site extract only","no usable audio")))</f>
        <v>no usable audio</v>
      </c>
      <c r="Y250" s="15" t="str">
        <f aca="false">IF($P250=0,"",IF($E250="nonbird",$B250,IF($G250="yes",$B250,"other bird")))</f>
        <v/>
      </c>
      <c r="Z250" s="15" t="str">
        <f aca="false">IF(AND($F250="core",$P250&gt;0),$B250,"")</f>
        <v/>
      </c>
      <c r="AA250" s="15" t="str">
        <f aca="false">IF($P250&gt;0,$B250,"")</f>
        <v/>
      </c>
      <c r="AB250" s="15"/>
      <c r="AC250" s="15"/>
      <c r="AD250" s="17" t="str">
        <f aca="false">IF(COUNTIFS(Clips!$F:$F,$B250,Clips!$M:$M,"&gt;0",Clips!$C:$C,"&lt;&gt;excluded")=0,"",AVERAGEIFS(Clips!$M:$M,Clips!$F:$F,$B250,Clips!$M:$M,"&gt;0",Clips!$C:$C,"&lt;&gt;excluded"))</f>
        <v/>
      </c>
      <c r="AE250" s="15" t="n">
        <f aca="false">COUNTIFS(Clips!$F:$F,$B250,Clips!$O:$O,"&lt;&gt;",Clips!$B:$B,"&lt;&gt;site",Clips!$C:$C,"&lt;&gt;excluded")</f>
        <v>0</v>
      </c>
      <c r="AF250" s="15" t="n">
        <f aca="false">COUNTIFS(Clips!$F:$F,$B250,Clips!$I:$I,"&lt;5",Clips!$C:$C,"&lt;&gt;excluded")</f>
        <v>0</v>
      </c>
      <c r="AG250" s="5" t="s">
        <v>909</v>
      </c>
    </row>
    <row r="251" customFormat="false" ht="15" hidden="false" customHeight="false" outlineLevel="0" collapsed="false">
      <c r="A251" s="15" t="n">
        <v>247</v>
      </c>
      <c r="B251" s="15" t="s">
        <v>910</v>
      </c>
      <c r="C251" s="15"/>
      <c r="D251" s="15"/>
      <c r="E251" s="15" t="s">
        <v>911</v>
      </c>
      <c r="F251" s="15" t="s">
        <v>148</v>
      </c>
      <c r="G251" s="15" t="str">
        <f aca="false">IF(AND($E251="bird",$K251&gt;0),"yes","")</f>
        <v/>
      </c>
      <c r="H251" s="15"/>
      <c r="I251" s="15" t="str">
        <f aca="false">IF($E251="bird",IF(COUNTIF('eBird List'!$A:$A,$B251)&gt;0,"yes","no"),"")</f>
        <v/>
      </c>
      <c r="J251" s="16" t="str">
        <f aca="false">IF(COUNTIF('eBird List'!$A:$A,$B251)=0,"",INDEX('eBird List'!$C:$C,MATCH($B251,'eBird List'!$A:$A,0)))</f>
        <v/>
      </c>
      <c r="K251" s="15" t="n">
        <f aca="false">COUNTIFS(Clips!$B:$B,"site",Clips!$F:$F,$B251)+COUNTIFS(Clips!$B:$B,"site",Clips!$O:$O,"*"&amp;$B251&amp;"*")</f>
        <v>0</v>
      </c>
      <c r="L251" s="15" t="n">
        <f aca="false">COUNTIFS(Clips!$F:$F,$B251,Clips!$B:$B,"macaulay")</f>
        <v>180</v>
      </c>
      <c r="M251" s="15" t="n">
        <f aca="false">COUNTIFS(Clips!$F:$F,$B251,Clips!$B:$B,"xeno-canto")</f>
        <v>0</v>
      </c>
      <c r="N251" s="15" t="n">
        <f aca="false">K251+L251+M251</f>
        <v>180</v>
      </c>
      <c r="O251" s="15" t="n">
        <f aca="false">COUNTIFS(Clips!$F:$F,$B251,Clips!$C:$C,"excluded")</f>
        <v>0</v>
      </c>
      <c r="P251" s="15" t="n">
        <f aca="false">COUNTIFS(Clips!$F:$F,$B251,Clips!$C:$C,"train")</f>
        <v>126</v>
      </c>
      <c r="Q251" s="15" t="n">
        <f aca="false">COUNTIFS(Clips!$F:$F,$B251,Clips!$C:$C,"val")</f>
        <v>27</v>
      </c>
      <c r="R251" s="15" t="n">
        <f aca="false">COUNTIFS(Clips!$F:$F,$B251,Clips!$C:$C,"test")</f>
        <v>27</v>
      </c>
      <c r="S251" s="17" t="n">
        <f aca="false">SUMIFS(Clips!$I:$I,Clips!$F:$F,$B251,Clips!$C:$C,"train")/60</f>
        <v>188.17675</v>
      </c>
      <c r="T251" s="17" t="n">
        <f aca="false">SUMIFS(Clips!$I:$I,Clips!$F:$F,$B251,Clips!$C:$C,"val")/60</f>
        <v>40.2360666666667</v>
      </c>
      <c r="U251" s="17" t="n">
        <f aca="false">SUMIFS(Clips!$I:$I,Clips!$F:$F,$B251,Clips!$C:$C,"test")/60</f>
        <v>43.9130833333333</v>
      </c>
      <c r="V251" s="15" t="n">
        <f aca="false">SUMIFS(Clips!$J:$J,Clips!$F:$F,$B251,Clips!$C:$C,"train")</f>
        <v>2179</v>
      </c>
      <c r="W251" s="18" t="n">
        <f aca="false">IF(V251=0,"",Splits!$B$49/(Splits!$B$50*V251))</f>
        <v>0.0715123780165733</v>
      </c>
      <c r="X251" s="15" t="str">
        <f aca="false">IF(P251&gt;0,IF(AND(Q251&gt;0,R251&gt;0),"train + val + test",IF(R251&gt;0,"train + test","train only")),IF(R251&gt;0,"test only (unknown class)",IF(K251&gt;0,"site extract only","no usable audio")))</f>
        <v>train + val + test</v>
      </c>
      <c r="Y251" s="15" t="str">
        <f aca="false">IF($P251=0,"",IF($E251="nonbird",$B251,IF($G251="yes",$B251,"other bird")))</f>
        <v>nonbird:bat</v>
      </c>
      <c r="Z251" s="15" t="str">
        <f aca="false">IF(AND($F251="core",$P251&gt;0),$B251,"")</f>
        <v>nonbird:bat</v>
      </c>
      <c r="AA251" s="15" t="str">
        <f aca="false">IF($P251&gt;0,$B251,"")</f>
        <v>nonbird:bat</v>
      </c>
      <c r="AB251" s="15" t="n">
        <v>16</v>
      </c>
      <c r="AC251" s="15" t="n">
        <v>1</v>
      </c>
      <c r="AD251" s="17" t="n">
        <f aca="false">IF(COUNTIFS(Clips!$F:$F,$B251,Clips!$M:$M,"&gt;0",Clips!$C:$C,"&lt;&gt;excluded")=0,"",AVERAGEIFS(Clips!$M:$M,Clips!$F:$F,$B251,Clips!$M:$M,"&gt;0",Clips!$C:$C,"&lt;&gt;excluded"))</f>
        <v>5</v>
      </c>
      <c r="AE251" s="15" t="n">
        <f aca="false">COUNTIFS(Clips!$F:$F,$B251,Clips!$O:$O,"&lt;&gt;",Clips!$B:$B,"&lt;&gt;site",Clips!$C:$C,"&lt;&gt;excluded")</f>
        <v>0</v>
      </c>
      <c r="AF251" s="15" t="n">
        <f aca="false">COUNTIFS(Clips!$F:$F,$B251,Clips!$I:$I,"&lt;5",Clips!$C:$C,"&lt;&gt;excluded")</f>
        <v>0</v>
      </c>
      <c r="AG251" s="5"/>
    </row>
    <row r="252" customFormat="false" ht="23.85" hidden="false" customHeight="false" outlineLevel="0" collapsed="false">
      <c r="A252" s="15" t="n">
        <v>248</v>
      </c>
      <c r="B252" s="15" t="s">
        <v>912</v>
      </c>
      <c r="C252" s="15"/>
      <c r="D252" s="15"/>
      <c r="E252" s="15" t="s">
        <v>911</v>
      </c>
      <c r="F252" s="15" t="s">
        <v>148</v>
      </c>
      <c r="G252" s="15" t="str">
        <f aca="false">IF(AND($E252="bird",$K252&gt;0),"yes","")</f>
        <v/>
      </c>
      <c r="H252" s="15"/>
      <c r="I252" s="15" t="str">
        <f aca="false">IF($E252="bird",IF(COUNTIF('eBird List'!$A:$A,$B252)&gt;0,"yes","no"),"")</f>
        <v/>
      </c>
      <c r="J252" s="16" t="str">
        <f aca="false">IF(COUNTIF('eBird List'!$A:$A,$B252)=0,"",INDEX('eBird List'!$C:$C,MATCH($B252,'eBird List'!$A:$A,0)))</f>
        <v/>
      </c>
      <c r="K252" s="15" t="n">
        <f aca="false">COUNTIFS(Clips!$B:$B,"site",Clips!$F:$F,$B252)+COUNTIFS(Clips!$B:$B,"site",Clips!$O:$O,"*"&amp;$B252&amp;"*")</f>
        <v>17</v>
      </c>
      <c r="L252" s="15" t="n">
        <f aca="false">COUNTIFS(Clips!$F:$F,$B252,Clips!$B:$B,"macaulay")</f>
        <v>42</v>
      </c>
      <c r="M252" s="15" t="n">
        <f aca="false">COUNTIFS(Clips!$F:$F,$B252,Clips!$B:$B,"xeno-canto")</f>
        <v>0</v>
      </c>
      <c r="N252" s="15" t="n">
        <f aca="false">K252+L252+M252</f>
        <v>59</v>
      </c>
      <c r="O252" s="15" t="n">
        <f aca="false">COUNTIFS(Clips!$F:$F,$B252,Clips!$C:$C,"excluded")</f>
        <v>0</v>
      </c>
      <c r="P252" s="15" t="n">
        <f aca="false">COUNTIFS(Clips!$F:$F,$B252,Clips!$C:$C,"train")</f>
        <v>30</v>
      </c>
      <c r="Q252" s="15" t="n">
        <f aca="false">COUNTIFS(Clips!$F:$F,$B252,Clips!$C:$C,"val")</f>
        <v>6</v>
      </c>
      <c r="R252" s="15" t="n">
        <f aca="false">COUNTIFS(Clips!$F:$F,$B252,Clips!$C:$C,"test")</f>
        <v>6</v>
      </c>
      <c r="S252" s="17" t="n">
        <f aca="false">SUMIFS(Clips!$I:$I,Clips!$F:$F,$B252,Clips!$C:$C,"train")/60</f>
        <v>292.108116666667</v>
      </c>
      <c r="T252" s="17" t="n">
        <f aca="false">SUMIFS(Clips!$I:$I,Clips!$F:$F,$B252,Clips!$C:$C,"val")/60</f>
        <v>47.2532833333333</v>
      </c>
      <c r="U252" s="17" t="n">
        <f aca="false">SUMIFS(Clips!$I:$I,Clips!$F:$F,$B252,Clips!$C:$C,"test")/60</f>
        <v>45.02405</v>
      </c>
      <c r="V252" s="15" t="n">
        <f aca="false">SUMIFS(Clips!$J:$J,Clips!$F:$F,$B252,Clips!$C:$C,"train")</f>
        <v>2334</v>
      </c>
      <c r="W252" s="18" t="n">
        <f aca="false">IF(V252=0,"",Splits!$B$49/(Splits!$B$50*V252))</f>
        <v>0.0667632697935361</v>
      </c>
      <c r="X252" s="15" t="str">
        <f aca="false">IF(P252&gt;0,IF(AND(Q252&gt;0,R252&gt;0),"train + val + test",IF(R252&gt;0,"train + test","train only")),IF(R252&gt;0,"test only (unknown class)",IF(K252&gt;0,"site extract only","no usable audio")))</f>
        <v>train + val + test</v>
      </c>
      <c r="Y252" s="15" t="str">
        <f aca="false">IF($P252=0,"",IF($E252="nonbird",$B252,IF($G252="yes",$B252,"other bird")))</f>
        <v>nonbird:frog</v>
      </c>
      <c r="Z252" s="15" t="str">
        <f aca="false">IF(AND($F252="core",$P252&gt;0),$B252,"")</f>
        <v>nonbird:frog</v>
      </c>
      <c r="AA252" s="15" t="str">
        <f aca="false">IF($P252&gt;0,$B252,"")</f>
        <v>nonbird:frog</v>
      </c>
      <c r="AB252" s="15" t="n">
        <v>18</v>
      </c>
      <c r="AC252" s="15" t="n">
        <v>4</v>
      </c>
      <c r="AD252" s="17" t="n">
        <f aca="false">IF(COUNTIFS(Clips!$F:$F,$B252,Clips!$M:$M,"&gt;0",Clips!$C:$C,"&lt;&gt;excluded")=0,"",AVERAGEIFS(Clips!$M:$M,Clips!$F:$F,$B252,Clips!$M:$M,"&gt;0",Clips!$C:$C,"&lt;&gt;excluded"))</f>
        <v>2.94871794871795</v>
      </c>
      <c r="AE252" s="15" t="n">
        <f aca="false">COUNTIFS(Clips!$F:$F,$B252,Clips!$O:$O,"&lt;&gt;",Clips!$B:$B,"&lt;&gt;site",Clips!$C:$C,"&lt;&gt;excluded")</f>
        <v>20</v>
      </c>
      <c r="AF252" s="15" t="n">
        <f aca="false">COUNTIFS(Clips!$F:$F,$B252,Clips!$I:$I,"&lt;5",Clips!$C:$C,"&lt;&gt;excluded")</f>
        <v>0</v>
      </c>
      <c r="AG252" s="5" t="s">
        <v>913</v>
      </c>
    </row>
    <row r="253" customFormat="false" ht="15" hidden="false" customHeight="false" outlineLevel="0" collapsed="false">
      <c r="A253" s="15" t="n">
        <v>250</v>
      </c>
      <c r="B253" s="15" t="s">
        <v>914</v>
      </c>
      <c r="C253" s="15"/>
      <c r="D253" s="15"/>
      <c r="E253" s="15" t="s">
        <v>911</v>
      </c>
      <c r="F253" s="15" t="s">
        <v>148</v>
      </c>
      <c r="G253" s="15" t="str">
        <f aca="false">IF(AND($E253="bird",$K253&gt;0),"yes","")</f>
        <v/>
      </c>
      <c r="H253" s="15"/>
      <c r="I253" s="15" t="str">
        <f aca="false">IF($E253="bird",IF(COUNTIF('eBird List'!$A:$A,$B253)&gt;0,"yes","no"),"")</f>
        <v/>
      </c>
      <c r="J253" s="16" t="str">
        <f aca="false">IF(COUNTIF('eBird List'!$A:$A,$B253)=0,"",INDEX('eBird List'!$C:$C,MATCH($B253,'eBird List'!$A:$A,0)))</f>
        <v/>
      </c>
      <c r="K253" s="15" t="n">
        <f aca="false">COUNTIFS(Clips!$B:$B,"site",Clips!$F:$F,$B253)+COUNTIFS(Clips!$B:$B,"site",Clips!$O:$O,"*"&amp;$B253&amp;"*")</f>
        <v>1</v>
      </c>
      <c r="L253" s="15" t="n">
        <f aca="false">COUNTIFS(Clips!$F:$F,$B253,Clips!$B:$B,"macaulay")</f>
        <v>11</v>
      </c>
      <c r="M253" s="15" t="n">
        <f aca="false">COUNTIFS(Clips!$F:$F,$B253,Clips!$B:$B,"xeno-canto")</f>
        <v>0</v>
      </c>
      <c r="N253" s="15" t="n">
        <f aca="false">K253+L253+M253</f>
        <v>12</v>
      </c>
      <c r="O253" s="15" t="n">
        <f aca="false">COUNTIFS(Clips!$F:$F,$B253,Clips!$C:$C,"excluded")</f>
        <v>0</v>
      </c>
      <c r="P253" s="15" t="n">
        <f aca="false">COUNTIFS(Clips!$F:$F,$B253,Clips!$C:$C,"train")</f>
        <v>7</v>
      </c>
      <c r="Q253" s="15" t="n">
        <f aca="false">COUNTIFS(Clips!$F:$F,$B253,Clips!$C:$C,"val")</f>
        <v>2</v>
      </c>
      <c r="R253" s="15" t="n">
        <f aca="false">COUNTIFS(Clips!$F:$F,$B253,Clips!$C:$C,"test")</f>
        <v>2</v>
      </c>
      <c r="S253" s="17" t="n">
        <f aca="false">SUMIFS(Clips!$I:$I,Clips!$F:$F,$B253,Clips!$C:$C,"train")/60</f>
        <v>23.6006666666667</v>
      </c>
      <c r="T253" s="17" t="n">
        <f aca="false">SUMIFS(Clips!$I:$I,Clips!$F:$F,$B253,Clips!$C:$C,"val")/60</f>
        <v>1.29855</v>
      </c>
      <c r="U253" s="17" t="n">
        <f aca="false">SUMIFS(Clips!$I:$I,Clips!$F:$F,$B253,Clips!$C:$C,"test")/60</f>
        <v>1.37108333333333</v>
      </c>
      <c r="V253" s="15" t="n">
        <f aca="false">SUMIFS(Clips!$J:$J,Clips!$F:$F,$B253,Clips!$C:$C,"train")</f>
        <v>244</v>
      </c>
      <c r="W253" s="18" t="n">
        <f aca="false">IF(V253=0,"",Splits!$B$49/(Splits!$B$50*V253))</f>
        <v>0.638628982369316</v>
      </c>
      <c r="X253" s="15" t="str">
        <f aca="false">IF(P253&gt;0,IF(AND(Q253&gt;0,R253&gt;0),"train + val + test",IF(R253&gt;0,"train + test","train only")),IF(R253&gt;0,"test only (unknown class)",IF(K253&gt;0,"site extract only","no usable audio")))</f>
        <v>train + val + test</v>
      </c>
      <c r="Y253" s="15" t="str">
        <f aca="false">IF($P253=0,"",IF($E253="nonbird",$B253,IF($G253="yes",$B253,"other bird")))</f>
        <v>nonbird:mammal</v>
      </c>
      <c r="Z253" s="15" t="str">
        <f aca="false">IF(AND($F253="core",$P253&gt;0),$B253,"")</f>
        <v>nonbird:mammal</v>
      </c>
      <c r="AA253" s="15" t="str">
        <f aca="false">IF($P253&gt;0,$B253,"")</f>
        <v>nonbird:mammal</v>
      </c>
      <c r="AB253" s="15" t="n">
        <v>9</v>
      </c>
      <c r="AC253" s="15" t="n">
        <v>4</v>
      </c>
      <c r="AD253" s="17" t="n">
        <f aca="false">IF(COUNTIFS(Clips!$F:$F,$B253,Clips!$M:$M,"&gt;0",Clips!$C:$C,"&lt;&gt;excluded")=0,"",AVERAGEIFS(Clips!$M:$M,Clips!$F:$F,$B253,Clips!$M:$M,"&gt;0",Clips!$C:$C,"&lt;&gt;excluded"))</f>
        <v>2.35555555555556</v>
      </c>
      <c r="AE253" s="15" t="n">
        <f aca="false">COUNTIFS(Clips!$F:$F,$B253,Clips!$O:$O,"&lt;&gt;",Clips!$B:$B,"&lt;&gt;site",Clips!$C:$C,"&lt;&gt;excluded")</f>
        <v>0</v>
      </c>
      <c r="AF253" s="15" t="n">
        <f aca="false">COUNTIFS(Clips!$F:$F,$B253,Clips!$I:$I,"&lt;5",Clips!$C:$C,"&lt;&gt;excluded")</f>
        <v>0</v>
      </c>
      <c r="AG253" s="5" t="s">
        <v>915</v>
      </c>
    </row>
    <row r="254" customFormat="false" ht="15" hidden="false" customHeight="false" outlineLevel="0" collapsed="false">
      <c r="A254" s="15" t="n">
        <v>249</v>
      </c>
      <c r="B254" s="15" t="s">
        <v>916</v>
      </c>
      <c r="C254" s="15"/>
      <c r="D254" s="15"/>
      <c r="E254" s="15" t="s">
        <v>911</v>
      </c>
      <c r="F254" s="15" t="s">
        <v>400</v>
      </c>
      <c r="G254" s="15" t="str">
        <f aca="false">IF(AND($E254="bird",$K254&gt;0),"yes","")</f>
        <v/>
      </c>
      <c r="H254" s="15"/>
      <c r="I254" s="15" t="str">
        <f aca="false">IF($E254="bird",IF(COUNTIF('eBird List'!$A:$A,$B254)&gt;0,"yes","no"),"")</f>
        <v/>
      </c>
      <c r="J254" s="16" t="str">
        <f aca="false">IF(COUNTIF('eBird List'!$A:$A,$B254)=0,"",INDEX('eBird List'!$C:$C,MATCH($B254,'eBird List'!$A:$A,0)))</f>
        <v/>
      </c>
      <c r="K254" s="15" t="n">
        <f aca="false">COUNTIFS(Clips!$B:$B,"site",Clips!$F:$F,$B254)+COUNTIFS(Clips!$B:$B,"site",Clips!$O:$O,"*"&amp;$B254&amp;"*")</f>
        <v>2</v>
      </c>
      <c r="L254" s="15" t="n">
        <f aca="false">COUNTIFS(Clips!$F:$F,$B254,Clips!$B:$B,"macaulay")</f>
        <v>6</v>
      </c>
      <c r="M254" s="15" t="n">
        <f aca="false">COUNTIFS(Clips!$F:$F,$B254,Clips!$B:$B,"xeno-canto")</f>
        <v>0</v>
      </c>
      <c r="N254" s="15" t="n">
        <f aca="false">K254+L254+M254</f>
        <v>8</v>
      </c>
      <c r="O254" s="15" t="n">
        <f aca="false">COUNTIFS(Clips!$F:$F,$B254,Clips!$C:$C,"excluded")</f>
        <v>0</v>
      </c>
      <c r="P254" s="15" t="n">
        <f aca="false">COUNTIFS(Clips!$F:$F,$B254,Clips!$C:$C,"train")</f>
        <v>5</v>
      </c>
      <c r="Q254" s="15" t="n">
        <f aca="false">COUNTIFS(Clips!$F:$F,$B254,Clips!$C:$C,"val")</f>
        <v>0</v>
      </c>
      <c r="R254" s="15" t="n">
        <f aca="false">COUNTIFS(Clips!$F:$F,$B254,Clips!$C:$C,"test")</f>
        <v>1</v>
      </c>
      <c r="S254" s="17" t="n">
        <f aca="false">SUMIFS(Clips!$I:$I,Clips!$F:$F,$B254,Clips!$C:$C,"train")/60</f>
        <v>16.2281166666667</v>
      </c>
      <c r="T254" s="17" t="n">
        <f aca="false">SUMIFS(Clips!$I:$I,Clips!$F:$F,$B254,Clips!$C:$C,"val")/60</f>
        <v>0</v>
      </c>
      <c r="U254" s="17" t="n">
        <f aca="false">SUMIFS(Clips!$I:$I,Clips!$F:$F,$B254,Clips!$C:$C,"test")/60</f>
        <v>1.80746666666667</v>
      </c>
      <c r="V254" s="15" t="n">
        <f aca="false">SUMIFS(Clips!$J:$J,Clips!$F:$F,$B254,Clips!$C:$C,"train")</f>
        <v>197</v>
      </c>
      <c r="W254" s="18" t="n">
        <f aca="false">IF(V254=0,"",Splits!$B$49/(Splits!$B$50*V254))</f>
        <v>0.790992242122402</v>
      </c>
      <c r="X254" s="15" t="str">
        <f aca="false">IF(P254&gt;0,IF(AND(Q254&gt;0,R254&gt;0),"train + val + test",IF(R254&gt;0,"train + test","train only")),IF(R254&gt;0,"test only (unknown class)",IF(K254&gt;0,"site extract only","no usable audio")))</f>
        <v>train + test</v>
      </c>
      <c r="Y254" s="15" t="str">
        <f aca="false">IF($P254=0,"",IF($E254="nonbird",$B254,IF($G254="yes",$B254,"other bird")))</f>
        <v>nonbird:insect</v>
      </c>
      <c r="Z254" s="15" t="str">
        <f aca="false">IF(AND($F254="core",$P254&gt;0),$B254,"")</f>
        <v/>
      </c>
      <c r="AA254" s="15" t="str">
        <f aca="false">IF($P254&gt;0,$B254,"")</f>
        <v>nonbird:insect</v>
      </c>
      <c r="AB254" s="15" t="n">
        <v>5</v>
      </c>
      <c r="AC254" s="15" t="n">
        <v>1</v>
      </c>
      <c r="AD254" s="17" t="n">
        <f aca="false">IF(COUNTIFS(Clips!$F:$F,$B254,Clips!$M:$M,"&gt;0",Clips!$C:$C,"&lt;&gt;excluded")=0,"",AVERAGEIFS(Clips!$M:$M,Clips!$F:$F,$B254,Clips!$M:$M,"&gt;0",Clips!$C:$C,"&lt;&gt;excluded"))</f>
        <v>3</v>
      </c>
      <c r="AE254" s="15" t="n">
        <f aca="false">COUNTIFS(Clips!$F:$F,$B254,Clips!$O:$O,"&lt;&gt;",Clips!$B:$B,"&lt;&gt;site",Clips!$C:$C,"&lt;&gt;excluded")</f>
        <v>0</v>
      </c>
      <c r="AF254" s="15" t="n">
        <f aca="false">COUNTIFS(Clips!$F:$F,$B254,Clips!$I:$I,"&lt;5",Clips!$C:$C,"&lt;&gt;excluded")</f>
        <v>0</v>
      </c>
      <c r="AG254" s="5" t="s">
        <v>917</v>
      </c>
    </row>
    <row r="255" customFormat="false" ht="23.85" hidden="false" customHeight="false" outlineLevel="0" collapsed="false">
      <c r="A255" s="15" t="n">
        <v>251</v>
      </c>
      <c r="B255" s="15" t="s">
        <v>918</v>
      </c>
      <c r="C255" s="15"/>
      <c r="D255" s="15"/>
      <c r="E255" s="15" t="s">
        <v>911</v>
      </c>
      <c r="F255" s="15" t="s">
        <v>400</v>
      </c>
      <c r="G255" s="15" t="str">
        <f aca="false">IF(AND($E255="bird",$K255&gt;0),"yes","")</f>
        <v/>
      </c>
      <c r="H255" s="15"/>
      <c r="I255" s="15" t="str">
        <f aca="false">IF($E255="bird",IF(COUNTIF('eBird List'!$A:$A,$B255)&gt;0,"yes","no"),"")</f>
        <v/>
      </c>
      <c r="J255" s="16" t="str">
        <f aca="false">IF(COUNTIF('eBird List'!$A:$A,$B255)=0,"",INDEX('eBird List'!$C:$C,MATCH($B255,'eBird List'!$A:$A,0)))</f>
        <v/>
      </c>
      <c r="K255" s="15" t="n">
        <f aca="false">COUNTIFS(Clips!$B:$B,"site",Clips!$F:$F,$B255)+COUNTIFS(Clips!$B:$B,"site",Clips!$O:$O,"*"&amp;$B255&amp;"*")</f>
        <v>0</v>
      </c>
      <c r="L255" s="15" t="n">
        <f aca="false">COUNTIFS(Clips!$F:$F,$B255,Clips!$B:$B,"macaulay")</f>
        <v>4</v>
      </c>
      <c r="M255" s="15" t="n">
        <f aca="false">COUNTIFS(Clips!$F:$F,$B255,Clips!$B:$B,"xeno-canto")</f>
        <v>0</v>
      </c>
      <c r="N255" s="15" t="n">
        <f aca="false">K255+L255+M255</f>
        <v>4</v>
      </c>
      <c r="O255" s="15" t="n">
        <f aca="false">COUNTIFS(Clips!$F:$F,$B255,Clips!$C:$C,"excluded")</f>
        <v>0</v>
      </c>
      <c r="P255" s="15" t="n">
        <f aca="false">COUNTIFS(Clips!$F:$F,$B255,Clips!$C:$C,"train")</f>
        <v>2</v>
      </c>
      <c r="Q255" s="15" t="n">
        <f aca="false">COUNTIFS(Clips!$F:$F,$B255,Clips!$C:$C,"val")</f>
        <v>0</v>
      </c>
      <c r="R255" s="15" t="n">
        <f aca="false">COUNTIFS(Clips!$F:$F,$B255,Clips!$C:$C,"test")</f>
        <v>2</v>
      </c>
      <c r="S255" s="17" t="n">
        <f aca="false">SUMIFS(Clips!$I:$I,Clips!$F:$F,$B255,Clips!$C:$C,"train")/60</f>
        <v>16.8035833333333</v>
      </c>
      <c r="T255" s="17" t="n">
        <f aca="false">SUMIFS(Clips!$I:$I,Clips!$F:$F,$B255,Clips!$C:$C,"val")/60</f>
        <v>0</v>
      </c>
      <c r="U255" s="17" t="n">
        <f aca="false">SUMIFS(Clips!$I:$I,Clips!$F:$F,$B255,Clips!$C:$C,"test")/60</f>
        <v>1.96781666666667</v>
      </c>
      <c r="V255" s="15" t="n">
        <f aca="false">SUMIFS(Clips!$J:$J,Clips!$F:$F,$B255,Clips!$C:$C,"train")</f>
        <v>199</v>
      </c>
      <c r="W255" s="18" t="n">
        <f aca="false">IF(V255=0,"",Splits!$B$49/(Splits!$B$50*V255))</f>
        <v>0.783042571347303</v>
      </c>
      <c r="X255" s="15" t="str">
        <f aca="false">IF(P255&gt;0,IF(AND(Q255&gt;0,R255&gt;0),"train + val + test",IF(R255&gt;0,"train + test","train only")),IF(R255&gt;0,"test only (unknown class)",IF(K255&gt;0,"site extract only","no usable audio")))</f>
        <v>train + test</v>
      </c>
      <c r="Y255" s="15" t="str">
        <f aca="false">IF($P255=0,"",IF($E255="nonbird",$B255,IF($G255="yes",$B255,"other bird")))</f>
        <v>nonbird:other</v>
      </c>
      <c r="Z255" s="15" t="str">
        <f aca="false">IF(AND($F255="core",$P255&gt;0),$B255,"")</f>
        <v/>
      </c>
      <c r="AA255" s="15" t="str">
        <f aca="false">IF($P255&gt;0,$B255,"")</f>
        <v>nonbird:other</v>
      </c>
      <c r="AB255" s="15" t="n">
        <v>2</v>
      </c>
      <c r="AC255" s="15" t="n">
        <v>1</v>
      </c>
      <c r="AD255" s="17" t="n">
        <f aca="false">IF(COUNTIFS(Clips!$F:$F,$B255,Clips!$M:$M,"&gt;0",Clips!$C:$C,"&lt;&gt;excluded")=0,"",AVERAGEIFS(Clips!$M:$M,Clips!$F:$F,$B255,Clips!$M:$M,"&gt;0",Clips!$C:$C,"&lt;&gt;excluded"))</f>
        <v>3</v>
      </c>
      <c r="AE255" s="15" t="n">
        <f aca="false">COUNTIFS(Clips!$F:$F,$B255,Clips!$O:$O,"&lt;&gt;",Clips!$B:$B,"&lt;&gt;site",Clips!$C:$C,"&lt;&gt;excluded")</f>
        <v>2</v>
      </c>
      <c r="AF255" s="15" t="n">
        <f aca="false">COUNTIFS(Clips!$F:$F,$B255,Clips!$I:$I,"&lt;5",Clips!$C:$C,"&lt;&gt;excluded")</f>
        <v>0</v>
      </c>
      <c r="AG255" s="5" t="s">
        <v>919</v>
      </c>
    </row>
    <row r="256" customFormat="false" ht="15" hidden="false" customHeight="false" outlineLevel="0" collapsed="false">
      <c r="A256" s="15" t="n">
        <v>252</v>
      </c>
      <c r="B256" s="15" t="s">
        <v>920</v>
      </c>
      <c r="C256" s="15"/>
      <c r="D256" s="15"/>
      <c r="E256" s="15" t="s">
        <v>911</v>
      </c>
      <c r="F256" s="15" t="s">
        <v>613</v>
      </c>
      <c r="G256" s="15" t="str">
        <f aca="false">IF(AND($E256="bird",$K256&gt;0),"yes","")</f>
        <v/>
      </c>
      <c r="H256" s="15"/>
      <c r="I256" s="15" t="str">
        <f aca="false">IF($E256="bird",IF(COUNTIF('eBird List'!$A:$A,$B256)&gt;0,"yes","no"),"")</f>
        <v/>
      </c>
      <c r="J256" s="16" t="str">
        <f aca="false">IF(COUNTIF('eBird List'!$A:$A,$B256)=0,"",INDEX('eBird List'!$C:$C,MATCH($B256,'eBird List'!$A:$A,0)))</f>
        <v/>
      </c>
      <c r="K256" s="15" t="n">
        <f aca="false">COUNTIFS(Clips!$B:$B,"site",Clips!$F:$F,$B256)+COUNTIFS(Clips!$B:$B,"site",Clips!$O:$O,"*"&amp;$B256&amp;"*")</f>
        <v>0</v>
      </c>
      <c r="L256" s="15" t="n">
        <f aca="false">COUNTIFS(Clips!$F:$F,$B256,Clips!$B:$B,"macaulay")</f>
        <v>1</v>
      </c>
      <c r="M256" s="15" t="n">
        <f aca="false">COUNTIFS(Clips!$F:$F,$B256,Clips!$B:$B,"xeno-canto")</f>
        <v>0</v>
      </c>
      <c r="N256" s="15" t="n">
        <f aca="false">K256+L256+M256</f>
        <v>1</v>
      </c>
      <c r="O256" s="15" t="n">
        <f aca="false">COUNTIFS(Clips!$F:$F,$B256,Clips!$C:$C,"excluded")</f>
        <v>0</v>
      </c>
      <c r="P256" s="15" t="n">
        <f aca="false">COUNTIFS(Clips!$F:$F,$B256,Clips!$C:$C,"train")</f>
        <v>0</v>
      </c>
      <c r="Q256" s="15" t="n">
        <f aca="false">COUNTIFS(Clips!$F:$F,$B256,Clips!$C:$C,"val")</f>
        <v>0</v>
      </c>
      <c r="R256" s="15" t="n">
        <f aca="false">COUNTIFS(Clips!$F:$F,$B256,Clips!$C:$C,"test")</f>
        <v>1</v>
      </c>
      <c r="S256" s="17" t="n">
        <f aca="false">SUMIFS(Clips!$I:$I,Clips!$F:$F,$B256,Clips!$C:$C,"train")/60</f>
        <v>0</v>
      </c>
      <c r="T256" s="17" t="n">
        <f aca="false">SUMIFS(Clips!$I:$I,Clips!$F:$F,$B256,Clips!$C:$C,"val")/60</f>
        <v>0</v>
      </c>
      <c r="U256" s="17" t="n">
        <f aca="false">SUMIFS(Clips!$I:$I,Clips!$F:$F,$B256,Clips!$C:$C,"test")/60</f>
        <v>0.22295</v>
      </c>
      <c r="V256" s="15" t="n">
        <f aca="false">SUMIFS(Clips!$J:$J,Clips!$F:$F,$B256,Clips!$C:$C,"train")</f>
        <v>0</v>
      </c>
      <c r="W256" s="18" t="str">
        <f aca="false">IF(V256=0,"",Splits!$B$49/(Splits!$B$50*V256))</f>
        <v/>
      </c>
      <c r="X256" s="15" t="str">
        <f aca="false">IF(P256&gt;0,IF(AND(Q256&gt;0,R256&gt;0),"train + val + test",IF(R256&gt;0,"train + test","train only")),IF(R256&gt;0,"test only (unknown class)",IF(K256&gt;0,"site extract only","no usable audio")))</f>
        <v>test only (unknown class)</v>
      </c>
      <c r="Y256" s="15" t="str">
        <f aca="false">IF($P256=0,"",IF($E256="nonbird",$B256,IF($G256="yes",$B256,"other bird")))</f>
        <v/>
      </c>
      <c r="Z256" s="15" t="str">
        <f aca="false">IF(AND($F256="core",$P256&gt;0),$B256,"")</f>
        <v/>
      </c>
      <c r="AA256" s="15" t="str">
        <f aca="false">IF($P256&gt;0,$B256,"")</f>
        <v/>
      </c>
      <c r="AB256" s="15" t="n">
        <v>1</v>
      </c>
      <c r="AC256" s="15" t="n">
        <v>1</v>
      </c>
      <c r="AD256" s="17" t="str">
        <f aca="false">IF(COUNTIFS(Clips!$F:$F,$B256,Clips!$M:$M,"&gt;0",Clips!$C:$C,"&lt;&gt;excluded")=0,"",AVERAGEIFS(Clips!$M:$M,Clips!$F:$F,$B256,Clips!$M:$M,"&gt;0",Clips!$C:$C,"&lt;&gt;excluded"))</f>
        <v/>
      </c>
      <c r="AE256" s="15" t="n">
        <f aca="false">COUNTIFS(Clips!$F:$F,$B256,Clips!$O:$O,"&lt;&gt;",Clips!$B:$B,"&lt;&gt;site",Clips!$C:$C,"&lt;&gt;excluded")</f>
        <v>0</v>
      </c>
      <c r="AF256" s="15" t="n">
        <f aca="false">COUNTIFS(Clips!$F:$F,$B256,Clips!$I:$I,"&lt;5",Clips!$C:$C,"&lt;&gt;excluded")</f>
        <v>0</v>
      </c>
      <c r="AG256" s="5"/>
    </row>
  </sheetData>
  <autoFilter ref="A1:AG256"/>
  <conditionalFormatting sqref="X2:X456">
    <cfRule type="cellIs" priority="2" operator="equal" aboveAverage="0" equalAverage="0" bottom="0" percent="0" rank="0" text="" dxfId="9">
      <formula>"test only (unknown class)"</formula>
    </cfRule>
    <cfRule type="cellIs" priority="3" operator="equal" aboveAverage="0" equalAverage="0" bottom="0" percent="0" rank="0" text="" dxfId="10">
      <formula>"site extract only"</formula>
    </cfRule>
    <cfRule type="cellIs" priority="4" operator="equal" aboveAverage="0" equalAverage="0" bottom="0" percent="0" rank="0" text="" dxfId="10">
      <formula>"no usable audio"</formula>
    </cfRule>
    <cfRule type="cellIs" priority="5" operator="equal" aboveAverage="0" equalAverage="0" bottom="0" percent="0" rank="0" text="" dxfId="11">
      <formula>"train + val + test"</formula>
    </cfRule>
  </conditionalFormatting>
  <conditionalFormatting sqref="G2:G456">
    <cfRule type="cellIs" priority="6" operator="equal" aboveAverage="0" equalAverage="0" bottom="0" percent="0" rank="0" text="" dxfId="12">
      <formula>"yes"</formula>
    </cfRule>
  </conditionalFormatting>
  <conditionalFormatting sqref="H2:H456">
    <cfRule type="cellIs" priority="7" operator="equal" aboveAverage="0" equalAverage="0" bottom="0" percent="0" rank="0" text="" dxfId="13">
      <formula>"yes"</formula>
    </cfRule>
  </conditionalFormatting>
  <conditionalFormatting sqref="Y2:Y456">
    <cfRule type="cellIs" priority="8" operator="equal" aboveAverage="0" equalAverage="0" bottom="0" percent="0" rank="0" text="" dxfId="14">
      <formula>"other bird"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4" min="13" style="0" width="10"/>
    <col collapsed="false" customWidth="true" hidden="false" outlineLevel="0" max="15" min="15" style="0" width="40"/>
    <col collapsed="false" customWidth="true" hidden="false" outlineLevel="0" max="17" min="16" style="0" width="22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46"/>
    <col collapsed="false" customWidth="true" hidden="false" outlineLevel="0" max="21" min="21" style="0" width="8"/>
    <col collapsed="false" customWidth="true" hidden="false" outlineLevel="0" max="22" min="22" style="0" width="50"/>
  </cols>
  <sheetData>
    <row r="1" customFormat="false" ht="21.75" hidden="false" customHeight="true" outlineLevel="0" collapsed="false">
      <c r="A1" s="14" t="s">
        <v>921</v>
      </c>
      <c r="B1" s="14" t="s">
        <v>922</v>
      </c>
      <c r="C1" s="14" t="s">
        <v>923</v>
      </c>
      <c r="D1" s="14" t="s">
        <v>924</v>
      </c>
      <c r="E1" s="14" t="s">
        <v>925</v>
      </c>
      <c r="F1" s="14" t="s">
        <v>926</v>
      </c>
      <c r="G1" s="14" t="s">
        <v>119</v>
      </c>
      <c r="H1" s="14" t="s">
        <v>927</v>
      </c>
      <c r="I1" s="14" t="s">
        <v>928</v>
      </c>
      <c r="J1" s="14" t="s">
        <v>929</v>
      </c>
      <c r="K1" s="14" t="s">
        <v>930</v>
      </c>
      <c r="L1" s="14" t="s">
        <v>931</v>
      </c>
      <c r="M1" s="14" t="s">
        <v>932</v>
      </c>
      <c r="N1" s="14" t="s">
        <v>933</v>
      </c>
      <c r="O1" s="14" t="s">
        <v>934</v>
      </c>
      <c r="P1" s="14" t="s">
        <v>935</v>
      </c>
      <c r="Q1" s="14" t="s">
        <v>936</v>
      </c>
      <c r="R1" s="14" t="s">
        <v>937</v>
      </c>
      <c r="S1" s="14" t="s">
        <v>938</v>
      </c>
      <c r="T1" s="14" t="s">
        <v>939</v>
      </c>
      <c r="U1" s="14" t="s">
        <v>940</v>
      </c>
      <c r="V1" s="14" t="s">
        <v>941</v>
      </c>
    </row>
    <row r="2" customFormat="false" ht="15" hidden="false" customHeight="false" outlineLevel="0" collapsed="false">
      <c r="A2" s="19" t="s">
        <v>942</v>
      </c>
      <c r="B2" s="19" t="s">
        <v>943</v>
      </c>
      <c r="C2" s="19" t="s">
        <v>944</v>
      </c>
      <c r="D2" s="19" t="s">
        <v>400</v>
      </c>
      <c r="E2" s="19" t="s">
        <v>147</v>
      </c>
      <c r="F2" s="19" t="s">
        <v>490</v>
      </c>
      <c r="G2" s="19" t="n">
        <v>0</v>
      </c>
      <c r="H2" s="19" t="s">
        <v>491</v>
      </c>
      <c r="I2" s="20" t="n">
        <v>8.731</v>
      </c>
      <c r="J2" s="19" t="n">
        <f aca="false">IF(I2="","",MIN(Overview!$B$8,MAX(1,CEILING(I2/Overview!$B$7,1))))</f>
        <v>2</v>
      </c>
      <c r="K2" s="19" t="n">
        <v>1</v>
      </c>
      <c r="L2" s="19"/>
      <c r="M2" s="20" t="n">
        <v>3</v>
      </c>
      <c r="N2" s="19"/>
      <c r="O2" s="19"/>
      <c r="P2" s="19" t="s">
        <v>945</v>
      </c>
      <c r="Q2" s="19" t="s">
        <v>946</v>
      </c>
      <c r="R2" s="21" t="n">
        <v>44676</v>
      </c>
      <c r="S2" s="19" t="s">
        <v>947</v>
      </c>
      <c r="T2" s="19" t="s">
        <v>948</v>
      </c>
      <c r="U2" s="19" t="str">
        <f aca="false">HYPERLINK("https://macaulaylibrary.org/asset/451633081","Open")</f>
        <v>Open</v>
      </c>
      <c r="V2" s="19"/>
    </row>
    <row r="3" customFormat="false" ht="15" hidden="false" customHeight="false" outlineLevel="0" collapsed="false">
      <c r="A3" s="19" t="s">
        <v>949</v>
      </c>
      <c r="B3" s="19" t="s">
        <v>943</v>
      </c>
      <c r="C3" s="19" t="s">
        <v>944</v>
      </c>
      <c r="D3" s="19" t="s">
        <v>400</v>
      </c>
      <c r="E3" s="19" t="s">
        <v>147</v>
      </c>
      <c r="F3" s="19" t="s">
        <v>490</v>
      </c>
      <c r="G3" s="19" t="n">
        <v>0</v>
      </c>
      <c r="H3" s="19" t="s">
        <v>491</v>
      </c>
      <c r="I3" s="20" t="n">
        <v>16.828</v>
      </c>
      <c r="J3" s="19" t="n">
        <f aca="false">IF(I3="","",MIN(Overview!$B$8,MAX(1,CEILING(I3/Overview!$B$7,1))))</f>
        <v>4</v>
      </c>
      <c r="K3" s="19" t="n">
        <v>1</v>
      </c>
      <c r="L3" s="19"/>
      <c r="M3" s="20" t="n">
        <v>3</v>
      </c>
      <c r="N3" s="19"/>
      <c r="O3" s="19"/>
      <c r="P3" s="19" t="s">
        <v>950</v>
      </c>
      <c r="Q3" s="19" t="s">
        <v>951</v>
      </c>
      <c r="R3" s="21" t="n">
        <v>45223</v>
      </c>
      <c r="S3" s="19" t="s">
        <v>952</v>
      </c>
      <c r="T3" s="19" t="s">
        <v>953</v>
      </c>
      <c r="U3" s="19" t="str">
        <f aca="false">HYPERLINK("https://macaulaylibrary.org/asset/610572704","Open")</f>
        <v>Open</v>
      </c>
      <c r="V3" s="19"/>
    </row>
    <row r="4" customFormat="false" ht="15" hidden="false" customHeight="false" outlineLevel="0" collapsed="false">
      <c r="A4" s="19" t="s">
        <v>954</v>
      </c>
      <c r="B4" s="19" t="s">
        <v>943</v>
      </c>
      <c r="C4" s="19" t="s">
        <v>944</v>
      </c>
      <c r="D4" s="19" t="s">
        <v>400</v>
      </c>
      <c r="E4" s="19" t="s">
        <v>147</v>
      </c>
      <c r="F4" s="19" t="s">
        <v>490</v>
      </c>
      <c r="G4" s="19" t="n">
        <v>0</v>
      </c>
      <c r="H4" s="19" t="s">
        <v>491</v>
      </c>
      <c r="I4" s="20" t="n">
        <v>27.68</v>
      </c>
      <c r="J4" s="19" t="n">
        <f aca="false">IF(I4="","",MIN(Overview!$B$8,MAX(1,CEILING(I4/Overview!$B$7,1))))</f>
        <v>6</v>
      </c>
      <c r="K4" s="19" t="n">
        <v>1</v>
      </c>
      <c r="L4" s="19"/>
      <c r="M4" s="20" t="n">
        <v>3</v>
      </c>
      <c r="N4" s="19"/>
      <c r="O4" s="19"/>
      <c r="P4" s="19" t="s">
        <v>955</v>
      </c>
      <c r="Q4" s="19" t="s">
        <v>956</v>
      </c>
      <c r="R4" s="21" t="n">
        <v>45303</v>
      </c>
      <c r="S4" s="19" t="s">
        <v>957</v>
      </c>
      <c r="T4" s="19" t="s">
        <v>958</v>
      </c>
      <c r="U4" s="19" t="str">
        <f aca="false">HYPERLINK("https://macaulaylibrary.org/asset/613449753","Open")</f>
        <v>Open</v>
      </c>
      <c r="V4" s="19"/>
    </row>
    <row r="5" customFormat="false" ht="15" hidden="false" customHeight="false" outlineLevel="0" collapsed="false">
      <c r="A5" s="19" t="s">
        <v>959</v>
      </c>
      <c r="B5" s="19" t="s">
        <v>943</v>
      </c>
      <c r="C5" s="19" t="s">
        <v>944</v>
      </c>
      <c r="D5" s="19" t="s">
        <v>400</v>
      </c>
      <c r="E5" s="19" t="s">
        <v>147</v>
      </c>
      <c r="F5" s="19" t="s">
        <v>490</v>
      </c>
      <c r="G5" s="19" t="n">
        <v>0</v>
      </c>
      <c r="H5" s="19" t="s">
        <v>491</v>
      </c>
      <c r="I5" s="20" t="n">
        <v>16.517</v>
      </c>
      <c r="J5" s="19" t="n">
        <f aca="false">IF(I5="","",MIN(Overview!$B$8,MAX(1,CEILING(I5/Overview!$B$7,1))))</f>
        <v>4</v>
      </c>
      <c r="K5" s="19" t="n">
        <v>1</v>
      </c>
      <c r="L5" s="19"/>
      <c r="M5" s="20" t="n">
        <v>3.5</v>
      </c>
      <c r="N5" s="19"/>
      <c r="O5" s="19"/>
      <c r="P5" s="19" t="s">
        <v>960</v>
      </c>
      <c r="Q5" s="19" t="s">
        <v>961</v>
      </c>
      <c r="R5" s="21" t="n">
        <v>45303</v>
      </c>
      <c r="S5" s="19" t="s">
        <v>957</v>
      </c>
      <c r="T5" s="19" t="s">
        <v>962</v>
      </c>
      <c r="U5" s="19" t="str">
        <f aca="false">HYPERLINK("https://macaulaylibrary.org/asset/616362035","Open")</f>
        <v>Open</v>
      </c>
      <c r="V5" s="19"/>
    </row>
    <row r="6" customFormat="false" ht="15" hidden="false" customHeight="false" outlineLevel="0" collapsed="false">
      <c r="A6" s="19" t="s">
        <v>963</v>
      </c>
      <c r="B6" s="19" t="s">
        <v>943</v>
      </c>
      <c r="C6" s="19" t="s">
        <v>944</v>
      </c>
      <c r="D6" s="19" t="s">
        <v>400</v>
      </c>
      <c r="E6" s="19" t="s">
        <v>147</v>
      </c>
      <c r="F6" s="19" t="s">
        <v>490</v>
      </c>
      <c r="G6" s="19" t="n">
        <v>0</v>
      </c>
      <c r="H6" s="19" t="s">
        <v>491</v>
      </c>
      <c r="I6" s="20" t="n">
        <v>25.12</v>
      </c>
      <c r="J6" s="19" t="n">
        <f aca="false">IF(I6="","",MIN(Overview!$B$8,MAX(1,CEILING(I6/Overview!$B$7,1))))</f>
        <v>6</v>
      </c>
      <c r="K6" s="19" t="n">
        <v>1</v>
      </c>
      <c r="L6" s="19"/>
      <c r="M6" s="20" t="n">
        <v>2</v>
      </c>
      <c r="N6" s="19"/>
      <c r="O6" s="19"/>
      <c r="P6" s="19" t="s">
        <v>964</v>
      </c>
      <c r="Q6" s="19" t="s">
        <v>965</v>
      </c>
      <c r="R6" s="21" t="n">
        <v>46011</v>
      </c>
      <c r="S6" s="19" t="s">
        <v>966</v>
      </c>
      <c r="T6" s="19" t="s">
        <v>967</v>
      </c>
      <c r="U6" s="19" t="str">
        <f aca="false">HYPERLINK("https://macaulaylibrary.org/asset/647391460","Open")</f>
        <v>Open</v>
      </c>
      <c r="V6" s="19"/>
    </row>
    <row r="7" customFormat="false" ht="15" hidden="false" customHeight="false" outlineLevel="0" collapsed="false">
      <c r="A7" s="19" t="s">
        <v>968</v>
      </c>
      <c r="B7" s="19" t="s">
        <v>943</v>
      </c>
      <c r="C7" s="19" t="s">
        <v>944</v>
      </c>
      <c r="D7" s="19" t="s">
        <v>400</v>
      </c>
      <c r="E7" s="19" t="s">
        <v>147</v>
      </c>
      <c r="F7" s="19" t="s">
        <v>490</v>
      </c>
      <c r="G7" s="19" t="n">
        <v>0</v>
      </c>
      <c r="H7" s="19" t="s">
        <v>491</v>
      </c>
      <c r="I7" s="20" t="n">
        <v>10.378</v>
      </c>
      <c r="J7" s="19" t="n">
        <f aca="false">IF(I7="","",MIN(Overview!$B$8,MAX(1,CEILING(I7/Overview!$B$7,1))))</f>
        <v>3</v>
      </c>
      <c r="K7" s="19" t="n">
        <v>1</v>
      </c>
      <c r="L7" s="19"/>
      <c r="M7" s="20" t="n">
        <v>4.5</v>
      </c>
      <c r="N7" s="19"/>
      <c r="O7" s="19"/>
      <c r="P7" s="19" t="s">
        <v>969</v>
      </c>
      <c r="Q7" s="19" t="s">
        <v>970</v>
      </c>
      <c r="R7" s="21" t="n">
        <v>46050</v>
      </c>
      <c r="S7" s="19" t="s">
        <v>971</v>
      </c>
      <c r="T7" s="19" t="s">
        <v>972</v>
      </c>
      <c r="U7" s="19" t="str">
        <f aca="false">HYPERLINK("https://macaulaylibrary.org/asset/650033264","Open")</f>
        <v>Open</v>
      </c>
      <c r="V7" s="19"/>
    </row>
    <row r="8" customFormat="false" ht="15" hidden="false" customHeight="false" outlineLevel="0" collapsed="false">
      <c r="A8" s="19" t="s">
        <v>973</v>
      </c>
      <c r="B8" s="19" t="s">
        <v>943</v>
      </c>
      <c r="C8" s="19" t="s">
        <v>944</v>
      </c>
      <c r="D8" s="19" t="s">
        <v>400</v>
      </c>
      <c r="E8" s="19" t="s">
        <v>147</v>
      </c>
      <c r="F8" s="19" t="s">
        <v>397</v>
      </c>
      <c r="G8" s="19" t="n">
        <v>3</v>
      </c>
      <c r="H8" s="19" t="s">
        <v>398</v>
      </c>
      <c r="I8" s="20" t="n">
        <v>57.392</v>
      </c>
      <c r="J8" s="19" t="n">
        <f aca="false">IF(I8="","",MIN(Overview!$B$8,MAX(1,CEILING(I8/Overview!$B$7,1))))</f>
        <v>12</v>
      </c>
      <c r="K8" s="19" t="n">
        <v>1</v>
      </c>
      <c r="L8" s="19"/>
      <c r="M8" s="20" t="n">
        <v>3.5</v>
      </c>
      <c r="N8" s="19"/>
      <c r="O8" s="19"/>
      <c r="P8" s="19" t="s">
        <v>974</v>
      </c>
      <c r="Q8" s="19" t="s">
        <v>975</v>
      </c>
      <c r="R8" s="21" t="n">
        <v>43666</v>
      </c>
      <c r="S8" s="19" t="s">
        <v>976</v>
      </c>
      <c r="T8" s="19" t="s">
        <v>977</v>
      </c>
      <c r="U8" s="19" t="str">
        <f aca="false">HYPERLINK("https://macaulaylibrary.org/asset/179453331","Open")</f>
        <v>Open</v>
      </c>
      <c r="V8" s="19"/>
    </row>
    <row r="9" customFormat="false" ht="15" hidden="false" customHeight="false" outlineLevel="0" collapsed="false">
      <c r="A9" s="19" t="s">
        <v>978</v>
      </c>
      <c r="B9" s="19" t="s">
        <v>943</v>
      </c>
      <c r="C9" s="19" t="s">
        <v>944</v>
      </c>
      <c r="D9" s="19" t="s">
        <v>400</v>
      </c>
      <c r="E9" s="19" t="s">
        <v>147</v>
      </c>
      <c r="F9" s="19" t="s">
        <v>397</v>
      </c>
      <c r="G9" s="19" t="n">
        <v>3</v>
      </c>
      <c r="H9" s="19" t="s">
        <v>398</v>
      </c>
      <c r="I9" s="20" t="n">
        <v>126.379</v>
      </c>
      <c r="J9" s="19" t="n">
        <f aca="false">IF(I9="","",MIN(Overview!$B$8,MAX(1,CEILING(I9/Overview!$B$7,1))))</f>
        <v>26</v>
      </c>
      <c r="K9" s="19" t="n">
        <v>1</v>
      </c>
      <c r="L9" s="19"/>
      <c r="M9" s="20" t="n">
        <v>3</v>
      </c>
      <c r="N9" s="19"/>
      <c r="O9" s="19"/>
      <c r="P9" s="19" t="s">
        <v>979</v>
      </c>
      <c r="Q9" s="19" t="s">
        <v>980</v>
      </c>
      <c r="R9" s="21" t="n">
        <v>34122</v>
      </c>
      <c r="S9" s="19" t="s">
        <v>981</v>
      </c>
      <c r="T9" s="19" t="s">
        <v>982</v>
      </c>
      <c r="U9" s="19" t="str">
        <f aca="false">HYPERLINK("https://macaulaylibrary.org/asset/209453","Open")</f>
        <v>Open</v>
      </c>
      <c r="V9" s="19" t="s">
        <v>983</v>
      </c>
    </row>
    <row r="10" customFormat="false" ht="15" hidden="false" customHeight="false" outlineLevel="0" collapsed="false">
      <c r="A10" s="19" t="s">
        <v>984</v>
      </c>
      <c r="B10" s="19" t="s">
        <v>943</v>
      </c>
      <c r="C10" s="19" t="s">
        <v>944</v>
      </c>
      <c r="D10" s="19" t="s">
        <v>400</v>
      </c>
      <c r="E10" s="19" t="s">
        <v>147</v>
      </c>
      <c r="F10" s="19" t="s">
        <v>397</v>
      </c>
      <c r="G10" s="19" t="n">
        <v>3</v>
      </c>
      <c r="H10" s="19" t="s">
        <v>398</v>
      </c>
      <c r="I10" s="20" t="n">
        <v>33.6</v>
      </c>
      <c r="J10" s="19" t="n">
        <f aca="false">IF(I10="","",MIN(Overview!$B$8,MAX(1,CEILING(I10/Overview!$B$7,1))))</f>
        <v>7</v>
      </c>
      <c r="K10" s="19" t="n">
        <v>1</v>
      </c>
      <c r="L10" s="19"/>
      <c r="M10" s="20"/>
      <c r="N10" s="19"/>
      <c r="O10" s="19"/>
      <c r="P10" s="19" t="s">
        <v>985</v>
      </c>
      <c r="Q10" s="19" t="s">
        <v>965</v>
      </c>
      <c r="R10" s="21" t="n">
        <v>44549</v>
      </c>
      <c r="S10" s="19" t="s">
        <v>986</v>
      </c>
      <c r="T10" s="19" t="s">
        <v>987</v>
      </c>
      <c r="U10" s="19" t="str">
        <f aca="false">HYPERLINK("https://macaulaylibrary.org/asset/398721531","Open")</f>
        <v>Open</v>
      </c>
      <c r="V10" s="19"/>
    </row>
    <row r="11" customFormat="false" ht="15" hidden="false" customHeight="false" outlineLevel="0" collapsed="false">
      <c r="A11" s="19" t="s">
        <v>988</v>
      </c>
      <c r="B11" s="19" t="s">
        <v>943</v>
      </c>
      <c r="C11" s="19" t="s">
        <v>944</v>
      </c>
      <c r="D11" s="19" t="s">
        <v>400</v>
      </c>
      <c r="E11" s="19" t="s">
        <v>147</v>
      </c>
      <c r="F11" s="19" t="s">
        <v>397</v>
      </c>
      <c r="G11" s="19" t="n">
        <v>3</v>
      </c>
      <c r="H11" s="19" t="s">
        <v>398</v>
      </c>
      <c r="I11" s="20" t="n">
        <v>35.851</v>
      </c>
      <c r="J11" s="19" t="n">
        <f aca="false">IF(I11="","",MIN(Overview!$B$8,MAX(1,CEILING(I11/Overview!$B$7,1))))</f>
        <v>8</v>
      </c>
      <c r="K11" s="19" t="n">
        <v>1</v>
      </c>
      <c r="L11" s="19"/>
      <c r="M11" s="20" t="n">
        <v>5</v>
      </c>
      <c r="N11" s="19"/>
      <c r="O11" s="19" t="s">
        <v>550</v>
      </c>
      <c r="P11" s="19" t="s">
        <v>989</v>
      </c>
      <c r="Q11" s="19" t="s">
        <v>990</v>
      </c>
      <c r="R11" s="21" t="n">
        <v>44549</v>
      </c>
      <c r="S11" s="19" t="s">
        <v>991</v>
      </c>
      <c r="T11" s="19" t="s">
        <v>992</v>
      </c>
      <c r="U11" s="19" t="str">
        <f aca="false">HYPERLINK("https://macaulaylibrary.org/asset/400115311","Open")</f>
        <v>Open</v>
      </c>
      <c r="V11" s="19"/>
    </row>
    <row r="12" customFormat="false" ht="15" hidden="false" customHeight="false" outlineLevel="0" collapsed="false">
      <c r="A12" s="19" t="s">
        <v>993</v>
      </c>
      <c r="B12" s="19" t="s">
        <v>943</v>
      </c>
      <c r="C12" s="19" t="s">
        <v>944</v>
      </c>
      <c r="D12" s="19" t="s">
        <v>400</v>
      </c>
      <c r="E12" s="19" t="s">
        <v>147</v>
      </c>
      <c r="F12" s="19" t="s">
        <v>397</v>
      </c>
      <c r="G12" s="19" t="n">
        <v>3</v>
      </c>
      <c r="H12" s="19" t="s">
        <v>398</v>
      </c>
      <c r="I12" s="20" t="n">
        <v>15.062</v>
      </c>
      <c r="J12" s="19" t="n">
        <f aca="false">IF(I12="","",MIN(Overview!$B$8,MAX(1,CEILING(I12/Overview!$B$7,1))))</f>
        <v>4</v>
      </c>
      <c r="K12" s="19" t="n">
        <v>1</v>
      </c>
      <c r="L12" s="19"/>
      <c r="M12" s="20" t="n">
        <v>5</v>
      </c>
      <c r="N12" s="19"/>
      <c r="O12" s="19"/>
      <c r="P12" s="19" t="s">
        <v>989</v>
      </c>
      <c r="Q12" s="19" t="s">
        <v>990</v>
      </c>
      <c r="R12" s="21" t="n">
        <v>44549</v>
      </c>
      <c r="S12" s="19" t="s">
        <v>991</v>
      </c>
      <c r="T12" s="19" t="s">
        <v>994</v>
      </c>
      <c r="U12" s="19" t="str">
        <f aca="false">HYPERLINK("https://macaulaylibrary.org/asset/400116341","Open")</f>
        <v>Open</v>
      </c>
      <c r="V12" s="19"/>
    </row>
    <row r="13" customFormat="false" ht="15" hidden="false" customHeight="false" outlineLevel="0" collapsed="false">
      <c r="A13" s="19" t="s">
        <v>995</v>
      </c>
      <c r="B13" s="19" t="s">
        <v>943</v>
      </c>
      <c r="C13" s="19" t="s">
        <v>944</v>
      </c>
      <c r="D13" s="19" t="s">
        <v>400</v>
      </c>
      <c r="E13" s="19" t="s">
        <v>147</v>
      </c>
      <c r="F13" s="19" t="s">
        <v>397</v>
      </c>
      <c r="G13" s="19" t="n">
        <v>3</v>
      </c>
      <c r="H13" s="19" t="s">
        <v>398</v>
      </c>
      <c r="I13" s="20" t="n">
        <v>122.287</v>
      </c>
      <c r="J13" s="19" t="n">
        <f aca="false">IF(I13="","",MIN(Overview!$B$8,MAX(1,CEILING(I13/Overview!$B$7,1))))</f>
        <v>25</v>
      </c>
      <c r="K13" s="19" t="n">
        <v>1</v>
      </c>
      <c r="L13" s="19"/>
      <c r="M13" s="20" t="n">
        <v>3</v>
      </c>
      <c r="N13" s="19"/>
      <c r="O13" s="19" t="s">
        <v>289</v>
      </c>
      <c r="P13" s="19" t="s">
        <v>996</v>
      </c>
      <c r="Q13" s="19" t="s">
        <v>997</v>
      </c>
      <c r="R13" s="21" t="n">
        <v>45708</v>
      </c>
      <c r="S13" s="19" t="s">
        <v>998</v>
      </c>
      <c r="T13" s="19" t="s">
        <v>999</v>
      </c>
      <c r="U13" s="19" t="str">
        <f aca="false">HYPERLINK("https://macaulaylibrary.org/asset/631029332","Open")</f>
        <v>Open</v>
      </c>
      <c r="V13" s="19"/>
    </row>
    <row r="14" customFormat="false" ht="15" hidden="false" customHeight="false" outlineLevel="0" collapsed="false">
      <c r="A14" s="19" t="s">
        <v>1000</v>
      </c>
      <c r="B14" s="19" t="s">
        <v>943</v>
      </c>
      <c r="C14" s="19" t="s">
        <v>944</v>
      </c>
      <c r="D14" s="19" t="s">
        <v>400</v>
      </c>
      <c r="E14" s="19" t="s">
        <v>147</v>
      </c>
      <c r="F14" s="19" t="s">
        <v>397</v>
      </c>
      <c r="G14" s="19" t="n">
        <v>3</v>
      </c>
      <c r="H14" s="19" t="s">
        <v>398</v>
      </c>
      <c r="I14" s="20" t="n">
        <v>121.917</v>
      </c>
      <c r="J14" s="19" t="n">
        <f aca="false">IF(I14="","",MIN(Overview!$B$8,MAX(1,CEILING(I14/Overview!$B$7,1))))</f>
        <v>25</v>
      </c>
      <c r="K14" s="19" t="n">
        <v>1</v>
      </c>
      <c r="L14" s="19"/>
      <c r="M14" s="20" t="n">
        <v>2</v>
      </c>
      <c r="N14" s="19"/>
      <c r="O14" s="19"/>
      <c r="P14" s="19" t="s">
        <v>1001</v>
      </c>
      <c r="Q14" s="19" t="s">
        <v>980</v>
      </c>
      <c r="R14" s="21" t="n">
        <v>33299</v>
      </c>
      <c r="S14" s="19" t="s">
        <v>1002</v>
      </c>
      <c r="T14" s="19" t="s">
        <v>1003</v>
      </c>
      <c r="U14" s="19" t="str">
        <f aca="false">HYPERLINK("https://macaulaylibrary.org/asset/72650","Open")</f>
        <v>Open</v>
      </c>
      <c r="V14" s="19" t="s">
        <v>983</v>
      </c>
    </row>
    <row r="15" customFormat="false" ht="15" hidden="false" customHeight="false" outlineLevel="0" collapsed="false">
      <c r="A15" s="19" t="s">
        <v>1004</v>
      </c>
      <c r="B15" s="19" t="s">
        <v>1005</v>
      </c>
      <c r="C15" s="19" t="s">
        <v>944</v>
      </c>
      <c r="D15" s="19" t="s">
        <v>647</v>
      </c>
      <c r="E15" s="19" t="s">
        <v>147</v>
      </c>
      <c r="F15" s="19" t="s">
        <v>397</v>
      </c>
      <c r="G15" s="19" t="n">
        <v>3</v>
      </c>
      <c r="H15" s="19" t="s">
        <v>398</v>
      </c>
      <c r="I15" s="20" t="n">
        <v>31.44</v>
      </c>
      <c r="J15" s="19" t="n">
        <f aca="false">IF(I15="","",MIN(Overview!$B$8,MAX(1,CEILING(I15/Overview!$B$7,1))))</f>
        <v>7</v>
      </c>
      <c r="K15" s="19" t="n">
        <v>1</v>
      </c>
      <c r="L15" s="19"/>
      <c r="M15" s="20"/>
      <c r="N15" s="19" t="s">
        <v>1006</v>
      </c>
      <c r="O15" s="19"/>
      <c r="P15" s="19" t="s">
        <v>1007</v>
      </c>
      <c r="Q15" s="19" t="s">
        <v>1008</v>
      </c>
      <c r="R15" s="21" t="n">
        <v>42577</v>
      </c>
      <c r="S15" s="19" t="s">
        <v>1009</v>
      </c>
      <c r="T15" s="19" t="s">
        <v>1010</v>
      </c>
      <c r="U15" s="19" t="str">
        <f aca="false">HYPERLINK("https://xeno-canto.org/331385","Open")</f>
        <v>Open</v>
      </c>
      <c r="V15" s="19" t="s">
        <v>1011</v>
      </c>
    </row>
    <row r="16" customFormat="false" ht="15" hidden="false" customHeight="false" outlineLevel="0" collapsed="false">
      <c r="A16" s="19" t="s">
        <v>1012</v>
      </c>
      <c r="B16" s="19" t="s">
        <v>1005</v>
      </c>
      <c r="C16" s="19" t="s">
        <v>944</v>
      </c>
      <c r="D16" s="19" t="s">
        <v>647</v>
      </c>
      <c r="E16" s="19" t="s">
        <v>147</v>
      </c>
      <c r="F16" s="19" t="s">
        <v>397</v>
      </c>
      <c r="G16" s="19" t="n">
        <v>3</v>
      </c>
      <c r="H16" s="19" t="s">
        <v>398</v>
      </c>
      <c r="I16" s="20" t="n">
        <v>6</v>
      </c>
      <c r="J16" s="19" t="n">
        <f aca="false">IF(I16="","",MIN(Overview!$B$8,MAX(1,CEILING(I16/Overview!$B$7,1))))</f>
        <v>2</v>
      </c>
      <c r="K16" s="19" t="n">
        <v>1</v>
      </c>
      <c r="L16" s="19"/>
      <c r="M16" s="20"/>
      <c r="N16" s="19" t="s">
        <v>1006</v>
      </c>
      <c r="O16" s="19"/>
      <c r="P16" s="19" t="s">
        <v>1007</v>
      </c>
      <c r="Q16" s="19" t="s">
        <v>1008</v>
      </c>
      <c r="R16" s="21" t="n">
        <v>42577</v>
      </c>
      <c r="S16" s="19" t="s">
        <v>1013</v>
      </c>
      <c r="T16" s="19" t="s">
        <v>1014</v>
      </c>
      <c r="U16" s="19" t="str">
        <f aca="false">HYPERLINK("https://xeno-canto.org/331386","Open")</f>
        <v>Open</v>
      </c>
      <c r="V16" s="19" t="s">
        <v>1011</v>
      </c>
    </row>
    <row r="17" customFormat="false" ht="15" hidden="false" customHeight="false" outlineLevel="0" collapsed="false">
      <c r="A17" s="19" t="s">
        <v>1015</v>
      </c>
      <c r="B17" s="19" t="s">
        <v>1005</v>
      </c>
      <c r="C17" s="19" t="s">
        <v>944</v>
      </c>
      <c r="D17" s="19" t="s">
        <v>647</v>
      </c>
      <c r="E17" s="19" t="s">
        <v>147</v>
      </c>
      <c r="F17" s="19" t="s">
        <v>397</v>
      </c>
      <c r="G17" s="19" t="n">
        <v>3</v>
      </c>
      <c r="H17" s="19" t="s">
        <v>398</v>
      </c>
      <c r="I17" s="20" t="n">
        <v>9</v>
      </c>
      <c r="J17" s="19" t="n">
        <f aca="false">IF(I17="","",MIN(Overview!$B$8,MAX(1,CEILING(I17/Overview!$B$7,1))))</f>
        <v>2</v>
      </c>
      <c r="K17" s="19" t="n">
        <v>1</v>
      </c>
      <c r="L17" s="19"/>
      <c r="M17" s="20"/>
      <c r="N17" s="19" t="s">
        <v>1006</v>
      </c>
      <c r="O17" s="19"/>
      <c r="P17" s="19" t="s">
        <v>1016</v>
      </c>
      <c r="Q17" s="19" t="s">
        <v>1008</v>
      </c>
      <c r="R17" s="21" t="n">
        <v>42578</v>
      </c>
      <c r="S17" s="19" t="s">
        <v>1017</v>
      </c>
      <c r="T17" s="19" t="s">
        <v>1018</v>
      </c>
      <c r="U17" s="19" t="str">
        <f aca="false">HYPERLINK("https://xeno-canto.org/331387","Open")</f>
        <v>Open</v>
      </c>
      <c r="V17" s="19" t="s">
        <v>1011</v>
      </c>
    </row>
    <row r="18" customFormat="false" ht="15" hidden="false" customHeight="false" outlineLevel="0" collapsed="false">
      <c r="A18" s="19" t="s">
        <v>1019</v>
      </c>
      <c r="B18" s="19" t="s">
        <v>943</v>
      </c>
      <c r="C18" s="19" t="s">
        <v>944</v>
      </c>
      <c r="D18" s="19" t="s">
        <v>148</v>
      </c>
      <c r="E18" s="19" t="s">
        <v>147</v>
      </c>
      <c r="F18" s="19" t="s">
        <v>370</v>
      </c>
      <c r="G18" s="19" t="n">
        <v>4</v>
      </c>
      <c r="H18" s="19" t="s">
        <v>371</v>
      </c>
      <c r="I18" s="20" t="n">
        <v>96.442</v>
      </c>
      <c r="J18" s="19" t="n">
        <f aca="false">IF(I18="","",MIN(Overview!$B$8,MAX(1,CEILING(I18/Overview!$B$7,1))))</f>
        <v>20</v>
      </c>
      <c r="K18" s="19" t="n">
        <v>1</v>
      </c>
      <c r="L18" s="19"/>
      <c r="M18" s="20" t="n">
        <v>3</v>
      </c>
      <c r="N18" s="19"/>
      <c r="O18" s="19"/>
      <c r="P18" s="19" t="s">
        <v>1020</v>
      </c>
      <c r="Q18" s="19" t="s">
        <v>1021</v>
      </c>
      <c r="R18" s="21" t="n">
        <v>35863</v>
      </c>
      <c r="S18" s="19" t="s">
        <v>1022</v>
      </c>
      <c r="T18" s="19" t="s">
        <v>1023</v>
      </c>
      <c r="U18" s="19" t="str">
        <f aca="false">HYPERLINK("https://macaulaylibrary.org/asset/101754181","Open")</f>
        <v>Open</v>
      </c>
      <c r="V18" s="19"/>
    </row>
    <row r="19" customFormat="false" ht="15" hidden="false" customHeight="false" outlineLevel="0" collapsed="false">
      <c r="A19" s="19" t="s">
        <v>1024</v>
      </c>
      <c r="B19" s="19" t="s">
        <v>943</v>
      </c>
      <c r="C19" s="19" t="s">
        <v>944</v>
      </c>
      <c r="D19" s="19" t="s">
        <v>148</v>
      </c>
      <c r="E19" s="19" t="s">
        <v>147</v>
      </c>
      <c r="F19" s="19" t="s">
        <v>370</v>
      </c>
      <c r="G19" s="19" t="n">
        <v>4</v>
      </c>
      <c r="H19" s="19" t="s">
        <v>371</v>
      </c>
      <c r="I19" s="20" t="n">
        <v>8.128</v>
      </c>
      <c r="J19" s="19" t="n">
        <f aca="false">IF(I19="","",MIN(Overview!$B$8,MAX(1,CEILING(I19/Overview!$B$7,1))))</f>
        <v>2</v>
      </c>
      <c r="K19" s="19" t="n">
        <v>1</v>
      </c>
      <c r="L19" s="19"/>
      <c r="M19" s="20" t="n">
        <v>3</v>
      </c>
      <c r="N19" s="19"/>
      <c r="O19" s="19"/>
      <c r="P19" s="19" t="s">
        <v>1025</v>
      </c>
      <c r="Q19" s="19" t="s">
        <v>965</v>
      </c>
      <c r="R19" s="21" t="n">
        <v>43450</v>
      </c>
      <c r="S19" s="19" t="s">
        <v>1026</v>
      </c>
      <c r="T19" s="19" t="s">
        <v>1027</v>
      </c>
      <c r="U19" s="19" t="str">
        <f aca="false">HYPERLINK("https://macaulaylibrary.org/asset/129902741","Open")</f>
        <v>Open</v>
      </c>
      <c r="V19" s="19"/>
    </row>
    <row r="20" customFormat="false" ht="15" hidden="false" customHeight="false" outlineLevel="0" collapsed="false">
      <c r="A20" s="19" t="s">
        <v>1028</v>
      </c>
      <c r="B20" s="19" t="s">
        <v>943</v>
      </c>
      <c r="C20" s="19" t="s">
        <v>944</v>
      </c>
      <c r="D20" s="19" t="s">
        <v>148</v>
      </c>
      <c r="E20" s="19" t="s">
        <v>147</v>
      </c>
      <c r="F20" s="19" t="s">
        <v>370</v>
      </c>
      <c r="G20" s="19" t="n">
        <v>4</v>
      </c>
      <c r="H20" s="19" t="s">
        <v>371</v>
      </c>
      <c r="I20" s="20" t="n">
        <v>12.029</v>
      </c>
      <c r="J20" s="19" t="n">
        <f aca="false">IF(I20="","",MIN(Overview!$B$8,MAX(1,CEILING(I20/Overview!$B$7,1))))</f>
        <v>3</v>
      </c>
      <c r="K20" s="19" t="n">
        <v>1</v>
      </c>
      <c r="L20" s="19"/>
      <c r="M20" s="20" t="n">
        <v>4</v>
      </c>
      <c r="N20" s="19"/>
      <c r="O20" s="19"/>
      <c r="P20" s="19" t="s">
        <v>1029</v>
      </c>
      <c r="Q20" s="19" t="s">
        <v>1030</v>
      </c>
      <c r="R20" s="21" t="n">
        <v>40251</v>
      </c>
      <c r="S20" s="19" t="s">
        <v>1031</v>
      </c>
      <c r="T20" s="19" t="s">
        <v>1032</v>
      </c>
      <c r="U20" s="19" t="str">
        <f aca="false">HYPERLINK("https://macaulaylibrary.org/asset/299658","Open")</f>
        <v>Open</v>
      </c>
      <c r="V20" s="19"/>
    </row>
    <row r="21" customFormat="false" ht="15" hidden="false" customHeight="false" outlineLevel="0" collapsed="false">
      <c r="A21" s="19" t="s">
        <v>1033</v>
      </c>
      <c r="B21" s="19" t="s">
        <v>943</v>
      </c>
      <c r="C21" s="19" t="s">
        <v>944</v>
      </c>
      <c r="D21" s="19" t="s">
        <v>148</v>
      </c>
      <c r="E21" s="19" t="s">
        <v>147</v>
      </c>
      <c r="F21" s="19" t="s">
        <v>370</v>
      </c>
      <c r="G21" s="19" t="n">
        <v>4</v>
      </c>
      <c r="H21" s="19" t="s">
        <v>371</v>
      </c>
      <c r="I21" s="20" t="n">
        <v>44.513</v>
      </c>
      <c r="J21" s="19" t="n">
        <f aca="false">IF(I21="","",MIN(Overview!$B$8,MAX(1,CEILING(I21/Overview!$B$7,1))))</f>
        <v>9</v>
      </c>
      <c r="K21" s="19" t="n">
        <v>1</v>
      </c>
      <c r="L21" s="19"/>
      <c r="M21" s="20"/>
      <c r="N21" s="19"/>
      <c r="O21" s="19"/>
      <c r="P21" s="19" t="s">
        <v>1034</v>
      </c>
      <c r="Q21" s="19" t="s">
        <v>1035</v>
      </c>
      <c r="R21" s="21" t="n">
        <v>43665</v>
      </c>
      <c r="S21" s="19" t="s">
        <v>1036</v>
      </c>
      <c r="T21" s="19" t="s">
        <v>1037</v>
      </c>
      <c r="U21" s="19" t="str">
        <f aca="false">HYPERLINK("https://macaulaylibrary.org/asset/498004891","Open")</f>
        <v>Open</v>
      </c>
      <c r="V21" s="19"/>
    </row>
    <row r="22" customFormat="false" ht="15" hidden="false" customHeight="false" outlineLevel="0" collapsed="false">
      <c r="A22" s="19" t="s">
        <v>1038</v>
      </c>
      <c r="B22" s="19" t="s">
        <v>943</v>
      </c>
      <c r="C22" s="19" t="s">
        <v>944</v>
      </c>
      <c r="D22" s="19" t="s">
        <v>148</v>
      </c>
      <c r="E22" s="19" t="s">
        <v>147</v>
      </c>
      <c r="F22" s="19" t="s">
        <v>370</v>
      </c>
      <c r="G22" s="19" t="n">
        <v>4</v>
      </c>
      <c r="H22" s="19" t="s">
        <v>371</v>
      </c>
      <c r="I22" s="20" t="n">
        <v>12.55</v>
      </c>
      <c r="J22" s="19" t="n">
        <f aca="false">IF(I22="","",MIN(Overview!$B$8,MAX(1,CEILING(I22/Overview!$B$7,1))))</f>
        <v>3</v>
      </c>
      <c r="K22" s="19" t="n">
        <v>1</v>
      </c>
      <c r="L22" s="19"/>
      <c r="M22" s="20"/>
      <c r="N22" s="19"/>
      <c r="O22" s="19"/>
      <c r="P22" s="19" t="s">
        <v>1039</v>
      </c>
      <c r="Q22" s="19" t="s">
        <v>1040</v>
      </c>
      <c r="R22" s="21" t="n">
        <v>40901</v>
      </c>
      <c r="S22" s="19" t="s">
        <v>1002</v>
      </c>
      <c r="T22" s="19" t="s">
        <v>1041</v>
      </c>
      <c r="U22" s="19" t="str">
        <f aca="false">HYPERLINK("https://macaulaylibrary.org/asset/609056498","Open")</f>
        <v>Open</v>
      </c>
      <c r="V22" s="19"/>
    </row>
    <row r="23" customFormat="false" ht="15" hidden="false" customHeight="false" outlineLevel="0" collapsed="false">
      <c r="A23" s="19" t="s">
        <v>1042</v>
      </c>
      <c r="B23" s="19" t="s">
        <v>943</v>
      </c>
      <c r="C23" s="19" t="s">
        <v>944</v>
      </c>
      <c r="D23" s="19" t="s">
        <v>148</v>
      </c>
      <c r="E23" s="19" t="s">
        <v>147</v>
      </c>
      <c r="F23" s="19" t="s">
        <v>370</v>
      </c>
      <c r="G23" s="19" t="n">
        <v>4</v>
      </c>
      <c r="H23" s="19" t="s">
        <v>371</v>
      </c>
      <c r="I23" s="20" t="n">
        <v>9.084</v>
      </c>
      <c r="J23" s="19" t="n">
        <f aca="false">IF(I23="","",MIN(Overview!$B$8,MAX(1,CEILING(I23/Overview!$B$7,1))))</f>
        <v>2</v>
      </c>
      <c r="K23" s="19" t="n">
        <v>1</v>
      </c>
      <c r="L23" s="19"/>
      <c r="M23" s="20"/>
      <c r="N23" s="19"/>
      <c r="O23" s="19"/>
      <c r="P23" s="19" t="s">
        <v>1039</v>
      </c>
      <c r="Q23" s="19" t="s">
        <v>1040</v>
      </c>
      <c r="R23" s="21" t="n">
        <v>40901</v>
      </c>
      <c r="S23" s="19" t="s">
        <v>1002</v>
      </c>
      <c r="T23" s="19" t="s">
        <v>1043</v>
      </c>
      <c r="U23" s="19" t="str">
        <f aca="false">HYPERLINK("https://macaulaylibrary.org/asset/609056507","Open")</f>
        <v>Open</v>
      </c>
      <c r="V23" s="19"/>
    </row>
    <row r="24" customFormat="false" ht="15" hidden="false" customHeight="false" outlineLevel="0" collapsed="false">
      <c r="A24" s="19" t="s">
        <v>1044</v>
      </c>
      <c r="B24" s="19" t="s">
        <v>943</v>
      </c>
      <c r="C24" s="19" t="s">
        <v>944</v>
      </c>
      <c r="D24" s="19" t="s">
        <v>148</v>
      </c>
      <c r="E24" s="19" t="s">
        <v>147</v>
      </c>
      <c r="F24" s="19" t="s">
        <v>370</v>
      </c>
      <c r="G24" s="19" t="n">
        <v>4</v>
      </c>
      <c r="H24" s="19" t="s">
        <v>371</v>
      </c>
      <c r="I24" s="20" t="n">
        <v>10.772</v>
      </c>
      <c r="J24" s="19" t="n">
        <f aca="false">IF(I24="","",MIN(Overview!$B$8,MAX(1,CEILING(I24/Overview!$B$7,1))))</f>
        <v>3</v>
      </c>
      <c r="K24" s="19" t="n">
        <v>1</v>
      </c>
      <c r="L24" s="19"/>
      <c r="M24" s="20"/>
      <c r="N24" s="19"/>
      <c r="O24" s="19"/>
      <c r="P24" s="19" t="s">
        <v>1045</v>
      </c>
      <c r="Q24" s="19" t="s">
        <v>1040</v>
      </c>
      <c r="R24" s="21" t="n">
        <v>40903</v>
      </c>
      <c r="S24" s="19" t="s">
        <v>1002</v>
      </c>
      <c r="T24" s="19" t="s">
        <v>1046</v>
      </c>
      <c r="U24" s="19" t="str">
        <f aca="false">HYPERLINK("https://macaulaylibrary.org/asset/609056531","Open")</f>
        <v>Open</v>
      </c>
      <c r="V24" s="19"/>
    </row>
    <row r="25" customFormat="false" ht="15" hidden="false" customHeight="false" outlineLevel="0" collapsed="false">
      <c r="A25" s="19" t="s">
        <v>1047</v>
      </c>
      <c r="B25" s="19" t="s">
        <v>943</v>
      </c>
      <c r="C25" s="19" t="s">
        <v>944</v>
      </c>
      <c r="D25" s="19" t="s">
        <v>148</v>
      </c>
      <c r="E25" s="19" t="s">
        <v>147</v>
      </c>
      <c r="F25" s="19" t="s">
        <v>370</v>
      </c>
      <c r="G25" s="19" t="n">
        <v>4</v>
      </c>
      <c r="H25" s="19" t="s">
        <v>371</v>
      </c>
      <c r="I25" s="20" t="n">
        <v>3.237</v>
      </c>
      <c r="J25" s="19" t="n">
        <f aca="false">IF(I25="","",MIN(Overview!$B$8,MAX(1,CEILING(I25/Overview!$B$7,1))))</f>
        <v>1</v>
      </c>
      <c r="K25" s="19" t="n">
        <v>1</v>
      </c>
      <c r="L25" s="19" t="s">
        <v>1048</v>
      </c>
      <c r="M25" s="20" t="n">
        <v>3</v>
      </c>
      <c r="N25" s="19"/>
      <c r="O25" s="19"/>
      <c r="P25" s="19" t="s">
        <v>1049</v>
      </c>
      <c r="Q25" s="19" t="s">
        <v>1050</v>
      </c>
      <c r="R25" s="21" t="n">
        <v>43406</v>
      </c>
      <c r="S25" s="19" t="s">
        <v>1051</v>
      </c>
      <c r="T25" s="19" t="s">
        <v>1052</v>
      </c>
      <c r="U25" s="19" t="str">
        <f aca="false">HYPERLINK("https://macaulaylibrary.org/asset/662832601","Open")</f>
        <v>Open</v>
      </c>
      <c r="V25" s="19"/>
    </row>
    <row r="26" customFormat="false" ht="15" hidden="false" customHeight="false" outlineLevel="0" collapsed="false">
      <c r="A26" s="19" t="s">
        <v>1053</v>
      </c>
      <c r="B26" s="19" t="s">
        <v>943</v>
      </c>
      <c r="C26" s="19" t="s">
        <v>944</v>
      </c>
      <c r="D26" s="19" t="s">
        <v>400</v>
      </c>
      <c r="E26" s="19" t="s">
        <v>147</v>
      </c>
      <c r="F26" s="19" t="s">
        <v>514</v>
      </c>
      <c r="G26" s="19" t="n">
        <v>5</v>
      </c>
      <c r="H26" s="19" t="s">
        <v>515</v>
      </c>
      <c r="I26" s="20" t="n">
        <v>40.15</v>
      </c>
      <c r="J26" s="19" t="n">
        <f aca="false">IF(I26="","",MIN(Overview!$B$8,MAX(1,CEILING(I26/Overview!$B$7,1))))</f>
        <v>9</v>
      </c>
      <c r="K26" s="19" t="n">
        <v>1</v>
      </c>
      <c r="L26" s="19"/>
      <c r="M26" s="20" t="n">
        <v>3</v>
      </c>
      <c r="N26" s="19"/>
      <c r="O26" s="19"/>
      <c r="P26" s="19" t="s">
        <v>1054</v>
      </c>
      <c r="Q26" s="19" t="s">
        <v>1055</v>
      </c>
      <c r="R26" s="21" t="n">
        <v>40218</v>
      </c>
      <c r="S26" s="19" t="s">
        <v>1002</v>
      </c>
      <c r="T26" s="19" t="s">
        <v>1056</v>
      </c>
      <c r="U26" s="19" t="str">
        <f aca="false">HYPERLINK("https://macaulaylibrary.org/asset/203939461","Open")</f>
        <v>Open</v>
      </c>
      <c r="V26" s="19"/>
    </row>
    <row r="27" customFormat="false" ht="15" hidden="false" customHeight="false" outlineLevel="0" collapsed="false">
      <c r="A27" s="19" t="s">
        <v>1057</v>
      </c>
      <c r="B27" s="19" t="s">
        <v>943</v>
      </c>
      <c r="C27" s="19" t="s">
        <v>944</v>
      </c>
      <c r="D27" s="19" t="s">
        <v>400</v>
      </c>
      <c r="E27" s="19" t="s">
        <v>147</v>
      </c>
      <c r="F27" s="19" t="s">
        <v>514</v>
      </c>
      <c r="G27" s="19" t="n">
        <v>5</v>
      </c>
      <c r="H27" s="19" t="s">
        <v>515</v>
      </c>
      <c r="I27" s="20" t="n">
        <v>260.862</v>
      </c>
      <c r="J27" s="19" t="n">
        <f aca="false">IF(I27="","",MIN(Overview!$B$8,MAX(1,CEILING(I27/Overview!$B$7,1))))</f>
        <v>53</v>
      </c>
      <c r="K27" s="19" t="n">
        <v>1</v>
      </c>
      <c r="L27" s="19"/>
      <c r="M27" s="20" t="n">
        <v>2</v>
      </c>
      <c r="N27" s="19"/>
      <c r="O27" s="19"/>
      <c r="P27" s="19" t="s">
        <v>1058</v>
      </c>
      <c r="Q27" s="19" t="s">
        <v>980</v>
      </c>
      <c r="R27" s="21" t="n">
        <v>32555</v>
      </c>
      <c r="S27" s="19" t="s">
        <v>1059</v>
      </c>
      <c r="T27" s="19" t="s">
        <v>1060</v>
      </c>
      <c r="U27" s="19" t="str">
        <f aca="false">HYPERLINK("https://macaulaylibrary.org/asset/215350","Open")</f>
        <v>Open</v>
      </c>
      <c r="V27" s="19"/>
    </row>
    <row r="28" customFormat="false" ht="15" hidden="false" customHeight="false" outlineLevel="0" collapsed="false">
      <c r="A28" s="19" t="s">
        <v>1061</v>
      </c>
      <c r="B28" s="19" t="s">
        <v>943</v>
      </c>
      <c r="C28" s="19" t="s">
        <v>944</v>
      </c>
      <c r="D28" s="19" t="s">
        <v>400</v>
      </c>
      <c r="E28" s="19" t="s">
        <v>147</v>
      </c>
      <c r="F28" s="19" t="s">
        <v>514</v>
      </c>
      <c r="G28" s="19" t="n">
        <v>5</v>
      </c>
      <c r="H28" s="19" t="s">
        <v>515</v>
      </c>
      <c r="I28" s="20" t="n">
        <v>14.558</v>
      </c>
      <c r="J28" s="19" t="n">
        <f aca="false">IF(I28="","",MIN(Overview!$B$8,MAX(1,CEILING(I28/Overview!$B$7,1))))</f>
        <v>3</v>
      </c>
      <c r="K28" s="19" t="n">
        <v>1</v>
      </c>
      <c r="L28" s="19"/>
      <c r="M28" s="20" t="n">
        <v>3</v>
      </c>
      <c r="N28" s="19"/>
      <c r="O28" s="19"/>
      <c r="P28" s="19" t="s">
        <v>1062</v>
      </c>
      <c r="Q28" s="19" t="s">
        <v>1063</v>
      </c>
      <c r="R28" s="21" t="n">
        <v>44086</v>
      </c>
      <c r="S28" s="19" t="s">
        <v>1064</v>
      </c>
      <c r="T28" s="19" t="s">
        <v>1065</v>
      </c>
      <c r="U28" s="19" t="str">
        <f aca="false">HYPERLINK("https://macaulaylibrary.org/asset/266211851","Open")</f>
        <v>Open</v>
      </c>
      <c r="V28" s="19"/>
    </row>
    <row r="29" customFormat="false" ht="15" hidden="false" customHeight="false" outlineLevel="0" collapsed="false">
      <c r="A29" s="19" t="s">
        <v>1066</v>
      </c>
      <c r="B29" s="19" t="s">
        <v>943</v>
      </c>
      <c r="C29" s="19" t="s">
        <v>944</v>
      </c>
      <c r="D29" s="19" t="s">
        <v>400</v>
      </c>
      <c r="E29" s="19" t="s">
        <v>147</v>
      </c>
      <c r="F29" s="19" t="s">
        <v>514</v>
      </c>
      <c r="G29" s="19" t="n">
        <v>5</v>
      </c>
      <c r="H29" s="19" t="s">
        <v>515</v>
      </c>
      <c r="I29" s="20" t="n">
        <v>8.448</v>
      </c>
      <c r="J29" s="19" t="n">
        <f aca="false">IF(I29="","",MIN(Overview!$B$8,MAX(1,CEILING(I29/Overview!$B$7,1))))</f>
        <v>2</v>
      </c>
      <c r="K29" s="19" t="n">
        <v>1</v>
      </c>
      <c r="L29" s="19"/>
      <c r="M29" s="20" t="n">
        <v>2</v>
      </c>
      <c r="N29" s="19"/>
      <c r="O29" s="19"/>
      <c r="P29" s="19" t="s">
        <v>1067</v>
      </c>
      <c r="Q29" s="19" t="s">
        <v>965</v>
      </c>
      <c r="R29" s="21" t="n">
        <v>44185</v>
      </c>
      <c r="S29" s="19" t="s">
        <v>1022</v>
      </c>
      <c r="T29" s="19" t="s">
        <v>1068</v>
      </c>
      <c r="U29" s="19" t="str">
        <f aca="false">HYPERLINK("https://macaulaylibrary.org/asset/289833511","Open")</f>
        <v>Open</v>
      </c>
      <c r="V29" s="19"/>
    </row>
    <row r="30" customFormat="false" ht="15" hidden="false" customHeight="false" outlineLevel="0" collapsed="false">
      <c r="A30" s="19" t="s">
        <v>1069</v>
      </c>
      <c r="B30" s="19" t="s">
        <v>943</v>
      </c>
      <c r="C30" s="19" t="s">
        <v>944</v>
      </c>
      <c r="D30" s="19" t="s">
        <v>400</v>
      </c>
      <c r="E30" s="19" t="s">
        <v>147</v>
      </c>
      <c r="F30" s="19" t="s">
        <v>514</v>
      </c>
      <c r="G30" s="19" t="n">
        <v>5</v>
      </c>
      <c r="H30" s="19" t="s">
        <v>515</v>
      </c>
      <c r="I30" s="20" t="n">
        <v>518.277</v>
      </c>
      <c r="J30" s="19" t="n">
        <f aca="false">IF(I30="","",MIN(Overview!$B$8,MAX(1,CEILING(I30/Overview!$B$7,1))))</f>
        <v>104</v>
      </c>
      <c r="K30" s="19" t="n">
        <v>1</v>
      </c>
      <c r="L30" s="19"/>
      <c r="M30" s="20" t="n">
        <v>2</v>
      </c>
      <c r="N30" s="19"/>
      <c r="O30" s="19"/>
      <c r="P30" s="19" t="s">
        <v>1070</v>
      </c>
      <c r="Q30" s="19" t="s">
        <v>1071</v>
      </c>
      <c r="R30" s="21" t="n">
        <v>32944</v>
      </c>
      <c r="S30" s="19" t="s">
        <v>1072</v>
      </c>
      <c r="T30" s="19" t="s">
        <v>1073</v>
      </c>
      <c r="U30" s="19" t="str">
        <f aca="false">HYPERLINK("https://macaulaylibrary.org/asset/51736","Open")</f>
        <v>Open</v>
      </c>
      <c r="V30" s="19"/>
    </row>
    <row r="31" customFormat="false" ht="15" hidden="false" customHeight="false" outlineLevel="0" collapsed="false">
      <c r="A31" s="19" t="s">
        <v>1074</v>
      </c>
      <c r="B31" s="19" t="s">
        <v>943</v>
      </c>
      <c r="C31" s="19" t="s">
        <v>944</v>
      </c>
      <c r="D31" s="19" t="s">
        <v>400</v>
      </c>
      <c r="E31" s="19" t="s">
        <v>147</v>
      </c>
      <c r="F31" s="19" t="s">
        <v>698</v>
      </c>
      <c r="G31" s="19" t="n">
        <v>6</v>
      </c>
      <c r="H31" s="19" t="s">
        <v>699</v>
      </c>
      <c r="I31" s="20" t="n">
        <v>81.75</v>
      </c>
      <c r="J31" s="19" t="n">
        <f aca="false">IF(I31="","",MIN(Overview!$B$8,MAX(1,CEILING(I31/Overview!$B$7,1))))</f>
        <v>17</v>
      </c>
      <c r="K31" s="19" t="n">
        <v>1</v>
      </c>
      <c r="L31" s="19"/>
      <c r="M31" s="20" t="n">
        <v>3.4</v>
      </c>
      <c r="N31" s="19"/>
      <c r="O31" s="19"/>
      <c r="P31" s="19" t="s">
        <v>1075</v>
      </c>
      <c r="Q31" s="19" t="s">
        <v>1076</v>
      </c>
      <c r="R31" s="21" t="n">
        <v>43398</v>
      </c>
      <c r="S31" s="19" t="s">
        <v>1077</v>
      </c>
      <c r="T31" s="19" t="s">
        <v>1078</v>
      </c>
      <c r="U31" s="19" t="str">
        <f aca="false">HYPERLINK("https://macaulaylibrary.org/asset/470892901","Open")</f>
        <v>Open</v>
      </c>
      <c r="V31" s="19"/>
    </row>
    <row r="32" customFormat="false" ht="15" hidden="false" customHeight="false" outlineLevel="0" collapsed="false">
      <c r="A32" s="19" t="s">
        <v>1079</v>
      </c>
      <c r="B32" s="19" t="s">
        <v>943</v>
      </c>
      <c r="C32" s="19" t="s">
        <v>944</v>
      </c>
      <c r="D32" s="19" t="s">
        <v>400</v>
      </c>
      <c r="E32" s="19" t="s">
        <v>147</v>
      </c>
      <c r="F32" s="19" t="s">
        <v>547</v>
      </c>
      <c r="G32" s="19" t="n">
        <v>7</v>
      </c>
      <c r="H32" s="19" t="s">
        <v>548</v>
      </c>
      <c r="I32" s="20" t="n">
        <v>58.66</v>
      </c>
      <c r="J32" s="19" t="n">
        <f aca="false">IF(I32="","",MIN(Overview!$B$8,MAX(1,CEILING(I32/Overview!$B$7,1))))</f>
        <v>12</v>
      </c>
      <c r="K32" s="19" t="n">
        <v>1</v>
      </c>
      <c r="L32" s="19"/>
      <c r="M32" s="20" t="n">
        <v>4.5</v>
      </c>
      <c r="N32" s="19"/>
      <c r="O32" s="19"/>
      <c r="P32" s="19" t="s">
        <v>1080</v>
      </c>
      <c r="Q32" s="19" t="s">
        <v>1021</v>
      </c>
      <c r="R32" s="21" t="n">
        <v>36602</v>
      </c>
      <c r="S32" s="19" t="s">
        <v>1081</v>
      </c>
      <c r="T32" s="19" t="s">
        <v>1082</v>
      </c>
      <c r="U32" s="19" t="str">
        <f aca="false">HYPERLINK("https://macaulaylibrary.org/asset/154654951","Open")</f>
        <v>Open</v>
      </c>
      <c r="V32" s="19"/>
    </row>
    <row r="33" customFormat="false" ht="15" hidden="false" customHeight="false" outlineLevel="0" collapsed="false">
      <c r="A33" s="19" t="s">
        <v>1083</v>
      </c>
      <c r="B33" s="19" t="s">
        <v>943</v>
      </c>
      <c r="C33" s="19" t="s">
        <v>944</v>
      </c>
      <c r="D33" s="19" t="s">
        <v>400</v>
      </c>
      <c r="E33" s="19" t="s">
        <v>147</v>
      </c>
      <c r="F33" s="19" t="s">
        <v>547</v>
      </c>
      <c r="G33" s="19" t="n">
        <v>7</v>
      </c>
      <c r="H33" s="19" t="s">
        <v>548</v>
      </c>
      <c r="I33" s="20" t="n">
        <v>36.191</v>
      </c>
      <c r="J33" s="19" t="n">
        <f aca="false">IF(I33="","",MIN(Overview!$B$8,MAX(1,CEILING(I33/Overview!$B$7,1))))</f>
        <v>8</v>
      </c>
      <c r="K33" s="19" t="n">
        <v>1</v>
      </c>
      <c r="L33" s="19"/>
      <c r="M33" s="20"/>
      <c r="N33" s="19"/>
      <c r="O33" s="19" t="s">
        <v>1084</v>
      </c>
      <c r="P33" s="19" t="s">
        <v>1085</v>
      </c>
      <c r="Q33" s="19" t="s">
        <v>1086</v>
      </c>
      <c r="R33" s="21" t="n">
        <v>45298</v>
      </c>
      <c r="S33" s="19" t="s">
        <v>1087</v>
      </c>
      <c r="T33" s="19" t="s">
        <v>1088</v>
      </c>
      <c r="U33" s="19" t="str">
        <f aca="false">HYPERLINK("https://macaulaylibrary.org/asset/614027533","Open")</f>
        <v>Open</v>
      </c>
      <c r="V33" s="19"/>
    </row>
    <row r="34" customFormat="false" ht="15" hidden="false" customHeight="false" outlineLevel="0" collapsed="false">
      <c r="A34" s="19" t="s">
        <v>1089</v>
      </c>
      <c r="B34" s="19" t="s">
        <v>943</v>
      </c>
      <c r="C34" s="19" t="s">
        <v>944</v>
      </c>
      <c r="D34" s="19" t="s">
        <v>400</v>
      </c>
      <c r="E34" s="19" t="s">
        <v>147</v>
      </c>
      <c r="F34" s="19" t="s">
        <v>547</v>
      </c>
      <c r="G34" s="19" t="n">
        <v>7</v>
      </c>
      <c r="H34" s="19" t="s">
        <v>548</v>
      </c>
      <c r="I34" s="20" t="n">
        <v>35.177</v>
      </c>
      <c r="J34" s="19" t="n">
        <f aca="false">IF(I34="","",MIN(Overview!$B$8,MAX(1,CEILING(I34/Overview!$B$7,1))))</f>
        <v>8</v>
      </c>
      <c r="K34" s="19" t="n">
        <v>1</v>
      </c>
      <c r="L34" s="19"/>
      <c r="M34" s="20" t="n">
        <v>2</v>
      </c>
      <c r="N34" s="19"/>
      <c r="O34" s="19"/>
      <c r="P34" s="19" t="s">
        <v>1090</v>
      </c>
      <c r="Q34" s="19" t="s">
        <v>1091</v>
      </c>
      <c r="R34" s="21" t="n">
        <v>45845</v>
      </c>
      <c r="S34" s="19" t="s">
        <v>1092</v>
      </c>
      <c r="T34" s="19" t="s">
        <v>1093</v>
      </c>
      <c r="U34" s="19" t="str">
        <f aca="false">HYPERLINK("https://macaulaylibrary.org/asset/639176250","Open")</f>
        <v>Open</v>
      </c>
      <c r="V34" s="19"/>
    </row>
    <row r="35" customFormat="false" ht="15" hidden="false" customHeight="false" outlineLevel="0" collapsed="false">
      <c r="A35" s="19" t="s">
        <v>1094</v>
      </c>
      <c r="B35" s="19" t="s">
        <v>943</v>
      </c>
      <c r="C35" s="19" t="s">
        <v>944</v>
      </c>
      <c r="D35" s="19" t="s">
        <v>400</v>
      </c>
      <c r="E35" s="19" t="s">
        <v>147</v>
      </c>
      <c r="F35" s="19" t="s">
        <v>547</v>
      </c>
      <c r="G35" s="19" t="n">
        <v>7</v>
      </c>
      <c r="H35" s="19" t="s">
        <v>548</v>
      </c>
      <c r="I35" s="20" t="n">
        <v>64.991</v>
      </c>
      <c r="J35" s="19" t="n">
        <f aca="false">IF(I35="","",MIN(Overview!$B$8,MAX(1,CEILING(I35/Overview!$B$7,1))))</f>
        <v>13</v>
      </c>
      <c r="K35" s="19" t="n">
        <v>1</v>
      </c>
      <c r="L35" s="19"/>
      <c r="M35" s="20"/>
      <c r="N35" s="19"/>
      <c r="O35" s="19"/>
      <c r="P35" s="19" t="s">
        <v>1090</v>
      </c>
      <c r="Q35" s="19" t="s">
        <v>1091</v>
      </c>
      <c r="R35" s="21" t="n">
        <v>45845</v>
      </c>
      <c r="S35" s="19" t="s">
        <v>1092</v>
      </c>
      <c r="T35" s="19" t="s">
        <v>1095</v>
      </c>
      <c r="U35" s="19" t="str">
        <f aca="false">HYPERLINK("https://macaulaylibrary.org/asset/643526738","Open")</f>
        <v>Open</v>
      </c>
      <c r="V35" s="19"/>
    </row>
    <row r="36" customFormat="false" ht="15" hidden="false" customHeight="false" outlineLevel="0" collapsed="false">
      <c r="A36" s="19" t="s">
        <v>1096</v>
      </c>
      <c r="B36" s="19" t="s">
        <v>943</v>
      </c>
      <c r="C36" s="19" t="s">
        <v>944</v>
      </c>
      <c r="D36" s="19" t="s">
        <v>400</v>
      </c>
      <c r="E36" s="19" t="s">
        <v>147</v>
      </c>
      <c r="F36" s="19" t="s">
        <v>701</v>
      </c>
      <c r="G36" s="19" t="n">
        <v>8</v>
      </c>
      <c r="H36" s="19" t="s">
        <v>702</v>
      </c>
      <c r="I36" s="20" t="n">
        <v>834.531</v>
      </c>
      <c r="J36" s="19" t="n">
        <f aca="false">IF(I36="","",MIN(Overview!$B$8,MAX(1,CEILING(I36/Overview!$B$7,1))))</f>
        <v>120</v>
      </c>
      <c r="K36" s="19" t="n">
        <v>1</v>
      </c>
      <c r="L36" s="19"/>
      <c r="M36" s="20" t="n">
        <v>3</v>
      </c>
      <c r="N36" s="19"/>
      <c r="O36" s="19"/>
      <c r="P36" s="19" t="s">
        <v>1097</v>
      </c>
      <c r="Q36" s="19" t="s">
        <v>980</v>
      </c>
      <c r="R36" s="21" t="n">
        <v>32553</v>
      </c>
      <c r="S36" s="19" t="s">
        <v>1098</v>
      </c>
      <c r="T36" s="19" t="s">
        <v>1099</v>
      </c>
      <c r="U36" s="19" t="str">
        <f aca="false">HYPERLINK("https://macaulaylibrary.org/asset/215326","Open")</f>
        <v>Open</v>
      </c>
      <c r="V36" s="19"/>
    </row>
    <row r="37" customFormat="false" ht="15" hidden="false" customHeight="false" outlineLevel="0" collapsed="false">
      <c r="A37" s="19" t="s">
        <v>1100</v>
      </c>
      <c r="B37" s="19" t="s">
        <v>943</v>
      </c>
      <c r="C37" s="19" t="s">
        <v>944</v>
      </c>
      <c r="D37" s="19" t="s">
        <v>400</v>
      </c>
      <c r="E37" s="19" t="s">
        <v>147</v>
      </c>
      <c r="F37" s="19" t="s">
        <v>704</v>
      </c>
      <c r="G37" s="19" t="n">
        <v>9</v>
      </c>
      <c r="H37" s="19" t="s">
        <v>705</v>
      </c>
      <c r="I37" s="20" t="n">
        <v>38.619</v>
      </c>
      <c r="J37" s="19" t="n">
        <f aca="false">IF(I37="","",MIN(Overview!$B$8,MAX(1,CEILING(I37/Overview!$B$7,1))))</f>
        <v>8</v>
      </c>
      <c r="K37" s="19" t="n">
        <v>1</v>
      </c>
      <c r="L37" s="19"/>
      <c r="M37" s="20" t="n">
        <v>2</v>
      </c>
      <c r="N37" s="19"/>
      <c r="O37" s="19"/>
      <c r="P37" s="19" t="s">
        <v>1101</v>
      </c>
      <c r="Q37" s="19" t="s">
        <v>980</v>
      </c>
      <c r="R37" s="21" t="n">
        <v>33289</v>
      </c>
      <c r="S37" s="19" t="s">
        <v>1102</v>
      </c>
      <c r="T37" s="19" t="s">
        <v>1103</v>
      </c>
      <c r="U37" s="19" t="str">
        <f aca="false">HYPERLINK("https://macaulaylibrary.org/asset/57463","Open")</f>
        <v>Open</v>
      </c>
      <c r="V37" s="19"/>
    </row>
    <row r="38" customFormat="false" ht="15" hidden="false" customHeight="false" outlineLevel="0" collapsed="false">
      <c r="A38" s="19" t="s">
        <v>1104</v>
      </c>
      <c r="B38" s="19" t="s">
        <v>943</v>
      </c>
      <c r="C38" s="19" t="s">
        <v>944</v>
      </c>
      <c r="D38" s="19" t="s">
        <v>148</v>
      </c>
      <c r="E38" s="19" t="s">
        <v>147</v>
      </c>
      <c r="F38" s="19" t="s">
        <v>172</v>
      </c>
      <c r="G38" s="19" t="n">
        <v>10</v>
      </c>
      <c r="H38" s="19" t="s">
        <v>173</v>
      </c>
      <c r="I38" s="20" t="n">
        <v>91.073</v>
      </c>
      <c r="J38" s="19" t="n">
        <f aca="false">IF(I38="","",MIN(Overview!$B$8,MAX(1,CEILING(I38/Overview!$B$7,1))))</f>
        <v>19</v>
      </c>
      <c r="K38" s="19" t="n">
        <v>1</v>
      </c>
      <c r="L38" s="19"/>
      <c r="M38" s="20" t="n">
        <v>4</v>
      </c>
      <c r="N38" s="19"/>
      <c r="O38" s="19"/>
      <c r="P38" s="19" t="s">
        <v>1105</v>
      </c>
      <c r="Q38" s="19" t="s">
        <v>1021</v>
      </c>
      <c r="R38" s="21" t="n">
        <v>36597</v>
      </c>
      <c r="S38" s="19" t="s">
        <v>1106</v>
      </c>
      <c r="T38" s="19" t="s">
        <v>1107</v>
      </c>
      <c r="U38" s="19" t="str">
        <f aca="false">HYPERLINK("https://macaulaylibrary.org/asset/147242611","Open")</f>
        <v>Open</v>
      </c>
      <c r="V38" s="19"/>
    </row>
    <row r="39" customFormat="false" ht="15" hidden="false" customHeight="false" outlineLevel="0" collapsed="false">
      <c r="A39" s="19" t="s">
        <v>1108</v>
      </c>
      <c r="B39" s="19" t="s">
        <v>943</v>
      </c>
      <c r="C39" s="19" t="s">
        <v>944</v>
      </c>
      <c r="D39" s="19" t="s">
        <v>148</v>
      </c>
      <c r="E39" s="19" t="s">
        <v>147</v>
      </c>
      <c r="F39" s="19" t="s">
        <v>172</v>
      </c>
      <c r="G39" s="19" t="n">
        <v>10</v>
      </c>
      <c r="H39" s="19" t="s">
        <v>173</v>
      </c>
      <c r="I39" s="20" t="n">
        <v>35.501</v>
      </c>
      <c r="J39" s="19" t="n">
        <f aca="false">IF(I39="","",MIN(Overview!$B$8,MAX(1,CEILING(I39/Overview!$B$7,1))))</f>
        <v>8</v>
      </c>
      <c r="K39" s="19" t="n">
        <v>1</v>
      </c>
      <c r="L39" s="19"/>
      <c r="M39" s="20" t="n">
        <v>2.4</v>
      </c>
      <c r="N39" s="19"/>
      <c r="O39" s="19"/>
      <c r="P39" s="19" t="s">
        <v>1109</v>
      </c>
      <c r="Q39" s="19" t="s">
        <v>1110</v>
      </c>
      <c r="R39" s="21" t="n">
        <v>36969</v>
      </c>
      <c r="S39" s="19" t="s">
        <v>1111</v>
      </c>
      <c r="T39" s="19" t="s">
        <v>1112</v>
      </c>
      <c r="U39" s="19" t="str">
        <f aca="false">HYPERLINK("https://macaulaylibrary.org/asset/185749","Open")</f>
        <v>Open</v>
      </c>
      <c r="V39" s="19" t="s">
        <v>1113</v>
      </c>
    </row>
    <row r="40" customFormat="false" ht="15" hidden="false" customHeight="false" outlineLevel="0" collapsed="false">
      <c r="A40" s="19" t="s">
        <v>1114</v>
      </c>
      <c r="B40" s="19" t="s">
        <v>943</v>
      </c>
      <c r="C40" s="19" t="s">
        <v>944</v>
      </c>
      <c r="D40" s="19" t="s">
        <v>148</v>
      </c>
      <c r="E40" s="19" t="s">
        <v>147</v>
      </c>
      <c r="F40" s="19" t="s">
        <v>172</v>
      </c>
      <c r="G40" s="19" t="n">
        <v>10</v>
      </c>
      <c r="H40" s="19" t="s">
        <v>173</v>
      </c>
      <c r="I40" s="20" t="n">
        <v>203.791</v>
      </c>
      <c r="J40" s="19" t="n">
        <f aca="false">IF(I40="","",MIN(Overview!$B$8,MAX(1,CEILING(I40/Overview!$B$7,1))))</f>
        <v>41</v>
      </c>
      <c r="K40" s="19" t="n">
        <v>1</v>
      </c>
      <c r="L40" s="19"/>
      <c r="M40" s="20" t="n">
        <v>3</v>
      </c>
      <c r="N40" s="19"/>
      <c r="O40" s="19"/>
      <c r="P40" s="19" t="s">
        <v>1115</v>
      </c>
      <c r="Q40" s="19" t="s">
        <v>980</v>
      </c>
      <c r="R40" s="21" t="n">
        <v>34125</v>
      </c>
      <c r="S40" s="19" t="s">
        <v>1081</v>
      </c>
      <c r="T40" s="19" t="s">
        <v>1116</v>
      </c>
      <c r="U40" s="19" t="str">
        <f aca="false">HYPERLINK("https://macaulaylibrary.org/asset/209480","Open")</f>
        <v>Open</v>
      </c>
      <c r="V40" s="19" t="s">
        <v>1113</v>
      </c>
    </row>
    <row r="41" customFormat="false" ht="15" hidden="false" customHeight="false" outlineLevel="0" collapsed="false">
      <c r="A41" s="19" t="s">
        <v>1117</v>
      </c>
      <c r="B41" s="19" t="s">
        <v>943</v>
      </c>
      <c r="C41" s="19" t="s">
        <v>944</v>
      </c>
      <c r="D41" s="19" t="s">
        <v>148</v>
      </c>
      <c r="E41" s="19" t="s">
        <v>147</v>
      </c>
      <c r="F41" s="19" t="s">
        <v>172</v>
      </c>
      <c r="G41" s="19" t="n">
        <v>10</v>
      </c>
      <c r="H41" s="19" t="s">
        <v>173</v>
      </c>
      <c r="I41" s="20" t="n">
        <v>248.117</v>
      </c>
      <c r="J41" s="19" t="n">
        <f aca="false">IF(I41="","",MIN(Overview!$B$8,MAX(1,CEILING(I41/Overview!$B$7,1))))</f>
        <v>50</v>
      </c>
      <c r="K41" s="19" t="n">
        <v>1</v>
      </c>
      <c r="L41" s="19"/>
      <c r="M41" s="20" t="n">
        <v>4</v>
      </c>
      <c r="N41" s="19"/>
      <c r="O41" s="19"/>
      <c r="P41" s="19" t="s">
        <v>1097</v>
      </c>
      <c r="Q41" s="19" t="s">
        <v>980</v>
      </c>
      <c r="R41" s="21" t="n">
        <v>32553</v>
      </c>
      <c r="S41" s="19" t="s">
        <v>1118</v>
      </c>
      <c r="T41" s="19" t="s">
        <v>1119</v>
      </c>
      <c r="U41" s="19" t="str">
        <f aca="false">HYPERLINK("https://macaulaylibrary.org/asset/215324","Open")</f>
        <v>Open</v>
      </c>
      <c r="V41" s="19" t="s">
        <v>1113</v>
      </c>
    </row>
    <row r="42" customFormat="false" ht="15" hidden="false" customHeight="false" outlineLevel="0" collapsed="false">
      <c r="A42" s="19" t="s">
        <v>1120</v>
      </c>
      <c r="B42" s="19" t="s">
        <v>943</v>
      </c>
      <c r="C42" s="19" t="s">
        <v>944</v>
      </c>
      <c r="D42" s="19" t="s">
        <v>148</v>
      </c>
      <c r="E42" s="19" t="s">
        <v>147</v>
      </c>
      <c r="F42" s="19" t="s">
        <v>172</v>
      </c>
      <c r="G42" s="19" t="n">
        <v>10</v>
      </c>
      <c r="H42" s="19" t="s">
        <v>173</v>
      </c>
      <c r="I42" s="20" t="n">
        <v>269.373</v>
      </c>
      <c r="J42" s="19" t="n">
        <f aca="false">IF(I42="","",MIN(Overview!$B$8,MAX(1,CEILING(I42/Overview!$B$7,1))))</f>
        <v>54</v>
      </c>
      <c r="K42" s="19" t="n">
        <v>1</v>
      </c>
      <c r="L42" s="19"/>
      <c r="M42" s="20" t="n">
        <v>3</v>
      </c>
      <c r="N42" s="19"/>
      <c r="O42" s="19"/>
      <c r="P42" s="19" t="s">
        <v>1121</v>
      </c>
      <c r="Q42" s="19" t="s">
        <v>980</v>
      </c>
      <c r="R42" s="21" t="n">
        <v>32556</v>
      </c>
      <c r="S42" s="19" t="s">
        <v>1122</v>
      </c>
      <c r="T42" s="19" t="s">
        <v>1123</v>
      </c>
      <c r="U42" s="19" t="str">
        <f aca="false">HYPERLINK("https://macaulaylibrary.org/asset/215373","Open")</f>
        <v>Open</v>
      </c>
      <c r="V42" s="19" t="s">
        <v>1113</v>
      </c>
    </row>
    <row r="43" customFormat="false" ht="15" hidden="false" customHeight="false" outlineLevel="0" collapsed="false">
      <c r="A43" s="19" t="s">
        <v>1124</v>
      </c>
      <c r="B43" s="19" t="s">
        <v>943</v>
      </c>
      <c r="C43" s="19" t="s">
        <v>944</v>
      </c>
      <c r="D43" s="19" t="s">
        <v>148</v>
      </c>
      <c r="E43" s="19" t="s">
        <v>147</v>
      </c>
      <c r="F43" s="19" t="s">
        <v>172</v>
      </c>
      <c r="G43" s="19" t="n">
        <v>10</v>
      </c>
      <c r="H43" s="19" t="s">
        <v>173</v>
      </c>
      <c r="I43" s="20" t="n">
        <v>1203.387</v>
      </c>
      <c r="J43" s="19" t="n">
        <f aca="false">IF(I43="","",MIN(Overview!$B$8,MAX(1,CEILING(I43/Overview!$B$7,1))))</f>
        <v>120</v>
      </c>
      <c r="K43" s="19" t="n">
        <v>1</v>
      </c>
      <c r="L43" s="19"/>
      <c r="M43" s="20" t="n">
        <v>4</v>
      </c>
      <c r="N43" s="19"/>
      <c r="O43" s="19"/>
      <c r="P43" s="19" t="s">
        <v>1125</v>
      </c>
      <c r="Q43" s="19" t="s">
        <v>980</v>
      </c>
      <c r="R43" s="21" t="n">
        <v>32557</v>
      </c>
      <c r="S43" s="19"/>
      <c r="T43" s="19" t="s">
        <v>1126</v>
      </c>
      <c r="U43" s="19" t="str">
        <f aca="false">HYPERLINK("https://macaulaylibrary.org/asset/215389","Open")</f>
        <v>Open</v>
      </c>
      <c r="V43" s="19" t="s">
        <v>1113</v>
      </c>
    </row>
    <row r="44" customFormat="false" ht="15" hidden="false" customHeight="false" outlineLevel="0" collapsed="false">
      <c r="A44" s="19" t="s">
        <v>1127</v>
      </c>
      <c r="B44" s="19" t="s">
        <v>943</v>
      </c>
      <c r="C44" s="19" t="s">
        <v>944</v>
      </c>
      <c r="D44" s="19" t="s">
        <v>148</v>
      </c>
      <c r="E44" s="19" t="s">
        <v>147</v>
      </c>
      <c r="F44" s="19" t="s">
        <v>172</v>
      </c>
      <c r="G44" s="19" t="n">
        <v>10</v>
      </c>
      <c r="H44" s="19" t="s">
        <v>173</v>
      </c>
      <c r="I44" s="20" t="n">
        <v>345.136</v>
      </c>
      <c r="J44" s="19" t="n">
        <f aca="false">IF(I44="","",MIN(Overview!$B$8,MAX(1,CEILING(I44/Overview!$B$7,1))))</f>
        <v>70</v>
      </c>
      <c r="K44" s="19" t="n">
        <v>1</v>
      </c>
      <c r="L44" s="19"/>
      <c r="M44" s="20" t="n">
        <v>4</v>
      </c>
      <c r="N44" s="19"/>
      <c r="O44" s="19"/>
      <c r="P44" s="19" t="s">
        <v>1125</v>
      </c>
      <c r="Q44" s="19" t="s">
        <v>980</v>
      </c>
      <c r="R44" s="21" t="n">
        <v>32557</v>
      </c>
      <c r="S44" s="19" t="s">
        <v>1128</v>
      </c>
      <c r="T44" s="19" t="s">
        <v>1129</v>
      </c>
      <c r="U44" s="19" t="str">
        <f aca="false">HYPERLINK("https://macaulaylibrary.org/asset/215391","Open")</f>
        <v>Open</v>
      </c>
      <c r="V44" s="19" t="s">
        <v>1113</v>
      </c>
    </row>
    <row r="45" customFormat="false" ht="15" hidden="false" customHeight="false" outlineLevel="0" collapsed="false">
      <c r="A45" s="19" t="s">
        <v>1130</v>
      </c>
      <c r="B45" s="19" t="s">
        <v>943</v>
      </c>
      <c r="C45" s="19" t="s">
        <v>944</v>
      </c>
      <c r="D45" s="19" t="s">
        <v>148</v>
      </c>
      <c r="E45" s="19" t="s">
        <v>147</v>
      </c>
      <c r="F45" s="19" t="s">
        <v>172</v>
      </c>
      <c r="G45" s="19" t="n">
        <v>10</v>
      </c>
      <c r="H45" s="19" t="s">
        <v>173</v>
      </c>
      <c r="I45" s="20" t="n">
        <v>88.225</v>
      </c>
      <c r="J45" s="19" t="n">
        <f aca="false">IF(I45="","",MIN(Overview!$B$8,MAX(1,CEILING(I45/Overview!$B$7,1))))</f>
        <v>18</v>
      </c>
      <c r="K45" s="19" t="n">
        <v>1</v>
      </c>
      <c r="L45" s="19"/>
      <c r="M45" s="20" t="n">
        <v>4</v>
      </c>
      <c r="N45" s="19"/>
      <c r="O45" s="19" t="s">
        <v>323</v>
      </c>
      <c r="P45" s="19" t="s">
        <v>1131</v>
      </c>
      <c r="Q45" s="19" t="s">
        <v>1063</v>
      </c>
      <c r="R45" s="21" t="n">
        <v>44086</v>
      </c>
      <c r="S45" s="19" t="s">
        <v>1132</v>
      </c>
      <c r="T45" s="19" t="s">
        <v>1133</v>
      </c>
      <c r="U45" s="19" t="str">
        <f aca="false">HYPERLINK("https://macaulaylibrary.org/asset/266307571","Open")</f>
        <v>Open</v>
      </c>
      <c r="V45" s="19"/>
    </row>
    <row r="46" customFormat="false" ht="15" hidden="false" customHeight="false" outlineLevel="0" collapsed="false">
      <c r="A46" s="19" t="s">
        <v>1134</v>
      </c>
      <c r="B46" s="19" t="s">
        <v>943</v>
      </c>
      <c r="C46" s="19" t="s">
        <v>944</v>
      </c>
      <c r="D46" s="19" t="s">
        <v>148</v>
      </c>
      <c r="E46" s="19" t="s">
        <v>147</v>
      </c>
      <c r="F46" s="19" t="s">
        <v>172</v>
      </c>
      <c r="G46" s="19" t="n">
        <v>10</v>
      </c>
      <c r="H46" s="19" t="s">
        <v>173</v>
      </c>
      <c r="I46" s="20" t="n">
        <v>25.712</v>
      </c>
      <c r="J46" s="19" t="n">
        <f aca="false">IF(I46="","",MIN(Overview!$B$8,MAX(1,CEILING(I46/Overview!$B$7,1))))</f>
        <v>6</v>
      </c>
      <c r="K46" s="19" t="n">
        <v>1</v>
      </c>
      <c r="L46" s="19"/>
      <c r="M46" s="20" t="n">
        <v>2.2</v>
      </c>
      <c r="N46" s="19"/>
      <c r="O46" s="19"/>
      <c r="P46" s="19" t="s">
        <v>1135</v>
      </c>
      <c r="Q46" s="19" t="s">
        <v>1136</v>
      </c>
      <c r="R46" s="21" t="n">
        <v>29735</v>
      </c>
      <c r="S46" s="19" t="s">
        <v>1137</v>
      </c>
      <c r="T46" s="19" t="s">
        <v>1138</v>
      </c>
      <c r="U46" s="19" t="str">
        <f aca="false">HYPERLINK("https://macaulaylibrary.org/asset/28137","Open")</f>
        <v>Open</v>
      </c>
      <c r="V46" s="19" t="s">
        <v>1113</v>
      </c>
    </row>
    <row r="47" customFormat="false" ht="15" hidden="false" customHeight="false" outlineLevel="0" collapsed="false">
      <c r="A47" s="19" t="s">
        <v>1139</v>
      </c>
      <c r="B47" s="19" t="s">
        <v>943</v>
      </c>
      <c r="C47" s="19" t="s">
        <v>944</v>
      </c>
      <c r="D47" s="19" t="s">
        <v>148</v>
      </c>
      <c r="E47" s="19" t="s">
        <v>147</v>
      </c>
      <c r="F47" s="19" t="s">
        <v>172</v>
      </c>
      <c r="G47" s="19" t="n">
        <v>10</v>
      </c>
      <c r="H47" s="19" t="s">
        <v>173</v>
      </c>
      <c r="I47" s="20" t="n">
        <v>29.273</v>
      </c>
      <c r="J47" s="19" t="n">
        <f aca="false">IF(I47="","",MIN(Overview!$B$8,MAX(1,CEILING(I47/Overview!$B$7,1))))</f>
        <v>6</v>
      </c>
      <c r="K47" s="19" t="n">
        <v>1</v>
      </c>
      <c r="L47" s="19"/>
      <c r="M47" s="20"/>
      <c r="N47" s="19"/>
      <c r="O47" s="19"/>
      <c r="P47" s="19" t="s">
        <v>1140</v>
      </c>
      <c r="Q47" s="19" t="s">
        <v>1030</v>
      </c>
      <c r="R47" s="21" t="n">
        <v>40250</v>
      </c>
      <c r="S47" s="19" t="s">
        <v>1017</v>
      </c>
      <c r="T47" s="19" t="s">
        <v>1141</v>
      </c>
      <c r="U47" s="19" t="str">
        <f aca="false">HYPERLINK("https://macaulaylibrary.org/asset/299560","Open")</f>
        <v>Open</v>
      </c>
      <c r="V47" s="19"/>
    </row>
    <row r="48" customFormat="false" ht="15" hidden="false" customHeight="false" outlineLevel="0" collapsed="false">
      <c r="A48" s="19" t="s">
        <v>1142</v>
      </c>
      <c r="B48" s="19" t="s">
        <v>943</v>
      </c>
      <c r="C48" s="19" t="s">
        <v>944</v>
      </c>
      <c r="D48" s="19" t="s">
        <v>148</v>
      </c>
      <c r="E48" s="19" t="s">
        <v>147</v>
      </c>
      <c r="F48" s="19" t="s">
        <v>172</v>
      </c>
      <c r="G48" s="19" t="n">
        <v>10</v>
      </c>
      <c r="H48" s="19" t="s">
        <v>173</v>
      </c>
      <c r="I48" s="20" t="n">
        <v>7.851</v>
      </c>
      <c r="J48" s="19" t="n">
        <f aca="false">IF(I48="","",MIN(Overview!$B$8,MAX(1,CEILING(I48/Overview!$B$7,1))))</f>
        <v>2</v>
      </c>
      <c r="K48" s="19" t="n">
        <v>1</v>
      </c>
      <c r="L48" s="19"/>
      <c r="M48" s="20" t="n">
        <v>2</v>
      </c>
      <c r="N48" s="19"/>
      <c r="O48" s="19"/>
      <c r="P48" s="19" t="s">
        <v>1143</v>
      </c>
      <c r="Q48" s="19" t="s">
        <v>965</v>
      </c>
      <c r="R48" s="21" t="n">
        <v>44548</v>
      </c>
      <c r="S48" s="19" t="s">
        <v>1144</v>
      </c>
      <c r="T48" s="19" t="s">
        <v>1145</v>
      </c>
      <c r="U48" s="19" t="str">
        <f aca="false">HYPERLINK("https://macaulaylibrary.org/asset/398720271","Open")</f>
        <v>Open</v>
      </c>
      <c r="V48" s="19"/>
    </row>
    <row r="49" customFormat="false" ht="15" hidden="false" customHeight="false" outlineLevel="0" collapsed="false">
      <c r="A49" s="19" t="s">
        <v>1146</v>
      </c>
      <c r="B49" s="19" t="s">
        <v>943</v>
      </c>
      <c r="C49" s="19" t="s">
        <v>944</v>
      </c>
      <c r="D49" s="19" t="s">
        <v>148</v>
      </c>
      <c r="E49" s="19" t="s">
        <v>147</v>
      </c>
      <c r="F49" s="19" t="s">
        <v>172</v>
      </c>
      <c r="G49" s="19" t="n">
        <v>10</v>
      </c>
      <c r="H49" s="19" t="s">
        <v>173</v>
      </c>
      <c r="I49" s="20" t="n">
        <v>41.088</v>
      </c>
      <c r="J49" s="19" t="n">
        <f aca="false">IF(I49="","",MIN(Overview!$B$8,MAX(1,CEILING(I49/Overview!$B$7,1))))</f>
        <v>9</v>
      </c>
      <c r="K49" s="19" t="n">
        <v>1</v>
      </c>
      <c r="L49" s="19"/>
      <c r="M49" s="20" t="n">
        <v>4</v>
      </c>
      <c r="N49" s="19"/>
      <c r="O49" s="19"/>
      <c r="P49" s="19" t="s">
        <v>1147</v>
      </c>
      <c r="Q49" s="19" t="s">
        <v>1148</v>
      </c>
      <c r="R49" s="21" t="n">
        <v>44842</v>
      </c>
      <c r="S49" s="19" t="s">
        <v>1149</v>
      </c>
      <c r="T49" s="19" t="s">
        <v>1150</v>
      </c>
      <c r="U49" s="19" t="str">
        <f aca="false">HYPERLINK("https://macaulaylibrary.org/asset/492654411","Open")</f>
        <v>Open</v>
      </c>
      <c r="V49" s="19"/>
    </row>
    <row r="50" customFormat="false" ht="15" hidden="false" customHeight="false" outlineLevel="0" collapsed="false">
      <c r="A50" s="19" t="s">
        <v>1151</v>
      </c>
      <c r="B50" s="19" t="s">
        <v>943</v>
      </c>
      <c r="C50" s="19" t="s">
        <v>944</v>
      </c>
      <c r="D50" s="19" t="s">
        <v>148</v>
      </c>
      <c r="E50" s="19" t="s">
        <v>147</v>
      </c>
      <c r="F50" s="19" t="s">
        <v>172</v>
      </c>
      <c r="G50" s="19" t="n">
        <v>10</v>
      </c>
      <c r="H50" s="19" t="s">
        <v>173</v>
      </c>
      <c r="I50" s="20" t="n">
        <v>22.506</v>
      </c>
      <c r="J50" s="19" t="n">
        <f aca="false">IF(I50="","",MIN(Overview!$B$8,MAX(1,CEILING(I50/Overview!$B$7,1))))</f>
        <v>5</v>
      </c>
      <c r="K50" s="19" t="n">
        <v>1</v>
      </c>
      <c r="L50" s="19"/>
      <c r="M50" s="20" t="n">
        <v>5</v>
      </c>
      <c r="N50" s="19"/>
      <c r="O50" s="19"/>
      <c r="P50" s="19" t="s">
        <v>1147</v>
      </c>
      <c r="Q50" s="19" t="s">
        <v>1148</v>
      </c>
      <c r="R50" s="21" t="n">
        <v>44842</v>
      </c>
      <c r="S50" s="19" t="s">
        <v>1149</v>
      </c>
      <c r="T50" s="19" t="s">
        <v>1152</v>
      </c>
      <c r="U50" s="19" t="str">
        <f aca="false">HYPERLINK("https://macaulaylibrary.org/asset/492654441","Open")</f>
        <v>Open</v>
      </c>
      <c r="V50" s="19"/>
    </row>
    <row r="51" customFormat="false" ht="15" hidden="false" customHeight="false" outlineLevel="0" collapsed="false">
      <c r="A51" s="19" t="s">
        <v>1153</v>
      </c>
      <c r="B51" s="19" t="s">
        <v>943</v>
      </c>
      <c r="C51" s="19" t="s">
        <v>944</v>
      </c>
      <c r="D51" s="19" t="s">
        <v>148</v>
      </c>
      <c r="E51" s="19" t="s">
        <v>147</v>
      </c>
      <c r="F51" s="19" t="s">
        <v>172</v>
      </c>
      <c r="G51" s="19" t="n">
        <v>10</v>
      </c>
      <c r="H51" s="19" t="s">
        <v>173</v>
      </c>
      <c r="I51" s="20" t="n">
        <v>44.46</v>
      </c>
      <c r="J51" s="19" t="n">
        <f aca="false">IF(I51="","",MIN(Overview!$B$8,MAX(1,CEILING(I51/Overview!$B$7,1))))</f>
        <v>9</v>
      </c>
      <c r="K51" s="19" t="n">
        <v>1</v>
      </c>
      <c r="L51" s="19"/>
      <c r="M51" s="20"/>
      <c r="N51" s="19"/>
      <c r="O51" s="19"/>
      <c r="P51" s="19" t="s">
        <v>1154</v>
      </c>
      <c r="Q51" s="19" t="s">
        <v>1035</v>
      </c>
      <c r="R51" s="21" t="n">
        <v>43666</v>
      </c>
      <c r="S51" s="19" t="s">
        <v>1081</v>
      </c>
      <c r="T51" s="19" t="s">
        <v>1155</v>
      </c>
      <c r="U51" s="19" t="str">
        <f aca="false">HYPERLINK("https://macaulaylibrary.org/asset/498000951","Open")</f>
        <v>Open</v>
      </c>
      <c r="V51" s="19" t="s">
        <v>1113</v>
      </c>
    </row>
    <row r="52" customFormat="false" ht="15" hidden="false" customHeight="false" outlineLevel="0" collapsed="false">
      <c r="A52" s="19" t="s">
        <v>1156</v>
      </c>
      <c r="B52" s="19" t="s">
        <v>943</v>
      </c>
      <c r="C52" s="19" t="s">
        <v>944</v>
      </c>
      <c r="D52" s="19" t="s">
        <v>148</v>
      </c>
      <c r="E52" s="19" t="s">
        <v>147</v>
      </c>
      <c r="F52" s="19" t="s">
        <v>172</v>
      </c>
      <c r="G52" s="19" t="n">
        <v>10</v>
      </c>
      <c r="H52" s="19" t="s">
        <v>173</v>
      </c>
      <c r="I52" s="20" t="n">
        <v>19.847</v>
      </c>
      <c r="J52" s="19" t="n">
        <f aca="false">IF(I52="","",MIN(Overview!$B$8,MAX(1,CEILING(I52/Overview!$B$7,1))))</f>
        <v>4</v>
      </c>
      <c r="K52" s="19" t="n">
        <v>1</v>
      </c>
      <c r="L52" s="19"/>
      <c r="M52" s="20" t="n">
        <v>2</v>
      </c>
      <c r="N52" s="19"/>
      <c r="O52" s="19"/>
      <c r="P52" s="19" t="s">
        <v>1157</v>
      </c>
      <c r="Q52" s="19" t="s">
        <v>1158</v>
      </c>
      <c r="R52" s="21" t="n">
        <v>44942</v>
      </c>
      <c r="S52" s="19" t="s">
        <v>1009</v>
      </c>
      <c r="T52" s="19" t="s">
        <v>1159</v>
      </c>
      <c r="U52" s="19" t="str">
        <f aca="false">HYPERLINK("https://macaulaylibrary.org/asset/543397781","Open")</f>
        <v>Open</v>
      </c>
      <c r="V52" s="19"/>
    </row>
    <row r="53" customFormat="false" ht="15" hidden="false" customHeight="false" outlineLevel="0" collapsed="false">
      <c r="A53" s="19" t="s">
        <v>1160</v>
      </c>
      <c r="B53" s="19" t="s">
        <v>943</v>
      </c>
      <c r="C53" s="19" t="s">
        <v>944</v>
      </c>
      <c r="D53" s="19" t="s">
        <v>148</v>
      </c>
      <c r="E53" s="19" t="s">
        <v>147</v>
      </c>
      <c r="F53" s="19" t="s">
        <v>172</v>
      </c>
      <c r="G53" s="19" t="n">
        <v>10</v>
      </c>
      <c r="H53" s="19" t="s">
        <v>173</v>
      </c>
      <c r="I53" s="20" t="n">
        <v>90.579</v>
      </c>
      <c r="J53" s="19" t="n">
        <f aca="false">IF(I53="","",MIN(Overview!$B$8,MAX(1,CEILING(I53/Overview!$B$7,1))))</f>
        <v>19</v>
      </c>
      <c r="K53" s="19" t="n">
        <v>1</v>
      </c>
      <c r="L53" s="19"/>
      <c r="M53" s="20" t="n">
        <v>4</v>
      </c>
      <c r="N53" s="19"/>
      <c r="O53" s="19"/>
      <c r="P53" s="19" t="s">
        <v>1161</v>
      </c>
      <c r="Q53" s="19" t="s">
        <v>980</v>
      </c>
      <c r="R53" s="21" t="n">
        <v>33292</v>
      </c>
      <c r="S53" s="19" t="s">
        <v>1162</v>
      </c>
      <c r="T53" s="19" t="s">
        <v>1163</v>
      </c>
      <c r="U53" s="19" t="str">
        <f aca="false">HYPERLINK("https://macaulaylibrary.org/asset/57484","Open")</f>
        <v>Open</v>
      </c>
      <c r="V53" s="19" t="s">
        <v>1113</v>
      </c>
    </row>
    <row r="54" customFormat="false" ht="15" hidden="false" customHeight="false" outlineLevel="0" collapsed="false">
      <c r="A54" s="19" t="s">
        <v>1164</v>
      </c>
      <c r="B54" s="19" t="s">
        <v>943</v>
      </c>
      <c r="C54" s="19" t="s">
        <v>944</v>
      </c>
      <c r="D54" s="19" t="s">
        <v>148</v>
      </c>
      <c r="E54" s="19" t="s">
        <v>147</v>
      </c>
      <c r="F54" s="19" t="s">
        <v>172</v>
      </c>
      <c r="G54" s="19" t="n">
        <v>10</v>
      </c>
      <c r="H54" s="19" t="s">
        <v>173</v>
      </c>
      <c r="I54" s="20" t="n">
        <v>11.412</v>
      </c>
      <c r="J54" s="19" t="n">
        <f aca="false">IF(I54="","",MIN(Overview!$B$8,MAX(1,CEILING(I54/Overview!$B$7,1))))</f>
        <v>3</v>
      </c>
      <c r="K54" s="19" t="n">
        <v>1</v>
      </c>
      <c r="L54" s="19"/>
      <c r="M54" s="20"/>
      <c r="N54" s="19"/>
      <c r="O54" s="19"/>
      <c r="P54" s="19" t="s">
        <v>1165</v>
      </c>
      <c r="Q54" s="19" t="s">
        <v>1166</v>
      </c>
      <c r="R54" s="21" t="n">
        <v>44899</v>
      </c>
      <c r="S54" s="19" t="s">
        <v>1167</v>
      </c>
      <c r="T54" s="19" t="s">
        <v>1168</v>
      </c>
      <c r="U54" s="19" t="str">
        <f aca="false">HYPERLINK("https://macaulaylibrary.org/asset/597713071","Open")</f>
        <v>Open</v>
      </c>
      <c r="V54" s="19"/>
    </row>
    <row r="55" customFormat="false" ht="15" hidden="false" customHeight="false" outlineLevel="0" collapsed="false">
      <c r="A55" s="19" t="s">
        <v>1169</v>
      </c>
      <c r="B55" s="19" t="s">
        <v>943</v>
      </c>
      <c r="C55" s="19" t="s">
        <v>944</v>
      </c>
      <c r="D55" s="19" t="s">
        <v>148</v>
      </c>
      <c r="E55" s="19" t="s">
        <v>147</v>
      </c>
      <c r="F55" s="19" t="s">
        <v>172</v>
      </c>
      <c r="G55" s="19" t="n">
        <v>10</v>
      </c>
      <c r="H55" s="19" t="s">
        <v>173</v>
      </c>
      <c r="I55" s="20" t="n">
        <v>4.005</v>
      </c>
      <c r="J55" s="19" t="n">
        <f aca="false">IF(I55="","",MIN(Overview!$B$8,MAX(1,CEILING(I55/Overview!$B$7,1))))</f>
        <v>1</v>
      </c>
      <c r="K55" s="19" t="n">
        <v>1</v>
      </c>
      <c r="L55" s="19" t="s">
        <v>1048</v>
      </c>
      <c r="M55" s="20"/>
      <c r="N55" s="19"/>
      <c r="O55" s="19"/>
      <c r="P55" s="19" t="s">
        <v>1170</v>
      </c>
      <c r="Q55" s="19" t="s">
        <v>1166</v>
      </c>
      <c r="R55" s="21" t="n">
        <v>44900</v>
      </c>
      <c r="S55" s="19" t="s">
        <v>1092</v>
      </c>
      <c r="T55" s="19" t="s">
        <v>1171</v>
      </c>
      <c r="U55" s="19" t="str">
        <f aca="false">HYPERLINK("https://macaulaylibrary.org/asset/597933031","Open")</f>
        <v>Open</v>
      </c>
      <c r="V55" s="19"/>
    </row>
    <row r="56" customFormat="false" ht="15" hidden="false" customHeight="false" outlineLevel="0" collapsed="false">
      <c r="A56" s="19" t="s">
        <v>1172</v>
      </c>
      <c r="B56" s="19" t="s">
        <v>943</v>
      </c>
      <c r="C56" s="19" t="s">
        <v>944</v>
      </c>
      <c r="D56" s="19" t="s">
        <v>148</v>
      </c>
      <c r="E56" s="19" t="s">
        <v>147</v>
      </c>
      <c r="F56" s="19" t="s">
        <v>172</v>
      </c>
      <c r="G56" s="19" t="n">
        <v>10</v>
      </c>
      <c r="H56" s="19" t="s">
        <v>173</v>
      </c>
      <c r="I56" s="20" t="n">
        <v>4.487</v>
      </c>
      <c r="J56" s="19" t="n">
        <f aca="false">IF(I56="","",MIN(Overview!$B$8,MAX(1,CEILING(I56/Overview!$B$7,1))))</f>
        <v>1</v>
      </c>
      <c r="K56" s="19" t="n">
        <v>1</v>
      </c>
      <c r="L56" s="19" t="s">
        <v>1048</v>
      </c>
      <c r="M56" s="20"/>
      <c r="N56" s="19"/>
      <c r="O56" s="19"/>
      <c r="P56" s="19" t="s">
        <v>1170</v>
      </c>
      <c r="Q56" s="19" t="s">
        <v>1166</v>
      </c>
      <c r="R56" s="21" t="n">
        <v>44900</v>
      </c>
      <c r="S56" s="19" t="s">
        <v>1092</v>
      </c>
      <c r="T56" s="19" t="s">
        <v>1173</v>
      </c>
      <c r="U56" s="19" t="str">
        <f aca="false">HYPERLINK("https://macaulaylibrary.org/asset/597933051","Open")</f>
        <v>Open</v>
      </c>
      <c r="V56" s="19"/>
    </row>
    <row r="57" customFormat="false" ht="15" hidden="false" customHeight="false" outlineLevel="0" collapsed="false">
      <c r="A57" s="19" t="s">
        <v>1174</v>
      </c>
      <c r="B57" s="19" t="s">
        <v>943</v>
      </c>
      <c r="C57" s="19" t="s">
        <v>944</v>
      </c>
      <c r="D57" s="19" t="s">
        <v>148</v>
      </c>
      <c r="E57" s="19" t="s">
        <v>147</v>
      </c>
      <c r="F57" s="19" t="s">
        <v>172</v>
      </c>
      <c r="G57" s="19" t="n">
        <v>10</v>
      </c>
      <c r="H57" s="19" t="s">
        <v>173</v>
      </c>
      <c r="I57" s="20" t="n">
        <v>37.392</v>
      </c>
      <c r="J57" s="19" t="n">
        <f aca="false">IF(I57="","",MIN(Overview!$B$8,MAX(1,CEILING(I57/Overview!$B$7,1))))</f>
        <v>8</v>
      </c>
      <c r="K57" s="19" t="n">
        <v>1</v>
      </c>
      <c r="L57" s="19"/>
      <c r="M57" s="20" t="n">
        <v>3</v>
      </c>
      <c r="N57" s="19"/>
      <c r="O57" s="19"/>
      <c r="P57" s="19" t="s">
        <v>1170</v>
      </c>
      <c r="Q57" s="19" t="s">
        <v>1166</v>
      </c>
      <c r="R57" s="21" t="n">
        <v>44900</v>
      </c>
      <c r="S57" s="19" t="s">
        <v>1092</v>
      </c>
      <c r="T57" s="19" t="s">
        <v>1175</v>
      </c>
      <c r="U57" s="19" t="str">
        <f aca="false">HYPERLINK("https://macaulaylibrary.org/asset/597933081","Open")</f>
        <v>Open</v>
      </c>
      <c r="V57" s="19"/>
    </row>
    <row r="58" customFormat="false" ht="15" hidden="false" customHeight="false" outlineLevel="0" collapsed="false">
      <c r="A58" s="19" t="s">
        <v>1176</v>
      </c>
      <c r="B58" s="19" t="s">
        <v>943</v>
      </c>
      <c r="C58" s="19" t="s">
        <v>944</v>
      </c>
      <c r="D58" s="19" t="s">
        <v>148</v>
      </c>
      <c r="E58" s="19" t="s">
        <v>147</v>
      </c>
      <c r="F58" s="19" t="s">
        <v>172</v>
      </c>
      <c r="G58" s="19" t="n">
        <v>10</v>
      </c>
      <c r="H58" s="19" t="s">
        <v>173</v>
      </c>
      <c r="I58" s="20" t="n">
        <v>13.161</v>
      </c>
      <c r="J58" s="19" t="n">
        <f aca="false">IF(I58="","",MIN(Overview!$B$8,MAX(1,CEILING(I58/Overview!$B$7,1))))</f>
        <v>3</v>
      </c>
      <c r="K58" s="19" t="n">
        <v>1</v>
      </c>
      <c r="L58" s="19"/>
      <c r="M58" s="20"/>
      <c r="N58" s="19"/>
      <c r="O58" s="19"/>
      <c r="P58" s="19" t="s">
        <v>1177</v>
      </c>
      <c r="Q58" s="19" t="s">
        <v>1166</v>
      </c>
      <c r="R58" s="21" t="n">
        <v>44902</v>
      </c>
      <c r="S58" s="19" t="s">
        <v>1051</v>
      </c>
      <c r="T58" s="19" t="s">
        <v>1178</v>
      </c>
      <c r="U58" s="19" t="str">
        <f aca="false">HYPERLINK("https://macaulaylibrary.org/asset/599674221","Open")</f>
        <v>Open</v>
      </c>
      <c r="V58" s="19"/>
    </row>
    <row r="59" customFormat="false" ht="15" hidden="false" customHeight="false" outlineLevel="0" collapsed="false">
      <c r="A59" s="19" t="s">
        <v>1179</v>
      </c>
      <c r="B59" s="19" t="s">
        <v>943</v>
      </c>
      <c r="C59" s="19" t="s">
        <v>944</v>
      </c>
      <c r="D59" s="19" t="s">
        <v>148</v>
      </c>
      <c r="E59" s="19" t="s">
        <v>147</v>
      </c>
      <c r="F59" s="19" t="s">
        <v>172</v>
      </c>
      <c r="G59" s="19" t="n">
        <v>10</v>
      </c>
      <c r="H59" s="19" t="s">
        <v>173</v>
      </c>
      <c r="I59" s="20" t="n">
        <v>7.948</v>
      </c>
      <c r="J59" s="19" t="n">
        <f aca="false">IF(I59="","",MIN(Overview!$B$8,MAX(1,CEILING(I59/Overview!$B$7,1))))</f>
        <v>2</v>
      </c>
      <c r="K59" s="19" t="n">
        <v>1</v>
      </c>
      <c r="L59" s="19"/>
      <c r="M59" s="20"/>
      <c r="N59" s="19"/>
      <c r="O59" s="19"/>
      <c r="P59" s="19" t="s">
        <v>1039</v>
      </c>
      <c r="Q59" s="19" t="s">
        <v>1040</v>
      </c>
      <c r="R59" s="21" t="n">
        <v>40901</v>
      </c>
      <c r="S59" s="19" t="s">
        <v>1002</v>
      </c>
      <c r="T59" s="19" t="s">
        <v>1180</v>
      </c>
      <c r="U59" s="19" t="str">
        <f aca="false">HYPERLINK("https://macaulaylibrary.org/asset/609056489","Open")</f>
        <v>Open</v>
      </c>
      <c r="V59" s="19"/>
    </row>
    <row r="60" customFormat="false" ht="15" hidden="false" customHeight="false" outlineLevel="0" collapsed="false">
      <c r="A60" s="19" t="s">
        <v>1181</v>
      </c>
      <c r="B60" s="19" t="s">
        <v>943</v>
      </c>
      <c r="C60" s="19" t="s">
        <v>944</v>
      </c>
      <c r="D60" s="19" t="s">
        <v>148</v>
      </c>
      <c r="E60" s="19" t="s">
        <v>147</v>
      </c>
      <c r="F60" s="19" t="s">
        <v>172</v>
      </c>
      <c r="G60" s="19" t="n">
        <v>10</v>
      </c>
      <c r="H60" s="19" t="s">
        <v>173</v>
      </c>
      <c r="I60" s="20" t="n">
        <v>6.992</v>
      </c>
      <c r="J60" s="19" t="n">
        <f aca="false">IF(I60="","",MIN(Overview!$B$8,MAX(1,CEILING(I60/Overview!$B$7,1))))</f>
        <v>2</v>
      </c>
      <c r="K60" s="19" t="n">
        <v>1</v>
      </c>
      <c r="L60" s="19"/>
      <c r="M60" s="20"/>
      <c r="N60" s="19"/>
      <c r="O60" s="19"/>
      <c r="P60" s="19" t="s">
        <v>1039</v>
      </c>
      <c r="Q60" s="19" t="s">
        <v>1040</v>
      </c>
      <c r="R60" s="21" t="n">
        <v>40901</v>
      </c>
      <c r="S60" s="19" t="s">
        <v>1002</v>
      </c>
      <c r="T60" s="19" t="s">
        <v>1182</v>
      </c>
      <c r="U60" s="19" t="str">
        <f aca="false">HYPERLINK("https://macaulaylibrary.org/asset/609056539","Open")</f>
        <v>Open</v>
      </c>
      <c r="V60" s="19"/>
    </row>
    <row r="61" customFormat="false" ht="15" hidden="false" customHeight="false" outlineLevel="0" collapsed="false">
      <c r="A61" s="19" t="s">
        <v>1183</v>
      </c>
      <c r="B61" s="19" t="s">
        <v>943</v>
      </c>
      <c r="C61" s="19" t="s">
        <v>944</v>
      </c>
      <c r="D61" s="19" t="s">
        <v>148</v>
      </c>
      <c r="E61" s="19" t="s">
        <v>147</v>
      </c>
      <c r="F61" s="19" t="s">
        <v>172</v>
      </c>
      <c r="G61" s="19" t="n">
        <v>10</v>
      </c>
      <c r="H61" s="19" t="s">
        <v>173</v>
      </c>
      <c r="I61" s="20" t="n">
        <v>6.293</v>
      </c>
      <c r="J61" s="19" t="n">
        <f aca="false">IF(I61="","",MIN(Overview!$B$8,MAX(1,CEILING(I61/Overview!$B$7,1))))</f>
        <v>2</v>
      </c>
      <c r="K61" s="19" t="n">
        <v>1</v>
      </c>
      <c r="L61" s="19"/>
      <c r="M61" s="20"/>
      <c r="N61" s="19"/>
      <c r="O61" s="19"/>
      <c r="P61" s="19" t="s">
        <v>1184</v>
      </c>
      <c r="Q61" s="19" t="s">
        <v>1185</v>
      </c>
      <c r="R61" s="21" t="n">
        <v>45238</v>
      </c>
      <c r="S61" s="19" t="s">
        <v>1186</v>
      </c>
      <c r="T61" s="19" t="s">
        <v>1187</v>
      </c>
      <c r="U61" s="19" t="str">
        <f aca="false">HYPERLINK("https://macaulaylibrary.org/asset/611511607","Open")</f>
        <v>Open</v>
      </c>
      <c r="V61" s="19"/>
    </row>
    <row r="62" customFormat="false" ht="15" hidden="false" customHeight="false" outlineLevel="0" collapsed="false">
      <c r="A62" s="19" t="s">
        <v>1188</v>
      </c>
      <c r="B62" s="19" t="s">
        <v>943</v>
      </c>
      <c r="C62" s="19" t="s">
        <v>944</v>
      </c>
      <c r="D62" s="19" t="s">
        <v>148</v>
      </c>
      <c r="E62" s="19" t="s">
        <v>147</v>
      </c>
      <c r="F62" s="19" t="s">
        <v>172</v>
      </c>
      <c r="G62" s="19" t="n">
        <v>10</v>
      </c>
      <c r="H62" s="19" t="s">
        <v>173</v>
      </c>
      <c r="I62" s="20" t="n">
        <v>76.215</v>
      </c>
      <c r="J62" s="19" t="n">
        <f aca="false">IF(I62="","",MIN(Overview!$B$8,MAX(1,CEILING(I62/Overview!$B$7,1))))</f>
        <v>16</v>
      </c>
      <c r="K62" s="19" t="n">
        <v>1</v>
      </c>
      <c r="L62" s="19"/>
      <c r="M62" s="20" t="n">
        <v>3</v>
      </c>
      <c r="N62" s="19"/>
      <c r="O62" s="19" t="s">
        <v>1189</v>
      </c>
      <c r="P62" s="19" t="s">
        <v>1190</v>
      </c>
      <c r="Q62" s="19" t="s">
        <v>1191</v>
      </c>
      <c r="R62" s="21" t="n">
        <v>45369</v>
      </c>
      <c r="S62" s="19" t="s">
        <v>1081</v>
      </c>
      <c r="T62" s="19" t="s">
        <v>1192</v>
      </c>
      <c r="U62" s="19" t="str">
        <f aca="false">HYPERLINK("https://macaulaylibrary.org/asset/616236266","Open")</f>
        <v>Open</v>
      </c>
      <c r="V62" s="19"/>
    </row>
    <row r="63" customFormat="false" ht="15" hidden="false" customHeight="false" outlineLevel="0" collapsed="false">
      <c r="A63" s="19" t="s">
        <v>1193</v>
      </c>
      <c r="B63" s="19" t="s">
        <v>943</v>
      </c>
      <c r="C63" s="19" t="s">
        <v>944</v>
      </c>
      <c r="D63" s="19" t="s">
        <v>148</v>
      </c>
      <c r="E63" s="19" t="s">
        <v>147</v>
      </c>
      <c r="F63" s="19" t="s">
        <v>172</v>
      </c>
      <c r="G63" s="19" t="n">
        <v>10</v>
      </c>
      <c r="H63" s="19" t="s">
        <v>173</v>
      </c>
      <c r="I63" s="20" t="n">
        <v>5.6</v>
      </c>
      <c r="J63" s="19" t="n">
        <f aca="false">IF(I63="","",MIN(Overview!$B$8,MAX(1,CEILING(I63/Overview!$B$7,1))))</f>
        <v>2</v>
      </c>
      <c r="K63" s="19" t="n">
        <v>1</v>
      </c>
      <c r="L63" s="19"/>
      <c r="M63" s="20" t="n">
        <v>5</v>
      </c>
      <c r="N63" s="19"/>
      <c r="O63" s="19"/>
      <c r="P63" s="19" t="s">
        <v>964</v>
      </c>
      <c r="Q63" s="19" t="s">
        <v>965</v>
      </c>
      <c r="R63" s="21" t="n">
        <v>46011</v>
      </c>
      <c r="S63" s="19" t="s">
        <v>966</v>
      </c>
      <c r="T63" s="19" t="s">
        <v>1194</v>
      </c>
      <c r="U63" s="19" t="str">
        <f aca="false">HYPERLINK("https://macaulaylibrary.org/asset/647443207","Open")</f>
        <v>Open</v>
      </c>
      <c r="V63" s="19"/>
    </row>
    <row r="64" customFormat="false" ht="15" hidden="false" customHeight="false" outlineLevel="0" collapsed="false">
      <c r="A64" s="19" t="s">
        <v>1195</v>
      </c>
      <c r="B64" s="19" t="s">
        <v>943</v>
      </c>
      <c r="C64" s="19" t="s">
        <v>944</v>
      </c>
      <c r="D64" s="19" t="s">
        <v>148</v>
      </c>
      <c r="E64" s="19" t="s">
        <v>147</v>
      </c>
      <c r="F64" s="19" t="s">
        <v>172</v>
      </c>
      <c r="G64" s="19" t="n">
        <v>10</v>
      </c>
      <c r="H64" s="19" t="s">
        <v>173</v>
      </c>
      <c r="I64" s="20" t="n">
        <v>30.72</v>
      </c>
      <c r="J64" s="19" t="n">
        <f aca="false">IF(I64="","",MIN(Overview!$B$8,MAX(1,CEILING(I64/Overview!$B$7,1))))</f>
        <v>7</v>
      </c>
      <c r="K64" s="19" t="n">
        <v>1</v>
      </c>
      <c r="L64" s="19"/>
      <c r="M64" s="20" t="n">
        <v>5</v>
      </c>
      <c r="N64" s="19"/>
      <c r="O64" s="19"/>
      <c r="P64" s="19" t="s">
        <v>964</v>
      </c>
      <c r="Q64" s="19" t="s">
        <v>965</v>
      </c>
      <c r="R64" s="21" t="n">
        <v>46011</v>
      </c>
      <c r="S64" s="19" t="s">
        <v>966</v>
      </c>
      <c r="T64" s="19" t="s">
        <v>1196</v>
      </c>
      <c r="U64" s="19" t="str">
        <f aca="false">HYPERLINK("https://macaulaylibrary.org/asset/647443214","Open")</f>
        <v>Open</v>
      </c>
      <c r="V64" s="19"/>
    </row>
    <row r="65" customFormat="false" ht="15" hidden="false" customHeight="false" outlineLevel="0" collapsed="false">
      <c r="A65" s="19" t="s">
        <v>1197</v>
      </c>
      <c r="B65" s="19" t="s">
        <v>943</v>
      </c>
      <c r="C65" s="19" t="s">
        <v>944</v>
      </c>
      <c r="D65" s="19" t="s">
        <v>148</v>
      </c>
      <c r="E65" s="19" t="s">
        <v>147</v>
      </c>
      <c r="F65" s="19" t="s">
        <v>172</v>
      </c>
      <c r="G65" s="19" t="n">
        <v>10</v>
      </c>
      <c r="H65" s="19" t="s">
        <v>173</v>
      </c>
      <c r="I65" s="20" t="n">
        <v>3.861</v>
      </c>
      <c r="J65" s="19" t="n">
        <f aca="false">IF(I65="","",MIN(Overview!$B$8,MAX(1,CEILING(I65/Overview!$B$7,1))))</f>
        <v>1</v>
      </c>
      <c r="K65" s="19" t="n">
        <v>1</v>
      </c>
      <c r="L65" s="19" t="s">
        <v>1048</v>
      </c>
      <c r="M65" s="20"/>
      <c r="N65" s="19"/>
      <c r="O65" s="19"/>
      <c r="P65" s="19" t="s">
        <v>1198</v>
      </c>
      <c r="Q65" s="19" t="s">
        <v>1199</v>
      </c>
      <c r="R65" s="21" t="n">
        <v>46028</v>
      </c>
      <c r="S65" s="19" t="s">
        <v>1200</v>
      </c>
      <c r="T65" s="19" t="s">
        <v>1201</v>
      </c>
      <c r="U65" s="19" t="str">
        <f aca="false">HYPERLINK("https://macaulaylibrary.org/asset/648568728","Open")</f>
        <v>Open</v>
      </c>
      <c r="V65" s="19"/>
    </row>
    <row r="66" customFormat="false" ht="15" hidden="false" customHeight="false" outlineLevel="0" collapsed="false">
      <c r="A66" s="19" t="s">
        <v>1202</v>
      </c>
      <c r="B66" s="19" t="s">
        <v>943</v>
      </c>
      <c r="C66" s="19" t="s">
        <v>944</v>
      </c>
      <c r="D66" s="19" t="s">
        <v>148</v>
      </c>
      <c r="E66" s="19" t="s">
        <v>147</v>
      </c>
      <c r="F66" s="19" t="s">
        <v>172</v>
      </c>
      <c r="G66" s="19" t="n">
        <v>10</v>
      </c>
      <c r="H66" s="19" t="s">
        <v>173</v>
      </c>
      <c r="I66" s="20" t="n">
        <v>10.089</v>
      </c>
      <c r="J66" s="19" t="n">
        <f aca="false">IF(I66="","",MIN(Overview!$B$8,MAX(1,CEILING(I66/Overview!$B$7,1))))</f>
        <v>3</v>
      </c>
      <c r="K66" s="19" t="n">
        <v>1</v>
      </c>
      <c r="L66" s="19"/>
      <c r="M66" s="20"/>
      <c r="N66" s="19"/>
      <c r="O66" s="19"/>
      <c r="P66" s="19" t="s">
        <v>1203</v>
      </c>
      <c r="Q66" s="19" t="s">
        <v>1204</v>
      </c>
      <c r="R66" s="21" t="n">
        <v>46049</v>
      </c>
      <c r="S66" s="19" t="s">
        <v>1205</v>
      </c>
      <c r="T66" s="19" t="s">
        <v>1206</v>
      </c>
      <c r="U66" s="19" t="str">
        <f aca="false">HYPERLINK("https://macaulaylibrary.org/asset/653762417","Open")</f>
        <v>Open</v>
      </c>
      <c r="V66" s="19"/>
    </row>
    <row r="67" customFormat="false" ht="15" hidden="false" customHeight="false" outlineLevel="0" collapsed="false">
      <c r="A67" s="19" t="s">
        <v>1207</v>
      </c>
      <c r="B67" s="19" t="s">
        <v>943</v>
      </c>
      <c r="C67" s="19" t="s">
        <v>944</v>
      </c>
      <c r="D67" s="19" t="s">
        <v>148</v>
      </c>
      <c r="E67" s="19" t="s">
        <v>147</v>
      </c>
      <c r="F67" s="19" t="s">
        <v>172</v>
      </c>
      <c r="G67" s="19" t="n">
        <v>10</v>
      </c>
      <c r="H67" s="19" t="s">
        <v>173</v>
      </c>
      <c r="I67" s="20" t="n">
        <v>108.603</v>
      </c>
      <c r="J67" s="19" t="n">
        <f aca="false">IF(I67="","",MIN(Overview!$B$8,MAX(1,CEILING(I67/Overview!$B$7,1))))</f>
        <v>22</v>
      </c>
      <c r="K67" s="19" t="n">
        <v>1</v>
      </c>
      <c r="L67" s="19"/>
      <c r="M67" s="20" t="n">
        <v>3</v>
      </c>
      <c r="N67" s="19"/>
      <c r="O67" s="19"/>
      <c r="P67" s="19" t="s">
        <v>1208</v>
      </c>
      <c r="Q67" s="19" t="s">
        <v>980</v>
      </c>
      <c r="R67" s="21" t="n">
        <v>33297</v>
      </c>
      <c r="S67" s="19" t="s">
        <v>1002</v>
      </c>
      <c r="T67" s="19" t="s">
        <v>1209</v>
      </c>
      <c r="U67" s="19" t="str">
        <f aca="false">HYPERLINK("https://macaulaylibrary.org/asset/72624","Open")</f>
        <v>Open</v>
      </c>
      <c r="V67" s="19" t="s">
        <v>1113</v>
      </c>
    </row>
    <row r="68" customFormat="false" ht="15" hidden="false" customHeight="false" outlineLevel="0" collapsed="false">
      <c r="A68" s="19" t="s">
        <v>1210</v>
      </c>
      <c r="B68" s="19" t="s">
        <v>943</v>
      </c>
      <c r="C68" s="19" t="s">
        <v>944</v>
      </c>
      <c r="D68" s="19" t="s">
        <v>148</v>
      </c>
      <c r="E68" s="19" t="s">
        <v>147</v>
      </c>
      <c r="F68" s="19" t="s">
        <v>172</v>
      </c>
      <c r="G68" s="19" t="n">
        <v>10</v>
      </c>
      <c r="H68" s="19" t="s">
        <v>173</v>
      </c>
      <c r="I68" s="20" t="n">
        <v>526.674</v>
      </c>
      <c r="J68" s="19" t="n">
        <f aca="false">IF(I68="","",MIN(Overview!$B$8,MAX(1,CEILING(I68/Overview!$B$7,1))))</f>
        <v>106</v>
      </c>
      <c r="K68" s="19" t="n">
        <v>1</v>
      </c>
      <c r="L68" s="19"/>
      <c r="M68" s="20" t="n">
        <v>3</v>
      </c>
      <c r="N68" s="19"/>
      <c r="O68" s="19"/>
      <c r="P68" s="19" t="s">
        <v>1208</v>
      </c>
      <c r="Q68" s="19" t="s">
        <v>980</v>
      </c>
      <c r="R68" s="21" t="n">
        <v>33297</v>
      </c>
      <c r="S68" s="19" t="s">
        <v>1211</v>
      </c>
      <c r="T68" s="19" t="s">
        <v>1212</v>
      </c>
      <c r="U68" s="19" t="str">
        <f aca="false">HYPERLINK("https://macaulaylibrary.org/asset/72625","Open")</f>
        <v>Open</v>
      </c>
      <c r="V68" s="19" t="s">
        <v>1113</v>
      </c>
    </row>
    <row r="69" customFormat="false" ht="15" hidden="false" customHeight="false" outlineLevel="0" collapsed="false">
      <c r="A69" s="19" t="s">
        <v>1213</v>
      </c>
      <c r="B69" s="19" t="s">
        <v>943</v>
      </c>
      <c r="C69" s="19" t="s">
        <v>944</v>
      </c>
      <c r="D69" s="19" t="s">
        <v>148</v>
      </c>
      <c r="E69" s="19" t="s">
        <v>147</v>
      </c>
      <c r="F69" s="19" t="s">
        <v>172</v>
      </c>
      <c r="G69" s="19" t="n">
        <v>10</v>
      </c>
      <c r="H69" s="19" t="s">
        <v>173</v>
      </c>
      <c r="I69" s="20" t="n">
        <v>750.335</v>
      </c>
      <c r="J69" s="19" t="n">
        <f aca="false">IF(I69="","",MIN(Overview!$B$8,MAX(1,CEILING(I69/Overview!$B$7,1))))</f>
        <v>120</v>
      </c>
      <c r="K69" s="19" t="n">
        <v>1</v>
      </c>
      <c r="L69" s="19"/>
      <c r="M69" s="20" t="n">
        <v>3.6</v>
      </c>
      <c r="N69" s="19"/>
      <c r="O69" s="19"/>
      <c r="P69" s="19" t="s">
        <v>1214</v>
      </c>
      <c r="Q69" s="19" t="s">
        <v>980</v>
      </c>
      <c r="R69" s="21" t="n">
        <v>33300</v>
      </c>
      <c r="S69" s="19" t="s">
        <v>1002</v>
      </c>
      <c r="T69" s="19" t="s">
        <v>1215</v>
      </c>
      <c r="U69" s="19" t="str">
        <f aca="false">HYPERLINK("https://macaulaylibrary.org/asset/72665","Open")</f>
        <v>Open</v>
      </c>
      <c r="V69" s="19" t="s">
        <v>1113</v>
      </c>
    </row>
    <row r="70" customFormat="false" ht="15" hidden="false" customHeight="false" outlineLevel="0" collapsed="false">
      <c r="A70" s="19" t="s">
        <v>1216</v>
      </c>
      <c r="B70" s="19" t="s">
        <v>943</v>
      </c>
      <c r="C70" s="19" t="s">
        <v>944</v>
      </c>
      <c r="D70" s="19" t="s">
        <v>148</v>
      </c>
      <c r="E70" s="19" t="s">
        <v>147</v>
      </c>
      <c r="F70" s="19" t="s">
        <v>172</v>
      </c>
      <c r="G70" s="19" t="n">
        <v>10</v>
      </c>
      <c r="H70" s="19" t="s">
        <v>173</v>
      </c>
      <c r="I70" s="20" t="n">
        <v>57.323</v>
      </c>
      <c r="J70" s="19" t="n">
        <f aca="false">IF(I70="","",MIN(Overview!$B$8,MAX(1,CEILING(I70/Overview!$B$7,1))))</f>
        <v>12</v>
      </c>
      <c r="K70" s="19" t="n">
        <v>1</v>
      </c>
      <c r="L70" s="19"/>
      <c r="M70" s="20" t="n">
        <v>2</v>
      </c>
      <c r="N70" s="19"/>
      <c r="O70" s="19"/>
      <c r="P70" s="19" t="s">
        <v>1217</v>
      </c>
      <c r="Q70" s="19" t="s">
        <v>1218</v>
      </c>
      <c r="R70" s="21" t="n">
        <v>33330</v>
      </c>
      <c r="S70" s="19" t="s">
        <v>1219</v>
      </c>
      <c r="T70" s="19" t="s">
        <v>1220</v>
      </c>
      <c r="U70" s="19" t="str">
        <f aca="false">HYPERLINK("https://macaulaylibrary.org/asset/76625","Open")</f>
        <v>Open</v>
      </c>
      <c r="V70" s="19" t="s">
        <v>1113</v>
      </c>
    </row>
    <row r="71" customFormat="false" ht="15" hidden="false" customHeight="false" outlineLevel="0" collapsed="false">
      <c r="A71" s="19" t="s">
        <v>1221</v>
      </c>
      <c r="B71" s="19" t="s">
        <v>943</v>
      </c>
      <c r="C71" s="19" t="s">
        <v>944</v>
      </c>
      <c r="D71" s="19" t="s">
        <v>148</v>
      </c>
      <c r="E71" s="19" t="s">
        <v>147</v>
      </c>
      <c r="F71" s="19" t="s">
        <v>172</v>
      </c>
      <c r="G71" s="19" t="n">
        <v>10</v>
      </c>
      <c r="H71" s="19" t="s">
        <v>173</v>
      </c>
      <c r="I71" s="20" t="n">
        <v>83.776</v>
      </c>
      <c r="J71" s="19" t="n">
        <f aca="false">IF(I71="","",MIN(Overview!$B$8,MAX(1,CEILING(I71/Overview!$B$7,1))))</f>
        <v>17</v>
      </c>
      <c r="K71" s="19" t="n">
        <v>1</v>
      </c>
      <c r="L71" s="19"/>
      <c r="M71" s="20" t="n">
        <v>2</v>
      </c>
      <c r="N71" s="19"/>
      <c r="O71" s="19"/>
      <c r="P71" s="19" t="s">
        <v>1217</v>
      </c>
      <c r="Q71" s="19" t="s">
        <v>1218</v>
      </c>
      <c r="R71" s="21" t="n">
        <v>33330</v>
      </c>
      <c r="S71" s="19" t="s">
        <v>1222</v>
      </c>
      <c r="T71" s="19" t="s">
        <v>1223</v>
      </c>
      <c r="U71" s="19" t="str">
        <f aca="false">HYPERLINK("https://macaulaylibrary.org/asset/76626","Open")</f>
        <v>Open</v>
      </c>
      <c r="V71" s="19" t="s">
        <v>1113</v>
      </c>
    </row>
    <row r="72" customFormat="false" ht="15" hidden="false" customHeight="false" outlineLevel="0" collapsed="false">
      <c r="A72" s="19" t="s">
        <v>1224</v>
      </c>
      <c r="B72" s="19" t="s">
        <v>943</v>
      </c>
      <c r="C72" s="19" t="s">
        <v>944</v>
      </c>
      <c r="D72" s="19" t="s">
        <v>148</v>
      </c>
      <c r="E72" s="19" t="s">
        <v>147</v>
      </c>
      <c r="F72" s="19" t="s">
        <v>172</v>
      </c>
      <c r="G72" s="19" t="n">
        <v>10</v>
      </c>
      <c r="H72" s="19" t="s">
        <v>173</v>
      </c>
      <c r="I72" s="20" t="n">
        <v>13.221</v>
      </c>
      <c r="J72" s="19" t="n">
        <f aca="false">IF(I72="","",MIN(Overview!$B$8,MAX(1,CEILING(I72/Overview!$B$7,1))))</f>
        <v>3</v>
      </c>
      <c r="K72" s="19" t="n">
        <v>1</v>
      </c>
      <c r="L72" s="19"/>
      <c r="M72" s="20" t="n">
        <v>3</v>
      </c>
      <c r="N72" s="19"/>
      <c r="O72" s="19"/>
      <c r="P72" s="19" t="s">
        <v>1225</v>
      </c>
      <c r="Q72" s="19" t="s">
        <v>1226</v>
      </c>
      <c r="R72" s="21" t="n">
        <v>21274</v>
      </c>
      <c r="S72" s="19" t="s">
        <v>1002</v>
      </c>
      <c r="T72" s="19" t="s">
        <v>1227</v>
      </c>
      <c r="U72" s="19" t="str">
        <f aca="false">HYPERLINK("https://macaulaylibrary.org/asset/9257","Open")</f>
        <v>Open</v>
      </c>
      <c r="V72" s="19" t="s">
        <v>1113</v>
      </c>
    </row>
    <row r="73" customFormat="false" ht="15" hidden="false" customHeight="false" outlineLevel="0" collapsed="false">
      <c r="A73" s="19" t="s">
        <v>1228</v>
      </c>
      <c r="B73" s="19" t="s">
        <v>943</v>
      </c>
      <c r="C73" s="19" t="s">
        <v>944</v>
      </c>
      <c r="D73" s="19" t="s">
        <v>400</v>
      </c>
      <c r="E73" s="19" t="s">
        <v>147</v>
      </c>
      <c r="F73" s="19" t="s">
        <v>589</v>
      </c>
      <c r="G73" s="19" t="n">
        <v>12</v>
      </c>
      <c r="H73" s="19" t="s">
        <v>590</v>
      </c>
      <c r="I73" s="20" t="n">
        <v>204.944</v>
      </c>
      <c r="J73" s="19" t="n">
        <f aca="false">IF(I73="","",MIN(Overview!$B$8,MAX(1,CEILING(I73/Overview!$B$7,1))))</f>
        <v>41</v>
      </c>
      <c r="K73" s="19" t="n">
        <v>1</v>
      </c>
      <c r="L73" s="19"/>
      <c r="M73" s="20" t="n">
        <v>2</v>
      </c>
      <c r="N73" s="19"/>
      <c r="O73" s="19" t="s">
        <v>484</v>
      </c>
      <c r="P73" s="19" t="s">
        <v>1125</v>
      </c>
      <c r="Q73" s="19" t="s">
        <v>980</v>
      </c>
      <c r="R73" s="21" t="n">
        <v>32557</v>
      </c>
      <c r="S73" s="19" t="s">
        <v>1229</v>
      </c>
      <c r="T73" s="19" t="s">
        <v>1230</v>
      </c>
      <c r="U73" s="19" t="str">
        <f aca="false">HYPERLINK("https://macaulaylibrary.org/asset/215398","Open")</f>
        <v>Open</v>
      </c>
      <c r="V73" s="19"/>
    </row>
    <row r="74" customFormat="false" ht="15" hidden="false" customHeight="false" outlineLevel="0" collapsed="false">
      <c r="A74" s="19" t="s">
        <v>1231</v>
      </c>
      <c r="B74" s="19" t="s">
        <v>943</v>
      </c>
      <c r="C74" s="19" t="s">
        <v>944</v>
      </c>
      <c r="D74" s="19" t="s">
        <v>400</v>
      </c>
      <c r="E74" s="19" t="s">
        <v>147</v>
      </c>
      <c r="F74" s="19" t="s">
        <v>589</v>
      </c>
      <c r="G74" s="19" t="n">
        <v>12</v>
      </c>
      <c r="H74" s="19" t="s">
        <v>590</v>
      </c>
      <c r="I74" s="20" t="n">
        <v>16.162</v>
      </c>
      <c r="J74" s="19" t="n">
        <f aca="false">IF(I74="","",MIN(Overview!$B$8,MAX(1,CEILING(I74/Overview!$B$7,1))))</f>
        <v>4</v>
      </c>
      <c r="K74" s="19" t="n">
        <v>1</v>
      </c>
      <c r="L74" s="19"/>
      <c r="M74" s="20"/>
      <c r="N74" s="19"/>
      <c r="O74" s="19"/>
      <c r="P74" s="19" t="s">
        <v>1170</v>
      </c>
      <c r="Q74" s="19" t="s">
        <v>1166</v>
      </c>
      <c r="R74" s="21" t="n">
        <v>44900</v>
      </c>
      <c r="S74" s="19" t="s">
        <v>1092</v>
      </c>
      <c r="T74" s="19" t="s">
        <v>1232</v>
      </c>
      <c r="U74" s="19" t="str">
        <f aca="false">HYPERLINK("https://macaulaylibrary.org/asset/597933821","Open")</f>
        <v>Open</v>
      </c>
      <c r="V74" s="19"/>
    </row>
    <row r="75" customFormat="false" ht="15" hidden="false" customHeight="false" outlineLevel="0" collapsed="false">
      <c r="A75" s="19" t="s">
        <v>1233</v>
      </c>
      <c r="B75" s="19" t="s">
        <v>943</v>
      </c>
      <c r="C75" s="19" t="s">
        <v>944</v>
      </c>
      <c r="D75" s="19" t="s">
        <v>400</v>
      </c>
      <c r="E75" s="19" t="s">
        <v>147</v>
      </c>
      <c r="F75" s="19" t="s">
        <v>589</v>
      </c>
      <c r="G75" s="19" t="n">
        <v>12</v>
      </c>
      <c r="H75" s="19" t="s">
        <v>590</v>
      </c>
      <c r="I75" s="20" t="n">
        <v>89.882</v>
      </c>
      <c r="J75" s="19" t="n">
        <f aca="false">IF(I75="","",MIN(Overview!$B$8,MAX(1,CEILING(I75/Overview!$B$7,1))))</f>
        <v>18</v>
      </c>
      <c r="K75" s="19" t="n">
        <v>1</v>
      </c>
      <c r="L75" s="19"/>
      <c r="M75" s="20" t="n">
        <v>3</v>
      </c>
      <c r="N75" s="19"/>
      <c r="O75" s="19" t="s">
        <v>1234</v>
      </c>
      <c r="P75" s="19" t="s">
        <v>1235</v>
      </c>
      <c r="Q75" s="19" t="s">
        <v>1236</v>
      </c>
      <c r="R75" s="21" t="n">
        <v>46059</v>
      </c>
      <c r="S75" s="19" t="s">
        <v>1237</v>
      </c>
      <c r="T75" s="19" t="s">
        <v>1238</v>
      </c>
      <c r="U75" s="19" t="str">
        <f aca="false">HYPERLINK("https://macaulaylibrary.org/asset/652627151","Open")</f>
        <v>Open</v>
      </c>
      <c r="V75" s="19"/>
    </row>
    <row r="76" customFormat="false" ht="15" hidden="false" customHeight="false" outlineLevel="0" collapsed="false">
      <c r="A76" s="19" t="s">
        <v>1239</v>
      </c>
      <c r="B76" s="19" t="s">
        <v>943</v>
      </c>
      <c r="C76" s="19" t="s">
        <v>944</v>
      </c>
      <c r="D76" s="19" t="s">
        <v>400</v>
      </c>
      <c r="E76" s="19" t="s">
        <v>147</v>
      </c>
      <c r="F76" s="19" t="s">
        <v>517</v>
      </c>
      <c r="G76" s="19" t="n">
        <v>14</v>
      </c>
      <c r="H76" s="19" t="s">
        <v>518</v>
      </c>
      <c r="I76" s="20" t="n">
        <v>478.415</v>
      </c>
      <c r="J76" s="19" t="n">
        <f aca="false">IF(I76="","",MIN(Overview!$B$8,MAX(1,CEILING(I76/Overview!$B$7,1))))</f>
        <v>96</v>
      </c>
      <c r="K76" s="19" t="n">
        <v>1</v>
      </c>
      <c r="L76" s="19"/>
      <c r="M76" s="20" t="n">
        <v>2</v>
      </c>
      <c r="N76" s="19"/>
      <c r="O76" s="19"/>
      <c r="P76" s="19" t="s">
        <v>1058</v>
      </c>
      <c r="Q76" s="19" t="s">
        <v>980</v>
      </c>
      <c r="R76" s="21" t="n">
        <v>32555</v>
      </c>
      <c r="S76" s="19" t="s">
        <v>1240</v>
      </c>
      <c r="T76" s="19" t="s">
        <v>1241</v>
      </c>
      <c r="U76" s="19" t="str">
        <f aca="false">HYPERLINK("https://macaulaylibrary.org/asset/215357","Open")</f>
        <v>Open</v>
      </c>
      <c r="V76" s="19"/>
    </row>
    <row r="77" customFormat="false" ht="15" hidden="false" customHeight="false" outlineLevel="0" collapsed="false">
      <c r="A77" s="19" t="s">
        <v>1242</v>
      </c>
      <c r="B77" s="19" t="s">
        <v>943</v>
      </c>
      <c r="C77" s="19" t="s">
        <v>944</v>
      </c>
      <c r="D77" s="19" t="s">
        <v>400</v>
      </c>
      <c r="E77" s="19" t="s">
        <v>147</v>
      </c>
      <c r="F77" s="19" t="s">
        <v>517</v>
      </c>
      <c r="G77" s="19" t="n">
        <v>14</v>
      </c>
      <c r="H77" s="19" t="s">
        <v>518</v>
      </c>
      <c r="I77" s="20" t="n">
        <v>2</v>
      </c>
      <c r="J77" s="19" t="n">
        <f aca="false">IF(I77="","",MIN(Overview!$B$8,MAX(1,CEILING(I77/Overview!$B$7,1))))</f>
        <v>1</v>
      </c>
      <c r="K77" s="19" t="n">
        <v>1</v>
      </c>
      <c r="L77" s="19" t="s">
        <v>1048</v>
      </c>
      <c r="M77" s="20" t="n">
        <v>4</v>
      </c>
      <c r="N77" s="19"/>
      <c r="O77" s="19"/>
      <c r="P77" s="19" t="s">
        <v>1243</v>
      </c>
      <c r="Q77" s="19" t="s">
        <v>1244</v>
      </c>
      <c r="R77" s="21" t="n">
        <v>44578</v>
      </c>
      <c r="S77" s="19" t="s">
        <v>1245</v>
      </c>
      <c r="T77" s="19" t="s">
        <v>1246</v>
      </c>
      <c r="U77" s="19" t="str">
        <f aca="false">HYPERLINK("https://macaulaylibrary.org/asset/413656301","Open")</f>
        <v>Open</v>
      </c>
      <c r="V77" s="19"/>
    </row>
    <row r="78" customFormat="false" ht="15" hidden="false" customHeight="false" outlineLevel="0" collapsed="false">
      <c r="A78" s="19" t="s">
        <v>1247</v>
      </c>
      <c r="B78" s="19" t="s">
        <v>943</v>
      </c>
      <c r="C78" s="19" t="s">
        <v>944</v>
      </c>
      <c r="D78" s="19" t="s">
        <v>400</v>
      </c>
      <c r="E78" s="19" t="s">
        <v>147</v>
      </c>
      <c r="F78" s="19" t="s">
        <v>517</v>
      </c>
      <c r="G78" s="19" t="n">
        <v>14</v>
      </c>
      <c r="H78" s="19" t="s">
        <v>518</v>
      </c>
      <c r="I78" s="20" t="n">
        <v>24.624</v>
      </c>
      <c r="J78" s="19" t="n">
        <f aca="false">IF(I78="","",MIN(Overview!$B$8,MAX(1,CEILING(I78/Overview!$B$7,1))))</f>
        <v>5</v>
      </c>
      <c r="K78" s="19" t="n">
        <v>1</v>
      </c>
      <c r="L78" s="19"/>
      <c r="M78" s="20" t="n">
        <v>3</v>
      </c>
      <c r="N78" s="19"/>
      <c r="O78" s="19"/>
      <c r="P78" s="19" t="s">
        <v>1248</v>
      </c>
      <c r="Q78" s="19" t="s">
        <v>1249</v>
      </c>
      <c r="R78" s="21" t="n">
        <v>44845</v>
      </c>
      <c r="S78" s="19" t="s">
        <v>1102</v>
      </c>
      <c r="T78" s="19" t="s">
        <v>1250</v>
      </c>
      <c r="U78" s="19" t="str">
        <f aca="false">HYPERLINK("https://macaulaylibrary.org/asset/553731161","Open")</f>
        <v>Open</v>
      </c>
      <c r="V78" s="19"/>
    </row>
    <row r="79" customFormat="false" ht="15" hidden="false" customHeight="false" outlineLevel="0" collapsed="false">
      <c r="A79" s="19" t="s">
        <v>1251</v>
      </c>
      <c r="B79" s="19" t="s">
        <v>943</v>
      </c>
      <c r="C79" s="19" t="s">
        <v>944</v>
      </c>
      <c r="D79" s="19" t="s">
        <v>400</v>
      </c>
      <c r="E79" s="19" t="s">
        <v>147</v>
      </c>
      <c r="F79" s="19" t="s">
        <v>517</v>
      </c>
      <c r="G79" s="19" t="n">
        <v>14</v>
      </c>
      <c r="H79" s="19" t="s">
        <v>518</v>
      </c>
      <c r="I79" s="20" t="n">
        <v>9.57</v>
      </c>
      <c r="J79" s="19" t="n">
        <f aca="false">IF(I79="","",MIN(Overview!$B$8,MAX(1,CEILING(I79/Overview!$B$7,1))))</f>
        <v>2</v>
      </c>
      <c r="K79" s="19" t="n">
        <v>1</v>
      </c>
      <c r="L79" s="19"/>
      <c r="M79" s="20" t="n">
        <v>5</v>
      </c>
      <c r="N79" s="19"/>
      <c r="O79" s="19"/>
      <c r="P79" s="19" t="s">
        <v>1252</v>
      </c>
      <c r="Q79" s="19" t="s">
        <v>1253</v>
      </c>
      <c r="R79" s="21" t="n">
        <v>45328</v>
      </c>
      <c r="S79" s="19" t="s">
        <v>1254</v>
      </c>
      <c r="T79" s="19" t="s">
        <v>1255</v>
      </c>
      <c r="U79" s="19" t="str">
        <f aca="false">HYPERLINK("https://macaulaylibrary.org/asset/614485257","Open")</f>
        <v>Open</v>
      </c>
      <c r="V79" s="19"/>
    </row>
    <row r="80" customFormat="false" ht="15" hidden="false" customHeight="false" outlineLevel="0" collapsed="false">
      <c r="A80" s="19" t="s">
        <v>1256</v>
      </c>
      <c r="B80" s="19" t="s">
        <v>943</v>
      </c>
      <c r="C80" s="19" t="s">
        <v>944</v>
      </c>
      <c r="D80" s="19" t="s">
        <v>400</v>
      </c>
      <c r="E80" s="19" t="s">
        <v>147</v>
      </c>
      <c r="F80" s="19" t="s">
        <v>517</v>
      </c>
      <c r="G80" s="19" t="n">
        <v>14</v>
      </c>
      <c r="H80" s="19" t="s">
        <v>518</v>
      </c>
      <c r="I80" s="20" t="n">
        <v>58.816</v>
      </c>
      <c r="J80" s="19" t="n">
        <f aca="false">IF(I80="","",MIN(Overview!$B$8,MAX(1,CEILING(I80/Overview!$B$7,1))))</f>
        <v>12</v>
      </c>
      <c r="K80" s="19" t="n">
        <v>1</v>
      </c>
      <c r="L80" s="19"/>
      <c r="M80" s="20"/>
      <c r="N80" s="19"/>
      <c r="O80" s="19"/>
      <c r="P80" s="19" t="s">
        <v>1257</v>
      </c>
      <c r="Q80" s="19" t="s">
        <v>1258</v>
      </c>
      <c r="R80" s="21" t="n">
        <v>45231</v>
      </c>
      <c r="S80" s="19" t="s">
        <v>1259</v>
      </c>
      <c r="T80" s="19" t="s">
        <v>1260</v>
      </c>
      <c r="U80" s="19" t="str">
        <f aca="false">HYPERLINK("https://macaulaylibrary.org/asset/621760300","Open")</f>
        <v>Open</v>
      </c>
      <c r="V80" s="19"/>
    </row>
    <row r="81" customFormat="false" ht="15" hidden="false" customHeight="false" outlineLevel="0" collapsed="false">
      <c r="A81" s="19" t="s">
        <v>1261</v>
      </c>
      <c r="B81" s="19" t="s">
        <v>943</v>
      </c>
      <c r="C81" s="19" t="s">
        <v>944</v>
      </c>
      <c r="D81" s="19" t="s">
        <v>400</v>
      </c>
      <c r="E81" s="19" t="s">
        <v>147</v>
      </c>
      <c r="F81" s="19" t="s">
        <v>638</v>
      </c>
      <c r="G81" s="19" t="n">
        <v>16</v>
      </c>
      <c r="H81" s="19" t="s">
        <v>639</v>
      </c>
      <c r="I81" s="20" t="n">
        <v>39.63</v>
      </c>
      <c r="J81" s="19" t="n">
        <f aca="false">IF(I81="","",MIN(Overview!$B$8,MAX(1,CEILING(I81/Overview!$B$7,1))))</f>
        <v>8</v>
      </c>
      <c r="K81" s="19" t="n">
        <v>1</v>
      </c>
      <c r="L81" s="19"/>
      <c r="M81" s="20"/>
      <c r="N81" s="19"/>
      <c r="O81" s="19"/>
      <c r="P81" s="19" t="s">
        <v>1262</v>
      </c>
      <c r="Q81" s="19" t="s">
        <v>1263</v>
      </c>
      <c r="R81" s="21" t="n">
        <v>44651</v>
      </c>
      <c r="S81" s="19" t="s">
        <v>1264</v>
      </c>
      <c r="T81" s="19" t="s">
        <v>1265</v>
      </c>
      <c r="U81" s="19" t="str">
        <f aca="false">HYPERLINK("https://macaulaylibrary.org/asset/434305051","Open")</f>
        <v>Open</v>
      </c>
      <c r="V81" s="19"/>
    </row>
    <row r="82" customFormat="false" ht="15" hidden="false" customHeight="false" outlineLevel="0" collapsed="false">
      <c r="A82" s="19" t="s">
        <v>1266</v>
      </c>
      <c r="B82" s="19" t="s">
        <v>943</v>
      </c>
      <c r="C82" s="19" t="s">
        <v>944</v>
      </c>
      <c r="D82" s="19" t="s">
        <v>400</v>
      </c>
      <c r="E82" s="19" t="s">
        <v>147</v>
      </c>
      <c r="F82" s="19" t="s">
        <v>638</v>
      </c>
      <c r="G82" s="19" t="n">
        <v>16</v>
      </c>
      <c r="H82" s="19" t="s">
        <v>639</v>
      </c>
      <c r="I82" s="20" t="n">
        <v>54.194</v>
      </c>
      <c r="J82" s="19" t="n">
        <f aca="false">IF(I82="","",MIN(Overview!$B$8,MAX(1,CEILING(I82/Overview!$B$7,1))))</f>
        <v>11</v>
      </c>
      <c r="K82" s="19" t="n">
        <v>1</v>
      </c>
      <c r="L82" s="19"/>
      <c r="M82" s="20"/>
      <c r="N82" s="19"/>
      <c r="O82" s="19"/>
      <c r="P82" s="19" t="s">
        <v>1267</v>
      </c>
      <c r="Q82" s="19" t="s">
        <v>1268</v>
      </c>
      <c r="R82" s="21" t="n">
        <v>46071</v>
      </c>
      <c r="S82" s="19" t="s">
        <v>1269</v>
      </c>
      <c r="T82" s="19" t="s">
        <v>1270</v>
      </c>
      <c r="U82" s="19" t="str">
        <f aca="false">HYPERLINK("https://macaulaylibrary.org/asset/651247967","Open")</f>
        <v>Open</v>
      </c>
      <c r="V82" s="19"/>
    </row>
    <row r="83" customFormat="false" ht="15" hidden="false" customHeight="false" outlineLevel="0" collapsed="false">
      <c r="A83" s="19" t="s">
        <v>1271</v>
      </c>
      <c r="B83" s="19" t="s">
        <v>943</v>
      </c>
      <c r="C83" s="19" t="s">
        <v>944</v>
      </c>
      <c r="D83" s="19" t="s">
        <v>148</v>
      </c>
      <c r="E83" s="19" t="s">
        <v>147</v>
      </c>
      <c r="F83" s="19" t="s">
        <v>237</v>
      </c>
      <c r="G83" s="19" t="n">
        <v>18</v>
      </c>
      <c r="H83" s="19" t="s">
        <v>238</v>
      </c>
      <c r="I83" s="20" t="n">
        <v>19.731</v>
      </c>
      <c r="J83" s="19" t="n">
        <f aca="false">IF(I83="","",MIN(Overview!$B$8,MAX(1,CEILING(I83/Overview!$B$7,1))))</f>
        <v>4</v>
      </c>
      <c r="K83" s="19" t="n">
        <v>1</v>
      </c>
      <c r="L83" s="19"/>
      <c r="M83" s="20" t="n">
        <v>2</v>
      </c>
      <c r="N83" s="19"/>
      <c r="O83" s="19"/>
      <c r="P83" s="19" t="s">
        <v>974</v>
      </c>
      <c r="Q83" s="19" t="s">
        <v>975</v>
      </c>
      <c r="R83" s="21" t="n">
        <v>43666</v>
      </c>
      <c r="S83" s="19" t="s">
        <v>976</v>
      </c>
      <c r="T83" s="19" t="s">
        <v>1272</v>
      </c>
      <c r="U83" s="19" t="str">
        <f aca="false">HYPERLINK("https://macaulaylibrary.org/asset/179452891","Open")</f>
        <v>Open</v>
      </c>
      <c r="V83" s="19"/>
    </row>
    <row r="84" customFormat="false" ht="15" hidden="false" customHeight="false" outlineLevel="0" collapsed="false">
      <c r="A84" s="19" t="s">
        <v>1273</v>
      </c>
      <c r="B84" s="19" t="s">
        <v>943</v>
      </c>
      <c r="C84" s="19" t="s">
        <v>944</v>
      </c>
      <c r="D84" s="19" t="s">
        <v>148</v>
      </c>
      <c r="E84" s="19" t="s">
        <v>147</v>
      </c>
      <c r="F84" s="19" t="s">
        <v>237</v>
      </c>
      <c r="G84" s="19" t="n">
        <v>18</v>
      </c>
      <c r="H84" s="19" t="s">
        <v>238</v>
      </c>
      <c r="I84" s="20" t="n">
        <v>132.499</v>
      </c>
      <c r="J84" s="19" t="n">
        <f aca="false">IF(I84="","",MIN(Overview!$B$8,MAX(1,CEILING(I84/Overview!$B$7,1))))</f>
        <v>27</v>
      </c>
      <c r="K84" s="19" t="n">
        <v>1</v>
      </c>
      <c r="L84" s="19"/>
      <c r="M84" s="20" t="n">
        <v>2</v>
      </c>
      <c r="N84" s="19"/>
      <c r="O84" s="19"/>
      <c r="P84" s="19" t="s">
        <v>1274</v>
      </c>
      <c r="Q84" s="19" t="s">
        <v>980</v>
      </c>
      <c r="R84" s="21" t="n">
        <v>35209</v>
      </c>
      <c r="S84" s="19" t="s">
        <v>1275</v>
      </c>
      <c r="T84" s="19" t="s">
        <v>1276</v>
      </c>
      <c r="U84" s="19" t="str">
        <f aca="false">HYPERLINK("https://macaulaylibrary.org/asset/185566","Open")</f>
        <v>Open</v>
      </c>
      <c r="V84" s="19"/>
    </row>
    <row r="85" customFormat="false" ht="15" hidden="false" customHeight="false" outlineLevel="0" collapsed="false">
      <c r="A85" s="19" t="s">
        <v>1277</v>
      </c>
      <c r="B85" s="19" t="s">
        <v>943</v>
      </c>
      <c r="C85" s="19" t="s">
        <v>944</v>
      </c>
      <c r="D85" s="19" t="s">
        <v>148</v>
      </c>
      <c r="E85" s="19" t="s">
        <v>147</v>
      </c>
      <c r="F85" s="19" t="s">
        <v>237</v>
      </c>
      <c r="G85" s="19" t="n">
        <v>18</v>
      </c>
      <c r="H85" s="19" t="s">
        <v>238</v>
      </c>
      <c r="I85" s="20" t="n">
        <v>22.968</v>
      </c>
      <c r="J85" s="19" t="n">
        <f aca="false">IF(I85="","",MIN(Overview!$B$8,MAX(1,CEILING(I85/Overview!$B$7,1))))</f>
        <v>5</v>
      </c>
      <c r="K85" s="19" t="n">
        <v>1</v>
      </c>
      <c r="L85" s="19"/>
      <c r="M85" s="20"/>
      <c r="N85" s="19"/>
      <c r="O85" s="19"/>
      <c r="P85" s="19" t="s">
        <v>1278</v>
      </c>
      <c r="Q85" s="19" t="s">
        <v>1030</v>
      </c>
      <c r="R85" s="21" t="n">
        <v>33597</v>
      </c>
      <c r="S85" s="19" t="s">
        <v>1279</v>
      </c>
      <c r="T85" s="19" t="s">
        <v>1280</v>
      </c>
      <c r="U85" s="19" t="str">
        <f aca="false">HYPERLINK("https://macaulaylibrary.org/asset/285628","Open")</f>
        <v>Open</v>
      </c>
      <c r="V85" s="19"/>
    </row>
    <row r="86" customFormat="false" ht="15" hidden="false" customHeight="false" outlineLevel="0" collapsed="false">
      <c r="A86" s="19" t="s">
        <v>1281</v>
      </c>
      <c r="B86" s="19" t="s">
        <v>943</v>
      </c>
      <c r="C86" s="19" t="s">
        <v>944</v>
      </c>
      <c r="D86" s="19" t="s">
        <v>148</v>
      </c>
      <c r="E86" s="19" t="s">
        <v>147</v>
      </c>
      <c r="F86" s="19" t="s">
        <v>237</v>
      </c>
      <c r="G86" s="19" t="n">
        <v>18</v>
      </c>
      <c r="H86" s="19" t="s">
        <v>238</v>
      </c>
      <c r="I86" s="20" t="n">
        <v>23.253</v>
      </c>
      <c r="J86" s="19" t="n">
        <f aca="false">IF(I86="","",MIN(Overview!$B$8,MAX(1,CEILING(I86/Overview!$B$7,1))))</f>
        <v>5</v>
      </c>
      <c r="K86" s="19" t="n">
        <v>1</v>
      </c>
      <c r="L86" s="19"/>
      <c r="M86" s="20"/>
      <c r="N86" s="19"/>
      <c r="O86" s="19"/>
      <c r="P86" s="19" t="s">
        <v>1029</v>
      </c>
      <c r="Q86" s="19" t="s">
        <v>1030</v>
      </c>
      <c r="R86" s="21" t="n">
        <v>40251</v>
      </c>
      <c r="S86" s="19" t="s">
        <v>1282</v>
      </c>
      <c r="T86" s="19" t="s">
        <v>1283</v>
      </c>
      <c r="U86" s="19" t="str">
        <f aca="false">HYPERLINK("https://macaulaylibrary.org/asset/299638","Open")</f>
        <v>Open</v>
      </c>
      <c r="V86" s="19"/>
    </row>
    <row r="87" customFormat="false" ht="15" hidden="false" customHeight="false" outlineLevel="0" collapsed="false">
      <c r="A87" s="19" t="s">
        <v>1284</v>
      </c>
      <c r="B87" s="19" t="s">
        <v>943</v>
      </c>
      <c r="C87" s="19" t="s">
        <v>944</v>
      </c>
      <c r="D87" s="19" t="s">
        <v>148</v>
      </c>
      <c r="E87" s="19" t="s">
        <v>147</v>
      </c>
      <c r="F87" s="19" t="s">
        <v>237</v>
      </c>
      <c r="G87" s="19" t="n">
        <v>18</v>
      </c>
      <c r="H87" s="19" t="s">
        <v>238</v>
      </c>
      <c r="I87" s="20" t="n">
        <v>43.186</v>
      </c>
      <c r="J87" s="19" t="n">
        <f aca="false">IF(I87="","",MIN(Overview!$B$8,MAX(1,CEILING(I87/Overview!$B$7,1))))</f>
        <v>9</v>
      </c>
      <c r="K87" s="19" t="n">
        <v>1</v>
      </c>
      <c r="L87" s="19"/>
      <c r="M87" s="20"/>
      <c r="N87" s="19"/>
      <c r="O87" s="19"/>
      <c r="P87" s="19" t="s">
        <v>1029</v>
      </c>
      <c r="Q87" s="19" t="s">
        <v>1030</v>
      </c>
      <c r="R87" s="21" t="n">
        <v>40251</v>
      </c>
      <c r="S87" s="19" t="s">
        <v>1285</v>
      </c>
      <c r="T87" s="19" t="s">
        <v>1286</v>
      </c>
      <c r="U87" s="19" t="str">
        <f aca="false">HYPERLINK("https://macaulaylibrary.org/asset/299639","Open")</f>
        <v>Open</v>
      </c>
      <c r="V87" s="19"/>
    </row>
    <row r="88" customFormat="false" ht="15" hidden="false" customHeight="false" outlineLevel="0" collapsed="false">
      <c r="A88" s="19" t="s">
        <v>1287</v>
      </c>
      <c r="B88" s="19" t="s">
        <v>943</v>
      </c>
      <c r="C88" s="19" t="s">
        <v>944</v>
      </c>
      <c r="D88" s="19" t="s">
        <v>148</v>
      </c>
      <c r="E88" s="19" t="s">
        <v>147</v>
      </c>
      <c r="F88" s="19" t="s">
        <v>237</v>
      </c>
      <c r="G88" s="19" t="n">
        <v>18</v>
      </c>
      <c r="H88" s="19" t="s">
        <v>238</v>
      </c>
      <c r="I88" s="20" t="n">
        <v>32.252</v>
      </c>
      <c r="J88" s="19" t="n">
        <f aca="false">IF(I88="","",MIN(Overview!$B$8,MAX(1,CEILING(I88/Overview!$B$7,1))))</f>
        <v>7</v>
      </c>
      <c r="K88" s="19" t="n">
        <v>1</v>
      </c>
      <c r="L88" s="19"/>
      <c r="M88" s="20" t="n">
        <v>2</v>
      </c>
      <c r="N88" s="19"/>
      <c r="O88" s="19"/>
      <c r="P88" s="19" t="s">
        <v>1288</v>
      </c>
      <c r="Q88" s="19" t="s">
        <v>1289</v>
      </c>
      <c r="R88" s="21" t="n">
        <v>42539</v>
      </c>
      <c r="S88" s="19" t="s">
        <v>1290</v>
      </c>
      <c r="T88" s="19" t="s">
        <v>1291</v>
      </c>
      <c r="U88" s="19" t="str">
        <f aca="false">HYPERLINK("https://macaulaylibrary.org/asset/32600991","Open")</f>
        <v>Open</v>
      </c>
      <c r="V88" s="19"/>
    </row>
    <row r="89" customFormat="false" ht="15" hidden="false" customHeight="false" outlineLevel="0" collapsed="false">
      <c r="A89" s="19" t="s">
        <v>1292</v>
      </c>
      <c r="B89" s="19" t="s">
        <v>943</v>
      </c>
      <c r="C89" s="19" t="s">
        <v>944</v>
      </c>
      <c r="D89" s="19" t="s">
        <v>148</v>
      </c>
      <c r="E89" s="19" t="s">
        <v>147</v>
      </c>
      <c r="F89" s="19" t="s">
        <v>237</v>
      </c>
      <c r="G89" s="19" t="n">
        <v>18</v>
      </c>
      <c r="H89" s="19" t="s">
        <v>238</v>
      </c>
      <c r="I89" s="20" t="n">
        <v>29.16</v>
      </c>
      <c r="J89" s="19" t="n">
        <f aca="false">IF(I89="","",MIN(Overview!$B$8,MAX(1,CEILING(I89/Overview!$B$7,1))))</f>
        <v>6</v>
      </c>
      <c r="K89" s="19" t="n">
        <v>1</v>
      </c>
      <c r="L89" s="19"/>
      <c r="M89" s="20"/>
      <c r="N89" s="19"/>
      <c r="O89" s="19"/>
      <c r="P89" s="19" t="s">
        <v>1293</v>
      </c>
      <c r="Q89" s="19" t="s">
        <v>1294</v>
      </c>
      <c r="R89" s="21" t="n">
        <v>44901</v>
      </c>
      <c r="S89" s="19" t="s">
        <v>1137</v>
      </c>
      <c r="T89" s="19" t="s">
        <v>1295</v>
      </c>
      <c r="U89" s="19" t="str">
        <f aca="false">HYPERLINK("https://macaulaylibrary.org/asset/516200181","Open")</f>
        <v>Open</v>
      </c>
      <c r="V89" s="19"/>
    </row>
    <row r="90" customFormat="false" ht="15" hidden="false" customHeight="false" outlineLevel="0" collapsed="false">
      <c r="A90" s="19" t="s">
        <v>1296</v>
      </c>
      <c r="B90" s="19" t="s">
        <v>943</v>
      </c>
      <c r="C90" s="19" t="s">
        <v>944</v>
      </c>
      <c r="D90" s="19" t="s">
        <v>148</v>
      </c>
      <c r="E90" s="19" t="s">
        <v>147</v>
      </c>
      <c r="F90" s="19" t="s">
        <v>237</v>
      </c>
      <c r="G90" s="19" t="n">
        <v>18</v>
      </c>
      <c r="H90" s="19" t="s">
        <v>238</v>
      </c>
      <c r="I90" s="20" t="n">
        <v>54.38</v>
      </c>
      <c r="J90" s="19" t="n">
        <f aca="false">IF(I90="","",MIN(Overview!$B$8,MAX(1,CEILING(I90/Overview!$B$7,1))))</f>
        <v>11</v>
      </c>
      <c r="K90" s="19" t="n">
        <v>1</v>
      </c>
      <c r="L90" s="19"/>
      <c r="M90" s="20"/>
      <c r="N90" s="19"/>
      <c r="O90" s="19"/>
      <c r="P90" s="19" t="s">
        <v>1297</v>
      </c>
      <c r="Q90" s="19" t="s">
        <v>1298</v>
      </c>
      <c r="R90" s="21" t="n">
        <v>44994</v>
      </c>
      <c r="S90" s="19" t="s">
        <v>1299</v>
      </c>
      <c r="T90" s="19" t="s">
        <v>1300</v>
      </c>
      <c r="U90" s="19" t="str">
        <f aca="false">HYPERLINK("https://macaulaylibrary.org/asset/543646231","Open")</f>
        <v>Open</v>
      </c>
      <c r="V90" s="19"/>
    </row>
    <row r="91" customFormat="false" ht="15" hidden="false" customHeight="false" outlineLevel="0" collapsed="false">
      <c r="A91" s="19" t="s">
        <v>1301</v>
      </c>
      <c r="B91" s="19" t="s">
        <v>943</v>
      </c>
      <c r="C91" s="19" t="s">
        <v>944</v>
      </c>
      <c r="D91" s="19" t="s">
        <v>148</v>
      </c>
      <c r="E91" s="19" t="s">
        <v>147</v>
      </c>
      <c r="F91" s="19" t="s">
        <v>237</v>
      </c>
      <c r="G91" s="19" t="n">
        <v>18</v>
      </c>
      <c r="H91" s="19" t="s">
        <v>238</v>
      </c>
      <c r="I91" s="20" t="n">
        <v>345.155</v>
      </c>
      <c r="J91" s="19" t="n">
        <f aca="false">IF(I91="","",MIN(Overview!$B$8,MAX(1,CEILING(I91/Overview!$B$7,1))))</f>
        <v>70</v>
      </c>
      <c r="K91" s="19" t="n">
        <v>1</v>
      </c>
      <c r="L91" s="19"/>
      <c r="M91" s="20" t="n">
        <v>3</v>
      </c>
      <c r="N91" s="19"/>
      <c r="O91" s="19"/>
      <c r="P91" s="19" t="s">
        <v>1161</v>
      </c>
      <c r="Q91" s="19" t="s">
        <v>980</v>
      </c>
      <c r="R91" s="21" t="n">
        <v>33292</v>
      </c>
      <c r="S91" s="19" t="s">
        <v>1302</v>
      </c>
      <c r="T91" s="19" t="s">
        <v>1303</v>
      </c>
      <c r="U91" s="19" t="str">
        <f aca="false">HYPERLINK("https://macaulaylibrary.org/asset/57487","Open")</f>
        <v>Open</v>
      </c>
      <c r="V91" s="19"/>
    </row>
    <row r="92" customFormat="false" ht="15" hidden="false" customHeight="false" outlineLevel="0" collapsed="false">
      <c r="A92" s="19" t="s">
        <v>1304</v>
      </c>
      <c r="B92" s="19" t="s">
        <v>943</v>
      </c>
      <c r="C92" s="19" t="s">
        <v>944</v>
      </c>
      <c r="D92" s="19" t="s">
        <v>148</v>
      </c>
      <c r="E92" s="19" t="s">
        <v>147</v>
      </c>
      <c r="F92" s="19" t="s">
        <v>237</v>
      </c>
      <c r="G92" s="19" t="n">
        <v>18</v>
      </c>
      <c r="H92" s="19" t="s">
        <v>238</v>
      </c>
      <c r="I92" s="20" t="n">
        <v>12.651</v>
      </c>
      <c r="J92" s="19" t="n">
        <f aca="false">IF(I92="","",MIN(Overview!$B$8,MAX(1,CEILING(I92/Overview!$B$7,1))))</f>
        <v>3</v>
      </c>
      <c r="K92" s="19" t="n">
        <v>1</v>
      </c>
      <c r="L92" s="19"/>
      <c r="M92" s="20" t="n">
        <v>5</v>
      </c>
      <c r="N92" s="19"/>
      <c r="O92" s="19"/>
      <c r="P92" s="19" t="s">
        <v>1305</v>
      </c>
      <c r="Q92" s="19" t="s">
        <v>965</v>
      </c>
      <c r="R92" s="21" t="n">
        <v>45276</v>
      </c>
      <c r="S92" s="19" t="s">
        <v>1306</v>
      </c>
      <c r="T92" s="19" t="s">
        <v>1307</v>
      </c>
      <c r="U92" s="19" t="str">
        <f aca="false">HYPERLINK("https://macaulaylibrary.org/asset/612315883","Open")</f>
        <v>Open</v>
      </c>
      <c r="V92" s="19"/>
    </row>
    <row r="93" customFormat="false" ht="15" hidden="false" customHeight="false" outlineLevel="0" collapsed="false">
      <c r="A93" s="19" t="s">
        <v>1308</v>
      </c>
      <c r="B93" s="19" t="s">
        <v>943</v>
      </c>
      <c r="C93" s="19" t="s">
        <v>944</v>
      </c>
      <c r="D93" s="19" t="s">
        <v>148</v>
      </c>
      <c r="E93" s="19" t="s">
        <v>147</v>
      </c>
      <c r="F93" s="19" t="s">
        <v>237</v>
      </c>
      <c r="G93" s="19" t="n">
        <v>18</v>
      </c>
      <c r="H93" s="19" t="s">
        <v>238</v>
      </c>
      <c r="I93" s="20" t="n">
        <v>30.44</v>
      </c>
      <c r="J93" s="19" t="n">
        <f aca="false">IF(I93="","",MIN(Overview!$B$8,MAX(1,CEILING(I93/Overview!$B$7,1))))</f>
        <v>7</v>
      </c>
      <c r="K93" s="19" t="n">
        <v>1</v>
      </c>
      <c r="L93" s="19"/>
      <c r="M93" s="20" t="n">
        <v>3</v>
      </c>
      <c r="N93" s="19"/>
      <c r="O93" s="19" t="s">
        <v>169</v>
      </c>
      <c r="P93" s="19" t="s">
        <v>1309</v>
      </c>
      <c r="Q93" s="19" t="s">
        <v>1310</v>
      </c>
      <c r="R93" s="21" t="n">
        <v>44937</v>
      </c>
      <c r="S93" s="19" t="s">
        <v>1311</v>
      </c>
      <c r="T93" s="19" t="s">
        <v>1312</v>
      </c>
      <c r="U93" s="19" t="str">
        <f aca="false">HYPERLINK("https://macaulaylibrary.org/asset/612714058","Open")</f>
        <v>Open</v>
      </c>
      <c r="V93" s="19"/>
    </row>
    <row r="94" customFormat="false" ht="15" hidden="false" customHeight="false" outlineLevel="0" collapsed="false">
      <c r="A94" s="19" t="s">
        <v>1313</v>
      </c>
      <c r="B94" s="19" t="s">
        <v>943</v>
      </c>
      <c r="C94" s="19" t="s">
        <v>944</v>
      </c>
      <c r="D94" s="19" t="s">
        <v>148</v>
      </c>
      <c r="E94" s="19" t="s">
        <v>147</v>
      </c>
      <c r="F94" s="19" t="s">
        <v>237</v>
      </c>
      <c r="G94" s="19" t="n">
        <v>18</v>
      </c>
      <c r="H94" s="19" t="s">
        <v>238</v>
      </c>
      <c r="I94" s="20" t="n">
        <v>23.665</v>
      </c>
      <c r="J94" s="19" t="n">
        <f aca="false">IF(I94="","",MIN(Overview!$B$8,MAX(1,CEILING(I94/Overview!$B$7,1))))</f>
        <v>5</v>
      </c>
      <c r="K94" s="19" t="n">
        <v>1</v>
      </c>
      <c r="L94" s="19"/>
      <c r="M94" s="20" t="n">
        <v>3</v>
      </c>
      <c r="N94" s="19"/>
      <c r="O94" s="19"/>
      <c r="P94" s="19" t="s">
        <v>1314</v>
      </c>
      <c r="Q94" s="19" t="s">
        <v>956</v>
      </c>
      <c r="R94" s="21" t="n">
        <v>45301</v>
      </c>
      <c r="S94" s="19" t="s">
        <v>1315</v>
      </c>
      <c r="T94" s="19" t="s">
        <v>1316</v>
      </c>
      <c r="U94" s="19" t="str">
        <f aca="false">HYPERLINK("https://macaulaylibrary.org/asset/613430295","Open")</f>
        <v>Open</v>
      </c>
      <c r="V94" s="19"/>
    </row>
    <row r="95" customFormat="false" ht="15" hidden="false" customHeight="false" outlineLevel="0" collapsed="false">
      <c r="A95" s="19" t="s">
        <v>1317</v>
      </c>
      <c r="B95" s="19" t="s">
        <v>943</v>
      </c>
      <c r="C95" s="19" t="s">
        <v>944</v>
      </c>
      <c r="D95" s="19" t="s">
        <v>148</v>
      </c>
      <c r="E95" s="19" t="s">
        <v>147</v>
      </c>
      <c r="F95" s="19" t="s">
        <v>237</v>
      </c>
      <c r="G95" s="19" t="n">
        <v>18</v>
      </c>
      <c r="H95" s="19" t="s">
        <v>238</v>
      </c>
      <c r="I95" s="20" t="n">
        <v>10.866</v>
      </c>
      <c r="J95" s="19" t="n">
        <f aca="false">IF(I95="","",MIN(Overview!$B$8,MAX(1,CEILING(I95/Overview!$B$7,1))))</f>
        <v>3</v>
      </c>
      <c r="K95" s="19" t="n">
        <v>1</v>
      </c>
      <c r="L95" s="19"/>
      <c r="M95" s="20" t="n">
        <v>1</v>
      </c>
      <c r="N95" s="19"/>
      <c r="O95" s="19"/>
      <c r="P95" s="19" t="s">
        <v>1318</v>
      </c>
      <c r="Q95" s="19" t="s">
        <v>1319</v>
      </c>
      <c r="R95" s="21" t="n">
        <v>44680</v>
      </c>
      <c r="S95" s="19" t="s">
        <v>1320</v>
      </c>
      <c r="T95" s="19" t="s">
        <v>1321</v>
      </c>
      <c r="U95" s="19" t="str">
        <f aca="false">HYPERLINK("https://macaulaylibrary.org/asset/614213831","Open")</f>
        <v>Open</v>
      </c>
      <c r="V95" s="19"/>
    </row>
    <row r="96" customFormat="false" ht="15" hidden="false" customHeight="false" outlineLevel="0" collapsed="false">
      <c r="A96" s="19" t="s">
        <v>1322</v>
      </c>
      <c r="B96" s="19" t="s">
        <v>943</v>
      </c>
      <c r="C96" s="19" t="s">
        <v>944</v>
      </c>
      <c r="D96" s="19" t="s">
        <v>148</v>
      </c>
      <c r="E96" s="19" t="s">
        <v>147</v>
      </c>
      <c r="F96" s="19" t="s">
        <v>237</v>
      </c>
      <c r="G96" s="19" t="n">
        <v>18</v>
      </c>
      <c r="H96" s="19" t="s">
        <v>238</v>
      </c>
      <c r="I96" s="20" t="n">
        <v>21.827</v>
      </c>
      <c r="J96" s="19" t="n">
        <f aca="false">IF(I96="","",MIN(Overview!$B$8,MAX(1,CEILING(I96/Overview!$B$7,1))))</f>
        <v>5</v>
      </c>
      <c r="K96" s="19" t="n">
        <v>1</v>
      </c>
      <c r="L96" s="19"/>
      <c r="M96" s="20"/>
      <c r="N96" s="19"/>
      <c r="O96" s="19"/>
      <c r="P96" s="19" t="s">
        <v>1323</v>
      </c>
      <c r="Q96" s="19" t="s">
        <v>1324</v>
      </c>
      <c r="R96" s="21" t="n">
        <v>45367</v>
      </c>
      <c r="S96" s="19" t="s">
        <v>1325</v>
      </c>
      <c r="T96" s="19" t="s">
        <v>1326</v>
      </c>
      <c r="U96" s="19" t="str">
        <f aca="false">HYPERLINK("https://macaulaylibrary.org/asset/616167709","Open")</f>
        <v>Open</v>
      </c>
      <c r="V96" s="19"/>
    </row>
    <row r="97" customFormat="false" ht="15" hidden="false" customHeight="false" outlineLevel="0" collapsed="false">
      <c r="A97" s="19" t="s">
        <v>1327</v>
      </c>
      <c r="B97" s="19" t="s">
        <v>943</v>
      </c>
      <c r="C97" s="19" t="s">
        <v>944</v>
      </c>
      <c r="D97" s="19" t="s">
        <v>148</v>
      </c>
      <c r="E97" s="19" t="s">
        <v>147</v>
      </c>
      <c r="F97" s="19" t="s">
        <v>237</v>
      </c>
      <c r="G97" s="19" t="n">
        <v>18</v>
      </c>
      <c r="H97" s="19" t="s">
        <v>238</v>
      </c>
      <c r="I97" s="20" t="n">
        <v>22.661</v>
      </c>
      <c r="J97" s="19" t="n">
        <f aca="false">IF(I97="","",MIN(Overview!$B$8,MAX(1,CEILING(I97/Overview!$B$7,1))))</f>
        <v>5</v>
      </c>
      <c r="K97" s="19" t="n">
        <v>1</v>
      </c>
      <c r="L97" s="19"/>
      <c r="M97" s="20" t="n">
        <v>4</v>
      </c>
      <c r="N97" s="19"/>
      <c r="O97" s="19"/>
      <c r="P97" s="19" t="s">
        <v>1328</v>
      </c>
      <c r="Q97" s="19" t="s">
        <v>1329</v>
      </c>
      <c r="R97" s="21" t="n">
        <v>45349</v>
      </c>
      <c r="S97" s="19" t="s">
        <v>1330</v>
      </c>
      <c r="T97" s="19" t="s">
        <v>1331</v>
      </c>
      <c r="U97" s="19" t="str">
        <f aca="false">HYPERLINK("https://macaulaylibrary.org/asset/616773253","Open")</f>
        <v>Open</v>
      </c>
      <c r="V97" s="19"/>
    </row>
    <row r="98" customFormat="false" ht="15" hidden="false" customHeight="false" outlineLevel="0" collapsed="false">
      <c r="A98" s="19" t="s">
        <v>1332</v>
      </c>
      <c r="B98" s="19" t="s">
        <v>943</v>
      </c>
      <c r="C98" s="19" t="s">
        <v>944</v>
      </c>
      <c r="D98" s="19" t="s">
        <v>148</v>
      </c>
      <c r="E98" s="19" t="s">
        <v>147</v>
      </c>
      <c r="F98" s="19" t="s">
        <v>237</v>
      </c>
      <c r="G98" s="19" t="n">
        <v>18</v>
      </c>
      <c r="H98" s="19" t="s">
        <v>238</v>
      </c>
      <c r="I98" s="20" t="n">
        <v>67.597</v>
      </c>
      <c r="J98" s="19" t="n">
        <f aca="false">IF(I98="","",MIN(Overview!$B$8,MAX(1,CEILING(I98/Overview!$B$7,1))))</f>
        <v>14</v>
      </c>
      <c r="K98" s="19" t="n">
        <v>1</v>
      </c>
      <c r="L98" s="19"/>
      <c r="M98" s="20" t="n">
        <v>3.33</v>
      </c>
      <c r="N98" s="19"/>
      <c r="O98" s="19"/>
      <c r="P98" s="19" t="s">
        <v>1257</v>
      </c>
      <c r="Q98" s="19" t="s">
        <v>1258</v>
      </c>
      <c r="R98" s="21" t="n">
        <v>45231</v>
      </c>
      <c r="S98" s="19" t="s">
        <v>1259</v>
      </c>
      <c r="T98" s="19" t="s">
        <v>1333</v>
      </c>
      <c r="U98" s="19" t="str">
        <f aca="false">HYPERLINK("https://macaulaylibrary.org/asset/621760288","Open")</f>
        <v>Open</v>
      </c>
      <c r="V98" s="19"/>
    </row>
    <row r="99" customFormat="false" ht="15" hidden="false" customHeight="false" outlineLevel="0" collapsed="false">
      <c r="A99" s="19" t="s">
        <v>1334</v>
      </c>
      <c r="B99" s="19" t="s">
        <v>943</v>
      </c>
      <c r="C99" s="19" t="s">
        <v>944</v>
      </c>
      <c r="D99" s="19" t="s">
        <v>148</v>
      </c>
      <c r="E99" s="19" t="s">
        <v>147</v>
      </c>
      <c r="F99" s="19" t="s">
        <v>237</v>
      </c>
      <c r="G99" s="19" t="n">
        <v>18</v>
      </c>
      <c r="H99" s="19" t="s">
        <v>238</v>
      </c>
      <c r="I99" s="20" t="n">
        <v>20.83</v>
      </c>
      <c r="J99" s="19" t="n">
        <f aca="false">IF(I99="","",MIN(Overview!$B$8,MAX(1,CEILING(I99/Overview!$B$7,1))))</f>
        <v>5</v>
      </c>
      <c r="K99" s="19" t="n">
        <v>1</v>
      </c>
      <c r="L99" s="19"/>
      <c r="M99" s="20" t="n">
        <v>3</v>
      </c>
      <c r="N99" s="19"/>
      <c r="O99" s="19"/>
      <c r="P99" s="19" t="s">
        <v>1335</v>
      </c>
      <c r="Q99" s="19" t="s">
        <v>990</v>
      </c>
      <c r="R99" s="21" t="n">
        <v>46011</v>
      </c>
      <c r="S99" s="19" t="s">
        <v>966</v>
      </c>
      <c r="T99" s="19" t="s">
        <v>1336</v>
      </c>
      <c r="U99" s="19" t="str">
        <f aca="false">HYPERLINK("https://macaulaylibrary.org/asset/647328035","Open")</f>
        <v>Open</v>
      </c>
      <c r="V99" s="19"/>
    </row>
    <row r="100" customFormat="false" ht="15" hidden="false" customHeight="false" outlineLevel="0" collapsed="false">
      <c r="A100" s="19" t="s">
        <v>1337</v>
      </c>
      <c r="B100" s="19" t="s">
        <v>943</v>
      </c>
      <c r="C100" s="19" t="s">
        <v>944</v>
      </c>
      <c r="D100" s="19" t="s">
        <v>148</v>
      </c>
      <c r="E100" s="19" t="s">
        <v>147</v>
      </c>
      <c r="F100" s="19" t="s">
        <v>237</v>
      </c>
      <c r="G100" s="19" t="n">
        <v>18</v>
      </c>
      <c r="H100" s="19" t="s">
        <v>238</v>
      </c>
      <c r="I100" s="20" t="n">
        <v>31.04</v>
      </c>
      <c r="J100" s="19" t="n">
        <f aca="false">IF(I100="","",MIN(Overview!$B$8,MAX(1,CEILING(I100/Overview!$B$7,1))))</f>
        <v>7</v>
      </c>
      <c r="K100" s="19" t="n">
        <v>1</v>
      </c>
      <c r="L100" s="19"/>
      <c r="M100" s="20" t="n">
        <v>4</v>
      </c>
      <c r="N100" s="19"/>
      <c r="O100" s="19"/>
      <c r="P100" s="19" t="s">
        <v>964</v>
      </c>
      <c r="Q100" s="19" t="s">
        <v>965</v>
      </c>
      <c r="R100" s="21" t="n">
        <v>46011</v>
      </c>
      <c r="S100" s="19" t="s">
        <v>966</v>
      </c>
      <c r="T100" s="19" t="s">
        <v>1338</v>
      </c>
      <c r="U100" s="19" t="str">
        <f aca="false">HYPERLINK("https://macaulaylibrary.org/asset/647391454","Open")</f>
        <v>Open</v>
      </c>
      <c r="V100" s="19"/>
    </row>
    <row r="101" customFormat="false" ht="15" hidden="false" customHeight="false" outlineLevel="0" collapsed="false">
      <c r="A101" s="19" t="s">
        <v>1339</v>
      </c>
      <c r="B101" s="19" t="s">
        <v>943</v>
      </c>
      <c r="C101" s="19" t="s">
        <v>944</v>
      </c>
      <c r="D101" s="19" t="s">
        <v>148</v>
      </c>
      <c r="E101" s="19" t="s">
        <v>147</v>
      </c>
      <c r="F101" s="19" t="s">
        <v>237</v>
      </c>
      <c r="G101" s="19" t="n">
        <v>18</v>
      </c>
      <c r="H101" s="19" t="s">
        <v>238</v>
      </c>
      <c r="I101" s="20" t="n">
        <v>18.967</v>
      </c>
      <c r="J101" s="19" t="n">
        <f aca="false">IF(I101="","",MIN(Overview!$B$8,MAX(1,CEILING(I101/Overview!$B$7,1))))</f>
        <v>4</v>
      </c>
      <c r="K101" s="19" t="n">
        <v>1</v>
      </c>
      <c r="L101" s="19"/>
      <c r="M101" s="20" t="n">
        <v>3</v>
      </c>
      <c r="N101" s="19"/>
      <c r="O101" s="19"/>
      <c r="P101" s="19" t="s">
        <v>1235</v>
      </c>
      <c r="Q101" s="19" t="s">
        <v>1236</v>
      </c>
      <c r="R101" s="21" t="n">
        <v>46059</v>
      </c>
      <c r="S101" s="19" t="s">
        <v>1237</v>
      </c>
      <c r="T101" s="19" t="s">
        <v>1340</v>
      </c>
      <c r="U101" s="19" t="str">
        <f aca="false">HYPERLINK("https://macaulaylibrary.org/asset/652627237","Open")</f>
        <v>Open</v>
      </c>
      <c r="V101" s="19"/>
    </row>
    <row r="102" customFormat="false" ht="15" hidden="false" customHeight="false" outlineLevel="0" collapsed="false">
      <c r="A102" s="19" t="s">
        <v>1341</v>
      </c>
      <c r="B102" s="19" t="s">
        <v>943</v>
      </c>
      <c r="C102" s="19" t="s">
        <v>944</v>
      </c>
      <c r="D102" s="19" t="s">
        <v>148</v>
      </c>
      <c r="E102" s="19" t="s">
        <v>147</v>
      </c>
      <c r="F102" s="19" t="s">
        <v>237</v>
      </c>
      <c r="G102" s="19" t="n">
        <v>18</v>
      </c>
      <c r="H102" s="19" t="s">
        <v>238</v>
      </c>
      <c r="I102" s="20" t="n">
        <v>15.579</v>
      </c>
      <c r="J102" s="19" t="n">
        <f aca="false">IF(I102="","",MIN(Overview!$B$8,MAX(1,CEILING(I102/Overview!$B$7,1))))</f>
        <v>4</v>
      </c>
      <c r="K102" s="19" t="n">
        <v>1</v>
      </c>
      <c r="L102" s="19"/>
      <c r="M102" s="20"/>
      <c r="N102" s="19"/>
      <c r="O102" s="19"/>
      <c r="P102" s="19" t="s">
        <v>1342</v>
      </c>
      <c r="Q102" s="19" t="s">
        <v>1343</v>
      </c>
      <c r="R102" s="21" t="n">
        <v>46101</v>
      </c>
      <c r="S102" s="19" t="s">
        <v>1344</v>
      </c>
      <c r="T102" s="19" t="s">
        <v>1345</v>
      </c>
      <c r="U102" s="19" t="str">
        <f aca="false">HYPERLINK("https://macaulaylibrary.org/asset/654137636","Open")</f>
        <v>Open</v>
      </c>
      <c r="V102" s="19"/>
    </row>
    <row r="103" customFormat="false" ht="15" hidden="false" customHeight="false" outlineLevel="0" collapsed="false">
      <c r="A103" s="19" t="s">
        <v>1346</v>
      </c>
      <c r="B103" s="19" t="s">
        <v>943</v>
      </c>
      <c r="C103" s="19" t="s">
        <v>944</v>
      </c>
      <c r="D103" s="19" t="s">
        <v>148</v>
      </c>
      <c r="E103" s="19" t="s">
        <v>147</v>
      </c>
      <c r="F103" s="19" t="s">
        <v>237</v>
      </c>
      <c r="G103" s="19" t="n">
        <v>18</v>
      </c>
      <c r="H103" s="19" t="s">
        <v>238</v>
      </c>
      <c r="I103" s="20" t="n">
        <v>14.416</v>
      </c>
      <c r="J103" s="19" t="n">
        <f aca="false">IF(I103="","",MIN(Overview!$B$8,MAX(1,CEILING(I103/Overview!$B$7,1))))</f>
        <v>3</v>
      </c>
      <c r="K103" s="19" t="n">
        <v>1</v>
      </c>
      <c r="L103" s="19"/>
      <c r="M103" s="20"/>
      <c r="N103" s="19"/>
      <c r="O103" s="19"/>
      <c r="P103" s="19" t="s">
        <v>1347</v>
      </c>
      <c r="Q103" s="19" t="s">
        <v>1348</v>
      </c>
      <c r="R103" s="21" t="n">
        <v>46100</v>
      </c>
      <c r="S103" s="19" t="s">
        <v>1106</v>
      </c>
      <c r="T103" s="19" t="s">
        <v>1349</v>
      </c>
      <c r="U103" s="19" t="str">
        <f aca="false">HYPERLINK("https://macaulaylibrary.org/asset/654444547","Open")</f>
        <v>Open</v>
      </c>
      <c r="V103" s="19"/>
    </row>
    <row r="104" customFormat="false" ht="15" hidden="false" customHeight="false" outlineLevel="0" collapsed="false">
      <c r="A104" s="19" t="s">
        <v>1350</v>
      </c>
      <c r="B104" s="19" t="s">
        <v>943</v>
      </c>
      <c r="C104" s="19" t="s">
        <v>944</v>
      </c>
      <c r="D104" s="19" t="s">
        <v>148</v>
      </c>
      <c r="E104" s="19" t="s">
        <v>147</v>
      </c>
      <c r="F104" s="19" t="s">
        <v>237</v>
      </c>
      <c r="G104" s="19" t="n">
        <v>18</v>
      </c>
      <c r="H104" s="19" t="s">
        <v>238</v>
      </c>
      <c r="I104" s="20" t="n">
        <v>35.898</v>
      </c>
      <c r="J104" s="19" t="n">
        <f aca="false">IF(I104="","",MIN(Overview!$B$8,MAX(1,CEILING(I104/Overview!$B$7,1))))</f>
        <v>8</v>
      </c>
      <c r="K104" s="19" t="n">
        <v>1</v>
      </c>
      <c r="L104" s="19"/>
      <c r="M104" s="20"/>
      <c r="N104" s="19"/>
      <c r="O104" s="19"/>
      <c r="P104" s="19" t="s">
        <v>1351</v>
      </c>
      <c r="Q104" s="19" t="s">
        <v>1352</v>
      </c>
      <c r="R104" s="21" t="n">
        <v>46218</v>
      </c>
      <c r="S104" s="19" t="s">
        <v>1353</v>
      </c>
      <c r="T104" s="19" t="s">
        <v>1354</v>
      </c>
      <c r="U104" s="19" t="str">
        <f aca="false">HYPERLINK("https://macaulaylibrary.org/asset/661386375","Open")</f>
        <v>Open</v>
      </c>
      <c r="V104" s="19"/>
    </row>
    <row r="105" customFormat="false" ht="15" hidden="false" customHeight="false" outlineLevel="0" collapsed="false">
      <c r="A105" s="19" t="s">
        <v>1355</v>
      </c>
      <c r="B105" s="19" t="s">
        <v>943</v>
      </c>
      <c r="C105" s="19" t="s">
        <v>944</v>
      </c>
      <c r="D105" s="19" t="s">
        <v>148</v>
      </c>
      <c r="E105" s="19" t="s">
        <v>147</v>
      </c>
      <c r="F105" s="19" t="s">
        <v>347</v>
      </c>
      <c r="G105" s="19" t="n">
        <v>19</v>
      </c>
      <c r="H105" s="19" t="s">
        <v>348</v>
      </c>
      <c r="I105" s="20" t="n">
        <v>5.513</v>
      </c>
      <c r="J105" s="19" t="n">
        <f aca="false">IF(I105="","",MIN(Overview!$B$8,MAX(1,CEILING(I105/Overview!$B$7,1))))</f>
        <v>2</v>
      </c>
      <c r="K105" s="19" t="n">
        <v>1</v>
      </c>
      <c r="L105" s="19"/>
      <c r="M105" s="20" t="n">
        <v>3.2</v>
      </c>
      <c r="N105" s="19"/>
      <c r="O105" s="19"/>
      <c r="P105" s="19" t="s">
        <v>1356</v>
      </c>
      <c r="Q105" s="19" t="s">
        <v>1021</v>
      </c>
      <c r="R105" s="21" t="n">
        <v>36603</v>
      </c>
      <c r="S105" s="19" t="s">
        <v>1357</v>
      </c>
      <c r="T105" s="19" t="s">
        <v>1358</v>
      </c>
      <c r="U105" s="19" t="str">
        <f aca="false">HYPERLINK("https://macaulaylibrary.org/asset/155117131","Open")</f>
        <v>Open</v>
      </c>
      <c r="V105" s="19"/>
    </row>
    <row r="106" customFormat="false" ht="15" hidden="false" customHeight="false" outlineLevel="0" collapsed="false">
      <c r="A106" s="19" t="s">
        <v>1359</v>
      </c>
      <c r="B106" s="19" t="s">
        <v>943</v>
      </c>
      <c r="C106" s="19" t="s">
        <v>944</v>
      </c>
      <c r="D106" s="19" t="s">
        <v>148</v>
      </c>
      <c r="E106" s="19" t="s">
        <v>147</v>
      </c>
      <c r="F106" s="19" t="s">
        <v>347</v>
      </c>
      <c r="G106" s="19" t="n">
        <v>19</v>
      </c>
      <c r="H106" s="19" t="s">
        <v>348</v>
      </c>
      <c r="I106" s="20" t="n">
        <v>8.638</v>
      </c>
      <c r="J106" s="19" t="n">
        <f aca="false">IF(I106="","",MIN(Overview!$B$8,MAX(1,CEILING(I106/Overview!$B$7,1))))</f>
        <v>2</v>
      </c>
      <c r="K106" s="19" t="n">
        <v>1</v>
      </c>
      <c r="L106" s="19"/>
      <c r="M106" s="20" t="n">
        <v>3.2</v>
      </c>
      <c r="N106" s="19"/>
      <c r="O106" s="19"/>
      <c r="P106" s="19" t="s">
        <v>1360</v>
      </c>
      <c r="Q106" s="19" t="s">
        <v>1076</v>
      </c>
      <c r="R106" s="21" t="n">
        <v>43399</v>
      </c>
      <c r="S106" s="19" t="s">
        <v>1361</v>
      </c>
      <c r="T106" s="19" t="s">
        <v>1362</v>
      </c>
      <c r="U106" s="19" t="str">
        <f aca="false">HYPERLINK("https://macaulaylibrary.org/asset/471206811","Open")</f>
        <v>Open</v>
      </c>
      <c r="V106" s="19"/>
    </row>
    <row r="107" customFormat="false" ht="15" hidden="false" customHeight="false" outlineLevel="0" collapsed="false">
      <c r="A107" s="19" t="s">
        <v>1363</v>
      </c>
      <c r="B107" s="19" t="s">
        <v>943</v>
      </c>
      <c r="C107" s="19" t="s">
        <v>944</v>
      </c>
      <c r="D107" s="19" t="s">
        <v>148</v>
      </c>
      <c r="E107" s="19" t="s">
        <v>147</v>
      </c>
      <c r="F107" s="19" t="s">
        <v>347</v>
      </c>
      <c r="G107" s="19" t="n">
        <v>19</v>
      </c>
      <c r="H107" s="19" t="s">
        <v>348</v>
      </c>
      <c r="I107" s="20" t="n">
        <v>4.392</v>
      </c>
      <c r="J107" s="19" t="n">
        <f aca="false">IF(I107="","",MIN(Overview!$B$8,MAX(1,CEILING(I107/Overview!$B$7,1))))</f>
        <v>1</v>
      </c>
      <c r="K107" s="19" t="n">
        <v>1</v>
      </c>
      <c r="L107" s="19" t="s">
        <v>1048</v>
      </c>
      <c r="M107" s="20" t="n">
        <v>3.75</v>
      </c>
      <c r="N107" s="19"/>
      <c r="O107" s="19"/>
      <c r="P107" s="19" t="s">
        <v>1364</v>
      </c>
      <c r="Q107" s="19" t="s">
        <v>1040</v>
      </c>
      <c r="R107" s="21" t="n">
        <v>41630</v>
      </c>
      <c r="S107" s="19" t="s">
        <v>1002</v>
      </c>
      <c r="T107" s="19" t="s">
        <v>1365</v>
      </c>
      <c r="U107" s="19" t="str">
        <f aca="false">HYPERLINK("https://macaulaylibrary.org/asset/609061865","Open")</f>
        <v>Open</v>
      </c>
      <c r="V107" s="19"/>
    </row>
    <row r="108" customFormat="false" ht="15" hidden="false" customHeight="false" outlineLevel="0" collapsed="false">
      <c r="A108" s="19" t="s">
        <v>1366</v>
      </c>
      <c r="B108" s="19" t="s">
        <v>943</v>
      </c>
      <c r="C108" s="19" t="s">
        <v>944</v>
      </c>
      <c r="D108" s="19" t="s">
        <v>148</v>
      </c>
      <c r="E108" s="19" t="s">
        <v>147</v>
      </c>
      <c r="F108" s="19" t="s">
        <v>347</v>
      </c>
      <c r="G108" s="19" t="n">
        <v>19</v>
      </c>
      <c r="H108" s="19" t="s">
        <v>348</v>
      </c>
      <c r="I108" s="20" t="n">
        <v>6.044</v>
      </c>
      <c r="J108" s="19" t="n">
        <f aca="false">IF(I108="","",MIN(Overview!$B$8,MAX(1,CEILING(I108/Overview!$B$7,1))))</f>
        <v>2</v>
      </c>
      <c r="K108" s="19" t="n">
        <v>1</v>
      </c>
      <c r="L108" s="19"/>
      <c r="M108" s="20" t="n">
        <v>2</v>
      </c>
      <c r="N108" s="19"/>
      <c r="O108" s="19"/>
      <c r="P108" s="19" t="s">
        <v>1367</v>
      </c>
      <c r="Q108" s="19" t="s">
        <v>1368</v>
      </c>
      <c r="R108" s="21" t="n">
        <v>45488</v>
      </c>
      <c r="S108" s="19" t="s">
        <v>1369</v>
      </c>
      <c r="T108" s="19" t="s">
        <v>1370</v>
      </c>
      <c r="U108" s="19" t="str">
        <f aca="false">HYPERLINK("https://macaulaylibrary.org/asset/642978186","Open")</f>
        <v>Open</v>
      </c>
      <c r="V108" s="19"/>
    </row>
    <row r="109" customFormat="false" ht="15" hidden="false" customHeight="false" outlineLevel="0" collapsed="false">
      <c r="A109" s="19" t="s">
        <v>1371</v>
      </c>
      <c r="B109" s="19" t="s">
        <v>943</v>
      </c>
      <c r="C109" s="19" t="s">
        <v>944</v>
      </c>
      <c r="D109" s="19" t="s">
        <v>148</v>
      </c>
      <c r="E109" s="19" t="s">
        <v>147</v>
      </c>
      <c r="F109" s="19" t="s">
        <v>347</v>
      </c>
      <c r="G109" s="19" t="n">
        <v>19</v>
      </c>
      <c r="H109" s="19" t="s">
        <v>348</v>
      </c>
      <c r="I109" s="20" t="n">
        <v>12.428</v>
      </c>
      <c r="J109" s="19" t="n">
        <f aca="false">IF(I109="","",MIN(Overview!$B$8,MAX(1,CEILING(I109/Overview!$B$7,1))))</f>
        <v>3</v>
      </c>
      <c r="K109" s="19" t="n">
        <v>1</v>
      </c>
      <c r="L109" s="19"/>
      <c r="M109" s="20" t="n">
        <v>2</v>
      </c>
      <c r="N109" s="19"/>
      <c r="O109" s="19" t="s">
        <v>1372</v>
      </c>
      <c r="P109" s="19" t="s">
        <v>1373</v>
      </c>
      <c r="Q109" s="19" t="s">
        <v>990</v>
      </c>
      <c r="R109" s="21" t="n">
        <v>46012</v>
      </c>
      <c r="S109" s="19" t="s">
        <v>1009</v>
      </c>
      <c r="T109" s="19" t="s">
        <v>1374</v>
      </c>
      <c r="U109" s="19" t="str">
        <f aca="false">HYPERLINK("https://macaulaylibrary.org/asset/647328157","Open")</f>
        <v>Open</v>
      </c>
      <c r="V109" s="19"/>
    </row>
    <row r="110" customFormat="false" ht="15" hidden="false" customHeight="false" outlineLevel="0" collapsed="false">
      <c r="A110" s="19" t="s">
        <v>1375</v>
      </c>
      <c r="B110" s="19" t="s">
        <v>943</v>
      </c>
      <c r="C110" s="19" t="s">
        <v>944</v>
      </c>
      <c r="D110" s="19" t="s">
        <v>148</v>
      </c>
      <c r="E110" s="19" t="s">
        <v>147</v>
      </c>
      <c r="F110" s="19" t="s">
        <v>347</v>
      </c>
      <c r="G110" s="19" t="n">
        <v>19</v>
      </c>
      <c r="H110" s="19" t="s">
        <v>348</v>
      </c>
      <c r="I110" s="20" t="n">
        <v>10.929</v>
      </c>
      <c r="J110" s="19" t="n">
        <f aca="false">IF(I110="","",MIN(Overview!$B$8,MAX(1,CEILING(I110/Overview!$B$7,1))))</f>
        <v>3</v>
      </c>
      <c r="K110" s="19" t="n">
        <v>1</v>
      </c>
      <c r="L110" s="19"/>
      <c r="M110" s="20" t="n">
        <v>2</v>
      </c>
      <c r="N110" s="19"/>
      <c r="O110" s="19" t="s">
        <v>1372</v>
      </c>
      <c r="P110" s="19" t="s">
        <v>1373</v>
      </c>
      <c r="Q110" s="19" t="s">
        <v>990</v>
      </c>
      <c r="R110" s="21" t="n">
        <v>46012</v>
      </c>
      <c r="S110" s="19" t="s">
        <v>1009</v>
      </c>
      <c r="T110" s="19" t="s">
        <v>1376</v>
      </c>
      <c r="U110" s="19" t="str">
        <f aca="false">HYPERLINK("https://macaulaylibrary.org/asset/647328621","Open")</f>
        <v>Open</v>
      </c>
      <c r="V110" s="19"/>
    </row>
    <row r="111" customFormat="false" ht="15" hidden="false" customHeight="false" outlineLevel="0" collapsed="false">
      <c r="A111" s="19" t="s">
        <v>1377</v>
      </c>
      <c r="B111" s="19" t="s">
        <v>943</v>
      </c>
      <c r="C111" s="19" t="s">
        <v>944</v>
      </c>
      <c r="D111" s="19" t="s">
        <v>148</v>
      </c>
      <c r="E111" s="19" t="s">
        <v>147</v>
      </c>
      <c r="F111" s="19" t="s">
        <v>347</v>
      </c>
      <c r="G111" s="19" t="n">
        <v>19</v>
      </c>
      <c r="H111" s="19" t="s">
        <v>348</v>
      </c>
      <c r="I111" s="20" t="n">
        <v>22.9</v>
      </c>
      <c r="J111" s="19" t="n">
        <f aca="false">IF(I111="","",MIN(Overview!$B$8,MAX(1,CEILING(I111/Overview!$B$7,1))))</f>
        <v>5</v>
      </c>
      <c r="K111" s="19" t="n">
        <v>1</v>
      </c>
      <c r="L111" s="19"/>
      <c r="M111" s="20" t="n">
        <v>1</v>
      </c>
      <c r="N111" s="19"/>
      <c r="O111" s="19" t="s">
        <v>1378</v>
      </c>
      <c r="P111" s="19" t="s">
        <v>1373</v>
      </c>
      <c r="Q111" s="19" t="s">
        <v>990</v>
      </c>
      <c r="R111" s="21" t="n">
        <v>46012</v>
      </c>
      <c r="S111" s="19" t="s">
        <v>1009</v>
      </c>
      <c r="T111" s="19" t="s">
        <v>1379</v>
      </c>
      <c r="U111" s="19" t="str">
        <f aca="false">HYPERLINK("https://macaulaylibrary.org/asset/647328632","Open")</f>
        <v>Open</v>
      </c>
      <c r="V111" s="19"/>
    </row>
    <row r="112" customFormat="false" ht="15" hidden="false" customHeight="false" outlineLevel="0" collapsed="false">
      <c r="A112" s="19" t="s">
        <v>1380</v>
      </c>
      <c r="B112" s="19" t="s">
        <v>943</v>
      </c>
      <c r="C112" s="19" t="s">
        <v>944</v>
      </c>
      <c r="D112" s="19" t="s">
        <v>148</v>
      </c>
      <c r="E112" s="19" t="s">
        <v>147</v>
      </c>
      <c r="F112" s="19" t="s">
        <v>347</v>
      </c>
      <c r="G112" s="19" t="n">
        <v>19</v>
      </c>
      <c r="H112" s="19" t="s">
        <v>348</v>
      </c>
      <c r="I112" s="20" t="n">
        <v>7.458</v>
      </c>
      <c r="J112" s="19" t="n">
        <f aca="false">IF(I112="","",MIN(Overview!$B$8,MAX(1,CEILING(I112/Overview!$B$7,1))))</f>
        <v>2</v>
      </c>
      <c r="K112" s="19" t="n">
        <v>1</v>
      </c>
      <c r="L112" s="19"/>
      <c r="M112" s="20"/>
      <c r="N112" s="19"/>
      <c r="O112" s="19"/>
      <c r="P112" s="19" t="s">
        <v>1381</v>
      </c>
      <c r="Q112" s="19" t="s">
        <v>1382</v>
      </c>
      <c r="R112" s="21" t="n">
        <v>46103</v>
      </c>
      <c r="S112" s="19" t="s">
        <v>1383</v>
      </c>
      <c r="T112" s="19" t="s">
        <v>1384</v>
      </c>
      <c r="U112" s="19" t="str">
        <f aca="false">HYPERLINK("https://macaulaylibrary.org/asset/654112574","Open")</f>
        <v>Open</v>
      </c>
      <c r="V112" s="19"/>
    </row>
    <row r="113" customFormat="false" ht="15" hidden="false" customHeight="false" outlineLevel="0" collapsed="false">
      <c r="A113" s="19" t="s">
        <v>1385</v>
      </c>
      <c r="B113" s="19" t="s">
        <v>943</v>
      </c>
      <c r="C113" s="19" t="s">
        <v>944</v>
      </c>
      <c r="D113" s="19" t="s">
        <v>148</v>
      </c>
      <c r="E113" s="19" t="s">
        <v>147</v>
      </c>
      <c r="F113" s="19" t="s">
        <v>347</v>
      </c>
      <c r="G113" s="19" t="n">
        <v>19</v>
      </c>
      <c r="H113" s="19" t="s">
        <v>348</v>
      </c>
      <c r="I113" s="20" t="n">
        <v>9.653</v>
      </c>
      <c r="J113" s="19" t="n">
        <f aca="false">IF(I113="","",MIN(Overview!$B$8,MAX(1,CEILING(I113/Overview!$B$7,1))))</f>
        <v>2</v>
      </c>
      <c r="K113" s="19" t="n">
        <v>1</v>
      </c>
      <c r="L113" s="19"/>
      <c r="M113" s="20" t="n">
        <v>5</v>
      </c>
      <c r="N113" s="19"/>
      <c r="O113" s="19"/>
      <c r="P113" s="19" t="s">
        <v>1386</v>
      </c>
      <c r="Q113" s="19" t="s">
        <v>1382</v>
      </c>
      <c r="R113" s="21" t="n">
        <v>46103</v>
      </c>
      <c r="S113" s="19" t="s">
        <v>1387</v>
      </c>
      <c r="T113" s="19" t="s">
        <v>1388</v>
      </c>
      <c r="U113" s="19" t="str">
        <f aca="false">HYPERLINK("https://macaulaylibrary.org/asset/654319633","Open")</f>
        <v>Open</v>
      </c>
      <c r="V113" s="19"/>
    </row>
    <row r="114" customFormat="false" ht="15" hidden="false" customHeight="false" outlineLevel="0" collapsed="false">
      <c r="A114" s="19" t="s">
        <v>1389</v>
      </c>
      <c r="B114" s="19" t="s">
        <v>943</v>
      </c>
      <c r="C114" s="19" t="s">
        <v>944</v>
      </c>
      <c r="D114" s="19" t="s">
        <v>400</v>
      </c>
      <c r="E114" s="19" t="s">
        <v>147</v>
      </c>
      <c r="F114" s="19" t="s">
        <v>592</v>
      </c>
      <c r="G114" s="19" t="n">
        <v>20</v>
      </c>
      <c r="H114" s="19" t="s">
        <v>593</v>
      </c>
      <c r="I114" s="20" t="n">
        <v>57.098</v>
      </c>
      <c r="J114" s="19" t="n">
        <f aca="false">IF(I114="","",MIN(Overview!$B$8,MAX(1,CEILING(I114/Overview!$B$7,1))))</f>
        <v>12</v>
      </c>
      <c r="K114" s="19" t="n">
        <v>1</v>
      </c>
      <c r="L114" s="19"/>
      <c r="M114" s="20" t="n">
        <v>3</v>
      </c>
      <c r="N114" s="19"/>
      <c r="O114" s="19"/>
      <c r="P114" s="19" t="s">
        <v>1390</v>
      </c>
      <c r="Q114" s="19" t="s">
        <v>1021</v>
      </c>
      <c r="R114" s="21" t="n">
        <v>36596</v>
      </c>
      <c r="S114" s="19" t="s">
        <v>1137</v>
      </c>
      <c r="T114" s="19" t="s">
        <v>1391</v>
      </c>
      <c r="U114" s="19" t="str">
        <f aca="false">HYPERLINK("https://macaulaylibrary.org/asset/145172011","Open")</f>
        <v>Open</v>
      </c>
      <c r="V114" s="19"/>
    </row>
    <row r="115" customFormat="false" ht="15" hidden="false" customHeight="false" outlineLevel="0" collapsed="false">
      <c r="A115" s="19" t="s">
        <v>1392</v>
      </c>
      <c r="B115" s="19" t="s">
        <v>943</v>
      </c>
      <c r="C115" s="19" t="s">
        <v>944</v>
      </c>
      <c r="D115" s="19" t="s">
        <v>400</v>
      </c>
      <c r="E115" s="19" t="s">
        <v>147</v>
      </c>
      <c r="F115" s="19" t="s">
        <v>592</v>
      </c>
      <c r="G115" s="19" t="n">
        <v>20</v>
      </c>
      <c r="H115" s="19" t="s">
        <v>593</v>
      </c>
      <c r="I115" s="20" t="n">
        <v>38.964</v>
      </c>
      <c r="J115" s="19" t="n">
        <f aca="false">IF(I115="","",MIN(Overview!$B$8,MAX(1,CEILING(I115/Overview!$B$7,1))))</f>
        <v>8</v>
      </c>
      <c r="K115" s="19" t="n">
        <v>1</v>
      </c>
      <c r="L115" s="19"/>
      <c r="M115" s="20" t="n">
        <v>2.17</v>
      </c>
      <c r="N115" s="19"/>
      <c r="O115" s="19"/>
      <c r="P115" s="19" t="s">
        <v>1393</v>
      </c>
      <c r="Q115" s="19" t="s">
        <v>1040</v>
      </c>
      <c r="R115" s="21" t="n">
        <v>41265</v>
      </c>
      <c r="S115" s="19" t="s">
        <v>1002</v>
      </c>
      <c r="T115" s="19" t="s">
        <v>1394</v>
      </c>
      <c r="U115" s="19" t="str">
        <f aca="false">HYPERLINK("https://macaulaylibrary.org/asset/609059021","Open")</f>
        <v>Open</v>
      </c>
      <c r="V115" s="19"/>
    </row>
    <row r="116" customFormat="false" ht="15" hidden="false" customHeight="false" outlineLevel="0" collapsed="false">
      <c r="A116" s="19" t="s">
        <v>1395</v>
      </c>
      <c r="B116" s="19" t="s">
        <v>943</v>
      </c>
      <c r="C116" s="19" t="s">
        <v>944</v>
      </c>
      <c r="D116" s="19" t="s">
        <v>400</v>
      </c>
      <c r="E116" s="19" t="s">
        <v>147</v>
      </c>
      <c r="F116" s="19" t="s">
        <v>592</v>
      </c>
      <c r="G116" s="19" t="n">
        <v>20</v>
      </c>
      <c r="H116" s="19" t="s">
        <v>593</v>
      </c>
      <c r="I116" s="20" t="n">
        <v>7.292</v>
      </c>
      <c r="J116" s="19" t="n">
        <f aca="false">IF(I116="","",MIN(Overview!$B$8,MAX(1,CEILING(I116/Overview!$B$7,1))))</f>
        <v>2</v>
      </c>
      <c r="K116" s="19" t="n">
        <v>1</v>
      </c>
      <c r="L116" s="19"/>
      <c r="M116" s="20" t="n">
        <v>3</v>
      </c>
      <c r="N116" s="19"/>
      <c r="O116" s="19"/>
      <c r="P116" s="19" t="s">
        <v>1396</v>
      </c>
      <c r="Q116" s="19" t="s">
        <v>1397</v>
      </c>
      <c r="R116" s="21" t="n">
        <v>46217</v>
      </c>
      <c r="S116" s="19" t="s">
        <v>1137</v>
      </c>
      <c r="T116" s="19" t="s">
        <v>1398</v>
      </c>
      <c r="U116" s="19" t="str">
        <f aca="false">HYPERLINK("https://macaulaylibrary.org/asset/661734240","Open")</f>
        <v>Open</v>
      </c>
      <c r="V116" s="19"/>
    </row>
    <row r="117" customFormat="false" ht="15" hidden="false" customHeight="false" outlineLevel="0" collapsed="false">
      <c r="A117" s="19" t="s">
        <v>1399</v>
      </c>
      <c r="B117" s="19" t="s">
        <v>943</v>
      </c>
      <c r="C117" s="19" t="s">
        <v>944</v>
      </c>
      <c r="D117" s="19" t="s">
        <v>148</v>
      </c>
      <c r="E117" s="19" t="s">
        <v>147</v>
      </c>
      <c r="F117" s="19" t="s">
        <v>175</v>
      </c>
      <c r="G117" s="19" t="n">
        <v>21</v>
      </c>
      <c r="H117" s="19" t="s">
        <v>176</v>
      </c>
      <c r="I117" s="20" t="n">
        <v>40.77</v>
      </c>
      <c r="J117" s="19" t="n">
        <f aca="false">IF(I117="","",MIN(Overview!$B$8,MAX(1,CEILING(I117/Overview!$B$7,1))))</f>
        <v>9</v>
      </c>
      <c r="K117" s="19" t="n">
        <v>1</v>
      </c>
      <c r="L117" s="19"/>
      <c r="M117" s="20"/>
      <c r="N117" s="19"/>
      <c r="O117" s="19"/>
      <c r="P117" s="19" t="s">
        <v>1400</v>
      </c>
      <c r="Q117" s="19" t="s">
        <v>1401</v>
      </c>
      <c r="R117" s="21" t="n">
        <v>36600</v>
      </c>
      <c r="S117" s="19" t="s">
        <v>1013</v>
      </c>
      <c r="T117" s="19" t="s">
        <v>1402</v>
      </c>
      <c r="U117" s="19" t="str">
        <f aca="false">HYPERLINK("https://macaulaylibrary.org/asset/127811181","Open")</f>
        <v>Open</v>
      </c>
      <c r="V117" s="19"/>
    </row>
    <row r="118" customFormat="false" ht="15" hidden="false" customHeight="false" outlineLevel="0" collapsed="false">
      <c r="A118" s="19" t="s">
        <v>1403</v>
      </c>
      <c r="B118" s="19" t="s">
        <v>943</v>
      </c>
      <c r="C118" s="19" t="s">
        <v>944</v>
      </c>
      <c r="D118" s="19" t="s">
        <v>148</v>
      </c>
      <c r="E118" s="19" t="s">
        <v>147</v>
      </c>
      <c r="F118" s="19" t="s">
        <v>175</v>
      </c>
      <c r="G118" s="19" t="n">
        <v>21</v>
      </c>
      <c r="H118" s="19" t="s">
        <v>176</v>
      </c>
      <c r="I118" s="20" t="n">
        <v>23.742</v>
      </c>
      <c r="J118" s="19" t="n">
        <f aca="false">IF(I118="","",MIN(Overview!$B$8,MAX(1,CEILING(I118/Overview!$B$7,1))))</f>
        <v>5</v>
      </c>
      <c r="K118" s="19" t="n">
        <v>1</v>
      </c>
      <c r="L118" s="19"/>
      <c r="M118" s="20"/>
      <c r="N118" s="19"/>
      <c r="O118" s="19"/>
      <c r="P118" s="19" t="s">
        <v>1140</v>
      </c>
      <c r="Q118" s="19" t="s">
        <v>1030</v>
      </c>
      <c r="R118" s="21" t="n">
        <v>40250</v>
      </c>
      <c r="S118" s="19" t="s">
        <v>1404</v>
      </c>
      <c r="T118" s="19" t="s">
        <v>1405</v>
      </c>
      <c r="U118" s="19" t="str">
        <f aca="false">HYPERLINK("https://macaulaylibrary.org/asset/299565","Open")</f>
        <v>Open</v>
      </c>
      <c r="V118" s="19"/>
    </row>
    <row r="119" customFormat="false" ht="15" hidden="false" customHeight="false" outlineLevel="0" collapsed="false">
      <c r="A119" s="19" t="s">
        <v>1406</v>
      </c>
      <c r="B119" s="19" t="s">
        <v>943</v>
      </c>
      <c r="C119" s="19" t="s">
        <v>944</v>
      </c>
      <c r="D119" s="19" t="s">
        <v>148</v>
      </c>
      <c r="E119" s="19" t="s">
        <v>147</v>
      </c>
      <c r="F119" s="19" t="s">
        <v>175</v>
      </c>
      <c r="G119" s="19" t="n">
        <v>21</v>
      </c>
      <c r="H119" s="19" t="s">
        <v>176</v>
      </c>
      <c r="I119" s="20" t="n">
        <v>40.518</v>
      </c>
      <c r="J119" s="19" t="n">
        <f aca="false">IF(I119="","",MIN(Overview!$B$8,MAX(1,CEILING(I119/Overview!$B$7,1))))</f>
        <v>9</v>
      </c>
      <c r="K119" s="19" t="n">
        <v>1</v>
      </c>
      <c r="L119" s="19"/>
      <c r="M119" s="20" t="n">
        <v>3</v>
      </c>
      <c r="N119" s="19"/>
      <c r="O119" s="19" t="s">
        <v>373</v>
      </c>
      <c r="P119" s="19" t="s">
        <v>1407</v>
      </c>
      <c r="Q119" s="19" t="s">
        <v>1408</v>
      </c>
      <c r="R119" s="21" t="n">
        <v>32099</v>
      </c>
      <c r="S119" s="19" t="s">
        <v>1009</v>
      </c>
      <c r="T119" s="19" t="s">
        <v>1409</v>
      </c>
      <c r="U119" s="19" t="str">
        <f aca="false">HYPERLINK("https://macaulaylibrary.org/asset/338510071","Open")</f>
        <v>Open</v>
      </c>
      <c r="V119" s="19"/>
    </row>
    <row r="120" customFormat="false" ht="15" hidden="false" customHeight="false" outlineLevel="0" collapsed="false">
      <c r="A120" s="19" t="s">
        <v>1410</v>
      </c>
      <c r="B120" s="19" t="s">
        <v>943</v>
      </c>
      <c r="C120" s="19" t="s">
        <v>944</v>
      </c>
      <c r="D120" s="19" t="s">
        <v>148</v>
      </c>
      <c r="E120" s="19" t="s">
        <v>147</v>
      </c>
      <c r="F120" s="19" t="s">
        <v>175</v>
      </c>
      <c r="G120" s="19" t="n">
        <v>21</v>
      </c>
      <c r="H120" s="19" t="s">
        <v>176</v>
      </c>
      <c r="I120" s="20" t="n">
        <v>61.117</v>
      </c>
      <c r="J120" s="19" t="n">
        <f aca="false">IF(I120="","",MIN(Overview!$B$8,MAX(1,CEILING(I120/Overview!$B$7,1))))</f>
        <v>13</v>
      </c>
      <c r="K120" s="19" t="n">
        <v>1</v>
      </c>
      <c r="L120" s="19"/>
      <c r="M120" s="20" t="n">
        <v>2.5</v>
      </c>
      <c r="N120" s="19"/>
      <c r="O120" s="19"/>
      <c r="P120" s="19" t="s">
        <v>1411</v>
      </c>
      <c r="Q120" s="19" t="s">
        <v>1408</v>
      </c>
      <c r="R120" s="21" t="n">
        <v>33584</v>
      </c>
      <c r="S120" s="19" t="s">
        <v>1009</v>
      </c>
      <c r="T120" s="19" t="s">
        <v>1412</v>
      </c>
      <c r="U120" s="19" t="str">
        <f aca="false">HYPERLINK("https://macaulaylibrary.org/asset/358076201","Open")</f>
        <v>Open</v>
      </c>
      <c r="V120" s="19"/>
    </row>
    <row r="121" customFormat="false" ht="15" hidden="false" customHeight="false" outlineLevel="0" collapsed="false">
      <c r="A121" s="19" t="s">
        <v>1413</v>
      </c>
      <c r="B121" s="19" t="s">
        <v>943</v>
      </c>
      <c r="C121" s="19" t="s">
        <v>944</v>
      </c>
      <c r="D121" s="19" t="s">
        <v>148</v>
      </c>
      <c r="E121" s="19" t="s">
        <v>147</v>
      </c>
      <c r="F121" s="19" t="s">
        <v>175</v>
      </c>
      <c r="G121" s="19" t="n">
        <v>21</v>
      </c>
      <c r="H121" s="19" t="s">
        <v>176</v>
      </c>
      <c r="I121" s="20" t="n">
        <v>4.882</v>
      </c>
      <c r="J121" s="19" t="n">
        <f aca="false">IF(I121="","",MIN(Overview!$B$8,MAX(1,CEILING(I121/Overview!$B$7,1))))</f>
        <v>1</v>
      </c>
      <c r="K121" s="19" t="n">
        <v>1</v>
      </c>
      <c r="L121" s="19" t="s">
        <v>1048</v>
      </c>
      <c r="M121" s="20"/>
      <c r="N121" s="19"/>
      <c r="O121" s="19"/>
      <c r="P121" s="19" t="s">
        <v>1414</v>
      </c>
      <c r="Q121" s="19" t="s">
        <v>1204</v>
      </c>
      <c r="R121" s="21" t="n">
        <v>44608</v>
      </c>
      <c r="S121" s="19" t="s">
        <v>1415</v>
      </c>
      <c r="T121" s="19" t="s">
        <v>1416</v>
      </c>
      <c r="U121" s="19" t="str">
        <f aca="false">HYPERLINK("https://macaulaylibrary.org/asset/531097431","Open")</f>
        <v>Open</v>
      </c>
      <c r="V121" s="19"/>
    </row>
    <row r="122" customFormat="false" ht="15" hidden="false" customHeight="false" outlineLevel="0" collapsed="false">
      <c r="A122" s="19" t="s">
        <v>1417</v>
      </c>
      <c r="B122" s="19" t="s">
        <v>943</v>
      </c>
      <c r="C122" s="19" t="s">
        <v>944</v>
      </c>
      <c r="D122" s="19" t="s">
        <v>148</v>
      </c>
      <c r="E122" s="19" t="s">
        <v>147</v>
      </c>
      <c r="F122" s="19" t="s">
        <v>175</v>
      </c>
      <c r="G122" s="19" t="n">
        <v>21</v>
      </c>
      <c r="H122" s="19" t="s">
        <v>176</v>
      </c>
      <c r="I122" s="20" t="n">
        <v>2.965</v>
      </c>
      <c r="J122" s="19" t="n">
        <f aca="false">IF(I122="","",MIN(Overview!$B$8,MAX(1,CEILING(I122/Overview!$B$7,1))))</f>
        <v>1</v>
      </c>
      <c r="K122" s="19" t="n">
        <v>1</v>
      </c>
      <c r="L122" s="19" t="s">
        <v>1048</v>
      </c>
      <c r="M122" s="20"/>
      <c r="N122" s="19"/>
      <c r="O122" s="19"/>
      <c r="P122" s="19" t="s">
        <v>1418</v>
      </c>
      <c r="Q122" s="19" t="s">
        <v>1204</v>
      </c>
      <c r="R122" s="21" t="n">
        <v>44609</v>
      </c>
      <c r="S122" s="19" t="s">
        <v>1419</v>
      </c>
      <c r="T122" s="19" t="s">
        <v>1420</v>
      </c>
      <c r="U122" s="19" t="str">
        <f aca="false">HYPERLINK("https://macaulaylibrary.org/asset/531101531","Open")</f>
        <v>Open</v>
      </c>
      <c r="V122" s="19"/>
    </row>
    <row r="123" customFormat="false" ht="15" hidden="false" customHeight="false" outlineLevel="0" collapsed="false">
      <c r="A123" s="19" t="s">
        <v>1421</v>
      </c>
      <c r="B123" s="19" t="s">
        <v>943</v>
      </c>
      <c r="C123" s="19" t="s">
        <v>944</v>
      </c>
      <c r="D123" s="19" t="s">
        <v>148</v>
      </c>
      <c r="E123" s="19" t="s">
        <v>147</v>
      </c>
      <c r="F123" s="19" t="s">
        <v>175</v>
      </c>
      <c r="G123" s="19" t="n">
        <v>21</v>
      </c>
      <c r="H123" s="19" t="s">
        <v>176</v>
      </c>
      <c r="I123" s="20" t="n">
        <v>13.518</v>
      </c>
      <c r="J123" s="19" t="n">
        <f aca="false">IF(I123="","",MIN(Overview!$B$8,MAX(1,CEILING(I123/Overview!$B$7,1))))</f>
        <v>3</v>
      </c>
      <c r="K123" s="19" t="n">
        <v>1</v>
      </c>
      <c r="L123" s="19"/>
      <c r="M123" s="20"/>
      <c r="N123" s="19"/>
      <c r="O123" s="19"/>
      <c r="P123" s="19" t="s">
        <v>1422</v>
      </c>
      <c r="Q123" s="19" t="s">
        <v>1204</v>
      </c>
      <c r="R123" s="21" t="n">
        <v>44610</v>
      </c>
      <c r="S123" s="19" t="s">
        <v>1423</v>
      </c>
      <c r="T123" s="19" t="s">
        <v>1424</v>
      </c>
      <c r="U123" s="19" t="str">
        <f aca="false">HYPERLINK("https://macaulaylibrary.org/asset/531224861","Open")</f>
        <v>Open</v>
      </c>
      <c r="V123" s="19"/>
    </row>
    <row r="124" customFormat="false" ht="15" hidden="false" customHeight="false" outlineLevel="0" collapsed="false">
      <c r="A124" s="19" t="s">
        <v>1425</v>
      </c>
      <c r="B124" s="19" t="s">
        <v>943</v>
      </c>
      <c r="C124" s="19" t="s">
        <v>944</v>
      </c>
      <c r="D124" s="19" t="s">
        <v>148</v>
      </c>
      <c r="E124" s="19" t="s">
        <v>147</v>
      </c>
      <c r="F124" s="19" t="s">
        <v>175</v>
      </c>
      <c r="G124" s="19" t="n">
        <v>21</v>
      </c>
      <c r="H124" s="19" t="s">
        <v>176</v>
      </c>
      <c r="I124" s="20" t="n">
        <v>5.333</v>
      </c>
      <c r="J124" s="19" t="n">
        <f aca="false">IF(I124="","",MIN(Overview!$B$8,MAX(1,CEILING(I124/Overview!$B$7,1))))</f>
        <v>2</v>
      </c>
      <c r="K124" s="19" t="n">
        <v>1</v>
      </c>
      <c r="L124" s="19"/>
      <c r="M124" s="20"/>
      <c r="N124" s="19"/>
      <c r="O124" s="19"/>
      <c r="P124" s="19" t="s">
        <v>1426</v>
      </c>
      <c r="Q124" s="19" t="s">
        <v>1204</v>
      </c>
      <c r="R124" s="21" t="n">
        <v>44611</v>
      </c>
      <c r="S124" s="19" t="s">
        <v>1259</v>
      </c>
      <c r="T124" s="19" t="s">
        <v>1427</v>
      </c>
      <c r="U124" s="19" t="str">
        <f aca="false">HYPERLINK("https://macaulaylibrary.org/asset/531229271","Open")</f>
        <v>Open</v>
      </c>
      <c r="V124" s="19"/>
    </row>
    <row r="125" customFormat="false" ht="15" hidden="false" customHeight="false" outlineLevel="0" collapsed="false">
      <c r="A125" s="19" t="s">
        <v>1428</v>
      </c>
      <c r="B125" s="19" t="s">
        <v>943</v>
      </c>
      <c r="C125" s="19" t="s">
        <v>944</v>
      </c>
      <c r="D125" s="19" t="s">
        <v>148</v>
      </c>
      <c r="E125" s="19" t="s">
        <v>147</v>
      </c>
      <c r="F125" s="19" t="s">
        <v>175</v>
      </c>
      <c r="G125" s="19" t="n">
        <v>21</v>
      </c>
      <c r="H125" s="19" t="s">
        <v>176</v>
      </c>
      <c r="I125" s="20" t="n">
        <v>10.403</v>
      </c>
      <c r="J125" s="19" t="n">
        <f aca="false">IF(I125="","",MIN(Overview!$B$8,MAX(1,CEILING(I125/Overview!$B$7,1))))</f>
        <v>3</v>
      </c>
      <c r="K125" s="19" t="n">
        <v>1</v>
      </c>
      <c r="L125" s="19"/>
      <c r="M125" s="20"/>
      <c r="N125" s="19"/>
      <c r="O125" s="19"/>
      <c r="P125" s="19" t="s">
        <v>1429</v>
      </c>
      <c r="Q125" s="19" t="s">
        <v>1158</v>
      </c>
      <c r="R125" s="21" t="n">
        <v>44942</v>
      </c>
      <c r="S125" s="19" t="s">
        <v>1279</v>
      </c>
      <c r="T125" s="19" t="s">
        <v>1430</v>
      </c>
      <c r="U125" s="19" t="str">
        <f aca="false">HYPERLINK("https://macaulaylibrary.org/asset/543399061","Open")</f>
        <v>Open</v>
      </c>
      <c r="V125" s="19"/>
    </row>
    <row r="126" customFormat="false" ht="15" hidden="false" customHeight="false" outlineLevel="0" collapsed="false">
      <c r="A126" s="19" t="s">
        <v>1431</v>
      </c>
      <c r="B126" s="19" t="s">
        <v>943</v>
      </c>
      <c r="C126" s="19" t="s">
        <v>944</v>
      </c>
      <c r="D126" s="19" t="s">
        <v>148</v>
      </c>
      <c r="E126" s="19" t="s">
        <v>147</v>
      </c>
      <c r="F126" s="19" t="s">
        <v>175</v>
      </c>
      <c r="G126" s="19" t="n">
        <v>21</v>
      </c>
      <c r="H126" s="19" t="s">
        <v>176</v>
      </c>
      <c r="I126" s="20" t="n">
        <v>35.712</v>
      </c>
      <c r="J126" s="19" t="n">
        <f aca="false">IF(I126="","",MIN(Overview!$B$8,MAX(1,CEILING(I126/Overview!$B$7,1))))</f>
        <v>8</v>
      </c>
      <c r="K126" s="19" t="n">
        <v>1</v>
      </c>
      <c r="L126" s="19"/>
      <c r="M126" s="20" t="n">
        <v>5</v>
      </c>
      <c r="N126" s="19"/>
      <c r="O126" s="19"/>
      <c r="P126" s="19" t="s">
        <v>1432</v>
      </c>
      <c r="Q126" s="19" t="s">
        <v>1148</v>
      </c>
      <c r="R126" s="21" t="n">
        <v>45018</v>
      </c>
      <c r="S126" s="19" t="s">
        <v>1433</v>
      </c>
      <c r="T126" s="19" t="s">
        <v>1434</v>
      </c>
      <c r="U126" s="19" t="str">
        <f aca="false">HYPERLINK("https://macaulaylibrary.org/asset/558898631","Open")</f>
        <v>Open</v>
      </c>
      <c r="V126" s="19"/>
    </row>
    <row r="127" customFormat="false" ht="15" hidden="false" customHeight="false" outlineLevel="0" collapsed="false">
      <c r="A127" s="19" t="s">
        <v>1435</v>
      </c>
      <c r="B127" s="19" t="s">
        <v>943</v>
      </c>
      <c r="C127" s="19" t="s">
        <v>944</v>
      </c>
      <c r="D127" s="19" t="s">
        <v>148</v>
      </c>
      <c r="E127" s="19" t="s">
        <v>147</v>
      </c>
      <c r="F127" s="19" t="s">
        <v>175</v>
      </c>
      <c r="G127" s="19" t="n">
        <v>21</v>
      </c>
      <c r="H127" s="19" t="s">
        <v>176</v>
      </c>
      <c r="I127" s="20" t="n">
        <v>2.662</v>
      </c>
      <c r="J127" s="19" t="n">
        <f aca="false">IF(I127="","",MIN(Overview!$B$8,MAX(1,CEILING(I127/Overview!$B$7,1))))</f>
        <v>1</v>
      </c>
      <c r="K127" s="19" t="n">
        <v>1</v>
      </c>
      <c r="L127" s="19" t="s">
        <v>1048</v>
      </c>
      <c r="M127" s="20"/>
      <c r="N127" s="19"/>
      <c r="O127" s="19"/>
      <c r="P127" s="19" t="s">
        <v>1170</v>
      </c>
      <c r="Q127" s="19" t="s">
        <v>1166</v>
      </c>
      <c r="R127" s="21" t="n">
        <v>44900</v>
      </c>
      <c r="S127" s="19" t="s">
        <v>1092</v>
      </c>
      <c r="T127" s="19" t="s">
        <v>1436</v>
      </c>
      <c r="U127" s="19" t="str">
        <f aca="false">HYPERLINK("https://macaulaylibrary.org/asset/597940511","Open")</f>
        <v>Open</v>
      </c>
      <c r="V127" s="19"/>
    </row>
    <row r="128" customFormat="false" ht="15" hidden="false" customHeight="false" outlineLevel="0" collapsed="false">
      <c r="A128" s="19" t="s">
        <v>1437</v>
      </c>
      <c r="B128" s="19" t="s">
        <v>943</v>
      </c>
      <c r="C128" s="19" t="s">
        <v>944</v>
      </c>
      <c r="D128" s="19" t="s">
        <v>148</v>
      </c>
      <c r="E128" s="19" t="s">
        <v>147</v>
      </c>
      <c r="F128" s="19" t="s">
        <v>175</v>
      </c>
      <c r="G128" s="19" t="n">
        <v>21</v>
      </c>
      <c r="H128" s="19" t="s">
        <v>176</v>
      </c>
      <c r="I128" s="20" t="n">
        <v>30.33</v>
      </c>
      <c r="J128" s="19" t="n">
        <f aca="false">IF(I128="","",MIN(Overview!$B$8,MAX(1,CEILING(I128/Overview!$B$7,1))))</f>
        <v>7</v>
      </c>
      <c r="K128" s="19" t="n">
        <v>1</v>
      </c>
      <c r="L128" s="19"/>
      <c r="M128" s="20"/>
      <c r="N128" s="19"/>
      <c r="O128" s="19"/>
      <c r="P128" s="19" t="s">
        <v>1438</v>
      </c>
      <c r="Q128" s="19" t="s">
        <v>1040</v>
      </c>
      <c r="R128" s="21" t="n">
        <v>41267</v>
      </c>
      <c r="S128" s="19" t="s">
        <v>1002</v>
      </c>
      <c r="T128" s="19" t="s">
        <v>1439</v>
      </c>
      <c r="U128" s="19" t="str">
        <f aca="false">HYPERLINK("https://macaulaylibrary.org/asset/609059104","Open")</f>
        <v>Open</v>
      </c>
      <c r="V128" s="19"/>
    </row>
    <row r="129" customFormat="false" ht="15" hidden="false" customHeight="false" outlineLevel="0" collapsed="false">
      <c r="A129" s="19" t="s">
        <v>1440</v>
      </c>
      <c r="B129" s="19" t="s">
        <v>943</v>
      </c>
      <c r="C129" s="19" t="s">
        <v>944</v>
      </c>
      <c r="D129" s="19" t="s">
        <v>148</v>
      </c>
      <c r="E129" s="19" t="s">
        <v>147</v>
      </c>
      <c r="F129" s="19" t="s">
        <v>175</v>
      </c>
      <c r="G129" s="19" t="n">
        <v>21</v>
      </c>
      <c r="H129" s="19" t="s">
        <v>176</v>
      </c>
      <c r="I129" s="20" t="n">
        <v>13.078</v>
      </c>
      <c r="J129" s="19" t="n">
        <f aca="false">IF(I129="","",MIN(Overview!$B$8,MAX(1,CEILING(I129/Overview!$B$7,1))))</f>
        <v>3</v>
      </c>
      <c r="K129" s="19" t="n">
        <v>1</v>
      </c>
      <c r="L129" s="19"/>
      <c r="M129" s="20" t="n">
        <v>2</v>
      </c>
      <c r="N129" s="19"/>
      <c r="O129" s="19"/>
      <c r="P129" s="19" t="s">
        <v>1441</v>
      </c>
      <c r="Q129" s="19" t="s">
        <v>951</v>
      </c>
      <c r="R129" s="21" t="n">
        <v>45223</v>
      </c>
      <c r="S129" s="19" t="s">
        <v>1442</v>
      </c>
      <c r="T129" s="19" t="s">
        <v>1443</v>
      </c>
      <c r="U129" s="19" t="str">
        <f aca="false">HYPERLINK("https://macaulaylibrary.org/asset/610544189","Open")</f>
        <v>Open</v>
      </c>
      <c r="V129" s="19"/>
    </row>
    <row r="130" customFormat="false" ht="15" hidden="false" customHeight="false" outlineLevel="0" collapsed="false">
      <c r="A130" s="19" t="s">
        <v>1444</v>
      </c>
      <c r="B130" s="19" t="s">
        <v>943</v>
      </c>
      <c r="C130" s="19" t="s">
        <v>944</v>
      </c>
      <c r="D130" s="19" t="s">
        <v>148</v>
      </c>
      <c r="E130" s="19" t="s">
        <v>147</v>
      </c>
      <c r="F130" s="19" t="s">
        <v>175</v>
      </c>
      <c r="G130" s="19" t="n">
        <v>21</v>
      </c>
      <c r="H130" s="19" t="s">
        <v>176</v>
      </c>
      <c r="I130" s="20" t="n">
        <v>45.792</v>
      </c>
      <c r="J130" s="19" t="n">
        <f aca="false">IF(I130="","",MIN(Overview!$B$8,MAX(1,CEILING(I130/Overview!$B$7,1))))</f>
        <v>10</v>
      </c>
      <c r="K130" s="19" t="n">
        <v>1</v>
      </c>
      <c r="L130" s="19"/>
      <c r="M130" s="20" t="n">
        <v>3.67</v>
      </c>
      <c r="N130" s="19"/>
      <c r="O130" s="19"/>
      <c r="P130" s="19" t="s">
        <v>1445</v>
      </c>
      <c r="Q130" s="19" t="s">
        <v>1446</v>
      </c>
      <c r="R130" s="21" t="n">
        <v>45234</v>
      </c>
      <c r="S130" s="19" t="s">
        <v>1447</v>
      </c>
      <c r="T130" s="19" t="s">
        <v>1448</v>
      </c>
      <c r="U130" s="19" t="str">
        <f aca="false">HYPERLINK("https://macaulaylibrary.org/asset/610751567","Open")</f>
        <v>Open</v>
      </c>
      <c r="V130" s="19"/>
    </row>
    <row r="131" customFormat="false" ht="15" hidden="false" customHeight="false" outlineLevel="0" collapsed="false">
      <c r="A131" s="19" t="s">
        <v>1449</v>
      </c>
      <c r="B131" s="19" t="s">
        <v>943</v>
      </c>
      <c r="C131" s="19" t="s">
        <v>944</v>
      </c>
      <c r="D131" s="19" t="s">
        <v>148</v>
      </c>
      <c r="E131" s="19" t="s">
        <v>147</v>
      </c>
      <c r="F131" s="19" t="s">
        <v>175</v>
      </c>
      <c r="G131" s="19" t="n">
        <v>21</v>
      </c>
      <c r="H131" s="19" t="s">
        <v>176</v>
      </c>
      <c r="I131" s="20" t="n">
        <v>28.14</v>
      </c>
      <c r="J131" s="19" t="n">
        <f aca="false">IF(I131="","",MIN(Overview!$B$8,MAX(1,CEILING(I131/Overview!$B$7,1))))</f>
        <v>6</v>
      </c>
      <c r="K131" s="19" t="n">
        <v>1</v>
      </c>
      <c r="L131" s="19"/>
      <c r="M131" s="20"/>
      <c r="N131" s="19"/>
      <c r="O131" s="19"/>
      <c r="P131" s="19" t="s">
        <v>1309</v>
      </c>
      <c r="Q131" s="19" t="s">
        <v>1310</v>
      </c>
      <c r="R131" s="21" t="n">
        <v>44937</v>
      </c>
      <c r="S131" s="19" t="s">
        <v>1311</v>
      </c>
      <c r="T131" s="19" t="s">
        <v>1450</v>
      </c>
      <c r="U131" s="19" t="str">
        <f aca="false">HYPERLINK("https://macaulaylibrary.org/asset/612713744","Open")</f>
        <v>Open</v>
      </c>
      <c r="V131" s="19"/>
    </row>
    <row r="132" customFormat="false" ht="15" hidden="false" customHeight="false" outlineLevel="0" collapsed="false">
      <c r="A132" s="19" t="s">
        <v>1451</v>
      </c>
      <c r="B132" s="19" t="s">
        <v>943</v>
      </c>
      <c r="C132" s="19" t="s">
        <v>944</v>
      </c>
      <c r="D132" s="19" t="s">
        <v>148</v>
      </c>
      <c r="E132" s="19" t="s">
        <v>147</v>
      </c>
      <c r="F132" s="19" t="s">
        <v>175</v>
      </c>
      <c r="G132" s="19" t="n">
        <v>21</v>
      </c>
      <c r="H132" s="19" t="s">
        <v>176</v>
      </c>
      <c r="I132" s="20" t="n">
        <v>11.736</v>
      </c>
      <c r="J132" s="19" t="n">
        <f aca="false">IF(I132="","",MIN(Overview!$B$8,MAX(1,CEILING(I132/Overview!$B$7,1))))</f>
        <v>3</v>
      </c>
      <c r="K132" s="19" t="n">
        <v>1</v>
      </c>
      <c r="L132" s="19"/>
      <c r="M132" s="20" t="n">
        <v>3</v>
      </c>
      <c r="N132" s="19"/>
      <c r="O132" s="19"/>
      <c r="P132" s="19" t="s">
        <v>1248</v>
      </c>
      <c r="Q132" s="19" t="s">
        <v>1249</v>
      </c>
      <c r="R132" s="21" t="n">
        <v>44845</v>
      </c>
      <c r="S132" s="19" t="s">
        <v>1102</v>
      </c>
      <c r="T132" s="19" t="s">
        <v>1452</v>
      </c>
      <c r="U132" s="19" t="str">
        <f aca="false">HYPERLINK("https://macaulaylibrary.org/asset/613375461","Open")</f>
        <v>Open</v>
      </c>
      <c r="V132" s="19"/>
    </row>
    <row r="133" customFormat="false" ht="15" hidden="false" customHeight="false" outlineLevel="0" collapsed="false">
      <c r="A133" s="19" t="s">
        <v>1453</v>
      </c>
      <c r="B133" s="19" t="s">
        <v>943</v>
      </c>
      <c r="C133" s="19" t="s">
        <v>944</v>
      </c>
      <c r="D133" s="19" t="s">
        <v>148</v>
      </c>
      <c r="E133" s="19" t="s">
        <v>147</v>
      </c>
      <c r="F133" s="19" t="s">
        <v>175</v>
      </c>
      <c r="G133" s="19" t="n">
        <v>21</v>
      </c>
      <c r="H133" s="19" t="s">
        <v>176</v>
      </c>
      <c r="I133" s="20" t="n">
        <v>19.04</v>
      </c>
      <c r="J133" s="19" t="n">
        <f aca="false">IF(I133="","",MIN(Overview!$B$8,MAX(1,CEILING(I133/Overview!$B$7,1))))</f>
        <v>4</v>
      </c>
      <c r="K133" s="19" t="n">
        <v>1</v>
      </c>
      <c r="L133" s="19"/>
      <c r="M133" s="20"/>
      <c r="N133" s="19"/>
      <c r="O133" s="19"/>
      <c r="P133" s="19" t="s">
        <v>1454</v>
      </c>
      <c r="Q133" s="19" t="s">
        <v>1319</v>
      </c>
      <c r="R133" s="21" t="n">
        <v>44680</v>
      </c>
      <c r="S133" s="19" t="s">
        <v>1299</v>
      </c>
      <c r="T133" s="19" t="s">
        <v>1455</v>
      </c>
      <c r="U133" s="19" t="str">
        <f aca="false">HYPERLINK("https://macaulaylibrary.org/asset/614213795","Open")</f>
        <v>Open</v>
      </c>
      <c r="V133" s="19"/>
    </row>
    <row r="134" customFormat="false" ht="15" hidden="false" customHeight="false" outlineLevel="0" collapsed="false">
      <c r="A134" s="19" t="s">
        <v>1456</v>
      </c>
      <c r="B134" s="19" t="s">
        <v>943</v>
      </c>
      <c r="C134" s="19" t="s">
        <v>944</v>
      </c>
      <c r="D134" s="19" t="s">
        <v>148</v>
      </c>
      <c r="E134" s="19" t="s">
        <v>147</v>
      </c>
      <c r="F134" s="19" t="s">
        <v>175</v>
      </c>
      <c r="G134" s="19" t="n">
        <v>21</v>
      </c>
      <c r="H134" s="19" t="s">
        <v>176</v>
      </c>
      <c r="I134" s="20" t="n">
        <v>9.519</v>
      </c>
      <c r="J134" s="19" t="n">
        <f aca="false">IF(I134="","",MIN(Overview!$B$8,MAX(1,CEILING(I134/Overview!$B$7,1))))</f>
        <v>2</v>
      </c>
      <c r="K134" s="19" t="n">
        <v>1</v>
      </c>
      <c r="L134" s="19"/>
      <c r="M134" s="20" t="n">
        <v>2</v>
      </c>
      <c r="N134" s="19"/>
      <c r="O134" s="19"/>
      <c r="P134" s="19" t="s">
        <v>1457</v>
      </c>
      <c r="Q134" s="19" t="s">
        <v>1458</v>
      </c>
      <c r="R134" s="21" t="n">
        <v>45174</v>
      </c>
      <c r="S134" s="19" t="s">
        <v>1459</v>
      </c>
      <c r="T134" s="19" t="s">
        <v>1460</v>
      </c>
      <c r="U134" s="19" t="str">
        <f aca="false">HYPERLINK("https://macaulaylibrary.org/asset/617954178","Open")</f>
        <v>Open</v>
      </c>
      <c r="V134" s="19"/>
    </row>
    <row r="135" customFormat="false" ht="15" hidden="false" customHeight="false" outlineLevel="0" collapsed="false">
      <c r="A135" s="19" t="s">
        <v>1461</v>
      </c>
      <c r="B135" s="19" t="s">
        <v>943</v>
      </c>
      <c r="C135" s="19" t="s">
        <v>944</v>
      </c>
      <c r="D135" s="19" t="s">
        <v>148</v>
      </c>
      <c r="E135" s="19" t="s">
        <v>147</v>
      </c>
      <c r="F135" s="19" t="s">
        <v>175</v>
      </c>
      <c r="G135" s="19" t="n">
        <v>21</v>
      </c>
      <c r="H135" s="19" t="s">
        <v>176</v>
      </c>
      <c r="I135" s="20" t="n">
        <v>18.312</v>
      </c>
      <c r="J135" s="19" t="n">
        <f aca="false">IF(I135="","",MIN(Overview!$B$8,MAX(1,CEILING(I135/Overview!$B$7,1))))</f>
        <v>4</v>
      </c>
      <c r="K135" s="19" t="n">
        <v>1</v>
      </c>
      <c r="L135" s="19"/>
      <c r="M135" s="20" t="n">
        <v>3</v>
      </c>
      <c r="N135" s="19"/>
      <c r="O135" s="19"/>
      <c r="P135" s="19" t="s">
        <v>1462</v>
      </c>
      <c r="Q135" s="19" t="s">
        <v>1463</v>
      </c>
      <c r="R135" s="21" t="n">
        <v>44962</v>
      </c>
      <c r="S135" s="19" t="s">
        <v>1464</v>
      </c>
      <c r="T135" s="19" t="s">
        <v>1465</v>
      </c>
      <c r="U135" s="19" t="str">
        <f aca="false">HYPERLINK("https://macaulaylibrary.org/asset/620508859","Open")</f>
        <v>Open</v>
      </c>
      <c r="V135" s="19"/>
    </row>
    <row r="136" customFormat="false" ht="15" hidden="false" customHeight="false" outlineLevel="0" collapsed="false">
      <c r="A136" s="19" t="s">
        <v>1466</v>
      </c>
      <c r="B136" s="19" t="s">
        <v>943</v>
      </c>
      <c r="C136" s="19" t="s">
        <v>944</v>
      </c>
      <c r="D136" s="19" t="s">
        <v>148</v>
      </c>
      <c r="E136" s="19" t="s">
        <v>147</v>
      </c>
      <c r="F136" s="19" t="s">
        <v>175</v>
      </c>
      <c r="G136" s="19" t="n">
        <v>21</v>
      </c>
      <c r="H136" s="19" t="s">
        <v>176</v>
      </c>
      <c r="I136" s="20" t="n">
        <v>33.063</v>
      </c>
      <c r="J136" s="19" t="n">
        <f aca="false">IF(I136="","",MIN(Overview!$B$8,MAX(1,CEILING(I136/Overview!$B$7,1))))</f>
        <v>7</v>
      </c>
      <c r="K136" s="19" t="n">
        <v>1</v>
      </c>
      <c r="L136" s="19"/>
      <c r="M136" s="20"/>
      <c r="N136" s="19"/>
      <c r="O136" s="19"/>
      <c r="P136" s="19" t="s">
        <v>1467</v>
      </c>
      <c r="Q136" s="19" t="s">
        <v>1258</v>
      </c>
      <c r="R136" s="21" t="n">
        <v>45230</v>
      </c>
      <c r="S136" s="19" t="s">
        <v>1306</v>
      </c>
      <c r="T136" s="19" t="s">
        <v>1468</v>
      </c>
      <c r="U136" s="19" t="str">
        <f aca="false">HYPERLINK("https://macaulaylibrary.org/asset/621760019","Open")</f>
        <v>Open</v>
      </c>
      <c r="V136" s="19"/>
    </row>
    <row r="137" customFormat="false" ht="15" hidden="false" customHeight="false" outlineLevel="0" collapsed="false">
      <c r="A137" s="19" t="s">
        <v>1469</v>
      </c>
      <c r="B137" s="19" t="s">
        <v>943</v>
      </c>
      <c r="C137" s="19" t="s">
        <v>944</v>
      </c>
      <c r="D137" s="19" t="s">
        <v>148</v>
      </c>
      <c r="E137" s="19" t="s">
        <v>147</v>
      </c>
      <c r="F137" s="19" t="s">
        <v>175</v>
      </c>
      <c r="G137" s="19" t="n">
        <v>21</v>
      </c>
      <c r="H137" s="19" t="s">
        <v>176</v>
      </c>
      <c r="I137" s="20" t="n">
        <v>8.614</v>
      </c>
      <c r="J137" s="19" t="n">
        <f aca="false">IF(I137="","",MIN(Overview!$B$8,MAX(1,CEILING(I137/Overview!$B$7,1))))</f>
        <v>2</v>
      </c>
      <c r="K137" s="19" t="n">
        <v>1</v>
      </c>
      <c r="L137" s="19"/>
      <c r="M137" s="20"/>
      <c r="N137" s="19"/>
      <c r="O137" s="19"/>
      <c r="P137" s="19" t="s">
        <v>1257</v>
      </c>
      <c r="Q137" s="19" t="s">
        <v>1258</v>
      </c>
      <c r="R137" s="21" t="n">
        <v>45231</v>
      </c>
      <c r="S137" s="19" t="s">
        <v>1259</v>
      </c>
      <c r="T137" s="19" t="s">
        <v>1470</v>
      </c>
      <c r="U137" s="19" t="str">
        <f aca="false">HYPERLINK("https://macaulaylibrary.org/asset/621760285","Open")</f>
        <v>Open</v>
      </c>
      <c r="V137" s="19"/>
    </row>
    <row r="138" customFormat="false" ht="15" hidden="false" customHeight="false" outlineLevel="0" collapsed="false">
      <c r="A138" s="19" t="s">
        <v>1471</v>
      </c>
      <c r="B138" s="19" t="s">
        <v>943</v>
      </c>
      <c r="C138" s="19" t="s">
        <v>944</v>
      </c>
      <c r="D138" s="19" t="s">
        <v>148</v>
      </c>
      <c r="E138" s="19" t="s">
        <v>147</v>
      </c>
      <c r="F138" s="19" t="s">
        <v>175</v>
      </c>
      <c r="G138" s="19" t="n">
        <v>21</v>
      </c>
      <c r="H138" s="19" t="s">
        <v>176</v>
      </c>
      <c r="I138" s="20" t="n">
        <v>36.132</v>
      </c>
      <c r="J138" s="19" t="n">
        <f aca="false">IF(I138="","",MIN(Overview!$B$8,MAX(1,CEILING(I138/Overview!$B$7,1))))</f>
        <v>8</v>
      </c>
      <c r="K138" s="19" t="n">
        <v>1</v>
      </c>
      <c r="L138" s="19"/>
      <c r="M138" s="20" t="n">
        <v>5</v>
      </c>
      <c r="N138" s="19"/>
      <c r="O138" s="19"/>
      <c r="P138" s="19" t="s">
        <v>1472</v>
      </c>
      <c r="Q138" s="19" t="s">
        <v>1473</v>
      </c>
      <c r="R138" s="21" t="n">
        <v>45609</v>
      </c>
      <c r="S138" s="19" t="s">
        <v>1474</v>
      </c>
      <c r="T138" s="19" t="s">
        <v>1475</v>
      </c>
      <c r="U138" s="19" t="str">
        <f aca="false">HYPERLINK("https://macaulaylibrary.org/asset/626342334","Open")</f>
        <v>Open</v>
      </c>
      <c r="V138" s="19"/>
    </row>
    <row r="139" customFormat="false" ht="15" hidden="false" customHeight="false" outlineLevel="0" collapsed="false">
      <c r="A139" s="19" t="s">
        <v>1476</v>
      </c>
      <c r="B139" s="19" t="s">
        <v>943</v>
      </c>
      <c r="C139" s="19" t="s">
        <v>944</v>
      </c>
      <c r="D139" s="19" t="s">
        <v>148</v>
      </c>
      <c r="E139" s="19" t="s">
        <v>147</v>
      </c>
      <c r="F139" s="19" t="s">
        <v>175</v>
      </c>
      <c r="G139" s="19" t="n">
        <v>21</v>
      </c>
      <c r="H139" s="19" t="s">
        <v>176</v>
      </c>
      <c r="I139" s="20" t="n">
        <v>7.375</v>
      </c>
      <c r="J139" s="19" t="n">
        <f aca="false">IF(I139="","",MIN(Overview!$B$8,MAX(1,CEILING(I139/Overview!$B$7,1))))</f>
        <v>2</v>
      </c>
      <c r="K139" s="19" t="n">
        <v>1</v>
      </c>
      <c r="L139" s="19"/>
      <c r="M139" s="20" t="n">
        <v>4</v>
      </c>
      <c r="N139" s="19"/>
      <c r="O139" s="19"/>
      <c r="P139" s="19" t="s">
        <v>1477</v>
      </c>
      <c r="Q139" s="19" t="s">
        <v>1478</v>
      </c>
      <c r="R139" s="21" t="n">
        <v>45715</v>
      </c>
      <c r="S139" s="19" t="s">
        <v>1479</v>
      </c>
      <c r="T139" s="19" t="s">
        <v>1480</v>
      </c>
      <c r="U139" s="19" t="str">
        <f aca="false">HYPERLINK("https://macaulaylibrary.org/asset/632692558","Open")</f>
        <v>Open</v>
      </c>
      <c r="V139" s="19"/>
    </row>
    <row r="140" customFormat="false" ht="15" hidden="false" customHeight="false" outlineLevel="0" collapsed="false">
      <c r="A140" s="19" t="s">
        <v>1481</v>
      </c>
      <c r="B140" s="19" t="s">
        <v>943</v>
      </c>
      <c r="C140" s="19" t="s">
        <v>944</v>
      </c>
      <c r="D140" s="19" t="s">
        <v>148</v>
      </c>
      <c r="E140" s="19" t="s">
        <v>147</v>
      </c>
      <c r="F140" s="19" t="s">
        <v>175</v>
      </c>
      <c r="G140" s="19" t="n">
        <v>21</v>
      </c>
      <c r="H140" s="19" t="s">
        <v>176</v>
      </c>
      <c r="I140" s="20" t="n">
        <v>16.179</v>
      </c>
      <c r="J140" s="19" t="n">
        <f aca="false">IF(I140="","",MIN(Overview!$B$8,MAX(1,CEILING(I140/Overview!$B$7,1))))</f>
        <v>4</v>
      </c>
      <c r="K140" s="19" t="n">
        <v>1</v>
      </c>
      <c r="L140" s="19"/>
      <c r="M140" s="20"/>
      <c r="N140" s="19"/>
      <c r="O140" s="19"/>
      <c r="P140" s="19" t="s">
        <v>1482</v>
      </c>
      <c r="Q140" s="19" t="s">
        <v>1483</v>
      </c>
      <c r="R140" s="21" t="n">
        <v>45293</v>
      </c>
      <c r="S140" s="19" t="s">
        <v>1484</v>
      </c>
      <c r="T140" s="19" t="s">
        <v>1485</v>
      </c>
      <c r="U140" s="19" t="str">
        <f aca="false">HYPERLINK("https://macaulaylibrary.org/asset/639219135","Open")</f>
        <v>Open</v>
      </c>
      <c r="V140" s="19"/>
    </row>
    <row r="141" customFormat="false" ht="15" hidden="false" customHeight="false" outlineLevel="0" collapsed="false">
      <c r="A141" s="19" t="s">
        <v>1486</v>
      </c>
      <c r="B141" s="19" t="s">
        <v>943</v>
      </c>
      <c r="C141" s="19" t="s">
        <v>944</v>
      </c>
      <c r="D141" s="19" t="s">
        <v>148</v>
      </c>
      <c r="E141" s="19" t="s">
        <v>147</v>
      </c>
      <c r="F141" s="19" t="s">
        <v>175</v>
      </c>
      <c r="G141" s="19" t="n">
        <v>21</v>
      </c>
      <c r="H141" s="19" t="s">
        <v>176</v>
      </c>
      <c r="I141" s="20" t="n">
        <v>18.573</v>
      </c>
      <c r="J141" s="19" t="n">
        <f aca="false">IF(I141="","",MIN(Overview!$B$8,MAX(1,CEILING(I141/Overview!$B$7,1))))</f>
        <v>4</v>
      </c>
      <c r="K141" s="19" t="n">
        <v>1</v>
      </c>
      <c r="L141" s="19"/>
      <c r="M141" s="20"/>
      <c r="N141" s="19"/>
      <c r="O141" s="19"/>
      <c r="P141" s="19" t="s">
        <v>1487</v>
      </c>
      <c r="Q141" s="19" t="s">
        <v>1488</v>
      </c>
      <c r="R141" s="21" t="n">
        <v>42379</v>
      </c>
      <c r="S141" s="19" t="s">
        <v>1009</v>
      </c>
      <c r="T141" s="19" t="s">
        <v>1489</v>
      </c>
      <c r="U141" s="19" t="str">
        <f aca="false">HYPERLINK("https://macaulaylibrary.org/asset/642419960","Open")</f>
        <v>Open</v>
      </c>
      <c r="V141" s="19"/>
    </row>
    <row r="142" customFormat="false" ht="15" hidden="false" customHeight="false" outlineLevel="0" collapsed="false">
      <c r="A142" s="19" t="s">
        <v>1490</v>
      </c>
      <c r="B142" s="19" t="s">
        <v>943</v>
      </c>
      <c r="C142" s="19" t="s">
        <v>944</v>
      </c>
      <c r="D142" s="19" t="s">
        <v>148</v>
      </c>
      <c r="E142" s="19" t="s">
        <v>147</v>
      </c>
      <c r="F142" s="19" t="s">
        <v>175</v>
      </c>
      <c r="G142" s="19" t="n">
        <v>21</v>
      </c>
      <c r="H142" s="19" t="s">
        <v>176</v>
      </c>
      <c r="I142" s="20" t="n">
        <v>28.126</v>
      </c>
      <c r="J142" s="19" t="n">
        <f aca="false">IF(I142="","",MIN(Overview!$B$8,MAX(1,CEILING(I142/Overview!$B$7,1))))</f>
        <v>6</v>
      </c>
      <c r="K142" s="19" t="n">
        <v>1</v>
      </c>
      <c r="L142" s="19"/>
      <c r="M142" s="20" t="n">
        <v>2</v>
      </c>
      <c r="N142" s="19"/>
      <c r="O142" s="19"/>
      <c r="P142" s="19" t="s">
        <v>1491</v>
      </c>
      <c r="Q142" s="19" t="s">
        <v>1492</v>
      </c>
      <c r="R142" s="21" t="n">
        <v>45936</v>
      </c>
      <c r="S142" s="19" t="s">
        <v>1237</v>
      </c>
      <c r="T142" s="19" t="s">
        <v>1493</v>
      </c>
      <c r="U142" s="19" t="str">
        <f aca="false">HYPERLINK("https://macaulaylibrary.org/asset/643860476","Open")</f>
        <v>Open</v>
      </c>
      <c r="V142" s="19"/>
    </row>
    <row r="143" customFormat="false" ht="15" hidden="false" customHeight="false" outlineLevel="0" collapsed="false">
      <c r="A143" s="19" t="s">
        <v>1494</v>
      </c>
      <c r="B143" s="19" t="s">
        <v>943</v>
      </c>
      <c r="C143" s="19" t="s">
        <v>944</v>
      </c>
      <c r="D143" s="19" t="s">
        <v>148</v>
      </c>
      <c r="E143" s="19" t="s">
        <v>147</v>
      </c>
      <c r="F143" s="19" t="s">
        <v>175</v>
      </c>
      <c r="G143" s="19" t="n">
        <v>21</v>
      </c>
      <c r="H143" s="19" t="s">
        <v>176</v>
      </c>
      <c r="I143" s="20" t="n">
        <v>34.427</v>
      </c>
      <c r="J143" s="19" t="n">
        <f aca="false">IF(I143="","",MIN(Overview!$B$8,MAX(1,CEILING(I143/Overview!$B$7,1))))</f>
        <v>7</v>
      </c>
      <c r="K143" s="19" t="n">
        <v>1</v>
      </c>
      <c r="L143" s="19"/>
      <c r="M143" s="20"/>
      <c r="N143" s="19"/>
      <c r="O143" s="19"/>
      <c r="P143" s="19" t="s">
        <v>1495</v>
      </c>
      <c r="Q143" s="19" t="s">
        <v>1496</v>
      </c>
      <c r="R143" s="21" t="n">
        <v>45980</v>
      </c>
      <c r="S143" s="19" t="s">
        <v>1279</v>
      </c>
      <c r="T143" s="19" t="s">
        <v>1497</v>
      </c>
      <c r="U143" s="19" t="str">
        <f aca="false">HYPERLINK("https://macaulaylibrary.org/asset/645778972","Open")</f>
        <v>Open</v>
      </c>
      <c r="V143" s="19"/>
    </row>
    <row r="144" customFormat="false" ht="15" hidden="false" customHeight="false" outlineLevel="0" collapsed="false">
      <c r="A144" s="19" t="s">
        <v>1498</v>
      </c>
      <c r="B144" s="19" t="s">
        <v>943</v>
      </c>
      <c r="C144" s="19" t="s">
        <v>944</v>
      </c>
      <c r="D144" s="19" t="s">
        <v>148</v>
      </c>
      <c r="E144" s="19" t="s">
        <v>147</v>
      </c>
      <c r="F144" s="19" t="s">
        <v>175</v>
      </c>
      <c r="G144" s="19" t="n">
        <v>21</v>
      </c>
      <c r="H144" s="19" t="s">
        <v>176</v>
      </c>
      <c r="I144" s="20" t="n">
        <v>35.226</v>
      </c>
      <c r="J144" s="19" t="n">
        <f aca="false">IF(I144="","",MIN(Overview!$B$8,MAX(1,CEILING(I144/Overview!$B$7,1))))</f>
        <v>8</v>
      </c>
      <c r="K144" s="19" t="n">
        <v>1</v>
      </c>
      <c r="L144" s="19"/>
      <c r="M144" s="20" t="n">
        <v>3.5</v>
      </c>
      <c r="N144" s="19"/>
      <c r="O144" s="19"/>
      <c r="P144" s="19" t="s">
        <v>1335</v>
      </c>
      <c r="Q144" s="19" t="s">
        <v>990</v>
      </c>
      <c r="R144" s="21" t="n">
        <v>46011</v>
      </c>
      <c r="S144" s="19" t="s">
        <v>966</v>
      </c>
      <c r="T144" s="19" t="s">
        <v>1499</v>
      </c>
      <c r="U144" s="19" t="str">
        <f aca="false">HYPERLINK("https://macaulaylibrary.org/asset/647329066","Open")</f>
        <v>Open</v>
      </c>
      <c r="V144" s="19"/>
    </row>
    <row r="145" customFormat="false" ht="15" hidden="false" customHeight="false" outlineLevel="0" collapsed="false">
      <c r="A145" s="19" t="s">
        <v>1500</v>
      </c>
      <c r="B145" s="19" t="s">
        <v>943</v>
      </c>
      <c r="C145" s="19" t="s">
        <v>944</v>
      </c>
      <c r="D145" s="19" t="s">
        <v>148</v>
      </c>
      <c r="E145" s="19" t="s">
        <v>147</v>
      </c>
      <c r="F145" s="19" t="s">
        <v>175</v>
      </c>
      <c r="G145" s="19" t="n">
        <v>21</v>
      </c>
      <c r="H145" s="19" t="s">
        <v>176</v>
      </c>
      <c r="I145" s="20" t="n">
        <v>43.839</v>
      </c>
      <c r="J145" s="19" t="n">
        <f aca="false">IF(I145="","",MIN(Overview!$B$8,MAX(1,CEILING(I145/Overview!$B$7,1))))</f>
        <v>9</v>
      </c>
      <c r="K145" s="19" t="n">
        <v>1</v>
      </c>
      <c r="L145" s="19"/>
      <c r="M145" s="20" t="n">
        <v>3</v>
      </c>
      <c r="N145" s="19"/>
      <c r="O145" s="19"/>
      <c r="P145" s="19" t="s">
        <v>1501</v>
      </c>
      <c r="Q145" s="19" t="s">
        <v>1502</v>
      </c>
      <c r="R145" s="21" t="n">
        <v>45939</v>
      </c>
      <c r="S145" s="19" t="s">
        <v>1503</v>
      </c>
      <c r="T145" s="19" t="s">
        <v>1504</v>
      </c>
      <c r="U145" s="19" t="str">
        <f aca="false">HYPERLINK("https://macaulaylibrary.org/asset/648704598","Open")</f>
        <v>Open</v>
      </c>
      <c r="V145" s="19"/>
    </row>
    <row r="146" customFormat="false" ht="15" hidden="false" customHeight="false" outlineLevel="0" collapsed="false">
      <c r="A146" s="19" t="s">
        <v>1505</v>
      </c>
      <c r="B146" s="19" t="s">
        <v>943</v>
      </c>
      <c r="C146" s="19" t="s">
        <v>944</v>
      </c>
      <c r="D146" s="19" t="s">
        <v>148</v>
      </c>
      <c r="E146" s="19" t="s">
        <v>147</v>
      </c>
      <c r="F146" s="19" t="s">
        <v>175</v>
      </c>
      <c r="G146" s="19" t="n">
        <v>21</v>
      </c>
      <c r="H146" s="19" t="s">
        <v>176</v>
      </c>
      <c r="I146" s="20" t="n">
        <v>73.624</v>
      </c>
      <c r="J146" s="19" t="n">
        <f aca="false">IF(I146="","",MIN(Overview!$B$8,MAX(1,CEILING(I146/Overview!$B$7,1))))</f>
        <v>15</v>
      </c>
      <c r="K146" s="19" t="n">
        <v>1</v>
      </c>
      <c r="L146" s="19"/>
      <c r="M146" s="20" t="n">
        <v>4</v>
      </c>
      <c r="N146" s="19"/>
      <c r="O146" s="19" t="s">
        <v>209</v>
      </c>
      <c r="P146" s="19" t="s">
        <v>1506</v>
      </c>
      <c r="Q146" s="19" t="s">
        <v>1502</v>
      </c>
      <c r="R146" s="21" t="n">
        <v>45940</v>
      </c>
      <c r="S146" s="19" t="s">
        <v>1507</v>
      </c>
      <c r="T146" s="19" t="s">
        <v>1508</v>
      </c>
      <c r="U146" s="19" t="str">
        <f aca="false">HYPERLINK("https://macaulaylibrary.org/asset/648782504","Open")</f>
        <v>Open</v>
      </c>
      <c r="V146" s="19"/>
    </row>
    <row r="147" customFormat="false" ht="15" hidden="false" customHeight="false" outlineLevel="0" collapsed="false">
      <c r="A147" s="19" t="s">
        <v>1509</v>
      </c>
      <c r="B147" s="19" t="s">
        <v>943</v>
      </c>
      <c r="C147" s="19" t="s">
        <v>944</v>
      </c>
      <c r="D147" s="19" t="s">
        <v>148</v>
      </c>
      <c r="E147" s="19" t="s">
        <v>147</v>
      </c>
      <c r="F147" s="19" t="s">
        <v>175</v>
      </c>
      <c r="G147" s="19" t="n">
        <v>21</v>
      </c>
      <c r="H147" s="19" t="s">
        <v>176</v>
      </c>
      <c r="I147" s="20" t="n">
        <v>109.792</v>
      </c>
      <c r="J147" s="19" t="n">
        <f aca="false">IF(I147="","",MIN(Overview!$B$8,MAX(1,CEILING(I147/Overview!$B$7,1))))</f>
        <v>22</v>
      </c>
      <c r="K147" s="19" t="n">
        <v>1</v>
      </c>
      <c r="L147" s="19"/>
      <c r="M147" s="20" t="n">
        <v>4</v>
      </c>
      <c r="N147" s="19"/>
      <c r="O147" s="19" t="s">
        <v>165</v>
      </c>
      <c r="P147" s="19" t="s">
        <v>1506</v>
      </c>
      <c r="Q147" s="19" t="s">
        <v>1502</v>
      </c>
      <c r="R147" s="21" t="n">
        <v>45940</v>
      </c>
      <c r="S147" s="19" t="s">
        <v>1507</v>
      </c>
      <c r="T147" s="19" t="s">
        <v>1510</v>
      </c>
      <c r="U147" s="19" t="str">
        <f aca="false">HYPERLINK("https://macaulaylibrary.org/asset/648782505","Open")</f>
        <v>Open</v>
      </c>
      <c r="V147" s="19"/>
    </row>
    <row r="148" customFormat="false" ht="15" hidden="false" customHeight="false" outlineLevel="0" collapsed="false">
      <c r="A148" s="19" t="s">
        <v>1511</v>
      </c>
      <c r="B148" s="19" t="s">
        <v>943</v>
      </c>
      <c r="C148" s="19" t="s">
        <v>944</v>
      </c>
      <c r="D148" s="19" t="s">
        <v>148</v>
      </c>
      <c r="E148" s="19" t="s">
        <v>147</v>
      </c>
      <c r="F148" s="19" t="s">
        <v>175</v>
      </c>
      <c r="G148" s="19" t="n">
        <v>21</v>
      </c>
      <c r="H148" s="19" t="s">
        <v>176</v>
      </c>
      <c r="I148" s="20" t="n">
        <v>22.937</v>
      </c>
      <c r="J148" s="19" t="n">
        <f aca="false">IF(I148="","",MIN(Overview!$B$8,MAX(1,CEILING(I148/Overview!$B$7,1))))</f>
        <v>5</v>
      </c>
      <c r="K148" s="19" t="n">
        <v>1</v>
      </c>
      <c r="L148" s="19"/>
      <c r="M148" s="20" t="n">
        <v>4</v>
      </c>
      <c r="N148" s="19"/>
      <c r="O148" s="19"/>
      <c r="P148" s="19" t="s">
        <v>1512</v>
      </c>
      <c r="Q148" s="19" t="s">
        <v>1513</v>
      </c>
      <c r="R148" s="21" t="n">
        <v>45760</v>
      </c>
      <c r="S148" s="19" t="s">
        <v>1036</v>
      </c>
      <c r="T148" s="19" t="s">
        <v>1514</v>
      </c>
      <c r="U148" s="19" t="str">
        <f aca="false">HYPERLINK("https://macaulaylibrary.org/asset/649980462","Open")</f>
        <v>Open</v>
      </c>
      <c r="V148" s="19"/>
    </row>
    <row r="149" customFormat="false" ht="15" hidden="false" customHeight="false" outlineLevel="0" collapsed="false">
      <c r="A149" s="19" t="s">
        <v>1515</v>
      </c>
      <c r="B149" s="19" t="s">
        <v>943</v>
      </c>
      <c r="C149" s="19" t="s">
        <v>944</v>
      </c>
      <c r="D149" s="19" t="s">
        <v>148</v>
      </c>
      <c r="E149" s="19" t="s">
        <v>147</v>
      </c>
      <c r="F149" s="19" t="s">
        <v>175</v>
      </c>
      <c r="G149" s="19" t="n">
        <v>21</v>
      </c>
      <c r="H149" s="19" t="s">
        <v>176</v>
      </c>
      <c r="I149" s="20" t="n">
        <v>17.724</v>
      </c>
      <c r="J149" s="19" t="n">
        <f aca="false">IF(I149="","",MIN(Overview!$B$8,MAX(1,CEILING(I149/Overview!$B$7,1))))</f>
        <v>4</v>
      </c>
      <c r="K149" s="19" t="n">
        <v>1</v>
      </c>
      <c r="L149" s="19"/>
      <c r="M149" s="20"/>
      <c r="N149" s="19"/>
      <c r="O149" s="19"/>
      <c r="P149" s="19" t="s">
        <v>1516</v>
      </c>
      <c r="Q149" s="19" t="s">
        <v>1517</v>
      </c>
      <c r="R149" s="21" t="n">
        <v>46106</v>
      </c>
      <c r="S149" s="19" t="s">
        <v>1205</v>
      </c>
      <c r="T149" s="19" t="s">
        <v>1518</v>
      </c>
      <c r="U149" s="19" t="str">
        <f aca="false">HYPERLINK("https://macaulaylibrary.org/asset/654361614","Open")</f>
        <v>Open</v>
      </c>
      <c r="V149" s="19"/>
    </row>
    <row r="150" customFormat="false" ht="15" hidden="false" customHeight="false" outlineLevel="0" collapsed="false">
      <c r="A150" s="19" t="s">
        <v>1519</v>
      </c>
      <c r="B150" s="19" t="s">
        <v>943</v>
      </c>
      <c r="C150" s="19" t="s">
        <v>944</v>
      </c>
      <c r="D150" s="19" t="s">
        <v>148</v>
      </c>
      <c r="E150" s="19" t="s">
        <v>147</v>
      </c>
      <c r="F150" s="19" t="s">
        <v>175</v>
      </c>
      <c r="G150" s="19" t="n">
        <v>21</v>
      </c>
      <c r="H150" s="19" t="s">
        <v>176</v>
      </c>
      <c r="I150" s="20" t="n">
        <v>17.795</v>
      </c>
      <c r="J150" s="19" t="n">
        <f aca="false">IF(I150="","",MIN(Overview!$B$8,MAX(1,CEILING(I150/Overview!$B$7,1))))</f>
        <v>4</v>
      </c>
      <c r="K150" s="19" t="n">
        <v>1</v>
      </c>
      <c r="L150" s="19"/>
      <c r="M150" s="20" t="n">
        <v>3</v>
      </c>
      <c r="N150" s="19"/>
      <c r="O150" s="19"/>
      <c r="P150" s="19" t="s">
        <v>1520</v>
      </c>
      <c r="Q150" s="19" t="s">
        <v>980</v>
      </c>
      <c r="R150" s="21" t="n">
        <v>34759</v>
      </c>
      <c r="S150" s="19" t="s">
        <v>1002</v>
      </c>
      <c r="T150" s="19" t="s">
        <v>1521</v>
      </c>
      <c r="U150" s="19" t="str">
        <f aca="false">HYPERLINK("https://macaulaylibrary.org/asset/72631","Open")</f>
        <v>Open</v>
      </c>
      <c r="V150" s="19"/>
    </row>
    <row r="151" customFormat="false" ht="15" hidden="false" customHeight="false" outlineLevel="0" collapsed="false">
      <c r="A151" s="19" t="s">
        <v>1522</v>
      </c>
      <c r="B151" s="19" t="s">
        <v>943</v>
      </c>
      <c r="C151" s="19" t="s">
        <v>944</v>
      </c>
      <c r="D151" s="19" t="s">
        <v>148</v>
      </c>
      <c r="E151" s="19" t="s">
        <v>147</v>
      </c>
      <c r="F151" s="19" t="s">
        <v>175</v>
      </c>
      <c r="G151" s="19" t="n">
        <v>21</v>
      </c>
      <c r="H151" s="19" t="s">
        <v>176</v>
      </c>
      <c r="I151" s="20" t="n">
        <v>29.244</v>
      </c>
      <c r="J151" s="19" t="n">
        <f aca="false">IF(I151="","",MIN(Overview!$B$8,MAX(1,CEILING(I151/Overview!$B$7,1))))</f>
        <v>6</v>
      </c>
      <c r="K151" s="19" t="n">
        <v>1</v>
      </c>
      <c r="L151" s="19"/>
      <c r="M151" s="20" t="n">
        <v>2</v>
      </c>
      <c r="N151" s="19"/>
      <c r="O151" s="19"/>
      <c r="P151" s="19" t="s">
        <v>1217</v>
      </c>
      <c r="Q151" s="19" t="s">
        <v>1218</v>
      </c>
      <c r="R151" s="21" t="n">
        <v>33330</v>
      </c>
      <c r="S151" s="19" t="s">
        <v>1523</v>
      </c>
      <c r="T151" s="19" t="s">
        <v>1524</v>
      </c>
      <c r="U151" s="19" t="str">
        <f aca="false">HYPERLINK("https://macaulaylibrary.org/asset/76624","Open")</f>
        <v>Open</v>
      </c>
      <c r="V151" s="19"/>
    </row>
    <row r="152" customFormat="false" ht="15" hidden="false" customHeight="false" outlineLevel="0" collapsed="false">
      <c r="A152" s="19" t="s">
        <v>1525</v>
      </c>
      <c r="B152" s="19" t="s">
        <v>943</v>
      </c>
      <c r="C152" s="19" t="s">
        <v>944</v>
      </c>
      <c r="D152" s="19" t="s">
        <v>148</v>
      </c>
      <c r="E152" s="19" t="s">
        <v>147</v>
      </c>
      <c r="F152" s="19" t="s">
        <v>271</v>
      </c>
      <c r="G152" s="19" t="n">
        <v>22</v>
      </c>
      <c r="H152" s="19" t="s">
        <v>272</v>
      </c>
      <c r="I152" s="20" t="n">
        <v>143.441</v>
      </c>
      <c r="J152" s="19" t="n">
        <f aca="false">IF(I152="","",MIN(Overview!$B$8,MAX(1,CEILING(I152/Overview!$B$7,1))))</f>
        <v>29</v>
      </c>
      <c r="K152" s="19" t="n">
        <v>1</v>
      </c>
      <c r="L152" s="19"/>
      <c r="M152" s="20" t="n">
        <v>4</v>
      </c>
      <c r="N152" s="19"/>
      <c r="O152" s="19"/>
      <c r="P152" s="19" t="s">
        <v>1526</v>
      </c>
      <c r="Q152" s="19" t="s">
        <v>1021</v>
      </c>
      <c r="R152" s="21" t="n">
        <v>35865</v>
      </c>
      <c r="S152" s="19" t="s">
        <v>1279</v>
      </c>
      <c r="T152" s="19" t="s">
        <v>1527</v>
      </c>
      <c r="U152" s="19" t="str">
        <f aca="false">HYPERLINK("https://macaulaylibrary.org/asset/102483581","Open")</f>
        <v>Open</v>
      </c>
      <c r="V152" s="19"/>
    </row>
    <row r="153" customFormat="false" ht="15" hidden="false" customHeight="false" outlineLevel="0" collapsed="false">
      <c r="A153" s="19" t="s">
        <v>1528</v>
      </c>
      <c r="B153" s="19" t="s">
        <v>943</v>
      </c>
      <c r="C153" s="19" t="s">
        <v>944</v>
      </c>
      <c r="D153" s="19" t="s">
        <v>148</v>
      </c>
      <c r="E153" s="19" t="s">
        <v>147</v>
      </c>
      <c r="F153" s="19" t="s">
        <v>271</v>
      </c>
      <c r="G153" s="19" t="n">
        <v>22</v>
      </c>
      <c r="H153" s="19" t="s">
        <v>272</v>
      </c>
      <c r="I153" s="20" t="n">
        <v>87.263</v>
      </c>
      <c r="J153" s="19" t="n">
        <f aca="false">IF(I153="","",MIN(Overview!$B$8,MAX(1,CEILING(I153/Overview!$B$7,1))))</f>
        <v>18</v>
      </c>
      <c r="K153" s="19" t="n">
        <v>1</v>
      </c>
      <c r="L153" s="19"/>
      <c r="M153" s="20" t="n">
        <v>3</v>
      </c>
      <c r="N153" s="19"/>
      <c r="O153" s="19"/>
      <c r="P153" s="19" t="s">
        <v>1529</v>
      </c>
      <c r="Q153" s="19" t="s">
        <v>1021</v>
      </c>
      <c r="R153" s="21" t="n">
        <v>36594</v>
      </c>
      <c r="S153" s="19" t="s">
        <v>1530</v>
      </c>
      <c r="T153" s="19" t="s">
        <v>1531</v>
      </c>
      <c r="U153" s="19" t="str">
        <f aca="false">HYPERLINK("https://macaulaylibrary.org/asset/124418521","Open")</f>
        <v>Open</v>
      </c>
      <c r="V153" s="19"/>
    </row>
    <row r="154" customFormat="false" ht="15" hidden="false" customHeight="false" outlineLevel="0" collapsed="false">
      <c r="A154" s="19" t="s">
        <v>1532</v>
      </c>
      <c r="B154" s="19" t="s">
        <v>943</v>
      </c>
      <c r="C154" s="19" t="s">
        <v>944</v>
      </c>
      <c r="D154" s="19" t="s">
        <v>148</v>
      </c>
      <c r="E154" s="19" t="s">
        <v>147</v>
      </c>
      <c r="F154" s="19" t="s">
        <v>271</v>
      </c>
      <c r="G154" s="19" t="n">
        <v>22</v>
      </c>
      <c r="H154" s="19" t="s">
        <v>272</v>
      </c>
      <c r="I154" s="20" t="n">
        <v>95.542</v>
      </c>
      <c r="J154" s="19" t="n">
        <f aca="false">IF(I154="","",MIN(Overview!$B$8,MAX(1,CEILING(I154/Overview!$B$7,1))))</f>
        <v>20</v>
      </c>
      <c r="K154" s="19" t="n">
        <v>1</v>
      </c>
      <c r="L154" s="19"/>
      <c r="M154" s="20" t="n">
        <v>2</v>
      </c>
      <c r="N154" s="19"/>
      <c r="O154" s="19" t="s">
        <v>155</v>
      </c>
      <c r="P154" s="19" t="s">
        <v>1533</v>
      </c>
      <c r="Q154" s="19" t="s">
        <v>1110</v>
      </c>
      <c r="R154" s="21" t="n">
        <v>36968</v>
      </c>
      <c r="S154" s="19" t="s">
        <v>1534</v>
      </c>
      <c r="T154" s="19" t="s">
        <v>1535</v>
      </c>
      <c r="U154" s="19" t="str">
        <f aca="false">HYPERLINK("https://macaulaylibrary.org/asset/185736","Open")</f>
        <v>Open</v>
      </c>
      <c r="V154" s="19"/>
    </row>
    <row r="155" customFormat="false" ht="15" hidden="false" customHeight="false" outlineLevel="0" collapsed="false">
      <c r="A155" s="19" t="s">
        <v>1536</v>
      </c>
      <c r="B155" s="19" t="s">
        <v>943</v>
      </c>
      <c r="C155" s="19" t="s">
        <v>944</v>
      </c>
      <c r="D155" s="19" t="s">
        <v>148</v>
      </c>
      <c r="E155" s="19" t="s">
        <v>147</v>
      </c>
      <c r="F155" s="19" t="s">
        <v>271</v>
      </c>
      <c r="G155" s="19" t="n">
        <v>22</v>
      </c>
      <c r="H155" s="19" t="s">
        <v>272</v>
      </c>
      <c r="I155" s="20" t="n">
        <v>23.408</v>
      </c>
      <c r="J155" s="19" t="n">
        <f aca="false">IF(I155="","",MIN(Overview!$B$8,MAX(1,CEILING(I155/Overview!$B$7,1))))</f>
        <v>5</v>
      </c>
      <c r="K155" s="19" t="n">
        <v>1</v>
      </c>
      <c r="L155" s="19"/>
      <c r="M155" s="20" t="n">
        <v>3</v>
      </c>
      <c r="N155" s="19"/>
      <c r="O155" s="19"/>
      <c r="P155" s="19" t="s">
        <v>1278</v>
      </c>
      <c r="Q155" s="19" t="s">
        <v>1030</v>
      </c>
      <c r="R155" s="21" t="n">
        <v>33597</v>
      </c>
      <c r="S155" s="19" t="s">
        <v>1279</v>
      </c>
      <c r="T155" s="19" t="s">
        <v>1537</v>
      </c>
      <c r="U155" s="19" t="str">
        <f aca="false">HYPERLINK("https://macaulaylibrary.org/asset/285626","Open")</f>
        <v>Open</v>
      </c>
      <c r="V155" s="19"/>
    </row>
    <row r="156" customFormat="false" ht="15" hidden="false" customHeight="false" outlineLevel="0" collapsed="false">
      <c r="A156" s="19" t="s">
        <v>1538</v>
      </c>
      <c r="B156" s="19" t="s">
        <v>943</v>
      </c>
      <c r="C156" s="19" t="s">
        <v>944</v>
      </c>
      <c r="D156" s="19" t="s">
        <v>148</v>
      </c>
      <c r="E156" s="19" t="s">
        <v>147</v>
      </c>
      <c r="F156" s="19" t="s">
        <v>271</v>
      </c>
      <c r="G156" s="19" t="n">
        <v>22</v>
      </c>
      <c r="H156" s="19" t="s">
        <v>272</v>
      </c>
      <c r="I156" s="20" t="n">
        <v>34.871</v>
      </c>
      <c r="J156" s="19" t="n">
        <f aca="false">IF(I156="","",MIN(Overview!$B$8,MAX(1,CEILING(I156/Overview!$B$7,1))))</f>
        <v>7</v>
      </c>
      <c r="K156" s="19" t="n">
        <v>1</v>
      </c>
      <c r="L156" s="19"/>
      <c r="M156" s="20"/>
      <c r="N156" s="19"/>
      <c r="O156" s="19"/>
      <c r="P156" s="19" t="s">
        <v>1539</v>
      </c>
      <c r="Q156" s="19" t="s">
        <v>1030</v>
      </c>
      <c r="R156" s="21" t="n">
        <v>33963</v>
      </c>
      <c r="S156" s="19"/>
      <c r="T156" s="19" t="s">
        <v>1540</v>
      </c>
      <c r="U156" s="19" t="str">
        <f aca="false">HYPERLINK("https://macaulaylibrary.org/asset/285752","Open")</f>
        <v>Open</v>
      </c>
      <c r="V156" s="19"/>
    </row>
    <row r="157" customFormat="false" ht="15" hidden="false" customHeight="false" outlineLevel="0" collapsed="false">
      <c r="A157" s="19" t="s">
        <v>1541</v>
      </c>
      <c r="B157" s="19" t="s">
        <v>943</v>
      </c>
      <c r="C157" s="19" t="s">
        <v>944</v>
      </c>
      <c r="D157" s="19" t="s">
        <v>148</v>
      </c>
      <c r="E157" s="19" t="s">
        <v>147</v>
      </c>
      <c r="F157" s="19" t="s">
        <v>271</v>
      </c>
      <c r="G157" s="19" t="n">
        <v>22</v>
      </c>
      <c r="H157" s="19" t="s">
        <v>272</v>
      </c>
      <c r="I157" s="20" t="n">
        <v>112.104</v>
      </c>
      <c r="J157" s="19" t="n">
        <f aca="false">IF(I157="","",MIN(Overview!$B$8,MAX(1,CEILING(I157/Overview!$B$7,1))))</f>
        <v>23</v>
      </c>
      <c r="K157" s="19" t="n">
        <v>1</v>
      </c>
      <c r="L157" s="19"/>
      <c r="M157" s="20" t="n">
        <v>5</v>
      </c>
      <c r="N157" s="19"/>
      <c r="O157" s="19"/>
      <c r="P157" s="19" t="s">
        <v>1542</v>
      </c>
      <c r="Q157" s="19" t="s">
        <v>1408</v>
      </c>
      <c r="R157" s="21" t="n">
        <v>31806</v>
      </c>
      <c r="S157" s="19" t="s">
        <v>1009</v>
      </c>
      <c r="T157" s="19" t="s">
        <v>1543</v>
      </c>
      <c r="U157" s="19" t="str">
        <f aca="false">HYPERLINK("https://macaulaylibrary.org/asset/336536431","Open")</f>
        <v>Open</v>
      </c>
      <c r="V157" s="19"/>
    </row>
    <row r="158" customFormat="false" ht="15" hidden="false" customHeight="false" outlineLevel="0" collapsed="false">
      <c r="A158" s="19" t="s">
        <v>1544</v>
      </c>
      <c r="B158" s="19" t="s">
        <v>943</v>
      </c>
      <c r="C158" s="19" t="s">
        <v>944</v>
      </c>
      <c r="D158" s="19" t="s">
        <v>148</v>
      </c>
      <c r="E158" s="19" t="s">
        <v>147</v>
      </c>
      <c r="F158" s="19" t="s">
        <v>271</v>
      </c>
      <c r="G158" s="19" t="n">
        <v>22</v>
      </c>
      <c r="H158" s="19" t="s">
        <v>272</v>
      </c>
      <c r="I158" s="20" t="n">
        <v>276.663</v>
      </c>
      <c r="J158" s="19" t="n">
        <f aca="false">IF(I158="","",MIN(Overview!$B$8,MAX(1,CEILING(I158/Overview!$B$7,1))))</f>
        <v>56</v>
      </c>
      <c r="K158" s="19" t="n">
        <v>1</v>
      </c>
      <c r="L158" s="19"/>
      <c r="M158" s="20" t="n">
        <v>4</v>
      </c>
      <c r="N158" s="19"/>
      <c r="O158" s="19" t="s">
        <v>209</v>
      </c>
      <c r="P158" s="19" t="s">
        <v>1545</v>
      </c>
      <c r="Q158" s="19" t="s">
        <v>1071</v>
      </c>
      <c r="R158" s="21" t="n">
        <v>32821</v>
      </c>
      <c r="S158" s="19" t="s">
        <v>1546</v>
      </c>
      <c r="T158" s="19" t="s">
        <v>1547</v>
      </c>
      <c r="U158" s="19" t="str">
        <f aca="false">HYPERLINK("https://macaulaylibrary.org/asset/51724","Open")</f>
        <v>Open</v>
      </c>
      <c r="V158" s="19"/>
    </row>
    <row r="159" customFormat="false" ht="15" hidden="false" customHeight="false" outlineLevel="0" collapsed="false">
      <c r="A159" s="19" t="s">
        <v>1548</v>
      </c>
      <c r="B159" s="19" t="s">
        <v>943</v>
      </c>
      <c r="C159" s="19" t="s">
        <v>944</v>
      </c>
      <c r="D159" s="19" t="s">
        <v>148</v>
      </c>
      <c r="E159" s="19" t="s">
        <v>147</v>
      </c>
      <c r="F159" s="19" t="s">
        <v>271</v>
      </c>
      <c r="G159" s="19" t="n">
        <v>22</v>
      </c>
      <c r="H159" s="19" t="s">
        <v>272</v>
      </c>
      <c r="I159" s="20" t="n">
        <v>136.498</v>
      </c>
      <c r="J159" s="19" t="n">
        <f aca="false">IF(I159="","",MIN(Overview!$B$8,MAX(1,CEILING(I159/Overview!$B$7,1))))</f>
        <v>28</v>
      </c>
      <c r="K159" s="19" t="n">
        <v>1</v>
      </c>
      <c r="L159" s="19"/>
      <c r="M159" s="20" t="n">
        <v>3</v>
      </c>
      <c r="N159" s="19"/>
      <c r="O159" s="19"/>
      <c r="P159" s="19" t="s">
        <v>1549</v>
      </c>
      <c r="Q159" s="19" t="s">
        <v>980</v>
      </c>
      <c r="R159" s="21" t="n">
        <v>32559</v>
      </c>
      <c r="S159" s="19" t="s">
        <v>1550</v>
      </c>
      <c r="T159" s="19" t="s">
        <v>1551</v>
      </c>
      <c r="U159" s="19" t="str">
        <f aca="false">HYPERLINK("https://macaulaylibrary.org/asset/57373","Open")</f>
        <v>Open</v>
      </c>
      <c r="V159" s="19"/>
    </row>
    <row r="160" customFormat="false" ht="15" hidden="false" customHeight="false" outlineLevel="0" collapsed="false">
      <c r="A160" s="19" t="s">
        <v>1552</v>
      </c>
      <c r="B160" s="19" t="s">
        <v>943</v>
      </c>
      <c r="C160" s="19" t="s">
        <v>944</v>
      </c>
      <c r="D160" s="19" t="s">
        <v>148</v>
      </c>
      <c r="E160" s="19" t="s">
        <v>147</v>
      </c>
      <c r="F160" s="19" t="s">
        <v>271</v>
      </c>
      <c r="G160" s="19" t="n">
        <v>22</v>
      </c>
      <c r="H160" s="19" t="s">
        <v>272</v>
      </c>
      <c r="I160" s="20" t="n">
        <v>234.448</v>
      </c>
      <c r="J160" s="19" t="n">
        <f aca="false">IF(I160="","",MIN(Overview!$B$8,MAX(1,CEILING(I160/Overview!$B$7,1))))</f>
        <v>47</v>
      </c>
      <c r="K160" s="19" t="n">
        <v>1</v>
      </c>
      <c r="L160" s="19"/>
      <c r="M160" s="20" t="n">
        <v>3</v>
      </c>
      <c r="N160" s="19"/>
      <c r="O160" s="19"/>
      <c r="P160" s="19" t="s">
        <v>1549</v>
      </c>
      <c r="Q160" s="19" t="s">
        <v>980</v>
      </c>
      <c r="R160" s="21" t="n">
        <v>32559</v>
      </c>
      <c r="S160" s="19" t="s">
        <v>1442</v>
      </c>
      <c r="T160" s="19" t="s">
        <v>1553</v>
      </c>
      <c r="U160" s="19" t="str">
        <f aca="false">HYPERLINK("https://macaulaylibrary.org/asset/57374","Open")</f>
        <v>Open</v>
      </c>
      <c r="V160" s="19"/>
    </row>
    <row r="161" customFormat="false" ht="15" hidden="false" customHeight="false" outlineLevel="0" collapsed="false">
      <c r="A161" s="19" t="s">
        <v>1554</v>
      </c>
      <c r="B161" s="19" t="s">
        <v>943</v>
      </c>
      <c r="C161" s="19" t="s">
        <v>944</v>
      </c>
      <c r="D161" s="19" t="s">
        <v>148</v>
      </c>
      <c r="E161" s="19" t="s">
        <v>147</v>
      </c>
      <c r="F161" s="19" t="s">
        <v>271</v>
      </c>
      <c r="G161" s="19" t="n">
        <v>22</v>
      </c>
      <c r="H161" s="19" t="s">
        <v>272</v>
      </c>
      <c r="I161" s="20" t="n">
        <v>107.365</v>
      </c>
      <c r="J161" s="19" t="n">
        <f aca="false">IF(I161="","",MIN(Overview!$B$8,MAX(1,CEILING(I161/Overview!$B$7,1))))</f>
        <v>22</v>
      </c>
      <c r="K161" s="19" t="n">
        <v>1</v>
      </c>
      <c r="L161" s="19"/>
      <c r="M161" s="20" t="n">
        <v>3</v>
      </c>
      <c r="N161" s="19"/>
      <c r="O161" s="19"/>
      <c r="P161" s="19" t="s">
        <v>1555</v>
      </c>
      <c r="Q161" s="19" t="s">
        <v>980</v>
      </c>
      <c r="R161" s="21" t="n">
        <v>33291</v>
      </c>
      <c r="S161" s="19"/>
      <c r="T161" s="19" t="s">
        <v>1556</v>
      </c>
      <c r="U161" s="19" t="str">
        <f aca="false">HYPERLINK("https://macaulaylibrary.org/asset/57481","Open")</f>
        <v>Open</v>
      </c>
      <c r="V161" s="19"/>
    </row>
    <row r="162" customFormat="false" ht="15" hidden="false" customHeight="false" outlineLevel="0" collapsed="false">
      <c r="A162" s="19" t="s">
        <v>1557</v>
      </c>
      <c r="B162" s="19" t="s">
        <v>943</v>
      </c>
      <c r="C162" s="19" t="s">
        <v>944</v>
      </c>
      <c r="D162" s="19" t="s">
        <v>148</v>
      </c>
      <c r="E162" s="19" t="s">
        <v>147</v>
      </c>
      <c r="F162" s="19" t="s">
        <v>271</v>
      </c>
      <c r="G162" s="19" t="n">
        <v>22</v>
      </c>
      <c r="H162" s="19" t="s">
        <v>272</v>
      </c>
      <c r="I162" s="20" t="n">
        <v>17.705</v>
      </c>
      <c r="J162" s="19" t="n">
        <f aca="false">IF(I162="","",MIN(Overview!$B$8,MAX(1,CEILING(I162/Overview!$B$7,1))))</f>
        <v>4</v>
      </c>
      <c r="K162" s="19" t="n">
        <v>1</v>
      </c>
      <c r="L162" s="19"/>
      <c r="M162" s="20"/>
      <c r="N162" s="19"/>
      <c r="O162" s="19"/>
      <c r="P162" s="19" t="s">
        <v>1558</v>
      </c>
      <c r="Q162" s="19" t="s">
        <v>1458</v>
      </c>
      <c r="R162" s="21" t="n">
        <v>45173</v>
      </c>
      <c r="S162" s="19" t="s">
        <v>1559</v>
      </c>
      <c r="T162" s="19" t="s">
        <v>1560</v>
      </c>
      <c r="U162" s="19" t="str">
        <f aca="false">HYPERLINK("https://macaulaylibrary.org/asset/618153152","Open")</f>
        <v>Open</v>
      </c>
      <c r="V162" s="19"/>
    </row>
    <row r="163" customFormat="false" ht="15" hidden="false" customHeight="false" outlineLevel="0" collapsed="false">
      <c r="A163" s="19" t="s">
        <v>1561</v>
      </c>
      <c r="B163" s="19" t="s">
        <v>943</v>
      </c>
      <c r="C163" s="19" t="s">
        <v>944</v>
      </c>
      <c r="D163" s="19" t="s">
        <v>148</v>
      </c>
      <c r="E163" s="19" t="s">
        <v>147</v>
      </c>
      <c r="F163" s="19" t="s">
        <v>271</v>
      </c>
      <c r="G163" s="19" t="n">
        <v>22</v>
      </c>
      <c r="H163" s="19" t="s">
        <v>272</v>
      </c>
      <c r="I163" s="20" t="n">
        <v>10.292</v>
      </c>
      <c r="J163" s="19" t="n">
        <f aca="false">IF(I163="","",MIN(Overview!$B$8,MAX(1,CEILING(I163/Overview!$B$7,1))))</f>
        <v>3</v>
      </c>
      <c r="K163" s="19" t="n">
        <v>1</v>
      </c>
      <c r="L163" s="19"/>
      <c r="M163" s="20"/>
      <c r="N163" s="19"/>
      <c r="O163" s="19"/>
      <c r="P163" s="19" t="s">
        <v>1487</v>
      </c>
      <c r="Q163" s="19" t="s">
        <v>1488</v>
      </c>
      <c r="R163" s="21" t="n">
        <v>42379</v>
      </c>
      <c r="S163" s="19" t="s">
        <v>1009</v>
      </c>
      <c r="T163" s="19" t="s">
        <v>1562</v>
      </c>
      <c r="U163" s="19" t="str">
        <f aca="false">HYPERLINK("https://macaulaylibrary.org/asset/642419965","Open")</f>
        <v>Open</v>
      </c>
      <c r="V163" s="19"/>
    </row>
    <row r="164" customFormat="false" ht="15" hidden="false" customHeight="false" outlineLevel="0" collapsed="false">
      <c r="A164" s="19" t="s">
        <v>1563</v>
      </c>
      <c r="B164" s="19" t="s">
        <v>943</v>
      </c>
      <c r="C164" s="19" t="s">
        <v>944</v>
      </c>
      <c r="D164" s="19" t="s">
        <v>148</v>
      </c>
      <c r="E164" s="19" t="s">
        <v>147</v>
      </c>
      <c r="F164" s="19" t="s">
        <v>271</v>
      </c>
      <c r="G164" s="19" t="n">
        <v>22</v>
      </c>
      <c r="H164" s="19" t="s">
        <v>272</v>
      </c>
      <c r="I164" s="20" t="n">
        <v>49.374</v>
      </c>
      <c r="J164" s="19" t="n">
        <f aca="false">IF(I164="","",MIN(Overview!$B$8,MAX(1,CEILING(I164/Overview!$B$7,1))))</f>
        <v>10</v>
      </c>
      <c r="K164" s="19" t="n">
        <v>1</v>
      </c>
      <c r="L164" s="19"/>
      <c r="M164" s="20" t="n">
        <v>1</v>
      </c>
      <c r="N164" s="19"/>
      <c r="O164" s="19"/>
      <c r="P164" s="19" t="s">
        <v>1564</v>
      </c>
      <c r="Q164" s="19" t="s">
        <v>1226</v>
      </c>
      <c r="R164" s="21" t="n">
        <v>21273</v>
      </c>
      <c r="S164" s="19" t="s">
        <v>1002</v>
      </c>
      <c r="T164" s="19" t="s">
        <v>1565</v>
      </c>
      <c r="U164" s="19" t="str">
        <f aca="false">HYPERLINK("https://macaulaylibrary.org/asset/7067","Open")</f>
        <v>Open</v>
      </c>
      <c r="V164" s="19"/>
    </row>
    <row r="165" customFormat="false" ht="15" hidden="false" customHeight="false" outlineLevel="0" collapsed="false">
      <c r="A165" s="19" t="s">
        <v>1566</v>
      </c>
      <c r="B165" s="19" t="s">
        <v>943</v>
      </c>
      <c r="C165" s="19" t="s">
        <v>944</v>
      </c>
      <c r="D165" s="19" t="s">
        <v>148</v>
      </c>
      <c r="E165" s="19" t="s">
        <v>147</v>
      </c>
      <c r="F165" s="19" t="s">
        <v>271</v>
      </c>
      <c r="G165" s="19" t="n">
        <v>22</v>
      </c>
      <c r="H165" s="19" t="s">
        <v>272</v>
      </c>
      <c r="I165" s="20" t="n">
        <v>57.042</v>
      </c>
      <c r="J165" s="19" t="n">
        <f aca="false">IF(I165="","",MIN(Overview!$B$8,MAX(1,CEILING(I165/Overview!$B$7,1))))</f>
        <v>12</v>
      </c>
      <c r="K165" s="19" t="n">
        <v>1</v>
      </c>
      <c r="L165" s="19"/>
      <c r="M165" s="20" t="n">
        <v>2</v>
      </c>
      <c r="N165" s="19"/>
      <c r="O165" s="19"/>
      <c r="P165" s="19" t="s">
        <v>1567</v>
      </c>
      <c r="Q165" s="19" t="s">
        <v>980</v>
      </c>
      <c r="R165" s="21" t="n">
        <v>33294</v>
      </c>
      <c r="S165" s="19" t="s">
        <v>1002</v>
      </c>
      <c r="T165" s="19" t="s">
        <v>1568</v>
      </c>
      <c r="U165" s="19" t="str">
        <f aca="false">HYPERLINK("https://macaulaylibrary.org/asset/72600","Open")</f>
        <v>Open</v>
      </c>
      <c r="V165" s="19"/>
    </row>
    <row r="166" customFormat="false" ht="15" hidden="false" customHeight="false" outlineLevel="0" collapsed="false">
      <c r="A166" s="19" t="s">
        <v>1569</v>
      </c>
      <c r="B166" s="19" t="s">
        <v>943</v>
      </c>
      <c r="C166" s="19" t="s">
        <v>944</v>
      </c>
      <c r="D166" s="19" t="s">
        <v>148</v>
      </c>
      <c r="E166" s="19" t="s">
        <v>147</v>
      </c>
      <c r="F166" s="19" t="s">
        <v>271</v>
      </c>
      <c r="G166" s="19" t="n">
        <v>22</v>
      </c>
      <c r="H166" s="19" t="s">
        <v>272</v>
      </c>
      <c r="I166" s="20" t="n">
        <v>62.069</v>
      </c>
      <c r="J166" s="19" t="n">
        <f aca="false">IF(I166="","",MIN(Overview!$B$8,MAX(1,CEILING(I166/Overview!$B$7,1))))</f>
        <v>13</v>
      </c>
      <c r="K166" s="19" t="n">
        <v>1</v>
      </c>
      <c r="L166" s="19"/>
      <c r="M166" s="20" t="n">
        <v>2</v>
      </c>
      <c r="N166" s="19"/>
      <c r="O166" s="19"/>
      <c r="P166" s="19" t="s">
        <v>1570</v>
      </c>
      <c r="Q166" s="19" t="s">
        <v>980</v>
      </c>
      <c r="R166" s="21" t="n">
        <v>33295</v>
      </c>
      <c r="S166" s="19" t="s">
        <v>1002</v>
      </c>
      <c r="T166" s="19" t="s">
        <v>1571</v>
      </c>
      <c r="U166" s="19" t="str">
        <f aca="false">HYPERLINK("https://macaulaylibrary.org/asset/72602","Open")</f>
        <v>Open</v>
      </c>
      <c r="V166" s="19"/>
    </row>
    <row r="167" customFormat="false" ht="15" hidden="false" customHeight="false" outlineLevel="0" collapsed="false">
      <c r="A167" s="19" t="s">
        <v>1572</v>
      </c>
      <c r="B167" s="19" t="s">
        <v>943</v>
      </c>
      <c r="C167" s="19" t="s">
        <v>944</v>
      </c>
      <c r="D167" s="19" t="s">
        <v>148</v>
      </c>
      <c r="E167" s="19" t="s">
        <v>147</v>
      </c>
      <c r="F167" s="19" t="s">
        <v>271</v>
      </c>
      <c r="G167" s="19" t="n">
        <v>22</v>
      </c>
      <c r="H167" s="19" t="s">
        <v>272</v>
      </c>
      <c r="I167" s="20" t="n">
        <v>271.768</v>
      </c>
      <c r="J167" s="19" t="n">
        <f aca="false">IF(I167="","",MIN(Overview!$B$8,MAX(1,CEILING(I167/Overview!$B$7,1))))</f>
        <v>55</v>
      </c>
      <c r="K167" s="19" t="n">
        <v>1</v>
      </c>
      <c r="L167" s="19"/>
      <c r="M167" s="20" t="n">
        <v>3</v>
      </c>
      <c r="N167" s="19"/>
      <c r="O167" s="19"/>
      <c r="P167" s="19" t="s">
        <v>1573</v>
      </c>
      <c r="Q167" s="19" t="s">
        <v>1021</v>
      </c>
      <c r="R167" s="21" t="n">
        <v>35861</v>
      </c>
      <c r="S167" s="19" t="s">
        <v>1574</v>
      </c>
      <c r="T167" s="19" t="s">
        <v>1575</v>
      </c>
      <c r="U167" s="19" t="str">
        <f aca="false">HYPERLINK("https://macaulaylibrary.org/asset/99563831","Open")</f>
        <v>Open</v>
      </c>
      <c r="V167" s="19"/>
    </row>
    <row r="168" customFormat="false" ht="15" hidden="false" customHeight="false" outlineLevel="0" collapsed="false">
      <c r="A168" s="19" t="s">
        <v>1576</v>
      </c>
      <c r="B168" s="19" t="s">
        <v>943</v>
      </c>
      <c r="C168" s="19" t="s">
        <v>944</v>
      </c>
      <c r="D168" s="19" t="s">
        <v>148</v>
      </c>
      <c r="E168" s="19" t="s">
        <v>147</v>
      </c>
      <c r="F168" s="19" t="s">
        <v>218</v>
      </c>
      <c r="G168" s="19" t="n">
        <v>23</v>
      </c>
      <c r="H168" s="19" t="s">
        <v>219</v>
      </c>
      <c r="I168" s="20" t="n">
        <v>20.599</v>
      </c>
      <c r="J168" s="19" t="n">
        <f aca="false">IF(I168="","",MIN(Overview!$B$8,MAX(1,CEILING(I168/Overview!$B$7,1))))</f>
        <v>5</v>
      </c>
      <c r="K168" s="19" t="n">
        <v>1</v>
      </c>
      <c r="L168" s="19"/>
      <c r="M168" s="20" t="n">
        <v>3</v>
      </c>
      <c r="N168" s="19"/>
      <c r="O168" s="19"/>
      <c r="P168" s="19" t="s">
        <v>1577</v>
      </c>
      <c r="Q168" s="19" t="s">
        <v>1401</v>
      </c>
      <c r="R168" s="21" t="n">
        <v>35479</v>
      </c>
      <c r="S168" s="19" t="s">
        <v>1578</v>
      </c>
      <c r="T168" s="19" t="s">
        <v>1579</v>
      </c>
      <c r="U168" s="19" t="str">
        <f aca="false">HYPERLINK("https://macaulaylibrary.org/asset/128131021","Open")</f>
        <v>Open</v>
      </c>
      <c r="V168" s="19"/>
    </row>
    <row r="169" customFormat="false" ht="15" hidden="false" customHeight="false" outlineLevel="0" collapsed="false">
      <c r="A169" s="19" t="s">
        <v>1580</v>
      </c>
      <c r="B169" s="19" t="s">
        <v>943</v>
      </c>
      <c r="C169" s="19" t="s">
        <v>944</v>
      </c>
      <c r="D169" s="19" t="s">
        <v>148</v>
      </c>
      <c r="E169" s="19" t="s">
        <v>147</v>
      </c>
      <c r="F169" s="19" t="s">
        <v>218</v>
      </c>
      <c r="G169" s="19" t="n">
        <v>23</v>
      </c>
      <c r="H169" s="19" t="s">
        <v>219</v>
      </c>
      <c r="I169" s="20" t="n">
        <v>68.669</v>
      </c>
      <c r="J169" s="19" t="n">
        <f aca="false">IF(I169="","",MIN(Overview!$B$8,MAX(1,CEILING(I169/Overview!$B$7,1))))</f>
        <v>14</v>
      </c>
      <c r="K169" s="19" t="n">
        <v>1</v>
      </c>
      <c r="L169" s="19"/>
      <c r="M169" s="20" t="n">
        <v>3</v>
      </c>
      <c r="N169" s="19"/>
      <c r="O169" s="19"/>
      <c r="P169" s="19" t="s">
        <v>1581</v>
      </c>
      <c r="Q169" s="19" t="s">
        <v>1021</v>
      </c>
      <c r="R169" s="21" t="n">
        <v>36595</v>
      </c>
      <c r="S169" s="19" t="s">
        <v>1459</v>
      </c>
      <c r="T169" s="19" t="s">
        <v>1582</v>
      </c>
      <c r="U169" s="19" t="str">
        <f aca="false">HYPERLINK("https://macaulaylibrary.org/asset/143860561","Open")</f>
        <v>Open</v>
      </c>
      <c r="V169" s="19"/>
    </row>
    <row r="170" customFormat="false" ht="15" hidden="false" customHeight="false" outlineLevel="0" collapsed="false">
      <c r="A170" s="19" t="s">
        <v>1583</v>
      </c>
      <c r="B170" s="19" t="s">
        <v>943</v>
      </c>
      <c r="C170" s="19" t="s">
        <v>944</v>
      </c>
      <c r="D170" s="19" t="s">
        <v>148</v>
      </c>
      <c r="E170" s="19" t="s">
        <v>147</v>
      </c>
      <c r="F170" s="19" t="s">
        <v>218</v>
      </c>
      <c r="G170" s="19" t="n">
        <v>23</v>
      </c>
      <c r="H170" s="19" t="s">
        <v>219</v>
      </c>
      <c r="I170" s="20" t="n">
        <v>208.316</v>
      </c>
      <c r="J170" s="19" t="n">
        <f aca="false">IF(I170="","",MIN(Overview!$B$8,MAX(1,CEILING(I170/Overview!$B$7,1))))</f>
        <v>42</v>
      </c>
      <c r="K170" s="19" t="n">
        <v>1</v>
      </c>
      <c r="L170" s="19"/>
      <c r="M170" s="20" t="n">
        <v>4</v>
      </c>
      <c r="N170" s="19"/>
      <c r="O170" s="19"/>
      <c r="P170" s="19" t="s">
        <v>1115</v>
      </c>
      <c r="Q170" s="19" t="s">
        <v>980</v>
      </c>
      <c r="R170" s="21" t="n">
        <v>34125</v>
      </c>
      <c r="S170" s="19" t="s">
        <v>1584</v>
      </c>
      <c r="T170" s="19" t="s">
        <v>1585</v>
      </c>
      <c r="U170" s="19" t="str">
        <f aca="false">HYPERLINK("https://macaulaylibrary.org/asset/209481","Open")</f>
        <v>Open</v>
      </c>
      <c r="V170" s="19"/>
    </row>
    <row r="171" customFormat="false" ht="15" hidden="false" customHeight="false" outlineLevel="0" collapsed="false">
      <c r="A171" s="19" t="s">
        <v>1586</v>
      </c>
      <c r="B171" s="19" t="s">
        <v>943</v>
      </c>
      <c r="C171" s="19" t="s">
        <v>944</v>
      </c>
      <c r="D171" s="19" t="s">
        <v>148</v>
      </c>
      <c r="E171" s="19" t="s">
        <v>147</v>
      </c>
      <c r="F171" s="19" t="s">
        <v>218</v>
      </c>
      <c r="G171" s="19" t="n">
        <v>23</v>
      </c>
      <c r="H171" s="19" t="s">
        <v>219</v>
      </c>
      <c r="I171" s="20" t="n">
        <v>76.21</v>
      </c>
      <c r="J171" s="19" t="n">
        <f aca="false">IF(I171="","",MIN(Overview!$B$8,MAX(1,CEILING(I171/Overview!$B$7,1))))</f>
        <v>16</v>
      </c>
      <c r="K171" s="19" t="n">
        <v>1</v>
      </c>
      <c r="L171" s="19"/>
      <c r="M171" s="20" t="n">
        <v>3</v>
      </c>
      <c r="N171" s="19"/>
      <c r="O171" s="19"/>
      <c r="P171" s="19" t="s">
        <v>1587</v>
      </c>
      <c r="Q171" s="19" t="s">
        <v>1136</v>
      </c>
      <c r="R171" s="21" t="n">
        <v>29733</v>
      </c>
      <c r="S171" s="19" t="s">
        <v>1588</v>
      </c>
      <c r="T171" s="19" t="s">
        <v>1589</v>
      </c>
      <c r="U171" s="19" t="str">
        <f aca="false">HYPERLINK("https://macaulaylibrary.org/asset/28121","Open")</f>
        <v>Open</v>
      </c>
      <c r="V171" s="19"/>
    </row>
    <row r="172" customFormat="false" ht="15" hidden="false" customHeight="false" outlineLevel="0" collapsed="false">
      <c r="A172" s="19" t="s">
        <v>1590</v>
      </c>
      <c r="B172" s="19" t="s">
        <v>943</v>
      </c>
      <c r="C172" s="19" t="s">
        <v>944</v>
      </c>
      <c r="D172" s="19" t="s">
        <v>148</v>
      </c>
      <c r="E172" s="19" t="s">
        <v>147</v>
      </c>
      <c r="F172" s="19" t="s">
        <v>218</v>
      </c>
      <c r="G172" s="19" t="n">
        <v>23</v>
      </c>
      <c r="H172" s="19" t="s">
        <v>219</v>
      </c>
      <c r="I172" s="20" t="n">
        <v>310.057</v>
      </c>
      <c r="J172" s="19" t="n">
        <f aca="false">IF(I172="","",MIN(Overview!$B$8,MAX(1,CEILING(I172/Overview!$B$7,1))))</f>
        <v>63</v>
      </c>
      <c r="K172" s="19" t="n">
        <v>1</v>
      </c>
      <c r="L172" s="19"/>
      <c r="M172" s="20" t="n">
        <v>3</v>
      </c>
      <c r="N172" s="19"/>
      <c r="O172" s="19"/>
      <c r="P172" s="19" t="s">
        <v>1591</v>
      </c>
      <c r="Q172" s="19" t="s">
        <v>1592</v>
      </c>
      <c r="R172" s="21" t="n">
        <v>30404</v>
      </c>
      <c r="S172" s="19" t="s">
        <v>1002</v>
      </c>
      <c r="T172" s="19" t="s">
        <v>1593</v>
      </c>
      <c r="U172" s="19" t="str">
        <f aca="false">HYPERLINK("https://macaulaylibrary.org/asset/39226","Open")</f>
        <v>Open</v>
      </c>
      <c r="V172" s="19"/>
    </row>
    <row r="173" customFormat="false" ht="15" hidden="false" customHeight="false" outlineLevel="0" collapsed="false">
      <c r="A173" s="19" t="s">
        <v>1594</v>
      </c>
      <c r="B173" s="19" t="s">
        <v>943</v>
      </c>
      <c r="C173" s="19" t="s">
        <v>944</v>
      </c>
      <c r="D173" s="19" t="s">
        <v>148</v>
      </c>
      <c r="E173" s="19" t="s">
        <v>147</v>
      </c>
      <c r="F173" s="19" t="s">
        <v>218</v>
      </c>
      <c r="G173" s="19" t="n">
        <v>23</v>
      </c>
      <c r="H173" s="19" t="s">
        <v>219</v>
      </c>
      <c r="I173" s="20" t="n">
        <v>5.547</v>
      </c>
      <c r="J173" s="19" t="n">
        <f aca="false">IF(I173="","",MIN(Overview!$B$8,MAX(1,CEILING(I173/Overview!$B$7,1))))</f>
        <v>2</v>
      </c>
      <c r="K173" s="19" t="n">
        <v>1</v>
      </c>
      <c r="L173" s="19"/>
      <c r="M173" s="20" t="n">
        <v>2</v>
      </c>
      <c r="N173" s="19"/>
      <c r="O173" s="19"/>
      <c r="P173" s="19" t="s">
        <v>1595</v>
      </c>
      <c r="Q173" s="19" t="s">
        <v>1596</v>
      </c>
      <c r="R173" s="21" t="n">
        <v>44700</v>
      </c>
      <c r="S173" s="19" t="s">
        <v>1597</v>
      </c>
      <c r="T173" s="19" t="s">
        <v>1598</v>
      </c>
      <c r="U173" s="19" t="str">
        <f aca="false">HYPERLINK("https://macaulaylibrary.org/asset/458626181","Open")</f>
        <v>Open</v>
      </c>
      <c r="V173" s="19"/>
    </row>
    <row r="174" customFormat="false" ht="15" hidden="false" customHeight="false" outlineLevel="0" collapsed="false">
      <c r="A174" s="19" t="s">
        <v>1599</v>
      </c>
      <c r="B174" s="19" t="s">
        <v>943</v>
      </c>
      <c r="C174" s="19" t="s">
        <v>944</v>
      </c>
      <c r="D174" s="19" t="s">
        <v>148</v>
      </c>
      <c r="E174" s="19" t="s">
        <v>147</v>
      </c>
      <c r="F174" s="19" t="s">
        <v>218</v>
      </c>
      <c r="G174" s="19" t="n">
        <v>23</v>
      </c>
      <c r="H174" s="19" t="s">
        <v>219</v>
      </c>
      <c r="I174" s="20" t="n">
        <v>87.93</v>
      </c>
      <c r="J174" s="19" t="n">
        <f aca="false">IF(I174="","",MIN(Overview!$B$8,MAX(1,CEILING(I174/Overview!$B$7,1))))</f>
        <v>18</v>
      </c>
      <c r="K174" s="19" t="n">
        <v>1</v>
      </c>
      <c r="L174" s="19"/>
      <c r="M174" s="20" t="n">
        <v>2</v>
      </c>
      <c r="N174" s="19"/>
      <c r="O174" s="19" t="s">
        <v>1600</v>
      </c>
      <c r="P174" s="19" t="s">
        <v>1601</v>
      </c>
      <c r="Q174" s="19" t="s">
        <v>1071</v>
      </c>
      <c r="R174" s="21" t="n">
        <v>32942</v>
      </c>
      <c r="S174" s="19" t="s">
        <v>1602</v>
      </c>
      <c r="T174" s="19" t="s">
        <v>1603</v>
      </c>
      <c r="U174" s="19" t="str">
        <f aca="false">HYPERLINK("https://macaulaylibrary.org/asset/51738","Open")</f>
        <v>Open</v>
      </c>
      <c r="V174" s="19"/>
    </row>
    <row r="175" customFormat="false" ht="15" hidden="false" customHeight="false" outlineLevel="0" collapsed="false">
      <c r="A175" s="19" t="s">
        <v>1604</v>
      </c>
      <c r="B175" s="19" t="s">
        <v>943</v>
      </c>
      <c r="C175" s="19" t="s">
        <v>944</v>
      </c>
      <c r="D175" s="19" t="s">
        <v>148</v>
      </c>
      <c r="E175" s="19" t="s">
        <v>147</v>
      </c>
      <c r="F175" s="19" t="s">
        <v>218</v>
      </c>
      <c r="G175" s="19" t="n">
        <v>23</v>
      </c>
      <c r="H175" s="19" t="s">
        <v>219</v>
      </c>
      <c r="I175" s="20" t="n">
        <v>50.976</v>
      </c>
      <c r="J175" s="19" t="n">
        <f aca="false">IF(I175="","",MIN(Overview!$B$8,MAX(1,CEILING(I175/Overview!$B$7,1))))</f>
        <v>11</v>
      </c>
      <c r="K175" s="19" t="n">
        <v>1</v>
      </c>
      <c r="L175" s="19"/>
      <c r="M175" s="20"/>
      <c r="N175" s="19"/>
      <c r="O175" s="19"/>
      <c r="P175" s="19" t="s">
        <v>1605</v>
      </c>
      <c r="Q175" s="19" t="s">
        <v>1040</v>
      </c>
      <c r="R175" s="21" t="n">
        <v>40902</v>
      </c>
      <c r="S175" s="19" t="s">
        <v>1002</v>
      </c>
      <c r="T175" s="19" t="s">
        <v>1606</v>
      </c>
      <c r="U175" s="19" t="str">
        <f aca="false">HYPERLINK("https://macaulaylibrary.org/asset/609056535","Open")</f>
        <v>Open</v>
      </c>
      <c r="V175" s="19"/>
    </row>
    <row r="176" customFormat="false" ht="15" hidden="false" customHeight="false" outlineLevel="0" collapsed="false">
      <c r="A176" s="19" t="s">
        <v>1607</v>
      </c>
      <c r="B176" s="19" t="s">
        <v>943</v>
      </c>
      <c r="C176" s="19" t="s">
        <v>944</v>
      </c>
      <c r="D176" s="19" t="s">
        <v>148</v>
      </c>
      <c r="E176" s="19" t="s">
        <v>147</v>
      </c>
      <c r="F176" s="19" t="s">
        <v>218</v>
      </c>
      <c r="G176" s="19" t="n">
        <v>23</v>
      </c>
      <c r="H176" s="19" t="s">
        <v>219</v>
      </c>
      <c r="I176" s="20" t="n">
        <v>45.06</v>
      </c>
      <c r="J176" s="19" t="n">
        <f aca="false">IF(I176="","",MIN(Overview!$B$8,MAX(1,CEILING(I176/Overview!$B$7,1))))</f>
        <v>10</v>
      </c>
      <c r="K176" s="19" t="n">
        <v>1</v>
      </c>
      <c r="L176" s="19"/>
      <c r="M176" s="20" t="n">
        <v>3</v>
      </c>
      <c r="N176" s="19"/>
      <c r="O176" s="19"/>
      <c r="P176" s="19" t="s">
        <v>1605</v>
      </c>
      <c r="Q176" s="19" t="s">
        <v>1040</v>
      </c>
      <c r="R176" s="21" t="n">
        <v>40902</v>
      </c>
      <c r="S176" s="19" t="s">
        <v>1002</v>
      </c>
      <c r="T176" s="19" t="s">
        <v>1608</v>
      </c>
      <c r="U176" s="19" t="str">
        <f aca="false">HYPERLINK("https://macaulaylibrary.org/asset/609056536","Open")</f>
        <v>Open</v>
      </c>
      <c r="V176" s="19"/>
    </row>
    <row r="177" customFormat="false" ht="15" hidden="false" customHeight="false" outlineLevel="0" collapsed="false">
      <c r="A177" s="19" t="s">
        <v>1609</v>
      </c>
      <c r="B177" s="19" t="s">
        <v>943</v>
      </c>
      <c r="C177" s="19" t="s">
        <v>944</v>
      </c>
      <c r="D177" s="19" t="s">
        <v>148</v>
      </c>
      <c r="E177" s="19" t="s">
        <v>147</v>
      </c>
      <c r="F177" s="19" t="s">
        <v>218</v>
      </c>
      <c r="G177" s="19" t="n">
        <v>23</v>
      </c>
      <c r="H177" s="19" t="s">
        <v>219</v>
      </c>
      <c r="I177" s="20" t="n">
        <v>7.878</v>
      </c>
      <c r="J177" s="19" t="n">
        <f aca="false">IF(I177="","",MIN(Overview!$B$8,MAX(1,CEILING(I177/Overview!$B$7,1))))</f>
        <v>2</v>
      </c>
      <c r="K177" s="19" t="n">
        <v>1</v>
      </c>
      <c r="L177" s="19"/>
      <c r="M177" s="20" t="n">
        <v>3</v>
      </c>
      <c r="N177" s="19"/>
      <c r="O177" s="19"/>
      <c r="P177" s="19" t="s">
        <v>1039</v>
      </c>
      <c r="Q177" s="19" t="s">
        <v>1040</v>
      </c>
      <c r="R177" s="21" t="n">
        <v>40901</v>
      </c>
      <c r="S177" s="19" t="s">
        <v>1002</v>
      </c>
      <c r="T177" s="19" t="s">
        <v>1610</v>
      </c>
      <c r="U177" s="19" t="str">
        <f aca="false">HYPERLINK("https://macaulaylibrary.org/asset/609056540","Open")</f>
        <v>Open</v>
      </c>
      <c r="V177" s="19"/>
    </row>
    <row r="178" customFormat="false" ht="15" hidden="false" customHeight="false" outlineLevel="0" collapsed="false">
      <c r="A178" s="19" t="s">
        <v>1611</v>
      </c>
      <c r="B178" s="19" t="s">
        <v>943</v>
      </c>
      <c r="C178" s="19" t="s">
        <v>944</v>
      </c>
      <c r="D178" s="19" t="s">
        <v>148</v>
      </c>
      <c r="E178" s="19" t="s">
        <v>147</v>
      </c>
      <c r="F178" s="19" t="s">
        <v>218</v>
      </c>
      <c r="G178" s="19" t="n">
        <v>23</v>
      </c>
      <c r="H178" s="19" t="s">
        <v>219</v>
      </c>
      <c r="I178" s="20" t="n">
        <v>65.458</v>
      </c>
      <c r="J178" s="19" t="n">
        <f aca="false">IF(I178="","",MIN(Overview!$B$8,MAX(1,CEILING(I178/Overview!$B$7,1))))</f>
        <v>14</v>
      </c>
      <c r="K178" s="19" t="n">
        <v>1</v>
      </c>
      <c r="L178" s="19"/>
      <c r="M178" s="20" t="n">
        <v>4</v>
      </c>
      <c r="N178" s="19"/>
      <c r="O178" s="19" t="s">
        <v>1612</v>
      </c>
      <c r="P178" s="19" t="s">
        <v>1613</v>
      </c>
      <c r="Q178" s="19" t="s">
        <v>1191</v>
      </c>
      <c r="R178" s="21" t="n">
        <v>45706</v>
      </c>
      <c r="S178" s="19" t="s">
        <v>1614</v>
      </c>
      <c r="T178" s="19" t="s">
        <v>1615</v>
      </c>
      <c r="U178" s="19" t="str">
        <f aca="false">HYPERLINK("https://macaulaylibrary.org/asset/631021606","Open")</f>
        <v>Open</v>
      </c>
      <c r="V178" s="19"/>
    </row>
    <row r="179" customFormat="false" ht="15" hidden="false" customHeight="false" outlineLevel="0" collapsed="false">
      <c r="A179" s="19" t="s">
        <v>1616</v>
      </c>
      <c r="B179" s="19" t="s">
        <v>943</v>
      </c>
      <c r="C179" s="19" t="s">
        <v>944</v>
      </c>
      <c r="D179" s="19" t="s">
        <v>148</v>
      </c>
      <c r="E179" s="19" t="s">
        <v>147</v>
      </c>
      <c r="F179" s="19" t="s">
        <v>218</v>
      </c>
      <c r="G179" s="19" t="n">
        <v>23</v>
      </c>
      <c r="H179" s="19" t="s">
        <v>219</v>
      </c>
      <c r="I179" s="20" t="n">
        <v>55.982</v>
      </c>
      <c r="J179" s="19" t="n">
        <f aca="false">IF(I179="","",MIN(Overview!$B$8,MAX(1,CEILING(I179/Overview!$B$7,1))))</f>
        <v>12</v>
      </c>
      <c r="K179" s="19" t="n">
        <v>1</v>
      </c>
      <c r="L179" s="19"/>
      <c r="M179" s="20" t="n">
        <v>3</v>
      </c>
      <c r="N179" s="19"/>
      <c r="O179" s="19"/>
      <c r="P179" s="19" t="s">
        <v>1090</v>
      </c>
      <c r="Q179" s="19" t="s">
        <v>1091</v>
      </c>
      <c r="R179" s="21" t="n">
        <v>45845</v>
      </c>
      <c r="S179" s="19" t="s">
        <v>1092</v>
      </c>
      <c r="T179" s="19" t="s">
        <v>1617</v>
      </c>
      <c r="U179" s="19" t="str">
        <f aca="false">HYPERLINK("https://macaulaylibrary.org/asset/639175970","Open")</f>
        <v>Open</v>
      </c>
      <c r="V179" s="19"/>
    </row>
    <row r="180" customFormat="false" ht="15" hidden="false" customHeight="false" outlineLevel="0" collapsed="false">
      <c r="A180" s="19" t="s">
        <v>1618</v>
      </c>
      <c r="B180" s="19" t="s">
        <v>943</v>
      </c>
      <c r="C180" s="19" t="s">
        <v>944</v>
      </c>
      <c r="D180" s="19" t="s">
        <v>148</v>
      </c>
      <c r="E180" s="19" t="s">
        <v>147</v>
      </c>
      <c r="F180" s="19" t="s">
        <v>218</v>
      </c>
      <c r="G180" s="19" t="n">
        <v>23</v>
      </c>
      <c r="H180" s="19" t="s">
        <v>219</v>
      </c>
      <c r="I180" s="20" t="n">
        <v>30.531</v>
      </c>
      <c r="J180" s="19" t="n">
        <f aca="false">IF(I180="","",MIN(Overview!$B$8,MAX(1,CEILING(I180/Overview!$B$7,1))))</f>
        <v>7</v>
      </c>
      <c r="K180" s="19" t="n">
        <v>1</v>
      </c>
      <c r="L180" s="19"/>
      <c r="M180" s="20"/>
      <c r="N180" s="19"/>
      <c r="O180" s="19"/>
      <c r="P180" s="19" t="s">
        <v>1619</v>
      </c>
      <c r="Q180" s="19" t="s">
        <v>1620</v>
      </c>
      <c r="R180" s="21" t="n">
        <v>45706</v>
      </c>
      <c r="S180" s="19" t="s">
        <v>1621</v>
      </c>
      <c r="T180" s="19" t="s">
        <v>1622</v>
      </c>
      <c r="U180" s="19" t="str">
        <f aca="false">HYPERLINK("https://macaulaylibrary.org/asset/642659129","Open")</f>
        <v>Open</v>
      </c>
      <c r="V180" s="19"/>
    </row>
    <row r="181" customFormat="false" ht="15" hidden="false" customHeight="false" outlineLevel="0" collapsed="false">
      <c r="A181" s="19" t="s">
        <v>1623</v>
      </c>
      <c r="B181" s="19" t="s">
        <v>943</v>
      </c>
      <c r="C181" s="19" t="s">
        <v>944</v>
      </c>
      <c r="D181" s="19" t="s">
        <v>148</v>
      </c>
      <c r="E181" s="19" t="s">
        <v>147</v>
      </c>
      <c r="F181" s="19" t="s">
        <v>218</v>
      </c>
      <c r="G181" s="19" t="n">
        <v>23</v>
      </c>
      <c r="H181" s="19" t="s">
        <v>219</v>
      </c>
      <c r="I181" s="20" t="n">
        <v>13.373</v>
      </c>
      <c r="J181" s="19" t="n">
        <f aca="false">IF(I181="","",MIN(Overview!$B$8,MAX(1,CEILING(I181/Overview!$B$7,1))))</f>
        <v>3</v>
      </c>
      <c r="K181" s="19" t="n">
        <v>1</v>
      </c>
      <c r="L181" s="19"/>
      <c r="M181" s="20" t="n">
        <v>4</v>
      </c>
      <c r="N181" s="19"/>
      <c r="O181" s="19"/>
      <c r="P181" s="19" t="s">
        <v>1090</v>
      </c>
      <c r="Q181" s="19" t="s">
        <v>1091</v>
      </c>
      <c r="R181" s="21" t="n">
        <v>45845</v>
      </c>
      <c r="S181" s="19" t="s">
        <v>1092</v>
      </c>
      <c r="T181" s="19" t="s">
        <v>1624</v>
      </c>
      <c r="U181" s="19" t="str">
        <f aca="false">HYPERLINK("https://macaulaylibrary.org/asset/643527064","Open")</f>
        <v>Open</v>
      </c>
      <c r="V181" s="19"/>
    </row>
    <row r="182" customFormat="false" ht="15" hidden="false" customHeight="false" outlineLevel="0" collapsed="false">
      <c r="A182" s="19" t="s">
        <v>1625</v>
      </c>
      <c r="B182" s="19" t="s">
        <v>943</v>
      </c>
      <c r="C182" s="19" t="s">
        <v>944</v>
      </c>
      <c r="D182" s="19" t="s">
        <v>148</v>
      </c>
      <c r="E182" s="19" t="s">
        <v>147</v>
      </c>
      <c r="F182" s="19" t="s">
        <v>218</v>
      </c>
      <c r="G182" s="19" t="n">
        <v>23</v>
      </c>
      <c r="H182" s="19" t="s">
        <v>219</v>
      </c>
      <c r="I182" s="20" t="n">
        <v>32.089</v>
      </c>
      <c r="J182" s="19" t="n">
        <f aca="false">IF(I182="","",MIN(Overview!$B$8,MAX(1,CEILING(I182/Overview!$B$7,1))))</f>
        <v>7</v>
      </c>
      <c r="K182" s="19" t="n">
        <v>1</v>
      </c>
      <c r="L182" s="19"/>
      <c r="M182" s="20" t="n">
        <v>2</v>
      </c>
      <c r="N182" s="19"/>
      <c r="O182" s="19"/>
      <c r="P182" s="19" t="s">
        <v>1626</v>
      </c>
      <c r="Q182" s="19" t="s">
        <v>1627</v>
      </c>
      <c r="R182" s="21" t="n">
        <v>45721</v>
      </c>
      <c r="S182" s="19" t="s">
        <v>1059</v>
      </c>
      <c r="T182" s="19" t="s">
        <v>1628</v>
      </c>
      <c r="U182" s="19" t="str">
        <f aca="false">HYPERLINK("https://macaulaylibrary.org/asset/644618385","Open")</f>
        <v>Open</v>
      </c>
      <c r="V182" s="19"/>
    </row>
    <row r="183" customFormat="false" ht="15" hidden="false" customHeight="false" outlineLevel="0" collapsed="false">
      <c r="A183" s="19" t="s">
        <v>1629</v>
      </c>
      <c r="B183" s="19" t="s">
        <v>943</v>
      </c>
      <c r="C183" s="19" t="s">
        <v>944</v>
      </c>
      <c r="D183" s="19" t="s">
        <v>148</v>
      </c>
      <c r="E183" s="19" t="s">
        <v>147</v>
      </c>
      <c r="F183" s="19" t="s">
        <v>218</v>
      </c>
      <c r="G183" s="19" t="n">
        <v>23</v>
      </c>
      <c r="H183" s="19" t="s">
        <v>219</v>
      </c>
      <c r="I183" s="20" t="n">
        <v>29.039</v>
      </c>
      <c r="J183" s="19" t="n">
        <f aca="false">IF(I183="","",MIN(Overview!$B$8,MAX(1,CEILING(I183/Overview!$B$7,1))))</f>
        <v>6</v>
      </c>
      <c r="K183" s="19" t="n">
        <v>1</v>
      </c>
      <c r="L183" s="19"/>
      <c r="M183" s="20" t="n">
        <v>2</v>
      </c>
      <c r="N183" s="19"/>
      <c r="O183" s="19" t="s">
        <v>1630</v>
      </c>
      <c r="P183" s="19" t="s">
        <v>1631</v>
      </c>
      <c r="Q183" s="19" t="s">
        <v>990</v>
      </c>
      <c r="R183" s="21" t="n">
        <v>46012</v>
      </c>
      <c r="S183" s="19" t="s">
        <v>1632</v>
      </c>
      <c r="T183" s="19" t="s">
        <v>1633</v>
      </c>
      <c r="U183" s="19" t="str">
        <f aca="false">HYPERLINK("https://macaulaylibrary.org/asset/647329260","Open")</f>
        <v>Open</v>
      </c>
      <c r="V183" s="19"/>
    </row>
    <row r="184" customFormat="false" ht="15" hidden="false" customHeight="false" outlineLevel="0" collapsed="false">
      <c r="A184" s="19" t="s">
        <v>1634</v>
      </c>
      <c r="B184" s="19" t="s">
        <v>943</v>
      </c>
      <c r="C184" s="19" t="s">
        <v>944</v>
      </c>
      <c r="D184" s="19" t="s">
        <v>148</v>
      </c>
      <c r="E184" s="19" t="s">
        <v>147</v>
      </c>
      <c r="F184" s="19" t="s">
        <v>218</v>
      </c>
      <c r="G184" s="19" t="n">
        <v>23</v>
      </c>
      <c r="H184" s="19" t="s">
        <v>219</v>
      </c>
      <c r="I184" s="20" t="n">
        <v>16.416</v>
      </c>
      <c r="J184" s="19" t="n">
        <f aca="false">IF(I184="","",MIN(Overview!$B$8,MAX(1,CEILING(I184/Overview!$B$7,1))))</f>
        <v>4</v>
      </c>
      <c r="K184" s="19" t="n">
        <v>1</v>
      </c>
      <c r="L184" s="19"/>
      <c r="M184" s="20" t="n">
        <v>2</v>
      </c>
      <c r="N184" s="19"/>
      <c r="O184" s="19" t="s">
        <v>1635</v>
      </c>
      <c r="P184" s="19" t="s">
        <v>1631</v>
      </c>
      <c r="Q184" s="19" t="s">
        <v>990</v>
      </c>
      <c r="R184" s="21" t="n">
        <v>46012</v>
      </c>
      <c r="S184" s="19" t="s">
        <v>1632</v>
      </c>
      <c r="T184" s="19" t="s">
        <v>1636</v>
      </c>
      <c r="U184" s="19" t="str">
        <f aca="false">HYPERLINK("https://macaulaylibrary.org/asset/647329563","Open")</f>
        <v>Open</v>
      </c>
      <c r="V184" s="19"/>
    </row>
    <row r="185" customFormat="false" ht="15" hidden="false" customHeight="false" outlineLevel="0" collapsed="false">
      <c r="A185" s="19" t="s">
        <v>1637</v>
      </c>
      <c r="B185" s="19" t="s">
        <v>943</v>
      </c>
      <c r="C185" s="19" t="s">
        <v>944</v>
      </c>
      <c r="D185" s="19" t="s">
        <v>148</v>
      </c>
      <c r="E185" s="19" t="s">
        <v>147</v>
      </c>
      <c r="F185" s="19" t="s">
        <v>218</v>
      </c>
      <c r="G185" s="19" t="n">
        <v>23</v>
      </c>
      <c r="H185" s="19" t="s">
        <v>219</v>
      </c>
      <c r="I185" s="20" t="n">
        <v>16.117</v>
      </c>
      <c r="J185" s="19" t="n">
        <f aca="false">IF(I185="","",MIN(Overview!$B$8,MAX(1,CEILING(I185/Overview!$B$7,1))))</f>
        <v>4</v>
      </c>
      <c r="K185" s="19" t="n">
        <v>1</v>
      </c>
      <c r="L185" s="19"/>
      <c r="M185" s="20" t="n">
        <v>2</v>
      </c>
      <c r="N185" s="19"/>
      <c r="O185" s="19" t="s">
        <v>1638</v>
      </c>
      <c r="P185" s="19" t="s">
        <v>1631</v>
      </c>
      <c r="Q185" s="19" t="s">
        <v>990</v>
      </c>
      <c r="R185" s="21" t="n">
        <v>46012</v>
      </c>
      <c r="S185" s="19" t="s">
        <v>1632</v>
      </c>
      <c r="T185" s="19" t="s">
        <v>1639</v>
      </c>
      <c r="U185" s="19" t="str">
        <f aca="false">HYPERLINK("https://macaulaylibrary.org/asset/647329807","Open")</f>
        <v>Open</v>
      </c>
      <c r="V185" s="19"/>
    </row>
    <row r="186" customFormat="false" ht="15" hidden="false" customHeight="false" outlineLevel="0" collapsed="false">
      <c r="A186" s="19" t="s">
        <v>1640</v>
      </c>
      <c r="B186" s="19" t="s">
        <v>943</v>
      </c>
      <c r="C186" s="19" t="s">
        <v>944</v>
      </c>
      <c r="D186" s="19" t="s">
        <v>148</v>
      </c>
      <c r="E186" s="19" t="s">
        <v>147</v>
      </c>
      <c r="F186" s="19" t="s">
        <v>218</v>
      </c>
      <c r="G186" s="19" t="n">
        <v>23</v>
      </c>
      <c r="H186" s="19" t="s">
        <v>219</v>
      </c>
      <c r="I186" s="20" t="n">
        <v>9.672</v>
      </c>
      <c r="J186" s="19" t="n">
        <f aca="false">IF(I186="","",MIN(Overview!$B$8,MAX(1,CEILING(I186/Overview!$B$7,1))))</f>
        <v>2</v>
      </c>
      <c r="K186" s="19" t="n">
        <v>1</v>
      </c>
      <c r="L186" s="19"/>
      <c r="M186" s="20" t="n">
        <v>3.5</v>
      </c>
      <c r="N186" s="19"/>
      <c r="O186" s="19"/>
      <c r="P186" s="19" t="s">
        <v>1641</v>
      </c>
      <c r="Q186" s="19" t="s">
        <v>1642</v>
      </c>
      <c r="R186" s="21" t="n">
        <v>45741</v>
      </c>
      <c r="S186" s="19" t="s">
        <v>1643</v>
      </c>
      <c r="T186" s="19" t="s">
        <v>1644</v>
      </c>
      <c r="U186" s="19" t="str">
        <f aca="false">HYPERLINK("https://macaulaylibrary.org/asset/651257816","Open")</f>
        <v>Open</v>
      </c>
      <c r="V186" s="19"/>
    </row>
    <row r="187" customFormat="false" ht="15" hidden="false" customHeight="false" outlineLevel="0" collapsed="false">
      <c r="A187" s="19" t="s">
        <v>1645</v>
      </c>
      <c r="B187" s="19" t="s">
        <v>943</v>
      </c>
      <c r="C187" s="19" t="s">
        <v>944</v>
      </c>
      <c r="D187" s="19" t="s">
        <v>148</v>
      </c>
      <c r="E187" s="19" t="s">
        <v>147</v>
      </c>
      <c r="F187" s="19" t="s">
        <v>218</v>
      </c>
      <c r="G187" s="19" t="n">
        <v>23</v>
      </c>
      <c r="H187" s="19" t="s">
        <v>219</v>
      </c>
      <c r="I187" s="20" t="n">
        <v>22.051</v>
      </c>
      <c r="J187" s="19" t="n">
        <f aca="false">IF(I187="","",MIN(Overview!$B$8,MAX(1,CEILING(I187/Overview!$B$7,1))))</f>
        <v>5</v>
      </c>
      <c r="K187" s="19" t="n">
        <v>1</v>
      </c>
      <c r="L187" s="19"/>
      <c r="M187" s="20"/>
      <c r="N187" s="19"/>
      <c r="O187" s="19"/>
      <c r="P187" s="19" t="s">
        <v>1235</v>
      </c>
      <c r="Q187" s="19" t="s">
        <v>1236</v>
      </c>
      <c r="R187" s="21" t="n">
        <v>46059</v>
      </c>
      <c r="S187" s="19" t="s">
        <v>1237</v>
      </c>
      <c r="T187" s="19" t="s">
        <v>1646</v>
      </c>
      <c r="U187" s="19" t="str">
        <f aca="false">HYPERLINK("https://macaulaylibrary.org/asset/654239955","Open")</f>
        <v>Open</v>
      </c>
      <c r="V187" s="19"/>
    </row>
    <row r="188" customFormat="false" ht="15" hidden="false" customHeight="false" outlineLevel="0" collapsed="false">
      <c r="A188" s="19" t="s">
        <v>1647</v>
      </c>
      <c r="B188" s="19" t="s">
        <v>943</v>
      </c>
      <c r="C188" s="19" t="s">
        <v>944</v>
      </c>
      <c r="D188" s="19" t="s">
        <v>148</v>
      </c>
      <c r="E188" s="19" t="s">
        <v>147</v>
      </c>
      <c r="F188" s="19" t="s">
        <v>218</v>
      </c>
      <c r="G188" s="19" t="n">
        <v>23</v>
      </c>
      <c r="H188" s="19" t="s">
        <v>219</v>
      </c>
      <c r="I188" s="20" t="n">
        <v>16.433</v>
      </c>
      <c r="J188" s="19" t="n">
        <f aca="false">IF(I188="","",MIN(Overview!$B$8,MAX(1,CEILING(I188/Overview!$B$7,1))))</f>
        <v>4</v>
      </c>
      <c r="K188" s="19" t="n">
        <v>1</v>
      </c>
      <c r="L188" s="19"/>
      <c r="M188" s="20"/>
      <c r="N188" s="19"/>
      <c r="O188" s="19"/>
      <c r="P188" s="19" t="s">
        <v>1386</v>
      </c>
      <c r="Q188" s="19" t="s">
        <v>1382</v>
      </c>
      <c r="R188" s="21" t="n">
        <v>46103</v>
      </c>
      <c r="S188" s="19" t="s">
        <v>1387</v>
      </c>
      <c r="T188" s="19" t="s">
        <v>1648</v>
      </c>
      <c r="U188" s="19" t="str">
        <f aca="false">HYPERLINK("https://macaulaylibrary.org/asset/654321143","Open")</f>
        <v>Open</v>
      </c>
      <c r="V188" s="19"/>
    </row>
    <row r="189" customFormat="false" ht="15" hidden="false" customHeight="false" outlineLevel="0" collapsed="false">
      <c r="A189" s="19" t="s">
        <v>1649</v>
      </c>
      <c r="B189" s="19" t="s">
        <v>943</v>
      </c>
      <c r="C189" s="19" t="s">
        <v>944</v>
      </c>
      <c r="D189" s="19" t="s">
        <v>148</v>
      </c>
      <c r="E189" s="19" t="s">
        <v>147</v>
      </c>
      <c r="F189" s="19" t="s">
        <v>218</v>
      </c>
      <c r="G189" s="19" t="n">
        <v>23</v>
      </c>
      <c r="H189" s="19" t="s">
        <v>219</v>
      </c>
      <c r="I189" s="20" t="n">
        <v>6.986</v>
      </c>
      <c r="J189" s="19" t="n">
        <f aca="false">IF(I189="","",MIN(Overview!$B$8,MAX(1,CEILING(I189/Overview!$B$7,1))))</f>
        <v>2</v>
      </c>
      <c r="K189" s="19" t="n">
        <v>1</v>
      </c>
      <c r="L189" s="19"/>
      <c r="M189" s="20"/>
      <c r="N189" s="19"/>
      <c r="O189" s="19"/>
      <c r="P189" s="19" t="s">
        <v>1650</v>
      </c>
      <c r="Q189" s="19" t="s">
        <v>1382</v>
      </c>
      <c r="R189" s="21" t="n">
        <v>46104</v>
      </c>
      <c r="S189" s="19" t="s">
        <v>1651</v>
      </c>
      <c r="T189" s="19" t="s">
        <v>1652</v>
      </c>
      <c r="U189" s="19" t="str">
        <f aca="false">HYPERLINK("https://macaulaylibrary.org/asset/654659009","Open")</f>
        <v>Open</v>
      </c>
      <c r="V189" s="19"/>
    </row>
    <row r="190" customFormat="false" ht="15" hidden="false" customHeight="false" outlineLevel="0" collapsed="false">
      <c r="A190" s="19" t="s">
        <v>1653</v>
      </c>
      <c r="B190" s="19" t="s">
        <v>943</v>
      </c>
      <c r="C190" s="19" t="s">
        <v>944</v>
      </c>
      <c r="D190" s="19" t="s">
        <v>148</v>
      </c>
      <c r="E190" s="19" t="s">
        <v>147</v>
      </c>
      <c r="F190" s="19" t="s">
        <v>218</v>
      </c>
      <c r="G190" s="19" t="n">
        <v>23</v>
      </c>
      <c r="H190" s="19" t="s">
        <v>219</v>
      </c>
      <c r="I190" s="20" t="n">
        <v>397.893</v>
      </c>
      <c r="J190" s="19" t="n">
        <f aca="false">IF(I190="","",MIN(Overview!$B$8,MAX(1,CEILING(I190/Overview!$B$7,1))))</f>
        <v>80</v>
      </c>
      <c r="K190" s="19" t="n">
        <v>1</v>
      </c>
      <c r="L190" s="19"/>
      <c r="M190" s="20" t="n">
        <v>3</v>
      </c>
      <c r="N190" s="19"/>
      <c r="O190" s="19"/>
      <c r="P190" s="19" t="s">
        <v>1001</v>
      </c>
      <c r="Q190" s="19" t="s">
        <v>980</v>
      </c>
      <c r="R190" s="21" t="n">
        <v>33299</v>
      </c>
      <c r="S190" s="19" t="s">
        <v>1002</v>
      </c>
      <c r="T190" s="19" t="s">
        <v>1654</v>
      </c>
      <c r="U190" s="19" t="str">
        <f aca="false">HYPERLINK("https://macaulaylibrary.org/asset/72651","Open")</f>
        <v>Open</v>
      </c>
      <c r="V190" s="19"/>
    </row>
    <row r="191" customFormat="false" ht="15" hidden="false" customHeight="false" outlineLevel="0" collapsed="false">
      <c r="A191" s="19" t="s">
        <v>1655</v>
      </c>
      <c r="B191" s="19" t="s">
        <v>1005</v>
      </c>
      <c r="C191" s="19" t="s">
        <v>944</v>
      </c>
      <c r="D191" s="19" t="s">
        <v>647</v>
      </c>
      <c r="E191" s="19" t="s">
        <v>147</v>
      </c>
      <c r="F191" s="19" t="s">
        <v>707</v>
      </c>
      <c r="G191" s="19" t="n">
        <v>24</v>
      </c>
      <c r="H191" s="19" t="s">
        <v>708</v>
      </c>
      <c r="I191" s="20" t="n">
        <v>44.784</v>
      </c>
      <c r="J191" s="19" t="n">
        <f aca="false">IF(I191="","",MIN(Overview!$B$8,MAX(1,CEILING(I191/Overview!$B$7,1))))</f>
        <v>9</v>
      </c>
      <c r="K191" s="19" t="n">
        <v>1</v>
      </c>
      <c r="L191" s="19"/>
      <c r="M191" s="20"/>
      <c r="N191" s="19" t="s">
        <v>1656</v>
      </c>
      <c r="O191" s="19"/>
      <c r="P191" s="19" t="s">
        <v>1657</v>
      </c>
      <c r="Q191" s="19" t="s">
        <v>1008</v>
      </c>
      <c r="R191" s="21" t="n">
        <v>42581</v>
      </c>
      <c r="S191" s="19" t="s">
        <v>1658</v>
      </c>
      <c r="T191" s="19" t="s">
        <v>1659</v>
      </c>
      <c r="U191" s="19" t="str">
        <f aca="false">HYPERLINK("https://xeno-canto.org/332446","Open")</f>
        <v>Open</v>
      </c>
      <c r="V191" s="19" t="s">
        <v>1660</v>
      </c>
    </row>
    <row r="192" customFormat="false" ht="15" hidden="false" customHeight="false" outlineLevel="0" collapsed="false">
      <c r="A192" s="19" t="s">
        <v>1661</v>
      </c>
      <c r="B192" s="19" t="s">
        <v>1005</v>
      </c>
      <c r="C192" s="19" t="s">
        <v>944</v>
      </c>
      <c r="D192" s="19" t="s">
        <v>647</v>
      </c>
      <c r="E192" s="19" t="s">
        <v>147</v>
      </c>
      <c r="F192" s="19" t="s">
        <v>707</v>
      </c>
      <c r="G192" s="19" t="n">
        <v>24</v>
      </c>
      <c r="H192" s="19" t="s">
        <v>708</v>
      </c>
      <c r="I192" s="20" t="n">
        <v>39.432</v>
      </c>
      <c r="J192" s="19" t="n">
        <f aca="false">IF(I192="","",MIN(Overview!$B$8,MAX(1,CEILING(I192/Overview!$B$7,1))))</f>
        <v>8</v>
      </c>
      <c r="K192" s="19" t="n">
        <v>1</v>
      </c>
      <c r="L192" s="19"/>
      <c r="M192" s="20"/>
      <c r="N192" s="19" t="s">
        <v>1006</v>
      </c>
      <c r="O192" s="19"/>
      <c r="P192" s="19" t="s">
        <v>1657</v>
      </c>
      <c r="Q192" s="19" t="s">
        <v>1008</v>
      </c>
      <c r="R192" s="21" t="n">
        <v>42581</v>
      </c>
      <c r="S192" s="19" t="s">
        <v>1658</v>
      </c>
      <c r="T192" s="19" t="s">
        <v>1662</v>
      </c>
      <c r="U192" s="19" t="str">
        <f aca="false">HYPERLINK("https://xeno-canto.org/332447","Open")</f>
        <v>Open</v>
      </c>
      <c r="V192" s="19" t="s">
        <v>1660</v>
      </c>
    </row>
    <row r="193" customFormat="false" ht="15" hidden="false" customHeight="false" outlineLevel="0" collapsed="false">
      <c r="A193" s="19" t="s">
        <v>1663</v>
      </c>
      <c r="B193" s="19" t="s">
        <v>943</v>
      </c>
      <c r="C193" s="19" t="s">
        <v>944</v>
      </c>
      <c r="D193" s="19" t="s">
        <v>400</v>
      </c>
      <c r="E193" s="19" t="s">
        <v>147</v>
      </c>
      <c r="F193" s="19" t="s">
        <v>493</v>
      </c>
      <c r="G193" s="19" t="n">
        <v>25</v>
      </c>
      <c r="H193" s="19" t="s">
        <v>494</v>
      </c>
      <c r="I193" s="20" t="n">
        <v>215.831</v>
      </c>
      <c r="J193" s="19" t="n">
        <f aca="false">IF(I193="","",MIN(Overview!$B$8,MAX(1,CEILING(I193/Overview!$B$7,1))))</f>
        <v>44</v>
      </c>
      <c r="K193" s="19" t="n">
        <v>1</v>
      </c>
      <c r="L193" s="19"/>
      <c r="M193" s="20" t="n">
        <v>3.67</v>
      </c>
      <c r="N193" s="19"/>
      <c r="O193" s="19"/>
      <c r="P193" s="19" t="s">
        <v>1664</v>
      </c>
      <c r="Q193" s="19" t="s">
        <v>1021</v>
      </c>
      <c r="R193" s="21" t="n">
        <v>35866</v>
      </c>
      <c r="S193" s="19" t="s">
        <v>1279</v>
      </c>
      <c r="T193" s="19" t="s">
        <v>1665</v>
      </c>
      <c r="U193" s="19" t="str">
        <f aca="false">HYPERLINK("https://macaulaylibrary.org/asset/102589951","Open")</f>
        <v>Open</v>
      </c>
      <c r="V193" s="19"/>
    </row>
    <row r="194" customFormat="false" ht="15" hidden="false" customHeight="false" outlineLevel="0" collapsed="false">
      <c r="A194" s="19" t="s">
        <v>1666</v>
      </c>
      <c r="B194" s="19" t="s">
        <v>943</v>
      </c>
      <c r="C194" s="19" t="s">
        <v>944</v>
      </c>
      <c r="D194" s="19" t="s">
        <v>400</v>
      </c>
      <c r="E194" s="19" t="s">
        <v>147</v>
      </c>
      <c r="F194" s="19" t="s">
        <v>493</v>
      </c>
      <c r="G194" s="19" t="n">
        <v>25</v>
      </c>
      <c r="H194" s="19" t="s">
        <v>494</v>
      </c>
      <c r="I194" s="20" t="n">
        <v>65.235</v>
      </c>
      <c r="J194" s="19" t="n">
        <f aca="false">IF(I194="","",MIN(Overview!$B$8,MAX(1,CEILING(I194/Overview!$B$7,1))))</f>
        <v>14</v>
      </c>
      <c r="K194" s="19" t="n">
        <v>1</v>
      </c>
      <c r="L194" s="19"/>
      <c r="M194" s="20" t="n">
        <v>3</v>
      </c>
      <c r="N194" s="19"/>
      <c r="O194" s="19"/>
      <c r="P194" s="19" t="s">
        <v>1664</v>
      </c>
      <c r="Q194" s="19" t="s">
        <v>1021</v>
      </c>
      <c r="R194" s="21" t="n">
        <v>35866</v>
      </c>
      <c r="S194" s="19" t="s">
        <v>1279</v>
      </c>
      <c r="T194" s="19" t="s">
        <v>1667</v>
      </c>
      <c r="U194" s="19" t="str">
        <f aca="false">HYPERLINK("https://macaulaylibrary.org/asset/102590171","Open")</f>
        <v>Open</v>
      </c>
      <c r="V194" s="19"/>
    </row>
    <row r="195" customFormat="false" ht="15" hidden="false" customHeight="false" outlineLevel="0" collapsed="false">
      <c r="A195" s="19" t="s">
        <v>1668</v>
      </c>
      <c r="B195" s="19" t="s">
        <v>943</v>
      </c>
      <c r="C195" s="19" t="s">
        <v>944</v>
      </c>
      <c r="D195" s="19" t="s">
        <v>400</v>
      </c>
      <c r="E195" s="19" t="s">
        <v>147</v>
      </c>
      <c r="F195" s="19" t="s">
        <v>493</v>
      </c>
      <c r="G195" s="19" t="n">
        <v>25</v>
      </c>
      <c r="H195" s="19" t="s">
        <v>494</v>
      </c>
      <c r="I195" s="20" t="n">
        <v>90.695</v>
      </c>
      <c r="J195" s="19" t="n">
        <f aca="false">IF(I195="","",MIN(Overview!$B$8,MAX(1,CEILING(I195/Overview!$B$7,1))))</f>
        <v>19</v>
      </c>
      <c r="K195" s="19" t="n">
        <v>1</v>
      </c>
      <c r="L195" s="19"/>
      <c r="M195" s="20" t="n">
        <v>3.5</v>
      </c>
      <c r="N195" s="19"/>
      <c r="O195" s="19"/>
      <c r="P195" s="19" t="s">
        <v>1669</v>
      </c>
      <c r="Q195" s="19" t="s">
        <v>1021</v>
      </c>
      <c r="R195" s="21" t="n">
        <v>36600</v>
      </c>
      <c r="S195" s="19" t="s">
        <v>1036</v>
      </c>
      <c r="T195" s="19" t="s">
        <v>1670</v>
      </c>
      <c r="U195" s="19" t="str">
        <f aca="false">HYPERLINK("https://macaulaylibrary.org/asset/151643741","Open")</f>
        <v>Open</v>
      </c>
      <c r="V195" s="19"/>
    </row>
    <row r="196" customFormat="false" ht="15" hidden="false" customHeight="false" outlineLevel="0" collapsed="false">
      <c r="A196" s="19" t="s">
        <v>1671</v>
      </c>
      <c r="B196" s="19" t="s">
        <v>943</v>
      </c>
      <c r="C196" s="19" t="s">
        <v>944</v>
      </c>
      <c r="D196" s="19" t="s">
        <v>400</v>
      </c>
      <c r="E196" s="19" t="s">
        <v>147</v>
      </c>
      <c r="F196" s="19" t="s">
        <v>493</v>
      </c>
      <c r="G196" s="19" t="n">
        <v>25</v>
      </c>
      <c r="H196" s="19" t="s">
        <v>494</v>
      </c>
      <c r="I196" s="20" t="n">
        <v>201.465</v>
      </c>
      <c r="J196" s="19" t="n">
        <f aca="false">IF(I196="","",MIN(Overview!$B$8,MAX(1,CEILING(I196/Overview!$B$7,1))))</f>
        <v>41</v>
      </c>
      <c r="K196" s="19" t="n">
        <v>1</v>
      </c>
      <c r="L196" s="19"/>
      <c r="M196" s="20" t="n">
        <v>3</v>
      </c>
      <c r="N196" s="19"/>
      <c r="O196" s="19"/>
      <c r="P196" s="19" t="s">
        <v>1567</v>
      </c>
      <c r="Q196" s="19" t="s">
        <v>980</v>
      </c>
      <c r="R196" s="21" t="n">
        <v>33294</v>
      </c>
      <c r="S196" s="19"/>
      <c r="T196" s="19" t="s">
        <v>1672</v>
      </c>
      <c r="U196" s="19" t="str">
        <f aca="false">HYPERLINK("https://macaulaylibrary.org/asset/57492","Open")</f>
        <v>Open</v>
      </c>
      <c r="V196" s="19"/>
    </row>
    <row r="197" customFormat="false" ht="15" hidden="false" customHeight="false" outlineLevel="0" collapsed="false">
      <c r="A197" s="19" t="s">
        <v>1673</v>
      </c>
      <c r="B197" s="19" t="s">
        <v>943</v>
      </c>
      <c r="C197" s="19" t="s">
        <v>944</v>
      </c>
      <c r="D197" s="19" t="s">
        <v>400</v>
      </c>
      <c r="E197" s="19" t="s">
        <v>147</v>
      </c>
      <c r="F197" s="19" t="s">
        <v>493</v>
      </c>
      <c r="G197" s="19" t="n">
        <v>25</v>
      </c>
      <c r="H197" s="19" t="s">
        <v>494</v>
      </c>
      <c r="I197" s="20" t="n">
        <v>92.275</v>
      </c>
      <c r="J197" s="19" t="n">
        <f aca="false">IF(I197="","",MIN(Overview!$B$8,MAX(1,CEILING(I197/Overview!$B$7,1))))</f>
        <v>19</v>
      </c>
      <c r="K197" s="19" t="n">
        <v>1</v>
      </c>
      <c r="L197" s="19"/>
      <c r="M197" s="20"/>
      <c r="N197" s="19"/>
      <c r="O197" s="19"/>
      <c r="P197" s="19" t="s">
        <v>1674</v>
      </c>
      <c r="Q197" s="19" t="s">
        <v>1091</v>
      </c>
      <c r="R197" s="21" t="n">
        <v>45843</v>
      </c>
      <c r="S197" s="19" t="s">
        <v>1009</v>
      </c>
      <c r="T197" s="19" t="s">
        <v>1675</v>
      </c>
      <c r="U197" s="19" t="str">
        <f aca="false">HYPERLINK("https://macaulaylibrary.org/asset/639164743","Open")</f>
        <v>Open</v>
      </c>
      <c r="V197" s="19"/>
    </row>
    <row r="198" customFormat="false" ht="15" hidden="false" customHeight="false" outlineLevel="0" collapsed="false">
      <c r="A198" s="19" t="s">
        <v>1676</v>
      </c>
      <c r="B198" s="19" t="s">
        <v>943</v>
      </c>
      <c r="C198" s="19" t="s">
        <v>944</v>
      </c>
      <c r="D198" s="19" t="s">
        <v>400</v>
      </c>
      <c r="E198" s="19" t="s">
        <v>147</v>
      </c>
      <c r="F198" s="19" t="s">
        <v>493</v>
      </c>
      <c r="G198" s="19" t="n">
        <v>25</v>
      </c>
      <c r="H198" s="19" t="s">
        <v>494</v>
      </c>
      <c r="I198" s="20" t="n">
        <v>63.73</v>
      </c>
      <c r="J198" s="19" t="n">
        <f aca="false">IF(I198="","",MIN(Overview!$B$8,MAX(1,CEILING(I198/Overview!$B$7,1))))</f>
        <v>13</v>
      </c>
      <c r="K198" s="19" t="n">
        <v>1</v>
      </c>
      <c r="L198" s="19"/>
      <c r="M198" s="20" t="n">
        <v>3</v>
      </c>
      <c r="N198" s="19"/>
      <c r="O198" s="19"/>
      <c r="P198" s="19" t="s">
        <v>1001</v>
      </c>
      <c r="Q198" s="19" t="s">
        <v>980</v>
      </c>
      <c r="R198" s="21" t="n">
        <v>33299</v>
      </c>
      <c r="S198" s="19" t="s">
        <v>1002</v>
      </c>
      <c r="T198" s="19" t="s">
        <v>1677</v>
      </c>
      <c r="U198" s="19" t="str">
        <f aca="false">HYPERLINK("https://macaulaylibrary.org/asset/72641","Open")</f>
        <v>Open</v>
      </c>
      <c r="V198" s="19"/>
    </row>
    <row r="199" customFormat="false" ht="15" hidden="false" customHeight="false" outlineLevel="0" collapsed="false">
      <c r="A199" s="19" t="s">
        <v>1678</v>
      </c>
      <c r="B199" s="19" t="s">
        <v>943</v>
      </c>
      <c r="C199" s="19" t="s">
        <v>944</v>
      </c>
      <c r="D199" s="19" t="s">
        <v>400</v>
      </c>
      <c r="E199" s="19" t="s">
        <v>147</v>
      </c>
      <c r="F199" s="19" t="s">
        <v>550</v>
      </c>
      <c r="G199" s="19" t="n">
        <v>26</v>
      </c>
      <c r="H199" s="19" t="s">
        <v>551</v>
      </c>
      <c r="I199" s="20" t="n">
        <v>23.978</v>
      </c>
      <c r="J199" s="19" t="n">
        <f aca="false">IF(I199="","",MIN(Overview!$B$8,MAX(1,CEILING(I199/Overview!$B$7,1))))</f>
        <v>5</v>
      </c>
      <c r="K199" s="19" t="n">
        <v>1</v>
      </c>
      <c r="L199" s="19"/>
      <c r="M199" s="20" t="n">
        <v>3</v>
      </c>
      <c r="N199" s="19"/>
      <c r="O199" s="19"/>
      <c r="P199" s="19" t="s">
        <v>1679</v>
      </c>
      <c r="Q199" s="19" t="s">
        <v>1401</v>
      </c>
      <c r="R199" s="21" t="n">
        <v>36227</v>
      </c>
      <c r="S199" s="19" t="s">
        <v>1002</v>
      </c>
      <c r="T199" s="19" t="s">
        <v>1680</v>
      </c>
      <c r="U199" s="19" t="str">
        <f aca="false">HYPERLINK("https://macaulaylibrary.org/asset/127826561","Open")</f>
        <v>Open</v>
      </c>
      <c r="V199" s="19"/>
    </row>
    <row r="200" customFormat="false" ht="15" hidden="false" customHeight="false" outlineLevel="0" collapsed="false">
      <c r="A200" s="19" t="s">
        <v>1681</v>
      </c>
      <c r="B200" s="19" t="s">
        <v>943</v>
      </c>
      <c r="C200" s="19" t="s">
        <v>944</v>
      </c>
      <c r="D200" s="19" t="s">
        <v>400</v>
      </c>
      <c r="E200" s="19" t="s">
        <v>147</v>
      </c>
      <c r="F200" s="19" t="s">
        <v>550</v>
      </c>
      <c r="G200" s="19" t="n">
        <v>26</v>
      </c>
      <c r="H200" s="19" t="s">
        <v>551</v>
      </c>
      <c r="I200" s="20" t="n">
        <v>297.97</v>
      </c>
      <c r="J200" s="19" t="n">
        <f aca="false">IF(I200="","",MIN(Overview!$B$8,MAX(1,CEILING(I200/Overview!$B$7,1))))</f>
        <v>60</v>
      </c>
      <c r="K200" s="19" t="n">
        <v>1</v>
      </c>
      <c r="L200" s="19"/>
      <c r="M200" s="20" t="n">
        <v>4</v>
      </c>
      <c r="N200" s="19"/>
      <c r="O200" s="19"/>
      <c r="P200" s="19" t="s">
        <v>1682</v>
      </c>
      <c r="Q200" s="19" t="s">
        <v>980</v>
      </c>
      <c r="R200" s="21" t="n">
        <v>35206</v>
      </c>
      <c r="S200" s="19" t="s">
        <v>1683</v>
      </c>
      <c r="T200" s="19" t="s">
        <v>1684</v>
      </c>
      <c r="U200" s="19" t="str">
        <f aca="false">HYPERLINK("https://macaulaylibrary.org/asset/184766","Open")</f>
        <v>Open</v>
      </c>
      <c r="V200" s="19"/>
    </row>
    <row r="201" customFormat="false" ht="15" hidden="false" customHeight="false" outlineLevel="0" collapsed="false">
      <c r="A201" s="19" t="s">
        <v>1685</v>
      </c>
      <c r="B201" s="19" t="s">
        <v>943</v>
      </c>
      <c r="C201" s="19" t="s">
        <v>944</v>
      </c>
      <c r="D201" s="19" t="s">
        <v>400</v>
      </c>
      <c r="E201" s="19" t="s">
        <v>147</v>
      </c>
      <c r="F201" s="19" t="s">
        <v>550</v>
      </c>
      <c r="G201" s="19" t="n">
        <v>26</v>
      </c>
      <c r="H201" s="19" t="s">
        <v>551</v>
      </c>
      <c r="I201" s="20" t="n">
        <v>5.844</v>
      </c>
      <c r="J201" s="19" t="n">
        <f aca="false">IF(I201="","",MIN(Overview!$B$8,MAX(1,CEILING(I201/Overview!$B$7,1))))</f>
        <v>2</v>
      </c>
      <c r="K201" s="19" t="n">
        <v>1</v>
      </c>
      <c r="L201" s="19"/>
      <c r="M201" s="20" t="n">
        <v>3.67</v>
      </c>
      <c r="N201" s="19"/>
      <c r="O201" s="19"/>
      <c r="P201" s="19" t="s">
        <v>1686</v>
      </c>
      <c r="Q201" s="19" t="s">
        <v>1687</v>
      </c>
      <c r="R201" s="21" t="n">
        <v>42786</v>
      </c>
      <c r="S201" s="19" t="s">
        <v>1688</v>
      </c>
      <c r="T201" s="19" t="s">
        <v>1689</v>
      </c>
      <c r="U201" s="19" t="str">
        <f aca="false">HYPERLINK("https://macaulaylibrary.org/asset/49770121","Open")</f>
        <v>Open</v>
      </c>
      <c r="V201" s="19"/>
    </row>
    <row r="202" customFormat="false" ht="15" hidden="false" customHeight="false" outlineLevel="0" collapsed="false">
      <c r="A202" s="19" t="s">
        <v>1690</v>
      </c>
      <c r="B202" s="19" t="s">
        <v>943</v>
      </c>
      <c r="C202" s="19" t="s">
        <v>944</v>
      </c>
      <c r="D202" s="19" t="s">
        <v>400</v>
      </c>
      <c r="E202" s="19" t="s">
        <v>147</v>
      </c>
      <c r="F202" s="19" t="s">
        <v>550</v>
      </c>
      <c r="G202" s="19" t="n">
        <v>26</v>
      </c>
      <c r="H202" s="19" t="s">
        <v>551</v>
      </c>
      <c r="I202" s="20" t="n">
        <v>35.892</v>
      </c>
      <c r="J202" s="19" t="n">
        <f aca="false">IF(I202="","",MIN(Overview!$B$8,MAX(1,CEILING(I202/Overview!$B$7,1))))</f>
        <v>8</v>
      </c>
      <c r="K202" s="19" t="n">
        <v>1</v>
      </c>
      <c r="L202" s="19"/>
      <c r="M202" s="20" t="n">
        <v>3</v>
      </c>
      <c r="N202" s="19"/>
      <c r="O202" s="19"/>
      <c r="P202" s="19" t="s">
        <v>1691</v>
      </c>
      <c r="Q202" s="19" t="s">
        <v>1692</v>
      </c>
      <c r="R202" s="21" t="n">
        <v>44992</v>
      </c>
      <c r="S202" s="19" t="s">
        <v>1693</v>
      </c>
      <c r="T202" s="19" t="s">
        <v>1694</v>
      </c>
      <c r="U202" s="19" t="str">
        <f aca="false">HYPERLINK("https://macaulaylibrary.org/asset/549039681","Open")</f>
        <v>Open</v>
      </c>
      <c r="V202" s="19"/>
    </row>
    <row r="203" customFormat="false" ht="15" hidden="false" customHeight="false" outlineLevel="0" collapsed="false">
      <c r="A203" s="19" t="s">
        <v>1695</v>
      </c>
      <c r="B203" s="19" t="s">
        <v>943</v>
      </c>
      <c r="C203" s="19" t="s">
        <v>944</v>
      </c>
      <c r="D203" s="19" t="s">
        <v>148</v>
      </c>
      <c r="E203" s="19" t="s">
        <v>147</v>
      </c>
      <c r="F203" s="19" t="s">
        <v>335</v>
      </c>
      <c r="G203" s="19" t="n">
        <v>27</v>
      </c>
      <c r="H203" s="19" t="s">
        <v>336</v>
      </c>
      <c r="I203" s="20" t="n">
        <v>89.043</v>
      </c>
      <c r="J203" s="19" t="n">
        <f aca="false">IF(I203="","",MIN(Overview!$B$8,MAX(1,CEILING(I203/Overview!$B$7,1))))</f>
        <v>18</v>
      </c>
      <c r="K203" s="19" t="n">
        <v>1</v>
      </c>
      <c r="L203" s="19"/>
      <c r="M203" s="20" t="n">
        <v>4</v>
      </c>
      <c r="N203" s="19"/>
      <c r="O203" s="19"/>
      <c r="P203" s="19" t="s">
        <v>1105</v>
      </c>
      <c r="Q203" s="19" t="s">
        <v>1021</v>
      </c>
      <c r="R203" s="21" t="n">
        <v>36597</v>
      </c>
      <c r="S203" s="19" t="s">
        <v>1106</v>
      </c>
      <c r="T203" s="19" t="s">
        <v>1696</v>
      </c>
      <c r="U203" s="19" t="str">
        <f aca="false">HYPERLINK("https://macaulaylibrary.org/asset/145618791","Open")</f>
        <v>Open</v>
      </c>
      <c r="V203" s="19"/>
    </row>
    <row r="204" customFormat="false" ht="15" hidden="false" customHeight="false" outlineLevel="0" collapsed="false">
      <c r="A204" s="19" t="s">
        <v>1697</v>
      </c>
      <c r="B204" s="19" t="s">
        <v>943</v>
      </c>
      <c r="C204" s="19" t="s">
        <v>944</v>
      </c>
      <c r="D204" s="19" t="s">
        <v>148</v>
      </c>
      <c r="E204" s="19" t="s">
        <v>147</v>
      </c>
      <c r="F204" s="19" t="s">
        <v>335</v>
      </c>
      <c r="G204" s="19" t="n">
        <v>27</v>
      </c>
      <c r="H204" s="19" t="s">
        <v>336</v>
      </c>
      <c r="I204" s="20" t="n">
        <v>58.892</v>
      </c>
      <c r="J204" s="19" t="n">
        <f aca="false">IF(I204="","",MIN(Overview!$B$8,MAX(1,CEILING(I204/Overview!$B$7,1))))</f>
        <v>12</v>
      </c>
      <c r="K204" s="19" t="n">
        <v>1</v>
      </c>
      <c r="L204" s="19"/>
      <c r="M204" s="20" t="n">
        <v>4</v>
      </c>
      <c r="N204" s="19"/>
      <c r="O204" s="19"/>
      <c r="P204" s="19" t="s">
        <v>1698</v>
      </c>
      <c r="Q204" s="19" t="s">
        <v>1021</v>
      </c>
      <c r="R204" s="21" t="n">
        <v>36599</v>
      </c>
      <c r="S204" s="19" t="s">
        <v>1036</v>
      </c>
      <c r="T204" s="19" t="s">
        <v>1699</v>
      </c>
      <c r="U204" s="19" t="str">
        <f aca="false">HYPERLINK("https://macaulaylibrary.org/asset/148846911","Open")</f>
        <v>Open</v>
      </c>
      <c r="V204" s="19"/>
    </row>
    <row r="205" customFormat="false" ht="15" hidden="false" customHeight="false" outlineLevel="0" collapsed="false">
      <c r="A205" s="19" t="s">
        <v>1700</v>
      </c>
      <c r="B205" s="19" t="s">
        <v>943</v>
      </c>
      <c r="C205" s="19" t="s">
        <v>944</v>
      </c>
      <c r="D205" s="19" t="s">
        <v>148</v>
      </c>
      <c r="E205" s="19" t="s">
        <v>147</v>
      </c>
      <c r="F205" s="19" t="s">
        <v>335</v>
      </c>
      <c r="G205" s="19" t="n">
        <v>27</v>
      </c>
      <c r="H205" s="19" t="s">
        <v>336</v>
      </c>
      <c r="I205" s="20" t="n">
        <v>100.857</v>
      </c>
      <c r="J205" s="19" t="n">
        <f aca="false">IF(I205="","",MIN(Overview!$B$8,MAX(1,CEILING(I205/Overview!$B$7,1))))</f>
        <v>21</v>
      </c>
      <c r="K205" s="19" t="n">
        <v>1</v>
      </c>
      <c r="L205" s="19"/>
      <c r="M205" s="20" t="n">
        <v>3</v>
      </c>
      <c r="N205" s="19"/>
      <c r="O205" s="19"/>
      <c r="P205" s="19" t="s">
        <v>1669</v>
      </c>
      <c r="Q205" s="19" t="s">
        <v>1021</v>
      </c>
      <c r="R205" s="21" t="n">
        <v>36600</v>
      </c>
      <c r="S205" s="19" t="s">
        <v>1036</v>
      </c>
      <c r="T205" s="19" t="s">
        <v>1701</v>
      </c>
      <c r="U205" s="19" t="str">
        <f aca="false">HYPERLINK("https://macaulaylibrary.org/asset/151641981","Open")</f>
        <v>Open</v>
      </c>
      <c r="V205" s="19"/>
    </row>
    <row r="206" customFormat="false" ht="15" hidden="false" customHeight="false" outlineLevel="0" collapsed="false">
      <c r="A206" s="19" t="s">
        <v>1702</v>
      </c>
      <c r="B206" s="19" t="s">
        <v>943</v>
      </c>
      <c r="C206" s="19" t="s">
        <v>944</v>
      </c>
      <c r="D206" s="19" t="s">
        <v>148</v>
      </c>
      <c r="E206" s="19" t="s">
        <v>147</v>
      </c>
      <c r="F206" s="19" t="s">
        <v>335</v>
      </c>
      <c r="G206" s="19" t="n">
        <v>27</v>
      </c>
      <c r="H206" s="19" t="s">
        <v>336</v>
      </c>
      <c r="I206" s="20" t="n">
        <v>31.587</v>
      </c>
      <c r="J206" s="19" t="n">
        <f aca="false">IF(I206="","",MIN(Overview!$B$8,MAX(1,CEILING(I206/Overview!$B$7,1))))</f>
        <v>7</v>
      </c>
      <c r="K206" s="19" t="n">
        <v>1</v>
      </c>
      <c r="L206" s="19"/>
      <c r="M206" s="20" t="n">
        <v>4</v>
      </c>
      <c r="N206" s="19"/>
      <c r="O206" s="19"/>
      <c r="P206" s="19" t="s">
        <v>1703</v>
      </c>
      <c r="Q206" s="19" t="s">
        <v>1021</v>
      </c>
      <c r="R206" s="21" t="n">
        <v>36601</v>
      </c>
      <c r="S206" s="19" t="s">
        <v>1036</v>
      </c>
      <c r="T206" s="19" t="s">
        <v>1704</v>
      </c>
      <c r="U206" s="19" t="str">
        <f aca="false">HYPERLINK("https://macaulaylibrary.org/asset/152036171","Open")</f>
        <v>Open</v>
      </c>
      <c r="V206" s="19"/>
    </row>
    <row r="207" customFormat="false" ht="15" hidden="false" customHeight="false" outlineLevel="0" collapsed="false">
      <c r="A207" s="19" t="s">
        <v>1705</v>
      </c>
      <c r="B207" s="19" t="s">
        <v>943</v>
      </c>
      <c r="C207" s="19" t="s">
        <v>944</v>
      </c>
      <c r="D207" s="19" t="s">
        <v>148</v>
      </c>
      <c r="E207" s="19" t="s">
        <v>147</v>
      </c>
      <c r="F207" s="19" t="s">
        <v>335</v>
      </c>
      <c r="G207" s="19" t="n">
        <v>27</v>
      </c>
      <c r="H207" s="19" t="s">
        <v>336</v>
      </c>
      <c r="I207" s="20" t="n">
        <v>13.415</v>
      </c>
      <c r="J207" s="19" t="n">
        <f aca="false">IF(I207="","",MIN(Overview!$B$8,MAX(1,CEILING(I207/Overview!$B$7,1))))</f>
        <v>3</v>
      </c>
      <c r="K207" s="19" t="n">
        <v>1</v>
      </c>
      <c r="L207" s="19"/>
      <c r="M207" s="20"/>
      <c r="N207" s="19"/>
      <c r="O207" s="19"/>
      <c r="P207" s="19" t="s">
        <v>1381</v>
      </c>
      <c r="Q207" s="19" t="s">
        <v>1382</v>
      </c>
      <c r="R207" s="21" t="n">
        <v>46103</v>
      </c>
      <c r="S207" s="19" t="s">
        <v>1383</v>
      </c>
      <c r="T207" s="19" t="s">
        <v>1706</v>
      </c>
      <c r="U207" s="19" t="str">
        <f aca="false">HYPERLINK("https://macaulaylibrary.org/asset/654113494","Open")</f>
        <v>Open</v>
      </c>
      <c r="V207" s="19"/>
    </row>
    <row r="208" customFormat="false" ht="15" hidden="false" customHeight="false" outlineLevel="0" collapsed="false">
      <c r="A208" s="19" t="s">
        <v>1707</v>
      </c>
      <c r="B208" s="19" t="s">
        <v>943</v>
      </c>
      <c r="C208" s="19" t="s">
        <v>944</v>
      </c>
      <c r="D208" s="19" t="s">
        <v>148</v>
      </c>
      <c r="E208" s="19" t="s">
        <v>147</v>
      </c>
      <c r="F208" s="19" t="s">
        <v>335</v>
      </c>
      <c r="G208" s="19" t="n">
        <v>27</v>
      </c>
      <c r="H208" s="19" t="s">
        <v>336</v>
      </c>
      <c r="I208" s="20" t="n">
        <v>148.725</v>
      </c>
      <c r="J208" s="19" t="n">
        <f aca="false">IF(I208="","",MIN(Overview!$B$8,MAX(1,CEILING(I208/Overview!$B$7,1))))</f>
        <v>30</v>
      </c>
      <c r="K208" s="19" t="n">
        <v>1</v>
      </c>
      <c r="L208" s="19"/>
      <c r="M208" s="20" t="n">
        <v>3</v>
      </c>
      <c r="N208" s="19"/>
      <c r="O208" s="19"/>
      <c r="P208" s="19" t="s">
        <v>1001</v>
      </c>
      <c r="Q208" s="19" t="s">
        <v>980</v>
      </c>
      <c r="R208" s="21" t="n">
        <v>33299</v>
      </c>
      <c r="S208" s="19" t="s">
        <v>1002</v>
      </c>
      <c r="T208" s="19" t="s">
        <v>1708</v>
      </c>
      <c r="U208" s="19" t="str">
        <f aca="false">HYPERLINK("https://macaulaylibrary.org/asset/72643","Open")</f>
        <v>Open</v>
      </c>
      <c r="V208" s="19"/>
    </row>
    <row r="209" customFormat="false" ht="15" hidden="false" customHeight="false" outlineLevel="0" collapsed="false">
      <c r="A209" s="19" t="s">
        <v>1709</v>
      </c>
      <c r="B209" s="19" t="s">
        <v>943</v>
      </c>
      <c r="C209" s="19" t="s">
        <v>944</v>
      </c>
      <c r="D209" s="19" t="s">
        <v>148</v>
      </c>
      <c r="E209" s="19" t="s">
        <v>147</v>
      </c>
      <c r="F209" s="19" t="s">
        <v>335</v>
      </c>
      <c r="G209" s="19" t="n">
        <v>27</v>
      </c>
      <c r="H209" s="19" t="s">
        <v>336</v>
      </c>
      <c r="I209" s="20" t="n">
        <v>166.587</v>
      </c>
      <c r="J209" s="19" t="n">
        <f aca="false">IF(I209="","",MIN(Overview!$B$8,MAX(1,CEILING(I209/Overview!$B$7,1))))</f>
        <v>34</v>
      </c>
      <c r="K209" s="19" t="n">
        <v>1</v>
      </c>
      <c r="L209" s="19"/>
      <c r="M209" s="20" t="n">
        <v>2</v>
      </c>
      <c r="N209" s="19"/>
      <c r="O209" s="19"/>
      <c r="P209" s="19" t="s">
        <v>1710</v>
      </c>
      <c r="Q209" s="19" t="s">
        <v>1218</v>
      </c>
      <c r="R209" s="21" t="n">
        <v>33331</v>
      </c>
      <c r="S209" s="19" t="s">
        <v>1442</v>
      </c>
      <c r="T209" s="19" t="s">
        <v>1711</v>
      </c>
      <c r="U209" s="19" t="str">
        <f aca="false">HYPERLINK("https://macaulaylibrary.org/asset/76630","Open")</f>
        <v>Open</v>
      </c>
      <c r="V209" s="19"/>
    </row>
    <row r="210" customFormat="false" ht="15" hidden="false" customHeight="false" outlineLevel="0" collapsed="false">
      <c r="A210" s="19" t="s">
        <v>1712</v>
      </c>
      <c r="B210" s="19" t="s">
        <v>943</v>
      </c>
      <c r="C210" s="19" t="s">
        <v>944</v>
      </c>
      <c r="D210" s="19" t="s">
        <v>148</v>
      </c>
      <c r="E210" s="19" t="s">
        <v>147</v>
      </c>
      <c r="F210" s="19" t="s">
        <v>335</v>
      </c>
      <c r="G210" s="19" t="n">
        <v>27</v>
      </c>
      <c r="H210" s="19" t="s">
        <v>336</v>
      </c>
      <c r="I210" s="20" t="n">
        <v>160.547</v>
      </c>
      <c r="J210" s="19" t="n">
        <f aca="false">IF(I210="","",MIN(Overview!$B$8,MAX(1,CEILING(I210/Overview!$B$7,1))))</f>
        <v>33</v>
      </c>
      <c r="K210" s="19" t="n">
        <v>1</v>
      </c>
      <c r="L210" s="19"/>
      <c r="M210" s="20" t="n">
        <v>2</v>
      </c>
      <c r="N210" s="19"/>
      <c r="O210" s="19"/>
      <c r="P210" s="19" t="s">
        <v>1710</v>
      </c>
      <c r="Q210" s="19" t="s">
        <v>1218</v>
      </c>
      <c r="R210" s="21" t="n">
        <v>33331</v>
      </c>
      <c r="S210" s="19" t="s">
        <v>1357</v>
      </c>
      <c r="T210" s="19" t="s">
        <v>1713</v>
      </c>
      <c r="U210" s="19" t="str">
        <f aca="false">HYPERLINK("https://macaulaylibrary.org/asset/76631","Open")</f>
        <v>Open</v>
      </c>
      <c r="V210" s="19"/>
    </row>
    <row r="211" customFormat="false" ht="15" hidden="false" customHeight="false" outlineLevel="0" collapsed="false">
      <c r="A211" s="19" t="s">
        <v>1714</v>
      </c>
      <c r="B211" s="19" t="s">
        <v>1005</v>
      </c>
      <c r="C211" s="19" t="s">
        <v>944</v>
      </c>
      <c r="D211" s="19" t="s">
        <v>647</v>
      </c>
      <c r="E211" s="19" t="s">
        <v>147</v>
      </c>
      <c r="F211" s="19" t="s">
        <v>335</v>
      </c>
      <c r="G211" s="19" t="n">
        <v>27</v>
      </c>
      <c r="H211" s="19" t="s">
        <v>336</v>
      </c>
      <c r="I211" s="20" t="n">
        <v>45.552</v>
      </c>
      <c r="J211" s="19" t="n">
        <f aca="false">IF(I211="","",MIN(Overview!$B$8,MAX(1,CEILING(I211/Overview!$B$7,1))))</f>
        <v>10</v>
      </c>
      <c r="K211" s="19" t="n">
        <v>1</v>
      </c>
      <c r="L211" s="19"/>
      <c r="M211" s="20"/>
      <c r="N211" s="19" t="s">
        <v>1006</v>
      </c>
      <c r="O211" s="19"/>
      <c r="P211" s="19" t="s">
        <v>1007</v>
      </c>
      <c r="Q211" s="19" t="s">
        <v>1008</v>
      </c>
      <c r="R211" s="21" t="n">
        <v>42577</v>
      </c>
      <c r="S211" s="19" t="s">
        <v>1715</v>
      </c>
      <c r="T211" s="19" t="s">
        <v>1716</v>
      </c>
      <c r="U211" s="19" t="str">
        <f aca="false">HYPERLINK("https://xeno-canto.org/331434","Open")</f>
        <v>Open</v>
      </c>
      <c r="V211" s="19" t="s">
        <v>1011</v>
      </c>
    </row>
    <row r="212" customFormat="false" ht="15" hidden="false" customHeight="false" outlineLevel="0" collapsed="false">
      <c r="A212" s="19" t="s">
        <v>1717</v>
      </c>
      <c r="B212" s="19" t="s">
        <v>1005</v>
      </c>
      <c r="C212" s="19" t="s">
        <v>944</v>
      </c>
      <c r="D212" s="19" t="s">
        <v>647</v>
      </c>
      <c r="E212" s="19" t="s">
        <v>147</v>
      </c>
      <c r="F212" s="19" t="s">
        <v>335</v>
      </c>
      <c r="G212" s="19" t="n">
        <v>27</v>
      </c>
      <c r="H212" s="19" t="s">
        <v>336</v>
      </c>
      <c r="I212" s="20" t="n">
        <v>27.552</v>
      </c>
      <c r="J212" s="19" t="n">
        <f aca="false">IF(I212="","",MIN(Overview!$B$8,MAX(1,CEILING(I212/Overview!$B$7,1))))</f>
        <v>6</v>
      </c>
      <c r="K212" s="19" t="n">
        <v>1</v>
      </c>
      <c r="L212" s="19"/>
      <c r="M212" s="20"/>
      <c r="N212" s="19" t="s">
        <v>1718</v>
      </c>
      <c r="O212" s="19"/>
      <c r="P212" s="19" t="s">
        <v>1007</v>
      </c>
      <c r="Q212" s="19" t="s">
        <v>1008</v>
      </c>
      <c r="R212" s="21" t="n">
        <v>42577</v>
      </c>
      <c r="S212" s="19" t="s">
        <v>1369</v>
      </c>
      <c r="T212" s="19" t="s">
        <v>1719</v>
      </c>
      <c r="U212" s="19" t="str">
        <f aca="false">HYPERLINK("https://xeno-canto.org/331470","Open")</f>
        <v>Open</v>
      </c>
      <c r="V212" s="19" t="s">
        <v>1720</v>
      </c>
    </row>
    <row r="213" customFormat="false" ht="15" hidden="false" customHeight="false" outlineLevel="0" collapsed="false">
      <c r="A213" s="19" t="s">
        <v>1721</v>
      </c>
      <c r="B213" s="19" t="s">
        <v>943</v>
      </c>
      <c r="C213" s="19" t="s">
        <v>944</v>
      </c>
      <c r="D213" s="19" t="s">
        <v>400</v>
      </c>
      <c r="E213" s="19" t="s">
        <v>147</v>
      </c>
      <c r="F213" s="19" t="s">
        <v>434</v>
      </c>
      <c r="G213" s="19" t="n">
        <v>28</v>
      </c>
      <c r="H213" s="19" t="s">
        <v>435</v>
      </c>
      <c r="I213" s="20" t="n">
        <v>104.109</v>
      </c>
      <c r="J213" s="19" t="n">
        <f aca="false">IF(I213="","",MIN(Overview!$B$8,MAX(1,CEILING(I213/Overview!$B$7,1))))</f>
        <v>21</v>
      </c>
      <c r="K213" s="19" t="n">
        <v>1</v>
      </c>
      <c r="L213" s="19"/>
      <c r="M213" s="20" t="n">
        <v>3</v>
      </c>
      <c r="N213" s="19"/>
      <c r="O213" s="19"/>
      <c r="P213" s="19" t="s">
        <v>1722</v>
      </c>
      <c r="Q213" s="19" t="s">
        <v>1401</v>
      </c>
      <c r="R213" s="21" t="n">
        <v>33287</v>
      </c>
      <c r="S213" s="19" t="s">
        <v>1013</v>
      </c>
      <c r="T213" s="19" t="s">
        <v>1723</v>
      </c>
      <c r="U213" s="19" t="str">
        <f aca="false">HYPERLINK("https://macaulaylibrary.org/asset/130853551","Open")</f>
        <v>Open</v>
      </c>
      <c r="V213" s="19"/>
    </row>
    <row r="214" customFormat="false" ht="15" hidden="false" customHeight="false" outlineLevel="0" collapsed="false">
      <c r="A214" s="19" t="s">
        <v>1724</v>
      </c>
      <c r="B214" s="19" t="s">
        <v>943</v>
      </c>
      <c r="C214" s="19" t="s">
        <v>944</v>
      </c>
      <c r="D214" s="19" t="s">
        <v>400</v>
      </c>
      <c r="E214" s="19" t="s">
        <v>147</v>
      </c>
      <c r="F214" s="19" t="s">
        <v>434</v>
      </c>
      <c r="G214" s="19" t="n">
        <v>28</v>
      </c>
      <c r="H214" s="19" t="s">
        <v>435</v>
      </c>
      <c r="I214" s="20" t="n">
        <v>40.265</v>
      </c>
      <c r="J214" s="19" t="n">
        <f aca="false">IF(I214="","",MIN(Overview!$B$8,MAX(1,CEILING(I214/Overview!$B$7,1))))</f>
        <v>9</v>
      </c>
      <c r="K214" s="19" t="n">
        <v>1</v>
      </c>
      <c r="L214" s="19"/>
      <c r="M214" s="20" t="n">
        <v>3</v>
      </c>
      <c r="N214" s="19"/>
      <c r="O214" s="19"/>
      <c r="P214" s="19" t="s">
        <v>1390</v>
      </c>
      <c r="Q214" s="19" t="s">
        <v>1021</v>
      </c>
      <c r="R214" s="21" t="n">
        <v>36596</v>
      </c>
      <c r="S214" s="19" t="s">
        <v>1137</v>
      </c>
      <c r="T214" s="19" t="s">
        <v>1725</v>
      </c>
      <c r="U214" s="19" t="str">
        <f aca="false">HYPERLINK("https://macaulaylibrary.org/asset/144448311","Open")</f>
        <v>Open</v>
      </c>
      <c r="V214" s="19"/>
    </row>
    <row r="215" customFormat="false" ht="15" hidden="false" customHeight="false" outlineLevel="0" collapsed="false">
      <c r="A215" s="19" t="s">
        <v>1726</v>
      </c>
      <c r="B215" s="19" t="s">
        <v>943</v>
      </c>
      <c r="C215" s="19" t="s">
        <v>944</v>
      </c>
      <c r="D215" s="19" t="s">
        <v>400</v>
      </c>
      <c r="E215" s="19" t="s">
        <v>147</v>
      </c>
      <c r="F215" s="19" t="s">
        <v>434</v>
      </c>
      <c r="G215" s="19" t="n">
        <v>28</v>
      </c>
      <c r="H215" s="19" t="s">
        <v>435</v>
      </c>
      <c r="I215" s="20" t="n">
        <v>49.079</v>
      </c>
      <c r="J215" s="19" t="n">
        <f aca="false">IF(I215="","",MIN(Overview!$B$8,MAX(1,CEILING(I215/Overview!$B$7,1))))</f>
        <v>10</v>
      </c>
      <c r="K215" s="19" t="n">
        <v>1</v>
      </c>
      <c r="L215" s="19"/>
      <c r="M215" s="20" t="n">
        <v>2</v>
      </c>
      <c r="N215" s="19"/>
      <c r="O215" s="19"/>
      <c r="P215" s="19" t="s">
        <v>1727</v>
      </c>
      <c r="Q215" s="19" t="s">
        <v>980</v>
      </c>
      <c r="R215" s="21" t="n">
        <v>34128</v>
      </c>
      <c r="S215" s="19"/>
      <c r="T215" s="19" t="s">
        <v>1728</v>
      </c>
      <c r="U215" s="19" t="str">
        <f aca="false">HYPERLINK("https://macaulaylibrary.org/asset/209705","Open")</f>
        <v>Open</v>
      </c>
      <c r="V215" s="19"/>
    </row>
    <row r="216" customFormat="false" ht="15" hidden="false" customHeight="false" outlineLevel="0" collapsed="false">
      <c r="A216" s="19" t="s">
        <v>1729</v>
      </c>
      <c r="B216" s="19" t="s">
        <v>943</v>
      </c>
      <c r="C216" s="19" t="s">
        <v>944</v>
      </c>
      <c r="D216" s="19" t="s">
        <v>400</v>
      </c>
      <c r="E216" s="19" t="s">
        <v>147</v>
      </c>
      <c r="F216" s="19" t="s">
        <v>434</v>
      </c>
      <c r="G216" s="19" t="n">
        <v>28</v>
      </c>
      <c r="H216" s="19" t="s">
        <v>435</v>
      </c>
      <c r="I216" s="20" t="n">
        <v>542.543</v>
      </c>
      <c r="J216" s="19" t="n">
        <f aca="false">IF(I216="","",MIN(Overview!$B$8,MAX(1,CEILING(I216/Overview!$B$7,1))))</f>
        <v>109</v>
      </c>
      <c r="K216" s="19" t="n">
        <v>1</v>
      </c>
      <c r="L216" s="19"/>
      <c r="M216" s="20" t="n">
        <v>3.8</v>
      </c>
      <c r="N216" s="19"/>
      <c r="O216" s="19"/>
      <c r="P216" s="19" t="s">
        <v>1730</v>
      </c>
      <c r="Q216" s="19" t="s">
        <v>980</v>
      </c>
      <c r="R216" s="21" t="n">
        <v>32558</v>
      </c>
      <c r="S216" s="19"/>
      <c r="T216" s="19" t="s">
        <v>1731</v>
      </c>
      <c r="U216" s="19" t="str">
        <f aca="false">HYPERLINK("https://macaulaylibrary.org/asset/215421","Open")</f>
        <v>Open</v>
      </c>
      <c r="V216" s="19"/>
    </row>
    <row r="217" customFormat="false" ht="15" hidden="false" customHeight="false" outlineLevel="0" collapsed="false">
      <c r="A217" s="19" t="s">
        <v>1732</v>
      </c>
      <c r="B217" s="19" t="s">
        <v>943</v>
      </c>
      <c r="C217" s="19" t="s">
        <v>944</v>
      </c>
      <c r="D217" s="19" t="s">
        <v>400</v>
      </c>
      <c r="E217" s="19" t="s">
        <v>147</v>
      </c>
      <c r="F217" s="19" t="s">
        <v>434</v>
      </c>
      <c r="G217" s="19" t="n">
        <v>28</v>
      </c>
      <c r="H217" s="19" t="s">
        <v>435</v>
      </c>
      <c r="I217" s="20" t="n">
        <v>46.008</v>
      </c>
      <c r="J217" s="19" t="n">
        <f aca="false">IF(I217="","",MIN(Overview!$B$8,MAX(1,CEILING(I217/Overview!$B$7,1))))</f>
        <v>10</v>
      </c>
      <c r="K217" s="19" t="n">
        <v>1</v>
      </c>
      <c r="L217" s="19"/>
      <c r="M217" s="20" t="n">
        <v>3</v>
      </c>
      <c r="N217" s="19"/>
      <c r="O217" s="19" t="s">
        <v>209</v>
      </c>
      <c r="P217" s="19" t="s">
        <v>1733</v>
      </c>
      <c r="Q217" s="19" t="s">
        <v>1136</v>
      </c>
      <c r="R217" s="21" t="n">
        <v>29732</v>
      </c>
      <c r="S217" s="19" t="s">
        <v>1734</v>
      </c>
      <c r="T217" s="19" t="s">
        <v>1735</v>
      </c>
      <c r="U217" s="19" t="str">
        <f aca="false">HYPERLINK("https://macaulaylibrary.org/asset/28150","Open")</f>
        <v>Open</v>
      </c>
      <c r="V217" s="19"/>
    </row>
    <row r="218" customFormat="false" ht="15" hidden="false" customHeight="false" outlineLevel="0" collapsed="false">
      <c r="A218" s="19" t="s">
        <v>1736</v>
      </c>
      <c r="B218" s="19" t="s">
        <v>943</v>
      </c>
      <c r="C218" s="19" t="s">
        <v>944</v>
      </c>
      <c r="D218" s="19" t="s">
        <v>400</v>
      </c>
      <c r="E218" s="19" t="s">
        <v>147</v>
      </c>
      <c r="F218" s="19" t="s">
        <v>434</v>
      </c>
      <c r="G218" s="19" t="n">
        <v>28</v>
      </c>
      <c r="H218" s="19" t="s">
        <v>435</v>
      </c>
      <c r="I218" s="20" t="n">
        <v>51.086</v>
      </c>
      <c r="J218" s="19" t="n">
        <f aca="false">IF(I218="","",MIN(Overview!$B$8,MAX(1,CEILING(I218/Overview!$B$7,1))))</f>
        <v>11</v>
      </c>
      <c r="K218" s="19" t="n">
        <v>1</v>
      </c>
      <c r="L218" s="19"/>
      <c r="M218" s="20"/>
      <c r="N218" s="19"/>
      <c r="O218" s="19"/>
      <c r="P218" s="19" t="s">
        <v>1140</v>
      </c>
      <c r="Q218" s="19" t="s">
        <v>1030</v>
      </c>
      <c r="R218" s="21" t="n">
        <v>40250</v>
      </c>
      <c r="S218" s="19" t="s">
        <v>1737</v>
      </c>
      <c r="T218" s="19" t="s">
        <v>1738</v>
      </c>
      <c r="U218" s="19" t="str">
        <f aca="false">HYPERLINK("https://macaulaylibrary.org/asset/299602","Open")</f>
        <v>Open</v>
      </c>
      <c r="V218" s="19"/>
    </row>
    <row r="219" customFormat="false" ht="15" hidden="false" customHeight="false" outlineLevel="0" collapsed="false">
      <c r="A219" s="19" t="s">
        <v>1739</v>
      </c>
      <c r="B219" s="19" t="s">
        <v>943</v>
      </c>
      <c r="C219" s="19" t="s">
        <v>944</v>
      </c>
      <c r="D219" s="19" t="s">
        <v>400</v>
      </c>
      <c r="E219" s="19" t="s">
        <v>147</v>
      </c>
      <c r="F219" s="19" t="s">
        <v>434</v>
      </c>
      <c r="G219" s="19" t="n">
        <v>28</v>
      </c>
      <c r="H219" s="19" t="s">
        <v>435</v>
      </c>
      <c r="I219" s="20" t="n">
        <v>1.907</v>
      </c>
      <c r="J219" s="19" t="n">
        <f aca="false">IF(I219="","",MIN(Overview!$B$8,MAX(1,CEILING(I219/Overview!$B$7,1))))</f>
        <v>1</v>
      </c>
      <c r="K219" s="19" t="n">
        <v>1</v>
      </c>
      <c r="L219" s="19" t="s">
        <v>1048</v>
      </c>
      <c r="M219" s="20"/>
      <c r="N219" s="19"/>
      <c r="O219" s="19"/>
      <c r="P219" s="19" t="s">
        <v>1029</v>
      </c>
      <c r="Q219" s="19" t="s">
        <v>1030</v>
      </c>
      <c r="R219" s="21" t="n">
        <v>40251</v>
      </c>
      <c r="S219" s="19" t="s">
        <v>1036</v>
      </c>
      <c r="T219" s="19" t="s">
        <v>1740</v>
      </c>
      <c r="U219" s="19" t="str">
        <f aca="false">HYPERLINK("https://macaulaylibrary.org/asset/299611","Open")</f>
        <v>Open</v>
      </c>
      <c r="V219" s="19"/>
    </row>
    <row r="220" customFormat="false" ht="15" hidden="false" customHeight="false" outlineLevel="0" collapsed="false">
      <c r="A220" s="19" t="s">
        <v>1741</v>
      </c>
      <c r="B220" s="19" t="s">
        <v>943</v>
      </c>
      <c r="C220" s="19" t="s">
        <v>944</v>
      </c>
      <c r="D220" s="19" t="s">
        <v>400</v>
      </c>
      <c r="E220" s="19" t="s">
        <v>147</v>
      </c>
      <c r="F220" s="19" t="s">
        <v>434</v>
      </c>
      <c r="G220" s="19" t="n">
        <v>28</v>
      </c>
      <c r="H220" s="19" t="s">
        <v>435</v>
      </c>
      <c r="I220" s="20" t="n">
        <v>160.29</v>
      </c>
      <c r="J220" s="19" t="n">
        <f aca="false">IF(I220="","",MIN(Overview!$B$8,MAX(1,CEILING(I220/Overview!$B$7,1))))</f>
        <v>33</v>
      </c>
      <c r="K220" s="19" t="n">
        <v>1</v>
      </c>
      <c r="L220" s="19"/>
      <c r="M220" s="20" t="n">
        <v>2</v>
      </c>
      <c r="N220" s="19"/>
      <c r="O220" s="19"/>
      <c r="P220" s="19" t="s">
        <v>1742</v>
      </c>
      <c r="Q220" s="19" t="s">
        <v>1021</v>
      </c>
      <c r="R220" s="21" t="n">
        <v>35860</v>
      </c>
      <c r="S220" s="19" t="s">
        <v>1743</v>
      </c>
      <c r="T220" s="19" t="s">
        <v>1744</v>
      </c>
      <c r="U220" s="19" t="str">
        <f aca="false">HYPERLINK("https://macaulaylibrary.org/asset/97867091","Open")</f>
        <v>Open</v>
      </c>
      <c r="V220" s="19"/>
    </row>
    <row r="221" customFormat="false" ht="15" hidden="false" customHeight="false" outlineLevel="0" collapsed="false">
      <c r="A221" s="19" t="s">
        <v>1745</v>
      </c>
      <c r="B221" s="19" t="s">
        <v>943</v>
      </c>
      <c r="C221" s="19" t="s">
        <v>944</v>
      </c>
      <c r="D221" s="19" t="s">
        <v>148</v>
      </c>
      <c r="E221" s="19" t="s">
        <v>147</v>
      </c>
      <c r="F221" s="19" t="s">
        <v>178</v>
      </c>
      <c r="G221" s="19" t="n">
        <v>29</v>
      </c>
      <c r="H221" s="19" t="s">
        <v>179</v>
      </c>
      <c r="I221" s="20" t="n">
        <v>15.613</v>
      </c>
      <c r="J221" s="19" t="n">
        <f aca="false">IF(I221="","",MIN(Overview!$B$8,MAX(1,CEILING(I221/Overview!$B$7,1))))</f>
        <v>4</v>
      </c>
      <c r="K221" s="19" t="n">
        <v>1</v>
      </c>
      <c r="L221" s="19"/>
      <c r="M221" s="20" t="n">
        <v>3</v>
      </c>
      <c r="N221" s="19"/>
      <c r="O221" s="19"/>
      <c r="P221" s="19" t="s">
        <v>1746</v>
      </c>
      <c r="Q221" s="19" t="s">
        <v>1747</v>
      </c>
      <c r="R221" s="21" t="n">
        <v>43269</v>
      </c>
      <c r="S221" s="19" t="s">
        <v>1245</v>
      </c>
      <c r="T221" s="19" t="s">
        <v>1748</v>
      </c>
      <c r="U221" s="19" t="str">
        <f aca="false">HYPERLINK("https://macaulaylibrary.org/asset/108212331","Open")</f>
        <v>Open</v>
      </c>
      <c r="V221" s="19"/>
    </row>
    <row r="222" customFormat="false" ht="15" hidden="false" customHeight="false" outlineLevel="0" collapsed="false">
      <c r="A222" s="19" t="s">
        <v>1749</v>
      </c>
      <c r="B222" s="19" t="s">
        <v>943</v>
      </c>
      <c r="C222" s="19" t="s">
        <v>944</v>
      </c>
      <c r="D222" s="19" t="s">
        <v>148</v>
      </c>
      <c r="E222" s="19" t="s">
        <v>147</v>
      </c>
      <c r="F222" s="19" t="s">
        <v>178</v>
      </c>
      <c r="G222" s="19" t="n">
        <v>29</v>
      </c>
      <c r="H222" s="19" t="s">
        <v>179</v>
      </c>
      <c r="I222" s="20" t="n">
        <v>91.625</v>
      </c>
      <c r="J222" s="19" t="n">
        <f aca="false">IF(I222="","",MIN(Overview!$B$8,MAX(1,CEILING(I222/Overview!$B$7,1))))</f>
        <v>19</v>
      </c>
      <c r="K222" s="19" t="n">
        <v>1</v>
      </c>
      <c r="L222" s="19"/>
      <c r="M222" s="20" t="n">
        <v>4</v>
      </c>
      <c r="N222" s="19"/>
      <c r="O222" s="19"/>
      <c r="P222" s="19" t="s">
        <v>1581</v>
      </c>
      <c r="Q222" s="19" t="s">
        <v>1021</v>
      </c>
      <c r="R222" s="21" t="n">
        <v>36595</v>
      </c>
      <c r="S222" s="19" t="s">
        <v>1459</v>
      </c>
      <c r="T222" s="19" t="s">
        <v>1750</v>
      </c>
      <c r="U222" s="19" t="str">
        <f aca="false">HYPERLINK("https://macaulaylibrary.org/asset/143855361","Open")</f>
        <v>Open</v>
      </c>
      <c r="V222" s="19"/>
    </row>
    <row r="223" customFormat="false" ht="15" hidden="false" customHeight="false" outlineLevel="0" collapsed="false">
      <c r="A223" s="19" t="s">
        <v>1751</v>
      </c>
      <c r="B223" s="19" t="s">
        <v>943</v>
      </c>
      <c r="C223" s="19" t="s">
        <v>944</v>
      </c>
      <c r="D223" s="19" t="s">
        <v>148</v>
      </c>
      <c r="E223" s="19" t="s">
        <v>147</v>
      </c>
      <c r="F223" s="19" t="s">
        <v>178</v>
      </c>
      <c r="G223" s="19" t="n">
        <v>29</v>
      </c>
      <c r="H223" s="19" t="s">
        <v>179</v>
      </c>
      <c r="I223" s="20" t="n">
        <v>55.124</v>
      </c>
      <c r="J223" s="19" t="n">
        <f aca="false">IF(I223="","",MIN(Overview!$B$8,MAX(1,CEILING(I223/Overview!$B$7,1))))</f>
        <v>12</v>
      </c>
      <c r="K223" s="19" t="n">
        <v>1</v>
      </c>
      <c r="L223" s="19"/>
      <c r="M223" s="20" t="n">
        <v>3</v>
      </c>
      <c r="N223" s="19"/>
      <c r="O223" s="19"/>
      <c r="P223" s="19" t="s">
        <v>1752</v>
      </c>
      <c r="Q223" s="19" t="s">
        <v>980</v>
      </c>
      <c r="R223" s="21" t="n">
        <v>35208</v>
      </c>
      <c r="S223" s="19" t="s">
        <v>1753</v>
      </c>
      <c r="T223" s="19" t="s">
        <v>1754</v>
      </c>
      <c r="U223" s="19" t="str">
        <f aca="false">HYPERLINK("https://macaulaylibrary.org/asset/184787","Open")</f>
        <v>Open</v>
      </c>
      <c r="V223" s="19"/>
    </row>
    <row r="224" customFormat="false" ht="15" hidden="false" customHeight="false" outlineLevel="0" collapsed="false">
      <c r="A224" s="19" t="s">
        <v>1755</v>
      </c>
      <c r="B224" s="19" t="s">
        <v>943</v>
      </c>
      <c r="C224" s="19" t="s">
        <v>944</v>
      </c>
      <c r="D224" s="19" t="s">
        <v>148</v>
      </c>
      <c r="E224" s="19" t="s">
        <v>147</v>
      </c>
      <c r="F224" s="19" t="s">
        <v>178</v>
      </c>
      <c r="G224" s="19" t="n">
        <v>29</v>
      </c>
      <c r="H224" s="19" t="s">
        <v>179</v>
      </c>
      <c r="I224" s="20" t="n">
        <v>3.392</v>
      </c>
      <c r="J224" s="19" t="n">
        <f aca="false">IF(I224="","",MIN(Overview!$B$8,MAX(1,CEILING(I224/Overview!$B$7,1))))</f>
        <v>1</v>
      </c>
      <c r="K224" s="19" t="n">
        <v>1</v>
      </c>
      <c r="L224" s="19" t="s">
        <v>1048</v>
      </c>
      <c r="M224" s="20" t="n">
        <v>3</v>
      </c>
      <c r="N224" s="19"/>
      <c r="O224" s="19"/>
      <c r="P224" s="19" t="s">
        <v>1756</v>
      </c>
      <c r="Q224" s="19" t="s">
        <v>1757</v>
      </c>
      <c r="R224" s="21" t="n">
        <v>43817</v>
      </c>
      <c r="S224" s="19" t="s">
        <v>1315</v>
      </c>
      <c r="T224" s="19" t="s">
        <v>1758</v>
      </c>
      <c r="U224" s="19" t="str">
        <f aca="false">HYPERLINK("https://macaulaylibrary.org/asset/196079131","Open")</f>
        <v>Open</v>
      </c>
      <c r="V224" s="19"/>
    </row>
    <row r="225" customFormat="false" ht="15" hidden="false" customHeight="false" outlineLevel="0" collapsed="false">
      <c r="A225" s="19" t="s">
        <v>1759</v>
      </c>
      <c r="B225" s="19" t="s">
        <v>943</v>
      </c>
      <c r="C225" s="19" t="s">
        <v>944</v>
      </c>
      <c r="D225" s="19" t="s">
        <v>148</v>
      </c>
      <c r="E225" s="19" t="s">
        <v>147</v>
      </c>
      <c r="F225" s="19" t="s">
        <v>178</v>
      </c>
      <c r="G225" s="19" t="n">
        <v>29</v>
      </c>
      <c r="H225" s="19" t="s">
        <v>179</v>
      </c>
      <c r="I225" s="20" t="n">
        <v>128.473</v>
      </c>
      <c r="J225" s="19" t="n">
        <f aca="false">IF(I225="","",MIN(Overview!$B$8,MAX(1,CEILING(I225/Overview!$B$7,1))))</f>
        <v>26</v>
      </c>
      <c r="K225" s="19" t="n">
        <v>1</v>
      </c>
      <c r="L225" s="19"/>
      <c r="M225" s="20" t="n">
        <v>3</v>
      </c>
      <c r="N225" s="19"/>
      <c r="O225" s="19"/>
      <c r="P225" s="19" t="s">
        <v>1115</v>
      </c>
      <c r="Q225" s="19" t="s">
        <v>980</v>
      </c>
      <c r="R225" s="21" t="n">
        <v>34125</v>
      </c>
      <c r="S225" s="19" t="s">
        <v>1760</v>
      </c>
      <c r="T225" s="19" t="s">
        <v>1761</v>
      </c>
      <c r="U225" s="19" t="str">
        <f aca="false">HYPERLINK("https://macaulaylibrary.org/asset/209483","Open")</f>
        <v>Open</v>
      </c>
      <c r="V225" s="19"/>
    </row>
    <row r="226" customFormat="false" ht="15" hidden="false" customHeight="false" outlineLevel="0" collapsed="false">
      <c r="A226" s="19" t="s">
        <v>1762</v>
      </c>
      <c r="B226" s="19" t="s">
        <v>943</v>
      </c>
      <c r="C226" s="19" t="s">
        <v>944</v>
      </c>
      <c r="D226" s="19" t="s">
        <v>148</v>
      </c>
      <c r="E226" s="19" t="s">
        <v>147</v>
      </c>
      <c r="F226" s="19" t="s">
        <v>178</v>
      </c>
      <c r="G226" s="19" t="n">
        <v>29</v>
      </c>
      <c r="H226" s="19" t="s">
        <v>179</v>
      </c>
      <c r="I226" s="20" t="n">
        <v>621.457</v>
      </c>
      <c r="J226" s="19" t="n">
        <f aca="false">IF(I226="","",MIN(Overview!$B$8,MAX(1,CEILING(I226/Overview!$B$7,1))))</f>
        <v>120</v>
      </c>
      <c r="K226" s="19" t="n">
        <v>1</v>
      </c>
      <c r="L226" s="19"/>
      <c r="M226" s="20" t="n">
        <v>3.4</v>
      </c>
      <c r="N226" s="19"/>
      <c r="O226" s="19"/>
      <c r="P226" s="19" t="s">
        <v>1763</v>
      </c>
      <c r="Q226" s="19" t="s">
        <v>980</v>
      </c>
      <c r="R226" s="21" t="n">
        <v>34127</v>
      </c>
      <c r="S226" s="19"/>
      <c r="T226" s="19" t="s">
        <v>1764</v>
      </c>
      <c r="U226" s="19" t="str">
        <f aca="false">HYPERLINK("https://macaulaylibrary.org/asset/209497","Open")</f>
        <v>Open</v>
      </c>
      <c r="V226" s="19"/>
    </row>
    <row r="227" customFormat="false" ht="15" hidden="false" customHeight="false" outlineLevel="0" collapsed="false">
      <c r="A227" s="19" t="s">
        <v>1765</v>
      </c>
      <c r="B227" s="19" t="s">
        <v>943</v>
      </c>
      <c r="C227" s="19" t="s">
        <v>944</v>
      </c>
      <c r="D227" s="19" t="s">
        <v>148</v>
      </c>
      <c r="E227" s="19" t="s">
        <v>147</v>
      </c>
      <c r="F227" s="19" t="s">
        <v>178</v>
      </c>
      <c r="G227" s="19" t="n">
        <v>29</v>
      </c>
      <c r="H227" s="19" t="s">
        <v>179</v>
      </c>
      <c r="I227" s="20" t="n">
        <v>99.516</v>
      </c>
      <c r="J227" s="19" t="n">
        <f aca="false">IF(I227="","",MIN(Overview!$B$8,MAX(1,CEILING(I227/Overview!$B$7,1))))</f>
        <v>20</v>
      </c>
      <c r="K227" s="19" t="n">
        <v>1</v>
      </c>
      <c r="L227" s="19"/>
      <c r="M227" s="20" t="n">
        <v>3.8</v>
      </c>
      <c r="N227" s="19"/>
      <c r="O227" s="19"/>
      <c r="P227" s="19" t="s">
        <v>1763</v>
      </c>
      <c r="Q227" s="19" t="s">
        <v>980</v>
      </c>
      <c r="R227" s="21" t="n">
        <v>34127</v>
      </c>
      <c r="S227" s="19"/>
      <c r="T227" s="19" t="s">
        <v>1766</v>
      </c>
      <c r="U227" s="19" t="str">
        <f aca="false">HYPERLINK("https://macaulaylibrary.org/asset/209499","Open")</f>
        <v>Open</v>
      </c>
      <c r="V227" s="19"/>
    </row>
    <row r="228" customFormat="false" ht="15" hidden="false" customHeight="false" outlineLevel="0" collapsed="false">
      <c r="A228" s="19" t="s">
        <v>1767</v>
      </c>
      <c r="B228" s="19" t="s">
        <v>943</v>
      </c>
      <c r="C228" s="19" t="s">
        <v>944</v>
      </c>
      <c r="D228" s="19" t="s">
        <v>148</v>
      </c>
      <c r="E228" s="19" t="s">
        <v>147</v>
      </c>
      <c r="F228" s="19" t="s">
        <v>178</v>
      </c>
      <c r="G228" s="19" t="n">
        <v>29</v>
      </c>
      <c r="H228" s="19" t="s">
        <v>179</v>
      </c>
      <c r="I228" s="20" t="n">
        <v>90.418</v>
      </c>
      <c r="J228" s="19" t="n">
        <f aca="false">IF(I228="","",MIN(Overview!$B$8,MAX(1,CEILING(I228/Overview!$B$7,1))))</f>
        <v>19</v>
      </c>
      <c r="K228" s="19" t="n">
        <v>1</v>
      </c>
      <c r="L228" s="19"/>
      <c r="M228" s="20" t="n">
        <v>3.5</v>
      </c>
      <c r="N228" s="19"/>
      <c r="O228" s="19"/>
      <c r="P228" s="19" t="s">
        <v>1768</v>
      </c>
      <c r="Q228" s="19" t="s">
        <v>1063</v>
      </c>
      <c r="R228" s="21" t="n">
        <v>44087</v>
      </c>
      <c r="S228" s="19" t="s">
        <v>1769</v>
      </c>
      <c r="T228" s="19" t="s">
        <v>1770</v>
      </c>
      <c r="U228" s="19" t="str">
        <f aca="false">HYPERLINK("https://macaulaylibrary.org/asset/266287481","Open")</f>
        <v>Open</v>
      </c>
      <c r="V228" s="19"/>
    </row>
    <row r="229" customFormat="false" ht="15" hidden="false" customHeight="false" outlineLevel="0" collapsed="false">
      <c r="A229" s="19" t="s">
        <v>1771</v>
      </c>
      <c r="B229" s="19" t="s">
        <v>943</v>
      </c>
      <c r="C229" s="19" t="s">
        <v>944</v>
      </c>
      <c r="D229" s="19" t="s">
        <v>148</v>
      </c>
      <c r="E229" s="19" t="s">
        <v>147</v>
      </c>
      <c r="F229" s="19" t="s">
        <v>178</v>
      </c>
      <c r="G229" s="19" t="n">
        <v>29</v>
      </c>
      <c r="H229" s="19" t="s">
        <v>179</v>
      </c>
      <c r="I229" s="20" t="n">
        <v>65.182</v>
      </c>
      <c r="J229" s="19" t="n">
        <f aca="false">IF(I229="","",MIN(Overview!$B$8,MAX(1,CEILING(I229/Overview!$B$7,1))))</f>
        <v>14</v>
      </c>
      <c r="K229" s="19" t="n">
        <v>1</v>
      </c>
      <c r="L229" s="19"/>
      <c r="M229" s="20" t="n">
        <v>3</v>
      </c>
      <c r="N229" s="19"/>
      <c r="O229" s="19"/>
      <c r="P229" s="19" t="s">
        <v>1768</v>
      </c>
      <c r="Q229" s="19" t="s">
        <v>1063</v>
      </c>
      <c r="R229" s="21" t="n">
        <v>44087</v>
      </c>
      <c r="S229" s="19" t="s">
        <v>1769</v>
      </c>
      <c r="T229" s="19" t="s">
        <v>1772</v>
      </c>
      <c r="U229" s="19" t="str">
        <f aca="false">HYPERLINK("https://macaulaylibrary.org/asset/267811691","Open")</f>
        <v>Open</v>
      </c>
      <c r="V229" s="19"/>
    </row>
    <row r="230" customFormat="false" ht="15" hidden="false" customHeight="false" outlineLevel="0" collapsed="false">
      <c r="A230" s="19" t="s">
        <v>1773</v>
      </c>
      <c r="B230" s="19" t="s">
        <v>943</v>
      </c>
      <c r="C230" s="19" t="s">
        <v>944</v>
      </c>
      <c r="D230" s="19" t="s">
        <v>148</v>
      </c>
      <c r="E230" s="19" t="s">
        <v>147</v>
      </c>
      <c r="F230" s="19" t="s">
        <v>178</v>
      </c>
      <c r="G230" s="19" t="n">
        <v>29</v>
      </c>
      <c r="H230" s="19" t="s">
        <v>179</v>
      </c>
      <c r="I230" s="20" t="n">
        <v>17.453</v>
      </c>
      <c r="J230" s="19" t="n">
        <f aca="false">IF(I230="","",MIN(Overview!$B$8,MAX(1,CEILING(I230/Overview!$B$7,1))))</f>
        <v>4</v>
      </c>
      <c r="K230" s="19" t="n">
        <v>1</v>
      </c>
      <c r="L230" s="19"/>
      <c r="M230" s="20" t="n">
        <v>3</v>
      </c>
      <c r="N230" s="19"/>
      <c r="O230" s="19"/>
      <c r="P230" s="19" t="s">
        <v>1140</v>
      </c>
      <c r="Q230" s="19" t="s">
        <v>1030</v>
      </c>
      <c r="R230" s="21" t="n">
        <v>40250</v>
      </c>
      <c r="S230" s="19" t="s">
        <v>1774</v>
      </c>
      <c r="T230" s="19" t="s">
        <v>1775</v>
      </c>
      <c r="U230" s="19" t="str">
        <f aca="false">HYPERLINK("https://macaulaylibrary.org/asset/299590","Open")</f>
        <v>Open</v>
      </c>
      <c r="V230" s="19"/>
    </row>
    <row r="231" customFormat="false" ht="15" hidden="false" customHeight="false" outlineLevel="0" collapsed="false">
      <c r="A231" s="19" t="s">
        <v>1776</v>
      </c>
      <c r="B231" s="19" t="s">
        <v>943</v>
      </c>
      <c r="C231" s="19" t="s">
        <v>944</v>
      </c>
      <c r="D231" s="19" t="s">
        <v>148</v>
      </c>
      <c r="E231" s="19" t="s">
        <v>147</v>
      </c>
      <c r="F231" s="19" t="s">
        <v>178</v>
      </c>
      <c r="G231" s="19" t="n">
        <v>29</v>
      </c>
      <c r="H231" s="19" t="s">
        <v>179</v>
      </c>
      <c r="I231" s="20" t="n">
        <v>68.55</v>
      </c>
      <c r="J231" s="19" t="n">
        <f aca="false">IF(I231="","",MIN(Overview!$B$8,MAX(1,CEILING(I231/Overview!$B$7,1))))</f>
        <v>14</v>
      </c>
      <c r="K231" s="19" t="n">
        <v>1</v>
      </c>
      <c r="L231" s="19"/>
      <c r="M231" s="20" t="n">
        <v>4</v>
      </c>
      <c r="N231" s="19"/>
      <c r="O231" s="19"/>
      <c r="P231" s="19" t="s">
        <v>1029</v>
      </c>
      <c r="Q231" s="19" t="s">
        <v>1030</v>
      </c>
      <c r="R231" s="21" t="n">
        <v>40251</v>
      </c>
      <c r="S231" s="19" t="s">
        <v>1777</v>
      </c>
      <c r="T231" s="19" t="s">
        <v>1778</v>
      </c>
      <c r="U231" s="19" t="str">
        <f aca="false">HYPERLINK("https://macaulaylibrary.org/asset/299661","Open")</f>
        <v>Open</v>
      </c>
      <c r="V231" s="19"/>
    </row>
    <row r="232" customFormat="false" ht="15" hidden="false" customHeight="false" outlineLevel="0" collapsed="false">
      <c r="A232" s="19" t="s">
        <v>1779</v>
      </c>
      <c r="B232" s="19" t="s">
        <v>943</v>
      </c>
      <c r="C232" s="19" t="s">
        <v>944</v>
      </c>
      <c r="D232" s="19" t="s">
        <v>148</v>
      </c>
      <c r="E232" s="19" t="s">
        <v>147</v>
      </c>
      <c r="F232" s="19" t="s">
        <v>178</v>
      </c>
      <c r="G232" s="19" t="n">
        <v>29</v>
      </c>
      <c r="H232" s="19" t="s">
        <v>179</v>
      </c>
      <c r="I232" s="20" t="n">
        <v>231.929</v>
      </c>
      <c r="J232" s="19" t="n">
        <f aca="false">IF(I232="","",MIN(Overview!$B$8,MAX(1,CEILING(I232/Overview!$B$7,1))))</f>
        <v>47</v>
      </c>
      <c r="K232" s="19" t="n">
        <v>1</v>
      </c>
      <c r="L232" s="19"/>
      <c r="M232" s="20" t="n">
        <v>2</v>
      </c>
      <c r="N232" s="19"/>
      <c r="O232" s="19"/>
      <c r="P232" s="19" t="s">
        <v>1780</v>
      </c>
      <c r="Q232" s="19" t="s">
        <v>1781</v>
      </c>
      <c r="R232" s="21" t="n">
        <v>30405</v>
      </c>
      <c r="S232" s="19" t="s">
        <v>1279</v>
      </c>
      <c r="T232" s="19" t="s">
        <v>1782</v>
      </c>
      <c r="U232" s="19" t="str">
        <f aca="false">HYPERLINK("https://macaulaylibrary.org/asset/31392","Open")</f>
        <v>Open</v>
      </c>
      <c r="V232" s="19"/>
    </row>
    <row r="233" customFormat="false" ht="15" hidden="false" customHeight="false" outlineLevel="0" collapsed="false">
      <c r="A233" s="19" t="s">
        <v>1783</v>
      </c>
      <c r="B233" s="19" t="s">
        <v>943</v>
      </c>
      <c r="C233" s="19" t="s">
        <v>944</v>
      </c>
      <c r="D233" s="19" t="s">
        <v>148</v>
      </c>
      <c r="E233" s="19" t="s">
        <v>147</v>
      </c>
      <c r="F233" s="19" t="s">
        <v>178</v>
      </c>
      <c r="G233" s="19" t="n">
        <v>29</v>
      </c>
      <c r="H233" s="19" t="s">
        <v>179</v>
      </c>
      <c r="I233" s="20" t="n">
        <v>6.574</v>
      </c>
      <c r="J233" s="19" t="n">
        <f aca="false">IF(I233="","",MIN(Overview!$B$8,MAX(1,CEILING(I233/Overview!$B$7,1))))</f>
        <v>2</v>
      </c>
      <c r="K233" s="19" t="n">
        <v>1</v>
      </c>
      <c r="L233" s="19"/>
      <c r="M233" s="20" t="n">
        <v>1</v>
      </c>
      <c r="N233" s="19"/>
      <c r="O233" s="19"/>
      <c r="P233" s="19" t="s">
        <v>1784</v>
      </c>
      <c r="Q233" s="19" t="s">
        <v>1289</v>
      </c>
      <c r="R233" s="21" t="n">
        <v>42536</v>
      </c>
      <c r="S233" s="19" t="s">
        <v>1092</v>
      </c>
      <c r="T233" s="19" t="s">
        <v>1785</v>
      </c>
      <c r="U233" s="19" t="str">
        <f aca="false">HYPERLINK("https://macaulaylibrary.org/asset/32601261","Open")</f>
        <v>Open</v>
      </c>
      <c r="V233" s="19"/>
    </row>
    <row r="234" customFormat="false" ht="15" hidden="false" customHeight="false" outlineLevel="0" collapsed="false">
      <c r="A234" s="19" t="s">
        <v>1786</v>
      </c>
      <c r="B234" s="19" t="s">
        <v>943</v>
      </c>
      <c r="C234" s="19" t="s">
        <v>944</v>
      </c>
      <c r="D234" s="19" t="s">
        <v>148</v>
      </c>
      <c r="E234" s="19" t="s">
        <v>147</v>
      </c>
      <c r="F234" s="19" t="s">
        <v>178</v>
      </c>
      <c r="G234" s="19" t="n">
        <v>29</v>
      </c>
      <c r="H234" s="19" t="s">
        <v>179</v>
      </c>
      <c r="I234" s="20" t="n">
        <v>41.483</v>
      </c>
      <c r="J234" s="19" t="n">
        <f aca="false">IF(I234="","",MIN(Overview!$B$8,MAX(1,CEILING(I234/Overview!$B$7,1))))</f>
        <v>9</v>
      </c>
      <c r="K234" s="19" t="n">
        <v>1</v>
      </c>
      <c r="L234" s="19"/>
      <c r="M234" s="20" t="n">
        <v>5</v>
      </c>
      <c r="N234" s="19"/>
      <c r="O234" s="19"/>
      <c r="P234" s="19" t="s">
        <v>1787</v>
      </c>
      <c r="Q234" s="19" t="s">
        <v>1408</v>
      </c>
      <c r="R234" s="21" t="n">
        <v>32588</v>
      </c>
      <c r="S234" s="19" t="s">
        <v>1369</v>
      </c>
      <c r="T234" s="19" t="s">
        <v>1788</v>
      </c>
      <c r="U234" s="19" t="str">
        <f aca="false">HYPERLINK("https://macaulaylibrary.org/asset/348001231","Open")</f>
        <v>Open</v>
      </c>
      <c r="V234" s="19"/>
    </row>
    <row r="235" customFormat="false" ht="15" hidden="false" customHeight="false" outlineLevel="0" collapsed="false">
      <c r="A235" s="19" t="s">
        <v>1789</v>
      </c>
      <c r="B235" s="19" t="s">
        <v>943</v>
      </c>
      <c r="C235" s="19" t="s">
        <v>944</v>
      </c>
      <c r="D235" s="19" t="s">
        <v>148</v>
      </c>
      <c r="E235" s="19" t="s">
        <v>147</v>
      </c>
      <c r="F235" s="19" t="s">
        <v>178</v>
      </c>
      <c r="G235" s="19" t="n">
        <v>29</v>
      </c>
      <c r="H235" s="19" t="s">
        <v>179</v>
      </c>
      <c r="I235" s="20" t="n">
        <v>104.235</v>
      </c>
      <c r="J235" s="19" t="n">
        <f aca="false">IF(I235="","",MIN(Overview!$B$8,MAX(1,CEILING(I235/Overview!$B$7,1))))</f>
        <v>21</v>
      </c>
      <c r="K235" s="19" t="n">
        <v>1</v>
      </c>
      <c r="L235" s="19"/>
      <c r="M235" s="20" t="n">
        <v>5</v>
      </c>
      <c r="N235" s="19"/>
      <c r="O235" s="19"/>
      <c r="P235" s="19" t="s">
        <v>1787</v>
      </c>
      <c r="Q235" s="19" t="s">
        <v>1408</v>
      </c>
      <c r="R235" s="21" t="n">
        <v>32588</v>
      </c>
      <c r="S235" s="19" t="s">
        <v>1369</v>
      </c>
      <c r="T235" s="19" t="s">
        <v>1790</v>
      </c>
      <c r="U235" s="19" t="str">
        <f aca="false">HYPERLINK("https://macaulaylibrary.org/asset/348002331","Open")</f>
        <v>Open</v>
      </c>
      <c r="V235" s="19"/>
    </row>
    <row r="236" customFormat="false" ht="15" hidden="false" customHeight="false" outlineLevel="0" collapsed="false">
      <c r="A236" s="19" t="s">
        <v>1791</v>
      </c>
      <c r="B236" s="19" t="s">
        <v>943</v>
      </c>
      <c r="C236" s="19" t="s">
        <v>944</v>
      </c>
      <c r="D236" s="19" t="s">
        <v>148</v>
      </c>
      <c r="E236" s="19" t="s">
        <v>147</v>
      </c>
      <c r="F236" s="19" t="s">
        <v>178</v>
      </c>
      <c r="G236" s="19" t="n">
        <v>29</v>
      </c>
      <c r="H236" s="19" t="s">
        <v>179</v>
      </c>
      <c r="I236" s="20" t="n">
        <v>13.504</v>
      </c>
      <c r="J236" s="19" t="n">
        <f aca="false">IF(I236="","",MIN(Overview!$B$8,MAX(1,CEILING(I236/Overview!$B$7,1))))</f>
        <v>3</v>
      </c>
      <c r="K236" s="19" t="n">
        <v>1</v>
      </c>
      <c r="L236" s="19"/>
      <c r="M236" s="20" t="n">
        <v>4.5</v>
      </c>
      <c r="N236" s="19"/>
      <c r="O236" s="19"/>
      <c r="P236" s="19" t="s">
        <v>1143</v>
      </c>
      <c r="Q236" s="19" t="s">
        <v>965</v>
      </c>
      <c r="R236" s="21" t="n">
        <v>44548</v>
      </c>
      <c r="S236" s="19" t="s">
        <v>1144</v>
      </c>
      <c r="T236" s="19" t="s">
        <v>1792</v>
      </c>
      <c r="U236" s="19" t="str">
        <f aca="false">HYPERLINK("https://macaulaylibrary.org/asset/398720201","Open")</f>
        <v>Open</v>
      </c>
      <c r="V236" s="19"/>
    </row>
    <row r="237" customFormat="false" ht="15" hidden="false" customHeight="false" outlineLevel="0" collapsed="false">
      <c r="A237" s="19" t="s">
        <v>1793</v>
      </c>
      <c r="B237" s="19" t="s">
        <v>943</v>
      </c>
      <c r="C237" s="19" t="s">
        <v>944</v>
      </c>
      <c r="D237" s="19" t="s">
        <v>148</v>
      </c>
      <c r="E237" s="19" t="s">
        <v>147</v>
      </c>
      <c r="F237" s="19" t="s">
        <v>178</v>
      </c>
      <c r="G237" s="19" t="n">
        <v>29</v>
      </c>
      <c r="H237" s="19" t="s">
        <v>179</v>
      </c>
      <c r="I237" s="20" t="n">
        <v>2.87</v>
      </c>
      <c r="J237" s="19" t="n">
        <f aca="false">IF(I237="","",MIN(Overview!$B$8,MAX(1,CEILING(I237/Overview!$B$7,1))))</f>
        <v>1</v>
      </c>
      <c r="K237" s="19" t="n">
        <v>1</v>
      </c>
      <c r="L237" s="19" t="s">
        <v>1794</v>
      </c>
      <c r="M237" s="20" t="n">
        <v>3</v>
      </c>
      <c r="N237" s="19"/>
      <c r="O237" s="19"/>
      <c r="P237" s="19" t="s">
        <v>1243</v>
      </c>
      <c r="Q237" s="19" t="s">
        <v>1244</v>
      </c>
      <c r="R237" s="21" t="n">
        <v>44578</v>
      </c>
      <c r="S237" s="19" t="s">
        <v>1245</v>
      </c>
      <c r="T237" s="19" t="s">
        <v>1795</v>
      </c>
      <c r="U237" s="19" t="str">
        <f aca="false">HYPERLINK("https://macaulaylibrary.org/asset/413652651","Open")</f>
        <v>Open</v>
      </c>
      <c r="V237" s="19"/>
    </row>
    <row r="238" customFormat="false" ht="15" hidden="false" customHeight="false" outlineLevel="0" collapsed="false">
      <c r="A238" s="19" t="s">
        <v>1796</v>
      </c>
      <c r="B238" s="19" t="s">
        <v>943</v>
      </c>
      <c r="C238" s="19" t="s">
        <v>944</v>
      </c>
      <c r="D238" s="19" t="s">
        <v>148</v>
      </c>
      <c r="E238" s="19" t="s">
        <v>147</v>
      </c>
      <c r="F238" s="19" t="s">
        <v>178</v>
      </c>
      <c r="G238" s="19" t="n">
        <v>29</v>
      </c>
      <c r="H238" s="19" t="s">
        <v>179</v>
      </c>
      <c r="I238" s="20" t="n">
        <v>90.959</v>
      </c>
      <c r="J238" s="19" t="n">
        <f aca="false">IF(I238="","",MIN(Overview!$B$8,MAX(1,CEILING(I238/Overview!$B$7,1))))</f>
        <v>19</v>
      </c>
      <c r="K238" s="19" t="n">
        <v>1</v>
      </c>
      <c r="L238" s="19"/>
      <c r="M238" s="20" t="n">
        <v>2</v>
      </c>
      <c r="N238" s="19"/>
      <c r="O238" s="19"/>
      <c r="P238" s="19" t="s">
        <v>1797</v>
      </c>
      <c r="Q238" s="19" t="s">
        <v>1798</v>
      </c>
      <c r="R238" s="21" t="n">
        <v>33584</v>
      </c>
      <c r="S238" s="19" t="s">
        <v>1799</v>
      </c>
      <c r="T238" s="19" t="s">
        <v>1800</v>
      </c>
      <c r="U238" s="19" t="str">
        <f aca="false">HYPERLINK("https://macaulaylibrary.org/asset/56617","Open")</f>
        <v>Open</v>
      </c>
      <c r="V238" s="19"/>
    </row>
    <row r="239" customFormat="false" ht="15" hidden="false" customHeight="false" outlineLevel="0" collapsed="false">
      <c r="A239" s="19" t="s">
        <v>1801</v>
      </c>
      <c r="B239" s="19" t="s">
        <v>943</v>
      </c>
      <c r="C239" s="19" t="s">
        <v>944</v>
      </c>
      <c r="D239" s="19" t="s">
        <v>148</v>
      </c>
      <c r="E239" s="19" t="s">
        <v>147</v>
      </c>
      <c r="F239" s="19" t="s">
        <v>178</v>
      </c>
      <c r="G239" s="19" t="n">
        <v>29</v>
      </c>
      <c r="H239" s="19" t="s">
        <v>179</v>
      </c>
      <c r="I239" s="20" t="n">
        <v>184.987</v>
      </c>
      <c r="J239" s="19" t="n">
        <f aca="false">IF(I239="","",MIN(Overview!$B$8,MAX(1,CEILING(I239/Overview!$B$7,1))))</f>
        <v>37</v>
      </c>
      <c r="K239" s="19" t="n">
        <v>1</v>
      </c>
      <c r="L239" s="19"/>
      <c r="M239" s="20" t="n">
        <v>3.6</v>
      </c>
      <c r="N239" s="19"/>
      <c r="O239" s="19"/>
      <c r="P239" s="19" t="s">
        <v>1567</v>
      </c>
      <c r="Q239" s="19" t="s">
        <v>980</v>
      </c>
      <c r="R239" s="21" t="n">
        <v>33294</v>
      </c>
      <c r="S239" s="19" t="s">
        <v>1002</v>
      </c>
      <c r="T239" s="19" t="s">
        <v>1802</v>
      </c>
      <c r="U239" s="19" t="str">
        <f aca="false">HYPERLINK("https://macaulaylibrary.org/asset/57493","Open")</f>
        <v>Open</v>
      </c>
      <c r="V239" s="19"/>
    </row>
    <row r="240" customFormat="false" ht="15" hidden="false" customHeight="false" outlineLevel="0" collapsed="false">
      <c r="A240" s="19" t="s">
        <v>1803</v>
      </c>
      <c r="B240" s="19" t="s">
        <v>943</v>
      </c>
      <c r="C240" s="19" t="s">
        <v>944</v>
      </c>
      <c r="D240" s="19" t="s">
        <v>148</v>
      </c>
      <c r="E240" s="19" t="s">
        <v>147</v>
      </c>
      <c r="F240" s="19" t="s">
        <v>178</v>
      </c>
      <c r="G240" s="19" t="n">
        <v>29</v>
      </c>
      <c r="H240" s="19" t="s">
        <v>179</v>
      </c>
      <c r="I240" s="20" t="n">
        <v>831.579</v>
      </c>
      <c r="J240" s="19" t="n">
        <f aca="false">IF(I240="","",MIN(Overview!$B$8,MAX(1,CEILING(I240/Overview!$B$7,1))))</f>
        <v>120</v>
      </c>
      <c r="K240" s="19" t="n">
        <v>1</v>
      </c>
      <c r="L240" s="19"/>
      <c r="M240" s="20" t="n">
        <v>5</v>
      </c>
      <c r="N240" s="19"/>
      <c r="O240" s="19"/>
      <c r="P240" s="19" t="s">
        <v>1567</v>
      </c>
      <c r="Q240" s="19" t="s">
        <v>980</v>
      </c>
      <c r="R240" s="21" t="n">
        <v>33294</v>
      </c>
      <c r="S240" s="19" t="s">
        <v>1804</v>
      </c>
      <c r="T240" s="19" t="s">
        <v>1805</v>
      </c>
      <c r="U240" s="19" t="str">
        <f aca="false">HYPERLINK("https://macaulaylibrary.org/asset/57494","Open")</f>
        <v>Open</v>
      </c>
      <c r="V240" s="19"/>
    </row>
    <row r="241" customFormat="false" ht="15" hidden="false" customHeight="false" outlineLevel="0" collapsed="false">
      <c r="A241" s="19" t="s">
        <v>1806</v>
      </c>
      <c r="B241" s="19" t="s">
        <v>943</v>
      </c>
      <c r="C241" s="19" t="s">
        <v>944</v>
      </c>
      <c r="D241" s="19" t="s">
        <v>148</v>
      </c>
      <c r="E241" s="19" t="s">
        <v>147</v>
      </c>
      <c r="F241" s="19" t="s">
        <v>178</v>
      </c>
      <c r="G241" s="19" t="n">
        <v>29</v>
      </c>
      <c r="H241" s="19" t="s">
        <v>179</v>
      </c>
      <c r="I241" s="20" t="n">
        <v>12.243</v>
      </c>
      <c r="J241" s="19" t="n">
        <f aca="false">IF(I241="","",MIN(Overview!$B$8,MAX(1,CEILING(I241/Overview!$B$7,1))))</f>
        <v>3</v>
      </c>
      <c r="K241" s="19" t="n">
        <v>1</v>
      </c>
      <c r="L241" s="19"/>
      <c r="M241" s="20" t="n">
        <v>4</v>
      </c>
      <c r="N241" s="19"/>
      <c r="O241" s="19"/>
      <c r="P241" s="19" t="s">
        <v>1170</v>
      </c>
      <c r="Q241" s="19" t="s">
        <v>1166</v>
      </c>
      <c r="R241" s="21" t="n">
        <v>44900</v>
      </c>
      <c r="S241" s="19" t="s">
        <v>1092</v>
      </c>
      <c r="T241" s="19" t="s">
        <v>1807</v>
      </c>
      <c r="U241" s="19" t="str">
        <f aca="false">HYPERLINK("https://macaulaylibrary.org/asset/597934651","Open")</f>
        <v>Open</v>
      </c>
      <c r="V241" s="19"/>
    </row>
    <row r="242" customFormat="false" ht="15" hidden="false" customHeight="false" outlineLevel="0" collapsed="false">
      <c r="A242" s="19" t="s">
        <v>1808</v>
      </c>
      <c r="B242" s="19" t="s">
        <v>943</v>
      </c>
      <c r="C242" s="19" t="s">
        <v>944</v>
      </c>
      <c r="D242" s="19" t="s">
        <v>148</v>
      </c>
      <c r="E242" s="19" t="s">
        <v>147</v>
      </c>
      <c r="F242" s="19" t="s">
        <v>178</v>
      </c>
      <c r="G242" s="19" t="n">
        <v>29</v>
      </c>
      <c r="H242" s="19" t="s">
        <v>179</v>
      </c>
      <c r="I242" s="20" t="n">
        <v>74.577</v>
      </c>
      <c r="J242" s="19" t="n">
        <f aca="false">IF(I242="","",MIN(Overview!$B$8,MAX(1,CEILING(I242/Overview!$B$7,1))))</f>
        <v>15</v>
      </c>
      <c r="K242" s="19" t="n">
        <v>1</v>
      </c>
      <c r="L242" s="19"/>
      <c r="M242" s="20" t="n">
        <v>1</v>
      </c>
      <c r="N242" s="19"/>
      <c r="O242" s="19"/>
      <c r="P242" s="19" t="s">
        <v>1257</v>
      </c>
      <c r="Q242" s="19" t="s">
        <v>1258</v>
      </c>
      <c r="R242" s="21" t="n">
        <v>45231</v>
      </c>
      <c r="S242" s="19" t="s">
        <v>1259</v>
      </c>
      <c r="T242" s="19" t="s">
        <v>1809</v>
      </c>
      <c r="U242" s="19" t="str">
        <f aca="false">HYPERLINK("https://macaulaylibrary.org/asset/621760411","Open")</f>
        <v>Open</v>
      </c>
      <c r="V242" s="19"/>
    </row>
    <row r="243" customFormat="false" ht="15" hidden="false" customHeight="false" outlineLevel="0" collapsed="false">
      <c r="A243" s="19" t="s">
        <v>1810</v>
      </c>
      <c r="B243" s="19" t="s">
        <v>943</v>
      </c>
      <c r="C243" s="19" t="s">
        <v>944</v>
      </c>
      <c r="D243" s="19" t="s">
        <v>148</v>
      </c>
      <c r="E243" s="19" t="s">
        <v>147</v>
      </c>
      <c r="F243" s="19" t="s">
        <v>178</v>
      </c>
      <c r="G243" s="19" t="n">
        <v>29</v>
      </c>
      <c r="H243" s="19" t="s">
        <v>179</v>
      </c>
      <c r="I243" s="20" t="n">
        <v>56.285</v>
      </c>
      <c r="J243" s="19" t="n">
        <f aca="false">IF(I243="","",MIN(Overview!$B$8,MAX(1,CEILING(I243/Overview!$B$7,1))))</f>
        <v>12</v>
      </c>
      <c r="K243" s="19" t="n">
        <v>1</v>
      </c>
      <c r="L243" s="19"/>
      <c r="M243" s="20" t="n">
        <v>3</v>
      </c>
      <c r="N243" s="19"/>
      <c r="O243" s="19"/>
      <c r="P243" s="19" t="s">
        <v>1811</v>
      </c>
      <c r="Q243" s="19" t="s">
        <v>1368</v>
      </c>
      <c r="R243" s="21" t="n">
        <v>45489</v>
      </c>
      <c r="S243" s="19" t="s">
        <v>1081</v>
      </c>
      <c r="T243" s="19" t="s">
        <v>1812</v>
      </c>
      <c r="U243" s="19" t="str">
        <f aca="false">HYPERLINK("https://macaulaylibrary.org/asset/628653638","Open")</f>
        <v>Open</v>
      </c>
      <c r="V243" s="19"/>
    </row>
    <row r="244" customFormat="false" ht="15" hidden="false" customHeight="false" outlineLevel="0" collapsed="false">
      <c r="A244" s="19" t="s">
        <v>1813</v>
      </c>
      <c r="B244" s="19" t="s">
        <v>943</v>
      </c>
      <c r="C244" s="19" t="s">
        <v>944</v>
      </c>
      <c r="D244" s="19" t="s">
        <v>148</v>
      </c>
      <c r="E244" s="19" t="s">
        <v>147</v>
      </c>
      <c r="F244" s="19" t="s">
        <v>178</v>
      </c>
      <c r="G244" s="19" t="n">
        <v>29</v>
      </c>
      <c r="H244" s="19" t="s">
        <v>179</v>
      </c>
      <c r="I244" s="20" t="n">
        <v>8.043</v>
      </c>
      <c r="J244" s="19" t="n">
        <f aca="false">IF(I244="","",MIN(Overview!$B$8,MAX(1,CEILING(I244/Overview!$B$7,1))))</f>
        <v>2</v>
      </c>
      <c r="K244" s="19" t="n">
        <v>1</v>
      </c>
      <c r="L244" s="19"/>
      <c r="M244" s="20" t="n">
        <v>4.5</v>
      </c>
      <c r="N244" s="19"/>
      <c r="O244" s="19"/>
      <c r="P244" s="19" t="s">
        <v>1814</v>
      </c>
      <c r="Q244" s="19" t="s">
        <v>965</v>
      </c>
      <c r="R244" s="21" t="n">
        <v>45713</v>
      </c>
      <c r="S244" s="19" t="s">
        <v>1320</v>
      </c>
      <c r="T244" s="19" t="s">
        <v>1815</v>
      </c>
      <c r="U244" s="19" t="str">
        <f aca="false">HYPERLINK("https://macaulaylibrary.org/asset/631297414","Open")</f>
        <v>Open</v>
      </c>
      <c r="V244" s="19"/>
    </row>
    <row r="245" customFormat="false" ht="15" hidden="false" customHeight="false" outlineLevel="0" collapsed="false">
      <c r="A245" s="19" t="s">
        <v>1816</v>
      </c>
      <c r="B245" s="19" t="s">
        <v>943</v>
      </c>
      <c r="C245" s="19" t="s">
        <v>944</v>
      </c>
      <c r="D245" s="19" t="s">
        <v>148</v>
      </c>
      <c r="E245" s="19" t="s">
        <v>147</v>
      </c>
      <c r="F245" s="19" t="s">
        <v>178</v>
      </c>
      <c r="G245" s="19" t="n">
        <v>29</v>
      </c>
      <c r="H245" s="19" t="s">
        <v>179</v>
      </c>
      <c r="I245" s="20" t="n">
        <v>42.661</v>
      </c>
      <c r="J245" s="19" t="n">
        <f aca="false">IF(I245="","",MIN(Overview!$B$8,MAX(1,CEILING(I245/Overview!$B$7,1))))</f>
        <v>9</v>
      </c>
      <c r="K245" s="19" t="n">
        <v>1</v>
      </c>
      <c r="L245" s="19"/>
      <c r="M245" s="20" t="n">
        <v>2</v>
      </c>
      <c r="N245" s="19"/>
      <c r="O245" s="19"/>
      <c r="P245" s="19" t="s">
        <v>1817</v>
      </c>
      <c r="Q245" s="19" t="s">
        <v>1818</v>
      </c>
      <c r="R245" s="21" t="n">
        <v>45880</v>
      </c>
      <c r="S245" s="19" t="s">
        <v>1819</v>
      </c>
      <c r="T245" s="19" t="s">
        <v>1820</v>
      </c>
      <c r="U245" s="19" t="str">
        <f aca="false">HYPERLINK("https://macaulaylibrary.org/asset/643750436","Open")</f>
        <v>Open</v>
      </c>
      <c r="V245" s="19"/>
    </row>
    <row r="246" customFormat="false" ht="15" hidden="false" customHeight="false" outlineLevel="0" collapsed="false">
      <c r="A246" s="19" t="s">
        <v>1821</v>
      </c>
      <c r="B246" s="19" t="s">
        <v>943</v>
      </c>
      <c r="C246" s="19" t="s">
        <v>944</v>
      </c>
      <c r="D246" s="19" t="s">
        <v>148</v>
      </c>
      <c r="E246" s="19" t="s">
        <v>147</v>
      </c>
      <c r="F246" s="19" t="s">
        <v>178</v>
      </c>
      <c r="G246" s="19" t="n">
        <v>29</v>
      </c>
      <c r="H246" s="19" t="s">
        <v>179</v>
      </c>
      <c r="I246" s="20" t="n">
        <v>83.486</v>
      </c>
      <c r="J246" s="19" t="n">
        <f aca="false">IF(I246="","",MIN(Overview!$B$8,MAX(1,CEILING(I246/Overview!$B$7,1))))</f>
        <v>17</v>
      </c>
      <c r="K246" s="19" t="n">
        <v>1</v>
      </c>
      <c r="L246" s="19"/>
      <c r="M246" s="20" t="n">
        <v>2</v>
      </c>
      <c r="N246" s="19"/>
      <c r="O246" s="19"/>
      <c r="P246" s="19" t="s">
        <v>1817</v>
      </c>
      <c r="Q246" s="19" t="s">
        <v>1818</v>
      </c>
      <c r="R246" s="21" t="n">
        <v>45880</v>
      </c>
      <c r="S246" s="19" t="s">
        <v>1819</v>
      </c>
      <c r="T246" s="19" t="s">
        <v>1822</v>
      </c>
      <c r="U246" s="19" t="str">
        <f aca="false">HYPERLINK("https://macaulaylibrary.org/asset/643750437","Open")</f>
        <v>Open</v>
      </c>
      <c r="V246" s="19"/>
    </row>
    <row r="247" customFormat="false" ht="15" hidden="false" customHeight="false" outlineLevel="0" collapsed="false">
      <c r="A247" s="19" t="s">
        <v>1823</v>
      </c>
      <c r="B247" s="19" t="s">
        <v>943</v>
      </c>
      <c r="C247" s="19" t="s">
        <v>944</v>
      </c>
      <c r="D247" s="19" t="s">
        <v>148</v>
      </c>
      <c r="E247" s="19" t="s">
        <v>147</v>
      </c>
      <c r="F247" s="19" t="s">
        <v>178</v>
      </c>
      <c r="G247" s="19" t="n">
        <v>29</v>
      </c>
      <c r="H247" s="19" t="s">
        <v>179</v>
      </c>
      <c r="I247" s="20" t="n">
        <v>57.209</v>
      </c>
      <c r="J247" s="19" t="n">
        <f aca="false">IF(I247="","",MIN(Overview!$B$8,MAX(1,CEILING(I247/Overview!$B$7,1))))</f>
        <v>12</v>
      </c>
      <c r="K247" s="19" t="n">
        <v>1</v>
      </c>
      <c r="L247" s="19"/>
      <c r="M247" s="20" t="n">
        <v>3</v>
      </c>
      <c r="N247" s="19"/>
      <c r="O247" s="19" t="s">
        <v>215</v>
      </c>
      <c r="P247" s="19" t="s">
        <v>1824</v>
      </c>
      <c r="Q247" s="19" t="s">
        <v>1502</v>
      </c>
      <c r="R247" s="21" t="n">
        <v>45938</v>
      </c>
      <c r="S247" s="19" t="s">
        <v>1825</v>
      </c>
      <c r="T247" s="19" t="s">
        <v>1826</v>
      </c>
      <c r="U247" s="19" t="str">
        <f aca="false">HYPERLINK("https://macaulaylibrary.org/asset/648628585","Open")</f>
        <v>Open</v>
      </c>
      <c r="V247" s="19"/>
    </row>
    <row r="248" customFormat="false" ht="15" hidden="false" customHeight="false" outlineLevel="0" collapsed="false">
      <c r="A248" s="19" t="s">
        <v>1827</v>
      </c>
      <c r="B248" s="19" t="s">
        <v>943</v>
      </c>
      <c r="C248" s="19" t="s">
        <v>944</v>
      </c>
      <c r="D248" s="19" t="s">
        <v>148</v>
      </c>
      <c r="E248" s="19" t="s">
        <v>147</v>
      </c>
      <c r="F248" s="19" t="s">
        <v>178</v>
      </c>
      <c r="G248" s="19" t="n">
        <v>29</v>
      </c>
      <c r="H248" s="19" t="s">
        <v>179</v>
      </c>
      <c r="I248" s="20" t="n">
        <v>7.88</v>
      </c>
      <c r="J248" s="19" t="n">
        <f aca="false">IF(I248="","",MIN(Overview!$B$8,MAX(1,CEILING(I248/Overview!$B$7,1))))</f>
        <v>2</v>
      </c>
      <c r="K248" s="19" t="n">
        <v>1</v>
      </c>
      <c r="L248" s="19"/>
      <c r="M248" s="20"/>
      <c r="N248" s="19"/>
      <c r="O248" s="19"/>
      <c r="P248" s="19" t="s">
        <v>1381</v>
      </c>
      <c r="Q248" s="19" t="s">
        <v>1382</v>
      </c>
      <c r="R248" s="21" t="n">
        <v>46103</v>
      </c>
      <c r="S248" s="19" t="s">
        <v>1383</v>
      </c>
      <c r="T248" s="19" t="s">
        <v>1828</v>
      </c>
      <c r="U248" s="19" t="str">
        <f aca="false">HYPERLINK("https://macaulaylibrary.org/asset/654112309","Open")</f>
        <v>Open</v>
      </c>
      <c r="V248" s="19"/>
    </row>
    <row r="249" customFormat="false" ht="15" hidden="false" customHeight="false" outlineLevel="0" collapsed="false">
      <c r="A249" s="19" t="s">
        <v>1829</v>
      </c>
      <c r="B249" s="19" t="s">
        <v>943</v>
      </c>
      <c r="C249" s="19" t="s">
        <v>944</v>
      </c>
      <c r="D249" s="19" t="s">
        <v>148</v>
      </c>
      <c r="E249" s="19" t="s">
        <v>147</v>
      </c>
      <c r="F249" s="19" t="s">
        <v>178</v>
      </c>
      <c r="G249" s="19" t="n">
        <v>29</v>
      </c>
      <c r="H249" s="19" t="s">
        <v>179</v>
      </c>
      <c r="I249" s="20" t="n">
        <v>36.686</v>
      </c>
      <c r="J249" s="19" t="n">
        <f aca="false">IF(I249="","",MIN(Overview!$B$8,MAX(1,CEILING(I249/Overview!$B$7,1))))</f>
        <v>8</v>
      </c>
      <c r="K249" s="19" t="n">
        <v>1</v>
      </c>
      <c r="L249" s="19"/>
      <c r="M249" s="20"/>
      <c r="N249" s="19"/>
      <c r="O249" s="19"/>
      <c r="P249" s="19" t="s">
        <v>1386</v>
      </c>
      <c r="Q249" s="19" t="s">
        <v>1382</v>
      </c>
      <c r="R249" s="21" t="n">
        <v>46103</v>
      </c>
      <c r="S249" s="19" t="s">
        <v>1387</v>
      </c>
      <c r="T249" s="19" t="s">
        <v>1830</v>
      </c>
      <c r="U249" s="19" t="str">
        <f aca="false">HYPERLINK("https://macaulaylibrary.org/asset/654318759","Open")</f>
        <v>Open</v>
      </c>
      <c r="V249" s="19"/>
    </row>
    <row r="250" customFormat="false" ht="15" hidden="false" customHeight="false" outlineLevel="0" collapsed="false">
      <c r="A250" s="19" t="s">
        <v>1831</v>
      </c>
      <c r="B250" s="19" t="s">
        <v>943</v>
      </c>
      <c r="C250" s="19" t="s">
        <v>944</v>
      </c>
      <c r="D250" s="19" t="s">
        <v>148</v>
      </c>
      <c r="E250" s="19" t="s">
        <v>147</v>
      </c>
      <c r="F250" s="19" t="s">
        <v>178</v>
      </c>
      <c r="G250" s="19" t="n">
        <v>29</v>
      </c>
      <c r="H250" s="19" t="s">
        <v>179</v>
      </c>
      <c r="I250" s="20" t="n">
        <v>56.338</v>
      </c>
      <c r="J250" s="19" t="n">
        <f aca="false">IF(I250="","",MIN(Overview!$B$8,MAX(1,CEILING(I250/Overview!$B$7,1))))</f>
        <v>12</v>
      </c>
      <c r="K250" s="19" t="n">
        <v>1</v>
      </c>
      <c r="L250" s="19"/>
      <c r="M250" s="20" t="n">
        <v>2</v>
      </c>
      <c r="N250" s="19"/>
      <c r="O250" s="19"/>
      <c r="P250" s="19" t="s">
        <v>1832</v>
      </c>
      <c r="Q250" s="19" t="s">
        <v>980</v>
      </c>
      <c r="R250" s="21" t="n">
        <v>33296</v>
      </c>
      <c r="S250" s="19" t="s">
        <v>1833</v>
      </c>
      <c r="T250" s="19" t="s">
        <v>1834</v>
      </c>
      <c r="U250" s="19" t="str">
        <f aca="false">HYPERLINK("https://macaulaylibrary.org/asset/72617","Open")</f>
        <v>Open</v>
      </c>
      <c r="V250" s="19"/>
    </row>
    <row r="251" customFormat="false" ht="15" hidden="false" customHeight="false" outlineLevel="0" collapsed="false">
      <c r="A251" s="19" t="s">
        <v>1835</v>
      </c>
      <c r="B251" s="19" t="s">
        <v>943</v>
      </c>
      <c r="C251" s="19" t="s">
        <v>944</v>
      </c>
      <c r="D251" s="19" t="s">
        <v>148</v>
      </c>
      <c r="E251" s="19" t="s">
        <v>147</v>
      </c>
      <c r="F251" s="19" t="s">
        <v>178</v>
      </c>
      <c r="G251" s="19" t="n">
        <v>29</v>
      </c>
      <c r="H251" s="19" t="s">
        <v>179</v>
      </c>
      <c r="I251" s="20" t="n">
        <v>178.313</v>
      </c>
      <c r="J251" s="19" t="n">
        <f aca="false">IF(I251="","",MIN(Overview!$B$8,MAX(1,CEILING(I251/Overview!$B$7,1))))</f>
        <v>36</v>
      </c>
      <c r="K251" s="19" t="n">
        <v>1</v>
      </c>
      <c r="L251" s="19"/>
      <c r="M251" s="20" t="n">
        <v>3</v>
      </c>
      <c r="N251" s="19"/>
      <c r="O251" s="19"/>
      <c r="P251" s="19" t="s">
        <v>1832</v>
      </c>
      <c r="Q251" s="19" t="s">
        <v>980</v>
      </c>
      <c r="R251" s="21" t="n">
        <v>33296</v>
      </c>
      <c r="S251" s="19" t="s">
        <v>1833</v>
      </c>
      <c r="T251" s="19" t="s">
        <v>1836</v>
      </c>
      <c r="U251" s="19" t="str">
        <f aca="false">HYPERLINK("https://macaulaylibrary.org/asset/72618","Open")</f>
        <v>Open</v>
      </c>
      <c r="V251" s="19"/>
    </row>
    <row r="252" customFormat="false" ht="15" hidden="false" customHeight="false" outlineLevel="0" collapsed="false">
      <c r="A252" s="19" t="s">
        <v>1837</v>
      </c>
      <c r="B252" s="19" t="s">
        <v>943</v>
      </c>
      <c r="C252" s="19" t="s">
        <v>944</v>
      </c>
      <c r="D252" s="19" t="s">
        <v>148</v>
      </c>
      <c r="E252" s="19" t="s">
        <v>147</v>
      </c>
      <c r="F252" s="19" t="s">
        <v>178</v>
      </c>
      <c r="G252" s="19" t="n">
        <v>29</v>
      </c>
      <c r="H252" s="19" t="s">
        <v>179</v>
      </c>
      <c r="I252" s="20" t="n">
        <v>43.769</v>
      </c>
      <c r="J252" s="19" t="n">
        <f aca="false">IF(I252="","",MIN(Overview!$B$8,MAX(1,CEILING(I252/Overview!$B$7,1))))</f>
        <v>9</v>
      </c>
      <c r="K252" s="19" t="n">
        <v>1</v>
      </c>
      <c r="L252" s="19"/>
      <c r="M252" s="20" t="n">
        <v>2.2</v>
      </c>
      <c r="N252" s="19"/>
      <c r="O252" s="19"/>
      <c r="P252" s="19" t="s">
        <v>1832</v>
      </c>
      <c r="Q252" s="19" t="s">
        <v>980</v>
      </c>
      <c r="R252" s="21" t="n">
        <v>33296</v>
      </c>
      <c r="S252" s="19" t="s">
        <v>1002</v>
      </c>
      <c r="T252" s="19" t="s">
        <v>1838</v>
      </c>
      <c r="U252" s="19" t="str">
        <f aca="false">HYPERLINK("https://macaulaylibrary.org/asset/72621","Open")</f>
        <v>Open</v>
      </c>
      <c r="V252" s="19"/>
    </row>
    <row r="253" customFormat="false" ht="15" hidden="false" customHeight="false" outlineLevel="0" collapsed="false">
      <c r="A253" s="19" t="s">
        <v>1839</v>
      </c>
      <c r="B253" s="19" t="s">
        <v>943</v>
      </c>
      <c r="C253" s="19" t="s">
        <v>944</v>
      </c>
      <c r="D253" s="19" t="s">
        <v>148</v>
      </c>
      <c r="E253" s="19" t="s">
        <v>147</v>
      </c>
      <c r="F253" s="19" t="s">
        <v>178</v>
      </c>
      <c r="G253" s="19" t="n">
        <v>29</v>
      </c>
      <c r="H253" s="19" t="s">
        <v>179</v>
      </c>
      <c r="I253" s="20" t="n">
        <v>146.547</v>
      </c>
      <c r="J253" s="19" t="n">
        <f aca="false">IF(I253="","",MIN(Overview!$B$8,MAX(1,CEILING(I253/Overview!$B$7,1))))</f>
        <v>30</v>
      </c>
      <c r="K253" s="19" t="n">
        <v>1</v>
      </c>
      <c r="L253" s="19"/>
      <c r="M253" s="20" t="n">
        <v>3</v>
      </c>
      <c r="N253" s="19"/>
      <c r="O253" s="19"/>
      <c r="P253" s="19" t="s">
        <v>1573</v>
      </c>
      <c r="Q253" s="19" t="s">
        <v>1021</v>
      </c>
      <c r="R253" s="21" t="n">
        <v>35861</v>
      </c>
      <c r="S253" s="19" t="s">
        <v>1574</v>
      </c>
      <c r="T253" s="19" t="s">
        <v>1840</v>
      </c>
      <c r="U253" s="19" t="str">
        <f aca="false">HYPERLINK("https://macaulaylibrary.org/asset/99574971","Open")</f>
        <v>Open</v>
      </c>
      <c r="V253" s="19"/>
    </row>
    <row r="254" customFormat="false" ht="15" hidden="false" customHeight="false" outlineLevel="0" collapsed="false">
      <c r="A254" s="19" t="s">
        <v>1841</v>
      </c>
      <c r="B254" s="19" t="s">
        <v>1005</v>
      </c>
      <c r="C254" s="19" t="s">
        <v>944</v>
      </c>
      <c r="D254" s="19" t="s">
        <v>647</v>
      </c>
      <c r="E254" s="19" t="s">
        <v>147</v>
      </c>
      <c r="F254" s="19" t="s">
        <v>178</v>
      </c>
      <c r="G254" s="19" t="n">
        <v>29</v>
      </c>
      <c r="H254" s="19" t="s">
        <v>179</v>
      </c>
      <c r="I254" s="20" t="n">
        <v>45.12</v>
      </c>
      <c r="J254" s="19" t="n">
        <f aca="false">IF(I254="","",MIN(Overview!$B$8,MAX(1,CEILING(I254/Overview!$B$7,1))))</f>
        <v>10</v>
      </c>
      <c r="K254" s="19" t="n">
        <v>1</v>
      </c>
      <c r="L254" s="19"/>
      <c r="M254" s="20"/>
      <c r="N254" s="19" t="s">
        <v>1006</v>
      </c>
      <c r="O254" s="19"/>
      <c r="P254" s="19" t="s">
        <v>1007</v>
      </c>
      <c r="Q254" s="19" t="s">
        <v>1008</v>
      </c>
      <c r="R254" s="21" t="n">
        <v>42577</v>
      </c>
      <c r="S254" s="19" t="s">
        <v>1009</v>
      </c>
      <c r="T254" s="19" t="s">
        <v>1842</v>
      </c>
      <c r="U254" s="19" t="str">
        <f aca="false">HYPERLINK("https://xeno-canto.org/331388","Open")</f>
        <v>Open</v>
      </c>
      <c r="V254" s="19" t="s">
        <v>1011</v>
      </c>
    </row>
    <row r="255" customFormat="false" ht="15" hidden="false" customHeight="false" outlineLevel="0" collapsed="false">
      <c r="A255" s="19" t="s">
        <v>1843</v>
      </c>
      <c r="B255" s="19" t="s">
        <v>1005</v>
      </c>
      <c r="C255" s="19" t="s">
        <v>944</v>
      </c>
      <c r="D255" s="19" t="s">
        <v>647</v>
      </c>
      <c r="E255" s="19" t="s">
        <v>147</v>
      </c>
      <c r="F255" s="19" t="s">
        <v>178</v>
      </c>
      <c r="G255" s="19" t="n">
        <v>29</v>
      </c>
      <c r="H255" s="19" t="s">
        <v>179</v>
      </c>
      <c r="I255" s="20" t="n">
        <v>6.624</v>
      </c>
      <c r="J255" s="19" t="n">
        <f aca="false">IF(I255="","",MIN(Overview!$B$8,MAX(1,CEILING(I255/Overview!$B$7,1))))</f>
        <v>2</v>
      </c>
      <c r="K255" s="19" t="n">
        <v>1</v>
      </c>
      <c r="L255" s="19"/>
      <c r="M255" s="20"/>
      <c r="N255" s="19" t="s">
        <v>1006</v>
      </c>
      <c r="O255" s="19"/>
      <c r="P255" s="19" t="s">
        <v>1007</v>
      </c>
      <c r="Q255" s="19" t="s">
        <v>1008</v>
      </c>
      <c r="R255" s="21" t="n">
        <v>42577</v>
      </c>
      <c r="S255" s="19" t="s">
        <v>1009</v>
      </c>
      <c r="T255" s="19" t="s">
        <v>1844</v>
      </c>
      <c r="U255" s="19" t="str">
        <f aca="false">HYPERLINK("https://xeno-canto.org/331389","Open")</f>
        <v>Open</v>
      </c>
      <c r="V255" s="19" t="s">
        <v>1011</v>
      </c>
    </row>
    <row r="256" customFormat="false" ht="15" hidden="false" customHeight="false" outlineLevel="0" collapsed="false">
      <c r="A256" s="19" t="s">
        <v>1845</v>
      </c>
      <c r="B256" s="19" t="s">
        <v>943</v>
      </c>
      <c r="C256" s="19" t="s">
        <v>944</v>
      </c>
      <c r="D256" s="19" t="s">
        <v>400</v>
      </c>
      <c r="E256" s="19" t="s">
        <v>147</v>
      </c>
      <c r="F256" s="19" t="s">
        <v>595</v>
      </c>
      <c r="G256" s="19" t="n">
        <v>31</v>
      </c>
      <c r="H256" s="19" t="s">
        <v>596</v>
      </c>
      <c r="I256" s="20" t="n">
        <v>29.397</v>
      </c>
      <c r="J256" s="19" t="n">
        <f aca="false">IF(I256="","",MIN(Overview!$B$8,MAX(1,CEILING(I256/Overview!$B$7,1))))</f>
        <v>6</v>
      </c>
      <c r="K256" s="19" t="n">
        <v>1</v>
      </c>
      <c r="L256" s="19"/>
      <c r="M256" s="20" t="n">
        <v>1</v>
      </c>
      <c r="N256" s="19"/>
      <c r="O256" s="19"/>
      <c r="P256" s="19" t="s">
        <v>1846</v>
      </c>
      <c r="Q256" s="19" t="s">
        <v>1847</v>
      </c>
      <c r="R256" s="21" t="n">
        <v>43529</v>
      </c>
      <c r="S256" s="19" t="s">
        <v>957</v>
      </c>
      <c r="T256" s="19" t="s">
        <v>1848</v>
      </c>
      <c r="U256" s="19" t="str">
        <f aca="false">HYPERLINK("https://macaulaylibrary.org/asset/147183471","Open")</f>
        <v>Open</v>
      </c>
      <c r="V256" s="19"/>
    </row>
    <row r="257" customFormat="false" ht="15" hidden="false" customHeight="false" outlineLevel="0" collapsed="false">
      <c r="A257" s="19" t="s">
        <v>1849</v>
      </c>
      <c r="B257" s="19" t="s">
        <v>943</v>
      </c>
      <c r="C257" s="19" t="s">
        <v>944</v>
      </c>
      <c r="D257" s="19" t="s">
        <v>400</v>
      </c>
      <c r="E257" s="19" t="s">
        <v>147</v>
      </c>
      <c r="F257" s="19" t="s">
        <v>595</v>
      </c>
      <c r="G257" s="19" t="n">
        <v>31</v>
      </c>
      <c r="H257" s="19" t="s">
        <v>596</v>
      </c>
      <c r="I257" s="20" t="n">
        <v>16.553</v>
      </c>
      <c r="J257" s="19" t="n">
        <f aca="false">IF(I257="","",MIN(Overview!$B$8,MAX(1,CEILING(I257/Overview!$B$7,1))))</f>
        <v>4</v>
      </c>
      <c r="K257" s="19" t="n">
        <v>1</v>
      </c>
      <c r="L257" s="19"/>
      <c r="M257" s="20" t="n">
        <v>1.5</v>
      </c>
      <c r="N257" s="19"/>
      <c r="O257" s="19"/>
      <c r="P257" s="19" t="s">
        <v>1850</v>
      </c>
      <c r="Q257" s="19" t="s">
        <v>1076</v>
      </c>
      <c r="R257" s="21" t="n">
        <v>43398</v>
      </c>
      <c r="S257" s="19" t="s">
        <v>1051</v>
      </c>
      <c r="T257" s="19" t="s">
        <v>1851</v>
      </c>
      <c r="U257" s="19" t="str">
        <f aca="false">HYPERLINK("https://macaulaylibrary.org/asset/471211651","Open")</f>
        <v>Open</v>
      </c>
      <c r="V257" s="19"/>
    </row>
    <row r="258" customFormat="false" ht="15" hidden="false" customHeight="false" outlineLevel="0" collapsed="false">
      <c r="A258" s="19" t="s">
        <v>1852</v>
      </c>
      <c r="B258" s="19" t="s">
        <v>943</v>
      </c>
      <c r="C258" s="19" t="s">
        <v>944</v>
      </c>
      <c r="D258" s="19" t="s">
        <v>400</v>
      </c>
      <c r="E258" s="19" t="s">
        <v>147</v>
      </c>
      <c r="F258" s="19" t="s">
        <v>595</v>
      </c>
      <c r="G258" s="19" t="n">
        <v>31</v>
      </c>
      <c r="H258" s="19" t="s">
        <v>596</v>
      </c>
      <c r="I258" s="20" t="n">
        <v>53.464</v>
      </c>
      <c r="J258" s="19" t="n">
        <f aca="false">IF(I258="","",MIN(Overview!$B$8,MAX(1,CEILING(I258/Overview!$B$7,1))))</f>
        <v>11</v>
      </c>
      <c r="K258" s="19" t="n">
        <v>1</v>
      </c>
      <c r="L258" s="19"/>
      <c r="M258" s="20" t="n">
        <v>2.5</v>
      </c>
      <c r="N258" s="19"/>
      <c r="O258" s="19"/>
      <c r="P258" s="19" t="s">
        <v>1034</v>
      </c>
      <c r="Q258" s="19" t="s">
        <v>1035</v>
      </c>
      <c r="R258" s="21" t="n">
        <v>43665</v>
      </c>
      <c r="S258" s="19" t="s">
        <v>1036</v>
      </c>
      <c r="T258" s="19" t="s">
        <v>1853</v>
      </c>
      <c r="U258" s="19" t="str">
        <f aca="false">HYPERLINK("https://macaulaylibrary.org/asset/498003591","Open")</f>
        <v>Open</v>
      </c>
      <c r="V258" s="19"/>
    </row>
    <row r="259" customFormat="false" ht="15" hidden="false" customHeight="false" outlineLevel="0" collapsed="false">
      <c r="A259" s="19" t="s">
        <v>1854</v>
      </c>
      <c r="B259" s="19" t="s">
        <v>943</v>
      </c>
      <c r="C259" s="19" t="s">
        <v>944</v>
      </c>
      <c r="D259" s="19" t="s">
        <v>148</v>
      </c>
      <c r="E259" s="19" t="s">
        <v>147</v>
      </c>
      <c r="F259" s="19" t="s">
        <v>401</v>
      </c>
      <c r="G259" s="19" t="n">
        <v>33</v>
      </c>
      <c r="H259" s="19" t="s">
        <v>402</v>
      </c>
      <c r="I259" s="20" t="n">
        <v>22.061</v>
      </c>
      <c r="J259" s="19" t="n">
        <f aca="false">IF(I259="","",MIN(Overview!$B$8,MAX(1,CEILING(I259/Overview!$B$7,1))))</f>
        <v>5</v>
      </c>
      <c r="K259" s="19" t="n">
        <v>1</v>
      </c>
      <c r="L259" s="19"/>
      <c r="M259" s="20" t="n">
        <v>3</v>
      </c>
      <c r="N259" s="19"/>
      <c r="O259" s="19"/>
      <c r="P259" s="19" t="s">
        <v>1855</v>
      </c>
      <c r="Q259" s="19" t="s">
        <v>1401</v>
      </c>
      <c r="R259" s="21" t="n">
        <v>35811</v>
      </c>
      <c r="S259" s="19" t="s">
        <v>1002</v>
      </c>
      <c r="T259" s="19" t="s">
        <v>1856</v>
      </c>
      <c r="U259" s="19" t="str">
        <f aca="false">HYPERLINK("https://macaulaylibrary.org/asset/128078481","Open")</f>
        <v>Open</v>
      </c>
      <c r="V259" s="19"/>
    </row>
    <row r="260" customFormat="false" ht="15" hidden="false" customHeight="false" outlineLevel="0" collapsed="false">
      <c r="A260" s="19" t="s">
        <v>1857</v>
      </c>
      <c r="B260" s="19" t="s">
        <v>943</v>
      </c>
      <c r="C260" s="19" t="s">
        <v>944</v>
      </c>
      <c r="D260" s="19" t="s">
        <v>148</v>
      </c>
      <c r="E260" s="19" t="s">
        <v>147</v>
      </c>
      <c r="F260" s="19" t="s">
        <v>401</v>
      </c>
      <c r="G260" s="19" t="n">
        <v>33</v>
      </c>
      <c r="H260" s="19" t="s">
        <v>402</v>
      </c>
      <c r="I260" s="20" t="n">
        <v>87.406</v>
      </c>
      <c r="J260" s="19" t="n">
        <f aca="false">IF(I260="","",MIN(Overview!$B$8,MAX(1,CEILING(I260/Overview!$B$7,1))))</f>
        <v>18</v>
      </c>
      <c r="K260" s="19" t="n">
        <v>1</v>
      </c>
      <c r="L260" s="19"/>
      <c r="M260" s="20"/>
      <c r="N260" s="19"/>
      <c r="O260" s="19"/>
      <c r="P260" s="19" t="s">
        <v>1140</v>
      </c>
      <c r="Q260" s="19" t="s">
        <v>1030</v>
      </c>
      <c r="R260" s="21" t="n">
        <v>40250</v>
      </c>
      <c r="S260" s="19" t="s">
        <v>1858</v>
      </c>
      <c r="T260" s="19" t="s">
        <v>1859</v>
      </c>
      <c r="U260" s="19" t="str">
        <f aca="false">HYPERLINK("https://macaulaylibrary.org/asset/299571","Open")</f>
        <v>Open</v>
      </c>
      <c r="V260" s="19"/>
    </row>
    <row r="261" customFormat="false" ht="15" hidden="false" customHeight="false" outlineLevel="0" collapsed="false">
      <c r="A261" s="19" t="s">
        <v>1860</v>
      </c>
      <c r="B261" s="19" t="s">
        <v>943</v>
      </c>
      <c r="C261" s="19" t="s">
        <v>944</v>
      </c>
      <c r="D261" s="19" t="s">
        <v>148</v>
      </c>
      <c r="E261" s="19" t="s">
        <v>147</v>
      </c>
      <c r="F261" s="19" t="s">
        <v>401</v>
      </c>
      <c r="G261" s="19" t="n">
        <v>33</v>
      </c>
      <c r="H261" s="19" t="s">
        <v>402</v>
      </c>
      <c r="I261" s="20" t="n">
        <v>20.48</v>
      </c>
      <c r="J261" s="19" t="n">
        <f aca="false">IF(I261="","",MIN(Overview!$B$8,MAX(1,CEILING(I261/Overview!$B$7,1))))</f>
        <v>5</v>
      </c>
      <c r="K261" s="19" t="n">
        <v>1</v>
      </c>
      <c r="L261" s="19"/>
      <c r="M261" s="20" t="n">
        <v>2</v>
      </c>
      <c r="N261" s="19"/>
      <c r="O261" s="19"/>
      <c r="P261" s="19" t="s">
        <v>1861</v>
      </c>
      <c r="Q261" s="19" t="s">
        <v>1289</v>
      </c>
      <c r="R261" s="21" t="n">
        <v>42544</v>
      </c>
      <c r="S261" s="19" t="s">
        <v>1862</v>
      </c>
      <c r="T261" s="19" t="s">
        <v>1863</v>
      </c>
      <c r="U261" s="19" t="str">
        <f aca="false">HYPERLINK("https://macaulaylibrary.org/asset/32449111","Open")</f>
        <v>Open</v>
      </c>
      <c r="V261" s="19"/>
    </row>
    <row r="262" customFormat="false" ht="15" hidden="false" customHeight="false" outlineLevel="0" collapsed="false">
      <c r="A262" s="19" t="s">
        <v>1864</v>
      </c>
      <c r="B262" s="19" t="s">
        <v>943</v>
      </c>
      <c r="C262" s="19" t="s">
        <v>944</v>
      </c>
      <c r="D262" s="19" t="s">
        <v>148</v>
      </c>
      <c r="E262" s="19" t="s">
        <v>147</v>
      </c>
      <c r="F262" s="19" t="s">
        <v>401</v>
      </c>
      <c r="G262" s="19" t="n">
        <v>33</v>
      </c>
      <c r="H262" s="19" t="s">
        <v>402</v>
      </c>
      <c r="I262" s="20" t="n">
        <v>39.383</v>
      </c>
      <c r="J262" s="19" t="n">
        <f aca="false">IF(I262="","",MIN(Overview!$B$8,MAX(1,CEILING(I262/Overview!$B$7,1))))</f>
        <v>8</v>
      </c>
      <c r="K262" s="19" t="n">
        <v>1</v>
      </c>
      <c r="L262" s="19"/>
      <c r="M262" s="20"/>
      <c r="N262" s="19"/>
      <c r="O262" s="19"/>
      <c r="P262" s="19" t="s">
        <v>1438</v>
      </c>
      <c r="Q262" s="19" t="s">
        <v>1040</v>
      </c>
      <c r="R262" s="21" t="n">
        <v>41267</v>
      </c>
      <c r="S262" s="19" t="s">
        <v>1002</v>
      </c>
      <c r="T262" s="19" t="s">
        <v>1865</v>
      </c>
      <c r="U262" s="19" t="str">
        <f aca="false">HYPERLINK("https://macaulaylibrary.org/asset/609059102","Open")</f>
        <v>Open</v>
      </c>
      <c r="V262" s="19"/>
    </row>
    <row r="263" customFormat="false" ht="15" hidden="false" customHeight="false" outlineLevel="0" collapsed="false">
      <c r="A263" s="19" t="s">
        <v>1866</v>
      </c>
      <c r="B263" s="19" t="s">
        <v>943</v>
      </c>
      <c r="C263" s="19" t="s">
        <v>944</v>
      </c>
      <c r="D263" s="19" t="s">
        <v>148</v>
      </c>
      <c r="E263" s="19" t="s">
        <v>147</v>
      </c>
      <c r="F263" s="19" t="s">
        <v>401</v>
      </c>
      <c r="G263" s="19" t="n">
        <v>33</v>
      </c>
      <c r="H263" s="19" t="s">
        <v>402</v>
      </c>
      <c r="I263" s="20" t="n">
        <v>20.885</v>
      </c>
      <c r="J263" s="19" t="n">
        <f aca="false">IF(I263="","",MIN(Overview!$B$8,MAX(1,CEILING(I263/Overview!$B$7,1))))</f>
        <v>5</v>
      </c>
      <c r="K263" s="19" t="n">
        <v>1</v>
      </c>
      <c r="L263" s="19"/>
      <c r="M263" s="20"/>
      <c r="N263" s="19"/>
      <c r="O263" s="19"/>
      <c r="P263" s="19" t="s">
        <v>1867</v>
      </c>
      <c r="Q263" s="19" t="s">
        <v>1086</v>
      </c>
      <c r="R263" s="21" t="n">
        <v>45297</v>
      </c>
      <c r="S263" s="19" t="s">
        <v>1868</v>
      </c>
      <c r="T263" s="19" t="s">
        <v>1869</v>
      </c>
      <c r="U263" s="19" t="str">
        <f aca="false">HYPERLINK("https://macaulaylibrary.org/asset/613950713","Open")</f>
        <v>Open</v>
      </c>
      <c r="V263" s="19"/>
    </row>
    <row r="264" customFormat="false" ht="15" hidden="false" customHeight="false" outlineLevel="0" collapsed="false">
      <c r="A264" s="19" t="s">
        <v>1870</v>
      </c>
      <c r="B264" s="19" t="s">
        <v>943</v>
      </c>
      <c r="C264" s="19" t="s">
        <v>944</v>
      </c>
      <c r="D264" s="19" t="s">
        <v>148</v>
      </c>
      <c r="E264" s="19" t="s">
        <v>147</v>
      </c>
      <c r="F264" s="19" t="s">
        <v>401</v>
      </c>
      <c r="G264" s="19" t="n">
        <v>33</v>
      </c>
      <c r="H264" s="19" t="s">
        <v>402</v>
      </c>
      <c r="I264" s="20" t="n">
        <v>23.424</v>
      </c>
      <c r="J264" s="19" t="n">
        <f aca="false">IF(I264="","",MIN(Overview!$B$8,MAX(1,CEILING(I264/Overview!$B$7,1))))</f>
        <v>5</v>
      </c>
      <c r="K264" s="19" t="n">
        <v>1</v>
      </c>
      <c r="L264" s="19"/>
      <c r="M264" s="20" t="n">
        <v>3</v>
      </c>
      <c r="N264" s="19"/>
      <c r="O264" s="19"/>
      <c r="P264" s="19" t="s">
        <v>1871</v>
      </c>
      <c r="Q264" s="19" t="s">
        <v>1847</v>
      </c>
      <c r="R264" s="21" t="n">
        <v>43161</v>
      </c>
      <c r="S264" s="19" t="s">
        <v>1872</v>
      </c>
      <c r="T264" s="19" t="s">
        <v>1873</v>
      </c>
      <c r="U264" s="19" t="str">
        <f aca="false">HYPERLINK("https://macaulaylibrary.org/asset/89665121","Open")</f>
        <v>Open</v>
      </c>
      <c r="V264" s="19"/>
    </row>
    <row r="265" customFormat="false" ht="15" hidden="false" customHeight="false" outlineLevel="0" collapsed="false">
      <c r="A265" s="19" t="s">
        <v>1874</v>
      </c>
      <c r="B265" s="19" t="s">
        <v>1005</v>
      </c>
      <c r="C265" s="19" t="s">
        <v>944</v>
      </c>
      <c r="D265" s="19" t="s">
        <v>647</v>
      </c>
      <c r="E265" s="19" t="s">
        <v>147</v>
      </c>
      <c r="F265" s="19" t="s">
        <v>401</v>
      </c>
      <c r="G265" s="19" t="n">
        <v>33</v>
      </c>
      <c r="H265" s="19" t="s">
        <v>402</v>
      </c>
      <c r="I265" s="20" t="n">
        <v>37.344</v>
      </c>
      <c r="J265" s="19" t="n">
        <f aca="false">IF(I265="","",MIN(Overview!$B$8,MAX(1,CEILING(I265/Overview!$B$7,1))))</f>
        <v>8</v>
      </c>
      <c r="K265" s="19" t="n">
        <v>1</v>
      </c>
      <c r="L265" s="19"/>
      <c r="M265" s="20"/>
      <c r="N265" s="19" t="s">
        <v>1718</v>
      </c>
      <c r="O265" s="19"/>
      <c r="P265" s="19" t="s">
        <v>1875</v>
      </c>
      <c r="Q265" s="19" t="s">
        <v>1008</v>
      </c>
      <c r="R265" s="21" t="n">
        <v>42579</v>
      </c>
      <c r="S265" s="19" t="s">
        <v>1013</v>
      </c>
      <c r="T265" s="19" t="s">
        <v>1876</v>
      </c>
      <c r="U265" s="19" t="str">
        <f aca="false">HYPERLINK("https://xeno-canto.org/331643","Open")</f>
        <v>Open</v>
      </c>
      <c r="V265" s="19" t="s">
        <v>1877</v>
      </c>
    </row>
    <row r="266" customFormat="false" ht="15" hidden="false" customHeight="false" outlineLevel="0" collapsed="false">
      <c r="A266" s="19" t="s">
        <v>1878</v>
      </c>
      <c r="B266" s="19" t="s">
        <v>943</v>
      </c>
      <c r="C266" s="19" t="s">
        <v>944</v>
      </c>
      <c r="D266" s="19" t="s">
        <v>400</v>
      </c>
      <c r="E266" s="19" t="s">
        <v>147</v>
      </c>
      <c r="F266" s="19" t="s">
        <v>496</v>
      </c>
      <c r="G266" s="19" t="n">
        <v>34</v>
      </c>
      <c r="H266" s="19" t="s">
        <v>497</v>
      </c>
      <c r="I266" s="20" t="n">
        <v>31.356</v>
      </c>
      <c r="J266" s="19" t="n">
        <f aca="false">IF(I266="","",MIN(Overview!$B$8,MAX(1,CEILING(I266/Overview!$B$7,1))))</f>
        <v>7</v>
      </c>
      <c r="K266" s="19" t="n">
        <v>1</v>
      </c>
      <c r="L266" s="19"/>
      <c r="M266" s="20" t="n">
        <v>3</v>
      </c>
      <c r="N266" s="19"/>
      <c r="O266" s="19"/>
      <c r="P266" s="19" t="s">
        <v>1879</v>
      </c>
      <c r="Q266" s="19" t="s">
        <v>975</v>
      </c>
      <c r="R266" s="21" t="n">
        <v>43665</v>
      </c>
      <c r="S266" s="19" t="s">
        <v>1880</v>
      </c>
      <c r="T266" s="19" t="s">
        <v>1881</v>
      </c>
      <c r="U266" s="19" t="str">
        <f aca="false">HYPERLINK("https://macaulaylibrary.org/asset/179453631","Open")</f>
        <v>Open</v>
      </c>
      <c r="V266" s="19"/>
    </row>
    <row r="267" customFormat="false" ht="15" hidden="false" customHeight="false" outlineLevel="0" collapsed="false">
      <c r="A267" s="19" t="s">
        <v>1882</v>
      </c>
      <c r="B267" s="19" t="s">
        <v>943</v>
      </c>
      <c r="C267" s="19" t="s">
        <v>944</v>
      </c>
      <c r="D267" s="19" t="s">
        <v>400</v>
      </c>
      <c r="E267" s="19" t="s">
        <v>147</v>
      </c>
      <c r="F267" s="19" t="s">
        <v>496</v>
      </c>
      <c r="G267" s="19" t="n">
        <v>34</v>
      </c>
      <c r="H267" s="19" t="s">
        <v>497</v>
      </c>
      <c r="I267" s="20" t="n">
        <v>67.674</v>
      </c>
      <c r="J267" s="19" t="n">
        <f aca="false">IF(I267="","",MIN(Overview!$B$8,MAX(1,CEILING(I267/Overview!$B$7,1))))</f>
        <v>14</v>
      </c>
      <c r="K267" s="19" t="n">
        <v>1</v>
      </c>
      <c r="L267" s="19"/>
      <c r="M267" s="20" t="n">
        <v>2</v>
      </c>
      <c r="N267" s="19"/>
      <c r="O267" s="19"/>
      <c r="P267" s="19" t="s">
        <v>1883</v>
      </c>
      <c r="Q267" s="19" t="s">
        <v>1136</v>
      </c>
      <c r="R267" s="21" t="n">
        <v>29734</v>
      </c>
      <c r="S267" s="19" t="s">
        <v>1884</v>
      </c>
      <c r="T267" s="19" t="s">
        <v>1885</v>
      </c>
      <c r="U267" s="19" t="str">
        <f aca="false">HYPERLINK("https://macaulaylibrary.org/asset/28131","Open")</f>
        <v>Open</v>
      </c>
      <c r="V267" s="19"/>
    </row>
    <row r="268" customFormat="false" ht="15" hidden="false" customHeight="false" outlineLevel="0" collapsed="false">
      <c r="A268" s="19" t="s">
        <v>1886</v>
      </c>
      <c r="B268" s="19" t="s">
        <v>943</v>
      </c>
      <c r="C268" s="19" t="s">
        <v>944</v>
      </c>
      <c r="D268" s="19" t="s">
        <v>400</v>
      </c>
      <c r="E268" s="19" t="s">
        <v>147</v>
      </c>
      <c r="F268" s="19" t="s">
        <v>496</v>
      </c>
      <c r="G268" s="19" t="n">
        <v>34</v>
      </c>
      <c r="H268" s="19" t="s">
        <v>497</v>
      </c>
      <c r="I268" s="20" t="n">
        <v>18.548</v>
      </c>
      <c r="J268" s="19" t="n">
        <f aca="false">IF(I268="","",MIN(Overview!$B$8,MAX(1,CEILING(I268/Overview!$B$7,1))))</f>
        <v>4</v>
      </c>
      <c r="K268" s="19" t="n">
        <v>1</v>
      </c>
      <c r="L268" s="19"/>
      <c r="M268" s="20" t="n">
        <v>3.5</v>
      </c>
      <c r="N268" s="19"/>
      <c r="O268" s="19"/>
      <c r="P268" s="19" t="s">
        <v>1887</v>
      </c>
      <c r="Q268" s="19" t="s">
        <v>1888</v>
      </c>
      <c r="R268" s="21" t="n">
        <v>44643</v>
      </c>
      <c r="S268" s="19" t="s">
        <v>1889</v>
      </c>
      <c r="T268" s="19" t="s">
        <v>1890</v>
      </c>
      <c r="U268" s="19" t="str">
        <f aca="false">HYPERLINK("https://macaulaylibrary.org/asset/462751101","Open")</f>
        <v>Open</v>
      </c>
      <c r="V268" s="19"/>
    </row>
    <row r="269" customFormat="false" ht="15" hidden="false" customHeight="false" outlineLevel="0" collapsed="false">
      <c r="A269" s="19" t="s">
        <v>1891</v>
      </c>
      <c r="B269" s="19" t="s">
        <v>943</v>
      </c>
      <c r="C269" s="19" t="s">
        <v>944</v>
      </c>
      <c r="D269" s="19" t="s">
        <v>400</v>
      </c>
      <c r="E269" s="19" t="s">
        <v>147</v>
      </c>
      <c r="F269" s="19" t="s">
        <v>496</v>
      </c>
      <c r="G269" s="19" t="n">
        <v>34</v>
      </c>
      <c r="H269" s="19" t="s">
        <v>497</v>
      </c>
      <c r="I269" s="20" t="n">
        <v>27.733</v>
      </c>
      <c r="J269" s="19" t="n">
        <f aca="false">IF(I269="","",MIN(Overview!$B$8,MAX(1,CEILING(I269/Overview!$B$7,1))))</f>
        <v>6</v>
      </c>
      <c r="K269" s="19" t="n">
        <v>1</v>
      </c>
      <c r="L269" s="19"/>
      <c r="M269" s="20" t="n">
        <v>2</v>
      </c>
      <c r="N269" s="19"/>
      <c r="O269" s="19"/>
      <c r="P269" s="19" t="s">
        <v>1892</v>
      </c>
      <c r="Q269" s="19" t="s">
        <v>1893</v>
      </c>
      <c r="R269" s="21" t="n">
        <v>45556</v>
      </c>
      <c r="S269" s="19" t="s">
        <v>1769</v>
      </c>
      <c r="T269" s="19" t="s">
        <v>1894</v>
      </c>
      <c r="U269" s="19" t="str">
        <f aca="false">HYPERLINK("https://macaulaylibrary.org/asset/624011248","Open")</f>
        <v>Open</v>
      </c>
      <c r="V269" s="19"/>
    </row>
    <row r="270" customFormat="false" ht="15" hidden="false" customHeight="false" outlineLevel="0" collapsed="false">
      <c r="A270" s="19" t="s">
        <v>1895</v>
      </c>
      <c r="B270" s="19" t="s">
        <v>943</v>
      </c>
      <c r="C270" s="19" t="s">
        <v>944</v>
      </c>
      <c r="D270" s="19" t="s">
        <v>400</v>
      </c>
      <c r="E270" s="19" t="s">
        <v>147</v>
      </c>
      <c r="F270" s="19" t="s">
        <v>496</v>
      </c>
      <c r="G270" s="19" t="n">
        <v>34</v>
      </c>
      <c r="H270" s="19" t="s">
        <v>497</v>
      </c>
      <c r="I270" s="20" t="n">
        <v>30.967</v>
      </c>
      <c r="J270" s="19" t="n">
        <f aca="false">IF(I270="","",MIN(Overview!$B$8,MAX(1,CEILING(I270/Overview!$B$7,1))))</f>
        <v>7</v>
      </c>
      <c r="K270" s="19" t="n">
        <v>1</v>
      </c>
      <c r="L270" s="19"/>
      <c r="M270" s="20" t="n">
        <v>3</v>
      </c>
      <c r="N270" s="19"/>
      <c r="O270" s="19"/>
      <c r="P270" s="19" t="s">
        <v>1896</v>
      </c>
      <c r="Q270" s="19" t="s">
        <v>1496</v>
      </c>
      <c r="R270" s="21" t="n">
        <v>45740</v>
      </c>
      <c r="S270" s="19" t="s">
        <v>1081</v>
      </c>
      <c r="T270" s="19" t="s">
        <v>1897</v>
      </c>
      <c r="U270" s="19" t="str">
        <f aca="false">HYPERLINK("https://macaulaylibrary.org/asset/636754280","Open")</f>
        <v>Open</v>
      </c>
      <c r="V270" s="19"/>
    </row>
    <row r="271" customFormat="false" ht="15" hidden="false" customHeight="false" outlineLevel="0" collapsed="false">
      <c r="A271" s="19" t="s">
        <v>1898</v>
      </c>
      <c r="B271" s="19" t="s">
        <v>943</v>
      </c>
      <c r="C271" s="19" t="s">
        <v>944</v>
      </c>
      <c r="D271" s="19" t="s">
        <v>400</v>
      </c>
      <c r="E271" s="19" t="s">
        <v>147</v>
      </c>
      <c r="F271" s="19" t="s">
        <v>496</v>
      </c>
      <c r="G271" s="19" t="n">
        <v>34</v>
      </c>
      <c r="H271" s="19" t="s">
        <v>497</v>
      </c>
      <c r="I271" s="20" t="n">
        <v>22.626</v>
      </c>
      <c r="J271" s="19" t="n">
        <f aca="false">IF(I271="","",MIN(Overview!$B$8,MAX(1,CEILING(I271/Overview!$B$7,1))))</f>
        <v>5</v>
      </c>
      <c r="K271" s="19" t="n">
        <v>1</v>
      </c>
      <c r="L271" s="19"/>
      <c r="M271" s="20" t="n">
        <v>3</v>
      </c>
      <c r="N271" s="19"/>
      <c r="O271" s="19"/>
      <c r="P271" s="19" t="s">
        <v>1235</v>
      </c>
      <c r="Q271" s="19" t="s">
        <v>1236</v>
      </c>
      <c r="R271" s="21" t="n">
        <v>46059</v>
      </c>
      <c r="S271" s="19" t="s">
        <v>1237</v>
      </c>
      <c r="T271" s="19" t="s">
        <v>1899</v>
      </c>
      <c r="U271" s="19" t="str">
        <f aca="false">HYPERLINK("https://macaulaylibrary.org/asset/654240101","Open")</f>
        <v>Open</v>
      </c>
      <c r="V271" s="19"/>
    </row>
    <row r="272" customFormat="false" ht="15" hidden="false" customHeight="false" outlineLevel="0" collapsed="false">
      <c r="A272" s="19" t="s">
        <v>1900</v>
      </c>
      <c r="B272" s="19" t="s">
        <v>943</v>
      </c>
      <c r="C272" s="19" t="s">
        <v>944</v>
      </c>
      <c r="D272" s="19" t="s">
        <v>400</v>
      </c>
      <c r="E272" s="19" t="s">
        <v>147</v>
      </c>
      <c r="F272" s="19" t="s">
        <v>553</v>
      </c>
      <c r="G272" s="19" t="n">
        <v>35</v>
      </c>
      <c r="H272" s="19" t="s">
        <v>554</v>
      </c>
      <c r="I272" s="20" t="n">
        <v>56.528</v>
      </c>
      <c r="J272" s="19" t="n">
        <f aca="false">IF(I272="","",MIN(Overview!$B$8,MAX(1,CEILING(I272/Overview!$B$7,1))))</f>
        <v>12</v>
      </c>
      <c r="K272" s="19" t="n">
        <v>1</v>
      </c>
      <c r="L272" s="19"/>
      <c r="M272" s="20" t="n">
        <v>2.33</v>
      </c>
      <c r="N272" s="19"/>
      <c r="O272" s="19"/>
      <c r="P272" s="19" t="s">
        <v>1356</v>
      </c>
      <c r="Q272" s="19" t="s">
        <v>1021</v>
      </c>
      <c r="R272" s="21" t="n">
        <v>36603</v>
      </c>
      <c r="S272" s="19" t="s">
        <v>1357</v>
      </c>
      <c r="T272" s="19" t="s">
        <v>1901</v>
      </c>
      <c r="U272" s="19" t="str">
        <f aca="false">HYPERLINK("https://macaulaylibrary.org/asset/155580321","Open")</f>
        <v>Open</v>
      </c>
      <c r="V272" s="19"/>
    </row>
    <row r="273" customFormat="false" ht="15" hidden="false" customHeight="false" outlineLevel="0" collapsed="false">
      <c r="A273" s="19" t="s">
        <v>1902</v>
      </c>
      <c r="B273" s="19" t="s">
        <v>943</v>
      </c>
      <c r="C273" s="19" t="s">
        <v>944</v>
      </c>
      <c r="D273" s="19" t="s">
        <v>400</v>
      </c>
      <c r="E273" s="19" t="s">
        <v>147</v>
      </c>
      <c r="F273" s="19" t="s">
        <v>553</v>
      </c>
      <c r="G273" s="19" t="n">
        <v>35</v>
      </c>
      <c r="H273" s="19" t="s">
        <v>554</v>
      </c>
      <c r="I273" s="20" t="n">
        <v>27.2</v>
      </c>
      <c r="J273" s="19" t="n">
        <f aca="false">IF(I273="","",MIN(Overview!$B$8,MAX(1,CEILING(I273/Overview!$B$7,1))))</f>
        <v>6</v>
      </c>
      <c r="K273" s="19" t="n">
        <v>1</v>
      </c>
      <c r="L273" s="19"/>
      <c r="M273" s="20" t="n">
        <v>3.5</v>
      </c>
      <c r="N273" s="19"/>
      <c r="O273" s="19" t="s">
        <v>151</v>
      </c>
      <c r="P273" s="19" t="s">
        <v>1131</v>
      </c>
      <c r="Q273" s="19" t="s">
        <v>1063</v>
      </c>
      <c r="R273" s="21" t="n">
        <v>44086</v>
      </c>
      <c r="S273" s="19" t="s">
        <v>1132</v>
      </c>
      <c r="T273" s="19" t="s">
        <v>1903</v>
      </c>
      <c r="U273" s="19" t="str">
        <f aca="false">HYPERLINK("https://macaulaylibrary.org/asset/266311471","Open")</f>
        <v>Open</v>
      </c>
      <c r="V273" s="19"/>
    </row>
    <row r="274" customFormat="false" ht="15" hidden="false" customHeight="false" outlineLevel="0" collapsed="false">
      <c r="A274" s="19" t="s">
        <v>1904</v>
      </c>
      <c r="B274" s="19" t="s">
        <v>943</v>
      </c>
      <c r="C274" s="19" t="s">
        <v>944</v>
      </c>
      <c r="D274" s="19" t="s">
        <v>400</v>
      </c>
      <c r="E274" s="19" t="s">
        <v>147</v>
      </c>
      <c r="F274" s="19" t="s">
        <v>553</v>
      </c>
      <c r="G274" s="19" t="n">
        <v>35</v>
      </c>
      <c r="H274" s="19" t="s">
        <v>554</v>
      </c>
      <c r="I274" s="20" t="n">
        <v>28.389</v>
      </c>
      <c r="J274" s="19" t="n">
        <f aca="false">IF(I274="","",MIN(Overview!$B$8,MAX(1,CEILING(I274/Overview!$B$7,1))))</f>
        <v>6</v>
      </c>
      <c r="K274" s="19" t="n">
        <v>1</v>
      </c>
      <c r="L274" s="19"/>
      <c r="M274" s="20" t="n">
        <v>3</v>
      </c>
      <c r="N274" s="19"/>
      <c r="O274" s="19"/>
      <c r="P274" s="19" t="s">
        <v>1029</v>
      </c>
      <c r="Q274" s="19" t="s">
        <v>1030</v>
      </c>
      <c r="R274" s="21" t="n">
        <v>40251</v>
      </c>
      <c r="S274" s="19" t="s">
        <v>1905</v>
      </c>
      <c r="T274" s="19" t="s">
        <v>1906</v>
      </c>
      <c r="U274" s="19" t="str">
        <f aca="false">HYPERLINK("https://macaulaylibrary.org/asset/299648","Open")</f>
        <v>Open</v>
      </c>
      <c r="V274" s="19"/>
    </row>
    <row r="275" customFormat="false" ht="15" hidden="false" customHeight="false" outlineLevel="0" collapsed="false">
      <c r="A275" s="19" t="s">
        <v>1907</v>
      </c>
      <c r="B275" s="19" t="s">
        <v>1005</v>
      </c>
      <c r="C275" s="19" t="s">
        <v>944</v>
      </c>
      <c r="D275" s="19" t="s">
        <v>647</v>
      </c>
      <c r="E275" s="19" t="s">
        <v>147</v>
      </c>
      <c r="F275" s="19" t="s">
        <v>553</v>
      </c>
      <c r="G275" s="19" t="n">
        <v>35</v>
      </c>
      <c r="H275" s="19" t="s">
        <v>554</v>
      </c>
      <c r="I275" s="20" t="n">
        <v>20.568</v>
      </c>
      <c r="J275" s="19" t="n">
        <f aca="false">IF(I275="","",MIN(Overview!$B$8,MAX(1,CEILING(I275/Overview!$B$7,1))))</f>
        <v>5</v>
      </c>
      <c r="K275" s="19" t="n">
        <v>1</v>
      </c>
      <c r="L275" s="19"/>
      <c r="M275" s="20"/>
      <c r="N275" s="19" t="s">
        <v>1718</v>
      </c>
      <c r="O275" s="19"/>
      <c r="P275" s="19" t="s">
        <v>1908</v>
      </c>
      <c r="Q275" s="19" t="s">
        <v>1008</v>
      </c>
      <c r="R275" s="21" t="n">
        <v>42581</v>
      </c>
      <c r="S275" s="19" t="s">
        <v>1279</v>
      </c>
      <c r="T275" s="19" t="s">
        <v>1909</v>
      </c>
      <c r="U275" s="19" t="str">
        <f aca="false">HYPERLINK("https://xeno-canto.org/332386","Open")</f>
        <v>Open</v>
      </c>
      <c r="V275" s="19" t="s">
        <v>1910</v>
      </c>
    </row>
    <row r="276" customFormat="false" ht="15" hidden="false" customHeight="false" outlineLevel="0" collapsed="false">
      <c r="A276" s="19" t="s">
        <v>1911</v>
      </c>
      <c r="B276" s="19" t="s">
        <v>943</v>
      </c>
      <c r="C276" s="19" t="s">
        <v>944</v>
      </c>
      <c r="D276" s="19" t="s">
        <v>148</v>
      </c>
      <c r="E276" s="19" t="s">
        <v>147</v>
      </c>
      <c r="F276" s="19" t="s">
        <v>274</v>
      </c>
      <c r="G276" s="19" t="n">
        <v>37</v>
      </c>
      <c r="H276" s="19" t="s">
        <v>275</v>
      </c>
      <c r="I276" s="20" t="n">
        <v>19.315</v>
      </c>
      <c r="J276" s="19" t="n">
        <f aca="false">IF(I276="","",MIN(Overview!$B$8,MAX(1,CEILING(I276/Overview!$B$7,1))))</f>
        <v>4</v>
      </c>
      <c r="K276" s="19" t="n">
        <v>1</v>
      </c>
      <c r="L276" s="19"/>
      <c r="M276" s="20" t="n">
        <v>4.5</v>
      </c>
      <c r="N276" s="19"/>
      <c r="O276" s="19"/>
      <c r="P276" s="19" t="s">
        <v>1529</v>
      </c>
      <c r="Q276" s="19" t="s">
        <v>1021</v>
      </c>
      <c r="R276" s="21" t="n">
        <v>36594</v>
      </c>
      <c r="S276" s="19" t="s">
        <v>1530</v>
      </c>
      <c r="T276" s="19" t="s">
        <v>1912</v>
      </c>
      <c r="U276" s="19" t="str">
        <f aca="false">HYPERLINK("https://macaulaylibrary.org/asset/110447811","Open")</f>
        <v>Open</v>
      </c>
      <c r="V276" s="19"/>
    </row>
    <row r="277" customFormat="false" ht="15" hidden="false" customHeight="false" outlineLevel="0" collapsed="false">
      <c r="A277" s="19" t="s">
        <v>1913</v>
      </c>
      <c r="B277" s="19" t="s">
        <v>943</v>
      </c>
      <c r="C277" s="19" t="s">
        <v>944</v>
      </c>
      <c r="D277" s="19" t="s">
        <v>148</v>
      </c>
      <c r="E277" s="19" t="s">
        <v>147</v>
      </c>
      <c r="F277" s="19" t="s">
        <v>274</v>
      </c>
      <c r="G277" s="19" t="n">
        <v>37</v>
      </c>
      <c r="H277" s="19" t="s">
        <v>275</v>
      </c>
      <c r="I277" s="20" t="n">
        <v>99.122</v>
      </c>
      <c r="J277" s="19" t="n">
        <f aca="false">IF(I277="","",MIN(Overview!$B$8,MAX(1,CEILING(I277/Overview!$B$7,1))))</f>
        <v>20</v>
      </c>
      <c r="K277" s="19" t="n">
        <v>1</v>
      </c>
      <c r="L277" s="19"/>
      <c r="M277" s="20" t="n">
        <v>3.67</v>
      </c>
      <c r="N277" s="19"/>
      <c r="O277" s="19"/>
      <c r="P277" s="19" t="s">
        <v>1105</v>
      </c>
      <c r="Q277" s="19" t="s">
        <v>1021</v>
      </c>
      <c r="R277" s="21" t="n">
        <v>36597</v>
      </c>
      <c r="S277" s="19" t="s">
        <v>1106</v>
      </c>
      <c r="T277" s="19" t="s">
        <v>1914</v>
      </c>
      <c r="U277" s="19" t="str">
        <f aca="false">HYPERLINK("https://macaulaylibrary.org/asset/145615371","Open")</f>
        <v>Open</v>
      </c>
      <c r="V277" s="19"/>
    </row>
    <row r="278" customFormat="false" ht="15" hidden="false" customHeight="false" outlineLevel="0" collapsed="false">
      <c r="A278" s="19" t="s">
        <v>1915</v>
      </c>
      <c r="B278" s="19" t="s">
        <v>943</v>
      </c>
      <c r="C278" s="19" t="s">
        <v>944</v>
      </c>
      <c r="D278" s="19" t="s">
        <v>148</v>
      </c>
      <c r="E278" s="19" t="s">
        <v>147</v>
      </c>
      <c r="F278" s="19" t="s">
        <v>274</v>
      </c>
      <c r="G278" s="19" t="n">
        <v>37</v>
      </c>
      <c r="H278" s="19" t="s">
        <v>275</v>
      </c>
      <c r="I278" s="20" t="n">
        <v>20.504</v>
      </c>
      <c r="J278" s="19" t="n">
        <f aca="false">IF(I278="","",MIN(Overview!$B$8,MAX(1,CEILING(I278/Overview!$B$7,1))))</f>
        <v>5</v>
      </c>
      <c r="K278" s="19" t="n">
        <v>1</v>
      </c>
      <c r="L278" s="19"/>
      <c r="M278" s="20" t="n">
        <v>4</v>
      </c>
      <c r="N278" s="19"/>
      <c r="O278" s="19"/>
      <c r="P278" s="19" t="s">
        <v>1105</v>
      </c>
      <c r="Q278" s="19" t="s">
        <v>1021</v>
      </c>
      <c r="R278" s="21" t="n">
        <v>36597</v>
      </c>
      <c r="S278" s="19" t="s">
        <v>1106</v>
      </c>
      <c r="T278" s="19" t="s">
        <v>1916</v>
      </c>
      <c r="U278" s="19" t="str">
        <f aca="false">HYPERLINK("https://macaulaylibrary.org/asset/147429221","Open")</f>
        <v>Open</v>
      </c>
      <c r="V278" s="19"/>
    </row>
    <row r="279" customFormat="false" ht="15" hidden="false" customHeight="false" outlineLevel="0" collapsed="false">
      <c r="A279" s="19" t="s">
        <v>1917</v>
      </c>
      <c r="B279" s="19" t="s">
        <v>943</v>
      </c>
      <c r="C279" s="19" t="s">
        <v>944</v>
      </c>
      <c r="D279" s="19" t="s">
        <v>148</v>
      </c>
      <c r="E279" s="19" t="s">
        <v>147</v>
      </c>
      <c r="F279" s="19" t="s">
        <v>274</v>
      </c>
      <c r="G279" s="19" t="n">
        <v>37</v>
      </c>
      <c r="H279" s="19" t="s">
        <v>275</v>
      </c>
      <c r="I279" s="20" t="n">
        <v>32.343</v>
      </c>
      <c r="J279" s="19" t="n">
        <f aca="false">IF(I279="","",MIN(Overview!$B$8,MAX(1,CEILING(I279/Overview!$B$7,1))))</f>
        <v>7</v>
      </c>
      <c r="K279" s="19" t="n">
        <v>1</v>
      </c>
      <c r="L279" s="19"/>
      <c r="M279" s="20" t="n">
        <v>3</v>
      </c>
      <c r="N279" s="19"/>
      <c r="O279" s="19"/>
      <c r="P279" s="19" t="s">
        <v>1140</v>
      </c>
      <c r="Q279" s="19" t="s">
        <v>1030</v>
      </c>
      <c r="R279" s="21" t="n">
        <v>40250</v>
      </c>
      <c r="S279" s="19" t="s">
        <v>1017</v>
      </c>
      <c r="T279" s="19" t="s">
        <v>1918</v>
      </c>
      <c r="U279" s="19" t="str">
        <f aca="false">HYPERLINK("https://macaulaylibrary.org/asset/299563","Open")</f>
        <v>Open</v>
      </c>
      <c r="V279" s="19"/>
    </row>
    <row r="280" customFormat="false" ht="15" hidden="false" customHeight="false" outlineLevel="0" collapsed="false">
      <c r="A280" s="19" t="s">
        <v>1919</v>
      </c>
      <c r="B280" s="19" t="s">
        <v>943</v>
      </c>
      <c r="C280" s="19" t="s">
        <v>944</v>
      </c>
      <c r="D280" s="19" t="s">
        <v>148</v>
      </c>
      <c r="E280" s="19" t="s">
        <v>147</v>
      </c>
      <c r="F280" s="19" t="s">
        <v>274</v>
      </c>
      <c r="G280" s="19" t="n">
        <v>37</v>
      </c>
      <c r="H280" s="19" t="s">
        <v>275</v>
      </c>
      <c r="I280" s="20" t="n">
        <v>64.89</v>
      </c>
      <c r="J280" s="19" t="n">
        <f aca="false">IF(I280="","",MIN(Overview!$B$8,MAX(1,CEILING(I280/Overview!$B$7,1))))</f>
        <v>13</v>
      </c>
      <c r="K280" s="19" t="n">
        <v>1</v>
      </c>
      <c r="L280" s="19"/>
      <c r="M280" s="20" t="n">
        <v>3</v>
      </c>
      <c r="N280" s="19"/>
      <c r="O280" s="19"/>
      <c r="P280" s="19" t="s">
        <v>1140</v>
      </c>
      <c r="Q280" s="19" t="s">
        <v>1030</v>
      </c>
      <c r="R280" s="21" t="n">
        <v>40250</v>
      </c>
      <c r="S280" s="19" t="s">
        <v>1774</v>
      </c>
      <c r="T280" s="19" t="s">
        <v>1920</v>
      </c>
      <c r="U280" s="19" t="str">
        <f aca="false">HYPERLINK("https://macaulaylibrary.org/asset/299586","Open")</f>
        <v>Open</v>
      </c>
      <c r="V280" s="19"/>
    </row>
    <row r="281" customFormat="false" ht="15" hidden="false" customHeight="false" outlineLevel="0" collapsed="false">
      <c r="A281" s="19" t="s">
        <v>1921</v>
      </c>
      <c r="B281" s="19" t="s">
        <v>943</v>
      </c>
      <c r="C281" s="19" t="s">
        <v>944</v>
      </c>
      <c r="D281" s="19" t="s">
        <v>148</v>
      </c>
      <c r="E281" s="19" t="s">
        <v>147</v>
      </c>
      <c r="F281" s="19" t="s">
        <v>274</v>
      </c>
      <c r="G281" s="19" t="n">
        <v>37</v>
      </c>
      <c r="H281" s="19" t="s">
        <v>275</v>
      </c>
      <c r="I281" s="20" t="n">
        <v>33.665</v>
      </c>
      <c r="J281" s="19" t="n">
        <f aca="false">IF(I281="","",MIN(Overview!$B$8,MAX(1,CEILING(I281/Overview!$B$7,1))))</f>
        <v>7</v>
      </c>
      <c r="K281" s="19" t="n">
        <v>1</v>
      </c>
      <c r="L281" s="19"/>
      <c r="M281" s="20" t="n">
        <v>1</v>
      </c>
      <c r="N281" s="19"/>
      <c r="O281" s="19"/>
      <c r="P281" s="19" t="s">
        <v>1140</v>
      </c>
      <c r="Q281" s="19" t="s">
        <v>1030</v>
      </c>
      <c r="R281" s="21" t="n">
        <v>40250</v>
      </c>
      <c r="S281" s="19" t="s">
        <v>1774</v>
      </c>
      <c r="T281" s="19" t="s">
        <v>1922</v>
      </c>
      <c r="U281" s="19" t="str">
        <f aca="false">HYPERLINK("https://macaulaylibrary.org/asset/299587","Open")</f>
        <v>Open</v>
      </c>
      <c r="V281" s="19"/>
    </row>
    <row r="282" customFormat="false" ht="15" hidden="false" customHeight="false" outlineLevel="0" collapsed="false">
      <c r="A282" s="19" t="s">
        <v>1923</v>
      </c>
      <c r="B282" s="19" t="s">
        <v>943</v>
      </c>
      <c r="C282" s="19" t="s">
        <v>944</v>
      </c>
      <c r="D282" s="19" t="s">
        <v>148</v>
      </c>
      <c r="E282" s="19" t="s">
        <v>147</v>
      </c>
      <c r="F282" s="19" t="s">
        <v>274</v>
      </c>
      <c r="G282" s="19" t="n">
        <v>37</v>
      </c>
      <c r="H282" s="19" t="s">
        <v>275</v>
      </c>
      <c r="I282" s="20" t="n">
        <v>33.792</v>
      </c>
      <c r="J282" s="19" t="n">
        <f aca="false">IF(I282="","",MIN(Overview!$B$8,MAX(1,CEILING(I282/Overview!$B$7,1))))</f>
        <v>7</v>
      </c>
      <c r="K282" s="19" t="n">
        <v>1</v>
      </c>
      <c r="L282" s="19"/>
      <c r="M282" s="20" t="n">
        <v>2</v>
      </c>
      <c r="N282" s="19"/>
      <c r="O282" s="19"/>
      <c r="P282" s="19" t="s">
        <v>1924</v>
      </c>
      <c r="Q282" s="19" t="s">
        <v>1925</v>
      </c>
      <c r="R282" s="21" t="n">
        <v>44750</v>
      </c>
      <c r="S282" s="19" t="s">
        <v>1926</v>
      </c>
      <c r="T282" s="19" t="s">
        <v>1927</v>
      </c>
      <c r="U282" s="19" t="str">
        <f aca="false">HYPERLINK("https://macaulaylibrary.org/asset/465954181","Open")</f>
        <v>Open</v>
      </c>
      <c r="V282" s="19"/>
    </row>
    <row r="283" customFormat="false" ht="15" hidden="false" customHeight="false" outlineLevel="0" collapsed="false">
      <c r="A283" s="19" t="s">
        <v>1928</v>
      </c>
      <c r="B283" s="19" t="s">
        <v>943</v>
      </c>
      <c r="C283" s="19" t="s">
        <v>944</v>
      </c>
      <c r="D283" s="19" t="s">
        <v>148</v>
      </c>
      <c r="E283" s="19" t="s">
        <v>147</v>
      </c>
      <c r="F283" s="19" t="s">
        <v>274</v>
      </c>
      <c r="G283" s="19" t="n">
        <v>37</v>
      </c>
      <c r="H283" s="19" t="s">
        <v>275</v>
      </c>
      <c r="I283" s="20" t="n">
        <v>4.31</v>
      </c>
      <c r="J283" s="19" t="n">
        <f aca="false">IF(I283="","",MIN(Overview!$B$8,MAX(1,CEILING(I283/Overview!$B$7,1))))</f>
        <v>1</v>
      </c>
      <c r="K283" s="19" t="n">
        <v>1</v>
      </c>
      <c r="L283" s="19" t="s">
        <v>1048</v>
      </c>
      <c r="M283" s="20"/>
      <c r="N283" s="19"/>
      <c r="O283" s="19"/>
      <c r="P283" s="19" t="s">
        <v>1034</v>
      </c>
      <c r="Q283" s="19" t="s">
        <v>1035</v>
      </c>
      <c r="R283" s="21" t="n">
        <v>43665</v>
      </c>
      <c r="S283" s="19" t="s">
        <v>1036</v>
      </c>
      <c r="T283" s="19" t="s">
        <v>1929</v>
      </c>
      <c r="U283" s="19" t="str">
        <f aca="false">HYPERLINK("https://macaulaylibrary.org/asset/498004851","Open")</f>
        <v>Open</v>
      </c>
      <c r="V283" s="19" t="s">
        <v>1930</v>
      </c>
    </row>
    <row r="284" customFormat="false" ht="15" hidden="false" customHeight="false" outlineLevel="0" collapsed="false">
      <c r="A284" s="19" t="s">
        <v>1931</v>
      </c>
      <c r="B284" s="19" t="s">
        <v>943</v>
      </c>
      <c r="C284" s="19" t="s">
        <v>944</v>
      </c>
      <c r="D284" s="19" t="s">
        <v>148</v>
      </c>
      <c r="E284" s="19" t="s">
        <v>147</v>
      </c>
      <c r="F284" s="19" t="s">
        <v>274</v>
      </c>
      <c r="G284" s="19" t="n">
        <v>37</v>
      </c>
      <c r="H284" s="19" t="s">
        <v>275</v>
      </c>
      <c r="I284" s="20" t="n">
        <v>12.339</v>
      </c>
      <c r="J284" s="19" t="n">
        <f aca="false">IF(I284="","",MIN(Overview!$B$8,MAX(1,CEILING(I284/Overview!$B$7,1))))</f>
        <v>3</v>
      </c>
      <c r="K284" s="19" t="n">
        <v>1</v>
      </c>
      <c r="L284" s="19"/>
      <c r="M284" s="20"/>
      <c r="N284" s="19"/>
      <c r="O284" s="19"/>
      <c r="P284" s="19" t="s">
        <v>1932</v>
      </c>
      <c r="Q284" s="19" t="s">
        <v>1158</v>
      </c>
      <c r="R284" s="21" t="n">
        <v>44941</v>
      </c>
      <c r="S284" s="19" t="s">
        <v>1387</v>
      </c>
      <c r="T284" s="19" t="s">
        <v>1933</v>
      </c>
      <c r="U284" s="19" t="str">
        <f aca="false">HYPERLINK("https://macaulaylibrary.org/asset/539024691","Open")</f>
        <v>Open</v>
      </c>
      <c r="V284" s="19"/>
    </row>
    <row r="285" customFormat="false" ht="15" hidden="false" customHeight="false" outlineLevel="0" collapsed="false">
      <c r="A285" s="19" t="s">
        <v>1934</v>
      </c>
      <c r="B285" s="19" t="s">
        <v>943</v>
      </c>
      <c r="C285" s="19" t="s">
        <v>944</v>
      </c>
      <c r="D285" s="19" t="s">
        <v>148</v>
      </c>
      <c r="E285" s="19" t="s">
        <v>147</v>
      </c>
      <c r="F285" s="19" t="s">
        <v>274</v>
      </c>
      <c r="G285" s="19" t="n">
        <v>37</v>
      </c>
      <c r="H285" s="19" t="s">
        <v>275</v>
      </c>
      <c r="I285" s="20" t="n">
        <v>4.64</v>
      </c>
      <c r="J285" s="19" t="n">
        <f aca="false">IF(I285="","",MIN(Overview!$B$8,MAX(1,CEILING(I285/Overview!$B$7,1))))</f>
        <v>1</v>
      </c>
      <c r="K285" s="19" t="n">
        <v>1</v>
      </c>
      <c r="L285" s="19" t="s">
        <v>1048</v>
      </c>
      <c r="M285" s="20" t="n">
        <v>3</v>
      </c>
      <c r="N285" s="19"/>
      <c r="O285" s="19"/>
      <c r="P285" s="19" t="s">
        <v>1935</v>
      </c>
      <c r="Q285" s="19" t="s">
        <v>1158</v>
      </c>
      <c r="R285" s="21" t="n">
        <v>44942</v>
      </c>
      <c r="S285" s="19" t="s">
        <v>1936</v>
      </c>
      <c r="T285" s="19" t="s">
        <v>1937</v>
      </c>
      <c r="U285" s="19" t="str">
        <f aca="false">HYPERLINK("https://macaulaylibrary.org/asset/543401081","Open")</f>
        <v>Open</v>
      </c>
      <c r="V285" s="19"/>
    </row>
    <row r="286" customFormat="false" ht="15" hidden="false" customHeight="false" outlineLevel="0" collapsed="false">
      <c r="A286" s="19" t="s">
        <v>1938</v>
      </c>
      <c r="B286" s="19" t="s">
        <v>943</v>
      </c>
      <c r="C286" s="19" t="s">
        <v>944</v>
      </c>
      <c r="D286" s="19" t="s">
        <v>148</v>
      </c>
      <c r="E286" s="19" t="s">
        <v>147</v>
      </c>
      <c r="F286" s="19" t="s">
        <v>274</v>
      </c>
      <c r="G286" s="19" t="n">
        <v>37</v>
      </c>
      <c r="H286" s="19" t="s">
        <v>275</v>
      </c>
      <c r="I286" s="20" t="n">
        <v>85.125</v>
      </c>
      <c r="J286" s="19" t="n">
        <f aca="false">IF(I286="","",MIN(Overview!$B$8,MAX(1,CEILING(I286/Overview!$B$7,1))))</f>
        <v>18</v>
      </c>
      <c r="K286" s="19" t="n">
        <v>1</v>
      </c>
      <c r="L286" s="19"/>
      <c r="M286" s="20" t="n">
        <v>1.5</v>
      </c>
      <c r="N286" s="19"/>
      <c r="O286" s="19"/>
      <c r="P286" s="19" t="s">
        <v>1797</v>
      </c>
      <c r="Q286" s="19" t="s">
        <v>1798</v>
      </c>
      <c r="R286" s="21" t="n">
        <v>33584</v>
      </c>
      <c r="S286" s="19" t="s">
        <v>1290</v>
      </c>
      <c r="T286" s="19" t="s">
        <v>1939</v>
      </c>
      <c r="U286" s="19" t="str">
        <f aca="false">HYPERLINK("https://macaulaylibrary.org/asset/56619","Open")</f>
        <v>Open</v>
      </c>
      <c r="V286" s="19" t="s">
        <v>1930</v>
      </c>
    </row>
    <row r="287" customFormat="false" ht="15" hidden="false" customHeight="false" outlineLevel="0" collapsed="false">
      <c r="A287" s="19" t="s">
        <v>1940</v>
      </c>
      <c r="B287" s="19" t="s">
        <v>943</v>
      </c>
      <c r="C287" s="19" t="s">
        <v>944</v>
      </c>
      <c r="D287" s="19" t="s">
        <v>148</v>
      </c>
      <c r="E287" s="19" t="s">
        <v>147</v>
      </c>
      <c r="F287" s="19" t="s">
        <v>274</v>
      </c>
      <c r="G287" s="19" t="n">
        <v>37</v>
      </c>
      <c r="H287" s="19" t="s">
        <v>275</v>
      </c>
      <c r="I287" s="20" t="n">
        <v>14.522</v>
      </c>
      <c r="J287" s="19" t="n">
        <f aca="false">IF(I287="","",MIN(Overview!$B$8,MAX(1,CEILING(I287/Overview!$B$7,1))))</f>
        <v>3</v>
      </c>
      <c r="K287" s="19" t="n">
        <v>1</v>
      </c>
      <c r="L287" s="19"/>
      <c r="M287" s="20"/>
      <c r="N287" s="19"/>
      <c r="O287" s="19"/>
      <c r="P287" s="19" t="s">
        <v>1438</v>
      </c>
      <c r="Q287" s="19" t="s">
        <v>1040</v>
      </c>
      <c r="R287" s="21" t="n">
        <v>41267</v>
      </c>
      <c r="S287" s="19" t="s">
        <v>1002</v>
      </c>
      <c r="T287" s="19" t="s">
        <v>1941</v>
      </c>
      <c r="U287" s="19" t="str">
        <f aca="false">HYPERLINK("https://macaulaylibrary.org/asset/609059107","Open")</f>
        <v>Open</v>
      </c>
      <c r="V287" s="19"/>
    </row>
    <row r="288" customFormat="false" ht="15" hidden="false" customHeight="false" outlineLevel="0" collapsed="false">
      <c r="A288" s="19" t="s">
        <v>1942</v>
      </c>
      <c r="B288" s="19" t="s">
        <v>943</v>
      </c>
      <c r="C288" s="19" t="s">
        <v>944</v>
      </c>
      <c r="D288" s="19" t="s">
        <v>148</v>
      </c>
      <c r="E288" s="19" t="s">
        <v>147</v>
      </c>
      <c r="F288" s="19" t="s">
        <v>274</v>
      </c>
      <c r="G288" s="19" t="n">
        <v>37</v>
      </c>
      <c r="H288" s="19" t="s">
        <v>275</v>
      </c>
      <c r="I288" s="20" t="n">
        <v>10.737</v>
      </c>
      <c r="J288" s="19" t="n">
        <f aca="false">IF(I288="","",MIN(Overview!$B$8,MAX(1,CEILING(I288/Overview!$B$7,1))))</f>
        <v>3</v>
      </c>
      <c r="K288" s="19" t="n">
        <v>1</v>
      </c>
      <c r="L288" s="19"/>
      <c r="M288" s="20" t="n">
        <v>3</v>
      </c>
      <c r="N288" s="19"/>
      <c r="O288" s="19"/>
      <c r="P288" s="19" t="s">
        <v>1943</v>
      </c>
      <c r="Q288" s="19" t="s">
        <v>1368</v>
      </c>
      <c r="R288" s="21" t="n">
        <v>45488</v>
      </c>
      <c r="S288" s="19" t="s">
        <v>1936</v>
      </c>
      <c r="T288" s="19" t="s">
        <v>1944</v>
      </c>
      <c r="U288" s="19" t="str">
        <f aca="false">HYPERLINK("https://macaulaylibrary.org/asset/636345020","Open")</f>
        <v>Open</v>
      </c>
      <c r="V288" s="19"/>
    </row>
    <row r="289" customFormat="false" ht="15" hidden="false" customHeight="false" outlineLevel="0" collapsed="false">
      <c r="A289" s="19" t="s">
        <v>1945</v>
      </c>
      <c r="B289" s="19" t="s">
        <v>943</v>
      </c>
      <c r="C289" s="19" t="s">
        <v>944</v>
      </c>
      <c r="D289" s="19" t="s">
        <v>148</v>
      </c>
      <c r="E289" s="19" t="s">
        <v>147</v>
      </c>
      <c r="F289" s="19" t="s">
        <v>274</v>
      </c>
      <c r="G289" s="19" t="n">
        <v>37</v>
      </c>
      <c r="H289" s="19" t="s">
        <v>275</v>
      </c>
      <c r="I289" s="20" t="n">
        <v>26.98</v>
      </c>
      <c r="J289" s="19" t="n">
        <f aca="false">IF(I289="","",MIN(Overview!$B$8,MAX(1,CEILING(I289/Overview!$B$7,1))))</f>
        <v>6</v>
      </c>
      <c r="K289" s="19" t="n">
        <v>1</v>
      </c>
      <c r="L289" s="19"/>
      <c r="M289" s="20" t="n">
        <v>3</v>
      </c>
      <c r="N289" s="19"/>
      <c r="O289" s="19"/>
      <c r="P289" s="19" t="s">
        <v>1946</v>
      </c>
      <c r="Q289" s="19" t="s">
        <v>1091</v>
      </c>
      <c r="R289" s="21" t="n">
        <v>45844</v>
      </c>
      <c r="S289" s="19" t="s">
        <v>1013</v>
      </c>
      <c r="T289" s="19" t="s">
        <v>1947</v>
      </c>
      <c r="U289" s="19" t="str">
        <f aca="false">HYPERLINK("https://macaulaylibrary.org/asset/643644086","Open")</f>
        <v>Open</v>
      </c>
      <c r="V289" s="19"/>
    </row>
    <row r="290" customFormat="false" ht="15" hidden="false" customHeight="false" outlineLevel="0" collapsed="false">
      <c r="A290" s="19" t="s">
        <v>1948</v>
      </c>
      <c r="B290" s="19" t="s">
        <v>943</v>
      </c>
      <c r="C290" s="19" t="s">
        <v>944</v>
      </c>
      <c r="D290" s="19" t="s">
        <v>148</v>
      </c>
      <c r="E290" s="19" t="s">
        <v>147</v>
      </c>
      <c r="F290" s="19" t="s">
        <v>274</v>
      </c>
      <c r="G290" s="19" t="n">
        <v>37</v>
      </c>
      <c r="H290" s="19" t="s">
        <v>275</v>
      </c>
      <c r="I290" s="20" t="n">
        <v>42.401</v>
      </c>
      <c r="J290" s="19" t="n">
        <f aca="false">IF(I290="","",MIN(Overview!$B$8,MAX(1,CEILING(I290/Overview!$B$7,1))))</f>
        <v>9</v>
      </c>
      <c r="K290" s="19" t="n">
        <v>1</v>
      </c>
      <c r="L290" s="19"/>
      <c r="M290" s="20" t="n">
        <v>3</v>
      </c>
      <c r="N290" s="19"/>
      <c r="O290" s="19"/>
      <c r="P290" s="19" t="s">
        <v>1949</v>
      </c>
      <c r="Q290" s="19" t="s">
        <v>1368</v>
      </c>
      <c r="R290" s="21" t="n">
        <v>45983</v>
      </c>
      <c r="S290" s="19" t="s">
        <v>1022</v>
      </c>
      <c r="T290" s="19" t="s">
        <v>1950</v>
      </c>
      <c r="U290" s="19" t="str">
        <f aca="false">HYPERLINK("https://macaulaylibrary.org/asset/646457278","Open")</f>
        <v>Open</v>
      </c>
      <c r="V290" s="19"/>
    </row>
    <row r="291" customFormat="false" ht="15" hidden="false" customHeight="false" outlineLevel="0" collapsed="false">
      <c r="A291" s="19" t="s">
        <v>1951</v>
      </c>
      <c r="B291" s="19" t="s">
        <v>1005</v>
      </c>
      <c r="C291" s="19" t="s">
        <v>944</v>
      </c>
      <c r="D291" s="19" t="s">
        <v>647</v>
      </c>
      <c r="E291" s="19" t="s">
        <v>147</v>
      </c>
      <c r="F291" s="19" t="s">
        <v>274</v>
      </c>
      <c r="G291" s="19" t="n">
        <v>37</v>
      </c>
      <c r="H291" s="19" t="s">
        <v>275</v>
      </c>
      <c r="I291" s="20" t="n">
        <v>21</v>
      </c>
      <c r="J291" s="19" t="n">
        <f aca="false">IF(I291="","",MIN(Overview!$B$8,MAX(1,CEILING(I291/Overview!$B$7,1))))</f>
        <v>5</v>
      </c>
      <c r="K291" s="19" t="n">
        <v>1</v>
      </c>
      <c r="L291" s="19"/>
      <c r="M291" s="20"/>
      <c r="N291" s="19" t="s">
        <v>1006</v>
      </c>
      <c r="O291" s="19"/>
      <c r="P291" s="19" t="s">
        <v>1952</v>
      </c>
      <c r="Q291" s="19" t="s">
        <v>1008</v>
      </c>
      <c r="R291" s="21" t="n">
        <v>42581</v>
      </c>
      <c r="S291" s="19" t="s">
        <v>1009</v>
      </c>
      <c r="T291" s="19" t="s">
        <v>1953</v>
      </c>
      <c r="U291" s="19" t="str">
        <f aca="false">HYPERLINK("https://xeno-canto.org/332270","Open")</f>
        <v>Open</v>
      </c>
      <c r="V291" s="19" t="s">
        <v>1954</v>
      </c>
    </row>
    <row r="292" customFormat="false" ht="15" hidden="false" customHeight="false" outlineLevel="0" collapsed="false">
      <c r="A292" s="19" t="s">
        <v>1955</v>
      </c>
      <c r="B292" s="19" t="s">
        <v>943</v>
      </c>
      <c r="C292" s="19" t="s">
        <v>944</v>
      </c>
      <c r="D292" s="19" t="s">
        <v>148</v>
      </c>
      <c r="E292" s="19" t="s">
        <v>147</v>
      </c>
      <c r="F292" s="19" t="s">
        <v>181</v>
      </c>
      <c r="G292" s="19" t="n">
        <v>38</v>
      </c>
      <c r="H292" s="19" t="s">
        <v>182</v>
      </c>
      <c r="I292" s="20" t="n">
        <v>193.003</v>
      </c>
      <c r="J292" s="19" t="n">
        <f aca="false">IF(I292="","",MIN(Overview!$B$8,MAX(1,CEILING(I292/Overview!$B$7,1))))</f>
        <v>39</v>
      </c>
      <c r="K292" s="19" t="n">
        <v>1</v>
      </c>
      <c r="L292" s="19"/>
      <c r="M292" s="20" t="n">
        <v>3</v>
      </c>
      <c r="N292" s="19"/>
      <c r="O292" s="19"/>
      <c r="P292" s="19" t="s">
        <v>1526</v>
      </c>
      <c r="Q292" s="19" t="s">
        <v>1021</v>
      </c>
      <c r="R292" s="21" t="n">
        <v>35865</v>
      </c>
      <c r="S292" s="19" t="s">
        <v>1279</v>
      </c>
      <c r="T292" s="19" t="s">
        <v>1956</v>
      </c>
      <c r="U292" s="19" t="str">
        <f aca="false">HYPERLINK("https://macaulaylibrary.org/asset/102588961","Open")</f>
        <v>Open</v>
      </c>
      <c r="V292" s="19"/>
    </row>
    <row r="293" customFormat="false" ht="15" hidden="false" customHeight="false" outlineLevel="0" collapsed="false">
      <c r="A293" s="19" t="s">
        <v>1957</v>
      </c>
      <c r="B293" s="19" t="s">
        <v>943</v>
      </c>
      <c r="C293" s="19" t="s">
        <v>944</v>
      </c>
      <c r="D293" s="19" t="s">
        <v>148</v>
      </c>
      <c r="E293" s="19" t="s">
        <v>147</v>
      </c>
      <c r="F293" s="19" t="s">
        <v>181</v>
      </c>
      <c r="G293" s="19" t="n">
        <v>38</v>
      </c>
      <c r="H293" s="19" t="s">
        <v>182</v>
      </c>
      <c r="I293" s="20" t="n">
        <v>131.663</v>
      </c>
      <c r="J293" s="19" t="n">
        <f aca="false">IF(I293="","",MIN(Overview!$B$8,MAX(1,CEILING(I293/Overview!$B$7,1))))</f>
        <v>27</v>
      </c>
      <c r="K293" s="19" t="n">
        <v>1</v>
      </c>
      <c r="L293" s="19"/>
      <c r="M293" s="20" t="n">
        <v>3.5</v>
      </c>
      <c r="N293" s="19"/>
      <c r="O293" s="19"/>
      <c r="P293" s="19" t="s">
        <v>1390</v>
      </c>
      <c r="Q293" s="19" t="s">
        <v>1021</v>
      </c>
      <c r="R293" s="21" t="n">
        <v>36596</v>
      </c>
      <c r="S293" s="19" t="s">
        <v>1137</v>
      </c>
      <c r="T293" s="19" t="s">
        <v>1958</v>
      </c>
      <c r="U293" s="19" t="str">
        <f aca="false">HYPERLINK("https://macaulaylibrary.org/asset/144453521","Open")</f>
        <v>Open</v>
      </c>
      <c r="V293" s="19"/>
    </row>
    <row r="294" customFormat="false" ht="15" hidden="false" customHeight="false" outlineLevel="0" collapsed="false">
      <c r="A294" s="19" t="s">
        <v>1959</v>
      </c>
      <c r="B294" s="19" t="s">
        <v>943</v>
      </c>
      <c r="C294" s="19" t="s">
        <v>944</v>
      </c>
      <c r="D294" s="19" t="s">
        <v>148</v>
      </c>
      <c r="E294" s="19" t="s">
        <v>147</v>
      </c>
      <c r="F294" s="19" t="s">
        <v>181</v>
      </c>
      <c r="G294" s="19" t="n">
        <v>38</v>
      </c>
      <c r="H294" s="19" t="s">
        <v>182</v>
      </c>
      <c r="I294" s="20" t="n">
        <v>126.22</v>
      </c>
      <c r="J294" s="19" t="n">
        <f aca="false">IF(I294="","",MIN(Overview!$B$8,MAX(1,CEILING(I294/Overview!$B$7,1))))</f>
        <v>26</v>
      </c>
      <c r="K294" s="19" t="n">
        <v>1</v>
      </c>
      <c r="L294" s="19"/>
      <c r="M294" s="20" t="n">
        <v>4</v>
      </c>
      <c r="N294" s="19"/>
      <c r="O294" s="19"/>
      <c r="P294" s="19" t="s">
        <v>1390</v>
      </c>
      <c r="Q294" s="19" t="s">
        <v>1021</v>
      </c>
      <c r="R294" s="21" t="n">
        <v>36596</v>
      </c>
      <c r="S294" s="19" t="s">
        <v>1137</v>
      </c>
      <c r="T294" s="19" t="s">
        <v>1960</v>
      </c>
      <c r="U294" s="19" t="str">
        <f aca="false">HYPERLINK("https://macaulaylibrary.org/asset/144841551","Open")</f>
        <v>Open</v>
      </c>
      <c r="V294" s="19"/>
    </row>
    <row r="295" customFormat="false" ht="15" hidden="false" customHeight="false" outlineLevel="0" collapsed="false">
      <c r="A295" s="19" t="s">
        <v>1961</v>
      </c>
      <c r="B295" s="19" t="s">
        <v>943</v>
      </c>
      <c r="C295" s="19" t="s">
        <v>944</v>
      </c>
      <c r="D295" s="19" t="s">
        <v>148</v>
      </c>
      <c r="E295" s="19" t="s">
        <v>147</v>
      </c>
      <c r="F295" s="19" t="s">
        <v>181</v>
      </c>
      <c r="G295" s="19" t="n">
        <v>38</v>
      </c>
      <c r="H295" s="19" t="s">
        <v>182</v>
      </c>
      <c r="I295" s="20" t="n">
        <v>84.64</v>
      </c>
      <c r="J295" s="19" t="n">
        <f aca="false">IF(I295="","",MIN(Overview!$B$8,MAX(1,CEILING(I295/Overview!$B$7,1))))</f>
        <v>17</v>
      </c>
      <c r="K295" s="19" t="n">
        <v>1</v>
      </c>
      <c r="L295" s="19"/>
      <c r="M295" s="20" t="n">
        <v>3.67</v>
      </c>
      <c r="N295" s="19"/>
      <c r="O295" s="19"/>
      <c r="P295" s="19" t="s">
        <v>1356</v>
      </c>
      <c r="Q295" s="19" t="s">
        <v>1021</v>
      </c>
      <c r="R295" s="21" t="n">
        <v>36603</v>
      </c>
      <c r="S295" s="19" t="s">
        <v>1357</v>
      </c>
      <c r="T295" s="19" t="s">
        <v>1962</v>
      </c>
      <c r="U295" s="19" t="str">
        <f aca="false">HYPERLINK("https://macaulaylibrary.org/asset/156785351","Open")</f>
        <v>Open</v>
      </c>
      <c r="V295" s="19"/>
    </row>
    <row r="296" customFormat="false" ht="15" hidden="false" customHeight="false" outlineLevel="0" collapsed="false">
      <c r="A296" s="19" t="s">
        <v>1963</v>
      </c>
      <c r="B296" s="19" t="s">
        <v>943</v>
      </c>
      <c r="C296" s="19" t="s">
        <v>944</v>
      </c>
      <c r="D296" s="19" t="s">
        <v>148</v>
      </c>
      <c r="E296" s="19" t="s">
        <v>147</v>
      </c>
      <c r="F296" s="19" t="s">
        <v>181</v>
      </c>
      <c r="G296" s="19" t="n">
        <v>38</v>
      </c>
      <c r="H296" s="19" t="s">
        <v>182</v>
      </c>
      <c r="I296" s="20" t="n">
        <v>124.51</v>
      </c>
      <c r="J296" s="19" t="n">
        <f aca="false">IF(I296="","",MIN(Overview!$B$8,MAX(1,CEILING(I296/Overview!$B$7,1))))</f>
        <v>25</v>
      </c>
      <c r="K296" s="19" t="n">
        <v>1</v>
      </c>
      <c r="L296" s="19"/>
      <c r="M296" s="20" t="n">
        <v>3.5</v>
      </c>
      <c r="N296" s="19"/>
      <c r="O296" s="19"/>
      <c r="P296" s="19" t="s">
        <v>1964</v>
      </c>
      <c r="Q296" s="19" t="s">
        <v>1021</v>
      </c>
      <c r="R296" s="21" t="n">
        <v>36604</v>
      </c>
      <c r="S296" s="19" t="s">
        <v>1081</v>
      </c>
      <c r="T296" s="19" t="s">
        <v>1965</v>
      </c>
      <c r="U296" s="19" t="str">
        <f aca="false">HYPERLINK("https://macaulaylibrary.org/asset/156788801","Open")</f>
        <v>Open</v>
      </c>
      <c r="V296" s="19"/>
    </row>
    <row r="297" customFormat="false" ht="15" hidden="false" customHeight="false" outlineLevel="0" collapsed="false">
      <c r="A297" s="19" t="s">
        <v>1966</v>
      </c>
      <c r="B297" s="19" t="s">
        <v>943</v>
      </c>
      <c r="C297" s="19" t="s">
        <v>944</v>
      </c>
      <c r="D297" s="19" t="s">
        <v>148</v>
      </c>
      <c r="E297" s="19" t="s">
        <v>147</v>
      </c>
      <c r="F297" s="19" t="s">
        <v>181</v>
      </c>
      <c r="G297" s="19" t="n">
        <v>38</v>
      </c>
      <c r="H297" s="19" t="s">
        <v>182</v>
      </c>
      <c r="I297" s="20" t="n">
        <v>12.412</v>
      </c>
      <c r="J297" s="19" t="n">
        <f aca="false">IF(I297="","",MIN(Overview!$B$8,MAX(1,CEILING(I297/Overview!$B$7,1))))</f>
        <v>3</v>
      </c>
      <c r="K297" s="19" t="n">
        <v>1</v>
      </c>
      <c r="L297" s="19"/>
      <c r="M297" s="20" t="n">
        <v>4</v>
      </c>
      <c r="N297" s="19"/>
      <c r="O297" s="19"/>
      <c r="P297" s="19" t="s">
        <v>1964</v>
      </c>
      <c r="Q297" s="19" t="s">
        <v>1021</v>
      </c>
      <c r="R297" s="21" t="n">
        <v>36604</v>
      </c>
      <c r="S297" s="19" t="s">
        <v>1081</v>
      </c>
      <c r="T297" s="19" t="s">
        <v>1967</v>
      </c>
      <c r="U297" s="19" t="str">
        <f aca="false">HYPERLINK("https://macaulaylibrary.org/asset/156789171","Open")</f>
        <v>Open</v>
      </c>
      <c r="V297" s="19"/>
    </row>
    <row r="298" customFormat="false" ht="15" hidden="false" customHeight="false" outlineLevel="0" collapsed="false">
      <c r="A298" s="19" t="s">
        <v>1968</v>
      </c>
      <c r="B298" s="19" t="s">
        <v>943</v>
      </c>
      <c r="C298" s="19" t="s">
        <v>944</v>
      </c>
      <c r="D298" s="19" t="s">
        <v>148</v>
      </c>
      <c r="E298" s="19" t="s">
        <v>147</v>
      </c>
      <c r="F298" s="19" t="s">
        <v>181</v>
      </c>
      <c r="G298" s="19" t="n">
        <v>38</v>
      </c>
      <c r="H298" s="19" t="s">
        <v>182</v>
      </c>
      <c r="I298" s="20" t="n">
        <v>130.298</v>
      </c>
      <c r="J298" s="19" t="n">
        <f aca="false">IF(I298="","",MIN(Overview!$B$8,MAX(1,CEILING(I298/Overview!$B$7,1))))</f>
        <v>27</v>
      </c>
      <c r="K298" s="19" t="n">
        <v>1</v>
      </c>
      <c r="L298" s="19"/>
      <c r="M298" s="20" t="n">
        <v>3.2</v>
      </c>
      <c r="N298" s="19"/>
      <c r="O298" s="19"/>
      <c r="P298" s="19" t="s">
        <v>1058</v>
      </c>
      <c r="Q298" s="19" t="s">
        <v>980</v>
      </c>
      <c r="R298" s="21" t="n">
        <v>32555</v>
      </c>
      <c r="S298" s="19" t="s">
        <v>1969</v>
      </c>
      <c r="T298" s="19" t="s">
        <v>1970</v>
      </c>
      <c r="U298" s="19" t="str">
        <f aca="false">HYPERLINK("https://macaulaylibrary.org/asset/215345","Open")</f>
        <v>Open</v>
      </c>
      <c r="V298" s="19" t="s">
        <v>1971</v>
      </c>
    </row>
    <row r="299" customFormat="false" ht="15" hidden="false" customHeight="false" outlineLevel="0" collapsed="false">
      <c r="A299" s="19" t="s">
        <v>1972</v>
      </c>
      <c r="B299" s="19" t="s">
        <v>943</v>
      </c>
      <c r="C299" s="19" t="s">
        <v>944</v>
      </c>
      <c r="D299" s="19" t="s">
        <v>148</v>
      </c>
      <c r="E299" s="19" t="s">
        <v>147</v>
      </c>
      <c r="F299" s="19" t="s">
        <v>181</v>
      </c>
      <c r="G299" s="19" t="n">
        <v>38</v>
      </c>
      <c r="H299" s="19" t="s">
        <v>182</v>
      </c>
      <c r="I299" s="20" t="n">
        <v>273.62</v>
      </c>
      <c r="J299" s="19" t="n">
        <f aca="false">IF(I299="","",MIN(Overview!$B$8,MAX(1,CEILING(I299/Overview!$B$7,1))))</f>
        <v>55</v>
      </c>
      <c r="K299" s="19" t="n">
        <v>1</v>
      </c>
      <c r="L299" s="19"/>
      <c r="M299" s="20" t="n">
        <v>3</v>
      </c>
      <c r="N299" s="19"/>
      <c r="O299" s="19"/>
      <c r="P299" s="19" t="s">
        <v>1730</v>
      </c>
      <c r="Q299" s="19" t="s">
        <v>980</v>
      </c>
      <c r="R299" s="21" t="n">
        <v>32558</v>
      </c>
      <c r="S299" s="19" t="s">
        <v>1973</v>
      </c>
      <c r="T299" s="19" t="s">
        <v>1974</v>
      </c>
      <c r="U299" s="19" t="str">
        <f aca="false">HYPERLINK("https://macaulaylibrary.org/asset/215413","Open")</f>
        <v>Open</v>
      </c>
      <c r="V299" s="19" t="s">
        <v>1971</v>
      </c>
    </row>
    <row r="300" customFormat="false" ht="15" hidden="false" customHeight="false" outlineLevel="0" collapsed="false">
      <c r="A300" s="19" t="s">
        <v>1975</v>
      </c>
      <c r="B300" s="19" t="s">
        <v>943</v>
      </c>
      <c r="C300" s="19" t="s">
        <v>944</v>
      </c>
      <c r="D300" s="19" t="s">
        <v>148</v>
      </c>
      <c r="E300" s="19" t="s">
        <v>147</v>
      </c>
      <c r="F300" s="19" t="s">
        <v>181</v>
      </c>
      <c r="G300" s="19" t="n">
        <v>38</v>
      </c>
      <c r="H300" s="19" t="s">
        <v>182</v>
      </c>
      <c r="I300" s="20" t="n">
        <v>2.027</v>
      </c>
      <c r="J300" s="19" t="n">
        <f aca="false">IF(I300="","",MIN(Overview!$B$8,MAX(1,CEILING(I300/Overview!$B$7,1))))</f>
        <v>1</v>
      </c>
      <c r="K300" s="19" t="n">
        <v>1</v>
      </c>
      <c r="L300" s="19" t="s">
        <v>1048</v>
      </c>
      <c r="M300" s="20"/>
      <c r="N300" s="19"/>
      <c r="O300" s="19"/>
      <c r="P300" s="19" t="s">
        <v>1422</v>
      </c>
      <c r="Q300" s="19" t="s">
        <v>1204</v>
      </c>
      <c r="R300" s="21" t="n">
        <v>44610</v>
      </c>
      <c r="S300" s="19" t="s">
        <v>1423</v>
      </c>
      <c r="T300" s="19" t="s">
        <v>1976</v>
      </c>
      <c r="U300" s="19" t="str">
        <f aca="false">HYPERLINK("https://macaulaylibrary.org/asset/531223801","Open")</f>
        <v>Open</v>
      </c>
      <c r="V300" s="19"/>
    </row>
    <row r="301" customFormat="false" ht="15" hidden="false" customHeight="false" outlineLevel="0" collapsed="false">
      <c r="A301" s="19" t="s">
        <v>1977</v>
      </c>
      <c r="B301" s="19" t="s">
        <v>943</v>
      </c>
      <c r="C301" s="19" t="s">
        <v>944</v>
      </c>
      <c r="D301" s="19" t="s">
        <v>148</v>
      </c>
      <c r="E301" s="19" t="s">
        <v>147</v>
      </c>
      <c r="F301" s="19" t="s">
        <v>181</v>
      </c>
      <c r="G301" s="19" t="n">
        <v>38</v>
      </c>
      <c r="H301" s="19" t="s">
        <v>182</v>
      </c>
      <c r="I301" s="20" t="n">
        <v>5.737</v>
      </c>
      <c r="J301" s="19" t="n">
        <f aca="false">IF(I301="","",MIN(Overview!$B$8,MAX(1,CEILING(I301/Overview!$B$7,1))))</f>
        <v>2</v>
      </c>
      <c r="K301" s="19" t="n">
        <v>1</v>
      </c>
      <c r="L301" s="19"/>
      <c r="M301" s="20"/>
      <c r="N301" s="19"/>
      <c r="O301" s="19"/>
      <c r="P301" s="19" t="s">
        <v>1422</v>
      </c>
      <c r="Q301" s="19" t="s">
        <v>1204</v>
      </c>
      <c r="R301" s="21" t="n">
        <v>44610</v>
      </c>
      <c r="S301" s="19" t="s">
        <v>1423</v>
      </c>
      <c r="T301" s="19" t="s">
        <v>1978</v>
      </c>
      <c r="U301" s="19" t="str">
        <f aca="false">HYPERLINK("https://macaulaylibrary.org/asset/531224091","Open")</f>
        <v>Open</v>
      </c>
      <c r="V301" s="19"/>
    </row>
    <row r="302" customFormat="false" ht="15" hidden="false" customHeight="false" outlineLevel="0" collapsed="false">
      <c r="A302" s="19" t="s">
        <v>1979</v>
      </c>
      <c r="B302" s="19" t="s">
        <v>943</v>
      </c>
      <c r="C302" s="19" t="s">
        <v>944</v>
      </c>
      <c r="D302" s="19" t="s">
        <v>148</v>
      </c>
      <c r="E302" s="19" t="s">
        <v>147</v>
      </c>
      <c r="F302" s="19" t="s">
        <v>181</v>
      </c>
      <c r="G302" s="19" t="n">
        <v>38</v>
      </c>
      <c r="H302" s="19" t="s">
        <v>182</v>
      </c>
      <c r="I302" s="20" t="n">
        <v>12.413</v>
      </c>
      <c r="J302" s="19" t="n">
        <f aca="false">IF(I302="","",MIN(Overview!$B$8,MAX(1,CEILING(I302/Overview!$B$7,1))))</f>
        <v>3</v>
      </c>
      <c r="K302" s="19" t="n">
        <v>1</v>
      </c>
      <c r="L302" s="19"/>
      <c r="M302" s="20"/>
      <c r="N302" s="19"/>
      <c r="O302" s="19"/>
      <c r="P302" s="19" t="s">
        <v>1422</v>
      </c>
      <c r="Q302" s="19" t="s">
        <v>1204</v>
      </c>
      <c r="R302" s="21" t="n">
        <v>44610</v>
      </c>
      <c r="S302" s="19" t="s">
        <v>1423</v>
      </c>
      <c r="T302" s="19" t="s">
        <v>1980</v>
      </c>
      <c r="U302" s="19" t="str">
        <f aca="false">HYPERLINK("https://macaulaylibrary.org/asset/531224591","Open")</f>
        <v>Open</v>
      </c>
      <c r="V302" s="19"/>
    </row>
    <row r="303" customFormat="false" ht="15" hidden="false" customHeight="false" outlineLevel="0" collapsed="false">
      <c r="A303" s="19" t="s">
        <v>1981</v>
      </c>
      <c r="B303" s="19" t="s">
        <v>943</v>
      </c>
      <c r="C303" s="19" t="s">
        <v>944</v>
      </c>
      <c r="D303" s="19" t="s">
        <v>148</v>
      </c>
      <c r="E303" s="19" t="s">
        <v>147</v>
      </c>
      <c r="F303" s="19" t="s">
        <v>181</v>
      </c>
      <c r="G303" s="19" t="n">
        <v>38</v>
      </c>
      <c r="H303" s="19" t="s">
        <v>182</v>
      </c>
      <c r="I303" s="20" t="n">
        <v>4.714</v>
      </c>
      <c r="J303" s="19" t="n">
        <f aca="false">IF(I303="","",MIN(Overview!$B$8,MAX(1,CEILING(I303/Overview!$B$7,1))))</f>
        <v>1</v>
      </c>
      <c r="K303" s="19" t="n">
        <v>1</v>
      </c>
      <c r="L303" s="19" t="s">
        <v>1048</v>
      </c>
      <c r="M303" s="20"/>
      <c r="N303" s="19"/>
      <c r="O303" s="19"/>
      <c r="P303" s="19" t="s">
        <v>1426</v>
      </c>
      <c r="Q303" s="19" t="s">
        <v>1204</v>
      </c>
      <c r="R303" s="21" t="n">
        <v>44611</v>
      </c>
      <c r="S303" s="19" t="s">
        <v>1259</v>
      </c>
      <c r="T303" s="19" t="s">
        <v>1982</v>
      </c>
      <c r="U303" s="19" t="str">
        <f aca="false">HYPERLINK("https://macaulaylibrary.org/asset/531229571","Open")</f>
        <v>Open</v>
      </c>
      <c r="V303" s="19"/>
    </row>
    <row r="304" customFormat="false" ht="15" hidden="false" customHeight="false" outlineLevel="0" collapsed="false">
      <c r="A304" s="19" t="s">
        <v>1983</v>
      </c>
      <c r="B304" s="19" t="s">
        <v>943</v>
      </c>
      <c r="C304" s="19" t="s">
        <v>944</v>
      </c>
      <c r="D304" s="19" t="s">
        <v>148</v>
      </c>
      <c r="E304" s="19" t="s">
        <v>147</v>
      </c>
      <c r="F304" s="19" t="s">
        <v>181</v>
      </c>
      <c r="G304" s="19" t="n">
        <v>38</v>
      </c>
      <c r="H304" s="19" t="s">
        <v>182</v>
      </c>
      <c r="I304" s="20" t="n">
        <v>14.552</v>
      </c>
      <c r="J304" s="19" t="n">
        <f aca="false">IF(I304="","",MIN(Overview!$B$8,MAX(1,CEILING(I304/Overview!$B$7,1))))</f>
        <v>3</v>
      </c>
      <c r="K304" s="19" t="n">
        <v>1</v>
      </c>
      <c r="L304" s="19"/>
      <c r="M304" s="20"/>
      <c r="N304" s="19"/>
      <c r="O304" s="19"/>
      <c r="P304" s="19" t="s">
        <v>1984</v>
      </c>
      <c r="Q304" s="19" t="s">
        <v>1985</v>
      </c>
      <c r="R304" s="21" t="n">
        <v>44874</v>
      </c>
      <c r="S304" s="19" t="s">
        <v>1986</v>
      </c>
      <c r="T304" s="19" t="s">
        <v>1987</v>
      </c>
      <c r="U304" s="19" t="str">
        <f aca="false">HYPERLINK("https://macaulaylibrary.org/asset/539990861","Open")</f>
        <v>Open</v>
      </c>
      <c r="V304" s="19"/>
    </row>
    <row r="305" customFormat="false" ht="15" hidden="false" customHeight="false" outlineLevel="0" collapsed="false">
      <c r="A305" s="19" t="s">
        <v>1988</v>
      </c>
      <c r="B305" s="19" t="s">
        <v>943</v>
      </c>
      <c r="C305" s="19" t="s">
        <v>944</v>
      </c>
      <c r="D305" s="19" t="s">
        <v>148</v>
      </c>
      <c r="E305" s="19" t="s">
        <v>147</v>
      </c>
      <c r="F305" s="19" t="s">
        <v>181</v>
      </c>
      <c r="G305" s="19" t="n">
        <v>38</v>
      </c>
      <c r="H305" s="19" t="s">
        <v>182</v>
      </c>
      <c r="I305" s="20" t="n">
        <v>45.338</v>
      </c>
      <c r="J305" s="19" t="n">
        <f aca="false">IF(I305="","",MIN(Overview!$B$8,MAX(1,CEILING(I305/Overview!$B$7,1))))</f>
        <v>10</v>
      </c>
      <c r="K305" s="19" t="n">
        <v>1</v>
      </c>
      <c r="L305" s="19"/>
      <c r="M305" s="20" t="n">
        <v>3.5</v>
      </c>
      <c r="N305" s="19"/>
      <c r="O305" s="19"/>
      <c r="P305" s="19" t="s">
        <v>1989</v>
      </c>
      <c r="Q305" s="19" t="s">
        <v>1990</v>
      </c>
      <c r="R305" s="21" t="n">
        <v>44999</v>
      </c>
      <c r="S305" s="19" t="s">
        <v>1991</v>
      </c>
      <c r="T305" s="19" t="s">
        <v>1992</v>
      </c>
      <c r="U305" s="19" t="str">
        <f aca="false">HYPERLINK("https://macaulaylibrary.org/asset/552878871","Open")</f>
        <v>Open</v>
      </c>
      <c r="V305" s="19"/>
    </row>
    <row r="306" customFormat="false" ht="15" hidden="false" customHeight="false" outlineLevel="0" collapsed="false">
      <c r="A306" s="19" t="s">
        <v>1993</v>
      </c>
      <c r="B306" s="19" t="s">
        <v>943</v>
      </c>
      <c r="C306" s="19" t="s">
        <v>944</v>
      </c>
      <c r="D306" s="19" t="s">
        <v>148</v>
      </c>
      <c r="E306" s="19" t="s">
        <v>147</v>
      </c>
      <c r="F306" s="19" t="s">
        <v>181</v>
      </c>
      <c r="G306" s="19" t="n">
        <v>38</v>
      </c>
      <c r="H306" s="19" t="s">
        <v>182</v>
      </c>
      <c r="I306" s="20" t="n">
        <v>12.634</v>
      </c>
      <c r="J306" s="19" t="n">
        <f aca="false">IF(I306="","",MIN(Overview!$B$8,MAX(1,CEILING(I306/Overview!$B$7,1))))</f>
        <v>3</v>
      </c>
      <c r="K306" s="19" t="n">
        <v>1</v>
      </c>
      <c r="L306" s="19"/>
      <c r="M306" s="20" t="n">
        <v>3</v>
      </c>
      <c r="N306" s="19"/>
      <c r="O306" s="19"/>
      <c r="P306" s="19" t="s">
        <v>1994</v>
      </c>
      <c r="Q306" s="19" t="s">
        <v>956</v>
      </c>
      <c r="R306" s="21" t="n">
        <v>45300</v>
      </c>
      <c r="S306" s="19" t="s">
        <v>1995</v>
      </c>
      <c r="T306" s="19" t="s">
        <v>1996</v>
      </c>
      <c r="U306" s="19" t="str">
        <f aca="false">HYPERLINK("https://macaulaylibrary.org/asset/613430515","Open")</f>
        <v>Open</v>
      </c>
      <c r="V306" s="19"/>
    </row>
    <row r="307" customFormat="false" ht="15" hidden="false" customHeight="false" outlineLevel="0" collapsed="false">
      <c r="A307" s="19" t="s">
        <v>1997</v>
      </c>
      <c r="B307" s="19" t="s">
        <v>943</v>
      </c>
      <c r="C307" s="19" t="s">
        <v>944</v>
      </c>
      <c r="D307" s="19" t="s">
        <v>148</v>
      </c>
      <c r="E307" s="19" t="s">
        <v>147</v>
      </c>
      <c r="F307" s="19" t="s">
        <v>181</v>
      </c>
      <c r="G307" s="19" t="n">
        <v>38</v>
      </c>
      <c r="H307" s="19" t="s">
        <v>182</v>
      </c>
      <c r="I307" s="20" t="n">
        <v>15.651</v>
      </c>
      <c r="J307" s="19" t="n">
        <f aca="false">IF(I307="","",MIN(Overview!$B$8,MAX(1,CEILING(I307/Overview!$B$7,1))))</f>
        <v>4</v>
      </c>
      <c r="K307" s="19" t="n">
        <v>1</v>
      </c>
      <c r="L307" s="19"/>
      <c r="M307" s="20" t="n">
        <v>3</v>
      </c>
      <c r="N307" s="19"/>
      <c r="O307" s="19"/>
      <c r="P307" s="19" t="s">
        <v>1998</v>
      </c>
      <c r="Q307" s="19" t="s">
        <v>1086</v>
      </c>
      <c r="R307" s="21" t="n">
        <v>45297</v>
      </c>
      <c r="S307" s="19" t="s">
        <v>1999</v>
      </c>
      <c r="T307" s="19" t="s">
        <v>2000</v>
      </c>
      <c r="U307" s="19" t="str">
        <f aca="false">HYPERLINK("https://macaulaylibrary.org/asset/614020209","Open")</f>
        <v>Open</v>
      </c>
      <c r="V307" s="19"/>
    </row>
    <row r="308" customFormat="false" ht="15" hidden="false" customHeight="false" outlineLevel="0" collapsed="false">
      <c r="A308" s="19" t="s">
        <v>2001</v>
      </c>
      <c r="B308" s="19" t="s">
        <v>943</v>
      </c>
      <c r="C308" s="19" t="s">
        <v>944</v>
      </c>
      <c r="D308" s="19" t="s">
        <v>148</v>
      </c>
      <c r="E308" s="19" t="s">
        <v>147</v>
      </c>
      <c r="F308" s="19" t="s">
        <v>181</v>
      </c>
      <c r="G308" s="19" t="n">
        <v>38</v>
      </c>
      <c r="H308" s="19" t="s">
        <v>182</v>
      </c>
      <c r="I308" s="20" t="n">
        <v>61.966</v>
      </c>
      <c r="J308" s="19" t="n">
        <f aca="false">IF(I308="","",MIN(Overview!$B$8,MAX(1,CEILING(I308/Overview!$B$7,1))))</f>
        <v>13</v>
      </c>
      <c r="K308" s="19" t="n">
        <v>1</v>
      </c>
      <c r="L308" s="19"/>
      <c r="M308" s="20"/>
      <c r="N308" s="19"/>
      <c r="O308" s="19"/>
      <c r="P308" s="19" t="s">
        <v>2002</v>
      </c>
      <c r="Q308" s="19" t="s">
        <v>2003</v>
      </c>
      <c r="R308" s="21" t="n">
        <v>45324</v>
      </c>
      <c r="S308" s="19" t="s">
        <v>1144</v>
      </c>
      <c r="T308" s="19" t="s">
        <v>2004</v>
      </c>
      <c r="U308" s="19" t="str">
        <f aca="false">HYPERLINK("https://macaulaylibrary.org/asset/615003327","Open")</f>
        <v>Open</v>
      </c>
      <c r="V308" s="19"/>
    </row>
    <row r="309" customFormat="false" ht="15" hidden="false" customHeight="false" outlineLevel="0" collapsed="false">
      <c r="A309" s="19" t="s">
        <v>2005</v>
      </c>
      <c r="B309" s="19" t="s">
        <v>943</v>
      </c>
      <c r="C309" s="19" t="s">
        <v>944</v>
      </c>
      <c r="D309" s="19" t="s">
        <v>148</v>
      </c>
      <c r="E309" s="19" t="s">
        <v>147</v>
      </c>
      <c r="F309" s="19" t="s">
        <v>181</v>
      </c>
      <c r="G309" s="19" t="n">
        <v>38</v>
      </c>
      <c r="H309" s="19" t="s">
        <v>182</v>
      </c>
      <c r="I309" s="20" t="n">
        <v>18.691</v>
      </c>
      <c r="J309" s="19" t="n">
        <f aca="false">IF(I309="","",MIN(Overview!$B$8,MAX(1,CEILING(I309/Overview!$B$7,1))))</f>
        <v>4</v>
      </c>
      <c r="K309" s="19" t="n">
        <v>1</v>
      </c>
      <c r="L309" s="19"/>
      <c r="M309" s="20"/>
      <c r="N309" s="19"/>
      <c r="O309" s="19"/>
      <c r="P309" s="19" t="s">
        <v>2006</v>
      </c>
      <c r="Q309" s="19" t="s">
        <v>2007</v>
      </c>
      <c r="R309" s="21" t="n">
        <v>45032</v>
      </c>
      <c r="S309" s="19" t="s">
        <v>2008</v>
      </c>
      <c r="T309" s="19" t="s">
        <v>2009</v>
      </c>
      <c r="U309" s="19" t="str">
        <f aca="false">HYPERLINK("https://macaulaylibrary.org/asset/615222589","Open")</f>
        <v>Open</v>
      </c>
      <c r="V309" s="19"/>
    </row>
    <row r="310" customFormat="false" ht="15" hidden="false" customHeight="false" outlineLevel="0" collapsed="false">
      <c r="A310" s="19" t="s">
        <v>2010</v>
      </c>
      <c r="B310" s="19" t="s">
        <v>943</v>
      </c>
      <c r="C310" s="19" t="s">
        <v>944</v>
      </c>
      <c r="D310" s="19" t="s">
        <v>148</v>
      </c>
      <c r="E310" s="19" t="s">
        <v>147</v>
      </c>
      <c r="F310" s="19" t="s">
        <v>181</v>
      </c>
      <c r="G310" s="19" t="n">
        <v>38</v>
      </c>
      <c r="H310" s="19" t="s">
        <v>182</v>
      </c>
      <c r="I310" s="20" t="n">
        <v>61.145</v>
      </c>
      <c r="J310" s="19" t="n">
        <f aca="false">IF(I310="","",MIN(Overview!$B$8,MAX(1,CEILING(I310/Overview!$B$7,1))))</f>
        <v>13</v>
      </c>
      <c r="K310" s="19" t="n">
        <v>1</v>
      </c>
      <c r="L310" s="19"/>
      <c r="M310" s="20"/>
      <c r="N310" s="19"/>
      <c r="O310" s="19" t="s">
        <v>206</v>
      </c>
      <c r="P310" s="19" t="s">
        <v>2011</v>
      </c>
      <c r="Q310" s="19" t="s">
        <v>2012</v>
      </c>
      <c r="R310" s="21" t="n">
        <v>45677</v>
      </c>
      <c r="S310" s="19" t="s">
        <v>1137</v>
      </c>
      <c r="T310" s="19" t="s">
        <v>2013</v>
      </c>
      <c r="U310" s="19" t="str">
        <f aca="false">HYPERLINK("https://macaulaylibrary.org/asset/630268902","Open")</f>
        <v>Open</v>
      </c>
      <c r="V310" s="19"/>
    </row>
    <row r="311" customFormat="false" ht="15" hidden="false" customHeight="false" outlineLevel="0" collapsed="false">
      <c r="A311" s="19" t="s">
        <v>2014</v>
      </c>
      <c r="B311" s="19" t="s">
        <v>943</v>
      </c>
      <c r="C311" s="19" t="s">
        <v>944</v>
      </c>
      <c r="D311" s="19" t="s">
        <v>148</v>
      </c>
      <c r="E311" s="19" t="s">
        <v>147</v>
      </c>
      <c r="F311" s="19" t="s">
        <v>181</v>
      </c>
      <c r="G311" s="19" t="n">
        <v>38</v>
      </c>
      <c r="H311" s="19" t="s">
        <v>182</v>
      </c>
      <c r="I311" s="20" t="n">
        <v>11.667</v>
      </c>
      <c r="J311" s="19" t="n">
        <f aca="false">IF(I311="","",MIN(Overview!$B$8,MAX(1,CEILING(I311/Overview!$B$7,1))))</f>
        <v>3</v>
      </c>
      <c r="K311" s="19" t="n">
        <v>1</v>
      </c>
      <c r="L311" s="19"/>
      <c r="M311" s="20"/>
      <c r="N311" s="19"/>
      <c r="O311" s="19"/>
      <c r="P311" s="19" t="s">
        <v>1477</v>
      </c>
      <c r="Q311" s="19" t="s">
        <v>1478</v>
      </c>
      <c r="R311" s="21" t="n">
        <v>45715</v>
      </c>
      <c r="S311" s="19" t="s">
        <v>1479</v>
      </c>
      <c r="T311" s="19" t="s">
        <v>2015</v>
      </c>
      <c r="U311" s="19" t="str">
        <f aca="false">HYPERLINK("https://macaulaylibrary.org/asset/632692470","Open")</f>
        <v>Open</v>
      </c>
      <c r="V311" s="19"/>
    </row>
    <row r="312" customFormat="false" ht="15" hidden="false" customHeight="false" outlineLevel="0" collapsed="false">
      <c r="A312" s="19" t="s">
        <v>2016</v>
      </c>
      <c r="B312" s="19" t="s">
        <v>943</v>
      </c>
      <c r="C312" s="19" t="s">
        <v>944</v>
      </c>
      <c r="D312" s="19" t="s">
        <v>148</v>
      </c>
      <c r="E312" s="19" t="s">
        <v>147</v>
      </c>
      <c r="F312" s="19" t="s">
        <v>181</v>
      </c>
      <c r="G312" s="19" t="n">
        <v>38</v>
      </c>
      <c r="H312" s="19" t="s">
        <v>182</v>
      </c>
      <c r="I312" s="20" t="n">
        <v>4.944</v>
      </c>
      <c r="J312" s="19" t="n">
        <f aca="false">IF(I312="","",MIN(Overview!$B$8,MAX(1,CEILING(I312/Overview!$B$7,1))))</f>
        <v>1</v>
      </c>
      <c r="K312" s="19" t="n">
        <v>1</v>
      </c>
      <c r="L312" s="19" t="s">
        <v>1048</v>
      </c>
      <c r="M312" s="20" t="n">
        <v>3</v>
      </c>
      <c r="N312" s="19"/>
      <c r="O312" s="19"/>
      <c r="P312" s="19" t="s">
        <v>1477</v>
      </c>
      <c r="Q312" s="19" t="s">
        <v>1478</v>
      </c>
      <c r="R312" s="21" t="n">
        <v>45715</v>
      </c>
      <c r="S312" s="19" t="s">
        <v>1479</v>
      </c>
      <c r="T312" s="19" t="s">
        <v>2017</v>
      </c>
      <c r="U312" s="19" t="str">
        <f aca="false">HYPERLINK("https://macaulaylibrary.org/asset/632692588","Open")</f>
        <v>Open</v>
      </c>
      <c r="V312" s="19"/>
    </row>
    <row r="313" customFormat="false" ht="15" hidden="false" customHeight="false" outlineLevel="0" collapsed="false">
      <c r="A313" s="19" t="s">
        <v>2018</v>
      </c>
      <c r="B313" s="19" t="s">
        <v>943</v>
      </c>
      <c r="C313" s="19" t="s">
        <v>944</v>
      </c>
      <c r="D313" s="19" t="s">
        <v>148</v>
      </c>
      <c r="E313" s="19" t="s">
        <v>147</v>
      </c>
      <c r="F313" s="19" t="s">
        <v>181</v>
      </c>
      <c r="G313" s="19" t="n">
        <v>38</v>
      </c>
      <c r="H313" s="19" t="s">
        <v>182</v>
      </c>
      <c r="I313" s="20" t="n">
        <v>16.46</v>
      </c>
      <c r="J313" s="19" t="n">
        <f aca="false">IF(I313="","",MIN(Overview!$B$8,MAX(1,CEILING(I313/Overview!$B$7,1))))</f>
        <v>4</v>
      </c>
      <c r="K313" s="19" t="n">
        <v>1</v>
      </c>
      <c r="L313" s="19"/>
      <c r="M313" s="20"/>
      <c r="N313" s="19"/>
      <c r="O313" s="19"/>
      <c r="P313" s="19" t="s">
        <v>2019</v>
      </c>
      <c r="Q313" s="19" t="s">
        <v>2020</v>
      </c>
      <c r="R313" s="21" t="n">
        <v>45741</v>
      </c>
      <c r="S313" s="19" t="s">
        <v>1643</v>
      </c>
      <c r="T313" s="19" t="s">
        <v>2021</v>
      </c>
      <c r="U313" s="19" t="str">
        <f aca="false">HYPERLINK("https://macaulaylibrary.org/asset/633877497","Open")</f>
        <v>Open</v>
      </c>
      <c r="V313" s="19"/>
    </row>
    <row r="314" customFormat="false" ht="15" hidden="false" customHeight="false" outlineLevel="0" collapsed="false">
      <c r="A314" s="19" t="s">
        <v>2022</v>
      </c>
      <c r="B314" s="19" t="s">
        <v>943</v>
      </c>
      <c r="C314" s="19" t="s">
        <v>944</v>
      </c>
      <c r="D314" s="19" t="s">
        <v>148</v>
      </c>
      <c r="E314" s="19" t="s">
        <v>147</v>
      </c>
      <c r="F314" s="19" t="s">
        <v>181</v>
      </c>
      <c r="G314" s="19" t="n">
        <v>38</v>
      </c>
      <c r="H314" s="19" t="s">
        <v>182</v>
      </c>
      <c r="I314" s="20" t="n">
        <v>18.489</v>
      </c>
      <c r="J314" s="19" t="n">
        <f aca="false">IF(I314="","",MIN(Overview!$B$8,MAX(1,CEILING(I314/Overview!$B$7,1))))</f>
        <v>4</v>
      </c>
      <c r="K314" s="19" t="n">
        <v>1</v>
      </c>
      <c r="L314" s="19"/>
      <c r="M314" s="20" t="n">
        <v>3</v>
      </c>
      <c r="N314" s="19"/>
      <c r="O314" s="19"/>
      <c r="P314" s="19" t="s">
        <v>2023</v>
      </c>
      <c r="Q314" s="19" t="s">
        <v>1483</v>
      </c>
      <c r="R314" s="21" t="n">
        <v>45291</v>
      </c>
      <c r="S314" s="19" t="s">
        <v>1167</v>
      </c>
      <c r="T314" s="19" t="s">
        <v>2024</v>
      </c>
      <c r="U314" s="19" t="str">
        <f aca="false">HYPERLINK("https://macaulaylibrary.org/asset/638950777","Open")</f>
        <v>Open</v>
      </c>
      <c r="V314" s="19"/>
    </row>
    <row r="315" customFormat="false" ht="15" hidden="false" customHeight="false" outlineLevel="0" collapsed="false">
      <c r="A315" s="19" t="s">
        <v>2025</v>
      </c>
      <c r="B315" s="19" t="s">
        <v>943</v>
      </c>
      <c r="C315" s="19" t="s">
        <v>944</v>
      </c>
      <c r="D315" s="19" t="s">
        <v>148</v>
      </c>
      <c r="E315" s="19" t="s">
        <v>147</v>
      </c>
      <c r="F315" s="19" t="s">
        <v>181</v>
      </c>
      <c r="G315" s="19" t="n">
        <v>38</v>
      </c>
      <c r="H315" s="19" t="s">
        <v>182</v>
      </c>
      <c r="I315" s="20" t="n">
        <v>29.976</v>
      </c>
      <c r="J315" s="19" t="n">
        <f aca="false">IF(I315="","",MIN(Overview!$B$8,MAX(1,CEILING(I315/Overview!$B$7,1))))</f>
        <v>6</v>
      </c>
      <c r="K315" s="19" t="n">
        <v>1</v>
      </c>
      <c r="L315" s="19"/>
      <c r="M315" s="20" t="n">
        <v>5</v>
      </c>
      <c r="N315" s="19"/>
      <c r="O315" s="19"/>
      <c r="P315" s="19" t="s">
        <v>2026</v>
      </c>
      <c r="Q315" s="19" t="s">
        <v>1091</v>
      </c>
      <c r="R315" s="21" t="n">
        <v>45844</v>
      </c>
      <c r="S315" s="19" t="s">
        <v>2027</v>
      </c>
      <c r="T315" s="19" t="s">
        <v>2028</v>
      </c>
      <c r="U315" s="19" t="str">
        <f aca="false">HYPERLINK("https://macaulaylibrary.org/asset/643527679","Open")</f>
        <v>Open</v>
      </c>
      <c r="V315" s="19"/>
    </row>
    <row r="316" customFormat="false" ht="15" hidden="false" customHeight="false" outlineLevel="0" collapsed="false">
      <c r="A316" s="19" t="s">
        <v>2029</v>
      </c>
      <c r="B316" s="19" t="s">
        <v>943</v>
      </c>
      <c r="C316" s="19" t="s">
        <v>944</v>
      </c>
      <c r="D316" s="19" t="s">
        <v>148</v>
      </c>
      <c r="E316" s="19" t="s">
        <v>147</v>
      </c>
      <c r="F316" s="19" t="s">
        <v>181</v>
      </c>
      <c r="G316" s="19" t="n">
        <v>38</v>
      </c>
      <c r="H316" s="19" t="s">
        <v>182</v>
      </c>
      <c r="I316" s="20" t="n">
        <v>15.501</v>
      </c>
      <c r="J316" s="19" t="n">
        <f aca="false">IF(I316="","",MIN(Overview!$B$8,MAX(1,CEILING(I316/Overview!$B$7,1))))</f>
        <v>4</v>
      </c>
      <c r="K316" s="19" t="n">
        <v>1</v>
      </c>
      <c r="L316" s="19"/>
      <c r="M316" s="20" t="n">
        <v>2</v>
      </c>
      <c r="N316" s="19"/>
      <c r="O316" s="19" t="s">
        <v>144</v>
      </c>
      <c r="P316" s="19" t="s">
        <v>2030</v>
      </c>
      <c r="Q316" s="19" t="s">
        <v>990</v>
      </c>
      <c r="R316" s="21" t="n">
        <v>45641</v>
      </c>
      <c r="S316" s="19" t="s">
        <v>1880</v>
      </c>
      <c r="T316" s="19" t="s">
        <v>2031</v>
      </c>
      <c r="U316" s="19" t="str">
        <f aca="false">HYPERLINK("https://macaulaylibrary.org/asset/645560924","Open")</f>
        <v>Open</v>
      </c>
      <c r="V316" s="19"/>
    </row>
    <row r="317" customFormat="false" ht="15" hidden="false" customHeight="false" outlineLevel="0" collapsed="false">
      <c r="A317" s="19" t="s">
        <v>2032</v>
      </c>
      <c r="B317" s="19" t="s">
        <v>943</v>
      </c>
      <c r="C317" s="19" t="s">
        <v>944</v>
      </c>
      <c r="D317" s="19" t="s">
        <v>148</v>
      </c>
      <c r="E317" s="19" t="s">
        <v>147</v>
      </c>
      <c r="F317" s="19" t="s">
        <v>181</v>
      </c>
      <c r="G317" s="19" t="n">
        <v>38</v>
      </c>
      <c r="H317" s="19" t="s">
        <v>182</v>
      </c>
      <c r="I317" s="20" t="n">
        <v>11.64</v>
      </c>
      <c r="J317" s="19" t="n">
        <f aca="false">IF(I317="","",MIN(Overview!$B$8,MAX(1,CEILING(I317/Overview!$B$7,1))))</f>
        <v>3</v>
      </c>
      <c r="K317" s="19" t="n">
        <v>1</v>
      </c>
      <c r="L317" s="19"/>
      <c r="M317" s="20" t="n">
        <v>3</v>
      </c>
      <c r="N317" s="19"/>
      <c r="O317" s="19"/>
      <c r="P317" s="19" t="s">
        <v>1512</v>
      </c>
      <c r="Q317" s="19" t="s">
        <v>1513</v>
      </c>
      <c r="R317" s="21" t="n">
        <v>45760</v>
      </c>
      <c r="S317" s="19" t="s">
        <v>1036</v>
      </c>
      <c r="T317" s="19" t="s">
        <v>2033</v>
      </c>
      <c r="U317" s="19" t="str">
        <f aca="false">HYPERLINK("https://macaulaylibrary.org/asset/646477785","Open")</f>
        <v>Open</v>
      </c>
      <c r="V317" s="19"/>
    </row>
    <row r="318" customFormat="false" ht="15" hidden="false" customHeight="false" outlineLevel="0" collapsed="false">
      <c r="A318" s="19" t="s">
        <v>2034</v>
      </c>
      <c r="B318" s="19" t="s">
        <v>943</v>
      </c>
      <c r="C318" s="19" t="s">
        <v>944</v>
      </c>
      <c r="D318" s="19" t="s">
        <v>148</v>
      </c>
      <c r="E318" s="19" t="s">
        <v>147</v>
      </c>
      <c r="F318" s="19" t="s">
        <v>181</v>
      </c>
      <c r="G318" s="19" t="n">
        <v>38</v>
      </c>
      <c r="H318" s="19" t="s">
        <v>182</v>
      </c>
      <c r="I318" s="20" t="n">
        <v>40.171</v>
      </c>
      <c r="J318" s="19" t="n">
        <f aca="false">IF(I318="","",MIN(Overview!$B$8,MAX(1,CEILING(I318/Overview!$B$7,1))))</f>
        <v>9</v>
      </c>
      <c r="K318" s="19" t="n">
        <v>1</v>
      </c>
      <c r="L318" s="19"/>
      <c r="M318" s="20" t="n">
        <v>4</v>
      </c>
      <c r="N318" s="19"/>
      <c r="O318" s="19" t="s">
        <v>243</v>
      </c>
      <c r="P318" s="19" t="s">
        <v>2035</v>
      </c>
      <c r="Q318" s="19" t="s">
        <v>1502</v>
      </c>
      <c r="R318" s="21" t="n">
        <v>45941</v>
      </c>
      <c r="S318" s="19" t="s">
        <v>2036</v>
      </c>
      <c r="T318" s="19" t="s">
        <v>2037</v>
      </c>
      <c r="U318" s="19" t="str">
        <f aca="false">HYPERLINK("https://macaulaylibrary.org/asset/648831722","Open")</f>
        <v>Open</v>
      </c>
      <c r="V318" s="19"/>
    </row>
    <row r="319" customFormat="false" ht="15" hidden="false" customHeight="false" outlineLevel="0" collapsed="false">
      <c r="A319" s="19" t="s">
        <v>2038</v>
      </c>
      <c r="B319" s="19" t="s">
        <v>943</v>
      </c>
      <c r="C319" s="19" t="s">
        <v>944</v>
      </c>
      <c r="D319" s="19" t="s">
        <v>148</v>
      </c>
      <c r="E319" s="19" t="s">
        <v>147</v>
      </c>
      <c r="F319" s="19" t="s">
        <v>181</v>
      </c>
      <c r="G319" s="19" t="n">
        <v>38</v>
      </c>
      <c r="H319" s="19" t="s">
        <v>182</v>
      </c>
      <c r="I319" s="20" t="n">
        <v>37.597</v>
      </c>
      <c r="J319" s="19" t="n">
        <f aca="false">IF(I319="","",MIN(Overview!$B$8,MAX(1,CEILING(I319/Overview!$B$7,1))))</f>
        <v>8</v>
      </c>
      <c r="K319" s="19" t="n">
        <v>1</v>
      </c>
      <c r="L319" s="19"/>
      <c r="M319" s="20" t="n">
        <v>3</v>
      </c>
      <c r="N319" s="19"/>
      <c r="O319" s="19" t="s">
        <v>206</v>
      </c>
      <c r="P319" s="19" t="s">
        <v>2035</v>
      </c>
      <c r="Q319" s="19" t="s">
        <v>1502</v>
      </c>
      <c r="R319" s="21" t="n">
        <v>45941</v>
      </c>
      <c r="S319" s="19" t="s">
        <v>2036</v>
      </c>
      <c r="T319" s="19" t="s">
        <v>2039</v>
      </c>
      <c r="U319" s="19" t="str">
        <f aca="false">HYPERLINK("https://macaulaylibrary.org/asset/648831723","Open")</f>
        <v>Open</v>
      </c>
      <c r="V319" s="19"/>
    </row>
    <row r="320" customFormat="false" ht="15" hidden="false" customHeight="false" outlineLevel="0" collapsed="false">
      <c r="A320" s="19" t="s">
        <v>2040</v>
      </c>
      <c r="B320" s="19" t="s">
        <v>943</v>
      </c>
      <c r="C320" s="19" t="s">
        <v>944</v>
      </c>
      <c r="D320" s="19" t="s">
        <v>148</v>
      </c>
      <c r="E320" s="19" t="s">
        <v>147</v>
      </c>
      <c r="F320" s="19" t="s">
        <v>181</v>
      </c>
      <c r="G320" s="19" t="n">
        <v>38</v>
      </c>
      <c r="H320" s="19" t="s">
        <v>182</v>
      </c>
      <c r="I320" s="20" t="n">
        <v>21.092</v>
      </c>
      <c r="J320" s="19" t="n">
        <f aca="false">IF(I320="","",MIN(Overview!$B$8,MAX(1,CEILING(I320/Overview!$B$7,1))))</f>
        <v>5</v>
      </c>
      <c r="K320" s="19" t="n">
        <v>1</v>
      </c>
      <c r="L320" s="19"/>
      <c r="M320" s="20" t="n">
        <v>3</v>
      </c>
      <c r="N320" s="19"/>
      <c r="O320" s="19"/>
      <c r="P320" s="19" t="s">
        <v>1641</v>
      </c>
      <c r="Q320" s="19" t="s">
        <v>1642</v>
      </c>
      <c r="R320" s="21" t="n">
        <v>45741</v>
      </c>
      <c r="S320" s="19" t="s">
        <v>1643</v>
      </c>
      <c r="T320" s="19" t="s">
        <v>2041</v>
      </c>
      <c r="U320" s="19" t="str">
        <f aca="false">HYPERLINK("https://macaulaylibrary.org/asset/650740209","Open")</f>
        <v>Open</v>
      </c>
      <c r="V320" s="19"/>
    </row>
    <row r="321" customFormat="false" ht="15" hidden="false" customHeight="false" outlineLevel="0" collapsed="false">
      <c r="A321" s="19" t="s">
        <v>2042</v>
      </c>
      <c r="B321" s="19" t="s">
        <v>943</v>
      </c>
      <c r="C321" s="19" t="s">
        <v>944</v>
      </c>
      <c r="D321" s="19" t="s">
        <v>148</v>
      </c>
      <c r="E321" s="19" t="s">
        <v>147</v>
      </c>
      <c r="F321" s="19" t="s">
        <v>181</v>
      </c>
      <c r="G321" s="19" t="n">
        <v>38</v>
      </c>
      <c r="H321" s="19" t="s">
        <v>182</v>
      </c>
      <c r="I321" s="20" t="n">
        <v>6.479</v>
      </c>
      <c r="J321" s="19" t="n">
        <f aca="false">IF(I321="","",MIN(Overview!$B$8,MAX(1,CEILING(I321/Overview!$B$7,1))))</f>
        <v>2</v>
      </c>
      <c r="K321" s="19" t="n">
        <v>1</v>
      </c>
      <c r="L321" s="19"/>
      <c r="M321" s="20"/>
      <c r="N321" s="19"/>
      <c r="O321" s="19"/>
      <c r="P321" s="19" t="s">
        <v>1386</v>
      </c>
      <c r="Q321" s="19" t="s">
        <v>1382</v>
      </c>
      <c r="R321" s="21" t="n">
        <v>46103</v>
      </c>
      <c r="S321" s="19" t="s">
        <v>1387</v>
      </c>
      <c r="T321" s="19" t="s">
        <v>2043</v>
      </c>
      <c r="U321" s="19" t="str">
        <f aca="false">HYPERLINK("https://macaulaylibrary.org/asset/654319821","Open")</f>
        <v>Open</v>
      </c>
      <c r="V321" s="19"/>
    </row>
    <row r="322" customFormat="false" ht="15" hidden="false" customHeight="false" outlineLevel="0" collapsed="false">
      <c r="A322" s="19" t="s">
        <v>2044</v>
      </c>
      <c r="B322" s="19" t="s">
        <v>943</v>
      </c>
      <c r="C322" s="19" t="s">
        <v>944</v>
      </c>
      <c r="D322" s="19" t="s">
        <v>148</v>
      </c>
      <c r="E322" s="19" t="s">
        <v>147</v>
      </c>
      <c r="F322" s="19" t="s">
        <v>181</v>
      </c>
      <c r="G322" s="19" t="n">
        <v>38</v>
      </c>
      <c r="H322" s="19" t="s">
        <v>182</v>
      </c>
      <c r="I322" s="20" t="n">
        <v>27.178</v>
      </c>
      <c r="J322" s="19" t="n">
        <f aca="false">IF(I322="","",MIN(Overview!$B$8,MAX(1,CEILING(I322/Overview!$B$7,1))))</f>
        <v>6</v>
      </c>
      <c r="K322" s="19" t="n">
        <v>1</v>
      </c>
      <c r="L322" s="19"/>
      <c r="M322" s="20"/>
      <c r="N322" s="19"/>
      <c r="O322" s="19"/>
      <c r="P322" s="19" t="s">
        <v>2045</v>
      </c>
      <c r="Q322" s="19" t="s">
        <v>2046</v>
      </c>
      <c r="R322" s="21" t="n">
        <v>46104</v>
      </c>
      <c r="S322" s="19" t="s">
        <v>2047</v>
      </c>
      <c r="T322" s="19" t="s">
        <v>2048</v>
      </c>
      <c r="U322" s="19" t="str">
        <f aca="false">HYPERLINK("https://macaulaylibrary.org/asset/654440888","Open")</f>
        <v>Open</v>
      </c>
      <c r="V322" s="19"/>
    </row>
    <row r="323" customFormat="false" ht="15" hidden="false" customHeight="false" outlineLevel="0" collapsed="false">
      <c r="A323" s="19" t="s">
        <v>2049</v>
      </c>
      <c r="B323" s="19" t="s">
        <v>943</v>
      </c>
      <c r="C323" s="19" t="s">
        <v>944</v>
      </c>
      <c r="D323" s="19" t="s">
        <v>148</v>
      </c>
      <c r="E323" s="19" t="s">
        <v>147</v>
      </c>
      <c r="F323" s="19" t="s">
        <v>181</v>
      </c>
      <c r="G323" s="19" t="n">
        <v>38</v>
      </c>
      <c r="H323" s="19" t="s">
        <v>182</v>
      </c>
      <c r="I323" s="20" t="n">
        <v>66.494</v>
      </c>
      <c r="J323" s="19" t="n">
        <f aca="false">IF(I323="","",MIN(Overview!$B$8,MAX(1,CEILING(I323/Overview!$B$7,1))))</f>
        <v>14</v>
      </c>
      <c r="K323" s="19" t="n">
        <v>1</v>
      </c>
      <c r="L323" s="19"/>
      <c r="M323" s="20" t="n">
        <v>3</v>
      </c>
      <c r="N323" s="19"/>
      <c r="O323" s="19"/>
      <c r="P323" s="19" t="s">
        <v>1573</v>
      </c>
      <c r="Q323" s="19" t="s">
        <v>1021</v>
      </c>
      <c r="R323" s="21" t="n">
        <v>35861</v>
      </c>
      <c r="S323" s="19" t="s">
        <v>1574</v>
      </c>
      <c r="T323" s="19" t="s">
        <v>2050</v>
      </c>
      <c r="U323" s="19" t="str">
        <f aca="false">HYPERLINK("https://macaulaylibrary.org/asset/99569601","Open")</f>
        <v>Open</v>
      </c>
      <c r="V323" s="19"/>
    </row>
    <row r="324" customFormat="false" ht="15" hidden="false" customHeight="false" outlineLevel="0" collapsed="false">
      <c r="A324" s="19" t="s">
        <v>2051</v>
      </c>
      <c r="B324" s="19" t="s">
        <v>943</v>
      </c>
      <c r="C324" s="19" t="s">
        <v>944</v>
      </c>
      <c r="D324" s="19" t="s">
        <v>148</v>
      </c>
      <c r="E324" s="19" t="s">
        <v>147</v>
      </c>
      <c r="F324" s="19" t="s">
        <v>181</v>
      </c>
      <c r="G324" s="19" t="n">
        <v>38</v>
      </c>
      <c r="H324" s="19" t="s">
        <v>182</v>
      </c>
      <c r="I324" s="20" t="n">
        <v>204.353</v>
      </c>
      <c r="J324" s="19" t="n">
        <f aca="false">IF(I324="","",MIN(Overview!$B$8,MAX(1,CEILING(I324/Overview!$B$7,1))))</f>
        <v>41</v>
      </c>
      <c r="K324" s="19" t="n">
        <v>1</v>
      </c>
      <c r="L324" s="19"/>
      <c r="M324" s="20" t="n">
        <v>4</v>
      </c>
      <c r="N324" s="19"/>
      <c r="O324" s="19"/>
      <c r="P324" s="19" t="s">
        <v>1573</v>
      </c>
      <c r="Q324" s="19" t="s">
        <v>1021</v>
      </c>
      <c r="R324" s="21" t="n">
        <v>35861</v>
      </c>
      <c r="S324" s="19" t="s">
        <v>1574</v>
      </c>
      <c r="T324" s="19" t="s">
        <v>2052</v>
      </c>
      <c r="U324" s="19" t="str">
        <f aca="false">HYPERLINK("https://macaulaylibrary.org/asset/99570751","Open")</f>
        <v>Open</v>
      </c>
      <c r="V324" s="19"/>
    </row>
    <row r="325" customFormat="false" ht="15" hidden="false" customHeight="false" outlineLevel="0" collapsed="false">
      <c r="A325" s="19" t="s">
        <v>2053</v>
      </c>
      <c r="B325" s="19" t="s">
        <v>943</v>
      </c>
      <c r="C325" s="19" t="s">
        <v>944</v>
      </c>
      <c r="D325" s="19" t="s">
        <v>148</v>
      </c>
      <c r="E325" s="19" t="s">
        <v>147</v>
      </c>
      <c r="F325" s="19" t="s">
        <v>184</v>
      </c>
      <c r="G325" s="19" t="n">
        <v>39</v>
      </c>
      <c r="H325" s="19" t="s">
        <v>185</v>
      </c>
      <c r="I325" s="20" t="n">
        <v>0.867</v>
      </c>
      <c r="J325" s="19" t="n">
        <f aca="false">IF(I325="","",MIN(Overview!$B$8,MAX(1,CEILING(I325/Overview!$B$7,1))))</f>
        <v>1</v>
      </c>
      <c r="K325" s="19" t="n">
        <v>1</v>
      </c>
      <c r="L325" s="19" t="s">
        <v>1048</v>
      </c>
      <c r="M325" s="20" t="n">
        <v>3</v>
      </c>
      <c r="N325" s="19"/>
      <c r="O325" s="19"/>
      <c r="P325" s="19" t="s">
        <v>2054</v>
      </c>
      <c r="Q325" s="19" t="s">
        <v>2055</v>
      </c>
      <c r="R325" s="21" t="n">
        <v>43511</v>
      </c>
      <c r="S325" s="19" t="s">
        <v>2056</v>
      </c>
      <c r="T325" s="19" t="s">
        <v>2057</v>
      </c>
      <c r="U325" s="19" t="str">
        <f aca="false">HYPERLINK("https://macaulaylibrary.org/asset/169970561","Open")</f>
        <v>Open</v>
      </c>
      <c r="V325" s="19"/>
    </row>
    <row r="326" customFormat="false" ht="15" hidden="false" customHeight="false" outlineLevel="0" collapsed="false">
      <c r="A326" s="19" t="s">
        <v>2058</v>
      </c>
      <c r="B326" s="19" t="s">
        <v>943</v>
      </c>
      <c r="C326" s="19" t="s">
        <v>944</v>
      </c>
      <c r="D326" s="19" t="s">
        <v>148</v>
      </c>
      <c r="E326" s="19" t="s">
        <v>147</v>
      </c>
      <c r="F326" s="19" t="s">
        <v>184</v>
      </c>
      <c r="G326" s="19" t="n">
        <v>39</v>
      </c>
      <c r="H326" s="19" t="s">
        <v>185</v>
      </c>
      <c r="I326" s="20" t="n">
        <v>550.394</v>
      </c>
      <c r="J326" s="19" t="n">
        <f aca="false">IF(I326="","",MIN(Overview!$B$8,MAX(1,CEILING(I326/Overview!$B$7,1))))</f>
        <v>111</v>
      </c>
      <c r="K326" s="19" t="n">
        <v>1</v>
      </c>
      <c r="L326" s="19"/>
      <c r="M326" s="20" t="n">
        <v>2</v>
      </c>
      <c r="N326" s="19"/>
      <c r="O326" s="19"/>
      <c r="P326" s="19" t="s">
        <v>1752</v>
      </c>
      <c r="Q326" s="19" t="s">
        <v>980</v>
      </c>
      <c r="R326" s="21" t="n">
        <v>35208</v>
      </c>
      <c r="S326" s="19" t="s">
        <v>1031</v>
      </c>
      <c r="T326" s="19" t="s">
        <v>2059</v>
      </c>
      <c r="U326" s="19" t="str">
        <f aca="false">HYPERLINK("https://macaulaylibrary.org/asset/184790","Open")</f>
        <v>Open</v>
      </c>
      <c r="V326" s="19" t="s">
        <v>2060</v>
      </c>
    </row>
    <row r="327" customFormat="false" ht="15" hidden="false" customHeight="false" outlineLevel="0" collapsed="false">
      <c r="A327" s="19" t="s">
        <v>2061</v>
      </c>
      <c r="B327" s="19" t="s">
        <v>943</v>
      </c>
      <c r="C327" s="19" t="s">
        <v>944</v>
      </c>
      <c r="D327" s="19" t="s">
        <v>148</v>
      </c>
      <c r="E327" s="19" t="s">
        <v>147</v>
      </c>
      <c r="F327" s="19" t="s">
        <v>184</v>
      </c>
      <c r="G327" s="19" t="n">
        <v>39</v>
      </c>
      <c r="H327" s="19" t="s">
        <v>185</v>
      </c>
      <c r="I327" s="20" t="n">
        <v>34.449</v>
      </c>
      <c r="J327" s="19" t="n">
        <f aca="false">IF(I327="","",MIN(Overview!$B$8,MAX(1,CEILING(I327/Overview!$B$7,1))))</f>
        <v>7</v>
      </c>
      <c r="K327" s="19" t="n">
        <v>1</v>
      </c>
      <c r="L327" s="19"/>
      <c r="M327" s="20" t="n">
        <v>2</v>
      </c>
      <c r="N327" s="19"/>
      <c r="O327" s="19"/>
      <c r="P327" s="19" t="s">
        <v>1533</v>
      </c>
      <c r="Q327" s="19" t="s">
        <v>1110</v>
      </c>
      <c r="R327" s="21" t="n">
        <v>36968</v>
      </c>
      <c r="S327" s="19" t="s">
        <v>2062</v>
      </c>
      <c r="T327" s="19" t="s">
        <v>2063</v>
      </c>
      <c r="U327" s="19" t="str">
        <f aca="false">HYPERLINK("https://macaulaylibrary.org/asset/185745","Open")</f>
        <v>Open</v>
      </c>
      <c r="V327" s="19" t="s">
        <v>2060</v>
      </c>
    </row>
    <row r="328" customFormat="false" ht="15" hidden="false" customHeight="false" outlineLevel="0" collapsed="false">
      <c r="A328" s="19" t="s">
        <v>2064</v>
      </c>
      <c r="B328" s="19" t="s">
        <v>943</v>
      </c>
      <c r="C328" s="19" t="s">
        <v>944</v>
      </c>
      <c r="D328" s="19" t="s">
        <v>148</v>
      </c>
      <c r="E328" s="19" t="s">
        <v>147</v>
      </c>
      <c r="F328" s="19" t="s">
        <v>184</v>
      </c>
      <c r="G328" s="19" t="n">
        <v>39</v>
      </c>
      <c r="H328" s="19" t="s">
        <v>185</v>
      </c>
      <c r="I328" s="20" t="n">
        <v>116.19</v>
      </c>
      <c r="J328" s="19" t="n">
        <f aca="false">IF(I328="","",MIN(Overview!$B$8,MAX(1,CEILING(I328/Overview!$B$7,1))))</f>
        <v>24</v>
      </c>
      <c r="K328" s="19" t="n">
        <v>1</v>
      </c>
      <c r="L328" s="19"/>
      <c r="M328" s="20" t="n">
        <v>2</v>
      </c>
      <c r="N328" s="19"/>
      <c r="O328" s="19"/>
      <c r="P328" s="19" t="s">
        <v>1058</v>
      </c>
      <c r="Q328" s="19" t="s">
        <v>980</v>
      </c>
      <c r="R328" s="21" t="n">
        <v>32555</v>
      </c>
      <c r="S328" s="19" t="s">
        <v>2065</v>
      </c>
      <c r="T328" s="19" t="s">
        <v>2066</v>
      </c>
      <c r="U328" s="19" t="str">
        <f aca="false">HYPERLINK("https://macaulaylibrary.org/asset/215347","Open")</f>
        <v>Open</v>
      </c>
      <c r="V328" s="19" t="s">
        <v>2060</v>
      </c>
    </row>
    <row r="329" customFormat="false" ht="15" hidden="false" customHeight="false" outlineLevel="0" collapsed="false">
      <c r="A329" s="19" t="s">
        <v>2067</v>
      </c>
      <c r="B329" s="19" t="s">
        <v>943</v>
      </c>
      <c r="C329" s="19" t="s">
        <v>944</v>
      </c>
      <c r="D329" s="19" t="s">
        <v>148</v>
      </c>
      <c r="E329" s="19" t="s">
        <v>147</v>
      </c>
      <c r="F329" s="19" t="s">
        <v>184</v>
      </c>
      <c r="G329" s="19" t="n">
        <v>39</v>
      </c>
      <c r="H329" s="19" t="s">
        <v>185</v>
      </c>
      <c r="I329" s="20" t="n">
        <v>63.749</v>
      </c>
      <c r="J329" s="19" t="n">
        <f aca="false">IF(I329="","",MIN(Overview!$B$8,MAX(1,CEILING(I329/Overview!$B$7,1))))</f>
        <v>13</v>
      </c>
      <c r="K329" s="19" t="n">
        <v>1</v>
      </c>
      <c r="L329" s="19"/>
      <c r="M329" s="20" t="n">
        <v>2</v>
      </c>
      <c r="N329" s="19"/>
      <c r="O329" s="19"/>
      <c r="P329" s="19" t="s">
        <v>1121</v>
      </c>
      <c r="Q329" s="19" t="s">
        <v>980</v>
      </c>
      <c r="R329" s="21" t="n">
        <v>32556</v>
      </c>
      <c r="S329" s="19"/>
      <c r="T329" s="19" t="s">
        <v>2068</v>
      </c>
      <c r="U329" s="19" t="str">
        <f aca="false">HYPERLINK("https://macaulaylibrary.org/asset/215363","Open")</f>
        <v>Open</v>
      </c>
      <c r="V329" s="19" t="s">
        <v>2060</v>
      </c>
    </row>
    <row r="330" customFormat="false" ht="15" hidden="false" customHeight="false" outlineLevel="0" collapsed="false">
      <c r="A330" s="19" t="s">
        <v>2069</v>
      </c>
      <c r="B330" s="19" t="s">
        <v>943</v>
      </c>
      <c r="C330" s="19" t="s">
        <v>944</v>
      </c>
      <c r="D330" s="19" t="s">
        <v>148</v>
      </c>
      <c r="E330" s="19" t="s">
        <v>147</v>
      </c>
      <c r="F330" s="19" t="s">
        <v>184</v>
      </c>
      <c r="G330" s="19" t="n">
        <v>39</v>
      </c>
      <c r="H330" s="19" t="s">
        <v>185</v>
      </c>
      <c r="I330" s="20" t="n">
        <v>148.567</v>
      </c>
      <c r="J330" s="19" t="n">
        <f aca="false">IF(I330="","",MIN(Overview!$B$8,MAX(1,CEILING(I330/Overview!$B$7,1))))</f>
        <v>30</v>
      </c>
      <c r="K330" s="19" t="n">
        <v>1</v>
      </c>
      <c r="L330" s="19"/>
      <c r="M330" s="20" t="n">
        <v>2</v>
      </c>
      <c r="N330" s="19"/>
      <c r="O330" s="19"/>
      <c r="P330" s="19" t="s">
        <v>1121</v>
      </c>
      <c r="Q330" s="19" t="s">
        <v>980</v>
      </c>
      <c r="R330" s="21" t="n">
        <v>32556</v>
      </c>
      <c r="S330" s="19" t="s">
        <v>2070</v>
      </c>
      <c r="T330" s="19" t="s">
        <v>2071</v>
      </c>
      <c r="U330" s="19" t="str">
        <f aca="false">HYPERLINK("https://macaulaylibrary.org/asset/215366","Open")</f>
        <v>Open</v>
      </c>
      <c r="V330" s="19" t="s">
        <v>2060</v>
      </c>
    </row>
    <row r="331" customFormat="false" ht="15" hidden="false" customHeight="false" outlineLevel="0" collapsed="false">
      <c r="A331" s="19" t="s">
        <v>2072</v>
      </c>
      <c r="B331" s="19" t="s">
        <v>943</v>
      </c>
      <c r="C331" s="19" t="s">
        <v>944</v>
      </c>
      <c r="D331" s="19" t="s">
        <v>148</v>
      </c>
      <c r="E331" s="19" t="s">
        <v>147</v>
      </c>
      <c r="F331" s="19" t="s">
        <v>184</v>
      </c>
      <c r="G331" s="19" t="n">
        <v>39</v>
      </c>
      <c r="H331" s="19" t="s">
        <v>185</v>
      </c>
      <c r="I331" s="20" t="n">
        <v>166.404</v>
      </c>
      <c r="J331" s="19" t="n">
        <f aca="false">IF(I331="","",MIN(Overview!$B$8,MAX(1,CEILING(I331/Overview!$B$7,1))))</f>
        <v>34</v>
      </c>
      <c r="K331" s="19" t="n">
        <v>1</v>
      </c>
      <c r="L331" s="19"/>
      <c r="M331" s="20" t="n">
        <v>3</v>
      </c>
      <c r="N331" s="19"/>
      <c r="O331" s="19"/>
      <c r="P331" s="19" t="s">
        <v>1121</v>
      </c>
      <c r="Q331" s="19" t="s">
        <v>980</v>
      </c>
      <c r="R331" s="21" t="n">
        <v>32556</v>
      </c>
      <c r="S331" s="19"/>
      <c r="T331" s="19" t="s">
        <v>2073</v>
      </c>
      <c r="U331" s="19" t="str">
        <f aca="false">HYPERLINK("https://macaulaylibrary.org/asset/215378","Open")</f>
        <v>Open</v>
      </c>
      <c r="V331" s="19" t="s">
        <v>2060</v>
      </c>
    </row>
    <row r="332" customFormat="false" ht="15" hidden="false" customHeight="false" outlineLevel="0" collapsed="false">
      <c r="A332" s="19" t="s">
        <v>2074</v>
      </c>
      <c r="B332" s="19" t="s">
        <v>943</v>
      </c>
      <c r="C332" s="19" t="s">
        <v>944</v>
      </c>
      <c r="D332" s="19" t="s">
        <v>148</v>
      </c>
      <c r="E332" s="19" t="s">
        <v>147</v>
      </c>
      <c r="F332" s="19" t="s">
        <v>184</v>
      </c>
      <c r="G332" s="19" t="n">
        <v>39</v>
      </c>
      <c r="H332" s="19" t="s">
        <v>185</v>
      </c>
      <c r="I332" s="20" t="n">
        <v>35.927</v>
      </c>
      <c r="J332" s="19" t="n">
        <f aca="false">IF(I332="","",MIN(Overview!$B$8,MAX(1,CEILING(I332/Overview!$B$7,1))))</f>
        <v>8</v>
      </c>
      <c r="K332" s="19" t="n">
        <v>1</v>
      </c>
      <c r="L332" s="19"/>
      <c r="M332" s="20" t="n">
        <v>2</v>
      </c>
      <c r="N332" s="19"/>
      <c r="O332" s="19" t="s">
        <v>162</v>
      </c>
      <c r="P332" s="19" t="s">
        <v>1730</v>
      </c>
      <c r="Q332" s="19" t="s">
        <v>980</v>
      </c>
      <c r="R332" s="21" t="n">
        <v>32558</v>
      </c>
      <c r="S332" s="19" t="s">
        <v>1036</v>
      </c>
      <c r="T332" s="19" t="s">
        <v>2075</v>
      </c>
      <c r="U332" s="19" t="str">
        <f aca="false">HYPERLINK("https://macaulaylibrary.org/asset/215407","Open")</f>
        <v>Open</v>
      </c>
      <c r="V332" s="19" t="s">
        <v>2060</v>
      </c>
    </row>
    <row r="333" customFormat="false" ht="15" hidden="false" customHeight="false" outlineLevel="0" collapsed="false">
      <c r="A333" s="19" t="s">
        <v>2076</v>
      </c>
      <c r="B333" s="19" t="s">
        <v>943</v>
      </c>
      <c r="C333" s="19" t="s">
        <v>944</v>
      </c>
      <c r="D333" s="19" t="s">
        <v>148</v>
      </c>
      <c r="E333" s="19" t="s">
        <v>147</v>
      </c>
      <c r="F333" s="19" t="s">
        <v>184</v>
      </c>
      <c r="G333" s="19" t="n">
        <v>39</v>
      </c>
      <c r="H333" s="19" t="s">
        <v>185</v>
      </c>
      <c r="I333" s="20" t="n">
        <v>65.32</v>
      </c>
      <c r="J333" s="19" t="n">
        <f aca="false">IF(I333="","",MIN(Overview!$B$8,MAX(1,CEILING(I333/Overview!$B$7,1))))</f>
        <v>14</v>
      </c>
      <c r="K333" s="19" t="n">
        <v>1</v>
      </c>
      <c r="L333" s="19"/>
      <c r="M333" s="20" t="n">
        <v>2.5</v>
      </c>
      <c r="N333" s="19"/>
      <c r="O333" s="19" t="s">
        <v>2077</v>
      </c>
      <c r="P333" s="19" t="s">
        <v>2078</v>
      </c>
      <c r="Q333" s="19" t="s">
        <v>2079</v>
      </c>
      <c r="R333" s="21" t="n">
        <v>43511</v>
      </c>
      <c r="S333" s="19" t="s">
        <v>2056</v>
      </c>
      <c r="T333" s="19" t="s">
        <v>2080</v>
      </c>
      <c r="U333" s="19" t="str">
        <f aca="false">HYPERLINK("https://macaulaylibrary.org/asset/246604421","Open")</f>
        <v>Open</v>
      </c>
      <c r="V333" s="19"/>
    </row>
    <row r="334" customFormat="false" ht="15" hidden="false" customHeight="false" outlineLevel="0" collapsed="false">
      <c r="A334" s="19" t="s">
        <v>2081</v>
      </c>
      <c r="B334" s="19" t="s">
        <v>943</v>
      </c>
      <c r="C334" s="19" t="s">
        <v>944</v>
      </c>
      <c r="D334" s="19" t="s">
        <v>148</v>
      </c>
      <c r="E334" s="19" t="s">
        <v>147</v>
      </c>
      <c r="F334" s="19" t="s">
        <v>184</v>
      </c>
      <c r="G334" s="19" t="n">
        <v>39</v>
      </c>
      <c r="H334" s="19" t="s">
        <v>185</v>
      </c>
      <c r="I334" s="20" t="n">
        <v>57.263</v>
      </c>
      <c r="J334" s="19" t="n">
        <f aca="false">IF(I334="","",MIN(Overview!$B$8,MAX(1,CEILING(I334/Overview!$B$7,1))))</f>
        <v>12</v>
      </c>
      <c r="K334" s="19" t="n">
        <v>1</v>
      </c>
      <c r="L334" s="19"/>
      <c r="M334" s="20" t="n">
        <v>3</v>
      </c>
      <c r="N334" s="19"/>
      <c r="O334" s="19"/>
      <c r="P334" s="19" t="s">
        <v>2078</v>
      </c>
      <c r="Q334" s="19" t="s">
        <v>2079</v>
      </c>
      <c r="R334" s="21" t="n">
        <v>43511</v>
      </c>
      <c r="S334" s="19" t="s">
        <v>2056</v>
      </c>
      <c r="T334" s="19" t="s">
        <v>2082</v>
      </c>
      <c r="U334" s="19" t="str">
        <f aca="false">HYPERLINK("https://macaulaylibrary.org/asset/246604471","Open")</f>
        <v>Open</v>
      </c>
      <c r="V334" s="19"/>
    </row>
    <row r="335" customFormat="false" ht="15" hidden="false" customHeight="false" outlineLevel="0" collapsed="false">
      <c r="A335" s="19" t="s">
        <v>2083</v>
      </c>
      <c r="B335" s="19" t="s">
        <v>943</v>
      </c>
      <c r="C335" s="19" t="s">
        <v>944</v>
      </c>
      <c r="D335" s="19" t="s">
        <v>148</v>
      </c>
      <c r="E335" s="19" t="s">
        <v>147</v>
      </c>
      <c r="F335" s="19" t="s">
        <v>184</v>
      </c>
      <c r="G335" s="19" t="n">
        <v>39</v>
      </c>
      <c r="H335" s="19" t="s">
        <v>185</v>
      </c>
      <c r="I335" s="20" t="n">
        <v>17.835</v>
      </c>
      <c r="J335" s="19" t="n">
        <f aca="false">IF(I335="","",MIN(Overview!$B$8,MAX(1,CEILING(I335/Overview!$B$7,1))))</f>
        <v>4</v>
      </c>
      <c r="K335" s="19" t="n">
        <v>1</v>
      </c>
      <c r="L335" s="19"/>
      <c r="M335" s="20" t="n">
        <v>3</v>
      </c>
      <c r="N335" s="19"/>
      <c r="O335" s="19"/>
      <c r="P335" s="19" t="s">
        <v>2084</v>
      </c>
      <c r="Q335" s="19" t="s">
        <v>2085</v>
      </c>
      <c r="R335" s="21" t="n">
        <v>44184</v>
      </c>
      <c r="S335" s="19" t="s">
        <v>1137</v>
      </c>
      <c r="T335" s="19" t="s">
        <v>2086</v>
      </c>
      <c r="U335" s="19" t="str">
        <f aca="false">HYPERLINK("https://macaulaylibrary.org/asset/297140161","Open")</f>
        <v>Open</v>
      </c>
      <c r="V335" s="19"/>
    </row>
    <row r="336" customFormat="false" ht="15" hidden="false" customHeight="false" outlineLevel="0" collapsed="false">
      <c r="A336" s="19" t="s">
        <v>2087</v>
      </c>
      <c r="B336" s="19" t="s">
        <v>943</v>
      </c>
      <c r="C336" s="19" t="s">
        <v>944</v>
      </c>
      <c r="D336" s="19" t="s">
        <v>148</v>
      </c>
      <c r="E336" s="19" t="s">
        <v>147</v>
      </c>
      <c r="F336" s="19" t="s">
        <v>184</v>
      </c>
      <c r="G336" s="19" t="n">
        <v>39</v>
      </c>
      <c r="H336" s="19" t="s">
        <v>185</v>
      </c>
      <c r="I336" s="20" t="n">
        <v>48.024</v>
      </c>
      <c r="J336" s="19" t="n">
        <f aca="false">IF(I336="","",MIN(Overview!$B$8,MAX(1,CEILING(I336/Overview!$B$7,1))))</f>
        <v>10</v>
      </c>
      <c r="K336" s="19" t="n">
        <v>1</v>
      </c>
      <c r="L336" s="19"/>
      <c r="M336" s="20"/>
      <c r="N336" s="19"/>
      <c r="O336" s="19"/>
      <c r="P336" s="19" t="s">
        <v>1029</v>
      </c>
      <c r="Q336" s="19" t="s">
        <v>1030</v>
      </c>
      <c r="R336" s="21" t="n">
        <v>40251</v>
      </c>
      <c r="S336" s="19" t="s">
        <v>2088</v>
      </c>
      <c r="T336" s="19" t="s">
        <v>2089</v>
      </c>
      <c r="U336" s="19" t="str">
        <f aca="false">HYPERLINK("https://macaulaylibrary.org/asset/299667","Open")</f>
        <v>Open</v>
      </c>
      <c r="V336" s="19"/>
    </row>
    <row r="337" customFormat="false" ht="15" hidden="false" customHeight="false" outlineLevel="0" collapsed="false">
      <c r="A337" s="19" t="s">
        <v>2090</v>
      </c>
      <c r="B337" s="19" t="s">
        <v>943</v>
      </c>
      <c r="C337" s="19" t="s">
        <v>944</v>
      </c>
      <c r="D337" s="19" t="s">
        <v>148</v>
      </c>
      <c r="E337" s="19" t="s">
        <v>147</v>
      </c>
      <c r="F337" s="19" t="s">
        <v>184</v>
      </c>
      <c r="G337" s="19" t="n">
        <v>39</v>
      </c>
      <c r="H337" s="19" t="s">
        <v>185</v>
      </c>
      <c r="I337" s="20" t="n">
        <v>65.309</v>
      </c>
      <c r="J337" s="19" t="n">
        <f aca="false">IF(I337="","",MIN(Overview!$B$8,MAX(1,CEILING(I337/Overview!$B$7,1))))</f>
        <v>14</v>
      </c>
      <c r="K337" s="19" t="n">
        <v>1</v>
      </c>
      <c r="L337" s="19"/>
      <c r="M337" s="20" t="n">
        <v>2</v>
      </c>
      <c r="N337" s="19"/>
      <c r="O337" s="19"/>
      <c r="P337" s="19" t="s">
        <v>2091</v>
      </c>
      <c r="Q337" s="19" t="s">
        <v>2085</v>
      </c>
      <c r="R337" s="21" t="n">
        <v>44548</v>
      </c>
      <c r="S337" s="19" t="s">
        <v>1144</v>
      </c>
      <c r="T337" s="19" t="s">
        <v>2092</v>
      </c>
      <c r="U337" s="19" t="str">
        <f aca="false">HYPERLINK("https://macaulaylibrary.org/asset/403414711","Open")</f>
        <v>Open</v>
      </c>
      <c r="V337" s="19"/>
    </row>
    <row r="338" customFormat="false" ht="15" hidden="false" customHeight="false" outlineLevel="0" collapsed="false">
      <c r="A338" s="19" t="s">
        <v>2093</v>
      </c>
      <c r="B338" s="19" t="s">
        <v>943</v>
      </c>
      <c r="C338" s="19" t="s">
        <v>944</v>
      </c>
      <c r="D338" s="19" t="s">
        <v>148</v>
      </c>
      <c r="E338" s="19" t="s">
        <v>147</v>
      </c>
      <c r="F338" s="19" t="s">
        <v>184</v>
      </c>
      <c r="G338" s="19" t="n">
        <v>39</v>
      </c>
      <c r="H338" s="19" t="s">
        <v>185</v>
      </c>
      <c r="I338" s="20" t="n">
        <v>8.405</v>
      </c>
      <c r="J338" s="19" t="n">
        <f aca="false">IF(I338="","",MIN(Overview!$B$8,MAX(1,CEILING(I338/Overview!$B$7,1))))</f>
        <v>2</v>
      </c>
      <c r="K338" s="19" t="n">
        <v>1</v>
      </c>
      <c r="L338" s="19"/>
      <c r="M338" s="20"/>
      <c r="N338" s="19"/>
      <c r="O338" s="19"/>
      <c r="P338" s="19" t="s">
        <v>1595</v>
      </c>
      <c r="Q338" s="19" t="s">
        <v>1596</v>
      </c>
      <c r="R338" s="21" t="n">
        <v>44700</v>
      </c>
      <c r="S338" s="19" t="s">
        <v>1597</v>
      </c>
      <c r="T338" s="19" t="s">
        <v>2094</v>
      </c>
      <c r="U338" s="19" t="str">
        <f aca="false">HYPERLINK("https://macaulaylibrary.org/asset/458626651","Open")</f>
        <v>Open</v>
      </c>
      <c r="V338" s="19"/>
    </row>
    <row r="339" customFormat="false" ht="15" hidden="false" customHeight="false" outlineLevel="0" collapsed="false">
      <c r="A339" s="19" t="s">
        <v>2095</v>
      </c>
      <c r="B339" s="19" t="s">
        <v>943</v>
      </c>
      <c r="C339" s="19" t="s">
        <v>944</v>
      </c>
      <c r="D339" s="19" t="s">
        <v>148</v>
      </c>
      <c r="E339" s="19" t="s">
        <v>147</v>
      </c>
      <c r="F339" s="19" t="s">
        <v>184</v>
      </c>
      <c r="G339" s="19" t="n">
        <v>39</v>
      </c>
      <c r="H339" s="19" t="s">
        <v>185</v>
      </c>
      <c r="I339" s="20" t="n">
        <v>22.246</v>
      </c>
      <c r="J339" s="19" t="n">
        <f aca="false">IF(I339="","",MIN(Overview!$B$8,MAX(1,CEILING(I339/Overview!$B$7,1))))</f>
        <v>5</v>
      </c>
      <c r="K339" s="19" t="n">
        <v>1</v>
      </c>
      <c r="L339" s="19"/>
      <c r="M339" s="20"/>
      <c r="N339" s="19"/>
      <c r="O339" s="19"/>
      <c r="P339" s="19" t="s">
        <v>2096</v>
      </c>
      <c r="Q339" s="19" t="s">
        <v>1076</v>
      </c>
      <c r="R339" s="21" t="n">
        <v>43399</v>
      </c>
      <c r="S339" s="19" t="s">
        <v>1205</v>
      </c>
      <c r="T339" s="19" t="s">
        <v>2097</v>
      </c>
      <c r="U339" s="19" t="str">
        <f aca="false">HYPERLINK("https://macaulaylibrary.org/asset/470740181","Open")</f>
        <v>Open</v>
      </c>
      <c r="V339" s="19"/>
    </row>
    <row r="340" customFormat="false" ht="15" hidden="false" customHeight="false" outlineLevel="0" collapsed="false">
      <c r="A340" s="19" t="s">
        <v>2098</v>
      </c>
      <c r="B340" s="19" t="s">
        <v>943</v>
      </c>
      <c r="C340" s="19" t="s">
        <v>944</v>
      </c>
      <c r="D340" s="19" t="s">
        <v>148</v>
      </c>
      <c r="E340" s="19" t="s">
        <v>147</v>
      </c>
      <c r="F340" s="19" t="s">
        <v>184</v>
      </c>
      <c r="G340" s="19" t="n">
        <v>39</v>
      </c>
      <c r="H340" s="19" t="s">
        <v>185</v>
      </c>
      <c r="I340" s="20" t="n">
        <v>14.462</v>
      </c>
      <c r="J340" s="19" t="n">
        <f aca="false">IF(I340="","",MIN(Overview!$B$8,MAX(1,CEILING(I340/Overview!$B$7,1))))</f>
        <v>3</v>
      </c>
      <c r="K340" s="19" t="n">
        <v>1</v>
      </c>
      <c r="L340" s="19"/>
      <c r="M340" s="20"/>
      <c r="N340" s="19"/>
      <c r="O340" s="19"/>
      <c r="P340" s="19" t="s">
        <v>1039</v>
      </c>
      <c r="Q340" s="19" t="s">
        <v>1040</v>
      </c>
      <c r="R340" s="21" t="n">
        <v>40901</v>
      </c>
      <c r="S340" s="19" t="s">
        <v>1002</v>
      </c>
      <c r="T340" s="19" t="s">
        <v>2099</v>
      </c>
      <c r="U340" s="19" t="str">
        <f aca="false">HYPERLINK("https://macaulaylibrary.org/asset/609056484","Open")</f>
        <v>Open</v>
      </c>
      <c r="V340" s="19" t="s">
        <v>2060</v>
      </c>
    </row>
    <row r="341" customFormat="false" ht="15" hidden="false" customHeight="false" outlineLevel="0" collapsed="false">
      <c r="A341" s="19" t="s">
        <v>2100</v>
      </c>
      <c r="B341" s="19" t="s">
        <v>943</v>
      </c>
      <c r="C341" s="19" t="s">
        <v>944</v>
      </c>
      <c r="D341" s="19" t="s">
        <v>148</v>
      </c>
      <c r="E341" s="19" t="s">
        <v>147</v>
      </c>
      <c r="F341" s="19" t="s">
        <v>184</v>
      </c>
      <c r="G341" s="19" t="n">
        <v>39</v>
      </c>
      <c r="H341" s="19" t="s">
        <v>185</v>
      </c>
      <c r="I341" s="20" t="n">
        <v>14.233</v>
      </c>
      <c r="J341" s="19" t="n">
        <f aca="false">IF(I341="","",MIN(Overview!$B$8,MAX(1,CEILING(I341/Overview!$B$7,1))))</f>
        <v>3</v>
      </c>
      <c r="K341" s="19" t="n">
        <v>1</v>
      </c>
      <c r="L341" s="19"/>
      <c r="M341" s="20"/>
      <c r="N341" s="19"/>
      <c r="O341" s="19"/>
      <c r="P341" s="19" t="s">
        <v>1045</v>
      </c>
      <c r="Q341" s="19" t="s">
        <v>1040</v>
      </c>
      <c r="R341" s="21" t="n">
        <v>40903</v>
      </c>
      <c r="S341" s="19" t="s">
        <v>1002</v>
      </c>
      <c r="T341" s="19" t="s">
        <v>2101</v>
      </c>
      <c r="U341" s="19" t="str">
        <f aca="false">HYPERLINK("https://macaulaylibrary.org/asset/609056526","Open")</f>
        <v>Open</v>
      </c>
      <c r="V341" s="19" t="s">
        <v>2060</v>
      </c>
    </row>
    <row r="342" customFormat="false" ht="15" hidden="false" customHeight="false" outlineLevel="0" collapsed="false">
      <c r="A342" s="19" t="s">
        <v>2102</v>
      </c>
      <c r="B342" s="19" t="s">
        <v>943</v>
      </c>
      <c r="C342" s="19" t="s">
        <v>944</v>
      </c>
      <c r="D342" s="19" t="s">
        <v>148</v>
      </c>
      <c r="E342" s="19" t="s">
        <v>147</v>
      </c>
      <c r="F342" s="19" t="s">
        <v>184</v>
      </c>
      <c r="G342" s="19" t="n">
        <v>39</v>
      </c>
      <c r="H342" s="19" t="s">
        <v>185</v>
      </c>
      <c r="I342" s="20" t="n">
        <v>8.551</v>
      </c>
      <c r="J342" s="19" t="n">
        <f aca="false">IF(I342="","",MIN(Overview!$B$8,MAX(1,CEILING(I342/Overview!$B$7,1))))</f>
        <v>2</v>
      </c>
      <c r="K342" s="19" t="n">
        <v>1</v>
      </c>
      <c r="L342" s="19"/>
      <c r="M342" s="20" t="n">
        <v>3</v>
      </c>
      <c r="N342" s="19"/>
      <c r="O342" s="19"/>
      <c r="P342" s="19" t="s">
        <v>950</v>
      </c>
      <c r="Q342" s="19" t="s">
        <v>951</v>
      </c>
      <c r="R342" s="21" t="n">
        <v>45223</v>
      </c>
      <c r="S342" s="19" t="s">
        <v>952</v>
      </c>
      <c r="T342" s="19" t="s">
        <v>2103</v>
      </c>
      <c r="U342" s="19" t="str">
        <f aca="false">HYPERLINK("https://macaulaylibrary.org/asset/610572546","Open")</f>
        <v>Open</v>
      </c>
      <c r="V342" s="19"/>
    </row>
    <row r="343" customFormat="false" ht="15" hidden="false" customHeight="false" outlineLevel="0" collapsed="false">
      <c r="A343" s="19" t="s">
        <v>2104</v>
      </c>
      <c r="B343" s="19" t="s">
        <v>943</v>
      </c>
      <c r="C343" s="19" t="s">
        <v>944</v>
      </c>
      <c r="D343" s="19" t="s">
        <v>148</v>
      </c>
      <c r="E343" s="19" t="s">
        <v>147</v>
      </c>
      <c r="F343" s="19" t="s">
        <v>184</v>
      </c>
      <c r="G343" s="19" t="n">
        <v>39</v>
      </c>
      <c r="H343" s="19" t="s">
        <v>185</v>
      </c>
      <c r="I343" s="20" t="n">
        <v>22.955</v>
      </c>
      <c r="J343" s="19" t="n">
        <f aca="false">IF(I343="","",MIN(Overview!$B$8,MAX(1,CEILING(I343/Overview!$B$7,1))))</f>
        <v>5</v>
      </c>
      <c r="K343" s="19" t="n">
        <v>1</v>
      </c>
      <c r="L343" s="19"/>
      <c r="M343" s="20"/>
      <c r="N343" s="19"/>
      <c r="O343" s="19"/>
      <c r="P343" s="19" t="s">
        <v>2105</v>
      </c>
      <c r="Q343" s="19" t="s">
        <v>2106</v>
      </c>
      <c r="R343" s="21" t="n">
        <v>45257</v>
      </c>
      <c r="S343" s="19" t="s">
        <v>2107</v>
      </c>
      <c r="T343" s="19" t="s">
        <v>2108</v>
      </c>
      <c r="U343" s="19" t="str">
        <f aca="false">HYPERLINK("https://macaulaylibrary.org/asset/612188681","Open")</f>
        <v>Open</v>
      </c>
      <c r="V343" s="19"/>
    </row>
    <row r="344" customFormat="false" ht="15" hidden="false" customHeight="false" outlineLevel="0" collapsed="false">
      <c r="A344" s="19" t="s">
        <v>2109</v>
      </c>
      <c r="B344" s="19" t="s">
        <v>943</v>
      </c>
      <c r="C344" s="19" t="s">
        <v>944</v>
      </c>
      <c r="D344" s="19" t="s">
        <v>148</v>
      </c>
      <c r="E344" s="19" t="s">
        <v>147</v>
      </c>
      <c r="F344" s="19" t="s">
        <v>184</v>
      </c>
      <c r="G344" s="19" t="n">
        <v>39</v>
      </c>
      <c r="H344" s="19" t="s">
        <v>185</v>
      </c>
      <c r="I344" s="20" t="n">
        <v>29.248</v>
      </c>
      <c r="J344" s="19" t="n">
        <f aca="false">IF(I344="","",MIN(Overview!$B$8,MAX(1,CEILING(I344/Overview!$B$7,1))))</f>
        <v>6</v>
      </c>
      <c r="K344" s="19" t="n">
        <v>1</v>
      </c>
      <c r="L344" s="19"/>
      <c r="M344" s="20" t="n">
        <v>1</v>
      </c>
      <c r="N344" s="19"/>
      <c r="O344" s="19"/>
      <c r="P344" s="19" t="s">
        <v>2105</v>
      </c>
      <c r="Q344" s="19" t="s">
        <v>2106</v>
      </c>
      <c r="R344" s="21" t="n">
        <v>45257</v>
      </c>
      <c r="S344" s="19" t="s">
        <v>2107</v>
      </c>
      <c r="T344" s="19" t="s">
        <v>2110</v>
      </c>
      <c r="U344" s="19" t="str">
        <f aca="false">HYPERLINK("https://macaulaylibrary.org/asset/612188690","Open")</f>
        <v>Open</v>
      </c>
      <c r="V344" s="19"/>
    </row>
    <row r="345" customFormat="false" ht="15" hidden="false" customHeight="false" outlineLevel="0" collapsed="false">
      <c r="A345" s="19" t="s">
        <v>2111</v>
      </c>
      <c r="B345" s="19" t="s">
        <v>943</v>
      </c>
      <c r="C345" s="19" t="s">
        <v>944</v>
      </c>
      <c r="D345" s="19" t="s">
        <v>148</v>
      </c>
      <c r="E345" s="19" t="s">
        <v>147</v>
      </c>
      <c r="F345" s="19" t="s">
        <v>184</v>
      </c>
      <c r="G345" s="19" t="n">
        <v>39</v>
      </c>
      <c r="H345" s="19" t="s">
        <v>185</v>
      </c>
      <c r="I345" s="20" t="n">
        <v>29.336</v>
      </c>
      <c r="J345" s="19" t="n">
        <f aca="false">IF(I345="","",MIN(Overview!$B$8,MAX(1,CEILING(I345/Overview!$B$7,1))))</f>
        <v>6</v>
      </c>
      <c r="K345" s="19" t="n">
        <v>1</v>
      </c>
      <c r="L345" s="19"/>
      <c r="M345" s="20" t="n">
        <v>3</v>
      </c>
      <c r="N345" s="19"/>
      <c r="O345" s="19"/>
      <c r="P345" s="19" t="s">
        <v>1314</v>
      </c>
      <c r="Q345" s="19" t="s">
        <v>956</v>
      </c>
      <c r="R345" s="21" t="n">
        <v>45301</v>
      </c>
      <c r="S345" s="19" t="s">
        <v>1315</v>
      </c>
      <c r="T345" s="19" t="s">
        <v>2112</v>
      </c>
      <c r="U345" s="19" t="str">
        <f aca="false">HYPERLINK("https://macaulaylibrary.org/asset/613430413","Open")</f>
        <v>Open</v>
      </c>
      <c r="V345" s="19"/>
    </row>
    <row r="346" customFormat="false" ht="15" hidden="false" customHeight="false" outlineLevel="0" collapsed="false">
      <c r="A346" s="19" t="s">
        <v>2113</v>
      </c>
      <c r="B346" s="19" t="s">
        <v>943</v>
      </c>
      <c r="C346" s="19" t="s">
        <v>944</v>
      </c>
      <c r="D346" s="19" t="s">
        <v>148</v>
      </c>
      <c r="E346" s="19" t="s">
        <v>147</v>
      </c>
      <c r="F346" s="19" t="s">
        <v>184</v>
      </c>
      <c r="G346" s="19" t="n">
        <v>39</v>
      </c>
      <c r="H346" s="19" t="s">
        <v>185</v>
      </c>
      <c r="I346" s="20" t="n">
        <v>54.189</v>
      </c>
      <c r="J346" s="19" t="n">
        <f aca="false">IF(I346="","",MIN(Overview!$B$8,MAX(1,CEILING(I346/Overview!$B$7,1))))</f>
        <v>11</v>
      </c>
      <c r="K346" s="19" t="n">
        <v>1</v>
      </c>
      <c r="L346" s="19"/>
      <c r="M346" s="20"/>
      <c r="N346" s="19"/>
      <c r="O346" s="19"/>
      <c r="P346" s="19" t="s">
        <v>2114</v>
      </c>
      <c r="Q346" s="19" t="s">
        <v>2115</v>
      </c>
      <c r="R346" s="21" t="n">
        <v>45227</v>
      </c>
      <c r="S346" s="19" t="s">
        <v>2116</v>
      </c>
      <c r="T346" s="19" t="s">
        <v>2117</v>
      </c>
      <c r="U346" s="19" t="str">
        <f aca="false">HYPERLINK("https://macaulaylibrary.org/asset/615348425","Open")</f>
        <v>Open</v>
      </c>
      <c r="V346" s="19"/>
    </row>
    <row r="347" customFormat="false" ht="15" hidden="false" customHeight="false" outlineLevel="0" collapsed="false">
      <c r="A347" s="19" t="s">
        <v>2118</v>
      </c>
      <c r="B347" s="19" t="s">
        <v>943</v>
      </c>
      <c r="C347" s="19" t="s">
        <v>944</v>
      </c>
      <c r="D347" s="19" t="s">
        <v>148</v>
      </c>
      <c r="E347" s="19" t="s">
        <v>147</v>
      </c>
      <c r="F347" s="19" t="s">
        <v>184</v>
      </c>
      <c r="G347" s="19" t="n">
        <v>39</v>
      </c>
      <c r="H347" s="19" t="s">
        <v>185</v>
      </c>
      <c r="I347" s="20" t="n">
        <v>28.835</v>
      </c>
      <c r="J347" s="19" t="n">
        <f aca="false">IF(I347="","",MIN(Overview!$B$8,MAX(1,CEILING(I347/Overview!$B$7,1))))</f>
        <v>6</v>
      </c>
      <c r="K347" s="19" t="n">
        <v>1</v>
      </c>
      <c r="L347" s="19"/>
      <c r="M347" s="20" t="n">
        <v>3</v>
      </c>
      <c r="N347" s="19"/>
      <c r="O347" s="19"/>
      <c r="P347" s="19" t="s">
        <v>2119</v>
      </c>
      <c r="Q347" s="19" t="s">
        <v>1368</v>
      </c>
      <c r="R347" s="21" t="n">
        <v>45489</v>
      </c>
      <c r="S347" s="19" t="s">
        <v>1211</v>
      </c>
      <c r="T347" s="19" t="s">
        <v>2120</v>
      </c>
      <c r="U347" s="19" t="str">
        <f aca="false">HYPERLINK("https://macaulaylibrary.org/asset/628729131","Open")</f>
        <v>Open</v>
      </c>
      <c r="V347" s="19"/>
    </row>
    <row r="348" customFormat="false" ht="15" hidden="false" customHeight="false" outlineLevel="0" collapsed="false">
      <c r="A348" s="19" t="s">
        <v>2121</v>
      </c>
      <c r="B348" s="19" t="s">
        <v>943</v>
      </c>
      <c r="C348" s="19" t="s">
        <v>944</v>
      </c>
      <c r="D348" s="19" t="s">
        <v>148</v>
      </c>
      <c r="E348" s="19" t="s">
        <v>147</v>
      </c>
      <c r="F348" s="19" t="s">
        <v>184</v>
      </c>
      <c r="G348" s="19" t="n">
        <v>39</v>
      </c>
      <c r="H348" s="19" t="s">
        <v>185</v>
      </c>
      <c r="I348" s="20" t="n">
        <v>30.647</v>
      </c>
      <c r="J348" s="19" t="n">
        <f aca="false">IF(I348="","",MIN(Overview!$B$8,MAX(1,CEILING(I348/Overview!$B$7,1))))</f>
        <v>7</v>
      </c>
      <c r="K348" s="19" t="n">
        <v>1</v>
      </c>
      <c r="L348" s="19"/>
      <c r="M348" s="20" t="n">
        <v>2.5</v>
      </c>
      <c r="N348" s="19"/>
      <c r="O348" s="19"/>
      <c r="P348" s="19" t="s">
        <v>2122</v>
      </c>
      <c r="Q348" s="19" t="s">
        <v>1158</v>
      </c>
      <c r="R348" s="21" t="n">
        <v>45656</v>
      </c>
      <c r="S348" s="19" t="s">
        <v>2123</v>
      </c>
      <c r="T348" s="19" t="s">
        <v>2124</v>
      </c>
      <c r="U348" s="19" t="str">
        <f aca="false">HYPERLINK("https://macaulaylibrary.org/asset/630078667","Open")</f>
        <v>Open</v>
      </c>
      <c r="V348" s="19"/>
    </row>
    <row r="349" customFormat="false" ht="15" hidden="false" customHeight="false" outlineLevel="0" collapsed="false">
      <c r="A349" s="19" t="s">
        <v>2125</v>
      </c>
      <c r="B349" s="19" t="s">
        <v>943</v>
      </c>
      <c r="C349" s="19" t="s">
        <v>944</v>
      </c>
      <c r="D349" s="19" t="s">
        <v>148</v>
      </c>
      <c r="E349" s="19" t="s">
        <v>147</v>
      </c>
      <c r="F349" s="19" t="s">
        <v>184</v>
      </c>
      <c r="G349" s="19" t="n">
        <v>39</v>
      </c>
      <c r="H349" s="19" t="s">
        <v>185</v>
      </c>
      <c r="I349" s="20" t="n">
        <v>6.276</v>
      </c>
      <c r="J349" s="19" t="n">
        <f aca="false">IF(I349="","",MIN(Overview!$B$8,MAX(1,CEILING(I349/Overview!$B$7,1))))</f>
        <v>2</v>
      </c>
      <c r="K349" s="19" t="n">
        <v>1</v>
      </c>
      <c r="L349" s="19"/>
      <c r="M349" s="20" t="n">
        <v>4</v>
      </c>
      <c r="N349" s="19"/>
      <c r="O349" s="19"/>
      <c r="P349" s="19" t="s">
        <v>2126</v>
      </c>
      <c r="Q349" s="19" t="s">
        <v>2127</v>
      </c>
      <c r="R349" s="21" t="n">
        <v>45300</v>
      </c>
      <c r="S349" s="19" t="s">
        <v>2128</v>
      </c>
      <c r="T349" s="19" t="s">
        <v>2129</v>
      </c>
      <c r="U349" s="19" t="str">
        <f aca="false">HYPERLINK("https://macaulaylibrary.org/asset/635111594","Open")</f>
        <v>Open</v>
      </c>
      <c r="V349" s="19"/>
    </row>
    <row r="350" customFormat="false" ht="15" hidden="false" customHeight="false" outlineLevel="0" collapsed="false">
      <c r="A350" s="19" t="s">
        <v>2130</v>
      </c>
      <c r="B350" s="19" t="s">
        <v>943</v>
      </c>
      <c r="C350" s="19" t="s">
        <v>944</v>
      </c>
      <c r="D350" s="19" t="s">
        <v>148</v>
      </c>
      <c r="E350" s="19" t="s">
        <v>147</v>
      </c>
      <c r="F350" s="19" t="s">
        <v>184</v>
      </c>
      <c r="G350" s="19" t="n">
        <v>39</v>
      </c>
      <c r="H350" s="19" t="s">
        <v>185</v>
      </c>
      <c r="I350" s="20" t="n">
        <v>8.755</v>
      </c>
      <c r="J350" s="19" t="n">
        <f aca="false">IF(I350="","",MIN(Overview!$B$8,MAX(1,CEILING(I350/Overview!$B$7,1))))</f>
        <v>2</v>
      </c>
      <c r="K350" s="19" t="n">
        <v>1</v>
      </c>
      <c r="L350" s="19"/>
      <c r="M350" s="20" t="n">
        <v>2</v>
      </c>
      <c r="N350" s="19"/>
      <c r="O350" s="19"/>
      <c r="P350" s="19" t="s">
        <v>1491</v>
      </c>
      <c r="Q350" s="19" t="s">
        <v>1492</v>
      </c>
      <c r="R350" s="21" t="n">
        <v>45936</v>
      </c>
      <c r="S350" s="19" t="s">
        <v>1237</v>
      </c>
      <c r="T350" s="19" t="s">
        <v>2131</v>
      </c>
      <c r="U350" s="19" t="str">
        <f aca="false">HYPERLINK("https://macaulaylibrary.org/asset/643860470","Open")</f>
        <v>Open</v>
      </c>
      <c r="V350" s="19"/>
    </row>
    <row r="351" customFormat="false" ht="15" hidden="false" customHeight="false" outlineLevel="0" collapsed="false">
      <c r="A351" s="19" t="s">
        <v>2132</v>
      </c>
      <c r="B351" s="19" t="s">
        <v>943</v>
      </c>
      <c r="C351" s="19" t="s">
        <v>944</v>
      </c>
      <c r="D351" s="19" t="s">
        <v>148</v>
      </c>
      <c r="E351" s="19" t="s">
        <v>147</v>
      </c>
      <c r="F351" s="19" t="s">
        <v>184</v>
      </c>
      <c r="G351" s="19" t="n">
        <v>39</v>
      </c>
      <c r="H351" s="19" t="s">
        <v>185</v>
      </c>
      <c r="I351" s="20" t="n">
        <v>24.8</v>
      </c>
      <c r="J351" s="19" t="n">
        <f aca="false">IF(I351="","",MIN(Overview!$B$8,MAX(1,CEILING(I351/Overview!$B$7,1))))</f>
        <v>5</v>
      </c>
      <c r="K351" s="19" t="n">
        <v>1</v>
      </c>
      <c r="L351" s="19"/>
      <c r="M351" s="20" t="n">
        <v>3</v>
      </c>
      <c r="N351" s="19"/>
      <c r="O351" s="19"/>
      <c r="P351" s="19" t="s">
        <v>964</v>
      </c>
      <c r="Q351" s="19" t="s">
        <v>965</v>
      </c>
      <c r="R351" s="21" t="n">
        <v>46011</v>
      </c>
      <c r="S351" s="19" t="s">
        <v>966</v>
      </c>
      <c r="T351" s="19" t="s">
        <v>2133</v>
      </c>
      <c r="U351" s="19" t="str">
        <f aca="false">HYPERLINK("https://macaulaylibrary.org/asset/647391399","Open")</f>
        <v>Open</v>
      </c>
      <c r="V351" s="19"/>
    </row>
    <row r="352" customFormat="false" ht="15" hidden="false" customHeight="false" outlineLevel="0" collapsed="false">
      <c r="A352" s="19" t="s">
        <v>2134</v>
      </c>
      <c r="B352" s="19" t="s">
        <v>943</v>
      </c>
      <c r="C352" s="19" t="s">
        <v>944</v>
      </c>
      <c r="D352" s="19" t="s">
        <v>148</v>
      </c>
      <c r="E352" s="19" t="s">
        <v>147</v>
      </c>
      <c r="F352" s="19" t="s">
        <v>184</v>
      </c>
      <c r="G352" s="19" t="n">
        <v>39</v>
      </c>
      <c r="H352" s="19" t="s">
        <v>185</v>
      </c>
      <c r="I352" s="20" t="n">
        <v>67.945</v>
      </c>
      <c r="J352" s="19" t="n">
        <f aca="false">IF(I352="","",MIN(Overview!$B$8,MAX(1,CEILING(I352/Overview!$B$7,1))))</f>
        <v>14</v>
      </c>
      <c r="K352" s="19" t="n">
        <v>1</v>
      </c>
      <c r="L352" s="19"/>
      <c r="M352" s="20"/>
      <c r="N352" s="19"/>
      <c r="O352" s="19"/>
      <c r="P352" s="19" t="s">
        <v>2135</v>
      </c>
      <c r="Q352" s="19" t="s">
        <v>2136</v>
      </c>
      <c r="R352" s="21" t="n">
        <v>46033</v>
      </c>
      <c r="S352" s="19" t="s">
        <v>2137</v>
      </c>
      <c r="T352" s="19" t="s">
        <v>2138</v>
      </c>
      <c r="U352" s="19" t="str">
        <f aca="false">HYPERLINK("https://macaulaylibrary.org/asset/649795118","Open")</f>
        <v>Open</v>
      </c>
      <c r="V352" s="19"/>
    </row>
    <row r="353" customFormat="false" ht="15" hidden="false" customHeight="false" outlineLevel="0" collapsed="false">
      <c r="A353" s="19" t="s">
        <v>2139</v>
      </c>
      <c r="B353" s="19" t="s">
        <v>943</v>
      </c>
      <c r="C353" s="19" t="s">
        <v>944</v>
      </c>
      <c r="D353" s="19" t="s">
        <v>148</v>
      </c>
      <c r="E353" s="19" t="s">
        <v>147</v>
      </c>
      <c r="F353" s="19" t="s">
        <v>184</v>
      </c>
      <c r="G353" s="19" t="n">
        <v>39</v>
      </c>
      <c r="H353" s="19" t="s">
        <v>185</v>
      </c>
      <c r="I353" s="20" t="n">
        <v>27.984</v>
      </c>
      <c r="J353" s="19" t="n">
        <f aca="false">IF(I353="","",MIN(Overview!$B$8,MAX(1,CEILING(I353/Overview!$B$7,1))))</f>
        <v>6</v>
      </c>
      <c r="K353" s="19" t="n">
        <v>1</v>
      </c>
      <c r="L353" s="19"/>
      <c r="M353" s="20" t="n">
        <v>2</v>
      </c>
      <c r="N353" s="19"/>
      <c r="O353" s="19"/>
      <c r="P353" s="19" t="s">
        <v>1641</v>
      </c>
      <c r="Q353" s="19" t="s">
        <v>1642</v>
      </c>
      <c r="R353" s="21" t="n">
        <v>45741</v>
      </c>
      <c r="S353" s="19" t="s">
        <v>1643</v>
      </c>
      <c r="T353" s="19" t="s">
        <v>2140</v>
      </c>
      <c r="U353" s="19" t="str">
        <f aca="false">HYPERLINK("https://macaulaylibrary.org/asset/651257651","Open")</f>
        <v>Open</v>
      </c>
      <c r="V353" s="19"/>
    </row>
    <row r="354" customFormat="false" ht="15" hidden="false" customHeight="false" outlineLevel="0" collapsed="false">
      <c r="A354" s="19" t="s">
        <v>2141</v>
      </c>
      <c r="B354" s="19" t="s">
        <v>943</v>
      </c>
      <c r="C354" s="19" t="s">
        <v>944</v>
      </c>
      <c r="D354" s="19" t="s">
        <v>148</v>
      </c>
      <c r="E354" s="19" t="s">
        <v>147</v>
      </c>
      <c r="F354" s="19" t="s">
        <v>184</v>
      </c>
      <c r="G354" s="19" t="n">
        <v>39</v>
      </c>
      <c r="H354" s="19" t="s">
        <v>185</v>
      </c>
      <c r="I354" s="20" t="n">
        <v>7.444</v>
      </c>
      <c r="J354" s="19" t="n">
        <f aca="false">IF(I354="","",MIN(Overview!$B$8,MAX(1,CEILING(I354/Overview!$B$7,1))))</f>
        <v>2</v>
      </c>
      <c r="K354" s="19" t="n">
        <v>1</v>
      </c>
      <c r="L354" s="19"/>
      <c r="M354" s="20"/>
      <c r="N354" s="19"/>
      <c r="O354" s="19"/>
      <c r="P354" s="19" t="s">
        <v>2142</v>
      </c>
      <c r="Q354" s="19" t="s">
        <v>1204</v>
      </c>
      <c r="R354" s="21" t="n">
        <v>46047</v>
      </c>
      <c r="S354" s="19" t="s">
        <v>2143</v>
      </c>
      <c r="T354" s="19" t="s">
        <v>2144</v>
      </c>
      <c r="U354" s="19" t="str">
        <f aca="false">HYPERLINK("https://macaulaylibrary.org/asset/653762068","Open")</f>
        <v>Open</v>
      </c>
      <c r="V354" s="19"/>
    </row>
    <row r="355" customFormat="false" ht="15" hidden="false" customHeight="false" outlineLevel="0" collapsed="false">
      <c r="A355" s="19" t="s">
        <v>2145</v>
      </c>
      <c r="B355" s="19" t="s">
        <v>943</v>
      </c>
      <c r="C355" s="19" t="s">
        <v>944</v>
      </c>
      <c r="D355" s="19" t="s">
        <v>148</v>
      </c>
      <c r="E355" s="19" t="s">
        <v>147</v>
      </c>
      <c r="F355" s="19" t="s">
        <v>184</v>
      </c>
      <c r="G355" s="19" t="n">
        <v>39</v>
      </c>
      <c r="H355" s="19" t="s">
        <v>185</v>
      </c>
      <c r="I355" s="20" t="n">
        <v>31.317</v>
      </c>
      <c r="J355" s="19" t="n">
        <f aca="false">IF(I355="","",MIN(Overview!$B$8,MAX(1,CEILING(I355/Overview!$B$7,1))))</f>
        <v>7</v>
      </c>
      <c r="K355" s="19" t="n">
        <v>1</v>
      </c>
      <c r="L355" s="19"/>
      <c r="M355" s="20"/>
      <c r="N355" s="19"/>
      <c r="O355" s="19" t="s">
        <v>243</v>
      </c>
      <c r="P355" s="19" t="s">
        <v>2146</v>
      </c>
      <c r="Q355" s="19" t="s">
        <v>1382</v>
      </c>
      <c r="R355" s="21" t="n">
        <v>46104</v>
      </c>
      <c r="S355" s="19" t="s">
        <v>2147</v>
      </c>
      <c r="T355" s="19" t="s">
        <v>2148</v>
      </c>
      <c r="U355" s="19" t="str">
        <f aca="false">HYPERLINK("https://macaulaylibrary.org/asset/654603698","Open")</f>
        <v>Open</v>
      </c>
      <c r="V355" s="19"/>
    </row>
    <row r="356" customFormat="false" ht="15" hidden="false" customHeight="false" outlineLevel="0" collapsed="false">
      <c r="A356" s="19" t="s">
        <v>2149</v>
      </c>
      <c r="B356" s="19" t="s">
        <v>943</v>
      </c>
      <c r="C356" s="19" t="s">
        <v>944</v>
      </c>
      <c r="D356" s="19" t="s">
        <v>148</v>
      </c>
      <c r="E356" s="19" t="s">
        <v>147</v>
      </c>
      <c r="F356" s="19" t="s">
        <v>184</v>
      </c>
      <c r="G356" s="19" t="n">
        <v>39</v>
      </c>
      <c r="H356" s="19" t="s">
        <v>185</v>
      </c>
      <c r="I356" s="20" t="n">
        <v>24.472</v>
      </c>
      <c r="J356" s="19" t="n">
        <f aca="false">IF(I356="","",MIN(Overview!$B$8,MAX(1,CEILING(I356/Overview!$B$7,1))))</f>
        <v>5</v>
      </c>
      <c r="K356" s="19" t="n">
        <v>1</v>
      </c>
      <c r="L356" s="19"/>
      <c r="M356" s="20"/>
      <c r="N356" s="19"/>
      <c r="O356" s="19"/>
      <c r="P356" s="19" t="s">
        <v>1650</v>
      </c>
      <c r="Q356" s="19" t="s">
        <v>1382</v>
      </c>
      <c r="R356" s="21" t="n">
        <v>46104</v>
      </c>
      <c r="S356" s="19" t="s">
        <v>1651</v>
      </c>
      <c r="T356" s="19" t="s">
        <v>2150</v>
      </c>
      <c r="U356" s="19" t="str">
        <f aca="false">HYPERLINK("https://macaulaylibrary.org/asset/654655160","Open")</f>
        <v>Open</v>
      </c>
      <c r="V356" s="19"/>
    </row>
    <row r="357" customFormat="false" ht="15" hidden="false" customHeight="false" outlineLevel="0" collapsed="false">
      <c r="A357" s="19" t="s">
        <v>2151</v>
      </c>
      <c r="B357" s="19" t="s">
        <v>943</v>
      </c>
      <c r="C357" s="19" t="s">
        <v>944</v>
      </c>
      <c r="D357" s="19" t="s">
        <v>148</v>
      </c>
      <c r="E357" s="19" t="s">
        <v>147</v>
      </c>
      <c r="F357" s="19" t="s">
        <v>184</v>
      </c>
      <c r="G357" s="19" t="n">
        <v>39</v>
      </c>
      <c r="H357" s="19" t="s">
        <v>185</v>
      </c>
      <c r="I357" s="20" t="n">
        <v>103.812</v>
      </c>
      <c r="J357" s="19" t="n">
        <f aca="false">IF(I357="","",MIN(Overview!$B$8,MAX(1,CEILING(I357/Overview!$B$7,1))))</f>
        <v>21</v>
      </c>
      <c r="K357" s="19" t="n">
        <v>1</v>
      </c>
      <c r="L357" s="19"/>
      <c r="M357" s="20" t="n">
        <v>2</v>
      </c>
      <c r="N357" s="19"/>
      <c r="O357" s="19"/>
      <c r="P357" s="19" t="s">
        <v>2152</v>
      </c>
      <c r="Q357" s="19" t="s">
        <v>1218</v>
      </c>
      <c r="R357" s="21" t="n">
        <v>33329</v>
      </c>
      <c r="S357" s="19" t="s">
        <v>1353</v>
      </c>
      <c r="T357" s="19" t="s">
        <v>2153</v>
      </c>
      <c r="U357" s="19" t="str">
        <f aca="false">HYPERLINK("https://macaulaylibrary.org/asset/76610","Open")</f>
        <v>Open</v>
      </c>
      <c r="V357" s="19" t="s">
        <v>2060</v>
      </c>
    </row>
    <row r="358" customFormat="false" ht="15" hidden="false" customHeight="false" outlineLevel="0" collapsed="false">
      <c r="A358" s="19" t="s">
        <v>2154</v>
      </c>
      <c r="B358" s="19" t="s">
        <v>1005</v>
      </c>
      <c r="C358" s="19" t="s">
        <v>944</v>
      </c>
      <c r="D358" s="19" t="s">
        <v>647</v>
      </c>
      <c r="E358" s="19" t="s">
        <v>147</v>
      </c>
      <c r="F358" s="19" t="s">
        <v>641</v>
      </c>
      <c r="G358" s="19" t="n">
        <v>42</v>
      </c>
      <c r="H358" s="19" t="s">
        <v>642</v>
      </c>
      <c r="I358" s="20" t="n">
        <v>27.037</v>
      </c>
      <c r="J358" s="19" t="n">
        <f aca="false">IF(I358="","",MIN(Overview!$B$8,MAX(1,CEILING(I358/Overview!$B$7,1))))</f>
        <v>6</v>
      </c>
      <c r="K358" s="19" t="n">
        <v>1</v>
      </c>
      <c r="L358" s="19"/>
      <c r="M358" s="20"/>
      <c r="N358" s="19" t="s">
        <v>1006</v>
      </c>
      <c r="O358" s="19"/>
      <c r="P358" s="19" t="s">
        <v>2155</v>
      </c>
      <c r="Q358" s="19" t="s">
        <v>1008</v>
      </c>
      <c r="R358" s="21" t="n">
        <v>42575</v>
      </c>
      <c r="S358" s="19" t="s">
        <v>1387</v>
      </c>
      <c r="T358" s="19" t="s">
        <v>2156</v>
      </c>
      <c r="U358" s="19" t="str">
        <f aca="false">HYPERLINK("https://xeno-canto.org/331311","Open")</f>
        <v>Open</v>
      </c>
      <c r="V358" s="19" t="s">
        <v>2157</v>
      </c>
    </row>
    <row r="359" customFormat="false" ht="15" hidden="false" customHeight="false" outlineLevel="0" collapsed="false">
      <c r="A359" s="19" t="s">
        <v>2158</v>
      </c>
      <c r="B359" s="19" t="s">
        <v>1005</v>
      </c>
      <c r="C359" s="19" t="s">
        <v>944</v>
      </c>
      <c r="D359" s="19" t="s">
        <v>647</v>
      </c>
      <c r="E359" s="19" t="s">
        <v>147</v>
      </c>
      <c r="F359" s="19" t="s">
        <v>641</v>
      </c>
      <c r="G359" s="19" t="n">
        <v>42</v>
      </c>
      <c r="H359" s="19" t="s">
        <v>642</v>
      </c>
      <c r="I359" s="20" t="n">
        <v>15.984</v>
      </c>
      <c r="J359" s="19" t="n">
        <f aca="false">IF(I359="","",MIN(Overview!$B$8,MAX(1,CEILING(I359/Overview!$B$7,1))))</f>
        <v>4</v>
      </c>
      <c r="K359" s="19" t="n">
        <v>1</v>
      </c>
      <c r="L359" s="19"/>
      <c r="M359" s="20"/>
      <c r="N359" s="19" t="s">
        <v>1006</v>
      </c>
      <c r="O359" s="19"/>
      <c r="P359" s="19" t="s">
        <v>1657</v>
      </c>
      <c r="Q359" s="19" t="s">
        <v>1008</v>
      </c>
      <c r="R359" s="21" t="n">
        <v>42581</v>
      </c>
      <c r="S359" s="19" t="s">
        <v>2159</v>
      </c>
      <c r="T359" s="19" t="s">
        <v>2160</v>
      </c>
      <c r="U359" s="19" t="str">
        <f aca="false">HYPERLINK("https://xeno-canto.org/332502","Open")</f>
        <v>Open</v>
      </c>
      <c r="V359" s="19" t="s">
        <v>2161</v>
      </c>
    </row>
    <row r="360" customFormat="false" ht="15" hidden="false" customHeight="false" outlineLevel="0" collapsed="false">
      <c r="A360" s="19" t="s">
        <v>2162</v>
      </c>
      <c r="B360" s="19" t="s">
        <v>943</v>
      </c>
      <c r="C360" s="19" t="s">
        <v>944</v>
      </c>
      <c r="D360" s="19" t="s">
        <v>400</v>
      </c>
      <c r="E360" s="19" t="s">
        <v>147</v>
      </c>
      <c r="F360" s="19" t="s">
        <v>598</v>
      </c>
      <c r="G360" s="19" t="n">
        <v>43</v>
      </c>
      <c r="H360" s="19" t="s">
        <v>599</v>
      </c>
      <c r="I360" s="20" t="n">
        <v>168.006</v>
      </c>
      <c r="J360" s="19" t="n">
        <f aca="false">IF(I360="","",MIN(Overview!$B$8,MAX(1,CEILING(I360/Overview!$B$7,1))))</f>
        <v>34</v>
      </c>
      <c r="K360" s="19" t="n">
        <v>1</v>
      </c>
      <c r="L360" s="19"/>
      <c r="M360" s="20" t="n">
        <v>3.67</v>
      </c>
      <c r="N360" s="19"/>
      <c r="O360" s="19"/>
      <c r="P360" s="19" t="s">
        <v>1390</v>
      </c>
      <c r="Q360" s="19" t="s">
        <v>1021</v>
      </c>
      <c r="R360" s="21" t="n">
        <v>36596</v>
      </c>
      <c r="S360" s="19" t="s">
        <v>1137</v>
      </c>
      <c r="T360" s="19" t="s">
        <v>2163</v>
      </c>
      <c r="U360" s="19" t="str">
        <f aca="false">HYPERLINK("https://macaulaylibrary.org/asset/145175731","Open")</f>
        <v>Open</v>
      </c>
      <c r="V360" s="19"/>
    </row>
    <row r="361" customFormat="false" ht="15" hidden="false" customHeight="false" outlineLevel="0" collapsed="false">
      <c r="A361" s="19" t="s">
        <v>2164</v>
      </c>
      <c r="B361" s="19" t="s">
        <v>943</v>
      </c>
      <c r="C361" s="19" t="s">
        <v>944</v>
      </c>
      <c r="D361" s="19" t="s">
        <v>400</v>
      </c>
      <c r="E361" s="19" t="s">
        <v>147</v>
      </c>
      <c r="F361" s="19" t="s">
        <v>598</v>
      </c>
      <c r="G361" s="19" t="n">
        <v>43</v>
      </c>
      <c r="H361" s="19" t="s">
        <v>599</v>
      </c>
      <c r="I361" s="20" t="n">
        <v>84.974</v>
      </c>
      <c r="J361" s="19" t="n">
        <f aca="false">IF(I361="","",MIN(Overview!$B$8,MAX(1,CEILING(I361/Overview!$B$7,1))))</f>
        <v>17</v>
      </c>
      <c r="K361" s="19" t="n">
        <v>1</v>
      </c>
      <c r="L361" s="19"/>
      <c r="M361" s="20" t="n">
        <v>3.75</v>
      </c>
      <c r="N361" s="19"/>
      <c r="O361" s="19"/>
      <c r="P361" s="19" t="s">
        <v>2165</v>
      </c>
      <c r="Q361" s="19" t="s">
        <v>1021</v>
      </c>
      <c r="R361" s="21" t="n">
        <v>36598</v>
      </c>
      <c r="S361" s="19" t="s">
        <v>1106</v>
      </c>
      <c r="T361" s="19" t="s">
        <v>2166</v>
      </c>
      <c r="U361" s="19" t="str">
        <f aca="false">HYPERLINK("https://macaulaylibrary.org/asset/148045831","Open")</f>
        <v>Open</v>
      </c>
      <c r="V361" s="19"/>
    </row>
    <row r="362" customFormat="false" ht="15" hidden="false" customHeight="false" outlineLevel="0" collapsed="false">
      <c r="A362" s="19" t="s">
        <v>2167</v>
      </c>
      <c r="B362" s="19" t="s">
        <v>943</v>
      </c>
      <c r="C362" s="19" t="s">
        <v>944</v>
      </c>
      <c r="D362" s="19" t="s">
        <v>400</v>
      </c>
      <c r="E362" s="19" t="s">
        <v>147</v>
      </c>
      <c r="F362" s="19" t="s">
        <v>598</v>
      </c>
      <c r="G362" s="19" t="n">
        <v>43</v>
      </c>
      <c r="H362" s="19" t="s">
        <v>599</v>
      </c>
      <c r="I362" s="20" t="n">
        <v>17.315</v>
      </c>
      <c r="J362" s="19" t="n">
        <f aca="false">IF(I362="","",MIN(Overview!$B$8,MAX(1,CEILING(I362/Overview!$B$7,1))))</f>
        <v>4</v>
      </c>
      <c r="K362" s="19" t="n">
        <v>1</v>
      </c>
      <c r="L362" s="19"/>
      <c r="M362" s="20"/>
      <c r="N362" s="19"/>
      <c r="O362" s="19"/>
      <c r="P362" s="19" t="s">
        <v>2168</v>
      </c>
      <c r="Q362" s="19" t="s">
        <v>1382</v>
      </c>
      <c r="R362" s="21" t="n">
        <v>46104</v>
      </c>
      <c r="S362" s="19" t="s">
        <v>1259</v>
      </c>
      <c r="T362" s="19" t="s">
        <v>2169</v>
      </c>
      <c r="U362" s="19" t="str">
        <f aca="false">HYPERLINK("https://macaulaylibrary.org/asset/654600356","Open")</f>
        <v>Open</v>
      </c>
      <c r="V362" s="19"/>
    </row>
    <row r="363" customFormat="false" ht="15" hidden="false" customHeight="false" outlineLevel="0" collapsed="false">
      <c r="A363" s="19" t="s">
        <v>2170</v>
      </c>
      <c r="B363" s="19" t="s">
        <v>943</v>
      </c>
      <c r="C363" s="19" t="s">
        <v>944</v>
      </c>
      <c r="D363" s="19" t="s">
        <v>148</v>
      </c>
      <c r="E363" s="19" t="s">
        <v>147</v>
      </c>
      <c r="F363" s="19" t="s">
        <v>203</v>
      </c>
      <c r="G363" s="19" t="n">
        <v>44</v>
      </c>
      <c r="H363" s="19" t="s">
        <v>204</v>
      </c>
      <c r="I363" s="20" t="n">
        <v>43.235</v>
      </c>
      <c r="J363" s="19" t="n">
        <f aca="false">IF(I363="","",MIN(Overview!$B$8,MAX(1,CEILING(I363/Overview!$B$7,1))))</f>
        <v>9</v>
      </c>
      <c r="K363" s="19" t="n">
        <v>1</v>
      </c>
      <c r="L363" s="19"/>
      <c r="M363" s="20" t="n">
        <v>3.67</v>
      </c>
      <c r="N363" s="19"/>
      <c r="O363" s="19"/>
      <c r="P363" s="19" t="s">
        <v>1080</v>
      </c>
      <c r="Q363" s="19" t="s">
        <v>1021</v>
      </c>
      <c r="R363" s="21" t="n">
        <v>36602</v>
      </c>
      <c r="S363" s="19" t="s">
        <v>1081</v>
      </c>
      <c r="T363" s="19" t="s">
        <v>2171</v>
      </c>
      <c r="U363" s="19" t="str">
        <f aca="false">HYPERLINK("https://macaulaylibrary.org/asset/153384531","Open")</f>
        <v>Open</v>
      </c>
      <c r="V363" s="19"/>
    </row>
    <row r="364" customFormat="false" ht="15" hidden="false" customHeight="false" outlineLevel="0" collapsed="false">
      <c r="A364" s="19" t="s">
        <v>2172</v>
      </c>
      <c r="B364" s="19" t="s">
        <v>943</v>
      </c>
      <c r="C364" s="19" t="s">
        <v>944</v>
      </c>
      <c r="D364" s="19" t="s">
        <v>148</v>
      </c>
      <c r="E364" s="19" t="s">
        <v>147</v>
      </c>
      <c r="F364" s="19" t="s">
        <v>203</v>
      </c>
      <c r="G364" s="19" t="n">
        <v>44</v>
      </c>
      <c r="H364" s="19" t="s">
        <v>204</v>
      </c>
      <c r="I364" s="20" t="n">
        <v>133.056</v>
      </c>
      <c r="J364" s="19" t="n">
        <f aca="false">IF(I364="","",MIN(Overview!$B$8,MAX(1,CEILING(I364/Overview!$B$7,1))))</f>
        <v>27</v>
      </c>
      <c r="K364" s="19" t="n">
        <v>1</v>
      </c>
      <c r="L364" s="19"/>
      <c r="M364" s="20" t="n">
        <v>3</v>
      </c>
      <c r="N364" s="19"/>
      <c r="O364" s="19" t="s">
        <v>2173</v>
      </c>
      <c r="P364" s="19" t="s">
        <v>2174</v>
      </c>
      <c r="Q364" s="19" t="s">
        <v>1218</v>
      </c>
      <c r="R364" s="21" t="n">
        <v>34784</v>
      </c>
      <c r="S364" s="19" t="s">
        <v>1344</v>
      </c>
      <c r="T364" s="19" t="s">
        <v>2175</v>
      </c>
      <c r="U364" s="19" t="str">
        <f aca="false">HYPERLINK("https://macaulaylibrary.org/asset/184020","Open")</f>
        <v>Open</v>
      </c>
      <c r="V364" s="19"/>
    </row>
    <row r="365" customFormat="false" ht="15" hidden="false" customHeight="false" outlineLevel="0" collapsed="false">
      <c r="A365" s="19" t="s">
        <v>2176</v>
      </c>
      <c r="B365" s="19" t="s">
        <v>943</v>
      </c>
      <c r="C365" s="19" t="s">
        <v>944</v>
      </c>
      <c r="D365" s="19" t="s">
        <v>148</v>
      </c>
      <c r="E365" s="19" t="s">
        <v>147</v>
      </c>
      <c r="F365" s="19" t="s">
        <v>203</v>
      </c>
      <c r="G365" s="19" t="n">
        <v>44</v>
      </c>
      <c r="H365" s="19" t="s">
        <v>204</v>
      </c>
      <c r="I365" s="20" t="n">
        <v>153.882</v>
      </c>
      <c r="J365" s="19" t="n">
        <f aca="false">IF(I365="","",MIN(Overview!$B$8,MAX(1,CEILING(I365/Overview!$B$7,1))))</f>
        <v>31</v>
      </c>
      <c r="K365" s="19" t="n">
        <v>1</v>
      </c>
      <c r="L365" s="19"/>
      <c r="M365" s="20" t="n">
        <v>3</v>
      </c>
      <c r="N365" s="19"/>
      <c r="O365" s="19"/>
      <c r="P365" s="19" t="s">
        <v>2177</v>
      </c>
      <c r="Q365" s="19" t="s">
        <v>980</v>
      </c>
      <c r="R365" s="21" t="n">
        <v>32554</v>
      </c>
      <c r="S365" s="19" t="s">
        <v>2178</v>
      </c>
      <c r="T365" s="19" t="s">
        <v>2179</v>
      </c>
      <c r="U365" s="19" t="str">
        <f aca="false">HYPERLINK("https://macaulaylibrary.org/asset/215337","Open")</f>
        <v>Open</v>
      </c>
      <c r="V365" s="19"/>
    </row>
    <row r="366" customFormat="false" ht="15" hidden="false" customHeight="false" outlineLevel="0" collapsed="false">
      <c r="A366" s="19" t="s">
        <v>2180</v>
      </c>
      <c r="B366" s="19" t="s">
        <v>943</v>
      </c>
      <c r="C366" s="19" t="s">
        <v>944</v>
      </c>
      <c r="D366" s="19" t="s">
        <v>148</v>
      </c>
      <c r="E366" s="19" t="s">
        <v>147</v>
      </c>
      <c r="F366" s="19" t="s">
        <v>203</v>
      </c>
      <c r="G366" s="19" t="n">
        <v>44</v>
      </c>
      <c r="H366" s="19" t="s">
        <v>204</v>
      </c>
      <c r="I366" s="20" t="n">
        <v>79.693</v>
      </c>
      <c r="J366" s="19" t="n">
        <f aca="false">IF(I366="","",MIN(Overview!$B$8,MAX(1,CEILING(I366/Overview!$B$7,1))))</f>
        <v>16</v>
      </c>
      <c r="K366" s="19" t="n">
        <v>1</v>
      </c>
      <c r="L366" s="19"/>
      <c r="M366" s="20"/>
      <c r="N366" s="19"/>
      <c r="O366" s="19"/>
      <c r="P366" s="19" t="s">
        <v>1140</v>
      </c>
      <c r="Q366" s="19" t="s">
        <v>1030</v>
      </c>
      <c r="R366" s="21" t="n">
        <v>40250</v>
      </c>
      <c r="S366" s="19" t="s">
        <v>2181</v>
      </c>
      <c r="T366" s="19" t="s">
        <v>2182</v>
      </c>
      <c r="U366" s="19" t="str">
        <f aca="false">HYPERLINK("https://macaulaylibrary.org/asset/299544","Open")</f>
        <v>Open</v>
      </c>
      <c r="V366" s="19"/>
    </row>
    <row r="367" customFormat="false" ht="15" hidden="false" customHeight="false" outlineLevel="0" collapsed="false">
      <c r="A367" s="19" t="s">
        <v>2183</v>
      </c>
      <c r="B367" s="19" t="s">
        <v>943</v>
      </c>
      <c r="C367" s="19" t="s">
        <v>944</v>
      </c>
      <c r="D367" s="19" t="s">
        <v>148</v>
      </c>
      <c r="E367" s="19" t="s">
        <v>147</v>
      </c>
      <c r="F367" s="19" t="s">
        <v>203</v>
      </c>
      <c r="G367" s="19" t="n">
        <v>44</v>
      </c>
      <c r="H367" s="19" t="s">
        <v>204</v>
      </c>
      <c r="I367" s="20" t="n">
        <v>7.313</v>
      </c>
      <c r="J367" s="19" t="n">
        <f aca="false">IF(I367="","",MIN(Overview!$B$8,MAX(1,CEILING(I367/Overview!$B$7,1))))</f>
        <v>2</v>
      </c>
      <c r="K367" s="19" t="n">
        <v>1</v>
      </c>
      <c r="L367" s="19"/>
      <c r="M367" s="20"/>
      <c r="N367" s="19"/>
      <c r="O367" s="19"/>
      <c r="P367" s="19" t="s">
        <v>1029</v>
      </c>
      <c r="Q367" s="19" t="s">
        <v>1030</v>
      </c>
      <c r="R367" s="21" t="n">
        <v>40251</v>
      </c>
      <c r="S367" s="19" t="s">
        <v>1369</v>
      </c>
      <c r="T367" s="19" t="s">
        <v>2184</v>
      </c>
      <c r="U367" s="19" t="str">
        <f aca="false">HYPERLINK("https://macaulaylibrary.org/asset/299622","Open")</f>
        <v>Open</v>
      </c>
      <c r="V367" s="19"/>
    </row>
    <row r="368" customFormat="false" ht="15" hidden="false" customHeight="false" outlineLevel="0" collapsed="false">
      <c r="A368" s="19" t="s">
        <v>2185</v>
      </c>
      <c r="B368" s="19" t="s">
        <v>943</v>
      </c>
      <c r="C368" s="19" t="s">
        <v>944</v>
      </c>
      <c r="D368" s="19" t="s">
        <v>148</v>
      </c>
      <c r="E368" s="19" t="s">
        <v>147</v>
      </c>
      <c r="F368" s="19" t="s">
        <v>203</v>
      </c>
      <c r="G368" s="19" t="n">
        <v>44</v>
      </c>
      <c r="H368" s="19" t="s">
        <v>204</v>
      </c>
      <c r="I368" s="20" t="n">
        <v>43.822</v>
      </c>
      <c r="J368" s="19" t="n">
        <f aca="false">IF(I368="","",MIN(Overview!$B$8,MAX(1,CEILING(I368/Overview!$B$7,1))))</f>
        <v>9</v>
      </c>
      <c r="K368" s="19" t="n">
        <v>1</v>
      </c>
      <c r="L368" s="19"/>
      <c r="M368" s="20"/>
      <c r="N368" s="19"/>
      <c r="O368" s="19"/>
      <c r="P368" s="19" t="s">
        <v>1029</v>
      </c>
      <c r="Q368" s="19" t="s">
        <v>1030</v>
      </c>
      <c r="R368" s="21" t="n">
        <v>40251</v>
      </c>
      <c r="S368" s="19" t="s">
        <v>1369</v>
      </c>
      <c r="T368" s="19" t="s">
        <v>2186</v>
      </c>
      <c r="U368" s="19" t="str">
        <f aca="false">HYPERLINK("https://macaulaylibrary.org/asset/299623","Open")</f>
        <v>Open</v>
      </c>
      <c r="V368" s="19"/>
    </row>
    <row r="369" customFormat="false" ht="15" hidden="false" customHeight="false" outlineLevel="0" collapsed="false">
      <c r="A369" s="19" t="s">
        <v>2187</v>
      </c>
      <c r="B369" s="19" t="s">
        <v>943</v>
      </c>
      <c r="C369" s="19" t="s">
        <v>944</v>
      </c>
      <c r="D369" s="19" t="s">
        <v>148</v>
      </c>
      <c r="E369" s="19" t="s">
        <v>147</v>
      </c>
      <c r="F369" s="19" t="s">
        <v>203</v>
      </c>
      <c r="G369" s="19" t="n">
        <v>44</v>
      </c>
      <c r="H369" s="19" t="s">
        <v>204</v>
      </c>
      <c r="I369" s="20" t="n">
        <v>7.479</v>
      </c>
      <c r="J369" s="19" t="n">
        <f aca="false">IF(I369="","",MIN(Overview!$B$8,MAX(1,CEILING(I369/Overview!$B$7,1))))</f>
        <v>2</v>
      </c>
      <c r="K369" s="19" t="n">
        <v>1</v>
      </c>
      <c r="L369" s="19"/>
      <c r="M369" s="20"/>
      <c r="N369" s="19"/>
      <c r="O369" s="19"/>
      <c r="P369" s="19" t="s">
        <v>1850</v>
      </c>
      <c r="Q369" s="19" t="s">
        <v>1076</v>
      </c>
      <c r="R369" s="21" t="n">
        <v>43398</v>
      </c>
      <c r="S369" s="19" t="s">
        <v>1051</v>
      </c>
      <c r="T369" s="19" t="s">
        <v>2188</v>
      </c>
      <c r="U369" s="19" t="str">
        <f aca="false">HYPERLINK("https://macaulaylibrary.org/asset/471212031","Open")</f>
        <v>Open</v>
      </c>
      <c r="V369" s="19"/>
    </row>
    <row r="370" customFormat="false" ht="15" hidden="false" customHeight="false" outlineLevel="0" collapsed="false">
      <c r="A370" s="19" t="s">
        <v>2189</v>
      </c>
      <c r="B370" s="19" t="s">
        <v>943</v>
      </c>
      <c r="C370" s="19" t="s">
        <v>944</v>
      </c>
      <c r="D370" s="19" t="s">
        <v>148</v>
      </c>
      <c r="E370" s="19" t="s">
        <v>147</v>
      </c>
      <c r="F370" s="19" t="s">
        <v>203</v>
      </c>
      <c r="G370" s="19" t="n">
        <v>44</v>
      </c>
      <c r="H370" s="19" t="s">
        <v>204</v>
      </c>
      <c r="I370" s="20" t="n">
        <v>5.175</v>
      </c>
      <c r="J370" s="19" t="n">
        <f aca="false">IF(I370="","",MIN(Overview!$B$8,MAX(1,CEILING(I370/Overview!$B$7,1))))</f>
        <v>2</v>
      </c>
      <c r="K370" s="19" t="n">
        <v>1</v>
      </c>
      <c r="L370" s="19"/>
      <c r="M370" s="20"/>
      <c r="N370" s="19"/>
      <c r="O370" s="19"/>
      <c r="P370" s="19" t="s">
        <v>2190</v>
      </c>
      <c r="Q370" s="19" t="s">
        <v>1204</v>
      </c>
      <c r="R370" s="21" t="n">
        <v>44612</v>
      </c>
      <c r="S370" s="19" t="s">
        <v>1969</v>
      </c>
      <c r="T370" s="19" t="s">
        <v>2191</v>
      </c>
      <c r="U370" s="19" t="str">
        <f aca="false">HYPERLINK("https://macaulaylibrary.org/asset/531235601","Open")</f>
        <v>Open</v>
      </c>
      <c r="V370" s="19"/>
    </row>
    <row r="371" customFormat="false" ht="15" hidden="false" customHeight="false" outlineLevel="0" collapsed="false">
      <c r="A371" s="19" t="s">
        <v>2192</v>
      </c>
      <c r="B371" s="19" t="s">
        <v>943</v>
      </c>
      <c r="C371" s="19" t="s">
        <v>944</v>
      </c>
      <c r="D371" s="19" t="s">
        <v>148</v>
      </c>
      <c r="E371" s="19" t="s">
        <v>147</v>
      </c>
      <c r="F371" s="19" t="s">
        <v>203</v>
      </c>
      <c r="G371" s="19" t="n">
        <v>44</v>
      </c>
      <c r="H371" s="19" t="s">
        <v>204</v>
      </c>
      <c r="I371" s="20" t="n">
        <v>20.201</v>
      </c>
      <c r="J371" s="19" t="n">
        <f aca="false">IF(I371="","",MIN(Overview!$B$8,MAX(1,CEILING(I371/Overview!$B$7,1))))</f>
        <v>5</v>
      </c>
      <c r="K371" s="19" t="n">
        <v>1</v>
      </c>
      <c r="L371" s="19"/>
      <c r="M371" s="20"/>
      <c r="N371" s="19"/>
      <c r="O371" s="19"/>
      <c r="P371" s="19" t="s">
        <v>1170</v>
      </c>
      <c r="Q371" s="19" t="s">
        <v>1166</v>
      </c>
      <c r="R371" s="21" t="n">
        <v>44900</v>
      </c>
      <c r="S371" s="19" t="s">
        <v>1092</v>
      </c>
      <c r="T371" s="19" t="s">
        <v>2193</v>
      </c>
      <c r="U371" s="19" t="str">
        <f aca="false">HYPERLINK("https://macaulaylibrary.org/asset/597933201","Open")</f>
        <v>Open</v>
      </c>
      <c r="V371" s="19"/>
    </row>
    <row r="372" customFormat="false" ht="15" hidden="false" customHeight="false" outlineLevel="0" collapsed="false">
      <c r="A372" s="19" t="s">
        <v>2194</v>
      </c>
      <c r="B372" s="19" t="s">
        <v>943</v>
      </c>
      <c r="C372" s="19" t="s">
        <v>944</v>
      </c>
      <c r="D372" s="19" t="s">
        <v>148</v>
      </c>
      <c r="E372" s="19" t="s">
        <v>147</v>
      </c>
      <c r="F372" s="19" t="s">
        <v>203</v>
      </c>
      <c r="G372" s="19" t="n">
        <v>44</v>
      </c>
      <c r="H372" s="19" t="s">
        <v>204</v>
      </c>
      <c r="I372" s="20" t="n">
        <v>50.08</v>
      </c>
      <c r="J372" s="19" t="n">
        <f aca="false">IF(I372="","",MIN(Overview!$B$8,MAX(1,CEILING(I372/Overview!$B$7,1))))</f>
        <v>11</v>
      </c>
      <c r="K372" s="19" t="n">
        <v>1</v>
      </c>
      <c r="L372" s="19"/>
      <c r="M372" s="20"/>
      <c r="N372" s="19"/>
      <c r="O372" s="19"/>
      <c r="P372" s="19" t="s">
        <v>1039</v>
      </c>
      <c r="Q372" s="19" t="s">
        <v>1040</v>
      </c>
      <c r="R372" s="21" t="n">
        <v>40901</v>
      </c>
      <c r="S372" s="19" t="s">
        <v>1002</v>
      </c>
      <c r="T372" s="19" t="s">
        <v>2195</v>
      </c>
      <c r="U372" s="19" t="str">
        <f aca="false">HYPERLINK("https://macaulaylibrary.org/asset/609056496","Open")</f>
        <v>Open</v>
      </c>
      <c r="V372" s="19"/>
    </row>
    <row r="373" customFormat="false" ht="15" hidden="false" customHeight="false" outlineLevel="0" collapsed="false">
      <c r="A373" s="19" t="s">
        <v>2196</v>
      </c>
      <c r="B373" s="19" t="s">
        <v>943</v>
      </c>
      <c r="C373" s="19" t="s">
        <v>944</v>
      </c>
      <c r="D373" s="19" t="s">
        <v>148</v>
      </c>
      <c r="E373" s="19" t="s">
        <v>147</v>
      </c>
      <c r="F373" s="19" t="s">
        <v>203</v>
      </c>
      <c r="G373" s="19" t="n">
        <v>44</v>
      </c>
      <c r="H373" s="19" t="s">
        <v>204</v>
      </c>
      <c r="I373" s="20" t="n">
        <v>13.333</v>
      </c>
      <c r="J373" s="19" t="n">
        <f aca="false">IF(I373="","",MIN(Overview!$B$8,MAX(1,CEILING(I373/Overview!$B$7,1))))</f>
        <v>3</v>
      </c>
      <c r="K373" s="19" t="n">
        <v>1</v>
      </c>
      <c r="L373" s="19"/>
      <c r="M373" s="20" t="n">
        <v>3</v>
      </c>
      <c r="N373" s="19"/>
      <c r="O373" s="19"/>
      <c r="P373" s="19" t="s">
        <v>1305</v>
      </c>
      <c r="Q373" s="19" t="s">
        <v>965</v>
      </c>
      <c r="R373" s="21" t="n">
        <v>45276</v>
      </c>
      <c r="S373" s="19" t="s">
        <v>1306</v>
      </c>
      <c r="T373" s="19" t="s">
        <v>2197</v>
      </c>
      <c r="U373" s="19" t="str">
        <f aca="false">HYPERLINK("https://macaulaylibrary.org/asset/612315923","Open")</f>
        <v>Open</v>
      </c>
      <c r="V373" s="19"/>
    </row>
    <row r="374" customFormat="false" ht="15" hidden="false" customHeight="false" outlineLevel="0" collapsed="false">
      <c r="A374" s="19" t="s">
        <v>2198</v>
      </c>
      <c r="B374" s="19" t="s">
        <v>943</v>
      </c>
      <c r="C374" s="19" t="s">
        <v>944</v>
      </c>
      <c r="D374" s="19" t="s">
        <v>148</v>
      </c>
      <c r="E374" s="19" t="s">
        <v>147</v>
      </c>
      <c r="F374" s="19" t="s">
        <v>203</v>
      </c>
      <c r="G374" s="19" t="n">
        <v>44</v>
      </c>
      <c r="H374" s="19" t="s">
        <v>204</v>
      </c>
      <c r="I374" s="20" t="n">
        <v>14.484</v>
      </c>
      <c r="J374" s="19" t="n">
        <f aca="false">IF(I374="","",MIN(Overview!$B$8,MAX(1,CEILING(I374/Overview!$B$7,1))))</f>
        <v>3</v>
      </c>
      <c r="K374" s="19" t="n">
        <v>1</v>
      </c>
      <c r="L374" s="19"/>
      <c r="M374" s="20" t="n">
        <v>3</v>
      </c>
      <c r="N374" s="19"/>
      <c r="O374" s="19"/>
      <c r="P374" s="19" t="s">
        <v>2199</v>
      </c>
      <c r="Q374" s="19" t="s">
        <v>956</v>
      </c>
      <c r="R374" s="21" t="n">
        <v>45302</v>
      </c>
      <c r="S374" s="19" t="s">
        <v>1419</v>
      </c>
      <c r="T374" s="19" t="s">
        <v>2200</v>
      </c>
      <c r="U374" s="19" t="str">
        <f aca="false">HYPERLINK("https://macaulaylibrary.org/asset/613430099","Open")</f>
        <v>Open</v>
      </c>
      <c r="V374" s="19"/>
    </row>
    <row r="375" customFormat="false" ht="15" hidden="false" customHeight="false" outlineLevel="0" collapsed="false">
      <c r="A375" s="19" t="s">
        <v>2201</v>
      </c>
      <c r="B375" s="19" t="s">
        <v>943</v>
      </c>
      <c r="C375" s="19" t="s">
        <v>944</v>
      </c>
      <c r="D375" s="19" t="s">
        <v>148</v>
      </c>
      <c r="E375" s="19" t="s">
        <v>147</v>
      </c>
      <c r="F375" s="19" t="s">
        <v>203</v>
      </c>
      <c r="G375" s="19" t="n">
        <v>44</v>
      </c>
      <c r="H375" s="19" t="s">
        <v>204</v>
      </c>
      <c r="I375" s="20" t="n">
        <v>6.472</v>
      </c>
      <c r="J375" s="19" t="n">
        <f aca="false">IF(I375="","",MIN(Overview!$B$8,MAX(1,CEILING(I375/Overview!$B$7,1))))</f>
        <v>2</v>
      </c>
      <c r="K375" s="19" t="n">
        <v>1</v>
      </c>
      <c r="L375" s="19"/>
      <c r="M375" s="20"/>
      <c r="N375" s="19"/>
      <c r="O375" s="19"/>
      <c r="P375" s="19" t="s">
        <v>2202</v>
      </c>
      <c r="Q375" s="19" t="s">
        <v>2203</v>
      </c>
      <c r="R375" s="21" t="n">
        <v>45226</v>
      </c>
      <c r="S375" s="19" t="s">
        <v>1986</v>
      </c>
      <c r="T375" s="19" t="s">
        <v>2204</v>
      </c>
      <c r="U375" s="19" t="str">
        <f aca="false">HYPERLINK("https://macaulaylibrary.org/asset/620169126","Open")</f>
        <v>Open</v>
      </c>
      <c r="V375" s="19"/>
    </row>
    <row r="376" customFormat="false" ht="15" hidden="false" customHeight="false" outlineLevel="0" collapsed="false">
      <c r="A376" s="19" t="s">
        <v>2205</v>
      </c>
      <c r="B376" s="19" t="s">
        <v>943</v>
      </c>
      <c r="C376" s="19" t="s">
        <v>944</v>
      </c>
      <c r="D376" s="19" t="s">
        <v>148</v>
      </c>
      <c r="E376" s="19" t="s">
        <v>147</v>
      </c>
      <c r="F376" s="19" t="s">
        <v>203</v>
      </c>
      <c r="G376" s="19" t="n">
        <v>44</v>
      </c>
      <c r="H376" s="19" t="s">
        <v>204</v>
      </c>
      <c r="I376" s="20" t="n">
        <v>24.101</v>
      </c>
      <c r="J376" s="19" t="n">
        <f aca="false">IF(I376="","",MIN(Overview!$B$8,MAX(1,CEILING(I376/Overview!$B$7,1))))</f>
        <v>5</v>
      </c>
      <c r="K376" s="19" t="n">
        <v>1</v>
      </c>
      <c r="L376" s="19"/>
      <c r="M376" s="20" t="n">
        <v>2</v>
      </c>
      <c r="N376" s="19"/>
      <c r="O376" s="19"/>
      <c r="P376" s="19" t="s">
        <v>2206</v>
      </c>
      <c r="Q376" s="19" t="s">
        <v>2207</v>
      </c>
      <c r="R376" s="21" t="n">
        <v>45611</v>
      </c>
      <c r="S376" s="19" t="s">
        <v>1969</v>
      </c>
      <c r="T376" s="19" t="s">
        <v>2208</v>
      </c>
      <c r="U376" s="19" t="str">
        <f aca="false">HYPERLINK("https://macaulaylibrary.org/asset/626933329","Open")</f>
        <v>Open</v>
      </c>
      <c r="V376" s="19"/>
    </row>
    <row r="377" customFormat="false" ht="15" hidden="false" customHeight="false" outlineLevel="0" collapsed="false">
      <c r="A377" s="19" t="s">
        <v>2209</v>
      </c>
      <c r="B377" s="19" t="s">
        <v>943</v>
      </c>
      <c r="C377" s="19" t="s">
        <v>944</v>
      </c>
      <c r="D377" s="19" t="s">
        <v>148</v>
      </c>
      <c r="E377" s="19" t="s">
        <v>147</v>
      </c>
      <c r="F377" s="19" t="s">
        <v>203</v>
      </c>
      <c r="G377" s="19" t="n">
        <v>44</v>
      </c>
      <c r="H377" s="19" t="s">
        <v>204</v>
      </c>
      <c r="I377" s="20" t="n">
        <v>7.154</v>
      </c>
      <c r="J377" s="19" t="n">
        <f aca="false">IF(I377="","",MIN(Overview!$B$8,MAX(1,CEILING(I377/Overview!$B$7,1))))</f>
        <v>2</v>
      </c>
      <c r="K377" s="19" t="n">
        <v>1</v>
      </c>
      <c r="L377" s="19"/>
      <c r="M377" s="20" t="n">
        <v>2</v>
      </c>
      <c r="N377" s="19"/>
      <c r="O377" s="19"/>
      <c r="P377" s="19" t="s">
        <v>2210</v>
      </c>
      <c r="Q377" s="19" t="s">
        <v>1158</v>
      </c>
      <c r="R377" s="21" t="n">
        <v>45658</v>
      </c>
      <c r="S377" s="19" t="s">
        <v>1969</v>
      </c>
      <c r="T377" s="19" t="s">
        <v>2211</v>
      </c>
      <c r="U377" s="19" t="str">
        <f aca="false">HYPERLINK("https://macaulaylibrary.org/asset/630101122","Open")</f>
        <v>Open</v>
      </c>
      <c r="V377" s="19"/>
    </row>
    <row r="378" customFormat="false" ht="15" hidden="false" customHeight="false" outlineLevel="0" collapsed="false">
      <c r="A378" s="19" t="s">
        <v>2212</v>
      </c>
      <c r="B378" s="19" t="s">
        <v>943</v>
      </c>
      <c r="C378" s="19" t="s">
        <v>944</v>
      </c>
      <c r="D378" s="19" t="s">
        <v>148</v>
      </c>
      <c r="E378" s="19" t="s">
        <v>147</v>
      </c>
      <c r="F378" s="19" t="s">
        <v>203</v>
      </c>
      <c r="G378" s="19" t="n">
        <v>44</v>
      </c>
      <c r="H378" s="19" t="s">
        <v>204</v>
      </c>
      <c r="I378" s="20" t="n">
        <v>7.846</v>
      </c>
      <c r="J378" s="19" t="n">
        <f aca="false">IF(I378="","",MIN(Overview!$B$8,MAX(1,CEILING(I378/Overview!$B$7,1))))</f>
        <v>2</v>
      </c>
      <c r="K378" s="19" t="n">
        <v>1</v>
      </c>
      <c r="L378" s="19"/>
      <c r="M378" s="20"/>
      <c r="N378" s="19"/>
      <c r="O378" s="19"/>
      <c r="P378" s="19" t="s">
        <v>2210</v>
      </c>
      <c r="Q378" s="19" t="s">
        <v>1158</v>
      </c>
      <c r="R378" s="21" t="n">
        <v>45658</v>
      </c>
      <c r="S378" s="19" t="s">
        <v>1969</v>
      </c>
      <c r="T378" s="19" t="s">
        <v>2213</v>
      </c>
      <c r="U378" s="19" t="str">
        <f aca="false">HYPERLINK("https://macaulaylibrary.org/asset/630101123","Open")</f>
        <v>Open</v>
      </c>
      <c r="V378" s="19"/>
    </row>
    <row r="379" customFormat="false" ht="15" hidden="false" customHeight="false" outlineLevel="0" collapsed="false">
      <c r="A379" s="19" t="s">
        <v>2214</v>
      </c>
      <c r="B379" s="19" t="s">
        <v>943</v>
      </c>
      <c r="C379" s="19" t="s">
        <v>944</v>
      </c>
      <c r="D379" s="19" t="s">
        <v>148</v>
      </c>
      <c r="E379" s="19" t="s">
        <v>147</v>
      </c>
      <c r="F379" s="19" t="s">
        <v>203</v>
      </c>
      <c r="G379" s="19" t="n">
        <v>44</v>
      </c>
      <c r="H379" s="19" t="s">
        <v>204</v>
      </c>
      <c r="I379" s="20" t="n">
        <v>16.485</v>
      </c>
      <c r="J379" s="19" t="n">
        <f aca="false">IF(I379="","",MIN(Overview!$B$8,MAX(1,CEILING(I379/Overview!$B$7,1))))</f>
        <v>4</v>
      </c>
      <c r="K379" s="19" t="n">
        <v>1</v>
      </c>
      <c r="L379" s="19"/>
      <c r="M379" s="20"/>
      <c r="N379" s="19"/>
      <c r="O379" s="19"/>
      <c r="P379" s="19" t="s">
        <v>1674</v>
      </c>
      <c r="Q379" s="19" t="s">
        <v>1091</v>
      </c>
      <c r="R379" s="21" t="n">
        <v>45843</v>
      </c>
      <c r="S379" s="19" t="s">
        <v>1009</v>
      </c>
      <c r="T379" s="19" t="s">
        <v>2215</v>
      </c>
      <c r="U379" s="19" t="str">
        <f aca="false">HYPERLINK("https://macaulaylibrary.org/asset/639162337","Open")</f>
        <v>Open</v>
      </c>
      <c r="V379" s="19"/>
    </row>
    <row r="380" customFormat="false" ht="15" hidden="false" customHeight="false" outlineLevel="0" collapsed="false">
      <c r="A380" s="19" t="s">
        <v>2216</v>
      </c>
      <c r="B380" s="19" t="s">
        <v>943</v>
      </c>
      <c r="C380" s="19" t="s">
        <v>944</v>
      </c>
      <c r="D380" s="19" t="s">
        <v>148</v>
      </c>
      <c r="E380" s="19" t="s">
        <v>147</v>
      </c>
      <c r="F380" s="19" t="s">
        <v>203</v>
      </c>
      <c r="G380" s="19" t="n">
        <v>44</v>
      </c>
      <c r="H380" s="19" t="s">
        <v>204</v>
      </c>
      <c r="I380" s="20" t="n">
        <v>12.112</v>
      </c>
      <c r="J380" s="19" t="n">
        <f aca="false">IF(I380="","",MIN(Overview!$B$8,MAX(1,CEILING(I380/Overview!$B$7,1))))</f>
        <v>3</v>
      </c>
      <c r="K380" s="19" t="n">
        <v>1</v>
      </c>
      <c r="L380" s="19"/>
      <c r="M380" s="20"/>
      <c r="N380" s="19"/>
      <c r="O380" s="19"/>
      <c r="P380" s="19" t="s">
        <v>1482</v>
      </c>
      <c r="Q380" s="19" t="s">
        <v>1483</v>
      </c>
      <c r="R380" s="21" t="n">
        <v>45293</v>
      </c>
      <c r="S380" s="19" t="s">
        <v>1484</v>
      </c>
      <c r="T380" s="19" t="s">
        <v>2217</v>
      </c>
      <c r="U380" s="19" t="str">
        <f aca="false">HYPERLINK("https://macaulaylibrary.org/asset/639219100","Open")</f>
        <v>Open</v>
      </c>
      <c r="V380" s="19"/>
    </row>
    <row r="381" customFormat="false" ht="15" hidden="false" customHeight="false" outlineLevel="0" collapsed="false">
      <c r="A381" s="19" t="s">
        <v>2218</v>
      </c>
      <c r="B381" s="19" t="s">
        <v>943</v>
      </c>
      <c r="C381" s="19" t="s">
        <v>944</v>
      </c>
      <c r="D381" s="19" t="s">
        <v>148</v>
      </c>
      <c r="E381" s="19" t="s">
        <v>147</v>
      </c>
      <c r="F381" s="19" t="s">
        <v>203</v>
      </c>
      <c r="G381" s="19" t="n">
        <v>44</v>
      </c>
      <c r="H381" s="19" t="s">
        <v>204</v>
      </c>
      <c r="I381" s="20" t="n">
        <v>4.196</v>
      </c>
      <c r="J381" s="19" t="n">
        <f aca="false">IF(I381="","",MIN(Overview!$B$8,MAX(1,CEILING(I381/Overview!$B$7,1))))</f>
        <v>1</v>
      </c>
      <c r="K381" s="19" t="n">
        <v>1</v>
      </c>
      <c r="L381" s="19" t="s">
        <v>1048</v>
      </c>
      <c r="M381" s="20"/>
      <c r="N381" s="19"/>
      <c r="O381" s="19"/>
      <c r="P381" s="19" t="s">
        <v>1367</v>
      </c>
      <c r="Q381" s="19" t="s">
        <v>1368</v>
      </c>
      <c r="R381" s="21" t="n">
        <v>45488</v>
      </c>
      <c r="S381" s="19" t="s">
        <v>1369</v>
      </c>
      <c r="T381" s="19" t="s">
        <v>2219</v>
      </c>
      <c r="U381" s="19" t="str">
        <f aca="false">HYPERLINK("https://macaulaylibrary.org/asset/642977891","Open")</f>
        <v>Open</v>
      </c>
      <c r="V381" s="19"/>
    </row>
    <row r="382" customFormat="false" ht="15" hidden="false" customHeight="false" outlineLevel="0" collapsed="false">
      <c r="A382" s="19" t="s">
        <v>2220</v>
      </c>
      <c r="B382" s="19" t="s">
        <v>943</v>
      </c>
      <c r="C382" s="19" t="s">
        <v>944</v>
      </c>
      <c r="D382" s="19" t="s">
        <v>148</v>
      </c>
      <c r="E382" s="19" t="s">
        <v>147</v>
      </c>
      <c r="F382" s="19" t="s">
        <v>203</v>
      </c>
      <c r="G382" s="19" t="n">
        <v>44</v>
      </c>
      <c r="H382" s="19" t="s">
        <v>204</v>
      </c>
      <c r="I382" s="20" t="n">
        <v>40.076</v>
      </c>
      <c r="J382" s="19" t="n">
        <f aca="false">IF(I382="","",MIN(Overview!$B$8,MAX(1,CEILING(I382/Overview!$B$7,1))))</f>
        <v>9</v>
      </c>
      <c r="K382" s="19" t="n">
        <v>1</v>
      </c>
      <c r="L382" s="19"/>
      <c r="M382" s="20"/>
      <c r="N382" s="19"/>
      <c r="O382" s="19"/>
      <c r="P382" s="19" t="s">
        <v>1946</v>
      </c>
      <c r="Q382" s="19" t="s">
        <v>1091</v>
      </c>
      <c r="R382" s="21" t="n">
        <v>45844</v>
      </c>
      <c r="S382" s="19" t="s">
        <v>1013</v>
      </c>
      <c r="T382" s="19" t="s">
        <v>2221</v>
      </c>
      <c r="U382" s="19" t="str">
        <f aca="false">HYPERLINK("https://macaulaylibrary.org/asset/643643024","Open")</f>
        <v>Open</v>
      </c>
      <c r="V382" s="19"/>
    </row>
    <row r="383" customFormat="false" ht="15" hidden="false" customHeight="false" outlineLevel="0" collapsed="false">
      <c r="A383" s="19" t="s">
        <v>2222</v>
      </c>
      <c r="B383" s="19" t="s">
        <v>943</v>
      </c>
      <c r="C383" s="19" t="s">
        <v>944</v>
      </c>
      <c r="D383" s="19" t="s">
        <v>148</v>
      </c>
      <c r="E383" s="19" t="s">
        <v>147</v>
      </c>
      <c r="F383" s="19" t="s">
        <v>203</v>
      </c>
      <c r="G383" s="19" t="n">
        <v>44</v>
      </c>
      <c r="H383" s="19" t="s">
        <v>204</v>
      </c>
      <c r="I383" s="20" t="n">
        <v>87.375</v>
      </c>
      <c r="J383" s="19" t="n">
        <f aca="false">IF(I383="","",MIN(Overview!$B$8,MAX(1,CEILING(I383/Overview!$B$7,1))))</f>
        <v>18</v>
      </c>
      <c r="K383" s="19" t="n">
        <v>1</v>
      </c>
      <c r="L383" s="19"/>
      <c r="M383" s="20"/>
      <c r="N383" s="19"/>
      <c r="O383" s="19"/>
      <c r="P383" s="19" t="s">
        <v>1946</v>
      </c>
      <c r="Q383" s="19" t="s">
        <v>1091</v>
      </c>
      <c r="R383" s="21" t="n">
        <v>45844</v>
      </c>
      <c r="S383" s="19" t="s">
        <v>1013</v>
      </c>
      <c r="T383" s="19" t="s">
        <v>2223</v>
      </c>
      <c r="U383" s="19" t="str">
        <f aca="false">HYPERLINK("https://macaulaylibrary.org/asset/643643641","Open")</f>
        <v>Open</v>
      </c>
      <c r="V383" s="19"/>
    </row>
    <row r="384" customFormat="false" ht="15" hidden="false" customHeight="false" outlineLevel="0" collapsed="false">
      <c r="A384" s="19" t="s">
        <v>2224</v>
      </c>
      <c r="B384" s="19" t="s">
        <v>943</v>
      </c>
      <c r="C384" s="19" t="s">
        <v>944</v>
      </c>
      <c r="D384" s="19" t="s">
        <v>148</v>
      </c>
      <c r="E384" s="19" t="s">
        <v>147</v>
      </c>
      <c r="F384" s="19" t="s">
        <v>203</v>
      </c>
      <c r="G384" s="19" t="n">
        <v>44</v>
      </c>
      <c r="H384" s="19" t="s">
        <v>204</v>
      </c>
      <c r="I384" s="20" t="n">
        <v>6.734</v>
      </c>
      <c r="J384" s="19" t="n">
        <f aca="false">IF(I384="","",MIN(Overview!$B$8,MAX(1,CEILING(I384/Overview!$B$7,1))))</f>
        <v>2</v>
      </c>
      <c r="K384" s="19" t="n">
        <v>1</v>
      </c>
      <c r="L384" s="19"/>
      <c r="M384" s="20" t="n">
        <v>4</v>
      </c>
      <c r="N384" s="19"/>
      <c r="O384" s="19"/>
      <c r="P384" s="19" t="s">
        <v>1949</v>
      </c>
      <c r="Q384" s="19" t="s">
        <v>1368</v>
      </c>
      <c r="R384" s="21" t="n">
        <v>45983</v>
      </c>
      <c r="S384" s="19" t="s">
        <v>1022</v>
      </c>
      <c r="T384" s="19" t="s">
        <v>2225</v>
      </c>
      <c r="U384" s="19" t="str">
        <f aca="false">HYPERLINK("https://macaulaylibrary.org/asset/646457274","Open")</f>
        <v>Open</v>
      </c>
      <c r="V384" s="19"/>
    </row>
    <row r="385" customFormat="false" ht="15" hidden="false" customHeight="false" outlineLevel="0" collapsed="false">
      <c r="A385" s="19" t="s">
        <v>2226</v>
      </c>
      <c r="B385" s="19" t="s">
        <v>943</v>
      </c>
      <c r="C385" s="19" t="s">
        <v>944</v>
      </c>
      <c r="D385" s="19" t="s">
        <v>148</v>
      </c>
      <c r="E385" s="19" t="s">
        <v>147</v>
      </c>
      <c r="F385" s="19" t="s">
        <v>203</v>
      </c>
      <c r="G385" s="19" t="n">
        <v>44</v>
      </c>
      <c r="H385" s="19" t="s">
        <v>204</v>
      </c>
      <c r="I385" s="20" t="n">
        <v>44.991</v>
      </c>
      <c r="J385" s="19" t="n">
        <f aca="false">IF(I385="","",MIN(Overview!$B$8,MAX(1,CEILING(I385/Overview!$B$7,1))))</f>
        <v>9</v>
      </c>
      <c r="K385" s="19" t="n">
        <v>1</v>
      </c>
      <c r="L385" s="19"/>
      <c r="M385" s="20" t="n">
        <v>4.5</v>
      </c>
      <c r="N385" s="19"/>
      <c r="O385" s="19"/>
      <c r="P385" s="19" t="s">
        <v>1949</v>
      </c>
      <c r="Q385" s="19" t="s">
        <v>1368</v>
      </c>
      <c r="R385" s="21" t="n">
        <v>45983</v>
      </c>
      <c r="S385" s="19" t="s">
        <v>1022</v>
      </c>
      <c r="T385" s="19" t="s">
        <v>2227</v>
      </c>
      <c r="U385" s="19" t="str">
        <f aca="false">HYPERLINK("https://macaulaylibrary.org/asset/646457276","Open")</f>
        <v>Open</v>
      </c>
      <c r="V385" s="19"/>
    </row>
    <row r="386" customFormat="false" ht="15" hidden="false" customHeight="false" outlineLevel="0" collapsed="false">
      <c r="A386" s="19" t="s">
        <v>2228</v>
      </c>
      <c r="B386" s="19" t="s">
        <v>943</v>
      </c>
      <c r="C386" s="19" t="s">
        <v>944</v>
      </c>
      <c r="D386" s="19" t="s">
        <v>148</v>
      </c>
      <c r="E386" s="19" t="s">
        <v>147</v>
      </c>
      <c r="F386" s="19" t="s">
        <v>203</v>
      </c>
      <c r="G386" s="19" t="n">
        <v>44</v>
      </c>
      <c r="H386" s="19" t="s">
        <v>204</v>
      </c>
      <c r="I386" s="20" t="n">
        <v>57.04</v>
      </c>
      <c r="J386" s="19" t="n">
        <f aca="false">IF(I386="","",MIN(Overview!$B$8,MAX(1,CEILING(I386/Overview!$B$7,1))))</f>
        <v>12</v>
      </c>
      <c r="K386" s="19" t="n">
        <v>1</v>
      </c>
      <c r="L386" s="19"/>
      <c r="M386" s="20" t="n">
        <v>3</v>
      </c>
      <c r="N386" s="19"/>
      <c r="O386" s="19"/>
      <c r="P386" s="19" t="s">
        <v>2229</v>
      </c>
      <c r="Q386" s="19" t="s">
        <v>1397</v>
      </c>
      <c r="R386" s="21" t="n">
        <v>46218</v>
      </c>
      <c r="S386" s="19" t="s">
        <v>1353</v>
      </c>
      <c r="T386" s="19" t="s">
        <v>2230</v>
      </c>
      <c r="U386" s="19" t="str">
        <f aca="false">HYPERLINK("https://macaulaylibrary.org/asset/661712384","Open")</f>
        <v>Open</v>
      </c>
      <c r="V386" s="19"/>
    </row>
    <row r="387" customFormat="false" ht="15" hidden="false" customHeight="false" outlineLevel="0" collapsed="false">
      <c r="A387" s="19" t="s">
        <v>2231</v>
      </c>
      <c r="B387" s="19" t="s">
        <v>1005</v>
      </c>
      <c r="C387" s="19" t="s">
        <v>944</v>
      </c>
      <c r="D387" s="19" t="s">
        <v>647</v>
      </c>
      <c r="E387" s="19" t="s">
        <v>147</v>
      </c>
      <c r="F387" s="19" t="s">
        <v>203</v>
      </c>
      <c r="G387" s="19" t="n">
        <v>44</v>
      </c>
      <c r="H387" s="19" t="s">
        <v>204</v>
      </c>
      <c r="I387" s="20" t="n">
        <v>7.968</v>
      </c>
      <c r="J387" s="19" t="n">
        <f aca="false">IF(I387="","",MIN(Overview!$B$8,MAX(1,CEILING(I387/Overview!$B$7,1))))</f>
        <v>2</v>
      </c>
      <c r="K387" s="19" t="n">
        <v>1</v>
      </c>
      <c r="L387" s="19"/>
      <c r="M387" s="20"/>
      <c r="N387" s="19" t="s">
        <v>1718</v>
      </c>
      <c r="O387" s="19"/>
      <c r="P387" s="19" t="s">
        <v>1016</v>
      </c>
      <c r="Q387" s="19" t="s">
        <v>1008</v>
      </c>
      <c r="R387" s="21" t="n">
        <v>42578</v>
      </c>
      <c r="S387" s="19" t="s">
        <v>1530</v>
      </c>
      <c r="T387" s="19" t="s">
        <v>2232</v>
      </c>
      <c r="U387" s="19" t="str">
        <f aca="false">HYPERLINK("https://xeno-canto.org/331463","Open")</f>
        <v>Open</v>
      </c>
      <c r="V387" s="19" t="s">
        <v>1011</v>
      </c>
    </row>
    <row r="388" customFormat="false" ht="15" hidden="false" customHeight="false" outlineLevel="0" collapsed="false">
      <c r="A388" s="19" t="s">
        <v>2233</v>
      </c>
      <c r="B388" s="19" t="s">
        <v>943</v>
      </c>
      <c r="C388" s="19" t="s">
        <v>944</v>
      </c>
      <c r="D388" s="19" t="s">
        <v>148</v>
      </c>
      <c r="E388" s="19" t="s">
        <v>147</v>
      </c>
      <c r="F388" s="19" t="s">
        <v>304</v>
      </c>
      <c r="G388" s="19" t="n">
        <v>45</v>
      </c>
      <c r="H388" s="19" t="s">
        <v>305</v>
      </c>
      <c r="I388" s="20" t="n">
        <v>16.283</v>
      </c>
      <c r="J388" s="19" t="n">
        <f aca="false">IF(I388="","",MIN(Overview!$B$8,MAX(1,CEILING(I388/Overview!$B$7,1))))</f>
        <v>4</v>
      </c>
      <c r="K388" s="19" t="n">
        <v>1</v>
      </c>
      <c r="L388" s="19"/>
      <c r="M388" s="20" t="n">
        <v>2.5</v>
      </c>
      <c r="N388" s="19"/>
      <c r="O388" s="19"/>
      <c r="P388" s="19" t="s">
        <v>2234</v>
      </c>
      <c r="Q388" s="19" t="s">
        <v>2235</v>
      </c>
      <c r="R388" s="21" t="n">
        <v>43467</v>
      </c>
      <c r="S388" s="19" t="s">
        <v>1534</v>
      </c>
      <c r="T388" s="19" t="s">
        <v>2236</v>
      </c>
      <c r="U388" s="19" t="str">
        <f aca="false">HYPERLINK("https://macaulaylibrary.org/asset/143086661","Open")</f>
        <v>Open</v>
      </c>
      <c r="V388" s="19"/>
    </row>
    <row r="389" customFormat="false" ht="15" hidden="false" customHeight="false" outlineLevel="0" collapsed="false">
      <c r="A389" s="19" t="s">
        <v>2237</v>
      </c>
      <c r="B389" s="19" t="s">
        <v>943</v>
      </c>
      <c r="C389" s="19" t="s">
        <v>944</v>
      </c>
      <c r="D389" s="19" t="s">
        <v>148</v>
      </c>
      <c r="E389" s="19" t="s">
        <v>147</v>
      </c>
      <c r="F389" s="19" t="s">
        <v>304</v>
      </c>
      <c r="G389" s="19" t="n">
        <v>45</v>
      </c>
      <c r="H389" s="19" t="s">
        <v>305</v>
      </c>
      <c r="I389" s="20" t="n">
        <v>81.3</v>
      </c>
      <c r="J389" s="19" t="n">
        <f aca="false">IF(I389="","",MIN(Overview!$B$8,MAX(1,CEILING(I389/Overview!$B$7,1))))</f>
        <v>17</v>
      </c>
      <c r="K389" s="19" t="n">
        <v>1</v>
      </c>
      <c r="L389" s="19"/>
      <c r="M389" s="20" t="n">
        <v>3</v>
      </c>
      <c r="N389" s="19"/>
      <c r="O389" s="19"/>
      <c r="P389" s="19" t="s">
        <v>1703</v>
      </c>
      <c r="Q389" s="19" t="s">
        <v>1021</v>
      </c>
      <c r="R389" s="21" t="n">
        <v>36601</v>
      </c>
      <c r="S389" s="19" t="s">
        <v>1036</v>
      </c>
      <c r="T389" s="19" t="s">
        <v>2238</v>
      </c>
      <c r="U389" s="19" t="str">
        <f aca="false">HYPERLINK("https://macaulaylibrary.org/asset/152749291","Open")</f>
        <v>Open</v>
      </c>
      <c r="V389" s="19"/>
    </row>
    <row r="390" customFormat="false" ht="15" hidden="false" customHeight="false" outlineLevel="0" collapsed="false">
      <c r="A390" s="19" t="s">
        <v>2239</v>
      </c>
      <c r="B390" s="19" t="s">
        <v>943</v>
      </c>
      <c r="C390" s="19" t="s">
        <v>944</v>
      </c>
      <c r="D390" s="19" t="s">
        <v>148</v>
      </c>
      <c r="E390" s="19" t="s">
        <v>147</v>
      </c>
      <c r="F390" s="19" t="s">
        <v>304</v>
      </c>
      <c r="G390" s="19" t="n">
        <v>45</v>
      </c>
      <c r="H390" s="19" t="s">
        <v>305</v>
      </c>
      <c r="I390" s="20" t="n">
        <v>169.125</v>
      </c>
      <c r="J390" s="19" t="n">
        <f aca="false">IF(I390="","",MIN(Overview!$B$8,MAX(1,CEILING(I390/Overview!$B$7,1))))</f>
        <v>34</v>
      </c>
      <c r="K390" s="19" t="n">
        <v>1</v>
      </c>
      <c r="L390" s="19"/>
      <c r="M390" s="20" t="n">
        <v>3</v>
      </c>
      <c r="N390" s="19"/>
      <c r="O390" s="19"/>
      <c r="P390" s="19" t="s">
        <v>979</v>
      </c>
      <c r="Q390" s="19" t="s">
        <v>980</v>
      </c>
      <c r="R390" s="21" t="n">
        <v>34122</v>
      </c>
      <c r="S390" s="19" t="s">
        <v>1357</v>
      </c>
      <c r="T390" s="19" t="s">
        <v>2240</v>
      </c>
      <c r="U390" s="19" t="str">
        <f aca="false">HYPERLINK("https://macaulaylibrary.org/asset/209452","Open")</f>
        <v>Open</v>
      </c>
      <c r="V390" s="19"/>
    </row>
    <row r="391" customFormat="false" ht="15" hidden="false" customHeight="false" outlineLevel="0" collapsed="false">
      <c r="A391" s="19" t="s">
        <v>2241</v>
      </c>
      <c r="B391" s="19" t="s">
        <v>943</v>
      </c>
      <c r="C391" s="19" t="s">
        <v>944</v>
      </c>
      <c r="D391" s="19" t="s">
        <v>148</v>
      </c>
      <c r="E391" s="19" t="s">
        <v>147</v>
      </c>
      <c r="F391" s="19" t="s">
        <v>304</v>
      </c>
      <c r="G391" s="19" t="n">
        <v>45</v>
      </c>
      <c r="H391" s="19" t="s">
        <v>305</v>
      </c>
      <c r="I391" s="20" t="n">
        <v>25.571</v>
      </c>
      <c r="J391" s="19" t="n">
        <f aca="false">IF(I391="","",MIN(Overview!$B$8,MAX(1,CEILING(I391/Overview!$B$7,1))))</f>
        <v>6</v>
      </c>
      <c r="K391" s="19" t="n">
        <v>1</v>
      </c>
      <c r="L391" s="19"/>
      <c r="M391" s="20" t="n">
        <v>3</v>
      </c>
      <c r="N391" s="19"/>
      <c r="O391" s="19"/>
      <c r="P391" s="19" t="s">
        <v>1140</v>
      </c>
      <c r="Q391" s="19" t="s">
        <v>1030</v>
      </c>
      <c r="R391" s="21" t="n">
        <v>40250</v>
      </c>
      <c r="S391" s="19" t="s">
        <v>1290</v>
      </c>
      <c r="T391" s="19" t="s">
        <v>2242</v>
      </c>
      <c r="U391" s="19" t="str">
        <f aca="false">HYPERLINK("https://macaulaylibrary.org/asset/299552","Open")</f>
        <v>Open</v>
      </c>
      <c r="V391" s="19"/>
    </row>
    <row r="392" customFormat="false" ht="15" hidden="false" customHeight="false" outlineLevel="0" collapsed="false">
      <c r="A392" s="19" t="s">
        <v>2243</v>
      </c>
      <c r="B392" s="19" t="s">
        <v>943</v>
      </c>
      <c r="C392" s="19" t="s">
        <v>944</v>
      </c>
      <c r="D392" s="19" t="s">
        <v>148</v>
      </c>
      <c r="E392" s="19" t="s">
        <v>147</v>
      </c>
      <c r="F392" s="19" t="s">
        <v>304</v>
      </c>
      <c r="G392" s="19" t="n">
        <v>45</v>
      </c>
      <c r="H392" s="19" t="s">
        <v>305</v>
      </c>
      <c r="I392" s="20" t="n">
        <v>20.866</v>
      </c>
      <c r="J392" s="19" t="n">
        <f aca="false">IF(I392="","",MIN(Overview!$B$8,MAX(1,CEILING(I392/Overview!$B$7,1))))</f>
        <v>5</v>
      </c>
      <c r="K392" s="19" t="n">
        <v>1</v>
      </c>
      <c r="L392" s="19"/>
      <c r="M392" s="20"/>
      <c r="N392" s="19"/>
      <c r="O392" s="19"/>
      <c r="P392" s="19" t="s">
        <v>2244</v>
      </c>
      <c r="Q392" s="19" t="s">
        <v>2245</v>
      </c>
      <c r="R392" s="21" t="n">
        <v>44974</v>
      </c>
      <c r="S392" s="19" t="s">
        <v>1969</v>
      </c>
      <c r="T392" s="19" t="s">
        <v>2246</v>
      </c>
      <c r="U392" s="19" t="str">
        <f aca="false">HYPERLINK("https://macaulaylibrary.org/asset/542517281","Open")</f>
        <v>Open</v>
      </c>
      <c r="V392" s="19"/>
    </row>
    <row r="393" customFormat="false" ht="15" hidden="false" customHeight="false" outlineLevel="0" collapsed="false">
      <c r="A393" s="19" t="s">
        <v>2247</v>
      </c>
      <c r="B393" s="19" t="s">
        <v>943</v>
      </c>
      <c r="C393" s="19" t="s">
        <v>944</v>
      </c>
      <c r="D393" s="19" t="s">
        <v>148</v>
      </c>
      <c r="E393" s="19" t="s">
        <v>147</v>
      </c>
      <c r="F393" s="19" t="s">
        <v>304</v>
      </c>
      <c r="G393" s="19" t="n">
        <v>45</v>
      </c>
      <c r="H393" s="19" t="s">
        <v>305</v>
      </c>
      <c r="I393" s="20" t="n">
        <v>17.098</v>
      </c>
      <c r="J393" s="19" t="n">
        <f aca="false">IF(I393="","",MIN(Overview!$B$8,MAX(1,CEILING(I393/Overview!$B$7,1))))</f>
        <v>4</v>
      </c>
      <c r="K393" s="19" t="n">
        <v>1</v>
      </c>
      <c r="L393" s="19"/>
      <c r="M393" s="20"/>
      <c r="N393" s="19"/>
      <c r="O393" s="19"/>
      <c r="P393" s="19" t="s">
        <v>1157</v>
      </c>
      <c r="Q393" s="19" t="s">
        <v>1158</v>
      </c>
      <c r="R393" s="21" t="n">
        <v>44942</v>
      </c>
      <c r="S393" s="19" t="s">
        <v>1009</v>
      </c>
      <c r="T393" s="19" t="s">
        <v>2248</v>
      </c>
      <c r="U393" s="19" t="str">
        <f aca="false">HYPERLINK("https://macaulaylibrary.org/asset/543398291","Open")</f>
        <v>Open</v>
      </c>
      <c r="V393" s="19"/>
    </row>
    <row r="394" customFormat="false" ht="15" hidden="false" customHeight="false" outlineLevel="0" collapsed="false">
      <c r="A394" s="19" t="s">
        <v>2249</v>
      </c>
      <c r="B394" s="19" t="s">
        <v>943</v>
      </c>
      <c r="C394" s="19" t="s">
        <v>944</v>
      </c>
      <c r="D394" s="19" t="s">
        <v>148</v>
      </c>
      <c r="E394" s="19" t="s">
        <v>147</v>
      </c>
      <c r="F394" s="19" t="s">
        <v>304</v>
      </c>
      <c r="G394" s="19" t="n">
        <v>45</v>
      </c>
      <c r="H394" s="19" t="s">
        <v>305</v>
      </c>
      <c r="I394" s="20" t="n">
        <v>58.569</v>
      </c>
      <c r="J394" s="19" t="n">
        <f aca="false">IF(I394="","",MIN(Overview!$B$8,MAX(1,CEILING(I394/Overview!$B$7,1))))</f>
        <v>12</v>
      </c>
      <c r="K394" s="19" t="n">
        <v>1</v>
      </c>
      <c r="L394" s="19"/>
      <c r="M394" s="20"/>
      <c r="N394" s="19"/>
      <c r="O394" s="19"/>
      <c r="P394" s="19" t="s">
        <v>1039</v>
      </c>
      <c r="Q394" s="19" t="s">
        <v>1040</v>
      </c>
      <c r="R394" s="21" t="n">
        <v>40901</v>
      </c>
      <c r="S394" s="19" t="s">
        <v>1002</v>
      </c>
      <c r="T394" s="19" t="s">
        <v>2250</v>
      </c>
      <c r="U394" s="19" t="str">
        <f aca="false">HYPERLINK("https://macaulaylibrary.org/asset/609056493","Open")</f>
        <v>Open</v>
      </c>
      <c r="V394" s="19"/>
    </row>
    <row r="395" customFormat="false" ht="15" hidden="false" customHeight="false" outlineLevel="0" collapsed="false">
      <c r="A395" s="19" t="s">
        <v>2251</v>
      </c>
      <c r="B395" s="19" t="s">
        <v>943</v>
      </c>
      <c r="C395" s="19" t="s">
        <v>944</v>
      </c>
      <c r="D395" s="19" t="s">
        <v>148</v>
      </c>
      <c r="E395" s="19" t="s">
        <v>147</v>
      </c>
      <c r="F395" s="19" t="s">
        <v>304</v>
      </c>
      <c r="G395" s="19" t="n">
        <v>45</v>
      </c>
      <c r="H395" s="19" t="s">
        <v>305</v>
      </c>
      <c r="I395" s="20" t="n">
        <v>16.106</v>
      </c>
      <c r="J395" s="19" t="n">
        <f aca="false">IF(I395="","",MIN(Overview!$B$8,MAX(1,CEILING(I395/Overview!$B$7,1))))</f>
        <v>4</v>
      </c>
      <c r="K395" s="19" t="n">
        <v>1</v>
      </c>
      <c r="L395" s="19"/>
      <c r="M395" s="20"/>
      <c r="N395" s="19"/>
      <c r="O395" s="19"/>
      <c r="P395" s="19" t="s">
        <v>1039</v>
      </c>
      <c r="Q395" s="19" t="s">
        <v>1040</v>
      </c>
      <c r="R395" s="21" t="n">
        <v>40901</v>
      </c>
      <c r="S395" s="19" t="s">
        <v>1002</v>
      </c>
      <c r="T395" s="19" t="s">
        <v>2252</v>
      </c>
      <c r="U395" s="19" t="str">
        <f aca="false">HYPERLINK("https://macaulaylibrary.org/asset/609056500","Open")</f>
        <v>Open</v>
      </c>
      <c r="V395" s="19"/>
    </row>
    <row r="396" customFormat="false" ht="15" hidden="false" customHeight="false" outlineLevel="0" collapsed="false">
      <c r="A396" s="19" t="s">
        <v>2253</v>
      </c>
      <c r="B396" s="19" t="s">
        <v>943</v>
      </c>
      <c r="C396" s="19" t="s">
        <v>944</v>
      </c>
      <c r="D396" s="19" t="s">
        <v>148</v>
      </c>
      <c r="E396" s="19" t="s">
        <v>147</v>
      </c>
      <c r="F396" s="19" t="s">
        <v>304</v>
      </c>
      <c r="G396" s="19" t="n">
        <v>45</v>
      </c>
      <c r="H396" s="19" t="s">
        <v>305</v>
      </c>
      <c r="I396" s="20" t="n">
        <v>17.608</v>
      </c>
      <c r="J396" s="19" t="n">
        <f aca="false">IF(I396="","",MIN(Overview!$B$8,MAX(1,CEILING(I396/Overview!$B$7,1))))</f>
        <v>4</v>
      </c>
      <c r="K396" s="19" t="n">
        <v>1</v>
      </c>
      <c r="L396" s="19"/>
      <c r="M396" s="20" t="n">
        <v>4.5</v>
      </c>
      <c r="N396" s="19"/>
      <c r="O396" s="19"/>
      <c r="P396" s="19" t="s">
        <v>1467</v>
      </c>
      <c r="Q396" s="19" t="s">
        <v>1258</v>
      </c>
      <c r="R396" s="21" t="n">
        <v>45230</v>
      </c>
      <c r="S396" s="19" t="s">
        <v>1306</v>
      </c>
      <c r="T396" s="19" t="s">
        <v>2254</v>
      </c>
      <c r="U396" s="19" t="str">
        <f aca="false">HYPERLINK("https://macaulaylibrary.org/asset/621759534","Open")</f>
        <v>Open</v>
      </c>
      <c r="V396" s="19"/>
    </row>
    <row r="397" customFormat="false" ht="15" hidden="false" customHeight="false" outlineLevel="0" collapsed="false">
      <c r="A397" s="19" t="s">
        <v>2255</v>
      </c>
      <c r="B397" s="19" t="s">
        <v>943</v>
      </c>
      <c r="C397" s="19" t="s">
        <v>944</v>
      </c>
      <c r="D397" s="19" t="s">
        <v>148</v>
      </c>
      <c r="E397" s="19" t="s">
        <v>147</v>
      </c>
      <c r="F397" s="19" t="s">
        <v>304</v>
      </c>
      <c r="G397" s="19" t="n">
        <v>45</v>
      </c>
      <c r="H397" s="19" t="s">
        <v>305</v>
      </c>
      <c r="I397" s="20" t="n">
        <v>26.049</v>
      </c>
      <c r="J397" s="19" t="n">
        <f aca="false">IF(I397="","",MIN(Overview!$B$8,MAX(1,CEILING(I397/Overview!$B$7,1))))</f>
        <v>6</v>
      </c>
      <c r="K397" s="19" t="n">
        <v>1</v>
      </c>
      <c r="L397" s="19"/>
      <c r="M397" s="20" t="n">
        <v>1</v>
      </c>
      <c r="N397" s="19"/>
      <c r="O397" s="19"/>
      <c r="P397" s="19" t="s">
        <v>1482</v>
      </c>
      <c r="Q397" s="19" t="s">
        <v>1483</v>
      </c>
      <c r="R397" s="21" t="n">
        <v>45293</v>
      </c>
      <c r="S397" s="19" t="s">
        <v>1484</v>
      </c>
      <c r="T397" s="19" t="s">
        <v>2256</v>
      </c>
      <c r="U397" s="19" t="str">
        <f aca="false">HYPERLINK("https://macaulaylibrary.org/asset/639219107","Open")</f>
        <v>Open</v>
      </c>
      <c r="V397" s="19"/>
    </row>
    <row r="398" customFormat="false" ht="15" hidden="false" customHeight="false" outlineLevel="0" collapsed="false">
      <c r="A398" s="19" t="s">
        <v>2257</v>
      </c>
      <c r="B398" s="19" t="s">
        <v>943</v>
      </c>
      <c r="C398" s="19" t="s">
        <v>944</v>
      </c>
      <c r="D398" s="19" t="s">
        <v>148</v>
      </c>
      <c r="E398" s="19" t="s">
        <v>147</v>
      </c>
      <c r="F398" s="19" t="s">
        <v>304</v>
      </c>
      <c r="G398" s="19" t="n">
        <v>45</v>
      </c>
      <c r="H398" s="19" t="s">
        <v>305</v>
      </c>
      <c r="I398" s="20" t="n">
        <v>194.169</v>
      </c>
      <c r="J398" s="19" t="n">
        <f aca="false">IF(I398="","",MIN(Overview!$B$8,MAX(1,CEILING(I398/Overview!$B$7,1))))</f>
        <v>39</v>
      </c>
      <c r="K398" s="19" t="n">
        <v>1</v>
      </c>
      <c r="L398" s="19"/>
      <c r="M398" s="20" t="n">
        <v>4</v>
      </c>
      <c r="N398" s="19"/>
      <c r="O398" s="19"/>
      <c r="P398" s="19" t="s">
        <v>1001</v>
      </c>
      <c r="Q398" s="19" t="s">
        <v>980</v>
      </c>
      <c r="R398" s="21" t="n">
        <v>33299</v>
      </c>
      <c r="S398" s="19" t="s">
        <v>1002</v>
      </c>
      <c r="T398" s="19" t="s">
        <v>2258</v>
      </c>
      <c r="U398" s="19" t="str">
        <f aca="false">HYPERLINK("https://macaulaylibrary.org/asset/72642","Open")</f>
        <v>Open</v>
      </c>
      <c r="V398" s="19"/>
    </row>
    <row r="399" customFormat="false" ht="15" hidden="false" customHeight="false" outlineLevel="0" collapsed="false">
      <c r="A399" s="19" t="s">
        <v>2259</v>
      </c>
      <c r="B399" s="19" t="s">
        <v>1005</v>
      </c>
      <c r="C399" s="19" t="s">
        <v>944</v>
      </c>
      <c r="D399" s="19" t="s">
        <v>647</v>
      </c>
      <c r="E399" s="19" t="s">
        <v>147</v>
      </c>
      <c r="F399" s="19" t="s">
        <v>304</v>
      </c>
      <c r="G399" s="19" t="n">
        <v>45</v>
      </c>
      <c r="H399" s="19" t="s">
        <v>305</v>
      </c>
      <c r="I399" s="20" t="n">
        <v>21.504</v>
      </c>
      <c r="J399" s="19" t="n">
        <f aca="false">IF(I399="","",MIN(Overview!$B$8,MAX(1,CEILING(I399/Overview!$B$7,1))))</f>
        <v>5</v>
      </c>
      <c r="K399" s="19" t="n">
        <v>1</v>
      </c>
      <c r="L399" s="19"/>
      <c r="M399" s="20"/>
      <c r="N399" s="19" t="s">
        <v>1006</v>
      </c>
      <c r="O399" s="19"/>
      <c r="P399" s="19" t="s">
        <v>1875</v>
      </c>
      <c r="Q399" s="19" t="s">
        <v>1008</v>
      </c>
      <c r="R399" s="21" t="n">
        <v>42579</v>
      </c>
      <c r="S399" s="19" t="s">
        <v>1013</v>
      </c>
      <c r="T399" s="19" t="s">
        <v>2260</v>
      </c>
      <c r="U399" s="19" t="str">
        <f aca="false">HYPERLINK("https://xeno-canto.org/331642","Open")</f>
        <v>Open</v>
      </c>
      <c r="V399" s="19" t="s">
        <v>1877</v>
      </c>
    </row>
    <row r="400" customFormat="false" ht="15" hidden="false" customHeight="false" outlineLevel="0" collapsed="false">
      <c r="A400" s="19" t="s">
        <v>2261</v>
      </c>
      <c r="B400" s="19" t="s">
        <v>1005</v>
      </c>
      <c r="C400" s="19" t="s">
        <v>944</v>
      </c>
      <c r="D400" s="19" t="s">
        <v>647</v>
      </c>
      <c r="E400" s="19" t="s">
        <v>147</v>
      </c>
      <c r="F400" s="19" t="s">
        <v>645</v>
      </c>
      <c r="G400" s="19" t="n">
        <v>46</v>
      </c>
      <c r="H400" s="19" t="s">
        <v>646</v>
      </c>
      <c r="I400" s="20" t="n">
        <v>81.456</v>
      </c>
      <c r="J400" s="19" t="n">
        <f aca="false">IF(I400="","",MIN(Overview!$B$8,MAX(1,CEILING(I400/Overview!$B$7,1))))</f>
        <v>17</v>
      </c>
      <c r="K400" s="19" t="n">
        <v>1</v>
      </c>
      <c r="L400" s="19"/>
      <c r="M400" s="20"/>
      <c r="N400" s="19" t="s">
        <v>1656</v>
      </c>
      <c r="O400" s="19"/>
      <c r="P400" s="19" t="s">
        <v>2262</v>
      </c>
      <c r="Q400" s="19" t="s">
        <v>1008</v>
      </c>
      <c r="R400" s="21" t="n">
        <v>42579</v>
      </c>
      <c r="S400" s="19" t="s">
        <v>1369</v>
      </c>
      <c r="T400" s="19" t="s">
        <v>2263</v>
      </c>
      <c r="U400" s="19" t="str">
        <f aca="false">HYPERLINK("https://xeno-canto.org/332139","Open")</f>
        <v>Open</v>
      </c>
      <c r="V400" s="19" t="s">
        <v>1954</v>
      </c>
    </row>
    <row r="401" customFormat="false" ht="15" hidden="false" customHeight="false" outlineLevel="0" collapsed="false">
      <c r="A401" s="19" t="s">
        <v>2264</v>
      </c>
      <c r="B401" s="19" t="s">
        <v>1005</v>
      </c>
      <c r="C401" s="19" t="s">
        <v>944</v>
      </c>
      <c r="D401" s="19" t="s">
        <v>647</v>
      </c>
      <c r="E401" s="19" t="s">
        <v>147</v>
      </c>
      <c r="F401" s="19" t="s">
        <v>645</v>
      </c>
      <c r="G401" s="19" t="n">
        <v>46</v>
      </c>
      <c r="H401" s="19" t="s">
        <v>646</v>
      </c>
      <c r="I401" s="20" t="n">
        <v>30.504</v>
      </c>
      <c r="J401" s="19" t="n">
        <f aca="false">IF(I401="","",MIN(Overview!$B$8,MAX(1,CEILING(I401/Overview!$B$7,1))))</f>
        <v>7</v>
      </c>
      <c r="K401" s="19" t="n">
        <v>1</v>
      </c>
      <c r="L401" s="19"/>
      <c r="M401" s="20"/>
      <c r="N401" s="19" t="s">
        <v>1656</v>
      </c>
      <c r="O401" s="19"/>
      <c r="P401" s="19" t="s">
        <v>2265</v>
      </c>
      <c r="Q401" s="19" t="s">
        <v>1008</v>
      </c>
      <c r="R401" s="21" t="n">
        <v>42580</v>
      </c>
      <c r="S401" s="19" t="s">
        <v>1369</v>
      </c>
      <c r="T401" s="19" t="s">
        <v>2266</v>
      </c>
      <c r="U401" s="19" t="str">
        <f aca="false">HYPERLINK("https://xeno-canto.org/332140","Open")</f>
        <v>Open</v>
      </c>
      <c r="V401" s="19" t="s">
        <v>2267</v>
      </c>
    </row>
    <row r="402" customFormat="false" ht="15" hidden="false" customHeight="false" outlineLevel="0" collapsed="false">
      <c r="A402" s="19" t="s">
        <v>2268</v>
      </c>
      <c r="B402" s="19" t="s">
        <v>1005</v>
      </c>
      <c r="C402" s="19" t="s">
        <v>944</v>
      </c>
      <c r="D402" s="19" t="s">
        <v>647</v>
      </c>
      <c r="E402" s="19" t="s">
        <v>147</v>
      </c>
      <c r="F402" s="19" t="s">
        <v>645</v>
      </c>
      <c r="G402" s="19" t="n">
        <v>46</v>
      </c>
      <c r="H402" s="19" t="s">
        <v>646</v>
      </c>
      <c r="I402" s="20" t="n">
        <v>34.056</v>
      </c>
      <c r="J402" s="19" t="n">
        <f aca="false">IF(I402="","",MIN(Overview!$B$8,MAX(1,CEILING(I402/Overview!$B$7,1))))</f>
        <v>7</v>
      </c>
      <c r="K402" s="19" t="n">
        <v>1</v>
      </c>
      <c r="L402" s="19"/>
      <c r="M402" s="20"/>
      <c r="N402" s="19" t="s">
        <v>1656</v>
      </c>
      <c r="O402" s="19"/>
      <c r="P402" s="19" t="s">
        <v>2262</v>
      </c>
      <c r="Q402" s="19" t="s">
        <v>1008</v>
      </c>
      <c r="R402" s="21" t="n">
        <v>42579</v>
      </c>
      <c r="S402" s="19" t="s">
        <v>1936</v>
      </c>
      <c r="T402" s="19" t="s">
        <v>2269</v>
      </c>
      <c r="U402" s="19" t="str">
        <f aca="false">HYPERLINK("https://xeno-canto.org/332144","Open")</f>
        <v>Open</v>
      </c>
      <c r="V402" s="19" t="s">
        <v>1954</v>
      </c>
    </row>
    <row r="403" customFormat="false" ht="15" hidden="false" customHeight="false" outlineLevel="0" collapsed="false">
      <c r="A403" s="19" t="s">
        <v>2270</v>
      </c>
      <c r="B403" s="19" t="s">
        <v>943</v>
      </c>
      <c r="C403" s="19" t="s">
        <v>944</v>
      </c>
      <c r="D403" s="19" t="s">
        <v>148</v>
      </c>
      <c r="E403" s="19" t="s">
        <v>147</v>
      </c>
      <c r="F403" s="19" t="s">
        <v>350</v>
      </c>
      <c r="G403" s="19" t="n">
        <v>47</v>
      </c>
      <c r="H403" s="19" t="s">
        <v>351</v>
      </c>
      <c r="I403" s="20" t="n">
        <v>9.824</v>
      </c>
      <c r="J403" s="19" t="n">
        <f aca="false">IF(I403="","",MIN(Overview!$B$8,MAX(1,CEILING(I403/Overview!$B$7,1))))</f>
        <v>2</v>
      </c>
      <c r="K403" s="19" t="n">
        <v>1</v>
      </c>
      <c r="L403" s="19"/>
      <c r="M403" s="20" t="n">
        <v>1</v>
      </c>
      <c r="N403" s="19"/>
      <c r="O403" s="19"/>
      <c r="P403" s="19" t="s">
        <v>2271</v>
      </c>
      <c r="Q403" s="19" t="s">
        <v>1021</v>
      </c>
      <c r="R403" s="21" t="n">
        <v>35867</v>
      </c>
      <c r="S403" s="19" t="s">
        <v>2272</v>
      </c>
      <c r="T403" s="19" t="s">
        <v>2273</v>
      </c>
      <c r="U403" s="19" t="str">
        <f aca="false">HYPERLINK("https://macaulaylibrary.org/asset/178675661","Open")</f>
        <v>Open</v>
      </c>
      <c r="V403" s="19"/>
    </row>
    <row r="404" customFormat="false" ht="15" hidden="false" customHeight="false" outlineLevel="0" collapsed="false">
      <c r="A404" s="19" t="s">
        <v>2274</v>
      </c>
      <c r="B404" s="19" t="s">
        <v>943</v>
      </c>
      <c r="C404" s="19" t="s">
        <v>944</v>
      </c>
      <c r="D404" s="19" t="s">
        <v>148</v>
      </c>
      <c r="E404" s="19" t="s">
        <v>147</v>
      </c>
      <c r="F404" s="19" t="s">
        <v>350</v>
      </c>
      <c r="G404" s="19" t="n">
        <v>47</v>
      </c>
      <c r="H404" s="19" t="s">
        <v>351</v>
      </c>
      <c r="I404" s="20" t="n">
        <v>126.353</v>
      </c>
      <c r="J404" s="19" t="n">
        <f aca="false">IF(I404="","",MIN(Overview!$B$8,MAX(1,CEILING(I404/Overview!$B$7,1))))</f>
        <v>26</v>
      </c>
      <c r="K404" s="19" t="n">
        <v>1</v>
      </c>
      <c r="L404" s="19"/>
      <c r="M404" s="20" t="n">
        <v>4</v>
      </c>
      <c r="N404" s="19"/>
      <c r="O404" s="19"/>
      <c r="P404" s="19" t="s">
        <v>2275</v>
      </c>
      <c r="Q404" s="19" t="s">
        <v>980</v>
      </c>
      <c r="R404" s="21" t="n">
        <v>34123</v>
      </c>
      <c r="S404" s="19" t="s">
        <v>1442</v>
      </c>
      <c r="T404" s="19" t="s">
        <v>2276</v>
      </c>
      <c r="U404" s="19" t="str">
        <f aca="false">HYPERLINK("https://macaulaylibrary.org/asset/209459","Open")</f>
        <v>Open</v>
      </c>
      <c r="V404" s="19"/>
    </row>
    <row r="405" customFormat="false" ht="15" hidden="false" customHeight="false" outlineLevel="0" collapsed="false">
      <c r="A405" s="19" t="s">
        <v>2277</v>
      </c>
      <c r="B405" s="19" t="s">
        <v>943</v>
      </c>
      <c r="C405" s="19" t="s">
        <v>944</v>
      </c>
      <c r="D405" s="19" t="s">
        <v>148</v>
      </c>
      <c r="E405" s="19" t="s">
        <v>147</v>
      </c>
      <c r="F405" s="19" t="s">
        <v>350</v>
      </c>
      <c r="G405" s="19" t="n">
        <v>47</v>
      </c>
      <c r="H405" s="19" t="s">
        <v>351</v>
      </c>
      <c r="I405" s="20" t="n">
        <v>11.621</v>
      </c>
      <c r="J405" s="19" t="n">
        <f aca="false">IF(I405="","",MIN(Overview!$B$8,MAX(1,CEILING(I405/Overview!$B$7,1))))</f>
        <v>3</v>
      </c>
      <c r="K405" s="19" t="n">
        <v>1</v>
      </c>
      <c r="L405" s="19"/>
      <c r="M405" s="20" t="n">
        <v>4</v>
      </c>
      <c r="N405" s="19"/>
      <c r="O405" s="19" t="s">
        <v>614</v>
      </c>
      <c r="P405" s="19" t="s">
        <v>2278</v>
      </c>
      <c r="Q405" s="19" t="s">
        <v>1408</v>
      </c>
      <c r="R405" s="21" t="n">
        <v>32611</v>
      </c>
      <c r="S405" s="19" t="s">
        <v>1009</v>
      </c>
      <c r="T405" s="19" t="s">
        <v>2279</v>
      </c>
      <c r="U405" s="19" t="str">
        <f aca="false">HYPERLINK("https://macaulaylibrary.org/asset/348069041","Open")</f>
        <v>Open</v>
      </c>
      <c r="V405" s="19"/>
    </row>
    <row r="406" customFormat="false" ht="15" hidden="false" customHeight="false" outlineLevel="0" collapsed="false">
      <c r="A406" s="19" t="s">
        <v>2280</v>
      </c>
      <c r="B406" s="19" t="s">
        <v>943</v>
      </c>
      <c r="C406" s="19" t="s">
        <v>944</v>
      </c>
      <c r="D406" s="19" t="s">
        <v>148</v>
      </c>
      <c r="E406" s="19" t="s">
        <v>147</v>
      </c>
      <c r="F406" s="19" t="s">
        <v>350</v>
      </c>
      <c r="G406" s="19" t="n">
        <v>47</v>
      </c>
      <c r="H406" s="19" t="s">
        <v>351</v>
      </c>
      <c r="I406" s="20" t="n">
        <v>212.417</v>
      </c>
      <c r="J406" s="19" t="n">
        <f aca="false">IF(I406="","",MIN(Overview!$B$8,MAX(1,CEILING(I406/Overview!$B$7,1))))</f>
        <v>43</v>
      </c>
      <c r="K406" s="19" t="n">
        <v>1</v>
      </c>
      <c r="L406" s="19"/>
      <c r="M406" s="20" t="n">
        <v>2</v>
      </c>
      <c r="N406" s="19"/>
      <c r="O406" s="19" t="s">
        <v>151</v>
      </c>
      <c r="P406" s="19" t="s">
        <v>1797</v>
      </c>
      <c r="Q406" s="19" t="s">
        <v>1798</v>
      </c>
      <c r="R406" s="21" t="n">
        <v>33584</v>
      </c>
      <c r="S406" s="19" t="s">
        <v>1369</v>
      </c>
      <c r="T406" s="19" t="s">
        <v>2281</v>
      </c>
      <c r="U406" s="19" t="str">
        <f aca="false">HYPERLINK("https://macaulaylibrary.org/asset/56616","Open")</f>
        <v>Open</v>
      </c>
      <c r="V406" s="19"/>
    </row>
    <row r="407" customFormat="false" ht="15" hidden="false" customHeight="false" outlineLevel="0" collapsed="false">
      <c r="A407" s="19" t="s">
        <v>2282</v>
      </c>
      <c r="B407" s="19" t="s">
        <v>943</v>
      </c>
      <c r="C407" s="19" t="s">
        <v>944</v>
      </c>
      <c r="D407" s="19" t="s">
        <v>148</v>
      </c>
      <c r="E407" s="19" t="s">
        <v>147</v>
      </c>
      <c r="F407" s="19" t="s">
        <v>350</v>
      </c>
      <c r="G407" s="19" t="n">
        <v>47</v>
      </c>
      <c r="H407" s="19" t="s">
        <v>351</v>
      </c>
      <c r="I407" s="20" t="n">
        <v>41.61</v>
      </c>
      <c r="J407" s="19" t="n">
        <f aca="false">IF(I407="","",MIN(Overview!$B$8,MAX(1,CEILING(I407/Overview!$B$7,1))))</f>
        <v>9</v>
      </c>
      <c r="K407" s="19" t="n">
        <v>1</v>
      </c>
      <c r="L407" s="19"/>
      <c r="M407" s="20" t="n">
        <v>2</v>
      </c>
      <c r="N407" s="19"/>
      <c r="O407" s="19"/>
      <c r="P407" s="19" t="s">
        <v>1605</v>
      </c>
      <c r="Q407" s="19" t="s">
        <v>1040</v>
      </c>
      <c r="R407" s="21" t="n">
        <v>40902</v>
      </c>
      <c r="S407" s="19" t="s">
        <v>1002</v>
      </c>
      <c r="T407" s="19" t="s">
        <v>2283</v>
      </c>
      <c r="U407" s="19" t="str">
        <f aca="false">HYPERLINK("https://macaulaylibrary.org/asset/609056573","Open")</f>
        <v>Open</v>
      </c>
      <c r="V407" s="19"/>
    </row>
    <row r="408" customFormat="false" ht="15" hidden="false" customHeight="false" outlineLevel="0" collapsed="false">
      <c r="A408" s="19" t="s">
        <v>2284</v>
      </c>
      <c r="B408" s="19" t="s">
        <v>943</v>
      </c>
      <c r="C408" s="19" t="s">
        <v>944</v>
      </c>
      <c r="D408" s="19" t="s">
        <v>148</v>
      </c>
      <c r="E408" s="19" t="s">
        <v>147</v>
      </c>
      <c r="F408" s="19" t="s">
        <v>350</v>
      </c>
      <c r="G408" s="19" t="n">
        <v>47</v>
      </c>
      <c r="H408" s="19" t="s">
        <v>351</v>
      </c>
      <c r="I408" s="20" t="n">
        <v>88.976</v>
      </c>
      <c r="J408" s="19" t="n">
        <f aca="false">IF(I408="","",MIN(Overview!$B$8,MAX(1,CEILING(I408/Overview!$B$7,1))))</f>
        <v>18</v>
      </c>
      <c r="K408" s="19" t="n">
        <v>1</v>
      </c>
      <c r="L408" s="19"/>
      <c r="M408" s="20" t="n">
        <v>3.2</v>
      </c>
      <c r="N408" s="19"/>
      <c r="O408" s="19"/>
      <c r="P408" s="19" t="s">
        <v>2285</v>
      </c>
      <c r="Q408" s="19" t="s">
        <v>980</v>
      </c>
      <c r="R408" s="21" t="n">
        <v>33298</v>
      </c>
      <c r="S408" s="19" t="s">
        <v>2286</v>
      </c>
      <c r="T408" s="19" t="s">
        <v>2287</v>
      </c>
      <c r="U408" s="19" t="str">
        <f aca="false">HYPERLINK("https://macaulaylibrary.org/asset/72636","Open")</f>
        <v>Open</v>
      </c>
      <c r="V408" s="19"/>
    </row>
    <row r="409" customFormat="false" ht="15" hidden="false" customHeight="false" outlineLevel="0" collapsed="false">
      <c r="A409" s="19" t="s">
        <v>2288</v>
      </c>
      <c r="B409" s="19" t="s">
        <v>943</v>
      </c>
      <c r="C409" s="19" t="s">
        <v>944</v>
      </c>
      <c r="D409" s="19" t="s">
        <v>148</v>
      </c>
      <c r="E409" s="19" t="s">
        <v>147</v>
      </c>
      <c r="F409" s="19" t="s">
        <v>350</v>
      </c>
      <c r="G409" s="19" t="n">
        <v>47</v>
      </c>
      <c r="H409" s="19" t="s">
        <v>351</v>
      </c>
      <c r="I409" s="20" t="n">
        <v>74.666</v>
      </c>
      <c r="J409" s="19" t="n">
        <f aca="false">IF(I409="","",MIN(Overview!$B$8,MAX(1,CEILING(I409/Overview!$B$7,1))))</f>
        <v>15</v>
      </c>
      <c r="K409" s="19" t="n">
        <v>1</v>
      </c>
      <c r="L409" s="19"/>
      <c r="M409" s="20" t="n">
        <v>3</v>
      </c>
      <c r="N409" s="19"/>
      <c r="O409" s="19"/>
      <c r="P409" s="19" t="s">
        <v>1001</v>
      </c>
      <c r="Q409" s="19" t="s">
        <v>980</v>
      </c>
      <c r="R409" s="21" t="n">
        <v>33299</v>
      </c>
      <c r="S409" s="19" t="s">
        <v>1002</v>
      </c>
      <c r="T409" s="19" t="s">
        <v>2289</v>
      </c>
      <c r="U409" s="19" t="str">
        <f aca="false">HYPERLINK("https://macaulaylibrary.org/asset/72647","Open")</f>
        <v>Open</v>
      </c>
      <c r="V409" s="19"/>
    </row>
    <row r="410" customFormat="false" ht="15" hidden="false" customHeight="false" outlineLevel="0" collapsed="false">
      <c r="A410" s="19" t="s">
        <v>2290</v>
      </c>
      <c r="B410" s="19" t="s">
        <v>943</v>
      </c>
      <c r="C410" s="19" t="s">
        <v>944</v>
      </c>
      <c r="D410" s="19" t="s">
        <v>148</v>
      </c>
      <c r="E410" s="19" t="s">
        <v>147</v>
      </c>
      <c r="F410" s="19" t="s">
        <v>350</v>
      </c>
      <c r="G410" s="19" t="n">
        <v>47</v>
      </c>
      <c r="H410" s="19" t="s">
        <v>351</v>
      </c>
      <c r="I410" s="20" t="n">
        <v>434.023</v>
      </c>
      <c r="J410" s="19" t="n">
        <f aca="false">IF(I410="","",MIN(Overview!$B$8,MAX(1,CEILING(I410/Overview!$B$7,1))))</f>
        <v>87</v>
      </c>
      <c r="K410" s="19" t="n">
        <v>1</v>
      </c>
      <c r="L410" s="19"/>
      <c r="M410" s="20" t="n">
        <v>3</v>
      </c>
      <c r="N410" s="19"/>
      <c r="O410" s="19"/>
      <c r="P410" s="19" t="s">
        <v>1001</v>
      </c>
      <c r="Q410" s="19" t="s">
        <v>980</v>
      </c>
      <c r="R410" s="21" t="n">
        <v>33299</v>
      </c>
      <c r="S410" s="19" t="s">
        <v>1002</v>
      </c>
      <c r="T410" s="19" t="s">
        <v>2291</v>
      </c>
      <c r="U410" s="19" t="str">
        <f aca="false">HYPERLINK("https://macaulaylibrary.org/asset/72649","Open")</f>
        <v>Open</v>
      </c>
      <c r="V410" s="19"/>
    </row>
    <row r="411" customFormat="false" ht="15" hidden="false" customHeight="false" outlineLevel="0" collapsed="false">
      <c r="A411" s="19" t="s">
        <v>2292</v>
      </c>
      <c r="B411" s="19" t="s">
        <v>943</v>
      </c>
      <c r="C411" s="19" t="s">
        <v>944</v>
      </c>
      <c r="D411" s="19" t="s">
        <v>148</v>
      </c>
      <c r="E411" s="19" t="s">
        <v>147</v>
      </c>
      <c r="F411" s="19" t="s">
        <v>350</v>
      </c>
      <c r="G411" s="19" t="n">
        <v>47</v>
      </c>
      <c r="H411" s="19" t="s">
        <v>351</v>
      </c>
      <c r="I411" s="20" t="n">
        <v>465.736</v>
      </c>
      <c r="J411" s="19" t="n">
        <f aca="false">IF(I411="","",MIN(Overview!$B$8,MAX(1,CEILING(I411/Overview!$B$7,1))))</f>
        <v>94</v>
      </c>
      <c r="K411" s="19" t="n">
        <v>1</v>
      </c>
      <c r="L411" s="19"/>
      <c r="M411" s="20" t="n">
        <v>4</v>
      </c>
      <c r="N411" s="19"/>
      <c r="O411" s="19"/>
      <c r="P411" s="19" t="s">
        <v>1001</v>
      </c>
      <c r="Q411" s="19" t="s">
        <v>980</v>
      </c>
      <c r="R411" s="21" t="n">
        <v>33299</v>
      </c>
      <c r="S411" s="19" t="s">
        <v>2293</v>
      </c>
      <c r="T411" s="19" t="s">
        <v>2294</v>
      </c>
      <c r="U411" s="19" t="str">
        <f aca="false">HYPERLINK("https://macaulaylibrary.org/asset/72653","Open")</f>
        <v>Open</v>
      </c>
      <c r="V411" s="19"/>
    </row>
    <row r="412" customFormat="false" ht="15" hidden="false" customHeight="false" outlineLevel="0" collapsed="false">
      <c r="A412" s="19" t="s">
        <v>2295</v>
      </c>
      <c r="B412" s="19" t="s">
        <v>943</v>
      </c>
      <c r="C412" s="19" t="s">
        <v>944</v>
      </c>
      <c r="D412" s="19" t="s">
        <v>148</v>
      </c>
      <c r="E412" s="19" t="s">
        <v>147</v>
      </c>
      <c r="F412" s="19" t="s">
        <v>283</v>
      </c>
      <c r="G412" s="19" t="n">
        <v>48</v>
      </c>
      <c r="H412" s="19" t="s">
        <v>284</v>
      </c>
      <c r="I412" s="20" t="n">
        <v>30</v>
      </c>
      <c r="J412" s="19" t="n">
        <f aca="false">IF(I412="","",MIN(Overview!$B$8,MAX(1,CEILING(I412/Overview!$B$7,1))))</f>
        <v>6</v>
      </c>
      <c r="K412" s="19" t="n">
        <v>1</v>
      </c>
      <c r="L412" s="19"/>
      <c r="M412" s="20" t="n">
        <v>4</v>
      </c>
      <c r="N412" s="19"/>
      <c r="O412" s="19"/>
      <c r="P412" s="19" t="s">
        <v>974</v>
      </c>
      <c r="Q412" s="19" t="s">
        <v>975</v>
      </c>
      <c r="R412" s="21" t="n">
        <v>43666</v>
      </c>
      <c r="S412" s="19" t="s">
        <v>976</v>
      </c>
      <c r="T412" s="19" t="s">
        <v>2296</v>
      </c>
      <c r="U412" s="19" t="str">
        <f aca="false">HYPERLINK("https://macaulaylibrary.org/asset/179452371","Open")</f>
        <v>Open</v>
      </c>
      <c r="V412" s="19"/>
    </row>
    <row r="413" customFormat="false" ht="15" hidden="false" customHeight="false" outlineLevel="0" collapsed="false">
      <c r="A413" s="19" t="s">
        <v>2297</v>
      </c>
      <c r="B413" s="19" t="s">
        <v>943</v>
      </c>
      <c r="C413" s="19" t="s">
        <v>944</v>
      </c>
      <c r="D413" s="19" t="s">
        <v>148</v>
      </c>
      <c r="E413" s="19" t="s">
        <v>147</v>
      </c>
      <c r="F413" s="19" t="s">
        <v>283</v>
      </c>
      <c r="G413" s="19" t="n">
        <v>48</v>
      </c>
      <c r="H413" s="19" t="s">
        <v>284</v>
      </c>
      <c r="I413" s="20" t="n">
        <v>1174.513</v>
      </c>
      <c r="J413" s="19" t="n">
        <f aca="false">IF(I413="","",MIN(Overview!$B$8,MAX(1,CEILING(I413/Overview!$B$7,1))))</f>
        <v>120</v>
      </c>
      <c r="K413" s="19" t="n">
        <v>1</v>
      </c>
      <c r="L413" s="19"/>
      <c r="M413" s="20" t="n">
        <v>2</v>
      </c>
      <c r="N413" s="19"/>
      <c r="O413" s="19" t="s">
        <v>301</v>
      </c>
      <c r="P413" s="19" t="s">
        <v>1121</v>
      </c>
      <c r="Q413" s="19" t="s">
        <v>980</v>
      </c>
      <c r="R413" s="21" t="n">
        <v>32556</v>
      </c>
      <c r="S413" s="19" t="s">
        <v>2298</v>
      </c>
      <c r="T413" s="19" t="s">
        <v>2299</v>
      </c>
      <c r="U413" s="19" t="str">
        <f aca="false">HYPERLINK("https://macaulaylibrary.org/asset/215383","Open")</f>
        <v>Open</v>
      </c>
      <c r="V413" s="19"/>
    </row>
    <row r="414" customFormat="false" ht="15" hidden="false" customHeight="false" outlineLevel="0" collapsed="false">
      <c r="A414" s="19" t="s">
        <v>2300</v>
      </c>
      <c r="B414" s="19" t="s">
        <v>943</v>
      </c>
      <c r="C414" s="19" t="s">
        <v>944</v>
      </c>
      <c r="D414" s="19" t="s">
        <v>148</v>
      </c>
      <c r="E414" s="19" t="s">
        <v>147</v>
      </c>
      <c r="F414" s="19" t="s">
        <v>283</v>
      </c>
      <c r="G414" s="19" t="n">
        <v>48</v>
      </c>
      <c r="H414" s="19" t="s">
        <v>284</v>
      </c>
      <c r="I414" s="20" t="n">
        <v>1474.882</v>
      </c>
      <c r="J414" s="19" t="n">
        <f aca="false">IF(I414="","",MIN(Overview!$B$8,MAX(1,CEILING(I414/Overview!$B$7,1))))</f>
        <v>120</v>
      </c>
      <c r="K414" s="19" t="n">
        <v>1</v>
      </c>
      <c r="L414" s="19"/>
      <c r="M414" s="20" t="n">
        <v>2</v>
      </c>
      <c r="N414" s="19"/>
      <c r="O414" s="19" t="s">
        <v>601</v>
      </c>
      <c r="P414" s="19" t="s">
        <v>1549</v>
      </c>
      <c r="Q414" s="19" t="s">
        <v>980</v>
      </c>
      <c r="R414" s="21" t="n">
        <v>32559</v>
      </c>
      <c r="S414" s="19" t="s">
        <v>2301</v>
      </c>
      <c r="T414" s="19" t="s">
        <v>2302</v>
      </c>
      <c r="U414" s="19" t="str">
        <f aca="false">HYPERLINK("https://macaulaylibrary.org/asset/215435","Open")</f>
        <v>Open</v>
      </c>
      <c r="V414" s="19"/>
    </row>
    <row r="415" customFormat="false" ht="15" hidden="false" customHeight="false" outlineLevel="0" collapsed="false">
      <c r="A415" s="19" t="s">
        <v>2303</v>
      </c>
      <c r="B415" s="19" t="s">
        <v>943</v>
      </c>
      <c r="C415" s="19" t="s">
        <v>944</v>
      </c>
      <c r="D415" s="19" t="s">
        <v>148</v>
      </c>
      <c r="E415" s="19" t="s">
        <v>147</v>
      </c>
      <c r="F415" s="19" t="s">
        <v>283</v>
      </c>
      <c r="G415" s="19" t="n">
        <v>48</v>
      </c>
      <c r="H415" s="19" t="s">
        <v>284</v>
      </c>
      <c r="I415" s="20" t="n">
        <v>37.445</v>
      </c>
      <c r="J415" s="19" t="n">
        <f aca="false">IF(I415="","",MIN(Overview!$B$8,MAX(1,CEILING(I415/Overview!$B$7,1))))</f>
        <v>8</v>
      </c>
      <c r="K415" s="19" t="n">
        <v>1</v>
      </c>
      <c r="L415" s="19"/>
      <c r="M415" s="20"/>
      <c r="N415" s="19"/>
      <c r="O415" s="19"/>
      <c r="P415" s="19" t="s">
        <v>1029</v>
      </c>
      <c r="Q415" s="19" t="s">
        <v>1030</v>
      </c>
      <c r="R415" s="21" t="n">
        <v>40251</v>
      </c>
      <c r="S415" s="19" t="s">
        <v>971</v>
      </c>
      <c r="T415" s="19" t="s">
        <v>2304</v>
      </c>
      <c r="U415" s="19" t="str">
        <f aca="false">HYPERLINK("https://macaulaylibrary.org/asset/299642","Open")</f>
        <v>Open</v>
      </c>
      <c r="V415" s="19"/>
    </row>
    <row r="416" customFormat="false" ht="15" hidden="false" customHeight="false" outlineLevel="0" collapsed="false">
      <c r="A416" s="19" t="s">
        <v>2305</v>
      </c>
      <c r="B416" s="19" t="s">
        <v>943</v>
      </c>
      <c r="C416" s="19" t="s">
        <v>944</v>
      </c>
      <c r="D416" s="19" t="s">
        <v>148</v>
      </c>
      <c r="E416" s="19" t="s">
        <v>147</v>
      </c>
      <c r="F416" s="19" t="s">
        <v>283</v>
      </c>
      <c r="G416" s="19" t="n">
        <v>48</v>
      </c>
      <c r="H416" s="19" t="s">
        <v>284</v>
      </c>
      <c r="I416" s="20" t="n">
        <v>95.18</v>
      </c>
      <c r="J416" s="19" t="n">
        <f aca="false">IF(I416="","",MIN(Overview!$B$8,MAX(1,CEILING(I416/Overview!$B$7,1))))</f>
        <v>20</v>
      </c>
      <c r="K416" s="19" t="n">
        <v>1</v>
      </c>
      <c r="L416" s="19"/>
      <c r="M416" s="20" t="n">
        <v>2.67</v>
      </c>
      <c r="N416" s="19"/>
      <c r="O416" s="19"/>
      <c r="P416" s="19" t="s">
        <v>1411</v>
      </c>
      <c r="Q416" s="19" t="s">
        <v>1408</v>
      </c>
      <c r="R416" s="21" t="n">
        <v>33584</v>
      </c>
      <c r="S416" s="19" t="s">
        <v>1009</v>
      </c>
      <c r="T416" s="19" t="s">
        <v>2306</v>
      </c>
      <c r="U416" s="19" t="str">
        <f aca="false">HYPERLINK("https://macaulaylibrary.org/asset/358078461","Open")</f>
        <v>Open</v>
      </c>
      <c r="V416" s="19"/>
    </row>
    <row r="417" customFormat="false" ht="15" hidden="false" customHeight="false" outlineLevel="0" collapsed="false">
      <c r="A417" s="19" t="s">
        <v>2307</v>
      </c>
      <c r="B417" s="19" t="s">
        <v>943</v>
      </c>
      <c r="C417" s="19" t="s">
        <v>944</v>
      </c>
      <c r="D417" s="19" t="s">
        <v>148</v>
      </c>
      <c r="E417" s="19" t="s">
        <v>147</v>
      </c>
      <c r="F417" s="19" t="s">
        <v>283</v>
      </c>
      <c r="G417" s="19" t="n">
        <v>48</v>
      </c>
      <c r="H417" s="19" t="s">
        <v>284</v>
      </c>
      <c r="I417" s="20" t="n">
        <v>89.966</v>
      </c>
      <c r="J417" s="19" t="n">
        <f aca="false">IF(I417="","",MIN(Overview!$B$8,MAX(1,CEILING(I417/Overview!$B$7,1))))</f>
        <v>18</v>
      </c>
      <c r="K417" s="19" t="n">
        <v>1</v>
      </c>
      <c r="L417" s="19"/>
      <c r="M417" s="20" t="n">
        <v>3</v>
      </c>
      <c r="N417" s="19"/>
      <c r="O417" s="19"/>
      <c r="P417" s="19" t="s">
        <v>1154</v>
      </c>
      <c r="Q417" s="19" t="s">
        <v>1035</v>
      </c>
      <c r="R417" s="21" t="n">
        <v>43666</v>
      </c>
      <c r="S417" s="19" t="s">
        <v>1081</v>
      </c>
      <c r="T417" s="19" t="s">
        <v>2308</v>
      </c>
      <c r="U417" s="19" t="str">
        <f aca="false">HYPERLINK("https://macaulaylibrary.org/asset/498000921","Open")</f>
        <v>Open</v>
      </c>
      <c r="V417" s="19"/>
    </row>
    <row r="418" customFormat="false" ht="15" hidden="false" customHeight="false" outlineLevel="0" collapsed="false">
      <c r="A418" s="19" t="s">
        <v>2309</v>
      </c>
      <c r="B418" s="19" t="s">
        <v>943</v>
      </c>
      <c r="C418" s="19" t="s">
        <v>944</v>
      </c>
      <c r="D418" s="19" t="s">
        <v>148</v>
      </c>
      <c r="E418" s="19" t="s">
        <v>147</v>
      </c>
      <c r="F418" s="19" t="s">
        <v>283</v>
      </c>
      <c r="G418" s="19" t="n">
        <v>48</v>
      </c>
      <c r="H418" s="19" t="s">
        <v>284</v>
      </c>
      <c r="I418" s="20" t="n">
        <v>24.324</v>
      </c>
      <c r="J418" s="19" t="n">
        <f aca="false">IF(I418="","",MIN(Overview!$B$8,MAX(1,CEILING(I418/Overview!$B$7,1))))</f>
        <v>5</v>
      </c>
      <c r="K418" s="19" t="n">
        <v>1</v>
      </c>
      <c r="L418" s="19"/>
      <c r="M418" s="20"/>
      <c r="N418" s="19"/>
      <c r="O418" s="19"/>
      <c r="P418" s="19" t="s">
        <v>2310</v>
      </c>
      <c r="Q418" s="19" t="s">
        <v>2085</v>
      </c>
      <c r="R418" s="21" t="n">
        <v>45028</v>
      </c>
      <c r="S418" s="19" t="s">
        <v>2311</v>
      </c>
      <c r="T418" s="19" t="s">
        <v>2312</v>
      </c>
      <c r="U418" s="19" t="str">
        <f aca="false">HYPERLINK("https://macaulaylibrary.org/asset/557812661","Open")</f>
        <v>Open</v>
      </c>
      <c r="V418" s="19"/>
    </row>
    <row r="419" customFormat="false" ht="15" hidden="false" customHeight="false" outlineLevel="0" collapsed="false">
      <c r="A419" s="19" t="s">
        <v>2313</v>
      </c>
      <c r="B419" s="19" t="s">
        <v>943</v>
      </c>
      <c r="C419" s="19" t="s">
        <v>944</v>
      </c>
      <c r="D419" s="19" t="s">
        <v>148</v>
      </c>
      <c r="E419" s="19" t="s">
        <v>147</v>
      </c>
      <c r="F419" s="19" t="s">
        <v>283</v>
      </c>
      <c r="G419" s="19" t="n">
        <v>48</v>
      </c>
      <c r="H419" s="19" t="s">
        <v>284</v>
      </c>
      <c r="I419" s="20" t="n">
        <v>48.621</v>
      </c>
      <c r="J419" s="19" t="n">
        <f aca="false">IF(I419="","",MIN(Overview!$B$8,MAX(1,CEILING(I419/Overview!$B$7,1))))</f>
        <v>10</v>
      </c>
      <c r="K419" s="19" t="n">
        <v>1</v>
      </c>
      <c r="L419" s="19"/>
      <c r="M419" s="20" t="n">
        <v>3</v>
      </c>
      <c r="N419" s="19"/>
      <c r="O419" s="19"/>
      <c r="P419" s="19" t="s">
        <v>2314</v>
      </c>
      <c r="Q419" s="19" t="s">
        <v>2315</v>
      </c>
      <c r="R419" s="21" t="n">
        <v>45028</v>
      </c>
      <c r="S419" s="19" t="s">
        <v>2311</v>
      </c>
      <c r="T419" s="19" t="s">
        <v>2316</v>
      </c>
      <c r="U419" s="19" t="str">
        <f aca="false">HYPERLINK("https://macaulaylibrary.org/asset/577718621","Open")</f>
        <v>Open</v>
      </c>
      <c r="V419" s="19"/>
    </row>
    <row r="420" customFormat="false" ht="15" hidden="false" customHeight="false" outlineLevel="0" collapsed="false">
      <c r="A420" s="19" t="s">
        <v>2317</v>
      </c>
      <c r="B420" s="19" t="s">
        <v>943</v>
      </c>
      <c r="C420" s="19" t="s">
        <v>944</v>
      </c>
      <c r="D420" s="19" t="s">
        <v>148</v>
      </c>
      <c r="E420" s="19" t="s">
        <v>147</v>
      </c>
      <c r="F420" s="19" t="s">
        <v>283</v>
      </c>
      <c r="G420" s="19" t="n">
        <v>48</v>
      </c>
      <c r="H420" s="19" t="s">
        <v>284</v>
      </c>
      <c r="I420" s="20" t="n">
        <v>3.22</v>
      </c>
      <c r="J420" s="19" t="n">
        <f aca="false">IF(I420="","",MIN(Overview!$B$8,MAX(1,CEILING(I420/Overview!$B$7,1))))</f>
        <v>1</v>
      </c>
      <c r="K420" s="19" t="n">
        <v>1</v>
      </c>
      <c r="L420" s="19" t="s">
        <v>1048</v>
      </c>
      <c r="M420" s="20" t="n">
        <v>1</v>
      </c>
      <c r="N420" s="19"/>
      <c r="O420" s="19"/>
      <c r="P420" s="19" t="s">
        <v>2318</v>
      </c>
      <c r="Q420" s="19" t="s">
        <v>1893</v>
      </c>
      <c r="R420" s="21" t="n">
        <v>45551</v>
      </c>
      <c r="S420" s="19" t="s">
        <v>2319</v>
      </c>
      <c r="T420" s="19" t="s">
        <v>2320</v>
      </c>
      <c r="U420" s="19" t="str">
        <f aca="false">HYPERLINK("https://macaulaylibrary.org/asset/623832021","Open")</f>
        <v>Open</v>
      </c>
      <c r="V420" s="19"/>
    </row>
    <row r="421" customFormat="false" ht="15" hidden="false" customHeight="false" outlineLevel="0" collapsed="false">
      <c r="A421" s="19" t="s">
        <v>2321</v>
      </c>
      <c r="B421" s="19" t="s">
        <v>943</v>
      </c>
      <c r="C421" s="19" t="s">
        <v>944</v>
      </c>
      <c r="D421" s="19" t="s">
        <v>148</v>
      </c>
      <c r="E421" s="19" t="s">
        <v>147</v>
      </c>
      <c r="F421" s="19" t="s">
        <v>283</v>
      </c>
      <c r="G421" s="19" t="n">
        <v>48</v>
      </c>
      <c r="H421" s="19" t="s">
        <v>284</v>
      </c>
      <c r="I421" s="20" t="n">
        <v>10.006</v>
      </c>
      <c r="J421" s="19" t="n">
        <f aca="false">IF(I421="","",MIN(Overview!$B$8,MAX(1,CEILING(I421/Overview!$B$7,1))))</f>
        <v>3</v>
      </c>
      <c r="K421" s="19" t="n">
        <v>1</v>
      </c>
      <c r="L421" s="19"/>
      <c r="M421" s="20"/>
      <c r="N421" s="19"/>
      <c r="O421" s="19"/>
      <c r="P421" s="19" t="s">
        <v>2322</v>
      </c>
      <c r="Q421" s="19" t="s">
        <v>2207</v>
      </c>
      <c r="R421" s="21" t="n">
        <v>45610</v>
      </c>
      <c r="S421" s="19" t="s">
        <v>2323</v>
      </c>
      <c r="T421" s="19" t="s">
        <v>2324</v>
      </c>
      <c r="U421" s="19" t="str">
        <f aca="false">HYPERLINK("https://macaulaylibrary.org/asset/626522384","Open")</f>
        <v>Open</v>
      </c>
      <c r="V421" s="19"/>
    </row>
    <row r="422" customFormat="false" ht="15" hidden="false" customHeight="false" outlineLevel="0" collapsed="false">
      <c r="A422" s="19" t="s">
        <v>2325</v>
      </c>
      <c r="B422" s="19" t="s">
        <v>943</v>
      </c>
      <c r="C422" s="19" t="s">
        <v>944</v>
      </c>
      <c r="D422" s="19" t="s">
        <v>148</v>
      </c>
      <c r="E422" s="19" t="s">
        <v>147</v>
      </c>
      <c r="F422" s="19" t="s">
        <v>283</v>
      </c>
      <c r="G422" s="19" t="n">
        <v>48</v>
      </c>
      <c r="H422" s="19" t="s">
        <v>284</v>
      </c>
      <c r="I422" s="20" t="n">
        <v>13.755</v>
      </c>
      <c r="J422" s="19" t="n">
        <f aca="false">IF(I422="","",MIN(Overview!$B$8,MAX(1,CEILING(I422/Overview!$B$7,1))))</f>
        <v>3</v>
      </c>
      <c r="K422" s="19" t="n">
        <v>1</v>
      </c>
      <c r="L422" s="19"/>
      <c r="M422" s="20" t="n">
        <v>1</v>
      </c>
      <c r="N422" s="19"/>
      <c r="O422" s="19"/>
      <c r="P422" s="19" t="s">
        <v>2326</v>
      </c>
      <c r="Q422" s="19" t="s">
        <v>990</v>
      </c>
      <c r="R422" s="21" t="n">
        <v>46011</v>
      </c>
      <c r="S422" s="19" t="s">
        <v>2327</v>
      </c>
      <c r="T422" s="19" t="s">
        <v>2328</v>
      </c>
      <c r="U422" s="19" t="str">
        <f aca="false">HYPERLINK("https://macaulaylibrary.org/asset/647331145","Open")</f>
        <v>Open</v>
      </c>
      <c r="V422" s="19"/>
    </row>
    <row r="423" customFormat="false" ht="15" hidden="false" customHeight="false" outlineLevel="0" collapsed="false">
      <c r="A423" s="19" t="s">
        <v>2329</v>
      </c>
      <c r="B423" s="19" t="s">
        <v>943</v>
      </c>
      <c r="C423" s="19" t="s">
        <v>944</v>
      </c>
      <c r="D423" s="19" t="s">
        <v>148</v>
      </c>
      <c r="E423" s="19" t="s">
        <v>147</v>
      </c>
      <c r="F423" s="19" t="s">
        <v>283</v>
      </c>
      <c r="G423" s="19" t="n">
        <v>48</v>
      </c>
      <c r="H423" s="19" t="s">
        <v>284</v>
      </c>
      <c r="I423" s="20" t="n">
        <v>21.606</v>
      </c>
      <c r="J423" s="19" t="n">
        <f aca="false">IF(I423="","",MIN(Overview!$B$8,MAX(1,CEILING(I423/Overview!$B$7,1))))</f>
        <v>5</v>
      </c>
      <c r="K423" s="19" t="n">
        <v>1</v>
      </c>
      <c r="L423" s="19"/>
      <c r="M423" s="20" t="n">
        <v>3</v>
      </c>
      <c r="N423" s="19"/>
      <c r="O423" s="19"/>
      <c r="P423" s="19" t="s">
        <v>2326</v>
      </c>
      <c r="Q423" s="19" t="s">
        <v>990</v>
      </c>
      <c r="R423" s="21" t="n">
        <v>46011</v>
      </c>
      <c r="S423" s="19" t="s">
        <v>2327</v>
      </c>
      <c r="T423" s="19" t="s">
        <v>2330</v>
      </c>
      <c r="U423" s="19" t="str">
        <f aca="false">HYPERLINK("https://macaulaylibrary.org/asset/647331236","Open")</f>
        <v>Open</v>
      </c>
      <c r="V423" s="19"/>
    </row>
    <row r="424" customFormat="false" ht="15" hidden="false" customHeight="false" outlineLevel="0" collapsed="false">
      <c r="A424" s="19" t="s">
        <v>2331</v>
      </c>
      <c r="B424" s="19" t="s">
        <v>943</v>
      </c>
      <c r="C424" s="19" t="s">
        <v>944</v>
      </c>
      <c r="D424" s="19" t="s">
        <v>148</v>
      </c>
      <c r="E424" s="19" t="s">
        <v>147</v>
      </c>
      <c r="F424" s="19" t="s">
        <v>283</v>
      </c>
      <c r="G424" s="19" t="n">
        <v>48</v>
      </c>
      <c r="H424" s="19" t="s">
        <v>284</v>
      </c>
      <c r="I424" s="20" t="n">
        <v>13.16</v>
      </c>
      <c r="J424" s="19" t="n">
        <f aca="false">IF(I424="","",MIN(Overview!$B$8,MAX(1,CEILING(I424/Overview!$B$7,1))))</f>
        <v>3</v>
      </c>
      <c r="K424" s="19" t="n">
        <v>1</v>
      </c>
      <c r="L424" s="19"/>
      <c r="M424" s="20" t="n">
        <v>3</v>
      </c>
      <c r="N424" s="19"/>
      <c r="O424" s="19"/>
      <c r="P424" s="19" t="s">
        <v>2326</v>
      </c>
      <c r="Q424" s="19" t="s">
        <v>990</v>
      </c>
      <c r="R424" s="21" t="n">
        <v>46011</v>
      </c>
      <c r="S424" s="19" t="s">
        <v>2327</v>
      </c>
      <c r="T424" s="19" t="s">
        <v>2332</v>
      </c>
      <c r="U424" s="19" t="str">
        <f aca="false">HYPERLINK("https://macaulaylibrary.org/asset/647331341","Open")</f>
        <v>Open</v>
      </c>
      <c r="V424" s="19"/>
    </row>
    <row r="425" customFormat="false" ht="15" hidden="false" customHeight="false" outlineLevel="0" collapsed="false">
      <c r="A425" s="19" t="s">
        <v>2333</v>
      </c>
      <c r="B425" s="19" t="s">
        <v>943</v>
      </c>
      <c r="C425" s="19" t="s">
        <v>944</v>
      </c>
      <c r="D425" s="19" t="s">
        <v>148</v>
      </c>
      <c r="E425" s="19" t="s">
        <v>147</v>
      </c>
      <c r="F425" s="19" t="s">
        <v>283</v>
      </c>
      <c r="G425" s="19" t="n">
        <v>48</v>
      </c>
      <c r="H425" s="19" t="s">
        <v>284</v>
      </c>
      <c r="I425" s="20" t="n">
        <v>31.972</v>
      </c>
      <c r="J425" s="19" t="n">
        <f aca="false">IF(I425="","",MIN(Overview!$B$8,MAX(1,CEILING(I425/Overview!$B$7,1))))</f>
        <v>7</v>
      </c>
      <c r="K425" s="19" t="n">
        <v>1</v>
      </c>
      <c r="L425" s="19"/>
      <c r="M425" s="20"/>
      <c r="N425" s="19"/>
      <c r="O425" s="19"/>
      <c r="P425" s="19" t="s">
        <v>2334</v>
      </c>
      <c r="Q425" s="19" t="s">
        <v>1204</v>
      </c>
      <c r="R425" s="21" t="n">
        <v>46048</v>
      </c>
      <c r="S425" s="19" t="s">
        <v>2335</v>
      </c>
      <c r="T425" s="19" t="s">
        <v>2336</v>
      </c>
      <c r="U425" s="19" t="str">
        <f aca="false">HYPERLINK("https://macaulaylibrary.org/asset/653762364","Open")</f>
        <v>Open</v>
      </c>
      <c r="V425" s="19"/>
    </row>
    <row r="426" customFormat="false" ht="15" hidden="false" customHeight="false" outlineLevel="0" collapsed="false">
      <c r="A426" s="19" t="s">
        <v>2337</v>
      </c>
      <c r="B426" s="19" t="s">
        <v>943</v>
      </c>
      <c r="C426" s="19" t="s">
        <v>944</v>
      </c>
      <c r="D426" s="19" t="s">
        <v>400</v>
      </c>
      <c r="E426" s="19" t="s">
        <v>147</v>
      </c>
      <c r="F426" s="19" t="s">
        <v>499</v>
      </c>
      <c r="G426" s="19" t="n">
        <v>49</v>
      </c>
      <c r="H426" s="19" t="s">
        <v>500</v>
      </c>
      <c r="I426" s="20" t="n">
        <v>47.317</v>
      </c>
      <c r="J426" s="19" t="n">
        <f aca="false">IF(I426="","",MIN(Overview!$B$8,MAX(1,CEILING(I426/Overview!$B$7,1))))</f>
        <v>10</v>
      </c>
      <c r="K426" s="19" t="n">
        <v>1</v>
      </c>
      <c r="L426" s="19"/>
      <c r="M426" s="20" t="n">
        <v>3.5</v>
      </c>
      <c r="N426" s="19"/>
      <c r="O426" s="19"/>
      <c r="P426" s="19" t="s">
        <v>2338</v>
      </c>
      <c r="Q426" s="19" t="s">
        <v>965</v>
      </c>
      <c r="R426" s="21" t="n">
        <v>43449</v>
      </c>
      <c r="S426" s="19" t="s">
        <v>1137</v>
      </c>
      <c r="T426" s="19" t="s">
        <v>2339</v>
      </c>
      <c r="U426" s="19" t="str">
        <f aca="false">HYPERLINK("https://macaulaylibrary.org/asset/129892671","Open")</f>
        <v>Open</v>
      </c>
      <c r="V426" s="19"/>
    </row>
    <row r="427" customFormat="false" ht="15" hidden="false" customHeight="false" outlineLevel="0" collapsed="false">
      <c r="A427" s="19" t="s">
        <v>2340</v>
      </c>
      <c r="B427" s="19" t="s">
        <v>943</v>
      </c>
      <c r="C427" s="19" t="s">
        <v>944</v>
      </c>
      <c r="D427" s="19" t="s">
        <v>400</v>
      </c>
      <c r="E427" s="19" t="s">
        <v>147</v>
      </c>
      <c r="F427" s="19" t="s">
        <v>499</v>
      </c>
      <c r="G427" s="19" t="n">
        <v>49</v>
      </c>
      <c r="H427" s="19" t="s">
        <v>500</v>
      </c>
      <c r="I427" s="20" t="n">
        <v>40.519</v>
      </c>
      <c r="J427" s="19" t="n">
        <f aca="false">IF(I427="","",MIN(Overview!$B$8,MAX(1,CEILING(I427/Overview!$B$7,1))))</f>
        <v>9</v>
      </c>
      <c r="K427" s="19" t="n">
        <v>1</v>
      </c>
      <c r="L427" s="19"/>
      <c r="M427" s="20" t="n">
        <v>2</v>
      </c>
      <c r="N427" s="19"/>
      <c r="O427" s="19" t="s">
        <v>2341</v>
      </c>
      <c r="P427" s="19" t="s">
        <v>2342</v>
      </c>
      <c r="Q427" s="19" t="s">
        <v>2343</v>
      </c>
      <c r="R427" s="21" t="n">
        <v>31506</v>
      </c>
      <c r="S427" s="19"/>
      <c r="T427" s="19" t="s">
        <v>2344</v>
      </c>
      <c r="U427" s="19" t="str">
        <f aca="false">HYPERLINK("https://macaulaylibrary.org/asset/249457","Open")</f>
        <v>Open</v>
      </c>
      <c r="V427" s="19"/>
    </row>
    <row r="428" customFormat="false" ht="15" hidden="false" customHeight="false" outlineLevel="0" collapsed="false">
      <c r="A428" s="19" t="s">
        <v>2345</v>
      </c>
      <c r="B428" s="19" t="s">
        <v>943</v>
      </c>
      <c r="C428" s="19" t="s">
        <v>944</v>
      </c>
      <c r="D428" s="19" t="s">
        <v>400</v>
      </c>
      <c r="E428" s="19" t="s">
        <v>147</v>
      </c>
      <c r="F428" s="19" t="s">
        <v>499</v>
      </c>
      <c r="G428" s="19" t="n">
        <v>49</v>
      </c>
      <c r="H428" s="19" t="s">
        <v>500</v>
      </c>
      <c r="I428" s="20" t="n">
        <v>7.531</v>
      </c>
      <c r="J428" s="19" t="n">
        <f aca="false">IF(I428="","",MIN(Overview!$B$8,MAX(1,CEILING(I428/Overview!$B$7,1))))</f>
        <v>2</v>
      </c>
      <c r="K428" s="19" t="n">
        <v>1</v>
      </c>
      <c r="L428" s="19"/>
      <c r="M428" s="20" t="n">
        <v>1</v>
      </c>
      <c r="N428" s="19"/>
      <c r="O428" s="19"/>
      <c r="P428" s="19" t="s">
        <v>2346</v>
      </c>
      <c r="Q428" s="19" t="s">
        <v>965</v>
      </c>
      <c r="R428" s="21" t="n">
        <v>44183</v>
      </c>
      <c r="S428" s="19" t="s">
        <v>2347</v>
      </c>
      <c r="T428" s="19" t="s">
        <v>2348</v>
      </c>
      <c r="U428" s="19" t="str">
        <f aca="false">HYPERLINK("https://macaulaylibrary.org/asset/289817171","Open")</f>
        <v>Open</v>
      </c>
      <c r="V428" s="19"/>
    </row>
    <row r="429" customFormat="false" ht="15" hidden="false" customHeight="false" outlineLevel="0" collapsed="false">
      <c r="A429" s="19" t="s">
        <v>2349</v>
      </c>
      <c r="B429" s="19" t="s">
        <v>943</v>
      </c>
      <c r="C429" s="19" t="s">
        <v>944</v>
      </c>
      <c r="D429" s="19" t="s">
        <v>400</v>
      </c>
      <c r="E429" s="19" t="s">
        <v>147</v>
      </c>
      <c r="F429" s="19" t="s">
        <v>499</v>
      </c>
      <c r="G429" s="19" t="n">
        <v>49</v>
      </c>
      <c r="H429" s="19" t="s">
        <v>500</v>
      </c>
      <c r="I429" s="20" t="n">
        <v>16.154</v>
      </c>
      <c r="J429" s="19" t="n">
        <f aca="false">IF(I429="","",MIN(Overview!$B$8,MAX(1,CEILING(I429/Overview!$B$7,1))))</f>
        <v>4</v>
      </c>
      <c r="K429" s="19" t="n">
        <v>1</v>
      </c>
      <c r="L429" s="19"/>
      <c r="M429" s="20" t="n">
        <v>4</v>
      </c>
      <c r="N429" s="19"/>
      <c r="O429" s="19"/>
      <c r="P429" s="19" t="s">
        <v>1335</v>
      </c>
      <c r="Q429" s="19" t="s">
        <v>990</v>
      </c>
      <c r="R429" s="21" t="n">
        <v>46011</v>
      </c>
      <c r="S429" s="19" t="s">
        <v>966</v>
      </c>
      <c r="T429" s="19" t="s">
        <v>2350</v>
      </c>
      <c r="U429" s="19" t="str">
        <f aca="false">HYPERLINK("https://macaulaylibrary.org/asset/647331435","Open")</f>
        <v>Open</v>
      </c>
      <c r="V429" s="19"/>
    </row>
    <row r="430" customFormat="false" ht="15" hidden="false" customHeight="false" outlineLevel="0" collapsed="false">
      <c r="A430" s="19" t="s">
        <v>2351</v>
      </c>
      <c r="B430" s="19" t="s">
        <v>943</v>
      </c>
      <c r="C430" s="19" t="s">
        <v>944</v>
      </c>
      <c r="D430" s="19" t="s">
        <v>400</v>
      </c>
      <c r="E430" s="19" t="s">
        <v>147</v>
      </c>
      <c r="F430" s="19" t="s">
        <v>499</v>
      </c>
      <c r="G430" s="19" t="n">
        <v>49</v>
      </c>
      <c r="H430" s="19" t="s">
        <v>500</v>
      </c>
      <c r="I430" s="20" t="n">
        <v>15.188</v>
      </c>
      <c r="J430" s="19" t="n">
        <f aca="false">IF(I430="","",MIN(Overview!$B$8,MAX(1,CEILING(I430/Overview!$B$7,1))))</f>
        <v>4</v>
      </c>
      <c r="K430" s="19" t="n">
        <v>1</v>
      </c>
      <c r="L430" s="19"/>
      <c r="M430" s="20" t="n">
        <v>3.5</v>
      </c>
      <c r="N430" s="19"/>
      <c r="O430" s="19"/>
      <c r="P430" s="19" t="s">
        <v>1335</v>
      </c>
      <c r="Q430" s="19" t="s">
        <v>990</v>
      </c>
      <c r="R430" s="21" t="n">
        <v>46011</v>
      </c>
      <c r="S430" s="19" t="s">
        <v>966</v>
      </c>
      <c r="T430" s="19" t="s">
        <v>2352</v>
      </c>
      <c r="U430" s="19" t="str">
        <f aca="false">HYPERLINK("https://macaulaylibrary.org/asset/647331504","Open")</f>
        <v>Open</v>
      </c>
      <c r="V430" s="19"/>
    </row>
    <row r="431" customFormat="false" ht="15" hidden="false" customHeight="false" outlineLevel="0" collapsed="false">
      <c r="A431" s="19" t="s">
        <v>2353</v>
      </c>
      <c r="B431" s="19" t="s">
        <v>943</v>
      </c>
      <c r="C431" s="19" t="s">
        <v>944</v>
      </c>
      <c r="D431" s="19" t="s">
        <v>400</v>
      </c>
      <c r="E431" s="19" t="s">
        <v>147</v>
      </c>
      <c r="F431" s="19" t="s">
        <v>499</v>
      </c>
      <c r="G431" s="19" t="n">
        <v>49</v>
      </c>
      <c r="H431" s="19" t="s">
        <v>500</v>
      </c>
      <c r="I431" s="20" t="n">
        <v>26.72</v>
      </c>
      <c r="J431" s="19" t="n">
        <f aca="false">IF(I431="","",MIN(Overview!$B$8,MAX(1,CEILING(I431/Overview!$B$7,1))))</f>
        <v>6</v>
      </c>
      <c r="K431" s="19" t="n">
        <v>1</v>
      </c>
      <c r="L431" s="19"/>
      <c r="M431" s="20" t="n">
        <v>4</v>
      </c>
      <c r="N431" s="19"/>
      <c r="O431" s="19"/>
      <c r="P431" s="19" t="s">
        <v>964</v>
      </c>
      <c r="Q431" s="19" t="s">
        <v>965</v>
      </c>
      <c r="R431" s="21" t="n">
        <v>46011</v>
      </c>
      <c r="S431" s="19" t="s">
        <v>966</v>
      </c>
      <c r="T431" s="19" t="s">
        <v>2354</v>
      </c>
      <c r="U431" s="19" t="str">
        <f aca="false">HYPERLINK("https://macaulaylibrary.org/asset/647391381","Open")</f>
        <v>Open</v>
      </c>
      <c r="V431" s="19"/>
    </row>
    <row r="432" customFormat="false" ht="15" hidden="false" customHeight="false" outlineLevel="0" collapsed="false">
      <c r="A432" s="19" t="s">
        <v>2355</v>
      </c>
      <c r="B432" s="19" t="s">
        <v>943</v>
      </c>
      <c r="C432" s="19" t="s">
        <v>944</v>
      </c>
      <c r="D432" s="19" t="s">
        <v>148</v>
      </c>
      <c r="E432" s="19" t="s">
        <v>147</v>
      </c>
      <c r="F432" s="19" t="s">
        <v>165</v>
      </c>
      <c r="G432" s="19" t="n">
        <v>50</v>
      </c>
      <c r="H432" s="19" t="s">
        <v>166</v>
      </c>
      <c r="I432" s="20" t="n">
        <v>160.411</v>
      </c>
      <c r="J432" s="19" t="n">
        <f aca="false">IF(I432="","",MIN(Overview!$B$8,MAX(1,CEILING(I432/Overview!$B$7,1))))</f>
        <v>33</v>
      </c>
      <c r="K432" s="19" t="n">
        <v>1</v>
      </c>
      <c r="L432" s="19"/>
      <c r="M432" s="20" t="n">
        <v>5</v>
      </c>
      <c r="N432" s="19"/>
      <c r="O432" s="19"/>
      <c r="P432" s="19" t="s">
        <v>2356</v>
      </c>
      <c r="Q432" s="19" t="s">
        <v>1021</v>
      </c>
      <c r="R432" s="21" t="n">
        <v>35869</v>
      </c>
      <c r="S432" s="19" t="s">
        <v>1036</v>
      </c>
      <c r="T432" s="19" t="s">
        <v>2357</v>
      </c>
      <c r="U432" s="19" t="str">
        <f aca="false">HYPERLINK("https://macaulaylibrary.org/asset/103128581","Open")</f>
        <v>Open</v>
      </c>
      <c r="V432" s="19"/>
    </row>
    <row r="433" customFormat="false" ht="15" hidden="false" customHeight="false" outlineLevel="0" collapsed="false">
      <c r="A433" s="19" t="s">
        <v>2358</v>
      </c>
      <c r="B433" s="19" t="s">
        <v>943</v>
      </c>
      <c r="C433" s="19" t="s">
        <v>944</v>
      </c>
      <c r="D433" s="19" t="s">
        <v>148</v>
      </c>
      <c r="E433" s="19" t="s">
        <v>147</v>
      </c>
      <c r="F433" s="19" t="s">
        <v>165</v>
      </c>
      <c r="G433" s="19" t="n">
        <v>50</v>
      </c>
      <c r="H433" s="19" t="s">
        <v>166</v>
      </c>
      <c r="I433" s="20" t="n">
        <v>51.414</v>
      </c>
      <c r="J433" s="19" t="n">
        <f aca="false">IF(I433="","",MIN(Overview!$B$8,MAX(1,CEILING(I433/Overview!$B$7,1))))</f>
        <v>11</v>
      </c>
      <c r="K433" s="19" t="n">
        <v>1</v>
      </c>
      <c r="L433" s="19"/>
      <c r="M433" s="20" t="n">
        <v>4</v>
      </c>
      <c r="N433" s="19"/>
      <c r="O433" s="19"/>
      <c r="P433" s="19" t="s">
        <v>1105</v>
      </c>
      <c r="Q433" s="19" t="s">
        <v>1021</v>
      </c>
      <c r="R433" s="21" t="n">
        <v>36597</v>
      </c>
      <c r="S433" s="19" t="s">
        <v>1106</v>
      </c>
      <c r="T433" s="19" t="s">
        <v>2359</v>
      </c>
      <c r="U433" s="19" t="str">
        <f aca="false">HYPERLINK("https://macaulaylibrary.org/asset/145622101","Open")</f>
        <v>Open</v>
      </c>
      <c r="V433" s="19"/>
    </row>
    <row r="434" customFormat="false" ht="15" hidden="false" customHeight="false" outlineLevel="0" collapsed="false">
      <c r="A434" s="19" t="s">
        <v>2360</v>
      </c>
      <c r="B434" s="19" t="s">
        <v>943</v>
      </c>
      <c r="C434" s="19" t="s">
        <v>944</v>
      </c>
      <c r="D434" s="19" t="s">
        <v>148</v>
      </c>
      <c r="E434" s="19" t="s">
        <v>147</v>
      </c>
      <c r="F434" s="19" t="s">
        <v>165</v>
      </c>
      <c r="G434" s="19" t="n">
        <v>50</v>
      </c>
      <c r="H434" s="19" t="s">
        <v>166</v>
      </c>
      <c r="I434" s="20" t="n">
        <v>128.425</v>
      </c>
      <c r="J434" s="19" t="n">
        <f aca="false">IF(I434="","",MIN(Overview!$B$8,MAX(1,CEILING(I434/Overview!$B$7,1))))</f>
        <v>26</v>
      </c>
      <c r="K434" s="19" t="n">
        <v>1</v>
      </c>
      <c r="L434" s="19"/>
      <c r="M434" s="20" t="n">
        <v>3</v>
      </c>
      <c r="N434" s="19"/>
      <c r="O434" s="19"/>
      <c r="P434" s="19" t="s">
        <v>1105</v>
      </c>
      <c r="Q434" s="19" t="s">
        <v>1021</v>
      </c>
      <c r="R434" s="21" t="n">
        <v>36597</v>
      </c>
      <c r="S434" s="19" t="s">
        <v>1106</v>
      </c>
      <c r="T434" s="19" t="s">
        <v>2361</v>
      </c>
      <c r="U434" s="19" t="str">
        <f aca="false">HYPERLINK("https://macaulaylibrary.org/asset/145623491","Open")</f>
        <v>Open</v>
      </c>
      <c r="V434" s="19"/>
    </row>
    <row r="435" customFormat="false" ht="15" hidden="false" customHeight="false" outlineLevel="0" collapsed="false">
      <c r="A435" s="19" t="s">
        <v>2362</v>
      </c>
      <c r="B435" s="19" t="s">
        <v>943</v>
      </c>
      <c r="C435" s="19" t="s">
        <v>944</v>
      </c>
      <c r="D435" s="19" t="s">
        <v>148</v>
      </c>
      <c r="E435" s="19" t="s">
        <v>147</v>
      </c>
      <c r="F435" s="19" t="s">
        <v>165</v>
      </c>
      <c r="G435" s="19" t="n">
        <v>50</v>
      </c>
      <c r="H435" s="19" t="s">
        <v>166</v>
      </c>
      <c r="I435" s="20" t="n">
        <v>36.015</v>
      </c>
      <c r="J435" s="19" t="n">
        <f aca="false">IF(I435="","",MIN(Overview!$B$8,MAX(1,CEILING(I435/Overview!$B$7,1))))</f>
        <v>8</v>
      </c>
      <c r="K435" s="19" t="n">
        <v>1</v>
      </c>
      <c r="L435" s="19"/>
      <c r="M435" s="20" t="n">
        <v>3</v>
      </c>
      <c r="N435" s="19"/>
      <c r="O435" s="19" t="s">
        <v>2363</v>
      </c>
      <c r="P435" s="19" t="s">
        <v>2364</v>
      </c>
      <c r="Q435" s="19" t="s">
        <v>1218</v>
      </c>
      <c r="R435" s="21"/>
      <c r="S435" s="19"/>
      <c r="T435" s="19" t="s">
        <v>2365</v>
      </c>
      <c r="U435" s="19" t="str">
        <f aca="false">HYPERLINK("https://macaulaylibrary.org/asset/184050","Open")</f>
        <v>Open</v>
      </c>
      <c r="V435" s="19" t="s">
        <v>2366</v>
      </c>
    </row>
    <row r="436" customFormat="false" ht="15" hidden="false" customHeight="false" outlineLevel="0" collapsed="false">
      <c r="A436" s="19" t="s">
        <v>2367</v>
      </c>
      <c r="B436" s="19" t="s">
        <v>943</v>
      </c>
      <c r="C436" s="19" t="s">
        <v>944</v>
      </c>
      <c r="D436" s="19" t="s">
        <v>148</v>
      </c>
      <c r="E436" s="19" t="s">
        <v>147</v>
      </c>
      <c r="F436" s="19" t="s">
        <v>165</v>
      </c>
      <c r="G436" s="19" t="n">
        <v>50</v>
      </c>
      <c r="H436" s="19" t="s">
        <v>166</v>
      </c>
      <c r="I436" s="20" t="n">
        <v>58.793</v>
      </c>
      <c r="J436" s="19" t="n">
        <f aca="false">IF(I436="","",MIN(Overview!$B$8,MAX(1,CEILING(I436/Overview!$B$7,1))))</f>
        <v>12</v>
      </c>
      <c r="K436" s="19" t="n">
        <v>1</v>
      </c>
      <c r="L436" s="19"/>
      <c r="M436" s="20" t="n">
        <v>3</v>
      </c>
      <c r="N436" s="19"/>
      <c r="O436" s="19"/>
      <c r="P436" s="19" t="s">
        <v>1125</v>
      </c>
      <c r="Q436" s="19" t="s">
        <v>980</v>
      </c>
      <c r="R436" s="21" t="n">
        <v>32557</v>
      </c>
      <c r="S436" s="19"/>
      <c r="T436" s="19" t="s">
        <v>2368</v>
      </c>
      <c r="U436" s="19" t="str">
        <f aca="false">HYPERLINK("https://macaulaylibrary.org/asset/215386","Open")</f>
        <v>Open</v>
      </c>
      <c r="V436" s="19" t="s">
        <v>2366</v>
      </c>
    </row>
    <row r="437" customFormat="false" ht="15" hidden="false" customHeight="false" outlineLevel="0" collapsed="false">
      <c r="A437" s="19" t="s">
        <v>2369</v>
      </c>
      <c r="B437" s="19" t="s">
        <v>943</v>
      </c>
      <c r="C437" s="19" t="s">
        <v>944</v>
      </c>
      <c r="D437" s="19" t="s">
        <v>148</v>
      </c>
      <c r="E437" s="19" t="s">
        <v>147</v>
      </c>
      <c r="F437" s="19" t="s">
        <v>165</v>
      </c>
      <c r="G437" s="19" t="n">
        <v>50</v>
      </c>
      <c r="H437" s="19" t="s">
        <v>166</v>
      </c>
      <c r="I437" s="20" t="n">
        <v>59.369</v>
      </c>
      <c r="J437" s="19" t="n">
        <f aca="false">IF(I437="","",MIN(Overview!$B$8,MAX(1,CEILING(I437/Overview!$B$7,1))))</f>
        <v>12</v>
      </c>
      <c r="K437" s="19" t="n">
        <v>1</v>
      </c>
      <c r="L437" s="19"/>
      <c r="M437" s="20" t="n">
        <v>3</v>
      </c>
      <c r="N437" s="19"/>
      <c r="O437" s="19"/>
      <c r="P437" s="19" t="s">
        <v>1883</v>
      </c>
      <c r="Q437" s="19" t="s">
        <v>1136</v>
      </c>
      <c r="R437" s="21" t="n">
        <v>29734</v>
      </c>
      <c r="S437" s="19" t="s">
        <v>1550</v>
      </c>
      <c r="T437" s="19" t="s">
        <v>2370</v>
      </c>
      <c r="U437" s="19" t="str">
        <f aca="false">HYPERLINK("https://macaulaylibrary.org/asset/28132","Open")</f>
        <v>Open</v>
      </c>
      <c r="V437" s="19" t="s">
        <v>2366</v>
      </c>
    </row>
    <row r="438" customFormat="false" ht="15" hidden="false" customHeight="false" outlineLevel="0" collapsed="false">
      <c r="A438" s="19" t="s">
        <v>2371</v>
      </c>
      <c r="B438" s="19" t="s">
        <v>943</v>
      </c>
      <c r="C438" s="19" t="s">
        <v>944</v>
      </c>
      <c r="D438" s="19" t="s">
        <v>148</v>
      </c>
      <c r="E438" s="19" t="s">
        <v>147</v>
      </c>
      <c r="F438" s="19" t="s">
        <v>165</v>
      </c>
      <c r="G438" s="19" t="n">
        <v>50</v>
      </c>
      <c r="H438" s="19" t="s">
        <v>166</v>
      </c>
      <c r="I438" s="20" t="n">
        <v>84.644</v>
      </c>
      <c r="J438" s="19" t="n">
        <f aca="false">IF(I438="","",MIN(Overview!$B$8,MAX(1,CEILING(I438/Overview!$B$7,1))))</f>
        <v>17</v>
      </c>
      <c r="K438" s="19" t="n">
        <v>1</v>
      </c>
      <c r="L438" s="19"/>
      <c r="M438" s="20"/>
      <c r="N438" s="19"/>
      <c r="O438" s="19"/>
      <c r="P438" s="19" t="s">
        <v>1029</v>
      </c>
      <c r="Q438" s="19" t="s">
        <v>1030</v>
      </c>
      <c r="R438" s="21" t="n">
        <v>40251</v>
      </c>
      <c r="S438" s="19" t="s">
        <v>1285</v>
      </c>
      <c r="T438" s="19" t="s">
        <v>2372</v>
      </c>
      <c r="U438" s="19" t="str">
        <f aca="false">HYPERLINK("https://macaulaylibrary.org/asset/299640","Open")</f>
        <v>Open</v>
      </c>
      <c r="V438" s="19"/>
    </row>
    <row r="439" customFormat="false" ht="15" hidden="false" customHeight="false" outlineLevel="0" collapsed="false">
      <c r="A439" s="19" t="s">
        <v>2373</v>
      </c>
      <c r="B439" s="19" t="s">
        <v>943</v>
      </c>
      <c r="C439" s="19" t="s">
        <v>944</v>
      </c>
      <c r="D439" s="19" t="s">
        <v>148</v>
      </c>
      <c r="E439" s="19" t="s">
        <v>147</v>
      </c>
      <c r="F439" s="19" t="s">
        <v>165</v>
      </c>
      <c r="G439" s="19" t="n">
        <v>50</v>
      </c>
      <c r="H439" s="19" t="s">
        <v>166</v>
      </c>
      <c r="I439" s="20" t="n">
        <v>35.843</v>
      </c>
      <c r="J439" s="19" t="n">
        <f aca="false">IF(I439="","",MIN(Overview!$B$8,MAX(1,CEILING(I439/Overview!$B$7,1))))</f>
        <v>8</v>
      </c>
      <c r="K439" s="19" t="n">
        <v>1</v>
      </c>
      <c r="L439" s="19"/>
      <c r="M439" s="20" t="n">
        <v>2</v>
      </c>
      <c r="N439" s="19"/>
      <c r="O439" s="19"/>
      <c r="P439" s="19" t="s">
        <v>2374</v>
      </c>
      <c r="Q439" s="19" t="s">
        <v>1289</v>
      </c>
      <c r="R439" s="21" t="n">
        <v>42548</v>
      </c>
      <c r="S439" s="19" t="s">
        <v>1092</v>
      </c>
      <c r="T439" s="19" t="s">
        <v>2375</v>
      </c>
      <c r="U439" s="19" t="str">
        <f aca="false">HYPERLINK("https://macaulaylibrary.org/asset/32449281","Open")</f>
        <v>Open</v>
      </c>
      <c r="V439" s="19"/>
    </row>
    <row r="440" customFormat="false" ht="15" hidden="false" customHeight="false" outlineLevel="0" collapsed="false">
      <c r="A440" s="19" t="s">
        <v>2376</v>
      </c>
      <c r="B440" s="19" t="s">
        <v>943</v>
      </c>
      <c r="C440" s="19" t="s">
        <v>944</v>
      </c>
      <c r="D440" s="19" t="s">
        <v>148</v>
      </c>
      <c r="E440" s="19" t="s">
        <v>147</v>
      </c>
      <c r="F440" s="19" t="s">
        <v>165</v>
      </c>
      <c r="G440" s="19" t="n">
        <v>50</v>
      </c>
      <c r="H440" s="19" t="s">
        <v>166</v>
      </c>
      <c r="I440" s="20" t="n">
        <v>69.164</v>
      </c>
      <c r="J440" s="19" t="n">
        <f aca="false">IF(I440="","",MIN(Overview!$B$8,MAX(1,CEILING(I440/Overview!$B$7,1))))</f>
        <v>14</v>
      </c>
      <c r="K440" s="19" t="n">
        <v>1</v>
      </c>
      <c r="L440" s="19"/>
      <c r="M440" s="20" t="n">
        <v>5</v>
      </c>
      <c r="N440" s="19"/>
      <c r="O440" s="19"/>
      <c r="P440" s="19" t="s">
        <v>1542</v>
      </c>
      <c r="Q440" s="19" t="s">
        <v>1408</v>
      </c>
      <c r="R440" s="21" t="n">
        <v>31806</v>
      </c>
      <c r="S440" s="19" t="s">
        <v>1009</v>
      </c>
      <c r="T440" s="19" t="s">
        <v>2377</v>
      </c>
      <c r="U440" s="19" t="str">
        <f aca="false">HYPERLINK("https://macaulaylibrary.org/asset/336532861","Open")</f>
        <v>Open</v>
      </c>
      <c r="V440" s="19"/>
    </row>
    <row r="441" customFormat="false" ht="15" hidden="false" customHeight="false" outlineLevel="0" collapsed="false">
      <c r="A441" s="19" t="s">
        <v>2378</v>
      </c>
      <c r="B441" s="19" t="s">
        <v>943</v>
      </c>
      <c r="C441" s="19" t="s">
        <v>944</v>
      </c>
      <c r="D441" s="19" t="s">
        <v>148</v>
      </c>
      <c r="E441" s="19" t="s">
        <v>147</v>
      </c>
      <c r="F441" s="19" t="s">
        <v>165</v>
      </c>
      <c r="G441" s="19" t="n">
        <v>50</v>
      </c>
      <c r="H441" s="19" t="s">
        <v>166</v>
      </c>
      <c r="I441" s="20" t="n">
        <v>20.521</v>
      </c>
      <c r="J441" s="19" t="n">
        <f aca="false">IF(I441="","",MIN(Overview!$B$8,MAX(1,CEILING(I441/Overview!$B$7,1))))</f>
        <v>5</v>
      </c>
      <c r="K441" s="19" t="n">
        <v>1</v>
      </c>
      <c r="L441" s="19"/>
      <c r="M441" s="20" t="n">
        <v>5</v>
      </c>
      <c r="N441" s="19"/>
      <c r="O441" s="19"/>
      <c r="P441" s="19" t="s">
        <v>1542</v>
      </c>
      <c r="Q441" s="19" t="s">
        <v>1408</v>
      </c>
      <c r="R441" s="21" t="n">
        <v>31806</v>
      </c>
      <c r="S441" s="19" t="s">
        <v>1009</v>
      </c>
      <c r="T441" s="19" t="s">
        <v>2379</v>
      </c>
      <c r="U441" s="19" t="str">
        <f aca="false">HYPERLINK("https://macaulaylibrary.org/asset/336534191","Open")</f>
        <v>Open</v>
      </c>
      <c r="V441" s="19"/>
    </row>
    <row r="442" customFormat="false" ht="15" hidden="false" customHeight="false" outlineLevel="0" collapsed="false">
      <c r="A442" s="19" t="s">
        <v>2380</v>
      </c>
      <c r="B442" s="19" t="s">
        <v>943</v>
      </c>
      <c r="C442" s="19" t="s">
        <v>944</v>
      </c>
      <c r="D442" s="19" t="s">
        <v>148</v>
      </c>
      <c r="E442" s="19" t="s">
        <v>147</v>
      </c>
      <c r="F442" s="19" t="s">
        <v>165</v>
      </c>
      <c r="G442" s="19" t="n">
        <v>50</v>
      </c>
      <c r="H442" s="19" t="s">
        <v>166</v>
      </c>
      <c r="I442" s="20" t="n">
        <v>31.152</v>
      </c>
      <c r="J442" s="19" t="n">
        <f aca="false">IF(I442="","",MIN(Overview!$B$8,MAX(1,CEILING(I442/Overview!$B$7,1))))</f>
        <v>7</v>
      </c>
      <c r="K442" s="19" t="n">
        <v>1</v>
      </c>
      <c r="L442" s="19"/>
      <c r="M442" s="20" t="n">
        <v>4.71</v>
      </c>
      <c r="N442" s="19"/>
      <c r="O442" s="19"/>
      <c r="P442" s="19" t="s">
        <v>2381</v>
      </c>
      <c r="Q442" s="19" t="s">
        <v>1408</v>
      </c>
      <c r="R442" s="21" t="n">
        <v>32098</v>
      </c>
      <c r="S442" s="19" t="s">
        <v>1009</v>
      </c>
      <c r="T442" s="19" t="s">
        <v>2382</v>
      </c>
      <c r="U442" s="19" t="str">
        <f aca="false">HYPERLINK("https://macaulaylibrary.org/asset/338492511","Open")</f>
        <v>Open</v>
      </c>
      <c r="V442" s="19"/>
    </row>
    <row r="443" customFormat="false" ht="15" hidden="false" customHeight="false" outlineLevel="0" collapsed="false">
      <c r="A443" s="19" t="s">
        <v>2383</v>
      </c>
      <c r="B443" s="19" t="s">
        <v>943</v>
      </c>
      <c r="C443" s="19" t="s">
        <v>944</v>
      </c>
      <c r="D443" s="19" t="s">
        <v>148</v>
      </c>
      <c r="E443" s="19" t="s">
        <v>147</v>
      </c>
      <c r="F443" s="19" t="s">
        <v>165</v>
      </c>
      <c r="G443" s="19" t="n">
        <v>50</v>
      </c>
      <c r="H443" s="19" t="s">
        <v>166</v>
      </c>
      <c r="I443" s="20" t="n">
        <v>15.317</v>
      </c>
      <c r="J443" s="19" t="n">
        <f aca="false">IF(I443="","",MIN(Overview!$B$8,MAX(1,CEILING(I443/Overview!$B$7,1))))</f>
        <v>4</v>
      </c>
      <c r="K443" s="19" t="n">
        <v>1</v>
      </c>
      <c r="L443" s="19"/>
      <c r="M443" s="20" t="n">
        <v>3</v>
      </c>
      <c r="N443" s="19"/>
      <c r="O443" s="19"/>
      <c r="P443" s="19" t="s">
        <v>2384</v>
      </c>
      <c r="Q443" s="19" t="s">
        <v>2385</v>
      </c>
      <c r="R443" s="21" t="n">
        <v>44794</v>
      </c>
      <c r="S443" s="19" t="s">
        <v>1777</v>
      </c>
      <c r="T443" s="19" t="s">
        <v>2386</v>
      </c>
      <c r="U443" s="19" t="str">
        <f aca="false">HYPERLINK("https://macaulaylibrary.org/asset/485897321","Open")</f>
        <v>Open</v>
      </c>
      <c r="V443" s="19"/>
    </row>
    <row r="444" customFormat="false" ht="15" hidden="false" customHeight="false" outlineLevel="0" collapsed="false">
      <c r="A444" s="19" t="s">
        <v>2387</v>
      </c>
      <c r="B444" s="19" t="s">
        <v>943</v>
      </c>
      <c r="C444" s="19" t="s">
        <v>944</v>
      </c>
      <c r="D444" s="19" t="s">
        <v>148</v>
      </c>
      <c r="E444" s="19" t="s">
        <v>147</v>
      </c>
      <c r="F444" s="19" t="s">
        <v>165</v>
      </c>
      <c r="G444" s="19" t="n">
        <v>50</v>
      </c>
      <c r="H444" s="19" t="s">
        <v>166</v>
      </c>
      <c r="I444" s="20" t="n">
        <v>104.411</v>
      </c>
      <c r="J444" s="19" t="n">
        <f aca="false">IF(I444="","",MIN(Overview!$B$8,MAX(1,CEILING(I444/Overview!$B$7,1))))</f>
        <v>21</v>
      </c>
      <c r="K444" s="19" t="n">
        <v>1</v>
      </c>
      <c r="L444" s="19"/>
      <c r="M444" s="20"/>
      <c r="N444" s="19"/>
      <c r="O444" s="19"/>
      <c r="P444" s="19" t="s">
        <v>1154</v>
      </c>
      <c r="Q444" s="19" t="s">
        <v>1035</v>
      </c>
      <c r="R444" s="21" t="n">
        <v>43666</v>
      </c>
      <c r="S444" s="19" t="s">
        <v>1081</v>
      </c>
      <c r="T444" s="19" t="s">
        <v>2388</v>
      </c>
      <c r="U444" s="19" t="str">
        <f aca="false">HYPERLINK("https://macaulaylibrary.org/asset/498000971","Open")</f>
        <v>Open</v>
      </c>
      <c r="V444" s="19" t="s">
        <v>2366</v>
      </c>
    </row>
    <row r="445" customFormat="false" ht="15" hidden="false" customHeight="false" outlineLevel="0" collapsed="false">
      <c r="A445" s="19" t="s">
        <v>2389</v>
      </c>
      <c r="B445" s="19" t="s">
        <v>943</v>
      </c>
      <c r="C445" s="19" t="s">
        <v>944</v>
      </c>
      <c r="D445" s="19" t="s">
        <v>148</v>
      </c>
      <c r="E445" s="19" t="s">
        <v>147</v>
      </c>
      <c r="F445" s="19" t="s">
        <v>165</v>
      </c>
      <c r="G445" s="19" t="n">
        <v>50</v>
      </c>
      <c r="H445" s="19" t="s">
        <v>166</v>
      </c>
      <c r="I445" s="20" t="n">
        <v>43.558</v>
      </c>
      <c r="J445" s="19" t="n">
        <f aca="false">IF(I445="","",MIN(Overview!$B$8,MAX(1,CEILING(I445/Overview!$B$7,1))))</f>
        <v>9</v>
      </c>
      <c r="K445" s="19" t="n">
        <v>1</v>
      </c>
      <c r="L445" s="19"/>
      <c r="M445" s="20" t="n">
        <v>3</v>
      </c>
      <c r="N445" s="19"/>
      <c r="O445" s="19"/>
      <c r="P445" s="19" t="s">
        <v>1984</v>
      </c>
      <c r="Q445" s="19" t="s">
        <v>1985</v>
      </c>
      <c r="R445" s="21" t="n">
        <v>44874</v>
      </c>
      <c r="S445" s="19" t="s">
        <v>1986</v>
      </c>
      <c r="T445" s="19" t="s">
        <v>2390</v>
      </c>
      <c r="U445" s="19" t="str">
        <f aca="false">HYPERLINK("https://macaulaylibrary.org/asset/539998471","Open")</f>
        <v>Open</v>
      </c>
      <c r="V445" s="19"/>
    </row>
    <row r="446" customFormat="false" ht="15" hidden="false" customHeight="false" outlineLevel="0" collapsed="false">
      <c r="A446" s="19" t="s">
        <v>2391</v>
      </c>
      <c r="B446" s="19" t="s">
        <v>943</v>
      </c>
      <c r="C446" s="19" t="s">
        <v>944</v>
      </c>
      <c r="D446" s="19" t="s">
        <v>148</v>
      </c>
      <c r="E446" s="19" t="s">
        <v>147</v>
      </c>
      <c r="F446" s="19" t="s">
        <v>165</v>
      </c>
      <c r="G446" s="19" t="n">
        <v>50</v>
      </c>
      <c r="H446" s="19" t="s">
        <v>166</v>
      </c>
      <c r="I446" s="20" t="n">
        <v>9.033</v>
      </c>
      <c r="J446" s="19" t="n">
        <f aca="false">IF(I446="","",MIN(Overview!$B$8,MAX(1,CEILING(I446/Overview!$B$7,1))))</f>
        <v>2</v>
      </c>
      <c r="K446" s="19" t="n">
        <v>1</v>
      </c>
      <c r="L446" s="19"/>
      <c r="M446" s="20"/>
      <c r="N446" s="19"/>
      <c r="O446" s="19"/>
      <c r="P446" s="19" t="s">
        <v>1170</v>
      </c>
      <c r="Q446" s="19" t="s">
        <v>1166</v>
      </c>
      <c r="R446" s="21" t="n">
        <v>44900</v>
      </c>
      <c r="S446" s="19" t="s">
        <v>1092</v>
      </c>
      <c r="T446" s="19" t="s">
        <v>2392</v>
      </c>
      <c r="U446" s="19" t="str">
        <f aca="false">HYPERLINK("https://macaulaylibrary.org/asset/597933441","Open")</f>
        <v>Open</v>
      </c>
      <c r="V446" s="19"/>
    </row>
    <row r="447" customFormat="false" ht="15" hidden="false" customHeight="false" outlineLevel="0" collapsed="false">
      <c r="A447" s="19" t="s">
        <v>2393</v>
      </c>
      <c r="B447" s="19" t="s">
        <v>943</v>
      </c>
      <c r="C447" s="19" t="s">
        <v>944</v>
      </c>
      <c r="D447" s="19" t="s">
        <v>148</v>
      </c>
      <c r="E447" s="19" t="s">
        <v>147</v>
      </c>
      <c r="F447" s="19" t="s">
        <v>165</v>
      </c>
      <c r="G447" s="19" t="n">
        <v>50</v>
      </c>
      <c r="H447" s="19" t="s">
        <v>166</v>
      </c>
      <c r="I447" s="20" t="n">
        <v>21.268</v>
      </c>
      <c r="J447" s="19" t="n">
        <f aca="false">IF(I447="","",MIN(Overview!$B$8,MAX(1,CEILING(I447/Overview!$B$7,1))))</f>
        <v>5</v>
      </c>
      <c r="K447" s="19" t="n">
        <v>1</v>
      </c>
      <c r="L447" s="19"/>
      <c r="M447" s="20" t="n">
        <v>4</v>
      </c>
      <c r="N447" s="19"/>
      <c r="O447" s="19"/>
      <c r="P447" s="19" t="s">
        <v>2394</v>
      </c>
      <c r="Q447" s="19" t="s">
        <v>2395</v>
      </c>
      <c r="R447" s="21" t="n">
        <v>45161</v>
      </c>
      <c r="S447" s="19" t="s">
        <v>1743</v>
      </c>
      <c r="T447" s="19" t="s">
        <v>2396</v>
      </c>
      <c r="U447" s="19" t="str">
        <f aca="false">HYPERLINK("https://macaulaylibrary.org/asset/607939871","Open")</f>
        <v>Open</v>
      </c>
      <c r="V447" s="19"/>
    </row>
    <row r="448" customFormat="false" ht="15" hidden="false" customHeight="false" outlineLevel="0" collapsed="false">
      <c r="A448" s="19" t="s">
        <v>2397</v>
      </c>
      <c r="B448" s="19" t="s">
        <v>943</v>
      </c>
      <c r="C448" s="19" t="s">
        <v>944</v>
      </c>
      <c r="D448" s="19" t="s">
        <v>148</v>
      </c>
      <c r="E448" s="19" t="s">
        <v>147</v>
      </c>
      <c r="F448" s="19" t="s">
        <v>165</v>
      </c>
      <c r="G448" s="19" t="n">
        <v>50</v>
      </c>
      <c r="H448" s="19" t="s">
        <v>166</v>
      </c>
      <c r="I448" s="20" t="n">
        <v>35.846</v>
      </c>
      <c r="J448" s="19" t="n">
        <f aca="false">IF(I448="","",MIN(Overview!$B$8,MAX(1,CEILING(I448/Overview!$B$7,1))))</f>
        <v>8</v>
      </c>
      <c r="K448" s="19" t="n">
        <v>1</v>
      </c>
      <c r="L448" s="19"/>
      <c r="M448" s="20" t="n">
        <v>4</v>
      </c>
      <c r="N448" s="19"/>
      <c r="O448" s="19"/>
      <c r="P448" s="19" t="s">
        <v>2398</v>
      </c>
      <c r="Q448" s="19" t="s">
        <v>951</v>
      </c>
      <c r="R448" s="21" t="n">
        <v>45222</v>
      </c>
      <c r="S448" s="19" t="s">
        <v>1098</v>
      </c>
      <c r="T448" s="19" t="s">
        <v>2399</v>
      </c>
      <c r="U448" s="19" t="str">
        <f aca="false">HYPERLINK("https://macaulaylibrary.org/asset/610541278","Open")</f>
        <v>Open</v>
      </c>
      <c r="V448" s="19"/>
    </row>
    <row r="449" customFormat="false" ht="15" hidden="false" customHeight="false" outlineLevel="0" collapsed="false">
      <c r="A449" s="19" t="s">
        <v>2400</v>
      </c>
      <c r="B449" s="19" t="s">
        <v>943</v>
      </c>
      <c r="C449" s="19" t="s">
        <v>944</v>
      </c>
      <c r="D449" s="19" t="s">
        <v>148</v>
      </c>
      <c r="E449" s="19" t="s">
        <v>147</v>
      </c>
      <c r="F449" s="19" t="s">
        <v>165</v>
      </c>
      <c r="G449" s="19" t="n">
        <v>50</v>
      </c>
      <c r="H449" s="19" t="s">
        <v>166</v>
      </c>
      <c r="I449" s="20" t="n">
        <v>37.145</v>
      </c>
      <c r="J449" s="19" t="n">
        <f aca="false">IF(I449="","",MIN(Overview!$B$8,MAX(1,CEILING(I449/Overview!$B$7,1))))</f>
        <v>8</v>
      </c>
      <c r="K449" s="19" t="n">
        <v>1</v>
      </c>
      <c r="L449" s="19"/>
      <c r="M449" s="20" t="n">
        <v>3</v>
      </c>
      <c r="N449" s="19"/>
      <c r="O449" s="19"/>
      <c r="P449" s="19" t="s">
        <v>1441</v>
      </c>
      <c r="Q449" s="19" t="s">
        <v>951</v>
      </c>
      <c r="R449" s="21" t="n">
        <v>45223</v>
      </c>
      <c r="S449" s="19" t="s">
        <v>1442</v>
      </c>
      <c r="T449" s="19" t="s">
        <v>2401</v>
      </c>
      <c r="U449" s="19" t="str">
        <f aca="false">HYPERLINK("https://macaulaylibrary.org/asset/610571987","Open")</f>
        <v>Open</v>
      </c>
      <c r="V449" s="19"/>
    </row>
    <row r="450" customFormat="false" ht="15" hidden="false" customHeight="false" outlineLevel="0" collapsed="false">
      <c r="A450" s="19" t="s">
        <v>2402</v>
      </c>
      <c r="B450" s="19" t="s">
        <v>943</v>
      </c>
      <c r="C450" s="19" t="s">
        <v>944</v>
      </c>
      <c r="D450" s="19" t="s">
        <v>148</v>
      </c>
      <c r="E450" s="19" t="s">
        <v>147</v>
      </c>
      <c r="F450" s="19" t="s">
        <v>165</v>
      </c>
      <c r="G450" s="19" t="n">
        <v>50</v>
      </c>
      <c r="H450" s="19" t="s">
        <v>166</v>
      </c>
      <c r="I450" s="20" t="n">
        <v>29.157</v>
      </c>
      <c r="J450" s="19" t="n">
        <f aca="false">IF(I450="","",MIN(Overview!$B$8,MAX(1,CEILING(I450/Overview!$B$7,1))))</f>
        <v>6</v>
      </c>
      <c r="K450" s="19" t="n">
        <v>1</v>
      </c>
      <c r="L450" s="19"/>
      <c r="M450" s="20" t="n">
        <v>4</v>
      </c>
      <c r="N450" s="19"/>
      <c r="O450" s="19"/>
      <c r="P450" s="19" t="s">
        <v>1441</v>
      </c>
      <c r="Q450" s="19" t="s">
        <v>951</v>
      </c>
      <c r="R450" s="21" t="n">
        <v>45223</v>
      </c>
      <c r="S450" s="19" t="s">
        <v>1442</v>
      </c>
      <c r="T450" s="19" t="s">
        <v>2403</v>
      </c>
      <c r="U450" s="19" t="str">
        <f aca="false">HYPERLINK("https://macaulaylibrary.org/asset/610571989","Open")</f>
        <v>Open</v>
      </c>
      <c r="V450" s="19"/>
    </row>
    <row r="451" customFormat="false" ht="15" hidden="false" customHeight="false" outlineLevel="0" collapsed="false">
      <c r="A451" s="19" t="s">
        <v>2404</v>
      </c>
      <c r="B451" s="19" t="s">
        <v>943</v>
      </c>
      <c r="C451" s="19" t="s">
        <v>944</v>
      </c>
      <c r="D451" s="19" t="s">
        <v>148</v>
      </c>
      <c r="E451" s="19" t="s">
        <v>147</v>
      </c>
      <c r="F451" s="19" t="s">
        <v>165</v>
      </c>
      <c r="G451" s="19" t="n">
        <v>50</v>
      </c>
      <c r="H451" s="19" t="s">
        <v>166</v>
      </c>
      <c r="I451" s="20" t="n">
        <v>42.552</v>
      </c>
      <c r="J451" s="19" t="n">
        <f aca="false">IF(I451="","",MIN(Overview!$B$8,MAX(1,CEILING(I451/Overview!$B$7,1))))</f>
        <v>9</v>
      </c>
      <c r="K451" s="19" t="n">
        <v>1</v>
      </c>
      <c r="L451" s="19"/>
      <c r="M451" s="20" t="n">
        <v>4</v>
      </c>
      <c r="N451" s="19"/>
      <c r="O451" s="19"/>
      <c r="P451" s="19" t="s">
        <v>1441</v>
      </c>
      <c r="Q451" s="19" t="s">
        <v>951</v>
      </c>
      <c r="R451" s="21" t="n">
        <v>45223</v>
      </c>
      <c r="S451" s="19" t="s">
        <v>1442</v>
      </c>
      <c r="T451" s="19" t="s">
        <v>2405</v>
      </c>
      <c r="U451" s="19" t="str">
        <f aca="false">HYPERLINK("https://macaulaylibrary.org/asset/610571999","Open")</f>
        <v>Open</v>
      </c>
      <c r="V451" s="19"/>
    </row>
    <row r="452" customFormat="false" ht="15" hidden="false" customHeight="false" outlineLevel="0" collapsed="false">
      <c r="A452" s="19" t="s">
        <v>2406</v>
      </c>
      <c r="B452" s="19" t="s">
        <v>943</v>
      </c>
      <c r="C452" s="19" t="s">
        <v>944</v>
      </c>
      <c r="D452" s="19" t="s">
        <v>148</v>
      </c>
      <c r="E452" s="19" t="s">
        <v>147</v>
      </c>
      <c r="F452" s="19" t="s">
        <v>165</v>
      </c>
      <c r="G452" s="19" t="n">
        <v>50</v>
      </c>
      <c r="H452" s="19" t="s">
        <v>166</v>
      </c>
      <c r="I452" s="20" t="n">
        <v>42.886</v>
      </c>
      <c r="J452" s="19" t="n">
        <f aca="false">IF(I452="","",MIN(Overview!$B$8,MAX(1,CEILING(I452/Overview!$B$7,1))))</f>
        <v>9</v>
      </c>
      <c r="K452" s="19" t="n">
        <v>1</v>
      </c>
      <c r="L452" s="19"/>
      <c r="M452" s="20"/>
      <c r="N452" s="19"/>
      <c r="O452" s="19"/>
      <c r="P452" s="19" t="s">
        <v>2407</v>
      </c>
      <c r="Q452" s="19" t="s">
        <v>2408</v>
      </c>
      <c r="R452" s="21" t="n">
        <v>45254</v>
      </c>
      <c r="S452" s="19" t="s">
        <v>2409</v>
      </c>
      <c r="T452" s="19" t="s">
        <v>2410</v>
      </c>
      <c r="U452" s="19" t="str">
        <f aca="false">HYPERLINK("https://macaulaylibrary.org/asset/611871872","Open")</f>
        <v>Open</v>
      </c>
      <c r="V452" s="19"/>
    </row>
    <row r="453" customFormat="false" ht="15" hidden="false" customHeight="false" outlineLevel="0" collapsed="false">
      <c r="A453" s="19" t="s">
        <v>2411</v>
      </c>
      <c r="B453" s="19" t="s">
        <v>943</v>
      </c>
      <c r="C453" s="19" t="s">
        <v>944</v>
      </c>
      <c r="D453" s="19" t="s">
        <v>148</v>
      </c>
      <c r="E453" s="19" t="s">
        <v>147</v>
      </c>
      <c r="F453" s="19" t="s">
        <v>165</v>
      </c>
      <c r="G453" s="19" t="n">
        <v>50</v>
      </c>
      <c r="H453" s="19" t="s">
        <v>166</v>
      </c>
      <c r="I453" s="20" t="n">
        <v>15.277</v>
      </c>
      <c r="J453" s="19" t="n">
        <f aca="false">IF(I453="","",MIN(Overview!$B$8,MAX(1,CEILING(I453/Overview!$B$7,1))))</f>
        <v>4</v>
      </c>
      <c r="K453" s="19" t="n">
        <v>1</v>
      </c>
      <c r="L453" s="19"/>
      <c r="M453" s="20" t="n">
        <v>5</v>
      </c>
      <c r="N453" s="19"/>
      <c r="O453" s="19"/>
      <c r="P453" s="19" t="s">
        <v>2407</v>
      </c>
      <c r="Q453" s="19" t="s">
        <v>2408</v>
      </c>
      <c r="R453" s="21" t="n">
        <v>45254</v>
      </c>
      <c r="S453" s="19" t="s">
        <v>2409</v>
      </c>
      <c r="T453" s="19" t="s">
        <v>2412</v>
      </c>
      <c r="U453" s="19" t="str">
        <f aca="false">HYPERLINK("https://macaulaylibrary.org/asset/611871924","Open")</f>
        <v>Open</v>
      </c>
      <c r="V453" s="19"/>
    </row>
    <row r="454" customFormat="false" ht="15" hidden="false" customHeight="false" outlineLevel="0" collapsed="false">
      <c r="A454" s="19" t="s">
        <v>2413</v>
      </c>
      <c r="B454" s="19" t="s">
        <v>943</v>
      </c>
      <c r="C454" s="19" t="s">
        <v>944</v>
      </c>
      <c r="D454" s="19" t="s">
        <v>148</v>
      </c>
      <c r="E454" s="19" t="s">
        <v>147</v>
      </c>
      <c r="F454" s="19" t="s">
        <v>165</v>
      </c>
      <c r="G454" s="19" t="n">
        <v>50</v>
      </c>
      <c r="H454" s="19" t="s">
        <v>166</v>
      </c>
      <c r="I454" s="20" t="n">
        <v>24.12</v>
      </c>
      <c r="J454" s="19" t="n">
        <f aca="false">IF(I454="","",MIN(Overview!$B$8,MAX(1,CEILING(I454/Overview!$B$7,1))))</f>
        <v>5</v>
      </c>
      <c r="K454" s="19" t="n">
        <v>1</v>
      </c>
      <c r="L454" s="19"/>
      <c r="M454" s="20" t="n">
        <v>4</v>
      </c>
      <c r="N454" s="19"/>
      <c r="O454" s="19"/>
      <c r="P454" s="19" t="s">
        <v>2414</v>
      </c>
      <c r="Q454" s="19" t="s">
        <v>956</v>
      </c>
      <c r="R454" s="21" t="n">
        <v>45302</v>
      </c>
      <c r="S454" s="19" t="s">
        <v>2415</v>
      </c>
      <c r="T454" s="19" t="s">
        <v>2416</v>
      </c>
      <c r="U454" s="19" t="str">
        <f aca="false">HYPERLINK("https://macaulaylibrary.org/asset/613430060","Open")</f>
        <v>Open</v>
      </c>
      <c r="V454" s="19"/>
    </row>
    <row r="455" customFormat="false" ht="15" hidden="false" customHeight="false" outlineLevel="0" collapsed="false">
      <c r="A455" s="19" t="s">
        <v>2417</v>
      </c>
      <c r="B455" s="19" t="s">
        <v>943</v>
      </c>
      <c r="C455" s="19" t="s">
        <v>944</v>
      </c>
      <c r="D455" s="19" t="s">
        <v>148</v>
      </c>
      <c r="E455" s="19" t="s">
        <v>147</v>
      </c>
      <c r="F455" s="19" t="s">
        <v>165</v>
      </c>
      <c r="G455" s="19" t="n">
        <v>50</v>
      </c>
      <c r="H455" s="19" t="s">
        <v>166</v>
      </c>
      <c r="I455" s="20" t="n">
        <v>19.778</v>
      </c>
      <c r="J455" s="19" t="n">
        <f aca="false">IF(I455="","",MIN(Overview!$B$8,MAX(1,CEILING(I455/Overview!$B$7,1))))</f>
        <v>4</v>
      </c>
      <c r="K455" s="19" t="n">
        <v>1</v>
      </c>
      <c r="L455" s="19"/>
      <c r="M455" s="20" t="n">
        <v>5</v>
      </c>
      <c r="N455" s="19"/>
      <c r="O455" s="19"/>
      <c r="P455" s="19" t="s">
        <v>1314</v>
      </c>
      <c r="Q455" s="19" t="s">
        <v>956</v>
      </c>
      <c r="R455" s="21" t="n">
        <v>45301</v>
      </c>
      <c r="S455" s="19" t="s">
        <v>1315</v>
      </c>
      <c r="T455" s="19" t="s">
        <v>2418</v>
      </c>
      <c r="U455" s="19" t="str">
        <f aca="false">HYPERLINK("https://macaulaylibrary.org/asset/613430357","Open")</f>
        <v>Open</v>
      </c>
      <c r="V455" s="19"/>
    </row>
    <row r="456" customFormat="false" ht="15" hidden="false" customHeight="false" outlineLevel="0" collapsed="false">
      <c r="A456" s="19" t="s">
        <v>2419</v>
      </c>
      <c r="B456" s="19" t="s">
        <v>943</v>
      </c>
      <c r="C456" s="19" t="s">
        <v>944</v>
      </c>
      <c r="D456" s="19" t="s">
        <v>148</v>
      </c>
      <c r="E456" s="19" t="s">
        <v>147</v>
      </c>
      <c r="F456" s="19" t="s">
        <v>165</v>
      </c>
      <c r="G456" s="19" t="n">
        <v>50</v>
      </c>
      <c r="H456" s="19" t="s">
        <v>166</v>
      </c>
      <c r="I456" s="20" t="n">
        <v>9.346</v>
      </c>
      <c r="J456" s="19" t="n">
        <f aca="false">IF(I456="","",MIN(Overview!$B$8,MAX(1,CEILING(I456/Overview!$B$7,1))))</f>
        <v>2</v>
      </c>
      <c r="K456" s="19" t="n">
        <v>1</v>
      </c>
      <c r="L456" s="19"/>
      <c r="M456" s="20"/>
      <c r="N456" s="19"/>
      <c r="O456" s="19"/>
      <c r="P456" s="19" t="s">
        <v>2202</v>
      </c>
      <c r="Q456" s="19" t="s">
        <v>2203</v>
      </c>
      <c r="R456" s="21" t="n">
        <v>45226</v>
      </c>
      <c r="S456" s="19" t="s">
        <v>1986</v>
      </c>
      <c r="T456" s="19" t="s">
        <v>2420</v>
      </c>
      <c r="U456" s="19" t="str">
        <f aca="false">HYPERLINK("https://macaulaylibrary.org/asset/620169784","Open")</f>
        <v>Open</v>
      </c>
      <c r="V456" s="19"/>
    </row>
    <row r="457" customFormat="false" ht="15" hidden="false" customHeight="false" outlineLevel="0" collapsed="false">
      <c r="A457" s="19" t="s">
        <v>2421</v>
      </c>
      <c r="B457" s="19" t="s">
        <v>943</v>
      </c>
      <c r="C457" s="19" t="s">
        <v>944</v>
      </c>
      <c r="D457" s="19" t="s">
        <v>148</v>
      </c>
      <c r="E457" s="19" t="s">
        <v>147</v>
      </c>
      <c r="F457" s="19" t="s">
        <v>165</v>
      </c>
      <c r="G457" s="19" t="n">
        <v>50</v>
      </c>
      <c r="H457" s="19" t="s">
        <v>166</v>
      </c>
      <c r="I457" s="20" t="n">
        <v>50</v>
      </c>
      <c r="J457" s="19" t="n">
        <f aca="false">IF(I457="","",MIN(Overview!$B$8,MAX(1,CEILING(I457/Overview!$B$7,1))))</f>
        <v>10</v>
      </c>
      <c r="K457" s="19" t="n">
        <v>1</v>
      </c>
      <c r="L457" s="19"/>
      <c r="M457" s="20"/>
      <c r="N457" s="19"/>
      <c r="O457" s="19"/>
      <c r="P457" s="19" t="s">
        <v>1257</v>
      </c>
      <c r="Q457" s="19" t="s">
        <v>1258</v>
      </c>
      <c r="R457" s="21" t="n">
        <v>45231</v>
      </c>
      <c r="S457" s="19" t="s">
        <v>1259</v>
      </c>
      <c r="T457" s="19" t="s">
        <v>2422</v>
      </c>
      <c r="U457" s="19" t="str">
        <f aca="false">HYPERLINK("https://macaulaylibrary.org/asset/621760303","Open")</f>
        <v>Open</v>
      </c>
      <c r="V457" s="19" t="s">
        <v>2366</v>
      </c>
    </row>
    <row r="458" customFormat="false" ht="15" hidden="false" customHeight="false" outlineLevel="0" collapsed="false">
      <c r="A458" s="19" t="s">
        <v>2423</v>
      </c>
      <c r="B458" s="19" t="s">
        <v>943</v>
      </c>
      <c r="C458" s="19" t="s">
        <v>944</v>
      </c>
      <c r="D458" s="19" t="s">
        <v>148</v>
      </c>
      <c r="E458" s="19" t="s">
        <v>147</v>
      </c>
      <c r="F458" s="19" t="s">
        <v>165</v>
      </c>
      <c r="G458" s="19" t="n">
        <v>50</v>
      </c>
      <c r="H458" s="19" t="s">
        <v>166</v>
      </c>
      <c r="I458" s="20" t="n">
        <v>15.509</v>
      </c>
      <c r="J458" s="19" t="n">
        <f aca="false">IF(I458="","",MIN(Overview!$B$8,MAX(1,CEILING(I458/Overview!$B$7,1))))</f>
        <v>4</v>
      </c>
      <c r="K458" s="19" t="n">
        <v>1</v>
      </c>
      <c r="L458" s="19"/>
      <c r="M458" s="20"/>
      <c r="N458" s="19"/>
      <c r="O458" s="19" t="s">
        <v>151</v>
      </c>
      <c r="P458" s="19" t="s">
        <v>2424</v>
      </c>
      <c r="Q458" s="19" t="s">
        <v>2207</v>
      </c>
      <c r="R458" s="21" t="n">
        <v>45610</v>
      </c>
      <c r="S458" s="19" t="s">
        <v>2425</v>
      </c>
      <c r="T458" s="19" t="s">
        <v>2426</v>
      </c>
      <c r="U458" s="19" t="str">
        <f aca="false">HYPERLINK("https://macaulaylibrary.org/asset/626930810","Open")</f>
        <v>Open</v>
      </c>
      <c r="V458" s="19"/>
    </row>
    <row r="459" customFormat="false" ht="15" hidden="false" customHeight="false" outlineLevel="0" collapsed="false">
      <c r="A459" s="19" t="s">
        <v>2427</v>
      </c>
      <c r="B459" s="19" t="s">
        <v>943</v>
      </c>
      <c r="C459" s="19" t="s">
        <v>944</v>
      </c>
      <c r="D459" s="19" t="s">
        <v>148</v>
      </c>
      <c r="E459" s="19" t="s">
        <v>147</v>
      </c>
      <c r="F459" s="19" t="s">
        <v>165</v>
      </c>
      <c r="G459" s="19" t="n">
        <v>50</v>
      </c>
      <c r="H459" s="19" t="s">
        <v>166</v>
      </c>
      <c r="I459" s="20" t="n">
        <v>26.516</v>
      </c>
      <c r="J459" s="19" t="n">
        <f aca="false">IF(I459="","",MIN(Overview!$B$8,MAX(1,CEILING(I459/Overview!$B$7,1))))</f>
        <v>6</v>
      </c>
      <c r="K459" s="19" t="n">
        <v>1</v>
      </c>
      <c r="L459" s="19"/>
      <c r="M459" s="20"/>
      <c r="N459" s="19"/>
      <c r="O459" s="19" t="s">
        <v>2428</v>
      </c>
      <c r="P459" s="19" t="s">
        <v>2424</v>
      </c>
      <c r="Q459" s="19" t="s">
        <v>2207</v>
      </c>
      <c r="R459" s="21" t="n">
        <v>45610</v>
      </c>
      <c r="S459" s="19" t="s">
        <v>2425</v>
      </c>
      <c r="T459" s="19" t="s">
        <v>2429</v>
      </c>
      <c r="U459" s="19" t="str">
        <f aca="false">HYPERLINK("https://macaulaylibrary.org/asset/626930811","Open")</f>
        <v>Open</v>
      </c>
      <c r="V459" s="19"/>
    </row>
    <row r="460" customFormat="false" ht="15" hidden="false" customHeight="false" outlineLevel="0" collapsed="false">
      <c r="A460" s="19" t="s">
        <v>2430</v>
      </c>
      <c r="B460" s="19" t="s">
        <v>943</v>
      </c>
      <c r="C460" s="19" t="s">
        <v>944</v>
      </c>
      <c r="D460" s="19" t="s">
        <v>148</v>
      </c>
      <c r="E460" s="19" t="s">
        <v>147</v>
      </c>
      <c r="F460" s="19" t="s">
        <v>165</v>
      </c>
      <c r="G460" s="19" t="n">
        <v>50</v>
      </c>
      <c r="H460" s="19" t="s">
        <v>166</v>
      </c>
      <c r="I460" s="20" t="n">
        <v>19.693</v>
      </c>
      <c r="J460" s="19" t="n">
        <f aca="false">IF(I460="","",MIN(Overview!$B$8,MAX(1,CEILING(I460/Overview!$B$7,1))))</f>
        <v>4</v>
      </c>
      <c r="K460" s="19" t="n">
        <v>1</v>
      </c>
      <c r="L460" s="19"/>
      <c r="M460" s="20" t="n">
        <v>3</v>
      </c>
      <c r="N460" s="19"/>
      <c r="O460" s="19"/>
      <c r="P460" s="19" t="s">
        <v>2119</v>
      </c>
      <c r="Q460" s="19" t="s">
        <v>1368</v>
      </c>
      <c r="R460" s="21" t="n">
        <v>45489</v>
      </c>
      <c r="S460" s="19" t="s">
        <v>1211</v>
      </c>
      <c r="T460" s="19" t="s">
        <v>2431</v>
      </c>
      <c r="U460" s="19" t="str">
        <f aca="false">HYPERLINK("https://macaulaylibrary.org/asset/631664546","Open")</f>
        <v>Open</v>
      </c>
      <c r="V460" s="19"/>
    </row>
    <row r="461" customFormat="false" ht="15" hidden="false" customHeight="false" outlineLevel="0" collapsed="false">
      <c r="A461" s="19" t="s">
        <v>2432</v>
      </c>
      <c r="B461" s="19" t="s">
        <v>943</v>
      </c>
      <c r="C461" s="19" t="s">
        <v>944</v>
      </c>
      <c r="D461" s="19" t="s">
        <v>148</v>
      </c>
      <c r="E461" s="19" t="s">
        <v>147</v>
      </c>
      <c r="F461" s="19" t="s">
        <v>165</v>
      </c>
      <c r="G461" s="19" t="n">
        <v>50</v>
      </c>
      <c r="H461" s="19" t="s">
        <v>166</v>
      </c>
      <c r="I461" s="20" t="n">
        <v>8.403</v>
      </c>
      <c r="J461" s="19" t="n">
        <f aca="false">IF(I461="","",MIN(Overview!$B$8,MAX(1,CEILING(I461/Overview!$B$7,1))))</f>
        <v>2</v>
      </c>
      <c r="K461" s="19" t="n">
        <v>1</v>
      </c>
      <c r="L461" s="19"/>
      <c r="M461" s="20"/>
      <c r="N461" s="19"/>
      <c r="O461" s="19"/>
      <c r="P461" s="19" t="s">
        <v>1477</v>
      </c>
      <c r="Q461" s="19" t="s">
        <v>1478</v>
      </c>
      <c r="R461" s="21" t="n">
        <v>45715</v>
      </c>
      <c r="S461" s="19" t="s">
        <v>1479</v>
      </c>
      <c r="T461" s="19" t="s">
        <v>2433</v>
      </c>
      <c r="U461" s="19" t="str">
        <f aca="false">HYPERLINK("https://macaulaylibrary.org/asset/632692760","Open")</f>
        <v>Open</v>
      </c>
      <c r="V461" s="19"/>
    </row>
    <row r="462" customFormat="false" ht="15" hidden="false" customHeight="false" outlineLevel="0" collapsed="false">
      <c r="A462" s="19" t="s">
        <v>2434</v>
      </c>
      <c r="B462" s="19" t="s">
        <v>943</v>
      </c>
      <c r="C462" s="19" t="s">
        <v>944</v>
      </c>
      <c r="D462" s="19" t="s">
        <v>148</v>
      </c>
      <c r="E462" s="19" t="s">
        <v>147</v>
      </c>
      <c r="F462" s="19" t="s">
        <v>165</v>
      </c>
      <c r="G462" s="19" t="n">
        <v>50</v>
      </c>
      <c r="H462" s="19" t="s">
        <v>166</v>
      </c>
      <c r="I462" s="20" t="n">
        <v>7.264</v>
      </c>
      <c r="J462" s="19" t="n">
        <f aca="false">IF(I462="","",MIN(Overview!$B$8,MAX(1,CEILING(I462/Overview!$B$7,1))))</f>
        <v>2</v>
      </c>
      <c r="K462" s="19" t="n">
        <v>1</v>
      </c>
      <c r="L462" s="19"/>
      <c r="M462" s="20"/>
      <c r="N462" s="19"/>
      <c r="O462" s="19"/>
      <c r="P462" s="19" t="s">
        <v>1477</v>
      </c>
      <c r="Q462" s="19" t="s">
        <v>1478</v>
      </c>
      <c r="R462" s="21" t="n">
        <v>45715</v>
      </c>
      <c r="S462" s="19" t="s">
        <v>1479</v>
      </c>
      <c r="T462" s="19" t="s">
        <v>2435</v>
      </c>
      <c r="U462" s="19" t="str">
        <f aca="false">HYPERLINK("https://macaulaylibrary.org/asset/632692770","Open")</f>
        <v>Open</v>
      </c>
      <c r="V462" s="19"/>
    </row>
    <row r="463" customFormat="false" ht="15" hidden="false" customHeight="false" outlineLevel="0" collapsed="false">
      <c r="A463" s="19" t="s">
        <v>2436</v>
      </c>
      <c r="B463" s="19" t="s">
        <v>943</v>
      </c>
      <c r="C463" s="19" t="s">
        <v>944</v>
      </c>
      <c r="D463" s="19" t="s">
        <v>148</v>
      </c>
      <c r="E463" s="19" t="s">
        <v>147</v>
      </c>
      <c r="F463" s="19" t="s">
        <v>165</v>
      </c>
      <c r="G463" s="19" t="n">
        <v>50</v>
      </c>
      <c r="H463" s="19" t="s">
        <v>166</v>
      </c>
      <c r="I463" s="20" t="n">
        <v>24.381</v>
      </c>
      <c r="J463" s="19" t="n">
        <f aca="false">IF(I463="","",MIN(Overview!$B$8,MAX(1,CEILING(I463/Overview!$B$7,1))))</f>
        <v>5</v>
      </c>
      <c r="K463" s="19" t="n">
        <v>1</v>
      </c>
      <c r="L463" s="19"/>
      <c r="M463" s="20"/>
      <c r="N463" s="19"/>
      <c r="O463" s="19"/>
      <c r="P463" s="19" t="s">
        <v>2437</v>
      </c>
      <c r="Q463" s="19" t="s">
        <v>1483</v>
      </c>
      <c r="R463" s="21" t="n">
        <v>45292</v>
      </c>
      <c r="S463" s="19" t="s">
        <v>2438</v>
      </c>
      <c r="T463" s="19" t="s">
        <v>2439</v>
      </c>
      <c r="U463" s="19" t="str">
        <f aca="false">HYPERLINK("https://macaulaylibrary.org/asset/638982557","Open")</f>
        <v>Open</v>
      </c>
      <c r="V463" s="19"/>
    </row>
    <row r="464" customFormat="false" ht="15" hidden="false" customHeight="false" outlineLevel="0" collapsed="false">
      <c r="A464" s="19" t="s">
        <v>2440</v>
      </c>
      <c r="B464" s="19" t="s">
        <v>943</v>
      </c>
      <c r="C464" s="19" t="s">
        <v>944</v>
      </c>
      <c r="D464" s="19" t="s">
        <v>148</v>
      </c>
      <c r="E464" s="19" t="s">
        <v>147</v>
      </c>
      <c r="F464" s="19" t="s">
        <v>165</v>
      </c>
      <c r="G464" s="19" t="n">
        <v>50</v>
      </c>
      <c r="H464" s="19" t="s">
        <v>166</v>
      </c>
      <c r="I464" s="20" t="n">
        <v>6.441</v>
      </c>
      <c r="J464" s="19" t="n">
        <f aca="false">IF(I464="","",MIN(Overview!$B$8,MAX(1,CEILING(I464/Overview!$B$7,1))))</f>
        <v>2</v>
      </c>
      <c r="K464" s="19" t="n">
        <v>1</v>
      </c>
      <c r="L464" s="19"/>
      <c r="M464" s="20" t="n">
        <v>3</v>
      </c>
      <c r="N464" s="19"/>
      <c r="O464" s="19"/>
      <c r="P464" s="19" t="s">
        <v>2437</v>
      </c>
      <c r="Q464" s="19" t="s">
        <v>1483</v>
      </c>
      <c r="R464" s="21" t="n">
        <v>45292</v>
      </c>
      <c r="S464" s="19" t="s">
        <v>2438</v>
      </c>
      <c r="T464" s="19" t="s">
        <v>2441</v>
      </c>
      <c r="U464" s="19" t="str">
        <f aca="false">HYPERLINK("https://macaulaylibrary.org/asset/638982572","Open")</f>
        <v>Open</v>
      </c>
      <c r="V464" s="19"/>
    </row>
    <row r="465" customFormat="false" ht="15" hidden="false" customHeight="false" outlineLevel="0" collapsed="false">
      <c r="A465" s="19" t="s">
        <v>2442</v>
      </c>
      <c r="B465" s="19" t="s">
        <v>943</v>
      </c>
      <c r="C465" s="19" t="s">
        <v>944</v>
      </c>
      <c r="D465" s="19" t="s">
        <v>148</v>
      </c>
      <c r="E465" s="19" t="s">
        <v>147</v>
      </c>
      <c r="F465" s="19" t="s">
        <v>165</v>
      </c>
      <c r="G465" s="19" t="n">
        <v>50</v>
      </c>
      <c r="H465" s="19" t="s">
        <v>166</v>
      </c>
      <c r="I465" s="20" t="n">
        <v>54.589</v>
      </c>
      <c r="J465" s="19" t="n">
        <f aca="false">IF(I465="","",MIN(Overview!$B$8,MAX(1,CEILING(I465/Overview!$B$7,1))))</f>
        <v>11</v>
      </c>
      <c r="K465" s="19" t="n">
        <v>1</v>
      </c>
      <c r="L465" s="19"/>
      <c r="M465" s="20"/>
      <c r="N465" s="19"/>
      <c r="O465" s="19"/>
      <c r="P465" s="19" t="s">
        <v>2443</v>
      </c>
      <c r="Q465" s="19" t="s">
        <v>1091</v>
      </c>
      <c r="R465" s="21" t="n">
        <v>45843</v>
      </c>
      <c r="S465" s="19" t="s">
        <v>2444</v>
      </c>
      <c r="T465" s="19" t="s">
        <v>2445</v>
      </c>
      <c r="U465" s="19" t="str">
        <f aca="false">HYPERLINK("https://macaulaylibrary.org/asset/639165195","Open")</f>
        <v>Open</v>
      </c>
      <c r="V465" s="19"/>
    </row>
    <row r="466" customFormat="false" ht="15" hidden="false" customHeight="false" outlineLevel="0" collapsed="false">
      <c r="A466" s="19" t="s">
        <v>2446</v>
      </c>
      <c r="B466" s="19" t="s">
        <v>943</v>
      </c>
      <c r="C466" s="19" t="s">
        <v>944</v>
      </c>
      <c r="D466" s="19" t="s">
        <v>148</v>
      </c>
      <c r="E466" s="19" t="s">
        <v>147</v>
      </c>
      <c r="F466" s="19" t="s">
        <v>165</v>
      </c>
      <c r="G466" s="19" t="n">
        <v>50</v>
      </c>
      <c r="H466" s="19" t="s">
        <v>166</v>
      </c>
      <c r="I466" s="20" t="n">
        <v>47.483</v>
      </c>
      <c r="J466" s="19" t="n">
        <f aca="false">IF(I466="","",MIN(Overview!$B$8,MAX(1,CEILING(I466/Overview!$B$7,1))))</f>
        <v>10</v>
      </c>
      <c r="K466" s="19" t="n">
        <v>1</v>
      </c>
      <c r="L466" s="19"/>
      <c r="M466" s="20"/>
      <c r="N466" s="19"/>
      <c r="O466" s="19"/>
      <c r="P466" s="19" t="s">
        <v>2443</v>
      </c>
      <c r="Q466" s="19" t="s">
        <v>1091</v>
      </c>
      <c r="R466" s="21" t="n">
        <v>45843</v>
      </c>
      <c r="S466" s="19" t="s">
        <v>2444</v>
      </c>
      <c r="T466" s="19" t="s">
        <v>2447</v>
      </c>
      <c r="U466" s="19" t="str">
        <f aca="false">HYPERLINK("https://macaulaylibrary.org/asset/639170577","Open")</f>
        <v>Open</v>
      </c>
      <c r="V466" s="19"/>
    </row>
    <row r="467" customFormat="false" ht="15" hidden="false" customHeight="false" outlineLevel="0" collapsed="false">
      <c r="A467" s="19" t="s">
        <v>2448</v>
      </c>
      <c r="B467" s="19" t="s">
        <v>943</v>
      </c>
      <c r="C467" s="19" t="s">
        <v>944</v>
      </c>
      <c r="D467" s="19" t="s">
        <v>148</v>
      </c>
      <c r="E467" s="19" t="s">
        <v>147</v>
      </c>
      <c r="F467" s="19" t="s">
        <v>165</v>
      </c>
      <c r="G467" s="19" t="n">
        <v>50</v>
      </c>
      <c r="H467" s="19" t="s">
        <v>166</v>
      </c>
      <c r="I467" s="20" t="n">
        <v>57.979</v>
      </c>
      <c r="J467" s="19" t="n">
        <f aca="false">IF(I467="","",MIN(Overview!$B$8,MAX(1,CEILING(I467/Overview!$B$7,1))))</f>
        <v>12</v>
      </c>
      <c r="K467" s="19" t="n">
        <v>1</v>
      </c>
      <c r="L467" s="19"/>
      <c r="M467" s="20"/>
      <c r="N467" s="19"/>
      <c r="O467" s="19"/>
      <c r="P467" s="19" t="s">
        <v>2449</v>
      </c>
      <c r="Q467" s="19" t="s">
        <v>1091</v>
      </c>
      <c r="R467" s="21" t="n">
        <v>45844</v>
      </c>
      <c r="S467" s="19" t="s">
        <v>2123</v>
      </c>
      <c r="T467" s="19" t="s">
        <v>2450</v>
      </c>
      <c r="U467" s="19" t="str">
        <f aca="false">HYPERLINK("https://macaulaylibrary.org/asset/643633366","Open")</f>
        <v>Open</v>
      </c>
      <c r="V467" s="19"/>
    </row>
    <row r="468" customFormat="false" ht="15" hidden="false" customHeight="false" outlineLevel="0" collapsed="false">
      <c r="A468" s="19" t="s">
        <v>2451</v>
      </c>
      <c r="B468" s="19" t="s">
        <v>943</v>
      </c>
      <c r="C468" s="19" t="s">
        <v>944</v>
      </c>
      <c r="D468" s="19" t="s">
        <v>148</v>
      </c>
      <c r="E468" s="19" t="s">
        <v>147</v>
      </c>
      <c r="F468" s="19" t="s">
        <v>165</v>
      </c>
      <c r="G468" s="19" t="n">
        <v>50</v>
      </c>
      <c r="H468" s="19" t="s">
        <v>166</v>
      </c>
      <c r="I468" s="20" t="n">
        <v>3.328</v>
      </c>
      <c r="J468" s="19" t="n">
        <f aca="false">IF(I468="","",MIN(Overview!$B$8,MAX(1,CEILING(I468/Overview!$B$7,1))))</f>
        <v>1</v>
      </c>
      <c r="K468" s="19" t="n">
        <v>1</v>
      </c>
      <c r="L468" s="19" t="s">
        <v>1048</v>
      </c>
      <c r="M468" s="20"/>
      <c r="N468" s="19"/>
      <c r="O468" s="19"/>
      <c r="P468" s="19" t="s">
        <v>1198</v>
      </c>
      <c r="Q468" s="19" t="s">
        <v>1199</v>
      </c>
      <c r="R468" s="21" t="n">
        <v>46028</v>
      </c>
      <c r="S468" s="19" t="s">
        <v>1200</v>
      </c>
      <c r="T468" s="19" t="s">
        <v>2452</v>
      </c>
      <c r="U468" s="19" t="str">
        <f aca="false">HYPERLINK("https://macaulaylibrary.org/asset/648568567","Open")</f>
        <v>Open</v>
      </c>
      <c r="V468" s="19"/>
    </row>
    <row r="469" customFormat="false" ht="15" hidden="false" customHeight="false" outlineLevel="0" collapsed="false">
      <c r="A469" s="19" t="s">
        <v>2453</v>
      </c>
      <c r="B469" s="19" t="s">
        <v>943</v>
      </c>
      <c r="C469" s="19" t="s">
        <v>944</v>
      </c>
      <c r="D469" s="19" t="s">
        <v>148</v>
      </c>
      <c r="E469" s="19" t="s">
        <v>147</v>
      </c>
      <c r="F469" s="19" t="s">
        <v>165</v>
      </c>
      <c r="G469" s="19" t="n">
        <v>50</v>
      </c>
      <c r="H469" s="19" t="s">
        <v>166</v>
      </c>
      <c r="I469" s="20" t="n">
        <v>17.835</v>
      </c>
      <c r="J469" s="19" t="n">
        <f aca="false">IF(I469="","",MIN(Overview!$B$8,MAX(1,CEILING(I469/Overview!$B$7,1))))</f>
        <v>4</v>
      </c>
      <c r="K469" s="19" t="n">
        <v>1</v>
      </c>
      <c r="L469" s="19"/>
      <c r="M469" s="20"/>
      <c r="N469" s="19"/>
      <c r="O469" s="19"/>
      <c r="P469" s="19" t="s">
        <v>1198</v>
      </c>
      <c r="Q469" s="19" t="s">
        <v>1199</v>
      </c>
      <c r="R469" s="21" t="n">
        <v>46028</v>
      </c>
      <c r="S469" s="19" t="s">
        <v>1200</v>
      </c>
      <c r="T469" s="19" t="s">
        <v>2454</v>
      </c>
      <c r="U469" s="19" t="str">
        <f aca="false">HYPERLINK("https://macaulaylibrary.org/asset/648568678","Open")</f>
        <v>Open</v>
      </c>
      <c r="V469" s="19"/>
    </row>
    <row r="470" customFormat="false" ht="15" hidden="false" customHeight="false" outlineLevel="0" collapsed="false">
      <c r="A470" s="19" t="s">
        <v>2455</v>
      </c>
      <c r="B470" s="19" t="s">
        <v>943</v>
      </c>
      <c r="C470" s="19" t="s">
        <v>944</v>
      </c>
      <c r="D470" s="19" t="s">
        <v>148</v>
      </c>
      <c r="E470" s="19" t="s">
        <v>147</v>
      </c>
      <c r="F470" s="19" t="s">
        <v>277</v>
      </c>
      <c r="G470" s="19" t="n">
        <v>51</v>
      </c>
      <c r="H470" s="19" t="s">
        <v>278</v>
      </c>
      <c r="I470" s="20" t="n">
        <v>11.84</v>
      </c>
      <c r="J470" s="19" t="n">
        <f aca="false">IF(I470="","",MIN(Overview!$B$8,MAX(1,CEILING(I470/Overview!$B$7,1))))</f>
        <v>3</v>
      </c>
      <c r="K470" s="19" t="n">
        <v>1</v>
      </c>
      <c r="L470" s="19"/>
      <c r="M470" s="20" t="n">
        <v>2.5</v>
      </c>
      <c r="N470" s="19"/>
      <c r="O470" s="19"/>
      <c r="P470" s="19" t="s">
        <v>1025</v>
      </c>
      <c r="Q470" s="19" t="s">
        <v>965</v>
      </c>
      <c r="R470" s="21" t="n">
        <v>43450</v>
      </c>
      <c r="S470" s="19" t="s">
        <v>1026</v>
      </c>
      <c r="T470" s="19" t="s">
        <v>2456</v>
      </c>
      <c r="U470" s="19" t="str">
        <f aca="false">HYPERLINK("https://macaulaylibrary.org/asset/129903341","Open")</f>
        <v>Open</v>
      </c>
      <c r="V470" s="19"/>
    </row>
    <row r="471" customFormat="false" ht="15" hidden="false" customHeight="false" outlineLevel="0" collapsed="false">
      <c r="A471" s="19" t="s">
        <v>2457</v>
      </c>
      <c r="B471" s="19" t="s">
        <v>943</v>
      </c>
      <c r="C471" s="19" t="s">
        <v>944</v>
      </c>
      <c r="D471" s="19" t="s">
        <v>148</v>
      </c>
      <c r="E471" s="19" t="s">
        <v>147</v>
      </c>
      <c r="F471" s="19" t="s">
        <v>277</v>
      </c>
      <c r="G471" s="19" t="n">
        <v>51</v>
      </c>
      <c r="H471" s="19" t="s">
        <v>278</v>
      </c>
      <c r="I471" s="20" t="n">
        <v>22.702</v>
      </c>
      <c r="J471" s="19" t="n">
        <f aca="false">IF(I471="","",MIN(Overview!$B$8,MAX(1,CEILING(I471/Overview!$B$7,1))))</f>
        <v>5</v>
      </c>
      <c r="K471" s="19" t="n">
        <v>1</v>
      </c>
      <c r="L471" s="19"/>
      <c r="M471" s="20" t="n">
        <v>3.5</v>
      </c>
      <c r="N471" s="19"/>
      <c r="O471" s="19"/>
      <c r="P471" s="19" t="s">
        <v>2054</v>
      </c>
      <c r="Q471" s="19" t="s">
        <v>2055</v>
      </c>
      <c r="R471" s="21" t="n">
        <v>43511</v>
      </c>
      <c r="S471" s="19" t="s">
        <v>2056</v>
      </c>
      <c r="T471" s="19" t="s">
        <v>2458</v>
      </c>
      <c r="U471" s="19" t="str">
        <f aca="false">HYPERLINK("https://macaulaylibrary.org/asset/169970601","Open")</f>
        <v>Open</v>
      </c>
      <c r="V471" s="19"/>
    </row>
    <row r="472" customFormat="false" ht="15" hidden="false" customHeight="false" outlineLevel="0" collapsed="false">
      <c r="A472" s="19" t="s">
        <v>2459</v>
      </c>
      <c r="B472" s="19" t="s">
        <v>943</v>
      </c>
      <c r="C472" s="19" t="s">
        <v>944</v>
      </c>
      <c r="D472" s="19" t="s">
        <v>148</v>
      </c>
      <c r="E472" s="19" t="s">
        <v>147</v>
      </c>
      <c r="F472" s="19" t="s">
        <v>277</v>
      </c>
      <c r="G472" s="19" t="n">
        <v>51</v>
      </c>
      <c r="H472" s="19" t="s">
        <v>278</v>
      </c>
      <c r="I472" s="20" t="n">
        <v>4.454</v>
      </c>
      <c r="J472" s="19" t="n">
        <f aca="false">IF(I472="","",MIN(Overview!$B$8,MAX(1,CEILING(I472/Overview!$B$7,1))))</f>
        <v>1</v>
      </c>
      <c r="K472" s="19" t="n">
        <v>1</v>
      </c>
      <c r="L472" s="19" t="s">
        <v>1048</v>
      </c>
      <c r="M472" s="20" t="n">
        <v>2</v>
      </c>
      <c r="N472" s="19"/>
      <c r="O472" s="19"/>
      <c r="P472" s="19" t="s">
        <v>974</v>
      </c>
      <c r="Q472" s="19" t="s">
        <v>975</v>
      </c>
      <c r="R472" s="21" t="n">
        <v>43666</v>
      </c>
      <c r="S472" s="19" t="s">
        <v>976</v>
      </c>
      <c r="T472" s="19" t="s">
        <v>2460</v>
      </c>
      <c r="U472" s="19" t="str">
        <f aca="false">HYPERLINK("https://macaulaylibrary.org/asset/179452611","Open")</f>
        <v>Open</v>
      </c>
      <c r="V472" s="19"/>
    </row>
    <row r="473" customFormat="false" ht="15" hidden="false" customHeight="false" outlineLevel="0" collapsed="false">
      <c r="A473" s="19" t="s">
        <v>2461</v>
      </c>
      <c r="B473" s="19" t="s">
        <v>943</v>
      </c>
      <c r="C473" s="19" t="s">
        <v>944</v>
      </c>
      <c r="D473" s="19" t="s">
        <v>148</v>
      </c>
      <c r="E473" s="19" t="s">
        <v>147</v>
      </c>
      <c r="F473" s="19" t="s">
        <v>277</v>
      </c>
      <c r="G473" s="19" t="n">
        <v>51</v>
      </c>
      <c r="H473" s="19" t="s">
        <v>278</v>
      </c>
      <c r="I473" s="20" t="n">
        <v>124.445</v>
      </c>
      <c r="J473" s="19" t="n">
        <f aca="false">IF(I473="","",MIN(Overview!$B$8,MAX(1,CEILING(I473/Overview!$B$7,1))))</f>
        <v>25</v>
      </c>
      <c r="K473" s="19" t="n">
        <v>1</v>
      </c>
      <c r="L473" s="19"/>
      <c r="M473" s="20" t="n">
        <v>2</v>
      </c>
      <c r="N473" s="19"/>
      <c r="O473" s="19" t="s">
        <v>2462</v>
      </c>
      <c r="P473" s="19" t="s">
        <v>2174</v>
      </c>
      <c r="Q473" s="19" t="s">
        <v>1218</v>
      </c>
      <c r="R473" s="21" t="n">
        <v>34784</v>
      </c>
      <c r="S473" s="19" t="s">
        <v>957</v>
      </c>
      <c r="T473" s="19" t="s">
        <v>2463</v>
      </c>
      <c r="U473" s="19" t="str">
        <f aca="false">HYPERLINK("https://macaulaylibrary.org/asset/184018","Open")</f>
        <v>Open</v>
      </c>
      <c r="V473" s="19"/>
    </row>
    <row r="474" customFormat="false" ht="15" hidden="false" customHeight="false" outlineLevel="0" collapsed="false">
      <c r="A474" s="19" t="s">
        <v>2464</v>
      </c>
      <c r="B474" s="19" t="s">
        <v>943</v>
      </c>
      <c r="C474" s="19" t="s">
        <v>944</v>
      </c>
      <c r="D474" s="19" t="s">
        <v>148</v>
      </c>
      <c r="E474" s="19" t="s">
        <v>147</v>
      </c>
      <c r="F474" s="19" t="s">
        <v>277</v>
      </c>
      <c r="G474" s="19" t="n">
        <v>51</v>
      </c>
      <c r="H474" s="19" t="s">
        <v>278</v>
      </c>
      <c r="I474" s="20" t="n">
        <v>25.28</v>
      </c>
      <c r="J474" s="19" t="n">
        <f aca="false">IF(I474="","",MIN(Overview!$B$8,MAX(1,CEILING(I474/Overview!$B$7,1))))</f>
        <v>6</v>
      </c>
      <c r="K474" s="19" t="n">
        <v>1</v>
      </c>
      <c r="L474" s="19"/>
      <c r="M474" s="20" t="n">
        <v>2.5</v>
      </c>
      <c r="N474" s="19"/>
      <c r="O474" s="19"/>
      <c r="P474" s="19" t="s">
        <v>2465</v>
      </c>
      <c r="Q474" s="19" t="s">
        <v>965</v>
      </c>
      <c r="R474" s="21" t="n">
        <v>43812</v>
      </c>
      <c r="S474" s="19" t="s">
        <v>2466</v>
      </c>
      <c r="T474" s="19" t="s">
        <v>2467</v>
      </c>
      <c r="U474" s="19" t="str">
        <f aca="false">HYPERLINK("https://macaulaylibrary.org/asset/193406661","Open")</f>
        <v>Open</v>
      </c>
      <c r="V474" s="19"/>
    </row>
    <row r="475" customFormat="false" ht="15" hidden="false" customHeight="false" outlineLevel="0" collapsed="false">
      <c r="A475" s="19" t="s">
        <v>2468</v>
      </c>
      <c r="B475" s="19" t="s">
        <v>943</v>
      </c>
      <c r="C475" s="19" t="s">
        <v>944</v>
      </c>
      <c r="D475" s="19" t="s">
        <v>148</v>
      </c>
      <c r="E475" s="19" t="s">
        <v>147</v>
      </c>
      <c r="F475" s="19" t="s">
        <v>277</v>
      </c>
      <c r="G475" s="19" t="n">
        <v>51</v>
      </c>
      <c r="H475" s="19" t="s">
        <v>278</v>
      </c>
      <c r="I475" s="20" t="n">
        <v>164.545</v>
      </c>
      <c r="J475" s="19" t="n">
        <f aca="false">IF(I475="","",MIN(Overview!$B$8,MAX(1,CEILING(I475/Overview!$B$7,1))))</f>
        <v>33</v>
      </c>
      <c r="K475" s="19" t="n">
        <v>1</v>
      </c>
      <c r="L475" s="19"/>
      <c r="M475" s="20" t="n">
        <v>2</v>
      </c>
      <c r="N475" s="19"/>
      <c r="O475" s="19" t="s">
        <v>206</v>
      </c>
      <c r="P475" s="19" t="s">
        <v>2177</v>
      </c>
      <c r="Q475" s="19" t="s">
        <v>980</v>
      </c>
      <c r="R475" s="21" t="n">
        <v>32554</v>
      </c>
      <c r="S475" s="19" t="s">
        <v>2469</v>
      </c>
      <c r="T475" s="19" t="s">
        <v>2470</v>
      </c>
      <c r="U475" s="19" t="str">
        <f aca="false">HYPERLINK("https://macaulaylibrary.org/asset/215338","Open")</f>
        <v>Open</v>
      </c>
      <c r="V475" s="19"/>
    </row>
    <row r="476" customFormat="false" ht="15" hidden="false" customHeight="false" outlineLevel="0" collapsed="false">
      <c r="A476" s="19" t="s">
        <v>2471</v>
      </c>
      <c r="B476" s="19" t="s">
        <v>943</v>
      </c>
      <c r="C476" s="19" t="s">
        <v>944</v>
      </c>
      <c r="D476" s="19" t="s">
        <v>148</v>
      </c>
      <c r="E476" s="19" t="s">
        <v>147</v>
      </c>
      <c r="F476" s="19" t="s">
        <v>277</v>
      </c>
      <c r="G476" s="19" t="n">
        <v>51</v>
      </c>
      <c r="H476" s="19" t="s">
        <v>278</v>
      </c>
      <c r="I476" s="20" t="n">
        <v>249.963</v>
      </c>
      <c r="J476" s="19" t="n">
        <f aca="false">IF(I476="","",MIN(Overview!$B$8,MAX(1,CEILING(I476/Overview!$B$7,1))))</f>
        <v>50</v>
      </c>
      <c r="K476" s="19" t="n">
        <v>1</v>
      </c>
      <c r="L476" s="19"/>
      <c r="M476" s="20" t="n">
        <v>2</v>
      </c>
      <c r="N476" s="19"/>
      <c r="O476" s="19"/>
      <c r="P476" s="19" t="s">
        <v>1549</v>
      </c>
      <c r="Q476" s="19" t="s">
        <v>980</v>
      </c>
      <c r="R476" s="21" t="n">
        <v>32559</v>
      </c>
      <c r="S476" s="19" t="s">
        <v>2181</v>
      </c>
      <c r="T476" s="19" t="s">
        <v>2472</v>
      </c>
      <c r="U476" s="19" t="str">
        <f aca="false">HYPERLINK("https://macaulaylibrary.org/asset/215438","Open")</f>
        <v>Open</v>
      </c>
      <c r="V476" s="19"/>
    </row>
    <row r="477" customFormat="false" ht="15" hidden="false" customHeight="false" outlineLevel="0" collapsed="false">
      <c r="A477" s="19" t="s">
        <v>2473</v>
      </c>
      <c r="B477" s="19" t="s">
        <v>943</v>
      </c>
      <c r="C477" s="19" t="s">
        <v>944</v>
      </c>
      <c r="D477" s="19" t="s">
        <v>148</v>
      </c>
      <c r="E477" s="19" t="s">
        <v>147</v>
      </c>
      <c r="F477" s="19" t="s">
        <v>277</v>
      </c>
      <c r="G477" s="19" t="n">
        <v>51</v>
      </c>
      <c r="H477" s="19" t="s">
        <v>278</v>
      </c>
      <c r="I477" s="20" t="n">
        <v>118.266</v>
      </c>
      <c r="J477" s="19" t="n">
        <f aca="false">IF(I477="","",MIN(Overview!$B$8,MAX(1,CEILING(I477/Overview!$B$7,1))))</f>
        <v>24</v>
      </c>
      <c r="K477" s="19" t="n">
        <v>1</v>
      </c>
      <c r="L477" s="19"/>
      <c r="M477" s="20" t="n">
        <v>2</v>
      </c>
      <c r="N477" s="19"/>
      <c r="O477" s="19"/>
      <c r="P477" s="19" t="s">
        <v>1135</v>
      </c>
      <c r="Q477" s="19" t="s">
        <v>1136</v>
      </c>
      <c r="R477" s="21" t="n">
        <v>29735</v>
      </c>
      <c r="S477" s="19" t="s">
        <v>1404</v>
      </c>
      <c r="T477" s="19" t="s">
        <v>2474</v>
      </c>
      <c r="U477" s="19" t="str">
        <f aca="false">HYPERLINK("https://macaulaylibrary.org/asset/28145","Open")</f>
        <v>Open</v>
      </c>
      <c r="V477" s="19"/>
    </row>
    <row r="478" customFormat="false" ht="15" hidden="false" customHeight="false" outlineLevel="0" collapsed="false">
      <c r="A478" s="19" t="s">
        <v>2475</v>
      </c>
      <c r="B478" s="19" t="s">
        <v>943</v>
      </c>
      <c r="C478" s="19" t="s">
        <v>944</v>
      </c>
      <c r="D478" s="19" t="s">
        <v>148</v>
      </c>
      <c r="E478" s="19" t="s">
        <v>147</v>
      </c>
      <c r="F478" s="19" t="s">
        <v>277</v>
      </c>
      <c r="G478" s="19" t="n">
        <v>51</v>
      </c>
      <c r="H478" s="19" t="s">
        <v>278</v>
      </c>
      <c r="I478" s="20" t="n">
        <v>13.384</v>
      </c>
      <c r="J478" s="19" t="n">
        <f aca="false">IF(I478="","",MIN(Overview!$B$8,MAX(1,CEILING(I478/Overview!$B$7,1))))</f>
        <v>3</v>
      </c>
      <c r="K478" s="19" t="n">
        <v>1</v>
      </c>
      <c r="L478" s="19"/>
      <c r="M478" s="20" t="n">
        <v>4</v>
      </c>
      <c r="N478" s="19"/>
      <c r="O478" s="19"/>
      <c r="P478" s="19" t="s">
        <v>1467</v>
      </c>
      <c r="Q478" s="19" t="s">
        <v>1258</v>
      </c>
      <c r="R478" s="21" t="n">
        <v>45230</v>
      </c>
      <c r="S478" s="19" t="s">
        <v>1306</v>
      </c>
      <c r="T478" s="19" t="s">
        <v>2476</v>
      </c>
      <c r="U478" s="19" t="str">
        <f aca="false">HYPERLINK("https://macaulaylibrary.org/asset/621760012","Open")</f>
        <v>Open</v>
      </c>
      <c r="V478" s="19"/>
    </row>
    <row r="479" customFormat="false" ht="15" hidden="false" customHeight="false" outlineLevel="0" collapsed="false">
      <c r="A479" s="19" t="s">
        <v>2477</v>
      </c>
      <c r="B479" s="19" t="s">
        <v>943</v>
      </c>
      <c r="C479" s="19" t="s">
        <v>944</v>
      </c>
      <c r="D479" s="19" t="s">
        <v>148</v>
      </c>
      <c r="E479" s="19" t="s">
        <v>147</v>
      </c>
      <c r="F479" s="19" t="s">
        <v>277</v>
      </c>
      <c r="G479" s="19" t="n">
        <v>51</v>
      </c>
      <c r="H479" s="19" t="s">
        <v>278</v>
      </c>
      <c r="I479" s="20" t="n">
        <v>19.031</v>
      </c>
      <c r="J479" s="19" t="n">
        <f aca="false">IF(I479="","",MIN(Overview!$B$8,MAX(1,CEILING(I479/Overview!$B$7,1))))</f>
        <v>4</v>
      </c>
      <c r="K479" s="19" t="n">
        <v>1</v>
      </c>
      <c r="L479" s="19"/>
      <c r="M479" s="20" t="n">
        <v>3.5</v>
      </c>
      <c r="N479" s="19"/>
      <c r="O479" s="19"/>
      <c r="P479" s="19" t="s">
        <v>1467</v>
      </c>
      <c r="Q479" s="19" t="s">
        <v>1258</v>
      </c>
      <c r="R479" s="21" t="n">
        <v>45230</v>
      </c>
      <c r="S479" s="19" t="s">
        <v>1306</v>
      </c>
      <c r="T479" s="19" t="s">
        <v>2478</v>
      </c>
      <c r="U479" s="19" t="str">
        <f aca="false">HYPERLINK("https://macaulaylibrary.org/asset/621760013","Open")</f>
        <v>Open</v>
      </c>
      <c r="V479" s="19"/>
    </row>
    <row r="480" customFormat="false" ht="15" hidden="false" customHeight="false" outlineLevel="0" collapsed="false">
      <c r="A480" s="19" t="s">
        <v>2479</v>
      </c>
      <c r="B480" s="19" t="s">
        <v>943</v>
      </c>
      <c r="C480" s="19" t="s">
        <v>944</v>
      </c>
      <c r="D480" s="19" t="s">
        <v>148</v>
      </c>
      <c r="E480" s="19" t="s">
        <v>147</v>
      </c>
      <c r="F480" s="19" t="s">
        <v>277</v>
      </c>
      <c r="G480" s="19" t="n">
        <v>51</v>
      </c>
      <c r="H480" s="19" t="s">
        <v>278</v>
      </c>
      <c r="I480" s="20" t="n">
        <v>204.084</v>
      </c>
      <c r="J480" s="19" t="n">
        <f aca="false">IF(I480="","",MIN(Overview!$B$8,MAX(1,CEILING(I480/Overview!$B$7,1))))</f>
        <v>41</v>
      </c>
      <c r="K480" s="19" t="n">
        <v>1</v>
      </c>
      <c r="L480" s="19"/>
      <c r="M480" s="20" t="n">
        <v>3.5</v>
      </c>
      <c r="N480" s="19"/>
      <c r="O480" s="19"/>
      <c r="P480" s="19" t="s">
        <v>1467</v>
      </c>
      <c r="Q480" s="19" t="s">
        <v>1258</v>
      </c>
      <c r="R480" s="21" t="n">
        <v>45230</v>
      </c>
      <c r="S480" s="19" t="s">
        <v>1306</v>
      </c>
      <c r="T480" s="19" t="s">
        <v>2480</v>
      </c>
      <c r="U480" s="19" t="str">
        <f aca="false">HYPERLINK("https://macaulaylibrary.org/asset/621760014","Open")</f>
        <v>Open</v>
      </c>
      <c r="V480" s="19"/>
    </row>
    <row r="481" customFormat="false" ht="15" hidden="false" customHeight="false" outlineLevel="0" collapsed="false">
      <c r="A481" s="19" t="s">
        <v>2481</v>
      </c>
      <c r="B481" s="19" t="s">
        <v>943</v>
      </c>
      <c r="C481" s="19" t="s">
        <v>944</v>
      </c>
      <c r="D481" s="19" t="s">
        <v>148</v>
      </c>
      <c r="E481" s="19" t="s">
        <v>147</v>
      </c>
      <c r="F481" s="19" t="s">
        <v>277</v>
      </c>
      <c r="G481" s="19" t="n">
        <v>51</v>
      </c>
      <c r="H481" s="19" t="s">
        <v>278</v>
      </c>
      <c r="I481" s="20" t="n">
        <v>2.985</v>
      </c>
      <c r="J481" s="19" t="n">
        <f aca="false">IF(I481="","",MIN(Overview!$B$8,MAX(1,CEILING(I481/Overview!$B$7,1))))</f>
        <v>1</v>
      </c>
      <c r="K481" s="19" t="n">
        <v>1</v>
      </c>
      <c r="L481" s="19" t="s">
        <v>1048</v>
      </c>
      <c r="M481" s="20" t="n">
        <v>3</v>
      </c>
      <c r="N481" s="19"/>
      <c r="O481" s="19"/>
      <c r="P481" s="19" t="s">
        <v>2482</v>
      </c>
      <c r="Q481" s="19" t="s">
        <v>2483</v>
      </c>
      <c r="R481" s="21" t="n">
        <v>45908</v>
      </c>
      <c r="S481" s="19" t="s">
        <v>1833</v>
      </c>
      <c r="T481" s="19" t="s">
        <v>2484</v>
      </c>
      <c r="U481" s="19" t="str">
        <f aca="false">HYPERLINK("https://macaulaylibrary.org/asset/641982392","Open")</f>
        <v>Open</v>
      </c>
      <c r="V481" s="19"/>
    </row>
    <row r="482" customFormat="false" ht="15" hidden="false" customHeight="false" outlineLevel="0" collapsed="false">
      <c r="A482" s="19" t="s">
        <v>2485</v>
      </c>
      <c r="B482" s="19" t="s">
        <v>943</v>
      </c>
      <c r="C482" s="19" t="s">
        <v>944</v>
      </c>
      <c r="D482" s="19" t="s">
        <v>148</v>
      </c>
      <c r="E482" s="19" t="s">
        <v>147</v>
      </c>
      <c r="F482" s="19" t="s">
        <v>277</v>
      </c>
      <c r="G482" s="19" t="n">
        <v>51</v>
      </c>
      <c r="H482" s="19" t="s">
        <v>278</v>
      </c>
      <c r="I482" s="20" t="n">
        <v>20.625</v>
      </c>
      <c r="J482" s="19" t="n">
        <f aca="false">IF(I482="","",MIN(Overview!$B$8,MAX(1,CEILING(I482/Overview!$B$7,1))))</f>
        <v>5</v>
      </c>
      <c r="K482" s="19" t="n">
        <v>1</v>
      </c>
      <c r="L482" s="19"/>
      <c r="M482" s="20" t="n">
        <v>3</v>
      </c>
      <c r="N482" s="19"/>
      <c r="O482" s="19" t="s">
        <v>2486</v>
      </c>
      <c r="P482" s="19" t="s">
        <v>1373</v>
      </c>
      <c r="Q482" s="19" t="s">
        <v>990</v>
      </c>
      <c r="R482" s="21" t="n">
        <v>46012</v>
      </c>
      <c r="S482" s="19" t="s">
        <v>1009</v>
      </c>
      <c r="T482" s="19" t="s">
        <v>2487</v>
      </c>
      <c r="U482" s="19" t="str">
        <f aca="false">HYPERLINK("https://macaulaylibrary.org/asset/647496729","Open")</f>
        <v>Open</v>
      </c>
      <c r="V482" s="19"/>
    </row>
    <row r="483" customFormat="false" ht="15" hidden="false" customHeight="false" outlineLevel="0" collapsed="false">
      <c r="A483" s="19" t="s">
        <v>2488</v>
      </c>
      <c r="B483" s="19" t="s">
        <v>943</v>
      </c>
      <c r="C483" s="19" t="s">
        <v>944</v>
      </c>
      <c r="D483" s="19" t="s">
        <v>148</v>
      </c>
      <c r="E483" s="19" t="s">
        <v>147</v>
      </c>
      <c r="F483" s="19" t="s">
        <v>277</v>
      </c>
      <c r="G483" s="19" t="n">
        <v>51</v>
      </c>
      <c r="H483" s="19" t="s">
        <v>278</v>
      </c>
      <c r="I483" s="20" t="n">
        <v>109.633</v>
      </c>
      <c r="J483" s="19" t="n">
        <f aca="false">IF(I483="","",MIN(Overview!$B$8,MAX(1,CEILING(I483/Overview!$B$7,1))))</f>
        <v>22</v>
      </c>
      <c r="K483" s="19" t="n">
        <v>1</v>
      </c>
      <c r="L483" s="19"/>
      <c r="M483" s="20"/>
      <c r="N483" s="19"/>
      <c r="O483" s="19"/>
      <c r="P483" s="19" t="s">
        <v>2489</v>
      </c>
      <c r="Q483" s="19" t="s">
        <v>2490</v>
      </c>
      <c r="R483" s="21" t="n">
        <v>46102</v>
      </c>
      <c r="S483" s="19" t="s">
        <v>2491</v>
      </c>
      <c r="T483" s="19" t="s">
        <v>2492</v>
      </c>
      <c r="U483" s="19" t="str">
        <f aca="false">HYPERLINK("https://macaulaylibrary.org/asset/653258716","Open")</f>
        <v>Open</v>
      </c>
      <c r="V483" s="19"/>
    </row>
    <row r="484" customFormat="false" ht="15" hidden="false" customHeight="false" outlineLevel="0" collapsed="false">
      <c r="A484" s="19" t="s">
        <v>2493</v>
      </c>
      <c r="B484" s="19" t="s">
        <v>943</v>
      </c>
      <c r="C484" s="19" t="s">
        <v>944</v>
      </c>
      <c r="D484" s="19" t="s">
        <v>148</v>
      </c>
      <c r="E484" s="19" t="s">
        <v>147</v>
      </c>
      <c r="F484" s="19" t="s">
        <v>277</v>
      </c>
      <c r="G484" s="19" t="n">
        <v>51</v>
      </c>
      <c r="H484" s="19" t="s">
        <v>278</v>
      </c>
      <c r="I484" s="20" t="n">
        <v>55.578</v>
      </c>
      <c r="J484" s="19" t="n">
        <f aca="false">IF(I484="","",MIN(Overview!$B$8,MAX(1,CEILING(I484/Overview!$B$7,1))))</f>
        <v>12</v>
      </c>
      <c r="K484" s="19" t="n">
        <v>1</v>
      </c>
      <c r="L484" s="19"/>
      <c r="M484" s="20"/>
      <c r="N484" s="19"/>
      <c r="O484" s="19" t="s">
        <v>151</v>
      </c>
      <c r="P484" s="19" t="s">
        <v>2494</v>
      </c>
      <c r="Q484" s="19" t="s">
        <v>1620</v>
      </c>
      <c r="R484" s="21" t="n">
        <v>46146</v>
      </c>
      <c r="S484" s="19" t="s">
        <v>1237</v>
      </c>
      <c r="T484" s="19" t="s">
        <v>2495</v>
      </c>
      <c r="U484" s="19" t="str">
        <f aca="false">HYPERLINK("https://macaulaylibrary.org/asset/662399124","Open")</f>
        <v>Open</v>
      </c>
      <c r="V484" s="19"/>
    </row>
    <row r="485" customFormat="false" ht="15" hidden="false" customHeight="false" outlineLevel="0" collapsed="false">
      <c r="A485" s="19" t="s">
        <v>2496</v>
      </c>
      <c r="B485" s="19" t="s">
        <v>943</v>
      </c>
      <c r="C485" s="19" t="s">
        <v>944</v>
      </c>
      <c r="D485" s="19" t="s">
        <v>148</v>
      </c>
      <c r="E485" s="19" t="s">
        <v>147</v>
      </c>
      <c r="F485" s="19" t="s">
        <v>353</v>
      </c>
      <c r="G485" s="19" t="n">
        <v>52</v>
      </c>
      <c r="H485" s="19" t="s">
        <v>354</v>
      </c>
      <c r="I485" s="20" t="n">
        <v>40.917</v>
      </c>
      <c r="J485" s="19" t="n">
        <f aca="false">IF(I485="","",MIN(Overview!$B$8,MAX(1,CEILING(I485/Overview!$B$7,1))))</f>
        <v>9</v>
      </c>
      <c r="K485" s="19" t="n">
        <v>1</v>
      </c>
      <c r="L485" s="19"/>
      <c r="M485" s="20" t="n">
        <v>2</v>
      </c>
      <c r="N485" s="19"/>
      <c r="O485" s="19"/>
      <c r="P485" s="19" t="s">
        <v>2465</v>
      </c>
      <c r="Q485" s="19" t="s">
        <v>965</v>
      </c>
      <c r="R485" s="21" t="n">
        <v>43812</v>
      </c>
      <c r="S485" s="19" t="s">
        <v>2466</v>
      </c>
      <c r="T485" s="19" t="s">
        <v>2497</v>
      </c>
      <c r="U485" s="19" t="str">
        <f aca="false">HYPERLINK("https://macaulaylibrary.org/asset/193405831","Open")</f>
        <v>Open</v>
      </c>
      <c r="V485" s="19"/>
    </row>
    <row r="486" customFormat="false" ht="15" hidden="false" customHeight="false" outlineLevel="0" collapsed="false">
      <c r="A486" s="19" t="s">
        <v>2498</v>
      </c>
      <c r="B486" s="19" t="s">
        <v>943</v>
      </c>
      <c r="C486" s="19" t="s">
        <v>944</v>
      </c>
      <c r="D486" s="19" t="s">
        <v>148</v>
      </c>
      <c r="E486" s="19" t="s">
        <v>147</v>
      </c>
      <c r="F486" s="19" t="s">
        <v>353</v>
      </c>
      <c r="G486" s="19" t="n">
        <v>52</v>
      </c>
      <c r="H486" s="19" t="s">
        <v>354</v>
      </c>
      <c r="I486" s="20" t="n">
        <v>43.895</v>
      </c>
      <c r="J486" s="19" t="n">
        <f aca="false">IF(I486="","",MIN(Overview!$B$8,MAX(1,CEILING(I486/Overview!$B$7,1))))</f>
        <v>9</v>
      </c>
      <c r="K486" s="19" t="n">
        <v>1</v>
      </c>
      <c r="L486" s="19"/>
      <c r="M486" s="20" t="n">
        <v>3</v>
      </c>
      <c r="N486" s="19"/>
      <c r="O486" s="19"/>
      <c r="P486" s="19" t="s">
        <v>2499</v>
      </c>
      <c r="Q486" s="19" t="s">
        <v>1063</v>
      </c>
      <c r="R486" s="21" t="n">
        <v>44087</v>
      </c>
      <c r="S486" s="19" t="s">
        <v>2500</v>
      </c>
      <c r="T486" s="19" t="s">
        <v>2501</v>
      </c>
      <c r="U486" s="19" t="str">
        <f aca="false">HYPERLINK("https://macaulaylibrary.org/asset/268165121","Open")</f>
        <v>Open</v>
      </c>
      <c r="V486" s="19"/>
    </row>
    <row r="487" customFormat="false" ht="15" hidden="false" customHeight="false" outlineLevel="0" collapsed="false">
      <c r="A487" s="19" t="s">
        <v>2502</v>
      </c>
      <c r="B487" s="19" t="s">
        <v>943</v>
      </c>
      <c r="C487" s="19" t="s">
        <v>944</v>
      </c>
      <c r="D487" s="19" t="s">
        <v>148</v>
      </c>
      <c r="E487" s="19" t="s">
        <v>147</v>
      </c>
      <c r="F487" s="19" t="s">
        <v>353</v>
      </c>
      <c r="G487" s="19" t="n">
        <v>52</v>
      </c>
      <c r="H487" s="19" t="s">
        <v>354</v>
      </c>
      <c r="I487" s="20" t="n">
        <v>16.688</v>
      </c>
      <c r="J487" s="19" t="n">
        <f aca="false">IF(I487="","",MIN(Overview!$B$8,MAX(1,CEILING(I487/Overview!$B$7,1))))</f>
        <v>4</v>
      </c>
      <c r="K487" s="19" t="n">
        <v>1</v>
      </c>
      <c r="L487" s="19"/>
      <c r="M487" s="20" t="n">
        <v>3</v>
      </c>
      <c r="N487" s="19"/>
      <c r="O487" s="19"/>
      <c r="P487" s="19" t="s">
        <v>1605</v>
      </c>
      <c r="Q487" s="19" t="s">
        <v>1040</v>
      </c>
      <c r="R487" s="21" t="n">
        <v>40902</v>
      </c>
      <c r="S487" s="19" t="s">
        <v>1002</v>
      </c>
      <c r="T487" s="19" t="s">
        <v>2503</v>
      </c>
      <c r="U487" s="19" t="str">
        <f aca="false">HYPERLINK("https://macaulaylibrary.org/asset/609056547","Open")</f>
        <v>Open</v>
      </c>
      <c r="V487" s="19"/>
    </row>
    <row r="488" customFormat="false" ht="15" hidden="false" customHeight="false" outlineLevel="0" collapsed="false">
      <c r="A488" s="19" t="s">
        <v>2504</v>
      </c>
      <c r="B488" s="19" t="s">
        <v>943</v>
      </c>
      <c r="C488" s="19" t="s">
        <v>944</v>
      </c>
      <c r="D488" s="19" t="s">
        <v>148</v>
      </c>
      <c r="E488" s="19" t="s">
        <v>147</v>
      </c>
      <c r="F488" s="19" t="s">
        <v>353</v>
      </c>
      <c r="G488" s="19" t="n">
        <v>52</v>
      </c>
      <c r="H488" s="19" t="s">
        <v>354</v>
      </c>
      <c r="I488" s="20" t="n">
        <v>3.607</v>
      </c>
      <c r="J488" s="19" t="n">
        <f aca="false">IF(I488="","",MIN(Overview!$B$8,MAX(1,CEILING(I488/Overview!$B$7,1))))</f>
        <v>1</v>
      </c>
      <c r="K488" s="19" t="n">
        <v>1</v>
      </c>
      <c r="L488" s="19" t="s">
        <v>1048</v>
      </c>
      <c r="M488" s="20" t="n">
        <v>4</v>
      </c>
      <c r="N488" s="19"/>
      <c r="O488" s="19"/>
      <c r="P488" s="19" t="s">
        <v>1257</v>
      </c>
      <c r="Q488" s="19" t="s">
        <v>1258</v>
      </c>
      <c r="R488" s="21" t="n">
        <v>45231</v>
      </c>
      <c r="S488" s="19" t="s">
        <v>1259</v>
      </c>
      <c r="T488" s="19" t="s">
        <v>2505</v>
      </c>
      <c r="U488" s="19" t="str">
        <f aca="false">HYPERLINK("https://macaulaylibrary.org/asset/621760229","Open")</f>
        <v>Open</v>
      </c>
      <c r="V488" s="19"/>
    </row>
    <row r="489" customFormat="false" ht="15" hidden="false" customHeight="false" outlineLevel="0" collapsed="false">
      <c r="A489" s="19" t="s">
        <v>2506</v>
      </c>
      <c r="B489" s="19" t="s">
        <v>943</v>
      </c>
      <c r="C489" s="19" t="s">
        <v>944</v>
      </c>
      <c r="D489" s="19" t="s">
        <v>148</v>
      </c>
      <c r="E489" s="19" t="s">
        <v>147</v>
      </c>
      <c r="F489" s="19" t="s">
        <v>353</v>
      </c>
      <c r="G489" s="19" t="n">
        <v>52</v>
      </c>
      <c r="H489" s="19" t="s">
        <v>354</v>
      </c>
      <c r="I489" s="20" t="n">
        <v>32.8</v>
      </c>
      <c r="J489" s="19" t="n">
        <f aca="false">IF(I489="","",MIN(Overview!$B$8,MAX(1,CEILING(I489/Overview!$B$7,1))))</f>
        <v>7</v>
      </c>
      <c r="K489" s="19" t="n">
        <v>1</v>
      </c>
      <c r="L489" s="19"/>
      <c r="M489" s="20" t="n">
        <v>2</v>
      </c>
      <c r="N489" s="19"/>
      <c r="O489" s="19"/>
      <c r="P489" s="19" t="s">
        <v>2507</v>
      </c>
      <c r="Q489" s="19" t="s">
        <v>965</v>
      </c>
      <c r="R489" s="21" t="n">
        <v>45640</v>
      </c>
      <c r="S489" s="19" t="s">
        <v>2065</v>
      </c>
      <c r="T489" s="19" t="s">
        <v>2508</v>
      </c>
      <c r="U489" s="19" t="str">
        <f aca="false">HYPERLINK("https://macaulaylibrary.org/asset/627957501","Open")</f>
        <v>Open</v>
      </c>
      <c r="V489" s="19"/>
    </row>
    <row r="490" customFormat="false" ht="15" hidden="false" customHeight="false" outlineLevel="0" collapsed="false">
      <c r="A490" s="19" t="s">
        <v>2509</v>
      </c>
      <c r="B490" s="19" t="s">
        <v>943</v>
      </c>
      <c r="C490" s="19" t="s">
        <v>944</v>
      </c>
      <c r="D490" s="19" t="s">
        <v>148</v>
      </c>
      <c r="E490" s="19" t="s">
        <v>147</v>
      </c>
      <c r="F490" s="19" t="s">
        <v>353</v>
      </c>
      <c r="G490" s="19" t="n">
        <v>52</v>
      </c>
      <c r="H490" s="19" t="s">
        <v>354</v>
      </c>
      <c r="I490" s="20" t="n">
        <v>35.84</v>
      </c>
      <c r="J490" s="19" t="n">
        <f aca="false">IF(I490="","",MIN(Overview!$B$8,MAX(1,CEILING(I490/Overview!$B$7,1))))</f>
        <v>8</v>
      </c>
      <c r="K490" s="19" t="n">
        <v>1</v>
      </c>
      <c r="L490" s="19"/>
      <c r="M490" s="20" t="n">
        <v>3</v>
      </c>
      <c r="N490" s="19"/>
      <c r="O490" s="19"/>
      <c r="P490" s="19" t="s">
        <v>2507</v>
      </c>
      <c r="Q490" s="19" t="s">
        <v>965</v>
      </c>
      <c r="R490" s="21" t="n">
        <v>45640</v>
      </c>
      <c r="S490" s="19" t="s">
        <v>2065</v>
      </c>
      <c r="T490" s="19" t="s">
        <v>2510</v>
      </c>
      <c r="U490" s="19" t="str">
        <f aca="false">HYPERLINK("https://macaulaylibrary.org/asset/627957502","Open")</f>
        <v>Open</v>
      </c>
      <c r="V490" s="19"/>
    </row>
    <row r="491" customFormat="false" ht="15" hidden="false" customHeight="false" outlineLevel="0" collapsed="false">
      <c r="A491" s="19" t="s">
        <v>2511</v>
      </c>
      <c r="B491" s="19" t="s">
        <v>943</v>
      </c>
      <c r="C491" s="19" t="s">
        <v>944</v>
      </c>
      <c r="D491" s="19" t="s">
        <v>148</v>
      </c>
      <c r="E491" s="19" t="s">
        <v>147</v>
      </c>
      <c r="F491" s="19" t="s">
        <v>353</v>
      </c>
      <c r="G491" s="19" t="n">
        <v>52</v>
      </c>
      <c r="H491" s="19" t="s">
        <v>354</v>
      </c>
      <c r="I491" s="20" t="n">
        <v>3.522</v>
      </c>
      <c r="J491" s="19" t="n">
        <f aca="false">IF(I491="","",MIN(Overview!$B$8,MAX(1,CEILING(I491/Overview!$B$7,1))))</f>
        <v>1</v>
      </c>
      <c r="K491" s="19" t="n">
        <v>1</v>
      </c>
      <c r="L491" s="19" t="s">
        <v>1048</v>
      </c>
      <c r="M491" s="20"/>
      <c r="N491" s="19"/>
      <c r="O491" s="19"/>
      <c r="P491" s="19" t="s">
        <v>2512</v>
      </c>
      <c r="Q491" s="19" t="s">
        <v>1473</v>
      </c>
      <c r="R491" s="21" t="n">
        <v>46036</v>
      </c>
      <c r="S491" s="19" t="s">
        <v>1423</v>
      </c>
      <c r="T491" s="19" t="s">
        <v>2513</v>
      </c>
      <c r="U491" s="19" t="str">
        <f aca="false">HYPERLINK("https://macaulaylibrary.org/asset/649900004","Open")</f>
        <v>Open</v>
      </c>
      <c r="V491" s="19"/>
    </row>
    <row r="492" customFormat="false" ht="15" hidden="false" customHeight="false" outlineLevel="0" collapsed="false">
      <c r="A492" s="19" t="s">
        <v>2514</v>
      </c>
      <c r="B492" s="19" t="s">
        <v>943</v>
      </c>
      <c r="C492" s="19" t="s">
        <v>944</v>
      </c>
      <c r="D492" s="19" t="s">
        <v>148</v>
      </c>
      <c r="E492" s="19" t="s">
        <v>147</v>
      </c>
      <c r="F492" s="19" t="s">
        <v>353</v>
      </c>
      <c r="G492" s="19" t="n">
        <v>52</v>
      </c>
      <c r="H492" s="19" t="s">
        <v>354</v>
      </c>
      <c r="I492" s="20" t="n">
        <v>22.383</v>
      </c>
      <c r="J492" s="19" t="n">
        <f aca="false">IF(I492="","",MIN(Overview!$B$8,MAX(1,CEILING(I492/Overview!$B$7,1))))</f>
        <v>5</v>
      </c>
      <c r="K492" s="19" t="n">
        <v>1</v>
      </c>
      <c r="L492" s="19"/>
      <c r="M492" s="20"/>
      <c r="N492" s="19"/>
      <c r="O492" s="19"/>
      <c r="P492" s="19" t="s">
        <v>2515</v>
      </c>
      <c r="Q492" s="19" t="s">
        <v>1382</v>
      </c>
      <c r="R492" s="21" t="n">
        <v>46105</v>
      </c>
      <c r="S492" s="19" t="s">
        <v>2516</v>
      </c>
      <c r="T492" s="19" t="s">
        <v>2517</v>
      </c>
      <c r="U492" s="19" t="str">
        <f aca="false">HYPERLINK("https://macaulaylibrary.org/asset/654746707","Open")</f>
        <v>Open</v>
      </c>
      <c r="V492" s="19"/>
    </row>
    <row r="493" customFormat="false" ht="15" hidden="false" customHeight="false" outlineLevel="0" collapsed="false">
      <c r="A493" s="19" t="s">
        <v>2518</v>
      </c>
      <c r="B493" s="19" t="s">
        <v>943</v>
      </c>
      <c r="C493" s="19" t="s">
        <v>944</v>
      </c>
      <c r="D493" s="19" t="s">
        <v>148</v>
      </c>
      <c r="E493" s="19" t="s">
        <v>147</v>
      </c>
      <c r="F493" s="19" t="s">
        <v>353</v>
      </c>
      <c r="G493" s="19" t="n">
        <v>52</v>
      </c>
      <c r="H493" s="19" t="s">
        <v>354</v>
      </c>
      <c r="I493" s="20" t="n">
        <v>51.477</v>
      </c>
      <c r="J493" s="19" t="n">
        <f aca="false">IF(I493="","",MIN(Overview!$B$8,MAX(1,CEILING(I493/Overview!$B$7,1))))</f>
        <v>11</v>
      </c>
      <c r="K493" s="19" t="n">
        <v>1</v>
      </c>
      <c r="L493" s="19"/>
      <c r="M493" s="20" t="n">
        <v>4</v>
      </c>
      <c r="N493" s="19"/>
      <c r="O493" s="19"/>
      <c r="P493" s="19" t="s">
        <v>2519</v>
      </c>
      <c r="Q493" s="19" t="s">
        <v>1236</v>
      </c>
      <c r="R493" s="21" t="n">
        <v>46192</v>
      </c>
      <c r="S493" s="19" t="s">
        <v>2520</v>
      </c>
      <c r="T493" s="19" t="s">
        <v>2521</v>
      </c>
      <c r="U493" s="19" t="str">
        <f aca="false">HYPERLINK("https://macaulaylibrary.org/asset/660493212","Open")</f>
        <v>Open</v>
      </c>
      <c r="V493" s="19"/>
    </row>
    <row r="494" customFormat="false" ht="15" hidden="false" customHeight="false" outlineLevel="0" collapsed="false">
      <c r="A494" s="19" t="s">
        <v>2522</v>
      </c>
      <c r="B494" s="19" t="s">
        <v>943</v>
      </c>
      <c r="C494" s="19" t="s">
        <v>944</v>
      </c>
      <c r="D494" s="19" t="s">
        <v>400</v>
      </c>
      <c r="E494" s="19" t="s">
        <v>147</v>
      </c>
      <c r="F494" s="19" t="s">
        <v>520</v>
      </c>
      <c r="G494" s="19" t="n">
        <v>53</v>
      </c>
      <c r="H494" s="19" t="s">
        <v>521</v>
      </c>
      <c r="I494" s="20" t="n">
        <v>38.545</v>
      </c>
      <c r="J494" s="19" t="n">
        <f aca="false">IF(I494="","",MIN(Overview!$B$8,MAX(1,CEILING(I494/Overview!$B$7,1))))</f>
        <v>8</v>
      </c>
      <c r="K494" s="19" t="n">
        <v>1</v>
      </c>
      <c r="L494" s="19"/>
      <c r="M494" s="20" t="n">
        <v>2</v>
      </c>
      <c r="N494" s="19"/>
      <c r="O494" s="19"/>
      <c r="P494" s="19" t="s">
        <v>2523</v>
      </c>
      <c r="Q494" s="19" t="s">
        <v>1592</v>
      </c>
      <c r="R494" s="21" t="n">
        <v>30405</v>
      </c>
      <c r="S494" s="19" t="s">
        <v>1002</v>
      </c>
      <c r="T494" s="19" t="s">
        <v>2524</v>
      </c>
      <c r="U494" s="19" t="str">
        <f aca="false">HYPERLINK("https://macaulaylibrary.org/asset/39234","Open")</f>
        <v>Open</v>
      </c>
      <c r="V494" s="19"/>
    </row>
    <row r="495" customFormat="false" ht="15" hidden="false" customHeight="false" outlineLevel="0" collapsed="false">
      <c r="A495" s="19" t="s">
        <v>2525</v>
      </c>
      <c r="B495" s="19" t="s">
        <v>943</v>
      </c>
      <c r="C495" s="19" t="s">
        <v>944</v>
      </c>
      <c r="D495" s="19" t="s">
        <v>400</v>
      </c>
      <c r="E495" s="19" t="s">
        <v>147</v>
      </c>
      <c r="F495" s="19" t="s">
        <v>520</v>
      </c>
      <c r="G495" s="19" t="n">
        <v>53</v>
      </c>
      <c r="H495" s="19" t="s">
        <v>521</v>
      </c>
      <c r="I495" s="20" t="n">
        <v>33.5</v>
      </c>
      <c r="J495" s="19" t="n">
        <f aca="false">IF(I495="","",MIN(Overview!$B$8,MAX(1,CEILING(I495/Overview!$B$7,1))))</f>
        <v>7</v>
      </c>
      <c r="K495" s="19" t="n">
        <v>1</v>
      </c>
      <c r="L495" s="19"/>
      <c r="M495" s="20" t="n">
        <v>2</v>
      </c>
      <c r="N495" s="19"/>
      <c r="O495" s="19"/>
      <c r="P495" s="19" t="s">
        <v>1545</v>
      </c>
      <c r="Q495" s="19" t="s">
        <v>1071</v>
      </c>
      <c r="R495" s="21" t="n">
        <v>32821</v>
      </c>
      <c r="S495" s="19" t="s">
        <v>2181</v>
      </c>
      <c r="T495" s="19" t="s">
        <v>2526</v>
      </c>
      <c r="U495" s="19" t="str">
        <f aca="false">HYPERLINK("https://macaulaylibrary.org/asset/51722","Open")</f>
        <v>Open</v>
      </c>
      <c r="V495" s="19"/>
    </row>
    <row r="496" customFormat="false" ht="15" hidden="false" customHeight="false" outlineLevel="0" collapsed="false">
      <c r="A496" s="19" t="s">
        <v>2527</v>
      </c>
      <c r="B496" s="19" t="s">
        <v>943</v>
      </c>
      <c r="C496" s="19" t="s">
        <v>944</v>
      </c>
      <c r="D496" s="19" t="s">
        <v>400</v>
      </c>
      <c r="E496" s="19" t="s">
        <v>147</v>
      </c>
      <c r="F496" s="19" t="s">
        <v>520</v>
      </c>
      <c r="G496" s="19" t="n">
        <v>53</v>
      </c>
      <c r="H496" s="19" t="s">
        <v>521</v>
      </c>
      <c r="I496" s="20" t="n">
        <v>10.53</v>
      </c>
      <c r="J496" s="19" t="n">
        <f aca="false">IF(I496="","",MIN(Overview!$B$8,MAX(1,CEILING(I496/Overview!$B$7,1))))</f>
        <v>3</v>
      </c>
      <c r="K496" s="19" t="n">
        <v>1</v>
      </c>
      <c r="L496" s="19"/>
      <c r="M496" s="20" t="n">
        <v>3</v>
      </c>
      <c r="N496" s="19"/>
      <c r="O496" s="19"/>
      <c r="P496" s="19" t="s">
        <v>2528</v>
      </c>
      <c r="Q496" s="19" t="s">
        <v>951</v>
      </c>
      <c r="R496" s="21" t="n">
        <v>45222</v>
      </c>
      <c r="S496" s="19" t="s">
        <v>2529</v>
      </c>
      <c r="T496" s="19" t="s">
        <v>2530</v>
      </c>
      <c r="U496" s="19" t="str">
        <f aca="false">HYPERLINK("https://macaulaylibrary.org/asset/610540419","Open")</f>
        <v>Open</v>
      </c>
      <c r="V496" s="19"/>
    </row>
    <row r="497" customFormat="false" ht="15" hidden="false" customHeight="false" outlineLevel="0" collapsed="false">
      <c r="A497" s="19" t="s">
        <v>2531</v>
      </c>
      <c r="B497" s="19" t="s">
        <v>943</v>
      </c>
      <c r="C497" s="19" t="s">
        <v>944</v>
      </c>
      <c r="D497" s="19" t="s">
        <v>400</v>
      </c>
      <c r="E497" s="19" t="s">
        <v>147</v>
      </c>
      <c r="F497" s="19" t="s">
        <v>520</v>
      </c>
      <c r="G497" s="19" t="n">
        <v>53</v>
      </c>
      <c r="H497" s="19" t="s">
        <v>521</v>
      </c>
      <c r="I497" s="20" t="n">
        <v>8.337</v>
      </c>
      <c r="J497" s="19" t="n">
        <f aca="false">IF(I497="","",MIN(Overview!$B$8,MAX(1,CEILING(I497/Overview!$B$7,1))))</f>
        <v>2</v>
      </c>
      <c r="K497" s="19" t="n">
        <v>1</v>
      </c>
      <c r="L497" s="19"/>
      <c r="M497" s="20" t="n">
        <v>2</v>
      </c>
      <c r="N497" s="19"/>
      <c r="O497" s="19"/>
      <c r="P497" s="19" t="s">
        <v>2532</v>
      </c>
      <c r="Q497" s="19" t="s">
        <v>1258</v>
      </c>
      <c r="R497" s="21" t="n">
        <v>45232</v>
      </c>
      <c r="S497" s="19" t="s">
        <v>2533</v>
      </c>
      <c r="T497" s="19" t="s">
        <v>2534</v>
      </c>
      <c r="U497" s="19" t="str">
        <f aca="false">HYPERLINK("https://macaulaylibrary.org/asset/621760355","Open")</f>
        <v>Open</v>
      </c>
      <c r="V497" s="19"/>
    </row>
    <row r="498" customFormat="false" ht="15" hidden="false" customHeight="false" outlineLevel="0" collapsed="false">
      <c r="A498" s="19" t="s">
        <v>2535</v>
      </c>
      <c r="B498" s="19" t="s">
        <v>943</v>
      </c>
      <c r="C498" s="19" t="s">
        <v>944</v>
      </c>
      <c r="D498" s="19" t="s">
        <v>400</v>
      </c>
      <c r="E498" s="19" t="s">
        <v>147</v>
      </c>
      <c r="F498" s="19" t="s">
        <v>520</v>
      </c>
      <c r="G498" s="19" t="n">
        <v>53</v>
      </c>
      <c r="H498" s="19" t="s">
        <v>521</v>
      </c>
      <c r="I498" s="20" t="n">
        <v>11.885</v>
      </c>
      <c r="J498" s="19" t="n">
        <f aca="false">IF(I498="","",MIN(Overview!$B$8,MAX(1,CEILING(I498/Overview!$B$7,1))))</f>
        <v>3</v>
      </c>
      <c r="K498" s="19" t="n">
        <v>1</v>
      </c>
      <c r="L498" s="19"/>
      <c r="M498" s="20" t="n">
        <v>3</v>
      </c>
      <c r="N498" s="19"/>
      <c r="O498" s="19" t="s">
        <v>289</v>
      </c>
      <c r="P498" s="19" t="s">
        <v>1631</v>
      </c>
      <c r="Q498" s="19" t="s">
        <v>990</v>
      </c>
      <c r="R498" s="21" t="n">
        <v>46012</v>
      </c>
      <c r="S498" s="19" t="s">
        <v>1632</v>
      </c>
      <c r="T498" s="19" t="s">
        <v>2536</v>
      </c>
      <c r="U498" s="19" t="str">
        <f aca="false">HYPERLINK("https://macaulaylibrary.org/asset/647565698","Open")</f>
        <v>Open</v>
      </c>
      <c r="V498" s="19"/>
    </row>
    <row r="499" customFormat="false" ht="15" hidden="false" customHeight="false" outlineLevel="0" collapsed="false">
      <c r="A499" s="19" t="s">
        <v>2537</v>
      </c>
      <c r="B499" s="19" t="s">
        <v>943</v>
      </c>
      <c r="C499" s="19" t="s">
        <v>944</v>
      </c>
      <c r="D499" s="19" t="s">
        <v>148</v>
      </c>
      <c r="E499" s="19" t="s">
        <v>147</v>
      </c>
      <c r="F499" s="19" t="s">
        <v>307</v>
      </c>
      <c r="G499" s="19" t="n">
        <v>54</v>
      </c>
      <c r="H499" s="19" t="s">
        <v>308</v>
      </c>
      <c r="I499" s="20" t="n">
        <v>398.746</v>
      </c>
      <c r="J499" s="19" t="n">
        <f aca="false">IF(I499="","",MIN(Overview!$B$8,MAX(1,CEILING(I499/Overview!$B$7,1))))</f>
        <v>80</v>
      </c>
      <c r="K499" s="19" t="n">
        <v>1</v>
      </c>
      <c r="L499" s="19"/>
      <c r="M499" s="20" t="n">
        <v>4.2</v>
      </c>
      <c r="N499" s="19"/>
      <c r="O499" s="19"/>
      <c r="P499" s="19" t="s">
        <v>2538</v>
      </c>
      <c r="Q499" s="19" t="s">
        <v>980</v>
      </c>
      <c r="R499" s="21" t="n">
        <v>35207</v>
      </c>
      <c r="S499" s="19" t="s">
        <v>2539</v>
      </c>
      <c r="T499" s="19" t="s">
        <v>2540</v>
      </c>
      <c r="U499" s="19" t="str">
        <f aca="false">HYPERLINK("https://macaulaylibrary.org/asset/184774","Open")</f>
        <v>Open</v>
      </c>
      <c r="V499" s="19"/>
    </row>
    <row r="500" customFormat="false" ht="15" hidden="false" customHeight="false" outlineLevel="0" collapsed="false">
      <c r="A500" s="19" t="s">
        <v>2541</v>
      </c>
      <c r="B500" s="19" t="s">
        <v>943</v>
      </c>
      <c r="C500" s="19" t="s">
        <v>944</v>
      </c>
      <c r="D500" s="19" t="s">
        <v>148</v>
      </c>
      <c r="E500" s="19" t="s">
        <v>147</v>
      </c>
      <c r="F500" s="19" t="s">
        <v>307</v>
      </c>
      <c r="G500" s="19" t="n">
        <v>54</v>
      </c>
      <c r="H500" s="19" t="s">
        <v>308</v>
      </c>
      <c r="I500" s="20" t="n">
        <v>29.15</v>
      </c>
      <c r="J500" s="19" t="n">
        <f aca="false">IF(I500="","",MIN(Overview!$B$8,MAX(1,CEILING(I500/Overview!$B$7,1))))</f>
        <v>6</v>
      </c>
      <c r="K500" s="19" t="n">
        <v>1</v>
      </c>
      <c r="L500" s="19"/>
      <c r="M500" s="20" t="n">
        <v>3.5</v>
      </c>
      <c r="N500" s="19"/>
      <c r="O500" s="19"/>
      <c r="P500" s="19" t="s">
        <v>2538</v>
      </c>
      <c r="Q500" s="19" t="s">
        <v>980</v>
      </c>
      <c r="R500" s="21" t="n">
        <v>35207</v>
      </c>
      <c r="S500" s="19" t="s">
        <v>2542</v>
      </c>
      <c r="T500" s="19" t="s">
        <v>2543</v>
      </c>
      <c r="U500" s="19" t="str">
        <f aca="false">HYPERLINK("https://macaulaylibrary.org/asset/184776","Open")</f>
        <v>Open</v>
      </c>
      <c r="V500" s="19"/>
    </row>
    <row r="501" customFormat="false" ht="15" hidden="false" customHeight="false" outlineLevel="0" collapsed="false">
      <c r="A501" s="19" t="s">
        <v>2544</v>
      </c>
      <c r="B501" s="19" t="s">
        <v>943</v>
      </c>
      <c r="C501" s="19" t="s">
        <v>944</v>
      </c>
      <c r="D501" s="19" t="s">
        <v>148</v>
      </c>
      <c r="E501" s="19" t="s">
        <v>147</v>
      </c>
      <c r="F501" s="19" t="s">
        <v>307</v>
      </c>
      <c r="G501" s="19" t="n">
        <v>54</v>
      </c>
      <c r="H501" s="19" t="s">
        <v>308</v>
      </c>
      <c r="I501" s="20" t="n">
        <v>219.422</v>
      </c>
      <c r="J501" s="19" t="n">
        <f aca="false">IF(I501="","",MIN(Overview!$B$8,MAX(1,CEILING(I501/Overview!$B$7,1))))</f>
        <v>44</v>
      </c>
      <c r="K501" s="19" t="n">
        <v>1</v>
      </c>
      <c r="L501" s="19"/>
      <c r="M501" s="20" t="n">
        <v>3</v>
      </c>
      <c r="N501" s="19"/>
      <c r="O501" s="19"/>
      <c r="P501" s="19" t="s">
        <v>979</v>
      </c>
      <c r="Q501" s="19" t="s">
        <v>980</v>
      </c>
      <c r="R501" s="21" t="n">
        <v>34122</v>
      </c>
      <c r="S501" s="19" t="s">
        <v>2545</v>
      </c>
      <c r="T501" s="19" t="s">
        <v>2546</v>
      </c>
      <c r="U501" s="19" t="str">
        <f aca="false">HYPERLINK("https://macaulaylibrary.org/asset/209451","Open")</f>
        <v>Open</v>
      </c>
      <c r="V501" s="19"/>
    </row>
    <row r="502" customFormat="false" ht="15" hidden="false" customHeight="false" outlineLevel="0" collapsed="false">
      <c r="A502" s="19" t="s">
        <v>2547</v>
      </c>
      <c r="B502" s="19" t="s">
        <v>943</v>
      </c>
      <c r="C502" s="19" t="s">
        <v>944</v>
      </c>
      <c r="D502" s="19" t="s">
        <v>148</v>
      </c>
      <c r="E502" s="19" t="s">
        <v>147</v>
      </c>
      <c r="F502" s="19" t="s">
        <v>307</v>
      </c>
      <c r="G502" s="19" t="n">
        <v>54</v>
      </c>
      <c r="H502" s="19" t="s">
        <v>308</v>
      </c>
      <c r="I502" s="20" t="n">
        <v>19.534</v>
      </c>
      <c r="J502" s="19" t="n">
        <f aca="false">IF(I502="","",MIN(Overview!$B$8,MAX(1,CEILING(I502/Overview!$B$7,1))))</f>
        <v>4</v>
      </c>
      <c r="K502" s="19" t="n">
        <v>1</v>
      </c>
      <c r="L502" s="19"/>
      <c r="M502" s="20" t="n">
        <v>2</v>
      </c>
      <c r="N502" s="19"/>
      <c r="O502" s="19"/>
      <c r="P502" s="19" t="s">
        <v>1029</v>
      </c>
      <c r="Q502" s="19" t="s">
        <v>1030</v>
      </c>
      <c r="R502" s="21" t="n">
        <v>40251</v>
      </c>
      <c r="S502" s="19" t="s">
        <v>1530</v>
      </c>
      <c r="T502" s="19" t="s">
        <v>2548</v>
      </c>
      <c r="U502" s="19" t="str">
        <f aca="false">HYPERLINK("https://macaulaylibrary.org/asset/299656","Open")</f>
        <v>Open</v>
      </c>
      <c r="V502" s="19"/>
    </row>
    <row r="503" customFormat="false" ht="15" hidden="false" customHeight="false" outlineLevel="0" collapsed="false">
      <c r="A503" s="19" t="s">
        <v>2549</v>
      </c>
      <c r="B503" s="19" t="s">
        <v>943</v>
      </c>
      <c r="C503" s="19" t="s">
        <v>944</v>
      </c>
      <c r="D503" s="19" t="s">
        <v>148</v>
      </c>
      <c r="E503" s="19" t="s">
        <v>147</v>
      </c>
      <c r="F503" s="19" t="s">
        <v>307</v>
      </c>
      <c r="G503" s="19" t="n">
        <v>54</v>
      </c>
      <c r="H503" s="19" t="s">
        <v>308</v>
      </c>
      <c r="I503" s="20" t="n">
        <v>20.528</v>
      </c>
      <c r="J503" s="19" t="n">
        <f aca="false">IF(I503="","",MIN(Overview!$B$8,MAX(1,CEILING(I503/Overview!$B$7,1))))</f>
        <v>5</v>
      </c>
      <c r="K503" s="19" t="n">
        <v>1</v>
      </c>
      <c r="L503" s="19"/>
      <c r="M503" s="20" t="n">
        <v>3.33</v>
      </c>
      <c r="N503" s="19"/>
      <c r="O503" s="19"/>
      <c r="P503" s="19" t="s">
        <v>1039</v>
      </c>
      <c r="Q503" s="19" t="s">
        <v>1040</v>
      </c>
      <c r="R503" s="21" t="n">
        <v>40901</v>
      </c>
      <c r="S503" s="19" t="s">
        <v>1002</v>
      </c>
      <c r="T503" s="19" t="s">
        <v>2550</v>
      </c>
      <c r="U503" s="19" t="str">
        <f aca="false">HYPERLINK("https://macaulaylibrary.org/asset/609056492","Open")</f>
        <v>Open</v>
      </c>
      <c r="V503" s="19"/>
    </row>
    <row r="504" customFormat="false" ht="15" hidden="false" customHeight="false" outlineLevel="0" collapsed="false">
      <c r="A504" s="19" t="s">
        <v>2551</v>
      </c>
      <c r="B504" s="19" t="s">
        <v>943</v>
      </c>
      <c r="C504" s="19" t="s">
        <v>944</v>
      </c>
      <c r="D504" s="19" t="s">
        <v>148</v>
      </c>
      <c r="E504" s="19" t="s">
        <v>147</v>
      </c>
      <c r="F504" s="19" t="s">
        <v>307</v>
      </c>
      <c r="G504" s="19" t="n">
        <v>54</v>
      </c>
      <c r="H504" s="19" t="s">
        <v>308</v>
      </c>
      <c r="I504" s="20" t="n">
        <v>13.514</v>
      </c>
      <c r="J504" s="19" t="n">
        <f aca="false">IF(I504="","",MIN(Overview!$B$8,MAX(1,CEILING(I504/Overview!$B$7,1))))</f>
        <v>3</v>
      </c>
      <c r="K504" s="19" t="n">
        <v>1</v>
      </c>
      <c r="L504" s="19"/>
      <c r="M504" s="20" t="n">
        <v>3.67</v>
      </c>
      <c r="N504" s="19"/>
      <c r="O504" s="19"/>
      <c r="P504" s="19" t="s">
        <v>2552</v>
      </c>
      <c r="Q504" s="19" t="s">
        <v>1319</v>
      </c>
      <c r="R504" s="21" t="n">
        <v>44679</v>
      </c>
      <c r="S504" s="19" t="s">
        <v>2553</v>
      </c>
      <c r="T504" s="19" t="s">
        <v>2554</v>
      </c>
      <c r="U504" s="19" t="str">
        <f aca="false">HYPERLINK("https://macaulaylibrary.org/asset/614213628","Open")</f>
        <v>Open</v>
      </c>
      <c r="V504" s="19"/>
    </row>
    <row r="505" customFormat="false" ht="15" hidden="false" customHeight="false" outlineLevel="0" collapsed="false">
      <c r="A505" s="19" t="s">
        <v>2555</v>
      </c>
      <c r="B505" s="19" t="s">
        <v>943</v>
      </c>
      <c r="C505" s="19" t="s">
        <v>944</v>
      </c>
      <c r="D505" s="19" t="s">
        <v>148</v>
      </c>
      <c r="E505" s="19" t="s">
        <v>147</v>
      </c>
      <c r="F505" s="19" t="s">
        <v>307</v>
      </c>
      <c r="G505" s="19" t="n">
        <v>54</v>
      </c>
      <c r="H505" s="19" t="s">
        <v>308</v>
      </c>
      <c r="I505" s="20" t="n">
        <v>21.643</v>
      </c>
      <c r="J505" s="19" t="n">
        <f aca="false">IF(I505="","",MIN(Overview!$B$8,MAX(1,CEILING(I505/Overview!$B$7,1))))</f>
        <v>5</v>
      </c>
      <c r="K505" s="19" t="n">
        <v>1</v>
      </c>
      <c r="L505" s="19"/>
      <c r="M505" s="20" t="n">
        <v>3</v>
      </c>
      <c r="N505" s="19"/>
      <c r="O505" s="19"/>
      <c r="P505" s="19" t="s">
        <v>2556</v>
      </c>
      <c r="Q505" s="19" t="s">
        <v>965</v>
      </c>
      <c r="R505" s="21" t="n">
        <v>45639</v>
      </c>
      <c r="S505" s="19" t="s">
        <v>2557</v>
      </c>
      <c r="T505" s="19" t="s">
        <v>2558</v>
      </c>
      <c r="U505" s="19" t="str">
        <f aca="false">HYPERLINK("https://macaulaylibrary.org/asset/627955432","Open")</f>
        <v>Open</v>
      </c>
      <c r="V505" s="19"/>
    </row>
    <row r="506" customFormat="false" ht="15" hidden="false" customHeight="false" outlineLevel="0" collapsed="false">
      <c r="A506" s="19" t="s">
        <v>2559</v>
      </c>
      <c r="B506" s="19" t="s">
        <v>943</v>
      </c>
      <c r="C506" s="19" t="s">
        <v>944</v>
      </c>
      <c r="D506" s="19" t="s">
        <v>148</v>
      </c>
      <c r="E506" s="19" t="s">
        <v>147</v>
      </c>
      <c r="F506" s="19" t="s">
        <v>307</v>
      </c>
      <c r="G506" s="19" t="n">
        <v>54</v>
      </c>
      <c r="H506" s="19" t="s">
        <v>308</v>
      </c>
      <c r="I506" s="20" t="n">
        <v>8.498</v>
      </c>
      <c r="J506" s="19" t="n">
        <f aca="false">IF(I506="","",MIN(Overview!$B$8,MAX(1,CEILING(I506/Overview!$B$7,1))))</f>
        <v>2</v>
      </c>
      <c r="K506" s="19" t="n">
        <v>1</v>
      </c>
      <c r="L506" s="19"/>
      <c r="M506" s="20"/>
      <c r="N506" s="19"/>
      <c r="O506" s="19"/>
      <c r="P506" s="19" t="s">
        <v>1235</v>
      </c>
      <c r="Q506" s="19" t="s">
        <v>1236</v>
      </c>
      <c r="R506" s="21" t="n">
        <v>46059</v>
      </c>
      <c r="S506" s="19" t="s">
        <v>1237</v>
      </c>
      <c r="T506" s="19" t="s">
        <v>2560</v>
      </c>
      <c r="U506" s="19" t="str">
        <f aca="false">HYPERLINK("https://macaulaylibrary.org/asset/654240020","Open")</f>
        <v>Open</v>
      </c>
      <c r="V506" s="19"/>
    </row>
    <row r="507" customFormat="false" ht="15" hidden="false" customHeight="false" outlineLevel="0" collapsed="false">
      <c r="A507" s="19" t="s">
        <v>2561</v>
      </c>
      <c r="B507" s="19" t="s">
        <v>943</v>
      </c>
      <c r="C507" s="19" t="s">
        <v>944</v>
      </c>
      <c r="D507" s="19" t="s">
        <v>148</v>
      </c>
      <c r="E507" s="19" t="s">
        <v>147</v>
      </c>
      <c r="F507" s="19" t="s">
        <v>307</v>
      </c>
      <c r="G507" s="19" t="n">
        <v>54</v>
      </c>
      <c r="H507" s="19" t="s">
        <v>308</v>
      </c>
      <c r="I507" s="20" t="n">
        <v>22.742</v>
      </c>
      <c r="J507" s="19" t="n">
        <f aca="false">IF(I507="","",MIN(Overview!$B$8,MAX(1,CEILING(I507/Overview!$B$7,1))))</f>
        <v>5</v>
      </c>
      <c r="K507" s="19" t="n">
        <v>1</v>
      </c>
      <c r="L507" s="19"/>
      <c r="M507" s="20"/>
      <c r="N507" s="19"/>
      <c r="O507" s="19"/>
      <c r="P507" s="19" t="s">
        <v>1386</v>
      </c>
      <c r="Q507" s="19" t="s">
        <v>1382</v>
      </c>
      <c r="R507" s="21" t="n">
        <v>46103</v>
      </c>
      <c r="S507" s="19" t="s">
        <v>1387</v>
      </c>
      <c r="T507" s="19" t="s">
        <v>2562</v>
      </c>
      <c r="U507" s="19" t="str">
        <f aca="false">HYPERLINK("https://macaulaylibrary.org/asset/654318165","Open")</f>
        <v>Open</v>
      </c>
      <c r="V507" s="19"/>
    </row>
    <row r="508" customFormat="false" ht="15" hidden="false" customHeight="false" outlineLevel="0" collapsed="false">
      <c r="A508" s="19" t="s">
        <v>2563</v>
      </c>
      <c r="B508" s="19" t="s">
        <v>943</v>
      </c>
      <c r="C508" s="19" t="s">
        <v>944</v>
      </c>
      <c r="D508" s="19" t="s">
        <v>148</v>
      </c>
      <c r="E508" s="19" t="s">
        <v>147</v>
      </c>
      <c r="F508" s="19" t="s">
        <v>307</v>
      </c>
      <c r="G508" s="19" t="n">
        <v>54</v>
      </c>
      <c r="H508" s="19" t="s">
        <v>308</v>
      </c>
      <c r="I508" s="20" t="n">
        <v>3.077</v>
      </c>
      <c r="J508" s="19" t="n">
        <f aca="false">IF(I508="","",MIN(Overview!$B$8,MAX(1,CEILING(I508/Overview!$B$7,1))))</f>
        <v>1</v>
      </c>
      <c r="K508" s="19" t="n">
        <v>1</v>
      </c>
      <c r="L508" s="19" t="s">
        <v>1048</v>
      </c>
      <c r="M508" s="20"/>
      <c r="N508" s="19"/>
      <c r="O508" s="19"/>
      <c r="P508" s="19" t="s">
        <v>2564</v>
      </c>
      <c r="Q508" s="19" t="s">
        <v>2565</v>
      </c>
      <c r="R508" s="21" t="n">
        <v>46105</v>
      </c>
      <c r="S508" s="19" t="s">
        <v>2566</v>
      </c>
      <c r="T508" s="19" t="s">
        <v>2567</v>
      </c>
      <c r="U508" s="19" t="str">
        <f aca="false">HYPERLINK("https://macaulaylibrary.org/asset/654515246","Open")</f>
        <v>Open</v>
      </c>
      <c r="V508" s="19"/>
    </row>
    <row r="509" customFormat="false" ht="15" hidden="false" customHeight="false" outlineLevel="0" collapsed="false">
      <c r="A509" s="19" t="s">
        <v>2568</v>
      </c>
      <c r="B509" s="19" t="s">
        <v>943</v>
      </c>
      <c r="C509" s="19" t="s">
        <v>944</v>
      </c>
      <c r="D509" s="19" t="s">
        <v>148</v>
      </c>
      <c r="E509" s="19" t="s">
        <v>147</v>
      </c>
      <c r="F509" s="19" t="s">
        <v>307</v>
      </c>
      <c r="G509" s="19" t="n">
        <v>54</v>
      </c>
      <c r="H509" s="19" t="s">
        <v>308</v>
      </c>
      <c r="I509" s="20" t="n">
        <v>3.959</v>
      </c>
      <c r="J509" s="19" t="n">
        <f aca="false">IF(I509="","",MIN(Overview!$B$8,MAX(1,CEILING(I509/Overview!$B$7,1))))</f>
        <v>1</v>
      </c>
      <c r="K509" s="19" t="n">
        <v>1</v>
      </c>
      <c r="L509" s="19" t="s">
        <v>1048</v>
      </c>
      <c r="M509" s="20" t="n">
        <v>3</v>
      </c>
      <c r="N509" s="19"/>
      <c r="O509" s="19" t="s">
        <v>178</v>
      </c>
      <c r="P509" s="19" t="s">
        <v>1049</v>
      </c>
      <c r="Q509" s="19" t="s">
        <v>1050</v>
      </c>
      <c r="R509" s="21" t="n">
        <v>43406</v>
      </c>
      <c r="S509" s="19" t="s">
        <v>1051</v>
      </c>
      <c r="T509" s="19" t="s">
        <v>2569</v>
      </c>
      <c r="U509" s="19" t="str">
        <f aca="false">HYPERLINK("https://macaulaylibrary.org/asset/662831494","Open")</f>
        <v>Open</v>
      </c>
      <c r="V509" s="19"/>
    </row>
    <row r="510" customFormat="false" ht="15" hidden="false" customHeight="false" outlineLevel="0" collapsed="false">
      <c r="A510" s="19" t="s">
        <v>2570</v>
      </c>
      <c r="B510" s="19" t="s">
        <v>1005</v>
      </c>
      <c r="C510" s="19" t="s">
        <v>944</v>
      </c>
      <c r="D510" s="19" t="s">
        <v>647</v>
      </c>
      <c r="E510" s="19" t="s">
        <v>147</v>
      </c>
      <c r="F510" s="19" t="s">
        <v>307</v>
      </c>
      <c r="G510" s="19" t="n">
        <v>54</v>
      </c>
      <c r="H510" s="19" t="s">
        <v>308</v>
      </c>
      <c r="I510" s="20" t="n">
        <v>33.888</v>
      </c>
      <c r="J510" s="19" t="n">
        <f aca="false">IF(I510="","",MIN(Overview!$B$8,MAX(1,CEILING(I510/Overview!$B$7,1))))</f>
        <v>7</v>
      </c>
      <c r="K510" s="19" t="n">
        <v>1</v>
      </c>
      <c r="L510" s="19"/>
      <c r="M510" s="20"/>
      <c r="N510" s="19" t="s">
        <v>1006</v>
      </c>
      <c r="O510" s="19"/>
      <c r="P510" s="19" t="s">
        <v>1007</v>
      </c>
      <c r="Q510" s="19" t="s">
        <v>1008</v>
      </c>
      <c r="R510" s="21" t="n">
        <v>42577</v>
      </c>
      <c r="S510" s="19" t="s">
        <v>1936</v>
      </c>
      <c r="T510" s="19" t="s">
        <v>2571</v>
      </c>
      <c r="U510" s="19" t="str">
        <f aca="false">HYPERLINK("https://xeno-canto.org/331390","Open")</f>
        <v>Open</v>
      </c>
      <c r="V510" s="19" t="s">
        <v>1011</v>
      </c>
    </row>
    <row r="511" customFormat="false" ht="15" hidden="false" customHeight="false" outlineLevel="0" collapsed="false">
      <c r="A511" s="19" t="s">
        <v>2572</v>
      </c>
      <c r="B511" s="19" t="s">
        <v>943</v>
      </c>
      <c r="C511" s="19" t="s">
        <v>944</v>
      </c>
      <c r="D511" s="19" t="s">
        <v>148</v>
      </c>
      <c r="E511" s="19" t="s">
        <v>147</v>
      </c>
      <c r="F511" s="19" t="s">
        <v>373</v>
      </c>
      <c r="G511" s="19" t="n">
        <v>55</v>
      </c>
      <c r="H511" s="19" t="s">
        <v>374</v>
      </c>
      <c r="I511" s="20" t="n">
        <v>5.354</v>
      </c>
      <c r="J511" s="19" t="n">
        <f aca="false">IF(I511="","",MIN(Overview!$B$8,MAX(1,CEILING(I511/Overview!$B$7,1))))</f>
        <v>2</v>
      </c>
      <c r="K511" s="19" t="n">
        <v>1</v>
      </c>
      <c r="L511" s="19"/>
      <c r="M511" s="20" t="n">
        <v>3</v>
      </c>
      <c r="N511" s="19"/>
      <c r="O511" s="19"/>
      <c r="P511" s="19" t="s">
        <v>1467</v>
      </c>
      <c r="Q511" s="19" t="s">
        <v>1258</v>
      </c>
      <c r="R511" s="21" t="n">
        <v>45230</v>
      </c>
      <c r="S511" s="19" t="s">
        <v>1306</v>
      </c>
      <c r="T511" s="19" t="s">
        <v>2573</v>
      </c>
      <c r="U511" s="19" t="str">
        <f aca="false">HYPERLINK("https://macaulaylibrary.org/asset/621759970","Open")</f>
        <v>Open</v>
      </c>
      <c r="V511" s="19"/>
    </row>
    <row r="512" customFormat="false" ht="15" hidden="false" customHeight="false" outlineLevel="0" collapsed="false">
      <c r="A512" s="19" t="s">
        <v>2574</v>
      </c>
      <c r="B512" s="19" t="s">
        <v>943</v>
      </c>
      <c r="C512" s="19" t="s">
        <v>944</v>
      </c>
      <c r="D512" s="19" t="s">
        <v>148</v>
      </c>
      <c r="E512" s="19" t="s">
        <v>147</v>
      </c>
      <c r="F512" s="19" t="s">
        <v>373</v>
      </c>
      <c r="G512" s="19" t="n">
        <v>55</v>
      </c>
      <c r="H512" s="19" t="s">
        <v>374</v>
      </c>
      <c r="I512" s="20" t="n">
        <v>7.292</v>
      </c>
      <c r="J512" s="19" t="n">
        <f aca="false">IF(I512="","",MIN(Overview!$B$8,MAX(1,CEILING(I512/Overview!$B$7,1))))</f>
        <v>2</v>
      </c>
      <c r="K512" s="19" t="n">
        <v>1</v>
      </c>
      <c r="L512" s="19"/>
      <c r="M512" s="20" t="n">
        <v>3</v>
      </c>
      <c r="N512" s="19"/>
      <c r="O512" s="19"/>
      <c r="P512" s="19" t="s">
        <v>1257</v>
      </c>
      <c r="Q512" s="19" t="s">
        <v>1258</v>
      </c>
      <c r="R512" s="21" t="n">
        <v>45231</v>
      </c>
      <c r="S512" s="19" t="s">
        <v>1259</v>
      </c>
      <c r="T512" s="19" t="s">
        <v>2575</v>
      </c>
      <c r="U512" s="19" t="str">
        <f aca="false">HYPERLINK("https://macaulaylibrary.org/asset/621760275","Open")</f>
        <v>Open</v>
      </c>
      <c r="V512" s="19"/>
    </row>
    <row r="513" customFormat="false" ht="15" hidden="false" customHeight="false" outlineLevel="0" collapsed="false">
      <c r="A513" s="19" t="s">
        <v>2576</v>
      </c>
      <c r="B513" s="19" t="s">
        <v>943</v>
      </c>
      <c r="C513" s="19" t="s">
        <v>944</v>
      </c>
      <c r="D513" s="19" t="s">
        <v>148</v>
      </c>
      <c r="E513" s="19" t="s">
        <v>147</v>
      </c>
      <c r="F513" s="19" t="s">
        <v>373</v>
      </c>
      <c r="G513" s="19" t="n">
        <v>55</v>
      </c>
      <c r="H513" s="19" t="s">
        <v>374</v>
      </c>
      <c r="I513" s="20" t="n">
        <v>10.341</v>
      </c>
      <c r="J513" s="19" t="n">
        <f aca="false">IF(I513="","",MIN(Overview!$B$8,MAX(1,CEILING(I513/Overview!$B$7,1))))</f>
        <v>3</v>
      </c>
      <c r="K513" s="19" t="n">
        <v>1</v>
      </c>
      <c r="L513" s="19"/>
      <c r="M513" s="20" t="n">
        <v>3</v>
      </c>
      <c r="N513" s="19"/>
      <c r="O513" s="19"/>
      <c r="P513" s="19" t="s">
        <v>964</v>
      </c>
      <c r="Q513" s="19" t="s">
        <v>965</v>
      </c>
      <c r="R513" s="21" t="n">
        <v>46011</v>
      </c>
      <c r="S513" s="19" t="s">
        <v>966</v>
      </c>
      <c r="T513" s="19" t="s">
        <v>2577</v>
      </c>
      <c r="U513" s="19" t="str">
        <f aca="false">HYPERLINK("https://macaulaylibrary.org/asset/647448221","Open")</f>
        <v>Open</v>
      </c>
      <c r="V513" s="19"/>
    </row>
    <row r="514" customFormat="false" ht="15" hidden="false" customHeight="false" outlineLevel="0" collapsed="false">
      <c r="A514" s="19" t="s">
        <v>2578</v>
      </c>
      <c r="B514" s="19" t="s">
        <v>943</v>
      </c>
      <c r="C514" s="19" t="s">
        <v>944</v>
      </c>
      <c r="D514" s="19" t="s">
        <v>148</v>
      </c>
      <c r="E514" s="19" t="s">
        <v>147</v>
      </c>
      <c r="F514" s="19" t="s">
        <v>373</v>
      </c>
      <c r="G514" s="19" t="n">
        <v>55</v>
      </c>
      <c r="H514" s="19" t="s">
        <v>374</v>
      </c>
      <c r="I514" s="20" t="n">
        <v>29.737</v>
      </c>
      <c r="J514" s="19" t="n">
        <f aca="false">IF(I514="","",MIN(Overview!$B$8,MAX(1,CEILING(I514/Overview!$B$7,1))))</f>
        <v>6</v>
      </c>
      <c r="K514" s="19" t="n">
        <v>1</v>
      </c>
      <c r="L514" s="19"/>
      <c r="M514" s="20" t="n">
        <v>4</v>
      </c>
      <c r="N514" s="19"/>
      <c r="O514" s="19" t="s">
        <v>289</v>
      </c>
      <c r="P514" s="19" t="s">
        <v>1373</v>
      </c>
      <c r="Q514" s="19" t="s">
        <v>990</v>
      </c>
      <c r="R514" s="21" t="n">
        <v>46012</v>
      </c>
      <c r="S514" s="19" t="s">
        <v>1009</v>
      </c>
      <c r="T514" s="19" t="s">
        <v>2579</v>
      </c>
      <c r="U514" s="19" t="str">
        <f aca="false">HYPERLINK("https://macaulaylibrary.org/asset/647496788","Open")</f>
        <v>Open</v>
      </c>
      <c r="V514" s="19"/>
    </row>
    <row r="515" customFormat="false" ht="15" hidden="false" customHeight="false" outlineLevel="0" collapsed="false">
      <c r="A515" s="19" t="s">
        <v>2580</v>
      </c>
      <c r="B515" s="19" t="s">
        <v>943</v>
      </c>
      <c r="C515" s="19" t="s">
        <v>944</v>
      </c>
      <c r="D515" s="19" t="s">
        <v>148</v>
      </c>
      <c r="E515" s="19" t="s">
        <v>147</v>
      </c>
      <c r="F515" s="19" t="s">
        <v>373</v>
      </c>
      <c r="G515" s="19" t="n">
        <v>55</v>
      </c>
      <c r="H515" s="19" t="s">
        <v>374</v>
      </c>
      <c r="I515" s="20" t="n">
        <v>25.226</v>
      </c>
      <c r="J515" s="19" t="n">
        <f aca="false">IF(I515="","",MIN(Overview!$B$8,MAX(1,CEILING(I515/Overview!$B$7,1))))</f>
        <v>6</v>
      </c>
      <c r="K515" s="19" t="n">
        <v>1</v>
      </c>
      <c r="L515" s="19"/>
      <c r="M515" s="20" t="n">
        <v>4</v>
      </c>
      <c r="N515" s="19"/>
      <c r="O515" s="19" t="s">
        <v>2581</v>
      </c>
      <c r="P515" s="19" t="s">
        <v>1373</v>
      </c>
      <c r="Q515" s="19" t="s">
        <v>990</v>
      </c>
      <c r="R515" s="21" t="n">
        <v>46012</v>
      </c>
      <c r="S515" s="19" t="s">
        <v>1009</v>
      </c>
      <c r="T515" s="19" t="s">
        <v>2582</v>
      </c>
      <c r="U515" s="19" t="str">
        <f aca="false">HYPERLINK("https://macaulaylibrary.org/asset/647496829","Open")</f>
        <v>Open</v>
      </c>
      <c r="V515" s="19"/>
    </row>
    <row r="516" customFormat="false" ht="15" hidden="false" customHeight="false" outlineLevel="0" collapsed="false">
      <c r="A516" s="19" t="s">
        <v>2583</v>
      </c>
      <c r="B516" s="19" t="s">
        <v>943</v>
      </c>
      <c r="C516" s="19" t="s">
        <v>944</v>
      </c>
      <c r="D516" s="19" t="s">
        <v>148</v>
      </c>
      <c r="E516" s="19" t="s">
        <v>147</v>
      </c>
      <c r="F516" s="19" t="s">
        <v>373</v>
      </c>
      <c r="G516" s="19" t="n">
        <v>55</v>
      </c>
      <c r="H516" s="19" t="s">
        <v>374</v>
      </c>
      <c r="I516" s="20" t="n">
        <v>33.579</v>
      </c>
      <c r="J516" s="19" t="n">
        <f aca="false">IF(I516="","",MIN(Overview!$B$8,MAX(1,CEILING(I516/Overview!$B$7,1))))</f>
        <v>7</v>
      </c>
      <c r="K516" s="19" t="n">
        <v>1</v>
      </c>
      <c r="L516" s="19"/>
      <c r="M516" s="20" t="n">
        <v>4</v>
      </c>
      <c r="N516" s="19"/>
      <c r="O516" s="19" t="s">
        <v>2584</v>
      </c>
      <c r="P516" s="19" t="s">
        <v>1373</v>
      </c>
      <c r="Q516" s="19" t="s">
        <v>990</v>
      </c>
      <c r="R516" s="21" t="n">
        <v>46012</v>
      </c>
      <c r="S516" s="19" t="s">
        <v>1009</v>
      </c>
      <c r="T516" s="19" t="s">
        <v>2585</v>
      </c>
      <c r="U516" s="19" t="str">
        <f aca="false">HYPERLINK("https://macaulaylibrary.org/asset/647496897","Open")</f>
        <v>Open</v>
      </c>
      <c r="V516" s="19"/>
    </row>
    <row r="517" customFormat="false" ht="15" hidden="false" customHeight="false" outlineLevel="0" collapsed="false">
      <c r="A517" s="19" t="s">
        <v>2586</v>
      </c>
      <c r="B517" s="19" t="s">
        <v>943</v>
      </c>
      <c r="C517" s="19" t="s">
        <v>944</v>
      </c>
      <c r="D517" s="19" t="s">
        <v>148</v>
      </c>
      <c r="E517" s="19" t="s">
        <v>147</v>
      </c>
      <c r="F517" s="19" t="s">
        <v>373</v>
      </c>
      <c r="G517" s="19" t="n">
        <v>55</v>
      </c>
      <c r="H517" s="19" t="s">
        <v>374</v>
      </c>
      <c r="I517" s="20" t="n">
        <v>2.445</v>
      </c>
      <c r="J517" s="19" t="n">
        <f aca="false">IF(I517="","",MIN(Overview!$B$8,MAX(1,CEILING(I517/Overview!$B$7,1))))</f>
        <v>1</v>
      </c>
      <c r="K517" s="19" t="n">
        <v>1</v>
      </c>
      <c r="L517" s="19" t="s">
        <v>1048</v>
      </c>
      <c r="M517" s="20" t="n">
        <v>1</v>
      </c>
      <c r="N517" s="19"/>
      <c r="O517" s="19"/>
      <c r="P517" s="19" t="s">
        <v>2587</v>
      </c>
      <c r="Q517" s="19" t="s">
        <v>1236</v>
      </c>
      <c r="R517" s="21" t="n">
        <v>46074</v>
      </c>
      <c r="S517" s="19" t="s">
        <v>1299</v>
      </c>
      <c r="T517" s="19" t="s">
        <v>2588</v>
      </c>
      <c r="U517" s="19" t="str">
        <f aca="false">HYPERLINK("https://macaulaylibrary.org/asset/654240196","Open")</f>
        <v>Open</v>
      </c>
      <c r="V517" s="19"/>
    </row>
    <row r="518" customFormat="false" ht="15" hidden="false" customHeight="false" outlineLevel="0" collapsed="false">
      <c r="A518" s="19" t="s">
        <v>2589</v>
      </c>
      <c r="B518" s="19" t="s">
        <v>943</v>
      </c>
      <c r="C518" s="19" t="s">
        <v>944</v>
      </c>
      <c r="D518" s="19" t="s">
        <v>148</v>
      </c>
      <c r="E518" s="19" t="s">
        <v>147</v>
      </c>
      <c r="F518" s="19" t="s">
        <v>373</v>
      </c>
      <c r="G518" s="19" t="n">
        <v>55</v>
      </c>
      <c r="H518" s="19" t="s">
        <v>374</v>
      </c>
      <c r="I518" s="20" t="n">
        <v>1.595</v>
      </c>
      <c r="J518" s="19" t="n">
        <f aca="false">IF(I518="","",MIN(Overview!$B$8,MAX(1,CEILING(I518/Overview!$B$7,1))))</f>
        <v>1</v>
      </c>
      <c r="K518" s="19" t="n">
        <v>1</v>
      </c>
      <c r="L518" s="19" t="s">
        <v>1048</v>
      </c>
      <c r="M518" s="20" t="n">
        <v>2</v>
      </c>
      <c r="N518" s="19"/>
      <c r="O518" s="19"/>
      <c r="P518" s="19" t="s">
        <v>2229</v>
      </c>
      <c r="Q518" s="19" t="s">
        <v>1397</v>
      </c>
      <c r="R518" s="21" t="n">
        <v>46218</v>
      </c>
      <c r="S518" s="19" t="s">
        <v>1353</v>
      </c>
      <c r="T518" s="19" t="s">
        <v>2590</v>
      </c>
      <c r="U518" s="19" t="str">
        <f aca="false">HYPERLINK("https://macaulaylibrary.org/asset/661712317","Open")</f>
        <v>Open</v>
      </c>
      <c r="V518" s="19"/>
    </row>
    <row r="519" customFormat="false" ht="15" hidden="false" customHeight="false" outlineLevel="0" collapsed="false">
      <c r="A519" s="19" t="s">
        <v>2591</v>
      </c>
      <c r="B519" s="19" t="s">
        <v>943</v>
      </c>
      <c r="C519" s="19" t="s">
        <v>944</v>
      </c>
      <c r="D519" s="19" t="s">
        <v>400</v>
      </c>
      <c r="E519" s="19" t="s">
        <v>147</v>
      </c>
      <c r="F519" s="19" t="s">
        <v>523</v>
      </c>
      <c r="G519" s="19" t="n">
        <v>56</v>
      </c>
      <c r="H519" s="19" t="s">
        <v>524</v>
      </c>
      <c r="I519" s="20" t="n">
        <v>64.226</v>
      </c>
      <c r="J519" s="19" t="n">
        <f aca="false">IF(I519="","",MIN(Overview!$B$8,MAX(1,CEILING(I519/Overview!$B$7,1))))</f>
        <v>13</v>
      </c>
      <c r="K519" s="19" t="n">
        <v>1</v>
      </c>
      <c r="L519" s="19"/>
      <c r="M519" s="20" t="n">
        <v>4</v>
      </c>
      <c r="N519" s="19"/>
      <c r="O519" s="19"/>
      <c r="P519" s="19" t="s">
        <v>1664</v>
      </c>
      <c r="Q519" s="19" t="s">
        <v>1021</v>
      </c>
      <c r="R519" s="21" t="n">
        <v>35866</v>
      </c>
      <c r="S519" s="19" t="s">
        <v>1279</v>
      </c>
      <c r="T519" s="19" t="s">
        <v>2592</v>
      </c>
      <c r="U519" s="19" t="str">
        <f aca="false">HYPERLINK("https://macaulaylibrary.org/asset/102589191","Open")</f>
        <v>Open</v>
      </c>
      <c r="V519" s="19"/>
    </row>
    <row r="520" customFormat="false" ht="15" hidden="false" customHeight="false" outlineLevel="0" collapsed="false">
      <c r="A520" s="19" t="s">
        <v>2593</v>
      </c>
      <c r="B520" s="19" t="s">
        <v>943</v>
      </c>
      <c r="C520" s="19" t="s">
        <v>944</v>
      </c>
      <c r="D520" s="19" t="s">
        <v>400</v>
      </c>
      <c r="E520" s="19" t="s">
        <v>147</v>
      </c>
      <c r="F520" s="19" t="s">
        <v>523</v>
      </c>
      <c r="G520" s="19" t="n">
        <v>56</v>
      </c>
      <c r="H520" s="19" t="s">
        <v>524</v>
      </c>
      <c r="I520" s="20" t="n">
        <v>78.676</v>
      </c>
      <c r="J520" s="19" t="n">
        <f aca="false">IF(I520="","",MIN(Overview!$B$8,MAX(1,CEILING(I520/Overview!$B$7,1))))</f>
        <v>16</v>
      </c>
      <c r="K520" s="19" t="n">
        <v>1</v>
      </c>
      <c r="L520" s="19"/>
      <c r="M520" s="20" t="n">
        <v>3.5</v>
      </c>
      <c r="N520" s="19"/>
      <c r="O520" s="19"/>
      <c r="P520" s="19" t="s">
        <v>1669</v>
      </c>
      <c r="Q520" s="19" t="s">
        <v>1021</v>
      </c>
      <c r="R520" s="21" t="n">
        <v>36600</v>
      </c>
      <c r="S520" s="19" t="s">
        <v>1036</v>
      </c>
      <c r="T520" s="19" t="s">
        <v>2594</v>
      </c>
      <c r="U520" s="19" t="str">
        <f aca="false">HYPERLINK("https://macaulaylibrary.org/asset/151643141","Open")</f>
        <v>Open</v>
      </c>
      <c r="V520" s="19"/>
    </row>
    <row r="521" customFormat="false" ht="15" hidden="false" customHeight="false" outlineLevel="0" collapsed="false">
      <c r="A521" s="19" t="s">
        <v>2595</v>
      </c>
      <c r="B521" s="19" t="s">
        <v>943</v>
      </c>
      <c r="C521" s="19" t="s">
        <v>944</v>
      </c>
      <c r="D521" s="19" t="s">
        <v>400</v>
      </c>
      <c r="E521" s="19" t="s">
        <v>147</v>
      </c>
      <c r="F521" s="19" t="s">
        <v>523</v>
      </c>
      <c r="G521" s="19" t="n">
        <v>56</v>
      </c>
      <c r="H521" s="19" t="s">
        <v>524</v>
      </c>
      <c r="I521" s="20" t="n">
        <v>54.318</v>
      </c>
      <c r="J521" s="19" t="n">
        <f aca="false">IF(I521="","",MIN(Overview!$B$8,MAX(1,CEILING(I521/Overview!$B$7,1))))</f>
        <v>11</v>
      </c>
      <c r="K521" s="19" t="n">
        <v>1</v>
      </c>
      <c r="L521" s="19"/>
      <c r="M521" s="20" t="n">
        <v>3.33</v>
      </c>
      <c r="N521" s="19"/>
      <c r="O521" s="19"/>
      <c r="P521" s="19" t="s">
        <v>1703</v>
      </c>
      <c r="Q521" s="19" t="s">
        <v>1021</v>
      </c>
      <c r="R521" s="21" t="n">
        <v>36601</v>
      </c>
      <c r="S521" s="19" t="s">
        <v>1036</v>
      </c>
      <c r="T521" s="19" t="s">
        <v>2596</v>
      </c>
      <c r="U521" s="19" t="str">
        <f aca="false">HYPERLINK("https://macaulaylibrary.org/asset/152036951","Open")</f>
        <v>Open</v>
      </c>
      <c r="V521" s="19"/>
    </row>
    <row r="522" customFormat="false" ht="15" hidden="false" customHeight="false" outlineLevel="0" collapsed="false">
      <c r="A522" s="19" t="s">
        <v>2597</v>
      </c>
      <c r="B522" s="19" t="s">
        <v>943</v>
      </c>
      <c r="C522" s="19" t="s">
        <v>944</v>
      </c>
      <c r="D522" s="19" t="s">
        <v>400</v>
      </c>
      <c r="E522" s="19" t="s">
        <v>147</v>
      </c>
      <c r="F522" s="19" t="s">
        <v>523</v>
      </c>
      <c r="G522" s="19" t="n">
        <v>56</v>
      </c>
      <c r="H522" s="19" t="s">
        <v>524</v>
      </c>
      <c r="I522" s="20" t="n">
        <v>102.376</v>
      </c>
      <c r="J522" s="19" t="n">
        <f aca="false">IF(I522="","",MIN(Overview!$B$8,MAX(1,CEILING(I522/Overview!$B$7,1))))</f>
        <v>21</v>
      </c>
      <c r="K522" s="19" t="n">
        <v>1</v>
      </c>
      <c r="L522" s="19"/>
      <c r="M522" s="20" t="n">
        <v>4</v>
      </c>
      <c r="N522" s="19"/>
      <c r="O522" s="19"/>
      <c r="P522" s="19" t="s">
        <v>1356</v>
      </c>
      <c r="Q522" s="19" t="s">
        <v>1021</v>
      </c>
      <c r="R522" s="21" t="n">
        <v>36603</v>
      </c>
      <c r="S522" s="19" t="s">
        <v>1357</v>
      </c>
      <c r="T522" s="19" t="s">
        <v>2598</v>
      </c>
      <c r="U522" s="19" t="str">
        <f aca="false">HYPERLINK("https://macaulaylibrary.org/asset/155580131","Open")</f>
        <v>Open</v>
      </c>
      <c r="V522" s="19"/>
    </row>
    <row r="523" customFormat="false" ht="15" hidden="false" customHeight="false" outlineLevel="0" collapsed="false">
      <c r="A523" s="19" t="s">
        <v>2599</v>
      </c>
      <c r="B523" s="19" t="s">
        <v>943</v>
      </c>
      <c r="C523" s="19" t="s">
        <v>944</v>
      </c>
      <c r="D523" s="19" t="s">
        <v>400</v>
      </c>
      <c r="E523" s="19" t="s">
        <v>147</v>
      </c>
      <c r="F523" s="19" t="s">
        <v>523</v>
      </c>
      <c r="G523" s="19" t="n">
        <v>56</v>
      </c>
      <c r="H523" s="19" t="s">
        <v>524</v>
      </c>
      <c r="I523" s="20" t="n">
        <v>208.372</v>
      </c>
      <c r="J523" s="19" t="n">
        <f aca="false">IF(I523="","",MIN(Overview!$B$8,MAX(1,CEILING(I523/Overview!$B$7,1))))</f>
        <v>42</v>
      </c>
      <c r="K523" s="19" t="n">
        <v>1</v>
      </c>
      <c r="L523" s="19"/>
      <c r="M523" s="20" t="n">
        <v>3</v>
      </c>
      <c r="N523" s="19"/>
      <c r="O523" s="19"/>
      <c r="P523" s="19" t="s">
        <v>2600</v>
      </c>
      <c r="Q523" s="19" t="s">
        <v>980</v>
      </c>
      <c r="R523" s="21" t="n">
        <v>34124</v>
      </c>
      <c r="S523" s="19"/>
      <c r="T523" s="19" t="s">
        <v>2601</v>
      </c>
      <c r="U523" s="19" t="str">
        <f aca="false">HYPERLINK("https://macaulaylibrary.org/asset/209472","Open")</f>
        <v>Open</v>
      </c>
      <c r="V523" s="19"/>
    </row>
    <row r="524" customFormat="false" ht="15" hidden="false" customHeight="false" outlineLevel="0" collapsed="false">
      <c r="A524" s="19" t="s">
        <v>2602</v>
      </c>
      <c r="B524" s="19" t="s">
        <v>943</v>
      </c>
      <c r="C524" s="19" t="s">
        <v>944</v>
      </c>
      <c r="D524" s="19" t="s">
        <v>148</v>
      </c>
      <c r="E524" s="19" t="s">
        <v>147</v>
      </c>
      <c r="F524" s="19" t="s">
        <v>326</v>
      </c>
      <c r="G524" s="19" t="n">
        <v>57</v>
      </c>
      <c r="H524" s="19" t="s">
        <v>327</v>
      </c>
      <c r="I524" s="20" t="n">
        <v>99.805</v>
      </c>
      <c r="J524" s="19" t="n">
        <f aca="false">IF(I524="","",MIN(Overview!$B$8,MAX(1,CEILING(I524/Overview!$B$7,1))))</f>
        <v>20</v>
      </c>
      <c r="K524" s="19" t="n">
        <v>1</v>
      </c>
      <c r="L524" s="19"/>
      <c r="M524" s="20" t="n">
        <v>3</v>
      </c>
      <c r="N524" s="19"/>
      <c r="O524" s="19" t="s">
        <v>206</v>
      </c>
      <c r="P524" s="19" t="s">
        <v>2174</v>
      </c>
      <c r="Q524" s="19" t="s">
        <v>1218</v>
      </c>
      <c r="R524" s="21" t="n">
        <v>34784</v>
      </c>
      <c r="S524" s="19" t="s">
        <v>2603</v>
      </c>
      <c r="T524" s="19" t="s">
        <v>2604</v>
      </c>
      <c r="U524" s="19" t="str">
        <f aca="false">HYPERLINK("https://macaulaylibrary.org/asset/184029","Open")</f>
        <v>Open</v>
      </c>
      <c r="V524" s="19"/>
    </row>
    <row r="525" customFormat="false" ht="15" hidden="false" customHeight="false" outlineLevel="0" collapsed="false">
      <c r="A525" s="19" t="s">
        <v>2605</v>
      </c>
      <c r="B525" s="19" t="s">
        <v>943</v>
      </c>
      <c r="C525" s="19" t="s">
        <v>944</v>
      </c>
      <c r="D525" s="19" t="s">
        <v>148</v>
      </c>
      <c r="E525" s="19" t="s">
        <v>147</v>
      </c>
      <c r="F525" s="19" t="s">
        <v>326</v>
      </c>
      <c r="G525" s="19" t="n">
        <v>57</v>
      </c>
      <c r="H525" s="19" t="s">
        <v>327</v>
      </c>
      <c r="I525" s="20" t="n">
        <v>7.766</v>
      </c>
      <c r="J525" s="19" t="n">
        <f aca="false">IF(I525="","",MIN(Overview!$B$8,MAX(1,CEILING(I525/Overview!$B$7,1))))</f>
        <v>2</v>
      </c>
      <c r="K525" s="19" t="n">
        <v>1</v>
      </c>
      <c r="L525" s="19"/>
      <c r="M525" s="20"/>
      <c r="N525" s="19"/>
      <c r="O525" s="19"/>
      <c r="P525" s="19" t="s">
        <v>1170</v>
      </c>
      <c r="Q525" s="19" t="s">
        <v>1166</v>
      </c>
      <c r="R525" s="21" t="n">
        <v>44900</v>
      </c>
      <c r="S525" s="19" t="s">
        <v>1092</v>
      </c>
      <c r="T525" s="19" t="s">
        <v>2606</v>
      </c>
      <c r="U525" s="19" t="str">
        <f aca="false">HYPERLINK("https://macaulaylibrary.org/asset/597934701","Open")</f>
        <v>Open</v>
      </c>
      <c r="V525" s="19"/>
    </row>
    <row r="526" customFormat="false" ht="15" hidden="false" customHeight="false" outlineLevel="0" collapsed="false">
      <c r="A526" s="19" t="s">
        <v>2607</v>
      </c>
      <c r="B526" s="19" t="s">
        <v>943</v>
      </c>
      <c r="C526" s="19" t="s">
        <v>944</v>
      </c>
      <c r="D526" s="19" t="s">
        <v>148</v>
      </c>
      <c r="E526" s="19" t="s">
        <v>147</v>
      </c>
      <c r="F526" s="19" t="s">
        <v>326</v>
      </c>
      <c r="G526" s="19" t="n">
        <v>57</v>
      </c>
      <c r="H526" s="19" t="s">
        <v>327</v>
      </c>
      <c r="I526" s="20" t="n">
        <v>14.791</v>
      </c>
      <c r="J526" s="19" t="n">
        <f aca="false">IF(I526="","",MIN(Overview!$B$8,MAX(1,CEILING(I526/Overview!$B$7,1))))</f>
        <v>3</v>
      </c>
      <c r="K526" s="19" t="n">
        <v>1</v>
      </c>
      <c r="L526" s="19"/>
      <c r="M526" s="20"/>
      <c r="N526" s="19"/>
      <c r="O526" s="19"/>
      <c r="P526" s="19" t="s">
        <v>1039</v>
      </c>
      <c r="Q526" s="19" t="s">
        <v>1040</v>
      </c>
      <c r="R526" s="21" t="n">
        <v>40901</v>
      </c>
      <c r="S526" s="19" t="s">
        <v>1002</v>
      </c>
      <c r="T526" s="19" t="s">
        <v>2608</v>
      </c>
      <c r="U526" s="19" t="str">
        <f aca="false">HYPERLINK("https://macaulaylibrary.org/asset/609056506","Open")</f>
        <v>Open</v>
      </c>
      <c r="V526" s="19"/>
    </row>
    <row r="527" customFormat="false" ht="15" hidden="false" customHeight="false" outlineLevel="0" collapsed="false">
      <c r="A527" s="19" t="s">
        <v>2609</v>
      </c>
      <c r="B527" s="19" t="s">
        <v>943</v>
      </c>
      <c r="C527" s="19" t="s">
        <v>944</v>
      </c>
      <c r="D527" s="19" t="s">
        <v>148</v>
      </c>
      <c r="E527" s="19" t="s">
        <v>147</v>
      </c>
      <c r="F527" s="19" t="s">
        <v>326</v>
      </c>
      <c r="G527" s="19" t="n">
        <v>57</v>
      </c>
      <c r="H527" s="19" t="s">
        <v>327</v>
      </c>
      <c r="I527" s="20" t="n">
        <v>32.116</v>
      </c>
      <c r="J527" s="19" t="n">
        <f aca="false">IF(I527="","",MIN(Overview!$B$8,MAX(1,CEILING(I527/Overview!$B$7,1))))</f>
        <v>7</v>
      </c>
      <c r="K527" s="19" t="n">
        <v>1</v>
      </c>
      <c r="L527" s="19"/>
      <c r="M527" s="20" t="n">
        <v>4.5</v>
      </c>
      <c r="N527" s="19"/>
      <c r="O527" s="19"/>
      <c r="P527" s="19" t="s">
        <v>2610</v>
      </c>
      <c r="Q527" s="19" t="s">
        <v>1040</v>
      </c>
      <c r="R527" s="21" t="n">
        <v>41264</v>
      </c>
      <c r="S527" s="19" t="s">
        <v>1002</v>
      </c>
      <c r="T527" s="19" t="s">
        <v>2611</v>
      </c>
      <c r="U527" s="19" t="str">
        <f aca="false">HYPERLINK("https://macaulaylibrary.org/asset/609059016","Open")</f>
        <v>Open</v>
      </c>
      <c r="V527" s="19"/>
    </row>
    <row r="528" customFormat="false" ht="15" hidden="false" customHeight="false" outlineLevel="0" collapsed="false">
      <c r="A528" s="19" t="s">
        <v>2612</v>
      </c>
      <c r="B528" s="19" t="s">
        <v>943</v>
      </c>
      <c r="C528" s="19" t="s">
        <v>944</v>
      </c>
      <c r="D528" s="19" t="s">
        <v>148</v>
      </c>
      <c r="E528" s="19" t="s">
        <v>147</v>
      </c>
      <c r="F528" s="19" t="s">
        <v>326</v>
      </c>
      <c r="G528" s="19" t="n">
        <v>57</v>
      </c>
      <c r="H528" s="19" t="s">
        <v>327</v>
      </c>
      <c r="I528" s="20" t="n">
        <v>9.831</v>
      </c>
      <c r="J528" s="19" t="n">
        <f aca="false">IF(I528="","",MIN(Overview!$B$8,MAX(1,CEILING(I528/Overview!$B$7,1))))</f>
        <v>2</v>
      </c>
      <c r="K528" s="19" t="n">
        <v>1</v>
      </c>
      <c r="L528" s="19"/>
      <c r="M528" s="20" t="n">
        <v>3</v>
      </c>
      <c r="N528" s="19"/>
      <c r="O528" s="19"/>
      <c r="P528" s="19" t="s">
        <v>2613</v>
      </c>
      <c r="Q528" s="19" t="s">
        <v>1368</v>
      </c>
      <c r="R528" s="21" t="n">
        <v>45490</v>
      </c>
      <c r="S528" s="19" t="s">
        <v>1137</v>
      </c>
      <c r="T528" s="19" t="s">
        <v>2614</v>
      </c>
      <c r="U528" s="19" t="str">
        <f aca="false">HYPERLINK("https://macaulaylibrary.org/asset/623042280","Open")</f>
        <v>Open</v>
      </c>
      <c r="V528" s="19"/>
    </row>
    <row r="529" customFormat="false" ht="15" hidden="false" customHeight="false" outlineLevel="0" collapsed="false">
      <c r="A529" s="19" t="s">
        <v>2615</v>
      </c>
      <c r="B529" s="19" t="s">
        <v>943</v>
      </c>
      <c r="C529" s="19" t="s">
        <v>944</v>
      </c>
      <c r="D529" s="19" t="s">
        <v>148</v>
      </c>
      <c r="E529" s="19" t="s">
        <v>147</v>
      </c>
      <c r="F529" s="19" t="s">
        <v>326</v>
      </c>
      <c r="G529" s="19" t="n">
        <v>57</v>
      </c>
      <c r="H529" s="19" t="s">
        <v>327</v>
      </c>
      <c r="I529" s="20" t="n">
        <v>35.372</v>
      </c>
      <c r="J529" s="19" t="n">
        <f aca="false">IF(I529="","",MIN(Overview!$B$8,MAX(1,CEILING(I529/Overview!$B$7,1))))</f>
        <v>8</v>
      </c>
      <c r="K529" s="19" t="n">
        <v>1</v>
      </c>
      <c r="L529" s="19"/>
      <c r="M529" s="20" t="n">
        <v>3</v>
      </c>
      <c r="N529" s="19"/>
      <c r="O529" s="19"/>
      <c r="P529" s="19" t="s">
        <v>2119</v>
      </c>
      <c r="Q529" s="19" t="s">
        <v>1368</v>
      </c>
      <c r="R529" s="21" t="n">
        <v>45489</v>
      </c>
      <c r="S529" s="19" t="s">
        <v>1211</v>
      </c>
      <c r="T529" s="19" t="s">
        <v>2616</v>
      </c>
      <c r="U529" s="19" t="str">
        <f aca="false">HYPERLINK("https://macaulaylibrary.org/asset/623181371","Open")</f>
        <v>Open</v>
      </c>
      <c r="V529" s="19"/>
    </row>
    <row r="530" customFormat="false" ht="15" hidden="false" customHeight="false" outlineLevel="0" collapsed="false">
      <c r="A530" s="19" t="s">
        <v>2617</v>
      </c>
      <c r="B530" s="19" t="s">
        <v>943</v>
      </c>
      <c r="C530" s="19" t="s">
        <v>944</v>
      </c>
      <c r="D530" s="19" t="s">
        <v>148</v>
      </c>
      <c r="E530" s="19" t="s">
        <v>147</v>
      </c>
      <c r="F530" s="19" t="s">
        <v>326</v>
      </c>
      <c r="G530" s="19" t="n">
        <v>57</v>
      </c>
      <c r="H530" s="19" t="s">
        <v>327</v>
      </c>
      <c r="I530" s="20" t="n">
        <v>10.22</v>
      </c>
      <c r="J530" s="19" t="n">
        <f aca="false">IF(I530="","",MIN(Overview!$B$8,MAX(1,CEILING(I530/Overview!$B$7,1))))</f>
        <v>3</v>
      </c>
      <c r="K530" s="19" t="n">
        <v>1</v>
      </c>
      <c r="L530" s="19"/>
      <c r="M530" s="20"/>
      <c r="N530" s="19"/>
      <c r="O530" s="19"/>
      <c r="P530" s="19" t="s">
        <v>2023</v>
      </c>
      <c r="Q530" s="19" t="s">
        <v>1483</v>
      </c>
      <c r="R530" s="21" t="n">
        <v>45291</v>
      </c>
      <c r="S530" s="19" t="s">
        <v>1167</v>
      </c>
      <c r="T530" s="19" t="s">
        <v>2618</v>
      </c>
      <c r="U530" s="19" t="str">
        <f aca="false">HYPERLINK("https://macaulaylibrary.org/asset/638982128","Open")</f>
        <v>Open</v>
      </c>
      <c r="V530" s="19"/>
    </row>
    <row r="531" customFormat="false" ht="15" hidden="false" customHeight="false" outlineLevel="0" collapsed="false">
      <c r="A531" s="19" t="s">
        <v>2619</v>
      </c>
      <c r="B531" s="19" t="s">
        <v>943</v>
      </c>
      <c r="C531" s="19" t="s">
        <v>944</v>
      </c>
      <c r="D531" s="19" t="s">
        <v>148</v>
      </c>
      <c r="E531" s="19" t="s">
        <v>147</v>
      </c>
      <c r="F531" s="19" t="s">
        <v>326</v>
      </c>
      <c r="G531" s="19" t="n">
        <v>57</v>
      </c>
      <c r="H531" s="19" t="s">
        <v>327</v>
      </c>
      <c r="I531" s="20" t="n">
        <v>21.291</v>
      </c>
      <c r="J531" s="19" t="n">
        <f aca="false">IF(I531="","",MIN(Overview!$B$8,MAX(1,CEILING(I531/Overview!$B$7,1))))</f>
        <v>5</v>
      </c>
      <c r="K531" s="19" t="n">
        <v>1</v>
      </c>
      <c r="L531" s="19"/>
      <c r="M531" s="20" t="n">
        <v>4</v>
      </c>
      <c r="N531" s="19"/>
      <c r="O531" s="19"/>
      <c r="P531" s="19" t="s">
        <v>1674</v>
      </c>
      <c r="Q531" s="19" t="s">
        <v>1091</v>
      </c>
      <c r="R531" s="21" t="n">
        <v>45843</v>
      </c>
      <c r="S531" s="19" t="s">
        <v>1009</v>
      </c>
      <c r="T531" s="19" t="s">
        <v>2620</v>
      </c>
      <c r="U531" s="19" t="str">
        <f aca="false">HYPERLINK("https://macaulaylibrary.org/asset/639171055","Open")</f>
        <v>Open</v>
      </c>
      <c r="V531" s="19"/>
    </row>
    <row r="532" customFormat="false" ht="15" hidden="false" customHeight="false" outlineLevel="0" collapsed="false">
      <c r="A532" s="19" t="s">
        <v>2621</v>
      </c>
      <c r="B532" s="19" t="s">
        <v>943</v>
      </c>
      <c r="C532" s="19" t="s">
        <v>944</v>
      </c>
      <c r="D532" s="19" t="s">
        <v>148</v>
      </c>
      <c r="E532" s="19" t="s">
        <v>147</v>
      </c>
      <c r="F532" s="19" t="s">
        <v>326</v>
      </c>
      <c r="G532" s="19" t="n">
        <v>57</v>
      </c>
      <c r="H532" s="19" t="s">
        <v>327</v>
      </c>
      <c r="I532" s="20" t="n">
        <v>58.188</v>
      </c>
      <c r="J532" s="19" t="n">
        <f aca="false">IF(I532="","",MIN(Overview!$B$8,MAX(1,CEILING(I532/Overview!$B$7,1))))</f>
        <v>12</v>
      </c>
      <c r="K532" s="19" t="n">
        <v>1</v>
      </c>
      <c r="L532" s="19"/>
      <c r="M532" s="20"/>
      <c r="N532" s="19"/>
      <c r="O532" s="19"/>
      <c r="P532" s="19" t="s">
        <v>2449</v>
      </c>
      <c r="Q532" s="19" t="s">
        <v>1091</v>
      </c>
      <c r="R532" s="21" t="n">
        <v>45844</v>
      </c>
      <c r="S532" s="19" t="s">
        <v>2123</v>
      </c>
      <c r="T532" s="19" t="s">
        <v>2622</v>
      </c>
      <c r="U532" s="19" t="str">
        <f aca="false">HYPERLINK("https://macaulaylibrary.org/asset/643641407","Open")</f>
        <v>Open</v>
      </c>
      <c r="V532" s="19"/>
    </row>
    <row r="533" customFormat="false" ht="15" hidden="false" customHeight="false" outlineLevel="0" collapsed="false">
      <c r="A533" s="19" t="s">
        <v>2623</v>
      </c>
      <c r="B533" s="19" t="s">
        <v>943</v>
      </c>
      <c r="C533" s="19" t="s">
        <v>944</v>
      </c>
      <c r="D533" s="19" t="s">
        <v>148</v>
      </c>
      <c r="E533" s="19" t="s">
        <v>147</v>
      </c>
      <c r="F533" s="19" t="s">
        <v>326</v>
      </c>
      <c r="G533" s="19" t="n">
        <v>57</v>
      </c>
      <c r="H533" s="19" t="s">
        <v>327</v>
      </c>
      <c r="I533" s="20" t="n">
        <v>22.804</v>
      </c>
      <c r="J533" s="19" t="n">
        <f aca="false">IF(I533="","",MIN(Overview!$B$8,MAX(1,CEILING(I533/Overview!$B$7,1))))</f>
        <v>5</v>
      </c>
      <c r="K533" s="19" t="n">
        <v>1</v>
      </c>
      <c r="L533" s="19"/>
      <c r="M533" s="20"/>
      <c r="N533" s="19"/>
      <c r="O533" s="19"/>
      <c r="P533" s="19" t="s">
        <v>2624</v>
      </c>
      <c r="Q533" s="19" t="s">
        <v>1204</v>
      </c>
      <c r="R533" s="21" t="n">
        <v>46049</v>
      </c>
      <c r="S533" s="19" t="s">
        <v>2625</v>
      </c>
      <c r="T533" s="19" t="s">
        <v>2626</v>
      </c>
      <c r="U533" s="19" t="str">
        <f aca="false">HYPERLINK("https://macaulaylibrary.org/asset/653762597","Open")</f>
        <v>Open</v>
      </c>
      <c r="V533" s="19"/>
    </row>
    <row r="534" customFormat="false" ht="15" hidden="false" customHeight="false" outlineLevel="0" collapsed="false">
      <c r="A534" s="19" t="s">
        <v>2627</v>
      </c>
      <c r="B534" s="19" t="s">
        <v>943</v>
      </c>
      <c r="C534" s="19" t="s">
        <v>944</v>
      </c>
      <c r="D534" s="19" t="s">
        <v>148</v>
      </c>
      <c r="E534" s="19" t="s">
        <v>147</v>
      </c>
      <c r="F534" s="19" t="s">
        <v>326</v>
      </c>
      <c r="G534" s="19" t="n">
        <v>57</v>
      </c>
      <c r="H534" s="19" t="s">
        <v>327</v>
      </c>
      <c r="I534" s="20" t="n">
        <v>111.822</v>
      </c>
      <c r="J534" s="19" t="n">
        <f aca="false">IF(I534="","",MIN(Overview!$B$8,MAX(1,CEILING(I534/Overview!$B$7,1))))</f>
        <v>23</v>
      </c>
      <c r="K534" s="19" t="n">
        <v>1</v>
      </c>
      <c r="L534" s="19"/>
      <c r="M534" s="20" t="n">
        <v>3.5</v>
      </c>
      <c r="N534" s="19"/>
      <c r="O534" s="19"/>
      <c r="P534" s="19" t="s">
        <v>1742</v>
      </c>
      <c r="Q534" s="19" t="s">
        <v>1021</v>
      </c>
      <c r="R534" s="21" t="n">
        <v>35860</v>
      </c>
      <c r="S534" s="19" t="s">
        <v>1743</v>
      </c>
      <c r="T534" s="19" t="s">
        <v>2628</v>
      </c>
      <c r="U534" s="19" t="str">
        <f aca="false">HYPERLINK("https://macaulaylibrary.org/asset/97859841","Open")</f>
        <v>Open</v>
      </c>
      <c r="V534" s="19"/>
    </row>
    <row r="535" customFormat="false" ht="15" hidden="false" customHeight="false" outlineLevel="0" collapsed="false">
      <c r="A535" s="19" t="s">
        <v>2629</v>
      </c>
      <c r="B535" s="19" t="s">
        <v>1005</v>
      </c>
      <c r="C535" s="19" t="s">
        <v>944</v>
      </c>
      <c r="D535" s="19" t="s">
        <v>647</v>
      </c>
      <c r="E535" s="19" t="s">
        <v>147</v>
      </c>
      <c r="F535" s="19" t="s">
        <v>326</v>
      </c>
      <c r="G535" s="19" t="n">
        <v>57</v>
      </c>
      <c r="H535" s="19" t="s">
        <v>327</v>
      </c>
      <c r="I535" s="20" t="n">
        <v>65.568</v>
      </c>
      <c r="J535" s="19" t="n">
        <f aca="false">IF(I535="","",MIN(Overview!$B$8,MAX(1,CEILING(I535/Overview!$B$7,1))))</f>
        <v>14</v>
      </c>
      <c r="K535" s="19" t="n">
        <v>1</v>
      </c>
      <c r="L535" s="19"/>
      <c r="M535" s="20"/>
      <c r="N535" s="19" t="s">
        <v>1006</v>
      </c>
      <c r="O535" s="19"/>
      <c r="P535" s="19" t="s">
        <v>1007</v>
      </c>
      <c r="Q535" s="19" t="s">
        <v>1008</v>
      </c>
      <c r="R535" s="21" t="n">
        <v>42577</v>
      </c>
      <c r="S535" s="19" t="s">
        <v>1013</v>
      </c>
      <c r="T535" s="19" t="s">
        <v>2630</v>
      </c>
      <c r="U535" s="19" t="str">
        <f aca="false">HYPERLINK("https://xeno-canto.org/331431","Open")</f>
        <v>Open</v>
      </c>
      <c r="V535" s="19" t="s">
        <v>1011</v>
      </c>
    </row>
    <row r="536" customFormat="false" ht="15" hidden="false" customHeight="false" outlineLevel="0" collapsed="false">
      <c r="A536" s="19" t="s">
        <v>2631</v>
      </c>
      <c r="B536" s="19" t="s">
        <v>943</v>
      </c>
      <c r="C536" s="19" t="s">
        <v>944</v>
      </c>
      <c r="D536" s="19" t="s">
        <v>148</v>
      </c>
      <c r="E536" s="19" t="s">
        <v>147</v>
      </c>
      <c r="F536" s="19" t="s">
        <v>159</v>
      </c>
      <c r="G536" s="19" t="n">
        <v>58</v>
      </c>
      <c r="H536" s="19" t="s">
        <v>160</v>
      </c>
      <c r="I536" s="20" t="n">
        <v>81.009</v>
      </c>
      <c r="J536" s="19" t="n">
        <f aca="false">IF(I536="","",MIN(Overview!$B$8,MAX(1,CEILING(I536/Overview!$B$7,1))))</f>
        <v>17</v>
      </c>
      <c r="K536" s="19" t="n">
        <v>1</v>
      </c>
      <c r="L536" s="19"/>
      <c r="M536" s="20" t="n">
        <v>3</v>
      </c>
      <c r="N536" s="19"/>
      <c r="O536" s="19"/>
      <c r="P536" s="19" t="s">
        <v>1669</v>
      </c>
      <c r="Q536" s="19" t="s">
        <v>1021</v>
      </c>
      <c r="R536" s="21" t="n">
        <v>36600</v>
      </c>
      <c r="S536" s="19" t="s">
        <v>1036</v>
      </c>
      <c r="T536" s="19" t="s">
        <v>2632</v>
      </c>
      <c r="U536" s="19" t="str">
        <f aca="false">HYPERLINK("https://macaulaylibrary.org/asset/151640791","Open")</f>
        <v>Open</v>
      </c>
      <c r="V536" s="19"/>
    </row>
    <row r="537" customFormat="false" ht="15" hidden="false" customHeight="false" outlineLevel="0" collapsed="false">
      <c r="A537" s="19" t="s">
        <v>2633</v>
      </c>
      <c r="B537" s="19" t="s">
        <v>943</v>
      </c>
      <c r="C537" s="19" t="s">
        <v>944</v>
      </c>
      <c r="D537" s="19" t="s">
        <v>148</v>
      </c>
      <c r="E537" s="19" t="s">
        <v>147</v>
      </c>
      <c r="F537" s="19" t="s">
        <v>159</v>
      </c>
      <c r="G537" s="19" t="n">
        <v>58</v>
      </c>
      <c r="H537" s="19" t="s">
        <v>160</v>
      </c>
      <c r="I537" s="20" t="n">
        <v>64.211</v>
      </c>
      <c r="J537" s="19" t="n">
        <f aca="false">IF(I537="","",MIN(Overview!$B$8,MAX(1,CEILING(I537/Overview!$B$7,1))))</f>
        <v>13</v>
      </c>
      <c r="K537" s="19" t="n">
        <v>1</v>
      </c>
      <c r="L537" s="19"/>
      <c r="M537" s="20" t="n">
        <v>4</v>
      </c>
      <c r="N537" s="19"/>
      <c r="O537" s="19"/>
      <c r="P537" s="19" t="s">
        <v>1669</v>
      </c>
      <c r="Q537" s="19" t="s">
        <v>1021</v>
      </c>
      <c r="R537" s="21" t="n">
        <v>36600</v>
      </c>
      <c r="S537" s="19" t="s">
        <v>1036</v>
      </c>
      <c r="T537" s="19" t="s">
        <v>2634</v>
      </c>
      <c r="U537" s="19" t="str">
        <f aca="false">HYPERLINK("https://macaulaylibrary.org/asset/151849721","Open")</f>
        <v>Open</v>
      </c>
      <c r="V537" s="19"/>
    </row>
    <row r="538" customFormat="false" ht="15" hidden="false" customHeight="false" outlineLevel="0" collapsed="false">
      <c r="A538" s="19" t="s">
        <v>2635</v>
      </c>
      <c r="B538" s="19" t="s">
        <v>943</v>
      </c>
      <c r="C538" s="19" t="s">
        <v>944</v>
      </c>
      <c r="D538" s="19" t="s">
        <v>148</v>
      </c>
      <c r="E538" s="19" t="s">
        <v>147</v>
      </c>
      <c r="F538" s="19" t="s">
        <v>159</v>
      </c>
      <c r="G538" s="19" t="n">
        <v>58</v>
      </c>
      <c r="H538" s="19" t="s">
        <v>160</v>
      </c>
      <c r="I538" s="20" t="n">
        <v>344.922</v>
      </c>
      <c r="J538" s="19" t="n">
        <f aca="false">IF(I538="","",MIN(Overview!$B$8,MAX(1,CEILING(I538/Overview!$B$7,1))))</f>
        <v>69</v>
      </c>
      <c r="K538" s="19" t="n">
        <v>1</v>
      </c>
      <c r="L538" s="19"/>
      <c r="M538" s="20" t="n">
        <v>3</v>
      </c>
      <c r="N538" s="19"/>
      <c r="O538" s="19" t="s">
        <v>2636</v>
      </c>
      <c r="P538" s="19" t="s">
        <v>2637</v>
      </c>
      <c r="Q538" s="19" t="s">
        <v>1218</v>
      </c>
      <c r="R538" s="21" t="n">
        <v>34781</v>
      </c>
      <c r="S538" s="19" t="s">
        <v>1614</v>
      </c>
      <c r="T538" s="19" t="s">
        <v>2638</v>
      </c>
      <c r="U538" s="19" t="str">
        <f aca="false">HYPERLINK("https://macaulaylibrary.org/asset/184005","Open")</f>
        <v>Open</v>
      </c>
      <c r="V538" s="19" t="s">
        <v>2639</v>
      </c>
    </row>
    <row r="539" customFormat="false" ht="15" hidden="false" customHeight="false" outlineLevel="0" collapsed="false">
      <c r="A539" s="19" t="s">
        <v>2640</v>
      </c>
      <c r="B539" s="19" t="s">
        <v>943</v>
      </c>
      <c r="C539" s="19" t="s">
        <v>944</v>
      </c>
      <c r="D539" s="19" t="s">
        <v>148</v>
      </c>
      <c r="E539" s="19" t="s">
        <v>147</v>
      </c>
      <c r="F539" s="19" t="s">
        <v>159</v>
      </c>
      <c r="G539" s="19" t="n">
        <v>58</v>
      </c>
      <c r="H539" s="19" t="s">
        <v>160</v>
      </c>
      <c r="I539" s="20" t="n">
        <v>618.773</v>
      </c>
      <c r="J539" s="19" t="n">
        <f aca="false">IF(I539="","",MIN(Overview!$B$8,MAX(1,CEILING(I539/Overview!$B$7,1))))</f>
        <v>120</v>
      </c>
      <c r="K539" s="19" t="n">
        <v>1</v>
      </c>
      <c r="L539" s="19"/>
      <c r="M539" s="20" t="n">
        <v>3</v>
      </c>
      <c r="N539" s="19"/>
      <c r="O539" s="19" t="s">
        <v>2641</v>
      </c>
      <c r="P539" s="19" t="s">
        <v>2642</v>
      </c>
      <c r="Q539" s="19" t="s">
        <v>1218</v>
      </c>
      <c r="R539" s="21" t="n">
        <v>34782</v>
      </c>
      <c r="S539" s="19" t="s">
        <v>2409</v>
      </c>
      <c r="T539" s="19" t="s">
        <v>2643</v>
      </c>
      <c r="U539" s="19" t="str">
        <f aca="false">HYPERLINK("https://macaulaylibrary.org/asset/184006","Open")</f>
        <v>Open</v>
      </c>
      <c r="V539" s="19" t="s">
        <v>2639</v>
      </c>
    </row>
    <row r="540" customFormat="false" ht="15" hidden="false" customHeight="false" outlineLevel="0" collapsed="false">
      <c r="A540" s="19" t="s">
        <v>2644</v>
      </c>
      <c r="B540" s="19" t="s">
        <v>943</v>
      </c>
      <c r="C540" s="19" t="s">
        <v>944</v>
      </c>
      <c r="D540" s="19" t="s">
        <v>148</v>
      </c>
      <c r="E540" s="19" t="s">
        <v>147</v>
      </c>
      <c r="F540" s="19" t="s">
        <v>159</v>
      </c>
      <c r="G540" s="19" t="n">
        <v>58</v>
      </c>
      <c r="H540" s="19" t="s">
        <v>160</v>
      </c>
      <c r="I540" s="20" t="n">
        <v>162.187</v>
      </c>
      <c r="J540" s="19" t="n">
        <f aca="false">IF(I540="","",MIN(Overview!$B$8,MAX(1,CEILING(I540/Overview!$B$7,1))))</f>
        <v>33</v>
      </c>
      <c r="K540" s="19" t="n">
        <v>1</v>
      </c>
      <c r="L540" s="19"/>
      <c r="M540" s="20" t="n">
        <v>2</v>
      </c>
      <c r="N540" s="19"/>
      <c r="O540" s="19"/>
      <c r="P540" s="19" t="s">
        <v>2642</v>
      </c>
      <c r="Q540" s="19" t="s">
        <v>1218</v>
      </c>
      <c r="R540" s="21" t="n">
        <v>34782</v>
      </c>
      <c r="S540" s="19" t="s">
        <v>2645</v>
      </c>
      <c r="T540" s="19" t="s">
        <v>2646</v>
      </c>
      <c r="U540" s="19" t="str">
        <f aca="false">HYPERLINK("https://macaulaylibrary.org/asset/184010","Open")</f>
        <v>Open</v>
      </c>
      <c r="V540" s="19" t="s">
        <v>2639</v>
      </c>
    </row>
    <row r="541" customFormat="false" ht="15" hidden="false" customHeight="false" outlineLevel="0" collapsed="false">
      <c r="A541" s="19" t="s">
        <v>2647</v>
      </c>
      <c r="B541" s="19" t="s">
        <v>943</v>
      </c>
      <c r="C541" s="19" t="s">
        <v>944</v>
      </c>
      <c r="D541" s="19" t="s">
        <v>148</v>
      </c>
      <c r="E541" s="19" t="s">
        <v>147</v>
      </c>
      <c r="F541" s="19" t="s">
        <v>159</v>
      </c>
      <c r="G541" s="19" t="n">
        <v>58</v>
      </c>
      <c r="H541" s="19" t="s">
        <v>160</v>
      </c>
      <c r="I541" s="20" t="n">
        <v>762.651</v>
      </c>
      <c r="J541" s="19" t="n">
        <f aca="false">IF(I541="","",MIN(Overview!$B$8,MAX(1,CEILING(I541/Overview!$B$7,1))))</f>
        <v>120</v>
      </c>
      <c r="K541" s="19" t="n">
        <v>1</v>
      </c>
      <c r="L541" s="19"/>
      <c r="M541" s="20" t="n">
        <v>3</v>
      </c>
      <c r="N541" s="19"/>
      <c r="O541" s="19" t="s">
        <v>2648</v>
      </c>
      <c r="P541" s="19" t="s">
        <v>2649</v>
      </c>
      <c r="Q541" s="19" t="s">
        <v>1218</v>
      </c>
      <c r="R541" s="21" t="n">
        <v>34783</v>
      </c>
      <c r="S541" s="19" t="s">
        <v>1106</v>
      </c>
      <c r="T541" s="19" t="s">
        <v>2650</v>
      </c>
      <c r="U541" s="19" t="str">
        <f aca="false">HYPERLINK("https://macaulaylibrary.org/asset/184011","Open")</f>
        <v>Open</v>
      </c>
      <c r="V541" s="19" t="s">
        <v>2639</v>
      </c>
    </row>
    <row r="542" customFormat="false" ht="15" hidden="false" customHeight="false" outlineLevel="0" collapsed="false">
      <c r="A542" s="19" t="s">
        <v>2651</v>
      </c>
      <c r="B542" s="19" t="s">
        <v>943</v>
      </c>
      <c r="C542" s="19" t="s">
        <v>944</v>
      </c>
      <c r="D542" s="19" t="s">
        <v>148</v>
      </c>
      <c r="E542" s="19" t="s">
        <v>147</v>
      </c>
      <c r="F542" s="19" t="s">
        <v>159</v>
      </c>
      <c r="G542" s="19" t="n">
        <v>58</v>
      </c>
      <c r="H542" s="19" t="s">
        <v>160</v>
      </c>
      <c r="I542" s="20" t="n">
        <v>347.53</v>
      </c>
      <c r="J542" s="19" t="n">
        <f aca="false">IF(I542="","",MIN(Overview!$B$8,MAX(1,CEILING(I542/Overview!$B$7,1))))</f>
        <v>70</v>
      </c>
      <c r="K542" s="19" t="n">
        <v>1</v>
      </c>
      <c r="L542" s="19"/>
      <c r="M542" s="20" t="n">
        <v>2</v>
      </c>
      <c r="N542" s="19"/>
      <c r="O542" s="19" t="s">
        <v>2652</v>
      </c>
      <c r="P542" s="19" t="s">
        <v>2174</v>
      </c>
      <c r="Q542" s="19" t="s">
        <v>1218</v>
      </c>
      <c r="R542" s="21" t="n">
        <v>34784</v>
      </c>
      <c r="S542" s="19" t="s">
        <v>2653</v>
      </c>
      <c r="T542" s="19" t="s">
        <v>2654</v>
      </c>
      <c r="U542" s="19" t="str">
        <f aca="false">HYPERLINK("https://macaulaylibrary.org/asset/184017","Open")</f>
        <v>Open</v>
      </c>
      <c r="V542" s="19" t="s">
        <v>2639</v>
      </c>
    </row>
    <row r="543" customFormat="false" ht="15" hidden="false" customHeight="false" outlineLevel="0" collapsed="false">
      <c r="A543" s="19" t="s">
        <v>2655</v>
      </c>
      <c r="B543" s="19" t="s">
        <v>943</v>
      </c>
      <c r="C543" s="19" t="s">
        <v>944</v>
      </c>
      <c r="D543" s="19" t="s">
        <v>148</v>
      </c>
      <c r="E543" s="19" t="s">
        <v>147</v>
      </c>
      <c r="F543" s="19" t="s">
        <v>159</v>
      </c>
      <c r="G543" s="19" t="n">
        <v>58</v>
      </c>
      <c r="H543" s="19" t="s">
        <v>160</v>
      </c>
      <c r="I543" s="20" t="n">
        <v>352.52</v>
      </c>
      <c r="J543" s="19" t="n">
        <f aca="false">IF(I543="","",MIN(Overview!$B$8,MAX(1,CEILING(I543/Overview!$B$7,1))))</f>
        <v>71</v>
      </c>
      <c r="K543" s="19" t="n">
        <v>1</v>
      </c>
      <c r="L543" s="19"/>
      <c r="M543" s="20" t="n">
        <v>2</v>
      </c>
      <c r="N543" s="19"/>
      <c r="O543" s="19" t="s">
        <v>2656</v>
      </c>
      <c r="P543" s="19" t="s">
        <v>2174</v>
      </c>
      <c r="Q543" s="19" t="s">
        <v>1218</v>
      </c>
      <c r="R543" s="21" t="n">
        <v>34784</v>
      </c>
      <c r="S543" s="19" t="s">
        <v>2657</v>
      </c>
      <c r="T543" s="19" t="s">
        <v>2658</v>
      </c>
      <c r="U543" s="19" t="str">
        <f aca="false">HYPERLINK("https://macaulaylibrary.org/asset/184019","Open")</f>
        <v>Open</v>
      </c>
      <c r="V543" s="19" t="s">
        <v>2639</v>
      </c>
    </row>
    <row r="544" customFormat="false" ht="15" hidden="false" customHeight="false" outlineLevel="0" collapsed="false">
      <c r="A544" s="19" t="s">
        <v>2659</v>
      </c>
      <c r="B544" s="19" t="s">
        <v>943</v>
      </c>
      <c r="C544" s="19" t="s">
        <v>944</v>
      </c>
      <c r="D544" s="19" t="s">
        <v>148</v>
      </c>
      <c r="E544" s="19" t="s">
        <v>147</v>
      </c>
      <c r="F544" s="19" t="s">
        <v>159</v>
      </c>
      <c r="G544" s="19" t="n">
        <v>58</v>
      </c>
      <c r="H544" s="19" t="s">
        <v>160</v>
      </c>
      <c r="I544" s="20" t="n">
        <v>1412.027</v>
      </c>
      <c r="J544" s="19" t="n">
        <f aca="false">IF(I544="","",MIN(Overview!$B$8,MAX(1,CEILING(I544/Overview!$B$7,1))))</f>
        <v>120</v>
      </c>
      <c r="K544" s="19" t="n">
        <v>1</v>
      </c>
      <c r="L544" s="19"/>
      <c r="M544" s="20" t="n">
        <v>4</v>
      </c>
      <c r="N544" s="19"/>
      <c r="O544" s="19" t="s">
        <v>2660</v>
      </c>
      <c r="P544" s="19" t="s">
        <v>2174</v>
      </c>
      <c r="Q544" s="19" t="s">
        <v>1218</v>
      </c>
      <c r="R544" s="21" t="n">
        <v>34784</v>
      </c>
      <c r="S544" s="19" t="s">
        <v>2661</v>
      </c>
      <c r="T544" s="19" t="s">
        <v>2662</v>
      </c>
      <c r="U544" s="19" t="str">
        <f aca="false">HYPERLINK("https://macaulaylibrary.org/asset/184030","Open")</f>
        <v>Open</v>
      </c>
      <c r="V544" s="19" t="s">
        <v>2639</v>
      </c>
    </row>
    <row r="545" customFormat="false" ht="15" hidden="false" customHeight="false" outlineLevel="0" collapsed="false">
      <c r="A545" s="19" t="s">
        <v>2663</v>
      </c>
      <c r="B545" s="19" t="s">
        <v>943</v>
      </c>
      <c r="C545" s="19" t="s">
        <v>944</v>
      </c>
      <c r="D545" s="19" t="s">
        <v>148</v>
      </c>
      <c r="E545" s="19" t="s">
        <v>147</v>
      </c>
      <c r="F545" s="19" t="s">
        <v>159</v>
      </c>
      <c r="G545" s="19" t="n">
        <v>58</v>
      </c>
      <c r="H545" s="19" t="s">
        <v>160</v>
      </c>
      <c r="I545" s="20" t="n">
        <v>985.713</v>
      </c>
      <c r="J545" s="19" t="n">
        <f aca="false">IF(I545="","",MIN(Overview!$B$8,MAX(1,CEILING(I545/Overview!$B$7,1))))</f>
        <v>120</v>
      </c>
      <c r="K545" s="19" t="n">
        <v>1</v>
      </c>
      <c r="L545" s="19"/>
      <c r="M545" s="20" t="n">
        <v>3</v>
      </c>
      <c r="N545" s="19"/>
      <c r="O545" s="19" t="s">
        <v>2664</v>
      </c>
      <c r="P545" s="19" t="s">
        <v>2665</v>
      </c>
      <c r="Q545" s="19" t="s">
        <v>1218</v>
      </c>
      <c r="R545" s="21" t="n">
        <v>34812</v>
      </c>
      <c r="S545" s="19" t="s">
        <v>2666</v>
      </c>
      <c r="T545" s="19" t="s">
        <v>2667</v>
      </c>
      <c r="U545" s="19" t="str">
        <f aca="false">HYPERLINK("https://macaulaylibrary.org/asset/184245","Open")</f>
        <v>Open</v>
      </c>
      <c r="V545" s="19" t="s">
        <v>2639</v>
      </c>
    </row>
    <row r="546" customFormat="false" ht="15" hidden="false" customHeight="false" outlineLevel="0" collapsed="false">
      <c r="A546" s="19" t="s">
        <v>2668</v>
      </c>
      <c r="B546" s="19" t="s">
        <v>943</v>
      </c>
      <c r="C546" s="19" t="s">
        <v>944</v>
      </c>
      <c r="D546" s="19" t="s">
        <v>148</v>
      </c>
      <c r="E546" s="19" t="s">
        <v>147</v>
      </c>
      <c r="F546" s="19" t="s">
        <v>159</v>
      </c>
      <c r="G546" s="19" t="n">
        <v>58</v>
      </c>
      <c r="H546" s="19" t="s">
        <v>160</v>
      </c>
      <c r="I546" s="20" t="n">
        <v>41.909</v>
      </c>
      <c r="J546" s="19" t="n">
        <f aca="false">IF(I546="","",MIN(Overview!$B$8,MAX(1,CEILING(I546/Overview!$B$7,1))))</f>
        <v>9</v>
      </c>
      <c r="K546" s="19" t="n">
        <v>1</v>
      </c>
      <c r="L546" s="19"/>
      <c r="M546" s="20" t="n">
        <v>2</v>
      </c>
      <c r="N546" s="19"/>
      <c r="O546" s="19"/>
      <c r="P546" s="19" t="s">
        <v>1533</v>
      </c>
      <c r="Q546" s="19" t="s">
        <v>1110</v>
      </c>
      <c r="R546" s="21" t="n">
        <v>36968</v>
      </c>
      <c r="S546" s="19" t="s">
        <v>2669</v>
      </c>
      <c r="T546" s="19" t="s">
        <v>2670</v>
      </c>
      <c r="U546" s="19" t="str">
        <f aca="false">HYPERLINK("https://macaulaylibrary.org/asset/185746","Open")</f>
        <v>Open</v>
      </c>
      <c r="V546" s="19" t="s">
        <v>2639</v>
      </c>
    </row>
    <row r="547" customFormat="false" ht="15" hidden="false" customHeight="false" outlineLevel="0" collapsed="false">
      <c r="A547" s="19" t="s">
        <v>2671</v>
      </c>
      <c r="B547" s="19" t="s">
        <v>943</v>
      </c>
      <c r="C547" s="19" t="s">
        <v>944</v>
      </c>
      <c r="D547" s="19" t="s">
        <v>148</v>
      </c>
      <c r="E547" s="19" t="s">
        <v>147</v>
      </c>
      <c r="F547" s="19" t="s">
        <v>159</v>
      </c>
      <c r="G547" s="19" t="n">
        <v>58</v>
      </c>
      <c r="H547" s="19" t="s">
        <v>160</v>
      </c>
      <c r="I547" s="20" t="n">
        <v>54.282</v>
      </c>
      <c r="J547" s="19" t="n">
        <f aca="false">IF(I547="","",MIN(Overview!$B$8,MAX(1,CEILING(I547/Overview!$B$7,1))))</f>
        <v>11</v>
      </c>
      <c r="K547" s="19" t="n">
        <v>1</v>
      </c>
      <c r="L547" s="19"/>
      <c r="M547" s="20" t="n">
        <v>4</v>
      </c>
      <c r="N547" s="19"/>
      <c r="O547" s="19"/>
      <c r="P547" s="19" t="s">
        <v>2672</v>
      </c>
      <c r="Q547" s="19" t="s">
        <v>1055</v>
      </c>
      <c r="R547" s="21" t="n">
        <v>40255</v>
      </c>
      <c r="S547" s="19" t="s">
        <v>1002</v>
      </c>
      <c r="T547" s="19" t="s">
        <v>2673</v>
      </c>
      <c r="U547" s="19" t="str">
        <f aca="false">HYPERLINK("https://macaulaylibrary.org/asset/203941411","Open")</f>
        <v>Open</v>
      </c>
      <c r="V547" s="19" t="s">
        <v>2639</v>
      </c>
    </row>
    <row r="548" customFormat="false" ht="15" hidden="false" customHeight="false" outlineLevel="0" collapsed="false">
      <c r="A548" s="19" t="s">
        <v>2674</v>
      </c>
      <c r="B548" s="19" t="s">
        <v>943</v>
      </c>
      <c r="C548" s="19" t="s">
        <v>944</v>
      </c>
      <c r="D548" s="19" t="s">
        <v>148</v>
      </c>
      <c r="E548" s="19" t="s">
        <v>147</v>
      </c>
      <c r="F548" s="19" t="s">
        <v>159</v>
      </c>
      <c r="G548" s="19" t="n">
        <v>58</v>
      </c>
      <c r="H548" s="19" t="s">
        <v>160</v>
      </c>
      <c r="I548" s="20" t="n">
        <v>18.814</v>
      </c>
      <c r="J548" s="19" t="n">
        <f aca="false">IF(I548="","",MIN(Overview!$B$8,MAX(1,CEILING(I548/Overview!$B$7,1))))</f>
        <v>4</v>
      </c>
      <c r="K548" s="19" t="n">
        <v>1</v>
      </c>
      <c r="L548" s="19"/>
      <c r="M548" s="20" t="n">
        <v>3</v>
      </c>
      <c r="N548" s="19"/>
      <c r="O548" s="19"/>
      <c r="P548" s="19" t="s">
        <v>1587</v>
      </c>
      <c r="Q548" s="19" t="s">
        <v>1136</v>
      </c>
      <c r="R548" s="21" t="n">
        <v>29733</v>
      </c>
      <c r="S548" s="19" t="s">
        <v>1459</v>
      </c>
      <c r="T548" s="19" t="s">
        <v>2675</v>
      </c>
      <c r="U548" s="19" t="str">
        <f aca="false">HYPERLINK("https://macaulaylibrary.org/asset/28158","Open")</f>
        <v>Open</v>
      </c>
      <c r="V548" s="19" t="s">
        <v>2639</v>
      </c>
    </row>
    <row r="549" customFormat="false" ht="15" hidden="false" customHeight="false" outlineLevel="0" collapsed="false">
      <c r="A549" s="19" t="s">
        <v>2676</v>
      </c>
      <c r="B549" s="19" t="s">
        <v>943</v>
      </c>
      <c r="C549" s="19" t="s">
        <v>944</v>
      </c>
      <c r="D549" s="19" t="s">
        <v>148</v>
      </c>
      <c r="E549" s="19" t="s">
        <v>147</v>
      </c>
      <c r="F549" s="19" t="s">
        <v>159</v>
      </c>
      <c r="G549" s="19" t="n">
        <v>58</v>
      </c>
      <c r="H549" s="19" t="s">
        <v>160</v>
      </c>
      <c r="I549" s="20" t="n">
        <v>15.744</v>
      </c>
      <c r="J549" s="19" t="n">
        <f aca="false">IF(I549="","",MIN(Overview!$B$8,MAX(1,CEILING(I549/Overview!$B$7,1))))</f>
        <v>4</v>
      </c>
      <c r="K549" s="19" t="n">
        <v>1</v>
      </c>
      <c r="L549" s="19"/>
      <c r="M549" s="20" t="n">
        <v>2</v>
      </c>
      <c r="N549" s="19"/>
      <c r="O549" s="19"/>
      <c r="P549" s="19" t="s">
        <v>2677</v>
      </c>
      <c r="Q549" s="19" t="s">
        <v>965</v>
      </c>
      <c r="R549" s="21" t="n">
        <v>44183</v>
      </c>
      <c r="S549" s="19" t="s">
        <v>1022</v>
      </c>
      <c r="T549" s="19" t="s">
        <v>2678</v>
      </c>
      <c r="U549" s="19" t="str">
        <f aca="false">HYPERLINK("https://macaulaylibrary.org/asset/289816001","Open")</f>
        <v>Open</v>
      </c>
      <c r="V549" s="19"/>
    </row>
    <row r="550" customFormat="false" ht="15" hidden="false" customHeight="false" outlineLevel="0" collapsed="false">
      <c r="A550" s="19" t="s">
        <v>2679</v>
      </c>
      <c r="B550" s="19" t="s">
        <v>943</v>
      </c>
      <c r="C550" s="19" t="s">
        <v>944</v>
      </c>
      <c r="D550" s="19" t="s">
        <v>148</v>
      </c>
      <c r="E550" s="19" t="s">
        <v>147</v>
      </c>
      <c r="F550" s="19" t="s">
        <v>159</v>
      </c>
      <c r="G550" s="19" t="n">
        <v>58</v>
      </c>
      <c r="H550" s="19" t="s">
        <v>160</v>
      </c>
      <c r="I550" s="20" t="n">
        <v>14.266</v>
      </c>
      <c r="J550" s="19" t="n">
        <f aca="false">IF(I550="","",MIN(Overview!$B$8,MAX(1,CEILING(I550/Overview!$B$7,1))))</f>
        <v>3</v>
      </c>
      <c r="K550" s="19" t="n">
        <v>1</v>
      </c>
      <c r="L550" s="19"/>
      <c r="M550" s="20" t="n">
        <v>2</v>
      </c>
      <c r="N550" s="19"/>
      <c r="O550" s="19"/>
      <c r="P550" s="19" t="s">
        <v>1784</v>
      </c>
      <c r="Q550" s="19" t="s">
        <v>1289</v>
      </c>
      <c r="R550" s="21" t="n">
        <v>42536</v>
      </c>
      <c r="S550" s="19" t="s">
        <v>1092</v>
      </c>
      <c r="T550" s="19" t="s">
        <v>2680</v>
      </c>
      <c r="U550" s="19" t="str">
        <f aca="false">HYPERLINK("https://macaulaylibrary.org/asset/32448641","Open")</f>
        <v>Open</v>
      </c>
      <c r="V550" s="19"/>
    </row>
    <row r="551" customFormat="false" ht="15" hidden="false" customHeight="false" outlineLevel="0" collapsed="false">
      <c r="A551" s="19" t="s">
        <v>2681</v>
      </c>
      <c r="B551" s="19" t="s">
        <v>943</v>
      </c>
      <c r="C551" s="19" t="s">
        <v>944</v>
      </c>
      <c r="D551" s="19" t="s">
        <v>148</v>
      </c>
      <c r="E551" s="19" t="s">
        <v>147</v>
      </c>
      <c r="F551" s="19" t="s">
        <v>159</v>
      </c>
      <c r="G551" s="19" t="n">
        <v>58</v>
      </c>
      <c r="H551" s="19" t="s">
        <v>160</v>
      </c>
      <c r="I551" s="20" t="n">
        <v>38.055</v>
      </c>
      <c r="J551" s="19" t="n">
        <f aca="false">IF(I551="","",MIN(Overview!$B$8,MAX(1,CEILING(I551/Overview!$B$7,1))))</f>
        <v>8</v>
      </c>
      <c r="K551" s="19" t="n">
        <v>1</v>
      </c>
      <c r="L551" s="19"/>
      <c r="M551" s="20" t="n">
        <v>3.5</v>
      </c>
      <c r="N551" s="19"/>
      <c r="O551" s="19"/>
      <c r="P551" s="19" t="s">
        <v>1360</v>
      </c>
      <c r="Q551" s="19" t="s">
        <v>1076</v>
      </c>
      <c r="R551" s="21" t="n">
        <v>43399</v>
      </c>
      <c r="S551" s="19" t="s">
        <v>1361</v>
      </c>
      <c r="T551" s="19" t="s">
        <v>2682</v>
      </c>
      <c r="U551" s="19" t="str">
        <f aca="false">HYPERLINK("https://macaulaylibrary.org/asset/471206431","Open")</f>
        <v>Open</v>
      </c>
      <c r="V551" s="19"/>
    </row>
    <row r="552" customFormat="false" ht="15" hidden="false" customHeight="false" outlineLevel="0" collapsed="false">
      <c r="A552" s="19" t="s">
        <v>2683</v>
      </c>
      <c r="B552" s="19" t="s">
        <v>943</v>
      </c>
      <c r="C552" s="19" t="s">
        <v>944</v>
      </c>
      <c r="D552" s="19" t="s">
        <v>148</v>
      </c>
      <c r="E552" s="19" t="s">
        <v>147</v>
      </c>
      <c r="F552" s="19" t="s">
        <v>159</v>
      </c>
      <c r="G552" s="19" t="n">
        <v>58</v>
      </c>
      <c r="H552" s="19" t="s">
        <v>160</v>
      </c>
      <c r="I552" s="20" t="n">
        <v>45.632</v>
      </c>
      <c r="J552" s="19" t="n">
        <f aca="false">IF(I552="","",MIN(Overview!$B$8,MAX(1,CEILING(I552/Overview!$B$7,1))))</f>
        <v>10</v>
      </c>
      <c r="K552" s="19" t="n">
        <v>1</v>
      </c>
      <c r="L552" s="19"/>
      <c r="M552" s="20" t="n">
        <v>1</v>
      </c>
      <c r="N552" s="19"/>
      <c r="O552" s="19" t="s">
        <v>191</v>
      </c>
      <c r="P552" s="19" t="s">
        <v>2684</v>
      </c>
      <c r="Q552" s="19" t="s">
        <v>1148</v>
      </c>
      <c r="R552" s="21" t="n">
        <v>44842</v>
      </c>
      <c r="S552" s="19" t="s">
        <v>2685</v>
      </c>
      <c r="T552" s="19" t="s">
        <v>2686</v>
      </c>
      <c r="U552" s="19" t="str">
        <f aca="false">HYPERLINK("https://macaulaylibrary.org/asset/492880471","Open")</f>
        <v>Open</v>
      </c>
      <c r="V552" s="19"/>
    </row>
    <row r="553" customFormat="false" ht="15" hidden="false" customHeight="false" outlineLevel="0" collapsed="false">
      <c r="A553" s="19" t="s">
        <v>2687</v>
      </c>
      <c r="B553" s="19" t="s">
        <v>943</v>
      </c>
      <c r="C553" s="19" t="s">
        <v>944</v>
      </c>
      <c r="D553" s="19" t="s">
        <v>148</v>
      </c>
      <c r="E553" s="19" t="s">
        <v>147</v>
      </c>
      <c r="F553" s="19" t="s">
        <v>159</v>
      </c>
      <c r="G553" s="19" t="n">
        <v>58</v>
      </c>
      <c r="H553" s="19" t="s">
        <v>160</v>
      </c>
      <c r="I553" s="20" t="n">
        <v>4.437</v>
      </c>
      <c r="J553" s="19" t="n">
        <f aca="false">IF(I553="","",MIN(Overview!$B$8,MAX(1,CEILING(I553/Overview!$B$7,1))))</f>
        <v>1</v>
      </c>
      <c r="K553" s="19" t="n">
        <v>1</v>
      </c>
      <c r="L553" s="19" t="s">
        <v>1048</v>
      </c>
      <c r="M553" s="20" t="n">
        <v>3</v>
      </c>
      <c r="N553" s="19"/>
      <c r="O553" s="19"/>
      <c r="P553" s="19" t="s">
        <v>1418</v>
      </c>
      <c r="Q553" s="19" t="s">
        <v>1204</v>
      </c>
      <c r="R553" s="21" t="n">
        <v>44609</v>
      </c>
      <c r="S553" s="19" t="s">
        <v>1419</v>
      </c>
      <c r="T553" s="19" t="s">
        <v>2688</v>
      </c>
      <c r="U553" s="19" t="str">
        <f aca="false">HYPERLINK("https://macaulaylibrary.org/asset/531098861","Open")</f>
        <v>Open</v>
      </c>
      <c r="V553" s="19"/>
    </row>
    <row r="554" customFormat="false" ht="15" hidden="false" customHeight="false" outlineLevel="0" collapsed="false">
      <c r="A554" s="19" t="s">
        <v>2689</v>
      </c>
      <c r="B554" s="19" t="s">
        <v>943</v>
      </c>
      <c r="C554" s="19" t="s">
        <v>944</v>
      </c>
      <c r="D554" s="19" t="s">
        <v>148</v>
      </c>
      <c r="E554" s="19" t="s">
        <v>147</v>
      </c>
      <c r="F554" s="19" t="s">
        <v>159</v>
      </c>
      <c r="G554" s="19" t="n">
        <v>58</v>
      </c>
      <c r="H554" s="19" t="s">
        <v>160</v>
      </c>
      <c r="I554" s="20" t="n">
        <v>4.5</v>
      </c>
      <c r="J554" s="19" t="n">
        <f aca="false">IF(I554="","",MIN(Overview!$B$8,MAX(1,CEILING(I554/Overview!$B$7,1))))</f>
        <v>1</v>
      </c>
      <c r="K554" s="19" t="n">
        <v>1</v>
      </c>
      <c r="L554" s="19" t="s">
        <v>1048</v>
      </c>
      <c r="M554" s="20"/>
      <c r="N554" s="19"/>
      <c r="O554" s="19"/>
      <c r="P554" s="19" t="s">
        <v>1935</v>
      </c>
      <c r="Q554" s="19" t="s">
        <v>1158</v>
      </c>
      <c r="R554" s="21" t="n">
        <v>44942</v>
      </c>
      <c r="S554" s="19" t="s">
        <v>1936</v>
      </c>
      <c r="T554" s="19" t="s">
        <v>2690</v>
      </c>
      <c r="U554" s="19" t="str">
        <f aca="false">HYPERLINK("https://macaulaylibrary.org/asset/543400931","Open")</f>
        <v>Open</v>
      </c>
      <c r="V554" s="19"/>
    </row>
    <row r="555" customFormat="false" ht="15" hidden="false" customHeight="false" outlineLevel="0" collapsed="false">
      <c r="A555" s="19" t="s">
        <v>2691</v>
      </c>
      <c r="B555" s="19" t="s">
        <v>943</v>
      </c>
      <c r="C555" s="19" t="s">
        <v>944</v>
      </c>
      <c r="D555" s="19" t="s">
        <v>148</v>
      </c>
      <c r="E555" s="19" t="s">
        <v>147</v>
      </c>
      <c r="F555" s="19" t="s">
        <v>159</v>
      </c>
      <c r="G555" s="19" t="n">
        <v>58</v>
      </c>
      <c r="H555" s="19" t="s">
        <v>160</v>
      </c>
      <c r="I555" s="20" t="n">
        <v>38.293</v>
      </c>
      <c r="J555" s="19" t="n">
        <f aca="false">IF(I555="","",MIN(Overview!$B$8,MAX(1,CEILING(I555/Overview!$B$7,1))))</f>
        <v>8</v>
      </c>
      <c r="K555" s="19" t="n">
        <v>1</v>
      </c>
      <c r="L555" s="19"/>
      <c r="M555" s="20" t="n">
        <v>5</v>
      </c>
      <c r="N555" s="19"/>
      <c r="O555" s="19"/>
      <c r="P555" s="19" t="s">
        <v>2692</v>
      </c>
      <c r="Q555" s="19" t="s">
        <v>1148</v>
      </c>
      <c r="R555" s="21" t="n">
        <v>45017</v>
      </c>
      <c r="S555" s="19" t="s">
        <v>2693</v>
      </c>
      <c r="T555" s="19" t="s">
        <v>2694</v>
      </c>
      <c r="U555" s="19" t="str">
        <f aca="false">HYPERLINK("https://macaulaylibrary.org/asset/553696071","Open")</f>
        <v>Open</v>
      </c>
      <c r="V555" s="19"/>
    </row>
    <row r="556" customFormat="false" ht="15" hidden="false" customHeight="false" outlineLevel="0" collapsed="false">
      <c r="A556" s="19" t="s">
        <v>2695</v>
      </c>
      <c r="B556" s="19" t="s">
        <v>943</v>
      </c>
      <c r="C556" s="19" t="s">
        <v>944</v>
      </c>
      <c r="D556" s="19" t="s">
        <v>148</v>
      </c>
      <c r="E556" s="19" t="s">
        <v>147</v>
      </c>
      <c r="F556" s="19" t="s">
        <v>159</v>
      </c>
      <c r="G556" s="19" t="n">
        <v>58</v>
      </c>
      <c r="H556" s="19" t="s">
        <v>160</v>
      </c>
      <c r="I556" s="20" t="n">
        <v>13.093</v>
      </c>
      <c r="J556" s="19" t="n">
        <f aca="false">IF(I556="","",MIN(Overview!$B$8,MAX(1,CEILING(I556/Overview!$B$7,1))))</f>
        <v>3</v>
      </c>
      <c r="K556" s="19" t="n">
        <v>1</v>
      </c>
      <c r="L556" s="19"/>
      <c r="M556" s="20"/>
      <c r="N556" s="19"/>
      <c r="O556" s="19"/>
      <c r="P556" s="19" t="s">
        <v>1170</v>
      </c>
      <c r="Q556" s="19" t="s">
        <v>1166</v>
      </c>
      <c r="R556" s="21" t="n">
        <v>44900</v>
      </c>
      <c r="S556" s="19" t="s">
        <v>1092</v>
      </c>
      <c r="T556" s="19" t="s">
        <v>2696</v>
      </c>
      <c r="U556" s="19" t="str">
        <f aca="false">HYPERLINK("https://macaulaylibrary.org/asset/597934261","Open")</f>
        <v>Open</v>
      </c>
      <c r="V556" s="19"/>
    </row>
    <row r="557" customFormat="false" ht="15" hidden="false" customHeight="false" outlineLevel="0" collapsed="false">
      <c r="A557" s="19" t="s">
        <v>2697</v>
      </c>
      <c r="B557" s="19" t="s">
        <v>943</v>
      </c>
      <c r="C557" s="19" t="s">
        <v>944</v>
      </c>
      <c r="D557" s="19" t="s">
        <v>148</v>
      </c>
      <c r="E557" s="19" t="s">
        <v>147</v>
      </c>
      <c r="F557" s="19" t="s">
        <v>159</v>
      </c>
      <c r="G557" s="19" t="n">
        <v>58</v>
      </c>
      <c r="H557" s="19" t="s">
        <v>160</v>
      </c>
      <c r="I557" s="20" t="n">
        <v>15.7</v>
      </c>
      <c r="J557" s="19" t="n">
        <f aca="false">IF(I557="","",MIN(Overview!$B$8,MAX(1,CEILING(I557/Overview!$B$7,1))))</f>
        <v>4</v>
      </c>
      <c r="K557" s="19" t="n">
        <v>1</v>
      </c>
      <c r="L557" s="19"/>
      <c r="M557" s="20" t="n">
        <v>3</v>
      </c>
      <c r="N557" s="19"/>
      <c r="O557" s="19"/>
      <c r="P557" s="19" t="s">
        <v>2698</v>
      </c>
      <c r="Q557" s="19" t="s">
        <v>1310</v>
      </c>
      <c r="R557" s="21" t="n">
        <v>44938</v>
      </c>
      <c r="S557" s="19" t="s">
        <v>966</v>
      </c>
      <c r="T557" s="19" t="s">
        <v>2699</v>
      </c>
      <c r="U557" s="19" t="str">
        <f aca="false">HYPERLINK("https://macaulaylibrary.org/asset/612714881","Open")</f>
        <v>Open</v>
      </c>
      <c r="V557" s="19"/>
    </row>
    <row r="558" customFormat="false" ht="15" hidden="false" customHeight="false" outlineLevel="0" collapsed="false">
      <c r="A558" s="19" t="s">
        <v>2700</v>
      </c>
      <c r="B558" s="19" t="s">
        <v>943</v>
      </c>
      <c r="C558" s="19" t="s">
        <v>944</v>
      </c>
      <c r="D558" s="19" t="s">
        <v>148</v>
      </c>
      <c r="E558" s="19" t="s">
        <v>147</v>
      </c>
      <c r="F558" s="19" t="s">
        <v>159</v>
      </c>
      <c r="G558" s="19" t="n">
        <v>58</v>
      </c>
      <c r="H558" s="19" t="s">
        <v>160</v>
      </c>
      <c r="I558" s="20" t="n">
        <v>52.544</v>
      </c>
      <c r="J558" s="19" t="n">
        <f aca="false">IF(I558="","",MIN(Overview!$B$8,MAX(1,CEILING(I558/Overview!$B$7,1))))</f>
        <v>11</v>
      </c>
      <c r="K558" s="19" t="n">
        <v>1</v>
      </c>
      <c r="L558" s="19"/>
      <c r="M558" s="20" t="n">
        <v>3</v>
      </c>
      <c r="N558" s="19"/>
      <c r="O558" s="19"/>
      <c r="P558" s="19" t="s">
        <v>2701</v>
      </c>
      <c r="Q558" s="19" t="s">
        <v>1324</v>
      </c>
      <c r="R558" s="21" t="n">
        <v>45367</v>
      </c>
      <c r="S558" s="19" t="s">
        <v>2702</v>
      </c>
      <c r="T558" s="19" t="s">
        <v>2703</v>
      </c>
      <c r="U558" s="19" t="str">
        <f aca="false">HYPERLINK("https://macaulaylibrary.org/asset/616167559","Open")</f>
        <v>Open</v>
      </c>
      <c r="V558" s="19"/>
    </row>
    <row r="559" customFormat="false" ht="15" hidden="false" customHeight="false" outlineLevel="0" collapsed="false">
      <c r="A559" s="19" t="s">
        <v>2704</v>
      </c>
      <c r="B559" s="19" t="s">
        <v>943</v>
      </c>
      <c r="C559" s="19" t="s">
        <v>944</v>
      </c>
      <c r="D559" s="19" t="s">
        <v>148</v>
      </c>
      <c r="E559" s="19" t="s">
        <v>147</v>
      </c>
      <c r="F559" s="19" t="s">
        <v>159</v>
      </c>
      <c r="G559" s="19" t="n">
        <v>58</v>
      </c>
      <c r="H559" s="19" t="s">
        <v>160</v>
      </c>
      <c r="I559" s="20" t="n">
        <v>4.851</v>
      </c>
      <c r="J559" s="19" t="n">
        <f aca="false">IF(I559="","",MIN(Overview!$B$8,MAX(1,CEILING(I559/Overview!$B$7,1))))</f>
        <v>1</v>
      </c>
      <c r="K559" s="19" t="n">
        <v>1</v>
      </c>
      <c r="L559" s="19" t="s">
        <v>1048</v>
      </c>
      <c r="M559" s="20" t="n">
        <v>3</v>
      </c>
      <c r="N559" s="19"/>
      <c r="O559" s="19"/>
      <c r="P559" s="19" t="s">
        <v>2705</v>
      </c>
      <c r="Q559" s="19" t="s">
        <v>1458</v>
      </c>
      <c r="R559" s="21" t="n">
        <v>45176</v>
      </c>
      <c r="S559" s="19" t="s">
        <v>1087</v>
      </c>
      <c r="T559" s="19" t="s">
        <v>2706</v>
      </c>
      <c r="U559" s="19" t="str">
        <f aca="false">HYPERLINK("https://macaulaylibrary.org/asset/617983555","Open")</f>
        <v>Open</v>
      </c>
      <c r="V559" s="19"/>
    </row>
    <row r="560" customFormat="false" ht="15" hidden="false" customHeight="false" outlineLevel="0" collapsed="false">
      <c r="A560" s="19" t="s">
        <v>2707</v>
      </c>
      <c r="B560" s="19" t="s">
        <v>943</v>
      </c>
      <c r="C560" s="19" t="s">
        <v>944</v>
      </c>
      <c r="D560" s="19" t="s">
        <v>148</v>
      </c>
      <c r="E560" s="19" t="s">
        <v>147</v>
      </c>
      <c r="F560" s="19" t="s">
        <v>159</v>
      </c>
      <c r="G560" s="19" t="n">
        <v>58</v>
      </c>
      <c r="H560" s="19" t="s">
        <v>160</v>
      </c>
      <c r="I560" s="20" t="n">
        <v>65</v>
      </c>
      <c r="J560" s="19" t="n">
        <f aca="false">IF(I560="","",MIN(Overview!$B$8,MAX(1,CEILING(I560/Overview!$B$7,1))))</f>
        <v>13</v>
      </c>
      <c r="K560" s="19" t="n">
        <v>1</v>
      </c>
      <c r="L560" s="19"/>
      <c r="M560" s="20" t="n">
        <v>4</v>
      </c>
      <c r="N560" s="19"/>
      <c r="O560" s="19"/>
      <c r="P560" s="19" t="s">
        <v>2708</v>
      </c>
      <c r="Q560" s="19" t="s">
        <v>1258</v>
      </c>
      <c r="R560" s="21" t="n">
        <v>45229</v>
      </c>
      <c r="S560" s="19" t="s">
        <v>2542</v>
      </c>
      <c r="T560" s="19" t="s">
        <v>2709</v>
      </c>
      <c r="U560" s="19" t="str">
        <f aca="false">HYPERLINK("https://macaulaylibrary.org/asset/621759330","Open")</f>
        <v>Open</v>
      </c>
      <c r="V560" s="19"/>
    </row>
    <row r="561" customFormat="false" ht="15" hidden="false" customHeight="false" outlineLevel="0" collapsed="false">
      <c r="A561" s="19" t="s">
        <v>2710</v>
      </c>
      <c r="B561" s="19" t="s">
        <v>943</v>
      </c>
      <c r="C561" s="19" t="s">
        <v>944</v>
      </c>
      <c r="D561" s="19" t="s">
        <v>148</v>
      </c>
      <c r="E561" s="19" t="s">
        <v>147</v>
      </c>
      <c r="F561" s="19" t="s">
        <v>159</v>
      </c>
      <c r="G561" s="19" t="n">
        <v>58</v>
      </c>
      <c r="H561" s="19" t="s">
        <v>160</v>
      </c>
      <c r="I561" s="20" t="n">
        <v>295.16</v>
      </c>
      <c r="J561" s="19" t="n">
        <f aca="false">IF(I561="","",MIN(Overview!$B$8,MAX(1,CEILING(I561/Overview!$B$7,1))))</f>
        <v>60</v>
      </c>
      <c r="K561" s="19" t="n">
        <v>1</v>
      </c>
      <c r="L561" s="19"/>
      <c r="M561" s="20" t="n">
        <v>3.5</v>
      </c>
      <c r="N561" s="19"/>
      <c r="O561" s="19"/>
      <c r="P561" s="19" t="s">
        <v>1367</v>
      </c>
      <c r="Q561" s="19" t="s">
        <v>1368</v>
      </c>
      <c r="R561" s="21" t="n">
        <v>45488</v>
      </c>
      <c r="S561" s="19" t="s">
        <v>1369</v>
      </c>
      <c r="T561" s="19" t="s">
        <v>2711</v>
      </c>
      <c r="U561" s="19" t="str">
        <f aca="false">HYPERLINK("https://macaulaylibrary.org/asset/622575665","Open")</f>
        <v>Open</v>
      </c>
      <c r="V561" s="19"/>
    </row>
    <row r="562" customFormat="false" ht="15" hidden="false" customHeight="false" outlineLevel="0" collapsed="false">
      <c r="A562" s="19" t="s">
        <v>2712</v>
      </c>
      <c r="B562" s="19" t="s">
        <v>943</v>
      </c>
      <c r="C562" s="19" t="s">
        <v>944</v>
      </c>
      <c r="D562" s="19" t="s">
        <v>148</v>
      </c>
      <c r="E562" s="19" t="s">
        <v>147</v>
      </c>
      <c r="F562" s="19" t="s">
        <v>159</v>
      </c>
      <c r="G562" s="19" t="n">
        <v>58</v>
      </c>
      <c r="H562" s="19" t="s">
        <v>160</v>
      </c>
      <c r="I562" s="20" t="n">
        <v>28.8</v>
      </c>
      <c r="J562" s="19" t="n">
        <f aca="false">IF(I562="","",MIN(Overview!$B$8,MAX(1,CEILING(I562/Overview!$B$7,1))))</f>
        <v>6</v>
      </c>
      <c r="K562" s="19" t="n">
        <v>1</v>
      </c>
      <c r="L562" s="19"/>
      <c r="M562" s="20" t="n">
        <v>3</v>
      </c>
      <c r="N562" s="19"/>
      <c r="O562" s="19"/>
      <c r="P562" s="19" t="s">
        <v>2713</v>
      </c>
      <c r="Q562" s="19" t="s">
        <v>965</v>
      </c>
      <c r="R562" s="21" t="n">
        <v>45640</v>
      </c>
      <c r="S562" s="19" t="s">
        <v>2714</v>
      </c>
      <c r="T562" s="19" t="s">
        <v>2715</v>
      </c>
      <c r="U562" s="19" t="str">
        <f aca="false">HYPERLINK("https://macaulaylibrary.org/asset/627957696","Open")</f>
        <v>Open</v>
      </c>
      <c r="V562" s="19"/>
    </row>
    <row r="563" customFormat="false" ht="15" hidden="false" customHeight="false" outlineLevel="0" collapsed="false">
      <c r="A563" s="19" t="s">
        <v>2716</v>
      </c>
      <c r="B563" s="19" t="s">
        <v>943</v>
      </c>
      <c r="C563" s="19" t="s">
        <v>944</v>
      </c>
      <c r="D563" s="19" t="s">
        <v>148</v>
      </c>
      <c r="E563" s="19" t="s">
        <v>147</v>
      </c>
      <c r="F563" s="19" t="s">
        <v>159</v>
      </c>
      <c r="G563" s="19" t="n">
        <v>58</v>
      </c>
      <c r="H563" s="19" t="s">
        <v>160</v>
      </c>
      <c r="I563" s="20" t="n">
        <v>107.185</v>
      </c>
      <c r="J563" s="19" t="n">
        <f aca="false">IF(I563="","",MIN(Overview!$B$8,MAX(1,CEILING(I563/Overview!$B$7,1))))</f>
        <v>22</v>
      </c>
      <c r="K563" s="19" t="n">
        <v>1</v>
      </c>
      <c r="L563" s="19"/>
      <c r="M563" s="20"/>
      <c r="N563" s="19"/>
      <c r="O563" s="19" t="s">
        <v>2717</v>
      </c>
      <c r="P563" s="19" t="s">
        <v>2718</v>
      </c>
      <c r="Q563" s="19" t="s">
        <v>1191</v>
      </c>
      <c r="R563" s="21" t="n">
        <v>45714</v>
      </c>
      <c r="S563" s="19" t="s">
        <v>2719</v>
      </c>
      <c r="T563" s="19" t="s">
        <v>2720</v>
      </c>
      <c r="U563" s="19" t="str">
        <f aca="false">HYPERLINK("https://macaulaylibrary.org/asset/634072587","Open")</f>
        <v>Open</v>
      </c>
      <c r="V563" s="19"/>
    </row>
    <row r="564" customFormat="false" ht="15" hidden="false" customHeight="false" outlineLevel="0" collapsed="false">
      <c r="A564" s="19" t="s">
        <v>2721</v>
      </c>
      <c r="B564" s="19" t="s">
        <v>943</v>
      </c>
      <c r="C564" s="19" t="s">
        <v>944</v>
      </c>
      <c r="D564" s="19" t="s">
        <v>148</v>
      </c>
      <c r="E564" s="19" t="s">
        <v>147</v>
      </c>
      <c r="F564" s="19" t="s">
        <v>159</v>
      </c>
      <c r="G564" s="19" t="n">
        <v>58</v>
      </c>
      <c r="H564" s="19" t="s">
        <v>160</v>
      </c>
      <c r="I564" s="20" t="n">
        <v>34.859</v>
      </c>
      <c r="J564" s="19" t="n">
        <f aca="false">IF(I564="","",MIN(Overview!$B$8,MAX(1,CEILING(I564/Overview!$B$7,1))))</f>
        <v>7</v>
      </c>
      <c r="K564" s="19" t="n">
        <v>1</v>
      </c>
      <c r="L564" s="19"/>
      <c r="M564" s="20"/>
      <c r="N564" s="19"/>
      <c r="O564" s="19"/>
      <c r="P564" s="19" t="s">
        <v>2722</v>
      </c>
      <c r="Q564" s="19" t="s">
        <v>2385</v>
      </c>
      <c r="R564" s="21" t="n">
        <v>45843</v>
      </c>
      <c r="S564" s="19" t="s">
        <v>2723</v>
      </c>
      <c r="T564" s="19" t="s">
        <v>2724</v>
      </c>
      <c r="U564" s="19" t="str">
        <f aca="false">HYPERLINK("https://macaulaylibrary.org/asset/639078933","Open")</f>
        <v>Open</v>
      </c>
      <c r="V564" s="19"/>
    </row>
    <row r="565" customFormat="false" ht="15" hidden="false" customHeight="false" outlineLevel="0" collapsed="false">
      <c r="A565" s="19" t="s">
        <v>2725</v>
      </c>
      <c r="B565" s="19" t="s">
        <v>943</v>
      </c>
      <c r="C565" s="19" t="s">
        <v>944</v>
      </c>
      <c r="D565" s="19" t="s">
        <v>148</v>
      </c>
      <c r="E565" s="19" t="s">
        <v>147</v>
      </c>
      <c r="F565" s="19" t="s">
        <v>159</v>
      </c>
      <c r="G565" s="19" t="n">
        <v>58</v>
      </c>
      <c r="H565" s="19" t="s">
        <v>160</v>
      </c>
      <c r="I565" s="20" t="n">
        <v>28.757</v>
      </c>
      <c r="J565" s="19" t="n">
        <f aca="false">IF(I565="","",MIN(Overview!$B$8,MAX(1,CEILING(I565/Overview!$B$7,1))))</f>
        <v>6</v>
      </c>
      <c r="K565" s="19" t="n">
        <v>1</v>
      </c>
      <c r="L565" s="19"/>
      <c r="M565" s="20"/>
      <c r="N565" s="19"/>
      <c r="O565" s="19"/>
      <c r="P565" s="19" t="s">
        <v>2722</v>
      </c>
      <c r="Q565" s="19" t="s">
        <v>2385</v>
      </c>
      <c r="R565" s="21" t="n">
        <v>45843</v>
      </c>
      <c r="S565" s="19" t="s">
        <v>2723</v>
      </c>
      <c r="T565" s="19" t="s">
        <v>2726</v>
      </c>
      <c r="U565" s="19" t="str">
        <f aca="false">HYPERLINK("https://macaulaylibrary.org/asset/639078934","Open")</f>
        <v>Open</v>
      </c>
      <c r="V565" s="19"/>
    </row>
    <row r="566" customFormat="false" ht="15" hidden="false" customHeight="false" outlineLevel="0" collapsed="false">
      <c r="A566" s="19" t="s">
        <v>2727</v>
      </c>
      <c r="B566" s="19" t="s">
        <v>943</v>
      </c>
      <c r="C566" s="19" t="s">
        <v>944</v>
      </c>
      <c r="D566" s="19" t="s">
        <v>148</v>
      </c>
      <c r="E566" s="19" t="s">
        <v>147</v>
      </c>
      <c r="F566" s="19" t="s">
        <v>159</v>
      </c>
      <c r="G566" s="19" t="n">
        <v>58</v>
      </c>
      <c r="H566" s="19" t="s">
        <v>160</v>
      </c>
      <c r="I566" s="20" t="n">
        <v>13.373</v>
      </c>
      <c r="J566" s="19" t="n">
        <f aca="false">IF(I566="","",MIN(Overview!$B$8,MAX(1,CEILING(I566/Overview!$B$7,1))))</f>
        <v>3</v>
      </c>
      <c r="K566" s="19" t="n">
        <v>1</v>
      </c>
      <c r="L566" s="19"/>
      <c r="M566" s="20"/>
      <c r="N566" s="19"/>
      <c r="O566" s="19"/>
      <c r="P566" s="19" t="s">
        <v>1090</v>
      </c>
      <c r="Q566" s="19" t="s">
        <v>1091</v>
      </c>
      <c r="R566" s="21" t="n">
        <v>45845</v>
      </c>
      <c r="S566" s="19" t="s">
        <v>1092</v>
      </c>
      <c r="T566" s="19" t="s">
        <v>2728</v>
      </c>
      <c r="U566" s="19" t="str">
        <f aca="false">HYPERLINK("https://macaulaylibrary.org/asset/639176041","Open")</f>
        <v>Open</v>
      </c>
      <c r="V566" s="19"/>
    </row>
    <row r="567" customFormat="false" ht="15" hidden="false" customHeight="false" outlineLevel="0" collapsed="false">
      <c r="A567" s="19" t="s">
        <v>2729</v>
      </c>
      <c r="B567" s="19" t="s">
        <v>943</v>
      </c>
      <c r="C567" s="19" t="s">
        <v>944</v>
      </c>
      <c r="D567" s="19" t="s">
        <v>148</v>
      </c>
      <c r="E567" s="19" t="s">
        <v>147</v>
      </c>
      <c r="F567" s="19" t="s">
        <v>159</v>
      </c>
      <c r="G567" s="19" t="n">
        <v>58</v>
      </c>
      <c r="H567" s="19" t="s">
        <v>160</v>
      </c>
      <c r="I567" s="20" t="n">
        <v>4.867</v>
      </c>
      <c r="J567" s="19" t="n">
        <f aca="false">IF(I567="","",MIN(Overview!$B$8,MAX(1,CEILING(I567/Overview!$B$7,1))))</f>
        <v>1</v>
      </c>
      <c r="K567" s="19" t="n">
        <v>1</v>
      </c>
      <c r="L567" s="19" t="s">
        <v>1048</v>
      </c>
      <c r="M567" s="20" t="n">
        <v>5</v>
      </c>
      <c r="N567" s="19"/>
      <c r="O567" s="19"/>
      <c r="P567" s="19" t="s">
        <v>2730</v>
      </c>
      <c r="Q567" s="19" t="s">
        <v>1463</v>
      </c>
      <c r="R567" s="21" t="n">
        <v>44961</v>
      </c>
      <c r="S567" s="19" t="s">
        <v>1986</v>
      </c>
      <c r="T567" s="19" t="s">
        <v>2731</v>
      </c>
      <c r="U567" s="19" t="str">
        <f aca="false">HYPERLINK("https://macaulaylibrary.org/asset/648333551","Open")</f>
        <v>Open</v>
      </c>
      <c r="V567" s="19"/>
    </row>
    <row r="568" customFormat="false" ht="15" hidden="false" customHeight="false" outlineLevel="0" collapsed="false">
      <c r="A568" s="19" t="s">
        <v>2732</v>
      </c>
      <c r="B568" s="19" t="s">
        <v>943</v>
      </c>
      <c r="C568" s="19" t="s">
        <v>944</v>
      </c>
      <c r="D568" s="19" t="s">
        <v>148</v>
      </c>
      <c r="E568" s="19" t="s">
        <v>147</v>
      </c>
      <c r="F568" s="19" t="s">
        <v>159</v>
      </c>
      <c r="G568" s="19" t="n">
        <v>58</v>
      </c>
      <c r="H568" s="19" t="s">
        <v>160</v>
      </c>
      <c r="I568" s="20" t="n">
        <v>22.515</v>
      </c>
      <c r="J568" s="19" t="n">
        <f aca="false">IF(I568="","",MIN(Overview!$B$8,MAX(1,CEILING(I568/Overview!$B$7,1))))</f>
        <v>5</v>
      </c>
      <c r="K568" s="19" t="n">
        <v>1</v>
      </c>
      <c r="L568" s="19"/>
      <c r="M568" s="20"/>
      <c r="N568" s="19"/>
      <c r="O568" s="19" t="s">
        <v>197</v>
      </c>
      <c r="P568" s="19" t="s">
        <v>1386</v>
      </c>
      <c r="Q568" s="19" t="s">
        <v>1382</v>
      </c>
      <c r="R568" s="21" t="n">
        <v>46103</v>
      </c>
      <c r="S568" s="19" t="s">
        <v>1387</v>
      </c>
      <c r="T568" s="19" t="s">
        <v>2733</v>
      </c>
      <c r="U568" s="19" t="str">
        <f aca="false">HYPERLINK("https://macaulaylibrary.org/asset/654320353","Open")</f>
        <v>Open</v>
      </c>
      <c r="V568" s="19"/>
    </row>
    <row r="569" customFormat="false" ht="15" hidden="false" customHeight="false" outlineLevel="0" collapsed="false">
      <c r="A569" s="19" t="s">
        <v>2734</v>
      </c>
      <c r="B569" s="19" t="s">
        <v>943</v>
      </c>
      <c r="C569" s="19" t="s">
        <v>944</v>
      </c>
      <c r="D569" s="19" t="s">
        <v>148</v>
      </c>
      <c r="E569" s="19" t="s">
        <v>147</v>
      </c>
      <c r="F569" s="19" t="s">
        <v>159</v>
      </c>
      <c r="G569" s="19" t="n">
        <v>58</v>
      </c>
      <c r="H569" s="19" t="s">
        <v>160</v>
      </c>
      <c r="I569" s="20" t="n">
        <v>19.132</v>
      </c>
      <c r="J569" s="19" t="n">
        <f aca="false">IF(I569="","",MIN(Overview!$B$8,MAX(1,CEILING(I569/Overview!$B$7,1))))</f>
        <v>4</v>
      </c>
      <c r="K569" s="19" t="n">
        <v>1</v>
      </c>
      <c r="L569" s="19"/>
      <c r="M569" s="20"/>
      <c r="N569" s="19"/>
      <c r="O569" s="19" t="s">
        <v>181</v>
      </c>
      <c r="P569" s="19" t="s">
        <v>2168</v>
      </c>
      <c r="Q569" s="19" t="s">
        <v>1382</v>
      </c>
      <c r="R569" s="21" t="n">
        <v>46104</v>
      </c>
      <c r="S569" s="19" t="s">
        <v>1259</v>
      </c>
      <c r="T569" s="19" t="s">
        <v>2735</v>
      </c>
      <c r="U569" s="19" t="str">
        <f aca="false">HYPERLINK("https://macaulaylibrary.org/asset/654599405","Open")</f>
        <v>Open</v>
      </c>
      <c r="V569" s="19"/>
    </row>
    <row r="570" customFormat="false" ht="15" hidden="false" customHeight="false" outlineLevel="0" collapsed="false">
      <c r="A570" s="19" t="s">
        <v>2736</v>
      </c>
      <c r="B570" s="19" t="s">
        <v>943</v>
      </c>
      <c r="C570" s="19" t="s">
        <v>944</v>
      </c>
      <c r="D570" s="19" t="s">
        <v>148</v>
      </c>
      <c r="E570" s="19" t="s">
        <v>147</v>
      </c>
      <c r="F570" s="19" t="s">
        <v>159</v>
      </c>
      <c r="G570" s="19" t="n">
        <v>58</v>
      </c>
      <c r="H570" s="19" t="s">
        <v>160</v>
      </c>
      <c r="I570" s="20" t="n">
        <v>38.985</v>
      </c>
      <c r="J570" s="19" t="n">
        <f aca="false">IF(I570="","",MIN(Overview!$B$8,MAX(1,CEILING(I570/Overview!$B$7,1))))</f>
        <v>8</v>
      </c>
      <c r="K570" s="19" t="n">
        <v>1</v>
      </c>
      <c r="L570" s="19"/>
      <c r="M570" s="20"/>
      <c r="N570" s="19"/>
      <c r="O570" s="19"/>
      <c r="P570" s="19" t="s">
        <v>2168</v>
      </c>
      <c r="Q570" s="19" t="s">
        <v>1382</v>
      </c>
      <c r="R570" s="21" t="n">
        <v>46104</v>
      </c>
      <c r="S570" s="19" t="s">
        <v>1259</v>
      </c>
      <c r="T570" s="19" t="s">
        <v>2737</v>
      </c>
      <c r="U570" s="19" t="str">
        <f aca="false">HYPERLINK("https://macaulaylibrary.org/asset/654599952","Open")</f>
        <v>Open</v>
      </c>
      <c r="V570" s="19"/>
    </row>
    <row r="571" customFormat="false" ht="15" hidden="false" customHeight="false" outlineLevel="0" collapsed="false">
      <c r="A571" s="19" t="s">
        <v>2738</v>
      </c>
      <c r="B571" s="19" t="s">
        <v>943</v>
      </c>
      <c r="C571" s="19" t="s">
        <v>944</v>
      </c>
      <c r="D571" s="19" t="s">
        <v>148</v>
      </c>
      <c r="E571" s="19" t="s">
        <v>147</v>
      </c>
      <c r="F571" s="19" t="s">
        <v>159</v>
      </c>
      <c r="G571" s="19" t="n">
        <v>58</v>
      </c>
      <c r="H571" s="19" t="s">
        <v>160</v>
      </c>
      <c r="I571" s="20" t="n">
        <v>62.218</v>
      </c>
      <c r="J571" s="19" t="n">
        <f aca="false">IF(I571="","",MIN(Overview!$B$8,MAX(1,CEILING(I571/Overview!$B$7,1))))</f>
        <v>13</v>
      </c>
      <c r="K571" s="19" t="n">
        <v>1</v>
      </c>
      <c r="L571" s="19"/>
      <c r="M571" s="20"/>
      <c r="N571" s="19"/>
      <c r="O571" s="19" t="s">
        <v>169</v>
      </c>
      <c r="P571" s="19" t="s">
        <v>1650</v>
      </c>
      <c r="Q571" s="19" t="s">
        <v>1382</v>
      </c>
      <c r="R571" s="21" t="n">
        <v>46104</v>
      </c>
      <c r="S571" s="19" t="s">
        <v>1651</v>
      </c>
      <c r="T571" s="19" t="s">
        <v>2739</v>
      </c>
      <c r="U571" s="19" t="str">
        <f aca="false">HYPERLINK("https://macaulaylibrary.org/asset/654658840","Open")</f>
        <v>Open</v>
      </c>
      <c r="V571" s="19"/>
    </row>
    <row r="572" customFormat="false" ht="15" hidden="false" customHeight="false" outlineLevel="0" collapsed="false">
      <c r="A572" s="19" t="s">
        <v>2740</v>
      </c>
      <c r="B572" s="19" t="s">
        <v>943</v>
      </c>
      <c r="C572" s="19" t="s">
        <v>944</v>
      </c>
      <c r="D572" s="19" t="s">
        <v>148</v>
      </c>
      <c r="E572" s="19" t="s">
        <v>147</v>
      </c>
      <c r="F572" s="19" t="s">
        <v>159</v>
      </c>
      <c r="G572" s="19" t="n">
        <v>58</v>
      </c>
      <c r="H572" s="19" t="s">
        <v>160</v>
      </c>
      <c r="I572" s="20" t="n">
        <v>13.511</v>
      </c>
      <c r="J572" s="19" t="n">
        <f aca="false">IF(I572="","",MIN(Overview!$B$8,MAX(1,CEILING(I572/Overview!$B$7,1))))</f>
        <v>3</v>
      </c>
      <c r="K572" s="19" t="n">
        <v>1</v>
      </c>
      <c r="L572" s="19"/>
      <c r="M572" s="20"/>
      <c r="N572" s="19"/>
      <c r="O572" s="19"/>
      <c r="P572" s="19" t="s">
        <v>1650</v>
      </c>
      <c r="Q572" s="19" t="s">
        <v>1382</v>
      </c>
      <c r="R572" s="21" t="n">
        <v>46104</v>
      </c>
      <c r="S572" s="19" t="s">
        <v>1651</v>
      </c>
      <c r="T572" s="19" t="s">
        <v>2741</v>
      </c>
      <c r="U572" s="19" t="str">
        <f aca="false">HYPERLINK("https://macaulaylibrary.org/asset/654659127","Open")</f>
        <v>Open</v>
      </c>
      <c r="V572" s="19"/>
    </row>
    <row r="573" customFormat="false" ht="15" hidden="false" customHeight="false" outlineLevel="0" collapsed="false">
      <c r="A573" s="19" t="s">
        <v>2742</v>
      </c>
      <c r="B573" s="19" t="s">
        <v>943</v>
      </c>
      <c r="C573" s="19" t="s">
        <v>944</v>
      </c>
      <c r="D573" s="19" t="s">
        <v>148</v>
      </c>
      <c r="E573" s="19" t="s">
        <v>147</v>
      </c>
      <c r="F573" s="19" t="s">
        <v>159</v>
      </c>
      <c r="G573" s="19" t="n">
        <v>58</v>
      </c>
      <c r="H573" s="19" t="s">
        <v>160</v>
      </c>
      <c r="I573" s="20" t="n">
        <v>72.247</v>
      </c>
      <c r="J573" s="19" t="n">
        <f aca="false">IF(I573="","",MIN(Overview!$B$8,MAX(1,CEILING(I573/Overview!$B$7,1))))</f>
        <v>15</v>
      </c>
      <c r="K573" s="19" t="n">
        <v>1</v>
      </c>
      <c r="L573" s="19"/>
      <c r="M573" s="20" t="n">
        <v>4</v>
      </c>
      <c r="N573" s="19"/>
      <c r="O573" s="19"/>
      <c r="P573" s="19" t="s">
        <v>2743</v>
      </c>
      <c r="Q573" s="19" t="s">
        <v>2744</v>
      </c>
      <c r="R573" s="21" t="n">
        <v>44469</v>
      </c>
      <c r="S573" s="19" t="s">
        <v>2745</v>
      </c>
      <c r="T573" s="19" t="s">
        <v>2746</v>
      </c>
      <c r="U573" s="19" t="str">
        <f aca="false">HYPERLINK("https://macaulaylibrary.org/asset/655713688","Open")</f>
        <v>Open</v>
      </c>
      <c r="V573" s="19"/>
    </row>
    <row r="574" customFormat="false" ht="15" hidden="false" customHeight="false" outlineLevel="0" collapsed="false">
      <c r="A574" s="19" t="s">
        <v>2747</v>
      </c>
      <c r="B574" s="19" t="s">
        <v>943</v>
      </c>
      <c r="C574" s="19" t="s">
        <v>944</v>
      </c>
      <c r="D574" s="19" t="s">
        <v>148</v>
      </c>
      <c r="E574" s="19" t="s">
        <v>147</v>
      </c>
      <c r="F574" s="19" t="s">
        <v>159</v>
      </c>
      <c r="G574" s="19" t="n">
        <v>58</v>
      </c>
      <c r="H574" s="19" t="s">
        <v>160</v>
      </c>
      <c r="I574" s="20" t="n">
        <v>102.577</v>
      </c>
      <c r="J574" s="19" t="n">
        <f aca="false">IF(I574="","",MIN(Overview!$B$8,MAX(1,CEILING(I574/Overview!$B$7,1))))</f>
        <v>21</v>
      </c>
      <c r="K574" s="19" t="n">
        <v>1</v>
      </c>
      <c r="L574" s="19"/>
      <c r="M574" s="20" t="n">
        <v>1</v>
      </c>
      <c r="N574" s="19"/>
      <c r="O574" s="19"/>
      <c r="P574" s="19" t="s">
        <v>1225</v>
      </c>
      <c r="Q574" s="19" t="s">
        <v>1226</v>
      </c>
      <c r="R574" s="21" t="n">
        <v>21274</v>
      </c>
      <c r="S574" s="19" t="s">
        <v>1002</v>
      </c>
      <c r="T574" s="19" t="s">
        <v>2748</v>
      </c>
      <c r="U574" s="19" t="str">
        <f aca="false">HYPERLINK("https://macaulaylibrary.org/asset/6994","Open")</f>
        <v>Open</v>
      </c>
      <c r="V574" s="19" t="s">
        <v>2639</v>
      </c>
    </row>
    <row r="575" customFormat="false" ht="15" hidden="false" customHeight="false" outlineLevel="0" collapsed="false">
      <c r="A575" s="19" t="s">
        <v>2749</v>
      </c>
      <c r="B575" s="19" t="s">
        <v>943</v>
      </c>
      <c r="C575" s="19" t="s">
        <v>944</v>
      </c>
      <c r="D575" s="19" t="s">
        <v>148</v>
      </c>
      <c r="E575" s="19" t="s">
        <v>147</v>
      </c>
      <c r="F575" s="19" t="s">
        <v>159</v>
      </c>
      <c r="G575" s="19" t="n">
        <v>58</v>
      </c>
      <c r="H575" s="19" t="s">
        <v>160</v>
      </c>
      <c r="I575" s="20" t="n">
        <v>163.494</v>
      </c>
      <c r="J575" s="19" t="n">
        <f aca="false">IF(I575="","",MIN(Overview!$B$8,MAX(1,CEILING(I575/Overview!$B$7,1))))</f>
        <v>33</v>
      </c>
      <c r="K575" s="19" t="n">
        <v>1</v>
      </c>
      <c r="L575" s="19"/>
      <c r="M575" s="20" t="n">
        <v>4</v>
      </c>
      <c r="N575" s="19"/>
      <c r="O575" s="19"/>
      <c r="P575" s="19" t="s">
        <v>2750</v>
      </c>
      <c r="Q575" s="19" t="s">
        <v>1021</v>
      </c>
      <c r="R575" s="21" t="n">
        <v>35859</v>
      </c>
      <c r="S575" s="19" t="s">
        <v>1658</v>
      </c>
      <c r="T575" s="19" t="s">
        <v>2751</v>
      </c>
      <c r="U575" s="19" t="str">
        <f aca="false">HYPERLINK("https://macaulaylibrary.org/asset/97068241","Open")</f>
        <v>Open</v>
      </c>
      <c r="V575" s="19"/>
    </row>
    <row r="576" customFormat="false" ht="15" hidden="false" customHeight="false" outlineLevel="0" collapsed="false">
      <c r="A576" s="19" t="s">
        <v>2752</v>
      </c>
      <c r="B576" s="19" t="s">
        <v>943</v>
      </c>
      <c r="C576" s="19" t="s">
        <v>944</v>
      </c>
      <c r="D576" s="19" t="s">
        <v>148</v>
      </c>
      <c r="E576" s="19" t="s">
        <v>147</v>
      </c>
      <c r="F576" s="19" t="s">
        <v>159</v>
      </c>
      <c r="G576" s="19" t="n">
        <v>58</v>
      </c>
      <c r="H576" s="19" t="s">
        <v>160</v>
      </c>
      <c r="I576" s="20" t="n">
        <v>200.693</v>
      </c>
      <c r="J576" s="19" t="n">
        <f aca="false">IF(I576="","",MIN(Overview!$B$8,MAX(1,CEILING(I576/Overview!$B$7,1))))</f>
        <v>41</v>
      </c>
      <c r="K576" s="19" t="n">
        <v>1</v>
      </c>
      <c r="L576" s="19"/>
      <c r="M576" s="20" t="n">
        <v>4</v>
      </c>
      <c r="N576" s="19"/>
      <c r="O576" s="19"/>
      <c r="P576" s="19" t="s">
        <v>2750</v>
      </c>
      <c r="Q576" s="19" t="s">
        <v>1021</v>
      </c>
      <c r="R576" s="21" t="n">
        <v>35859</v>
      </c>
      <c r="S576" s="19" t="s">
        <v>1658</v>
      </c>
      <c r="T576" s="19" t="s">
        <v>2753</v>
      </c>
      <c r="U576" s="19" t="str">
        <f aca="false">HYPERLINK("https://macaulaylibrary.org/asset/97468721","Open")</f>
        <v>Open</v>
      </c>
      <c r="V576" s="19"/>
    </row>
    <row r="577" customFormat="false" ht="15" hidden="false" customHeight="false" outlineLevel="0" collapsed="false">
      <c r="A577" s="19" t="s">
        <v>2754</v>
      </c>
      <c r="B577" s="19" t="s">
        <v>943</v>
      </c>
      <c r="C577" s="19" t="s">
        <v>944</v>
      </c>
      <c r="D577" s="19" t="s">
        <v>400</v>
      </c>
      <c r="E577" s="19" t="s">
        <v>147</v>
      </c>
      <c r="F577" s="19" t="s">
        <v>526</v>
      </c>
      <c r="G577" s="19" t="n">
        <v>59</v>
      </c>
      <c r="H577" s="19" t="s">
        <v>527</v>
      </c>
      <c r="I577" s="20" t="n">
        <v>9.87</v>
      </c>
      <c r="J577" s="19" t="n">
        <f aca="false">IF(I577="","",MIN(Overview!$B$8,MAX(1,CEILING(I577/Overview!$B$7,1))))</f>
        <v>2</v>
      </c>
      <c r="K577" s="19" t="n">
        <v>1</v>
      </c>
      <c r="L577" s="19"/>
      <c r="M577" s="20" t="n">
        <v>3.67</v>
      </c>
      <c r="N577" s="19"/>
      <c r="O577" s="19"/>
      <c r="P577" s="19" t="s">
        <v>1879</v>
      </c>
      <c r="Q577" s="19" t="s">
        <v>975</v>
      </c>
      <c r="R577" s="21" t="n">
        <v>43665</v>
      </c>
      <c r="S577" s="19" t="s">
        <v>1880</v>
      </c>
      <c r="T577" s="19" t="s">
        <v>2755</v>
      </c>
      <c r="U577" s="19" t="str">
        <f aca="false">HYPERLINK("https://macaulaylibrary.org/asset/179453761","Open")</f>
        <v>Open</v>
      </c>
      <c r="V577" s="19" t="s">
        <v>2756</v>
      </c>
    </row>
    <row r="578" customFormat="false" ht="15" hidden="false" customHeight="false" outlineLevel="0" collapsed="false">
      <c r="A578" s="19" t="s">
        <v>2757</v>
      </c>
      <c r="B578" s="19" t="s">
        <v>943</v>
      </c>
      <c r="C578" s="19" t="s">
        <v>944</v>
      </c>
      <c r="D578" s="19" t="s">
        <v>400</v>
      </c>
      <c r="E578" s="19" t="s">
        <v>147</v>
      </c>
      <c r="F578" s="19" t="s">
        <v>526</v>
      </c>
      <c r="G578" s="19" t="n">
        <v>59</v>
      </c>
      <c r="H578" s="19" t="s">
        <v>527</v>
      </c>
      <c r="I578" s="20" t="n">
        <v>203.025</v>
      </c>
      <c r="J578" s="19" t="n">
        <f aca="false">IF(I578="","",MIN(Overview!$B$8,MAX(1,CEILING(I578/Overview!$B$7,1))))</f>
        <v>41</v>
      </c>
      <c r="K578" s="19" t="n">
        <v>1</v>
      </c>
      <c r="L578" s="19"/>
      <c r="M578" s="20" t="n">
        <v>3</v>
      </c>
      <c r="N578" s="19"/>
      <c r="O578" s="19"/>
      <c r="P578" s="19" t="s">
        <v>1121</v>
      </c>
      <c r="Q578" s="19" t="s">
        <v>980</v>
      </c>
      <c r="R578" s="21" t="n">
        <v>32556</v>
      </c>
      <c r="S578" s="19" t="s">
        <v>1279</v>
      </c>
      <c r="T578" s="19" t="s">
        <v>2758</v>
      </c>
      <c r="U578" s="19" t="str">
        <f aca="false">HYPERLINK("https://macaulaylibrary.org/asset/215370","Open")</f>
        <v>Open</v>
      </c>
      <c r="V578" s="19" t="s">
        <v>2756</v>
      </c>
    </row>
    <row r="579" customFormat="false" ht="15" hidden="false" customHeight="false" outlineLevel="0" collapsed="false">
      <c r="A579" s="19" t="s">
        <v>2759</v>
      </c>
      <c r="B579" s="19" t="s">
        <v>943</v>
      </c>
      <c r="C579" s="19" t="s">
        <v>944</v>
      </c>
      <c r="D579" s="19" t="s">
        <v>400</v>
      </c>
      <c r="E579" s="19" t="s">
        <v>147</v>
      </c>
      <c r="F579" s="19" t="s">
        <v>526</v>
      </c>
      <c r="G579" s="19" t="n">
        <v>59</v>
      </c>
      <c r="H579" s="19" t="s">
        <v>527</v>
      </c>
      <c r="I579" s="20" t="n">
        <v>47.089</v>
      </c>
      <c r="J579" s="19" t="n">
        <f aca="false">IF(I579="","",MIN(Overview!$B$8,MAX(1,CEILING(I579/Overview!$B$7,1))))</f>
        <v>10</v>
      </c>
      <c r="K579" s="19" t="n">
        <v>1</v>
      </c>
      <c r="L579" s="19"/>
      <c r="M579" s="20" t="n">
        <v>2.67</v>
      </c>
      <c r="N579" s="19"/>
      <c r="O579" s="19"/>
      <c r="P579" s="19" t="s">
        <v>2760</v>
      </c>
      <c r="Q579" s="19" t="s">
        <v>2761</v>
      </c>
      <c r="R579" s="21" t="n">
        <v>42753</v>
      </c>
      <c r="S579" s="19" t="s">
        <v>1002</v>
      </c>
      <c r="T579" s="19" t="s">
        <v>2762</v>
      </c>
      <c r="U579" s="19" t="str">
        <f aca="false">HYPERLINK("https://macaulaylibrary.org/asset/46104491","Open")</f>
        <v>Open</v>
      </c>
      <c r="V579" s="19"/>
    </row>
    <row r="580" customFormat="false" ht="15" hidden="false" customHeight="false" outlineLevel="0" collapsed="false">
      <c r="A580" s="19" t="s">
        <v>2763</v>
      </c>
      <c r="B580" s="19" t="s">
        <v>943</v>
      </c>
      <c r="C580" s="19" t="s">
        <v>944</v>
      </c>
      <c r="D580" s="19" t="s">
        <v>400</v>
      </c>
      <c r="E580" s="19" t="s">
        <v>147</v>
      </c>
      <c r="F580" s="19" t="s">
        <v>526</v>
      </c>
      <c r="G580" s="19" t="n">
        <v>59</v>
      </c>
      <c r="H580" s="19" t="s">
        <v>527</v>
      </c>
      <c r="I580" s="20" t="n">
        <v>33.311</v>
      </c>
      <c r="J580" s="19" t="n">
        <f aca="false">IF(I580="","",MIN(Overview!$B$8,MAX(1,CEILING(I580/Overview!$B$7,1))))</f>
        <v>7</v>
      </c>
      <c r="K580" s="19" t="n">
        <v>1</v>
      </c>
      <c r="L580" s="19"/>
      <c r="M580" s="20" t="n">
        <v>3</v>
      </c>
      <c r="N580" s="19"/>
      <c r="O580" s="19"/>
      <c r="P580" s="19" t="s">
        <v>1467</v>
      </c>
      <c r="Q580" s="19" t="s">
        <v>1258</v>
      </c>
      <c r="R580" s="21" t="n">
        <v>45230</v>
      </c>
      <c r="S580" s="19" t="s">
        <v>1306</v>
      </c>
      <c r="T580" s="19" t="s">
        <v>2764</v>
      </c>
      <c r="U580" s="19" t="str">
        <f aca="false">HYPERLINK("https://macaulaylibrary.org/asset/621760096","Open")</f>
        <v>Open</v>
      </c>
      <c r="V580" s="19" t="s">
        <v>2756</v>
      </c>
    </row>
    <row r="581" customFormat="false" ht="15" hidden="false" customHeight="false" outlineLevel="0" collapsed="false">
      <c r="A581" s="19" t="s">
        <v>2765</v>
      </c>
      <c r="B581" s="19" t="s">
        <v>943</v>
      </c>
      <c r="C581" s="19" t="s">
        <v>944</v>
      </c>
      <c r="D581" s="19" t="s">
        <v>400</v>
      </c>
      <c r="E581" s="19" t="s">
        <v>147</v>
      </c>
      <c r="F581" s="19" t="s">
        <v>526</v>
      </c>
      <c r="G581" s="19" t="n">
        <v>59</v>
      </c>
      <c r="H581" s="19" t="s">
        <v>527</v>
      </c>
      <c r="I581" s="20" t="n">
        <v>11.352</v>
      </c>
      <c r="J581" s="19" t="n">
        <f aca="false">IF(I581="","",MIN(Overview!$B$8,MAX(1,CEILING(I581/Overview!$B$7,1))))</f>
        <v>3</v>
      </c>
      <c r="K581" s="19" t="n">
        <v>1</v>
      </c>
      <c r="L581" s="19"/>
      <c r="M581" s="20" t="n">
        <v>3</v>
      </c>
      <c r="N581" s="19"/>
      <c r="O581" s="19"/>
      <c r="P581" s="19" t="s">
        <v>1482</v>
      </c>
      <c r="Q581" s="19" t="s">
        <v>1483</v>
      </c>
      <c r="R581" s="21" t="n">
        <v>45293</v>
      </c>
      <c r="S581" s="19" t="s">
        <v>1484</v>
      </c>
      <c r="T581" s="19" t="s">
        <v>2766</v>
      </c>
      <c r="U581" s="19" t="str">
        <f aca="false">HYPERLINK("https://macaulaylibrary.org/asset/639219134","Open")</f>
        <v>Open</v>
      </c>
      <c r="V581" s="19" t="s">
        <v>2756</v>
      </c>
    </row>
    <row r="582" customFormat="false" ht="15" hidden="false" customHeight="false" outlineLevel="0" collapsed="false">
      <c r="A582" s="19" t="s">
        <v>2767</v>
      </c>
      <c r="B582" s="19" t="s">
        <v>943</v>
      </c>
      <c r="C582" s="19" t="s">
        <v>944</v>
      </c>
      <c r="D582" s="19" t="s">
        <v>148</v>
      </c>
      <c r="E582" s="19" t="s">
        <v>147</v>
      </c>
      <c r="F582" s="19" t="s">
        <v>404</v>
      </c>
      <c r="G582" s="19" t="n">
        <v>60</v>
      </c>
      <c r="H582" s="19" t="s">
        <v>405</v>
      </c>
      <c r="I582" s="20" t="n">
        <v>23.155</v>
      </c>
      <c r="J582" s="19" t="n">
        <f aca="false">IF(I582="","",MIN(Overview!$B$8,MAX(1,CEILING(I582/Overview!$B$7,1))))</f>
        <v>5</v>
      </c>
      <c r="K582" s="19" t="n">
        <v>1</v>
      </c>
      <c r="L582" s="19"/>
      <c r="M582" s="20" t="n">
        <v>3.5</v>
      </c>
      <c r="N582" s="19"/>
      <c r="O582" s="19"/>
      <c r="P582" s="19" t="s">
        <v>1080</v>
      </c>
      <c r="Q582" s="19" t="s">
        <v>1021</v>
      </c>
      <c r="R582" s="21" t="n">
        <v>36602</v>
      </c>
      <c r="S582" s="19" t="s">
        <v>1081</v>
      </c>
      <c r="T582" s="19" t="s">
        <v>2768</v>
      </c>
      <c r="U582" s="19" t="str">
        <f aca="false">HYPERLINK("https://macaulaylibrary.org/asset/153720491","Open")</f>
        <v>Open</v>
      </c>
      <c r="V582" s="19"/>
    </row>
    <row r="583" customFormat="false" ht="15" hidden="false" customHeight="false" outlineLevel="0" collapsed="false">
      <c r="A583" s="19" t="s">
        <v>2769</v>
      </c>
      <c r="B583" s="19" t="s">
        <v>943</v>
      </c>
      <c r="C583" s="19" t="s">
        <v>944</v>
      </c>
      <c r="D583" s="19" t="s">
        <v>148</v>
      </c>
      <c r="E583" s="19" t="s">
        <v>147</v>
      </c>
      <c r="F583" s="19" t="s">
        <v>404</v>
      </c>
      <c r="G583" s="19" t="n">
        <v>60</v>
      </c>
      <c r="H583" s="19" t="s">
        <v>405</v>
      </c>
      <c r="I583" s="20" t="n">
        <v>17.564</v>
      </c>
      <c r="J583" s="19" t="n">
        <f aca="false">IF(I583="","",MIN(Overview!$B$8,MAX(1,CEILING(I583/Overview!$B$7,1))))</f>
        <v>4</v>
      </c>
      <c r="K583" s="19" t="n">
        <v>1</v>
      </c>
      <c r="L583" s="19"/>
      <c r="M583" s="20" t="n">
        <v>2.33</v>
      </c>
      <c r="N583" s="19"/>
      <c r="O583" s="19"/>
      <c r="P583" s="19" t="s">
        <v>1879</v>
      </c>
      <c r="Q583" s="19" t="s">
        <v>975</v>
      </c>
      <c r="R583" s="21" t="n">
        <v>43665</v>
      </c>
      <c r="S583" s="19" t="s">
        <v>1880</v>
      </c>
      <c r="T583" s="19" t="s">
        <v>2770</v>
      </c>
      <c r="U583" s="19" t="str">
        <f aca="false">HYPERLINK("https://macaulaylibrary.org/asset/179453751","Open")</f>
        <v>Open</v>
      </c>
      <c r="V583" s="19"/>
    </row>
    <row r="584" customFormat="false" ht="15" hidden="false" customHeight="false" outlineLevel="0" collapsed="false">
      <c r="A584" s="19" t="s">
        <v>2771</v>
      </c>
      <c r="B584" s="19" t="s">
        <v>943</v>
      </c>
      <c r="C584" s="19" t="s">
        <v>944</v>
      </c>
      <c r="D584" s="19" t="s">
        <v>148</v>
      </c>
      <c r="E584" s="19" t="s">
        <v>147</v>
      </c>
      <c r="F584" s="19" t="s">
        <v>404</v>
      </c>
      <c r="G584" s="19" t="n">
        <v>60</v>
      </c>
      <c r="H584" s="19" t="s">
        <v>405</v>
      </c>
      <c r="I584" s="20" t="n">
        <v>8.127</v>
      </c>
      <c r="J584" s="19" t="n">
        <f aca="false">IF(I584="","",MIN(Overview!$B$8,MAX(1,CEILING(I584/Overview!$B$7,1))))</f>
        <v>2</v>
      </c>
      <c r="K584" s="19" t="n">
        <v>1</v>
      </c>
      <c r="L584" s="19"/>
      <c r="M584" s="20" t="n">
        <v>3.67</v>
      </c>
      <c r="N584" s="19"/>
      <c r="O584" s="19"/>
      <c r="P584" s="19" t="s">
        <v>2772</v>
      </c>
      <c r="Q584" s="19" t="s">
        <v>2773</v>
      </c>
      <c r="R584" s="21" t="n">
        <v>43805</v>
      </c>
      <c r="S584" s="19" t="s">
        <v>1442</v>
      </c>
      <c r="T584" s="19" t="s">
        <v>2774</v>
      </c>
      <c r="U584" s="19" t="str">
        <f aca="false">HYPERLINK("https://macaulaylibrary.org/asset/193367371","Open")</f>
        <v>Open</v>
      </c>
      <c r="V584" s="19"/>
    </row>
    <row r="585" customFormat="false" ht="15" hidden="false" customHeight="false" outlineLevel="0" collapsed="false">
      <c r="A585" s="19" t="s">
        <v>2775</v>
      </c>
      <c r="B585" s="19" t="s">
        <v>943</v>
      </c>
      <c r="C585" s="19" t="s">
        <v>944</v>
      </c>
      <c r="D585" s="19" t="s">
        <v>148</v>
      </c>
      <c r="E585" s="19" t="s">
        <v>147</v>
      </c>
      <c r="F585" s="19" t="s">
        <v>404</v>
      </c>
      <c r="G585" s="19" t="n">
        <v>60</v>
      </c>
      <c r="H585" s="19" t="s">
        <v>405</v>
      </c>
      <c r="I585" s="20" t="n">
        <v>15.104</v>
      </c>
      <c r="J585" s="19" t="n">
        <f aca="false">IF(I585="","",MIN(Overview!$B$8,MAX(1,CEILING(I585/Overview!$B$7,1))))</f>
        <v>4</v>
      </c>
      <c r="K585" s="19" t="n">
        <v>1</v>
      </c>
      <c r="L585" s="19"/>
      <c r="M585" s="20" t="n">
        <v>3</v>
      </c>
      <c r="N585" s="19"/>
      <c r="O585" s="19"/>
      <c r="P585" s="19" t="s">
        <v>2465</v>
      </c>
      <c r="Q585" s="19" t="s">
        <v>965</v>
      </c>
      <c r="R585" s="21" t="n">
        <v>43812</v>
      </c>
      <c r="S585" s="19" t="s">
        <v>2466</v>
      </c>
      <c r="T585" s="19" t="s">
        <v>2776</v>
      </c>
      <c r="U585" s="19" t="str">
        <f aca="false">HYPERLINK("https://macaulaylibrary.org/asset/193406161","Open")</f>
        <v>Open</v>
      </c>
      <c r="V585" s="19"/>
    </row>
    <row r="586" customFormat="false" ht="15" hidden="false" customHeight="false" outlineLevel="0" collapsed="false">
      <c r="A586" s="19" t="s">
        <v>2777</v>
      </c>
      <c r="B586" s="19" t="s">
        <v>943</v>
      </c>
      <c r="C586" s="19" t="s">
        <v>944</v>
      </c>
      <c r="D586" s="19" t="s">
        <v>148</v>
      </c>
      <c r="E586" s="19" t="s">
        <v>147</v>
      </c>
      <c r="F586" s="19" t="s">
        <v>404</v>
      </c>
      <c r="G586" s="19" t="n">
        <v>60</v>
      </c>
      <c r="H586" s="19" t="s">
        <v>405</v>
      </c>
      <c r="I586" s="20" t="n">
        <v>13.355</v>
      </c>
      <c r="J586" s="19" t="n">
        <f aca="false">IF(I586="","",MIN(Overview!$B$8,MAX(1,CEILING(I586/Overview!$B$7,1))))</f>
        <v>3</v>
      </c>
      <c r="K586" s="19" t="n">
        <v>1</v>
      </c>
      <c r="L586" s="19"/>
      <c r="M586" s="20" t="n">
        <v>3</v>
      </c>
      <c r="N586" s="19"/>
      <c r="O586" s="19"/>
      <c r="P586" s="19" t="s">
        <v>2677</v>
      </c>
      <c r="Q586" s="19" t="s">
        <v>965</v>
      </c>
      <c r="R586" s="21" t="n">
        <v>44183</v>
      </c>
      <c r="S586" s="19" t="s">
        <v>1022</v>
      </c>
      <c r="T586" s="19" t="s">
        <v>2778</v>
      </c>
      <c r="U586" s="19" t="str">
        <f aca="false">HYPERLINK("https://macaulaylibrary.org/asset/289815781","Open")</f>
        <v>Open</v>
      </c>
      <c r="V586" s="19"/>
    </row>
    <row r="587" customFormat="false" ht="15" hidden="false" customHeight="false" outlineLevel="0" collapsed="false">
      <c r="A587" s="19" t="s">
        <v>2779</v>
      </c>
      <c r="B587" s="19" t="s">
        <v>943</v>
      </c>
      <c r="C587" s="19" t="s">
        <v>944</v>
      </c>
      <c r="D587" s="19" t="s">
        <v>148</v>
      </c>
      <c r="E587" s="19" t="s">
        <v>147</v>
      </c>
      <c r="F587" s="19" t="s">
        <v>404</v>
      </c>
      <c r="G587" s="19" t="n">
        <v>60</v>
      </c>
      <c r="H587" s="19" t="s">
        <v>405</v>
      </c>
      <c r="I587" s="20" t="n">
        <v>162.661</v>
      </c>
      <c r="J587" s="19" t="n">
        <f aca="false">IF(I587="","",MIN(Overview!$B$8,MAX(1,CEILING(I587/Overview!$B$7,1))))</f>
        <v>33</v>
      </c>
      <c r="K587" s="19" t="n">
        <v>1</v>
      </c>
      <c r="L587" s="19"/>
      <c r="M587" s="20" t="n">
        <v>1.5</v>
      </c>
      <c r="N587" s="19"/>
      <c r="O587" s="19"/>
      <c r="P587" s="19" t="s">
        <v>2780</v>
      </c>
      <c r="Q587" s="19" t="s">
        <v>1040</v>
      </c>
      <c r="R587" s="21" t="n">
        <v>42736</v>
      </c>
      <c r="S587" s="19" t="s">
        <v>1884</v>
      </c>
      <c r="T587" s="19" t="s">
        <v>2781</v>
      </c>
      <c r="U587" s="19" t="str">
        <f aca="false">HYPERLINK("https://macaulaylibrary.org/asset/45569031","Open")</f>
        <v>Open</v>
      </c>
      <c r="V587" s="19"/>
    </row>
    <row r="588" customFormat="false" ht="15" hidden="false" customHeight="false" outlineLevel="0" collapsed="false">
      <c r="A588" s="19" t="s">
        <v>2782</v>
      </c>
      <c r="B588" s="19" t="s">
        <v>943</v>
      </c>
      <c r="C588" s="19" t="s">
        <v>944</v>
      </c>
      <c r="D588" s="19" t="s">
        <v>148</v>
      </c>
      <c r="E588" s="19" t="s">
        <v>147</v>
      </c>
      <c r="F588" s="19" t="s">
        <v>404</v>
      </c>
      <c r="G588" s="19" t="n">
        <v>60</v>
      </c>
      <c r="H588" s="19" t="s">
        <v>405</v>
      </c>
      <c r="I588" s="20" t="n">
        <v>23.776</v>
      </c>
      <c r="J588" s="19" t="n">
        <f aca="false">IF(I588="","",MIN(Overview!$B$8,MAX(1,CEILING(I588/Overview!$B$7,1))))</f>
        <v>5</v>
      </c>
      <c r="K588" s="19" t="n">
        <v>1</v>
      </c>
      <c r="L588" s="19"/>
      <c r="M588" s="20"/>
      <c r="N588" s="19"/>
      <c r="O588" s="19"/>
      <c r="P588" s="19" t="s">
        <v>2783</v>
      </c>
      <c r="Q588" s="19" t="s">
        <v>2408</v>
      </c>
      <c r="R588" s="21" t="n">
        <v>45254</v>
      </c>
      <c r="S588" s="19" t="s">
        <v>2784</v>
      </c>
      <c r="T588" s="19" t="s">
        <v>2785</v>
      </c>
      <c r="U588" s="19" t="str">
        <f aca="false">HYPERLINK("https://macaulaylibrary.org/asset/619786771","Open")</f>
        <v>Open</v>
      </c>
      <c r="V588" s="19"/>
    </row>
    <row r="589" customFormat="false" ht="15" hidden="false" customHeight="false" outlineLevel="0" collapsed="false">
      <c r="A589" s="19" t="s">
        <v>2786</v>
      </c>
      <c r="B589" s="19" t="s">
        <v>1005</v>
      </c>
      <c r="C589" s="19" t="s">
        <v>944</v>
      </c>
      <c r="D589" s="19" t="s">
        <v>647</v>
      </c>
      <c r="E589" s="19" t="s">
        <v>147</v>
      </c>
      <c r="F589" s="19" t="s">
        <v>786</v>
      </c>
      <c r="G589" s="19" t="n">
        <v>61</v>
      </c>
      <c r="H589" s="19" t="s">
        <v>787</v>
      </c>
      <c r="I589" s="20" t="n">
        <v>9.048</v>
      </c>
      <c r="J589" s="19" t="n">
        <f aca="false">IF(I589="","",MIN(Overview!$B$8,MAX(1,CEILING(I589/Overview!$B$7,1))))</f>
        <v>2</v>
      </c>
      <c r="K589" s="19" t="n">
        <v>1</v>
      </c>
      <c r="L589" s="19"/>
      <c r="M589" s="20"/>
      <c r="N589" s="19" t="s">
        <v>1718</v>
      </c>
      <c r="O589" s="19"/>
      <c r="P589" s="19" t="s">
        <v>1657</v>
      </c>
      <c r="Q589" s="19" t="s">
        <v>1008</v>
      </c>
      <c r="R589" s="21" t="n">
        <v>42581</v>
      </c>
      <c r="S589" s="19" t="s">
        <v>2787</v>
      </c>
      <c r="T589" s="19" t="s">
        <v>2788</v>
      </c>
      <c r="U589" s="19" t="str">
        <f aca="false">HYPERLINK("https://xeno-canto.org/332450","Open")</f>
        <v>Open</v>
      </c>
      <c r="V589" s="19" t="s">
        <v>2789</v>
      </c>
    </row>
    <row r="590" customFormat="false" ht="15" hidden="false" customHeight="false" outlineLevel="0" collapsed="false">
      <c r="A590" s="19" t="s">
        <v>2790</v>
      </c>
      <c r="B590" s="19" t="s">
        <v>943</v>
      </c>
      <c r="C590" s="19" t="s">
        <v>944</v>
      </c>
      <c r="D590" s="19" t="s">
        <v>148</v>
      </c>
      <c r="E590" s="19" t="s">
        <v>147</v>
      </c>
      <c r="F590" s="19" t="s">
        <v>234</v>
      </c>
      <c r="G590" s="19" t="n">
        <v>63</v>
      </c>
      <c r="H590" s="19" t="s">
        <v>235</v>
      </c>
      <c r="I590" s="20" t="n">
        <v>3.674</v>
      </c>
      <c r="J590" s="19" t="n">
        <f aca="false">IF(I590="","",MIN(Overview!$B$8,MAX(1,CEILING(I590/Overview!$B$7,1))))</f>
        <v>1</v>
      </c>
      <c r="K590" s="19" t="n">
        <v>1</v>
      </c>
      <c r="L590" s="19" t="s">
        <v>1048</v>
      </c>
      <c r="M590" s="20" t="n">
        <v>3</v>
      </c>
      <c r="N590" s="19"/>
      <c r="O590" s="19"/>
      <c r="P590" s="19" t="s">
        <v>2791</v>
      </c>
      <c r="Q590" s="19" t="s">
        <v>2235</v>
      </c>
      <c r="R590" s="21" t="n">
        <v>43466</v>
      </c>
      <c r="S590" s="19" t="s">
        <v>2792</v>
      </c>
      <c r="T590" s="19" t="s">
        <v>2793</v>
      </c>
      <c r="U590" s="19" t="str">
        <f aca="false">HYPERLINK("https://macaulaylibrary.org/asset/143086151","Open")</f>
        <v>Open</v>
      </c>
      <c r="V590" s="19"/>
    </row>
    <row r="591" customFormat="false" ht="15" hidden="false" customHeight="false" outlineLevel="0" collapsed="false">
      <c r="A591" s="19" t="s">
        <v>2794</v>
      </c>
      <c r="B591" s="19" t="s">
        <v>943</v>
      </c>
      <c r="C591" s="19" t="s">
        <v>944</v>
      </c>
      <c r="D591" s="19" t="s">
        <v>148</v>
      </c>
      <c r="E591" s="19" t="s">
        <v>147</v>
      </c>
      <c r="F591" s="19" t="s">
        <v>234</v>
      </c>
      <c r="G591" s="19" t="n">
        <v>63</v>
      </c>
      <c r="H591" s="19" t="s">
        <v>235</v>
      </c>
      <c r="I591" s="20" t="n">
        <v>19.499</v>
      </c>
      <c r="J591" s="19" t="n">
        <f aca="false">IF(I591="","",MIN(Overview!$B$8,MAX(1,CEILING(I591/Overview!$B$7,1))))</f>
        <v>4</v>
      </c>
      <c r="K591" s="19" t="n">
        <v>1</v>
      </c>
      <c r="L591" s="19"/>
      <c r="M591" s="20" t="n">
        <v>3</v>
      </c>
      <c r="N591" s="19"/>
      <c r="O591" s="19"/>
      <c r="P591" s="19" t="s">
        <v>2795</v>
      </c>
      <c r="Q591" s="19" t="s">
        <v>965</v>
      </c>
      <c r="R591" s="21" t="n">
        <v>44911</v>
      </c>
      <c r="S591" s="19" t="s">
        <v>2796</v>
      </c>
      <c r="T591" s="19" t="s">
        <v>2797</v>
      </c>
      <c r="U591" s="19" t="str">
        <f aca="false">HYPERLINK("https://macaulaylibrary.org/asset/513741521","Open")</f>
        <v>Open</v>
      </c>
      <c r="V591" s="19"/>
    </row>
    <row r="592" customFormat="false" ht="15" hidden="false" customHeight="false" outlineLevel="0" collapsed="false">
      <c r="A592" s="19" t="s">
        <v>2798</v>
      </c>
      <c r="B592" s="19" t="s">
        <v>943</v>
      </c>
      <c r="C592" s="19" t="s">
        <v>944</v>
      </c>
      <c r="D592" s="19" t="s">
        <v>148</v>
      </c>
      <c r="E592" s="19" t="s">
        <v>147</v>
      </c>
      <c r="F592" s="19" t="s">
        <v>234</v>
      </c>
      <c r="G592" s="19" t="n">
        <v>63</v>
      </c>
      <c r="H592" s="19" t="s">
        <v>235</v>
      </c>
      <c r="I592" s="20" t="n">
        <v>15.723</v>
      </c>
      <c r="J592" s="19" t="n">
        <f aca="false">IF(I592="","",MIN(Overview!$B$8,MAX(1,CEILING(I592/Overview!$B$7,1))))</f>
        <v>4</v>
      </c>
      <c r="K592" s="19" t="n">
        <v>1</v>
      </c>
      <c r="L592" s="19"/>
      <c r="M592" s="20"/>
      <c r="N592" s="19"/>
      <c r="O592" s="19"/>
      <c r="P592" s="19" t="s">
        <v>1414</v>
      </c>
      <c r="Q592" s="19" t="s">
        <v>1204</v>
      </c>
      <c r="R592" s="21" t="n">
        <v>44608</v>
      </c>
      <c r="S592" s="19" t="s">
        <v>1415</v>
      </c>
      <c r="T592" s="19" t="s">
        <v>2799</v>
      </c>
      <c r="U592" s="19" t="str">
        <f aca="false">HYPERLINK("https://macaulaylibrary.org/asset/531097351","Open")</f>
        <v>Open</v>
      </c>
      <c r="V592" s="19"/>
    </row>
    <row r="593" customFormat="false" ht="15" hidden="false" customHeight="false" outlineLevel="0" collapsed="false">
      <c r="A593" s="19" t="s">
        <v>2800</v>
      </c>
      <c r="B593" s="19" t="s">
        <v>943</v>
      </c>
      <c r="C593" s="19" t="s">
        <v>944</v>
      </c>
      <c r="D593" s="19" t="s">
        <v>148</v>
      </c>
      <c r="E593" s="19" t="s">
        <v>147</v>
      </c>
      <c r="F593" s="19" t="s">
        <v>234</v>
      </c>
      <c r="G593" s="19" t="n">
        <v>63</v>
      </c>
      <c r="H593" s="19" t="s">
        <v>235</v>
      </c>
      <c r="I593" s="20" t="n">
        <v>17.643</v>
      </c>
      <c r="J593" s="19" t="n">
        <f aca="false">IF(I593="","",MIN(Overview!$B$8,MAX(1,CEILING(I593/Overview!$B$7,1))))</f>
        <v>4</v>
      </c>
      <c r="K593" s="19" t="n">
        <v>1</v>
      </c>
      <c r="L593" s="19"/>
      <c r="M593" s="20"/>
      <c r="N593" s="19"/>
      <c r="O593" s="19"/>
      <c r="P593" s="19" t="s">
        <v>1414</v>
      </c>
      <c r="Q593" s="19" t="s">
        <v>1204</v>
      </c>
      <c r="R593" s="21" t="n">
        <v>44608</v>
      </c>
      <c r="S593" s="19" t="s">
        <v>1415</v>
      </c>
      <c r="T593" s="19" t="s">
        <v>2801</v>
      </c>
      <c r="U593" s="19" t="str">
        <f aca="false">HYPERLINK("https://macaulaylibrary.org/asset/531098501","Open")</f>
        <v>Open</v>
      </c>
      <c r="V593" s="19"/>
    </row>
    <row r="594" customFormat="false" ht="15" hidden="false" customHeight="false" outlineLevel="0" collapsed="false">
      <c r="A594" s="19" t="s">
        <v>2802</v>
      </c>
      <c r="B594" s="19" t="s">
        <v>943</v>
      </c>
      <c r="C594" s="19" t="s">
        <v>944</v>
      </c>
      <c r="D594" s="19" t="s">
        <v>148</v>
      </c>
      <c r="E594" s="19" t="s">
        <v>147</v>
      </c>
      <c r="F594" s="19" t="s">
        <v>234</v>
      </c>
      <c r="G594" s="19" t="n">
        <v>63</v>
      </c>
      <c r="H594" s="19" t="s">
        <v>235</v>
      </c>
      <c r="I594" s="20" t="n">
        <v>16.113</v>
      </c>
      <c r="J594" s="19" t="n">
        <f aca="false">IF(I594="","",MIN(Overview!$B$8,MAX(1,CEILING(I594/Overview!$B$7,1))))</f>
        <v>4</v>
      </c>
      <c r="K594" s="19" t="n">
        <v>1</v>
      </c>
      <c r="L594" s="19"/>
      <c r="M594" s="20"/>
      <c r="N594" s="19"/>
      <c r="O594" s="19"/>
      <c r="P594" s="19" t="s">
        <v>2803</v>
      </c>
      <c r="Q594" s="19" t="s">
        <v>1158</v>
      </c>
      <c r="R594" s="21" t="n">
        <v>44943</v>
      </c>
      <c r="S594" s="19" t="s">
        <v>2804</v>
      </c>
      <c r="T594" s="19" t="s">
        <v>2805</v>
      </c>
      <c r="U594" s="19" t="str">
        <f aca="false">HYPERLINK("https://macaulaylibrary.org/asset/538702141","Open")</f>
        <v>Open</v>
      </c>
      <c r="V594" s="19"/>
    </row>
    <row r="595" customFormat="false" ht="15" hidden="false" customHeight="false" outlineLevel="0" collapsed="false">
      <c r="A595" s="19" t="s">
        <v>2806</v>
      </c>
      <c r="B595" s="19" t="s">
        <v>943</v>
      </c>
      <c r="C595" s="19" t="s">
        <v>944</v>
      </c>
      <c r="D595" s="19" t="s">
        <v>148</v>
      </c>
      <c r="E595" s="19" t="s">
        <v>147</v>
      </c>
      <c r="F595" s="19" t="s">
        <v>234</v>
      </c>
      <c r="G595" s="19" t="n">
        <v>63</v>
      </c>
      <c r="H595" s="19" t="s">
        <v>235</v>
      </c>
      <c r="I595" s="20" t="n">
        <v>6.044</v>
      </c>
      <c r="J595" s="19" t="n">
        <f aca="false">IF(I595="","",MIN(Overview!$B$8,MAX(1,CEILING(I595/Overview!$B$7,1))))</f>
        <v>2</v>
      </c>
      <c r="K595" s="19" t="n">
        <v>1</v>
      </c>
      <c r="L595" s="19"/>
      <c r="M595" s="20" t="n">
        <v>2</v>
      </c>
      <c r="N595" s="19"/>
      <c r="O595" s="19"/>
      <c r="P595" s="19" t="s">
        <v>2807</v>
      </c>
      <c r="Q595" s="19" t="s">
        <v>1985</v>
      </c>
      <c r="R595" s="21" t="n">
        <v>44873</v>
      </c>
      <c r="S595" s="19" t="s">
        <v>2808</v>
      </c>
      <c r="T595" s="19" t="s">
        <v>2809</v>
      </c>
      <c r="U595" s="19" t="str">
        <f aca="false">HYPERLINK("https://macaulaylibrary.org/asset/539976961","Open")</f>
        <v>Open</v>
      </c>
      <c r="V595" s="19"/>
    </row>
    <row r="596" customFormat="false" ht="15" hidden="false" customHeight="false" outlineLevel="0" collapsed="false">
      <c r="A596" s="19" t="s">
        <v>2810</v>
      </c>
      <c r="B596" s="19" t="s">
        <v>943</v>
      </c>
      <c r="C596" s="19" t="s">
        <v>944</v>
      </c>
      <c r="D596" s="19" t="s">
        <v>148</v>
      </c>
      <c r="E596" s="19" t="s">
        <v>147</v>
      </c>
      <c r="F596" s="19" t="s">
        <v>234</v>
      </c>
      <c r="G596" s="19" t="n">
        <v>63</v>
      </c>
      <c r="H596" s="19" t="s">
        <v>235</v>
      </c>
      <c r="I596" s="20" t="n">
        <v>2.281</v>
      </c>
      <c r="J596" s="19" t="n">
        <f aca="false">IF(I596="","",MIN(Overview!$B$8,MAX(1,CEILING(I596/Overview!$B$7,1))))</f>
        <v>1</v>
      </c>
      <c r="K596" s="19" t="n">
        <v>1</v>
      </c>
      <c r="L596" s="19" t="s">
        <v>1048</v>
      </c>
      <c r="M596" s="20"/>
      <c r="N596" s="19"/>
      <c r="O596" s="19"/>
      <c r="P596" s="19" t="s">
        <v>1935</v>
      </c>
      <c r="Q596" s="19" t="s">
        <v>1158</v>
      </c>
      <c r="R596" s="21" t="n">
        <v>44942</v>
      </c>
      <c r="S596" s="19" t="s">
        <v>1936</v>
      </c>
      <c r="T596" s="19" t="s">
        <v>2811</v>
      </c>
      <c r="U596" s="19" t="str">
        <f aca="false">HYPERLINK("https://macaulaylibrary.org/asset/543401271","Open")</f>
        <v>Open</v>
      </c>
      <c r="V596" s="19"/>
    </row>
    <row r="597" customFormat="false" ht="15" hidden="false" customHeight="false" outlineLevel="0" collapsed="false">
      <c r="A597" s="19" t="s">
        <v>2812</v>
      </c>
      <c r="B597" s="19" t="s">
        <v>943</v>
      </c>
      <c r="C597" s="19" t="s">
        <v>944</v>
      </c>
      <c r="D597" s="19" t="s">
        <v>148</v>
      </c>
      <c r="E597" s="19" t="s">
        <v>147</v>
      </c>
      <c r="F597" s="19" t="s">
        <v>234</v>
      </c>
      <c r="G597" s="19" t="n">
        <v>63</v>
      </c>
      <c r="H597" s="19" t="s">
        <v>235</v>
      </c>
      <c r="I597" s="20" t="n">
        <v>20.034</v>
      </c>
      <c r="J597" s="19" t="n">
        <f aca="false">IF(I597="","",MIN(Overview!$B$8,MAX(1,CEILING(I597/Overview!$B$7,1))))</f>
        <v>5</v>
      </c>
      <c r="K597" s="19" t="n">
        <v>1</v>
      </c>
      <c r="L597" s="19"/>
      <c r="M597" s="20"/>
      <c r="N597" s="19"/>
      <c r="O597" s="19"/>
      <c r="P597" s="19" t="s">
        <v>1170</v>
      </c>
      <c r="Q597" s="19" t="s">
        <v>1166</v>
      </c>
      <c r="R597" s="21" t="n">
        <v>44900</v>
      </c>
      <c r="S597" s="19" t="s">
        <v>1092</v>
      </c>
      <c r="T597" s="19" t="s">
        <v>2813</v>
      </c>
      <c r="U597" s="19" t="str">
        <f aca="false">HYPERLINK("https://macaulaylibrary.org/asset/597934951","Open")</f>
        <v>Open</v>
      </c>
      <c r="V597" s="19"/>
    </row>
    <row r="598" customFormat="false" ht="15" hidden="false" customHeight="false" outlineLevel="0" collapsed="false">
      <c r="A598" s="19" t="s">
        <v>2814</v>
      </c>
      <c r="B598" s="19" t="s">
        <v>943</v>
      </c>
      <c r="C598" s="19" t="s">
        <v>944</v>
      </c>
      <c r="D598" s="19" t="s">
        <v>148</v>
      </c>
      <c r="E598" s="19" t="s">
        <v>147</v>
      </c>
      <c r="F598" s="19" t="s">
        <v>234</v>
      </c>
      <c r="G598" s="19" t="n">
        <v>63</v>
      </c>
      <c r="H598" s="19" t="s">
        <v>235</v>
      </c>
      <c r="I598" s="20" t="n">
        <v>24.681</v>
      </c>
      <c r="J598" s="19" t="n">
        <f aca="false">IF(I598="","",MIN(Overview!$B$8,MAX(1,CEILING(I598/Overview!$B$7,1))))</f>
        <v>5</v>
      </c>
      <c r="K598" s="19" t="n">
        <v>1</v>
      </c>
      <c r="L598" s="19"/>
      <c r="M598" s="20"/>
      <c r="N598" s="19"/>
      <c r="O598" s="19"/>
      <c r="P598" s="19" t="s">
        <v>1039</v>
      </c>
      <c r="Q598" s="19" t="s">
        <v>1040</v>
      </c>
      <c r="R598" s="21" t="n">
        <v>40901</v>
      </c>
      <c r="S598" s="19" t="s">
        <v>1002</v>
      </c>
      <c r="T598" s="19" t="s">
        <v>2815</v>
      </c>
      <c r="U598" s="19" t="str">
        <f aca="false">HYPERLINK("https://macaulaylibrary.org/asset/609056541","Open")</f>
        <v>Open</v>
      </c>
      <c r="V598" s="19"/>
    </row>
    <row r="599" customFormat="false" ht="15" hidden="false" customHeight="false" outlineLevel="0" collapsed="false">
      <c r="A599" s="19" t="s">
        <v>2816</v>
      </c>
      <c r="B599" s="19" t="s">
        <v>943</v>
      </c>
      <c r="C599" s="19" t="s">
        <v>944</v>
      </c>
      <c r="D599" s="19" t="s">
        <v>148</v>
      </c>
      <c r="E599" s="19" t="s">
        <v>147</v>
      </c>
      <c r="F599" s="19" t="s">
        <v>234</v>
      </c>
      <c r="G599" s="19" t="n">
        <v>63</v>
      </c>
      <c r="H599" s="19" t="s">
        <v>235</v>
      </c>
      <c r="I599" s="20" t="n">
        <v>140.652</v>
      </c>
      <c r="J599" s="19" t="n">
        <f aca="false">IF(I599="","",MIN(Overview!$B$8,MAX(1,CEILING(I599/Overview!$B$7,1))))</f>
        <v>29</v>
      </c>
      <c r="K599" s="19" t="n">
        <v>1</v>
      </c>
      <c r="L599" s="19"/>
      <c r="M599" s="20"/>
      <c r="N599" s="19"/>
      <c r="O599" s="19"/>
      <c r="P599" s="19" t="s">
        <v>1393</v>
      </c>
      <c r="Q599" s="19" t="s">
        <v>1040</v>
      </c>
      <c r="R599" s="21" t="n">
        <v>41265</v>
      </c>
      <c r="S599" s="19" t="s">
        <v>1002</v>
      </c>
      <c r="T599" s="19" t="s">
        <v>2817</v>
      </c>
      <c r="U599" s="19" t="str">
        <f aca="false">HYPERLINK("https://macaulaylibrary.org/asset/609059017","Open")</f>
        <v>Open</v>
      </c>
      <c r="V599" s="19"/>
    </row>
    <row r="600" customFormat="false" ht="15" hidden="false" customHeight="false" outlineLevel="0" collapsed="false">
      <c r="A600" s="19" t="s">
        <v>2818</v>
      </c>
      <c r="B600" s="19" t="s">
        <v>943</v>
      </c>
      <c r="C600" s="19" t="s">
        <v>944</v>
      </c>
      <c r="D600" s="19" t="s">
        <v>148</v>
      </c>
      <c r="E600" s="19" t="s">
        <v>147</v>
      </c>
      <c r="F600" s="19" t="s">
        <v>234</v>
      </c>
      <c r="G600" s="19" t="n">
        <v>63</v>
      </c>
      <c r="H600" s="19" t="s">
        <v>235</v>
      </c>
      <c r="I600" s="20" t="n">
        <v>34.14</v>
      </c>
      <c r="J600" s="19" t="n">
        <f aca="false">IF(I600="","",MIN(Overview!$B$8,MAX(1,CEILING(I600/Overview!$B$7,1))))</f>
        <v>7</v>
      </c>
      <c r="K600" s="19" t="n">
        <v>1</v>
      </c>
      <c r="L600" s="19"/>
      <c r="M600" s="20"/>
      <c r="N600" s="19"/>
      <c r="O600" s="19"/>
      <c r="P600" s="19" t="s">
        <v>2819</v>
      </c>
      <c r="Q600" s="19" t="s">
        <v>1310</v>
      </c>
      <c r="R600" s="21" t="n">
        <v>44936</v>
      </c>
      <c r="S600" s="19" t="s">
        <v>2820</v>
      </c>
      <c r="T600" s="19" t="s">
        <v>2821</v>
      </c>
      <c r="U600" s="19" t="str">
        <f aca="false">HYPERLINK("https://macaulaylibrary.org/asset/612712908","Open")</f>
        <v>Open</v>
      </c>
      <c r="V600" s="19"/>
    </row>
    <row r="601" customFormat="false" ht="15" hidden="false" customHeight="false" outlineLevel="0" collapsed="false">
      <c r="A601" s="19" t="s">
        <v>2822</v>
      </c>
      <c r="B601" s="19" t="s">
        <v>943</v>
      </c>
      <c r="C601" s="19" t="s">
        <v>944</v>
      </c>
      <c r="D601" s="19" t="s">
        <v>148</v>
      </c>
      <c r="E601" s="19" t="s">
        <v>147</v>
      </c>
      <c r="F601" s="19" t="s">
        <v>234</v>
      </c>
      <c r="G601" s="19" t="n">
        <v>63</v>
      </c>
      <c r="H601" s="19" t="s">
        <v>235</v>
      </c>
      <c r="I601" s="20" t="n">
        <v>24.6</v>
      </c>
      <c r="J601" s="19" t="n">
        <f aca="false">IF(I601="","",MIN(Overview!$B$8,MAX(1,CEILING(I601/Overview!$B$7,1))))</f>
        <v>5</v>
      </c>
      <c r="K601" s="19" t="n">
        <v>1</v>
      </c>
      <c r="L601" s="19"/>
      <c r="M601" s="20" t="n">
        <v>3</v>
      </c>
      <c r="N601" s="19"/>
      <c r="O601" s="19"/>
      <c r="P601" s="19" t="s">
        <v>2823</v>
      </c>
      <c r="Q601" s="19" t="s">
        <v>956</v>
      </c>
      <c r="R601" s="21" t="n">
        <v>45302</v>
      </c>
      <c r="S601" s="19" t="s">
        <v>2824</v>
      </c>
      <c r="T601" s="19" t="s">
        <v>2825</v>
      </c>
      <c r="U601" s="19" t="str">
        <f aca="false">HYPERLINK("https://macaulaylibrary.org/asset/613429629","Open")</f>
        <v>Open</v>
      </c>
      <c r="V601" s="19"/>
    </row>
    <row r="602" customFormat="false" ht="15" hidden="false" customHeight="false" outlineLevel="0" collapsed="false">
      <c r="A602" s="19" t="s">
        <v>2826</v>
      </c>
      <c r="B602" s="19" t="s">
        <v>943</v>
      </c>
      <c r="C602" s="19" t="s">
        <v>944</v>
      </c>
      <c r="D602" s="19" t="s">
        <v>148</v>
      </c>
      <c r="E602" s="19" t="s">
        <v>147</v>
      </c>
      <c r="F602" s="19" t="s">
        <v>234</v>
      </c>
      <c r="G602" s="19" t="n">
        <v>63</v>
      </c>
      <c r="H602" s="19" t="s">
        <v>235</v>
      </c>
      <c r="I602" s="20" t="n">
        <v>21.531</v>
      </c>
      <c r="J602" s="19" t="n">
        <f aca="false">IF(I602="","",MIN(Overview!$B$8,MAX(1,CEILING(I602/Overview!$B$7,1))))</f>
        <v>5</v>
      </c>
      <c r="K602" s="19" t="n">
        <v>1</v>
      </c>
      <c r="L602" s="19"/>
      <c r="M602" s="20"/>
      <c r="N602" s="19"/>
      <c r="O602" s="19"/>
      <c r="P602" s="19" t="s">
        <v>2002</v>
      </c>
      <c r="Q602" s="19" t="s">
        <v>2003</v>
      </c>
      <c r="R602" s="21" t="n">
        <v>45324</v>
      </c>
      <c r="S602" s="19" t="s">
        <v>1144</v>
      </c>
      <c r="T602" s="19" t="s">
        <v>2827</v>
      </c>
      <c r="U602" s="19" t="str">
        <f aca="false">HYPERLINK("https://macaulaylibrary.org/asset/615003540","Open")</f>
        <v>Open</v>
      </c>
      <c r="V602" s="19"/>
    </row>
    <row r="603" customFormat="false" ht="15" hidden="false" customHeight="false" outlineLevel="0" collapsed="false">
      <c r="A603" s="19" t="s">
        <v>2828</v>
      </c>
      <c r="B603" s="19" t="s">
        <v>943</v>
      </c>
      <c r="C603" s="19" t="s">
        <v>944</v>
      </c>
      <c r="D603" s="19" t="s">
        <v>148</v>
      </c>
      <c r="E603" s="19" t="s">
        <v>147</v>
      </c>
      <c r="F603" s="19" t="s">
        <v>234</v>
      </c>
      <c r="G603" s="19" t="n">
        <v>63</v>
      </c>
      <c r="H603" s="19" t="s">
        <v>235</v>
      </c>
      <c r="I603" s="20" t="n">
        <v>30</v>
      </c>
      <c r="J603" s="19" t="n">
        <f aca="false">IF(I603="","",MIN(Overview!$B$8,MAX(1,CEILING(I603/Overview!$B$7,1))))</f>
        <v>6</v>
      </c>
      <c r="K603" s="19" t="n">
        <v>1</v>
      </c>
      <c r="L603" s="19"/>
      <c r="M603" s="20"/>
      <c r="N603" s="19"/>
      <c r="O603" s="19" t="s">
        <v>341</v>
      </c>
      <c r="P603" s="19" t="s">
        <v>2829</v>
      </c>
      <c r="Q603" s="19" t="s">
        <v>2830</v>
      </c>
      <c r="R603" s="21" t="n">
        <v>45286</v>
      </c>
      <c r="S603" s="19" t="s">
        <v>2831</v>
      </c>
      <c r="T603" s="19" t="s">
        <v>2832</v>
      </c>
      <c r="U603" s="19" t="str">
        <f aca="false">HYPERLINK("https://macaulaylibrary.org/asset/618271502","Open")</f>
        <v>Open</v>
      </c>
      <c r="V603" s="19"/>
    </row>
    <row r="604" customFormat="false" ht="15" hidden="false" customHeight="false" outlineLevel="0" collapsed="false">
      <c r="A604" s="19" t="s">
        <v>2833</v>
      </c>
      <c r="B604" s="19" t="s">
        <v>943</v>
      </c>
      <c r="C604" s="19" t="s">
        <v>944</v>
      </c>
      <c r="D604" s="19" t="s">
        <v>148</v>
      </c>
      <c r="E604" s="19" t="s">
        <v>147</v>
      </c>
      <c r="F604" s="19" t="s">
        <v>234</v>
      </c>
      <c r="G604" s="19" t="n">
        <v>63</v>
      </c>
      <c r="H604" s="19" t="s">
        <v>235</v>
      </c>
      <c r="I604" s="20" t="n">
        <v>10.065</v>
      </c>
      <c r="J604" s="19" t="n">
        <f aca="false">IF(I604="","",MIN(Overview!$B$8,MAX(1,CEILING(I604/Overview!$B$7,1))))</f>
        <v>3</v>
      </c>
      <c r="K604" s="19" t="n">
        <v>1</v>
      </c>
      <c r="L604" s="19"/>
      <c r="M604" s="20" t="n">
        <v>3</v>
      </c>
      <c r="N604" s="19"/>
      <c r="O604" s="19"/>
      <c r="P604" s="19" t="s">
        <v>2708</v>
      </c>
      <c r="Q604" s="19" t="s">
        <v>1258</v>
      </c>
      <c r="R604" s="21" t="n">
        <v>45229</v>
      </c>
      <c r="S604" s="19" t="s">
        <v>2542</v>
      </c>
      <c r="T604" s="19" t="s">
        <v>2834</v>
      </c>
      <c r="U604" s="19" t="str">
        <f aca="false">HYPERLINK("https://macaulaylibrary.org/asset/621759932","Open")</f>
        <v>Open</v>
      </c>
      <c r="V604" s="19"/>
    </row>
    <row r="605" customFormat="false" ht="15" hidden="false" customHeight="false" outlineLevel="0" collapsed="false">
      <c r="A605" s="19" t="s">
        <v>2835</v>
      </c>
      <c r="B605" s="19" t="s">
        <v>943</v>
      </c>
      <c r="C605" s="19" t="s">
        <v>944</v>
      </c>
      <c r="D605" s="19" t="s">
        <v>148</v>
      </c>
      <c r="E605" s="19" t="s">
        <v>147</v>
      </c>
      <c r="F605" s="19" t="s">
        <v>234</v>
      </c>
      <c r="G605" s="19" t="n">
        <v>63</v>
      </c>
      <c r="H605" s="19" t="s">
        <v>235</v>
      </c>
      <c r="I605" s="20" t="n">
        <v>19.689</v>
      </c>
      <c r="J605" s="19" t="n">
        <f aca="false">IF(I605="","",MIN(Overview!$B$8,MAX(1,CEILING(I605/Overview!$B$7,1))))</f>
        <v>4</v>
      </c>
      <c r="K605" s="19" t="n">
        <v>1</v>
      </c>
      <c r="L605" s="19"/>
      <c r="M605" s="20"/>
      <c r="N605" s="19"/>
      <c r="O605" s="19"/>
      <c r="P605" s="19" t="s">
        <v>2836</v>
      </c>
      <c r="Q605" s="19" t="s">
        <v>2837</v>
      </c>
      <c r="R605" s="21" t="n">
        <v>45584</v>
      </c>
      <c r="S605" s="19" t="s">
        <v>2056</v>
      </c>
      <c r="T605" s="19" t="s">
        <v>2838</v>
      </c>
      <c r="U605" s="19" t="str">
        <f aca="false">HYPERLINK("https://macaulaylibrary.org/asset/625818089","Open")</f>
        <v>Open</v>
      </c>
      <c r="V605" s="19"/>
    </row>
    <row r="606" customFormat="false" ht="15" hidden="false" customHeight="false" outlineLevel="0" collapsed="false">
      <c r="A606" s="19" t="s">
        <v>2839</v>
      </c>
      <c r="B606" s="19" t="s">
        <v>943</v>
      </c>
      <c r="C606" s="19" t="s">
        <v>944</v>
      </c>
      <c r="D606" s="19" t="s">
        <v>148</v>
      </c>
      <c r="E606" s="19" t="s">
        <v>147</v>
      </c>
      <c r="F606" s="19" t="s">
        <v>234</v>
      </c>
      <c r="G606" s="19" t="n">
        <v>63</v>
      </c>
      <c r="H606" s="19" t="s">
        <v>235</v>
      </c>
      <c r="I606" s="20" t="n">
        <v>5.422</v>
      </c>
      <c r="J606" s="19" t="n">
        <f aca="false">IF(I606="","",MIN(Overview!$B$8,MAX(1,CEILING(I606/Overview!$B$7,1))))</f>
        <v>2</v>
      </c>
      <c r="K606" s="19" t="n">
        <v>1</v>
      </c>
      <c r="L606" s="19"/>
      <c r="M606" s="20" t="n">
        <v>4.5</v>
      </c>
      <c r="N606" s="19"/>
      <c r="O606" s="19"/>
      <c r="P606" s="19" t="s">
        <v>2840</v>
      </c>
      <c r="Q606" s="19" t="s">
        <v>1368</v>
      </c>
      <c r="R606" s="21" t="n">
        <v>45487</v>
      </c>
      <c r="S606" s="19" t="s">
        <v>2841</v>
      </c>
      <c r="T606" s="19" t="s">
        <v>2842</v>
      </c>
      <c r="U606" s="19" t="str">
        <f aca="false">HYPERLINK("https://macaulaylibrary.org/asset/628599001","Open")</f>
        <v>Open</v>
      </c>
      <c r="V606" s="19"/>
    </row>
    <row r="607" customFormat="false" ht="15" hidden="false" customHeight="false" outlineLevel="0" collapsed="false">
      <c r="A607" s="19" t="s">
        <v>2843</v>
      </c>
      <c r="B607" s="19" t="s">
        <v>943</v>
      </c>
      <c r="C607" s="19" t="s">
        <v>944</v>
      </c>
      <c r="D607" s="19" t="s">
        <v>148</v>
      </c>
      <c r="E607" s="19" t="s">
        <v>147</v>
      </c>
      <c r="F607" s="19" t="s">
        <v>234</v>
      </c>
      <c r="G607" s="19" t="n">
        <v>63</v>
      </c>
      <c r="H607" s="19" t="s">
        <v>235</v>
      </c>
      <c r="I607" s="20" t="n">
        <v>20.414</v>
      </c>
      <c r="J607" s="19" t="n">
        <f aca="false">IF(I607="","",MIN(Overview!$B$8,MAX(1,CEILING(I607/Overview!$B$7,1))))</f>
        <v>5</v>
      </c>
      <c r="K607" s="19" t="n">
        <v>1</v>
      </c>
      <c r="L607" s="19"/>
      <c r="M607" s="20"/>
      <c r="N607" s="19"/>
      <c r="O607" s="19"/>
      <c r="P607" s="19" t="s">
        <v>2844</v>
      </c>
      <c r="Q607" s="19" t="s">
        <v>2845</v>
      </c>
      <c r="R607" s="21" t="n">
        <v>45682</v>
      </c>
      <c r="S607" s="19" t="s">
        <v>2846</v>
      </c>
      <c r="T607" s="19" t="s">
        <v>2847</v>
      </c>
      <c r="U607" s="19" t="str">
        <f aca="false">HYPERLINK("https://macaulaylibrary.org/asset/630277781","Open")</f>
        <v>Open</v>
      </c>
      <c r="V607" s="19"/>
    </row>
    <row r="608" customFormat="false" ht="15" hidden="false" customHeight="false" outlineLevel="0" collapsed="false">
      <c r="A608" s="19" t="s">
        <v>2848</v>
      </c>
      <c r="B608" s="19" t="s">
        <v>943</v>
      </c>
      <c r="C608" s="19" t="s">
        <v>944</v>
      </c>
      <c r="D608" s="19" t="s">
        <v>148</v>
      </c>
      <c r="E608" s="19" t="s">
        <v>147</v>
      </c>
      <c r="F608" s="19" t="s">
        <v>234</v>
      </c>
      <c r="G608" s="19" t="n">
        <v>63</v>
      </c>
      <c r="H608" s="19" t="s">
        <v>235</v>
      </c>
      <c r="I608" s="20" t="n">
        <v>37.12</v>
      </c>
      <c r="J608" s="19" t="n">
        <f aca="false">IF(I608="","",MIN(Overview!$B$8,MAX(1,CEILING(I608/Overview!$B$7,1))))</f>
        <v>8</v>
      </c>
      <c r="K608" s="19" t="n">
        <v>1</v>
      </c>
      <c r="L608" s="19"/>
      <c r="M608" s="20"/>
      <c r="N608" s="19"/>
      <c r="O608" s="19"/>
      <c r="P608" s="19" t="s">
        <v>1487</v>
      </c>
      <c r="Q608" s="19" t="s">
        <v>1488</v>
      </c>
      <c r="R608" s="21" t="n">
        <v>42379</v>
      </c>
      <c r="S608" s="19" t="s">
        <v>1009</v>
      </c>
      <c r="T608" s="19" t="s">
        <v>2849</v>
      </c>
      <c r="U608" s="19" t="str">
        <f aca="false">HYPERLINK("https://macaulaylibrary.org/asset/642419735","Open")</f>
        <v>Open</v>
      </c>
      <c r="V608" s="19"/>
    </row>
    <row r="609" customFormat="false" ht="15" hidden="false" customHeight="false" outlineLevel="0" collapsed="false">
      <c r="A609" s="19" t="s">
        <v>2850</v>
      </c>
      <c r="B609" s="19" t="s">
        <v>943</v>
      </c>
      <c r="C609" s="19" t="s">
        <v>944</v>
      </c>
      <c r="D609" s="19" t="s">
        <v>148</v>
      </c>
      <c r="E609" s="19" t="s">
        <v>147</v>
      </c>
      <c r="F609" s="19" t="s">
        <v>234</v>
      </c>
      <c r="G609" s="19" t="n">
        <v>63</v>
      </c>
      <c r="H609" s="19" t="s">
        <v>235</v>
      </c>
      <c r="I609" s="20" t="n">
        <v>10.521</v>
      </c>
      <c r="J609" s="19" t="n">
        <f aca="false">IF(I609="","",MIN(Overview!$B$8,MAX(1,CEILING(I609/Overview!$B$7,1))))</f>
        <v>3</v>
      </c>
      <c r="K609" s="19" t="n">
        <v>1</v>
      </c>
      <c r="L609" s="19"/>
      <c r="M609" s="20"/>
      <c r="N609" s="19"/>
      <c r="O609" s="19"/>
      <c r="P609" s="19" t="s">
        <v>2851</v>
      </c>
      <c r="Q609" s="19" t="s">
        <v>1348</v>
      </c>
      <c r="R609" s="21" t="n">
        <v>46099</v>
      </c>
      <c r="S609" s="19" t="s">
        <v>1884</v>
      </c>
      <c r="T609" s="19" t="s">
        <v>2852</v>
      </c>
      <c r="U609" s="19" t="str">
        <f aca="false">HYPERLINK("https://macaulaylibrary.org/asset/654441782","Open")</f>
        <v>Open</v>
      </c>
      <c r="V609" s="19"/>
    </row>
    <row r="610" customFormat="false" ht="15" hidden="false" customHeight="false" outlineLevel="0" collapsed="false">
      <c r="A610" s="19" t="s">
        <v>2853</v>
      </c>
      <c r="B610" s="19" t="s">
        <v>943</v>
      </c>
      <c r="C610" s="19" t="s">
        <v>944</v>
      </c>
      <c r="D610" s="19" t="s">
        <v>148</v>
      </c>
      <c r="E610" s="19" t="s">
        <v>147</v>
      </c>
      <c r="F610" s="19" t="s">
        <v>234</v>
      </c>
      <c r="G610" s="19" t="n">
        <v>63</v>
      </c>
      <c r="H610" s="19" t="s">
        <v>235</v>
      </c>
      <c r="I610" s="20" t="n">
        <v>32.972</v>
      </c>
      <c r="J610" s="19" t="n">
        <f aca="false">IF(I610="","",MIN(Overview!$B$8,MAX(1,CEILING(I610/Overview!$B$7,1))))</f>
        <v>7</v>
      </c>
      <c r="K610" s="19" t="n">
        <v>1</v>
      </c>
      <c r="L610" s="19"/>
      <c r="M610" s="20"/>
      <c r="N610" s="19"/>
      <c r="O610" s="19"/>
      <c r="P610" s="19" t="s">
        <v>2854</v>
      </c>
      <c r="Q610" s="19" t="s">
        <v>2855</v>
      </c>
      <c r="R610" s="21" t="n">
        <v>46258</v>
      </c>
      <c r="S610" s="19" t="s">
        <v>2088</v>
      </c>
      <c r="T610" s="19" t="s">
        <v>2856</v>
      </c>
      <c r="U610" s="19" t="str">
        <f aca="false">HYPERLINK("https://macaulaylibrary.org/asset/663617868","Open")</f>
        <v>Open</v>
      </c>
      <c r="V610" s="19"/>
    </row>
    <row r="611" customFormat="false" ht="15" hidden="false" customHeight="false" outlineLevel="0" collapsed="false">
      <c r="A611" s="19" t="s">
        <v>2857</v>
      </c>
      <c r="B611" s="19" t="s">
        <v>943</v>
      </c>
      <c r="C611" s="19" t="s">
        <v>944</v>
      </c>
      <c r="D611" s="19" t="s">
        <v>400</v>
      </c>
      <c r="E611" s="19" t="s">
        <v>147</v>
      </c>
      <c r="F611" s="19" t="s">
        <v>601</v>
      </c>
      <c r="G611" s="19" t="n">
        <v>64</v>
      </c>
      <c r="H611" s="19" t="s">
        <v>602</v>
      </c>
      <c r="I611" s="20" t="n">
        <v>291.346</v>
      </c>
      <c r="J611" s="19" t="n">
        <f aca="false">IF(I611="","",MIN(Overview!$B$8,MAX(1,CEILING(I611/Overview!$B$7,1))))</f>
        <v>59</v>
      </c>
      <c r="K611" s="19" t="n">
        <v>1</v>
      </c>
      <c r="L611" s="19"/>
      <c r="M611" s="20" t="n">
        <v>2.2</v>
      </c>
      <c r="N611" s="19"/>
      <c r="O611" s="19" t="s">
        <v>441</v>
      </c>
      <c r="P611" s="19" t="s">
        <v>2858</v>
      </c>
      <c r="Q611" s="19" t="s">
        <v>980</v>
      </c>
      <c r="R611" s="21" t="n">
        <v>34126</v>
      </c>
      <c r="S611" s="19" t="s">
        <v>2859</v>
      </c>
      <c r="T611" s="19" t="s">
        <v>2860</v>
      </c>
      <c r="U611" s="19" t="str">
        <f aca="false">HYPERLINK("https://macaulaylibrary.org/asset/209494","Open")</f>
        <v>Open</v>
      </c>
      <c r="V611" s="19"/>
    </row>
    <row r="612" customFormat="false" ht="15" hidden="false" customHeight="false" outlineLevel="0" collapsed="false">
      <c r="A612" s="19" t="s">
        <v>2861</v>
      </c>
      <c r="B612" s="19" t="s">
        <v>943</v>
      </c>
      <c r="C612" s="19" t="s">
        <v>944</v>
      </c>
      <c r="D612" s="19" t="s">
        <v>400</v>
      </c>
      <c r="E612" s="19" t="s">
        <v>147</v>
      </c>
      <c r="F612" s="19" t="s">
        <v>601</v>
      </c>
      <c r="G612" s="19" t="n">
        <v>64</v>
      </c>
      <c r="H612" s="19" t="s">
        <v>602</v>
      </c>
      <c r="I612" s="20" t="n">
        <v>701.039</v>
      </c>
      <c r="J612" s="19" t="n">
        <f aca="false">IF(I612="","",MIN(Overview!$B$8,MAX(1,CEILING(I612/Overview!$B$7,1))))</f>
        <v>120</v>
      </c>
      <c r="K612" s="19" t="n">
        <v>1</v>
      </c>
      <c r="L612" s="19"/>
      <c r="M612" s="20" t="n">
        <v>2.2</v>
      </c>
      <c r="N612" s="19"/>
      <c r="O612" s="19"/>
      <c r="P612" s="19" t="s">
        <v>1058</v>
      </c>
      <c r="Q612" s="19" t="s">
        <v>980</v>
      </c>
      <c r="R612" s="21" t="n">
        <v>32555</v>
      </c>
      <c r="S612" s="19" t="s">
        <v>2862</v>
      </c>
      <c r="T612" s="19" t="s">
        <v>2863</v>
      </c>
      <c r="U612" s="19" t="str">
        <f aca="false">HYPERLINK("https://macaulaylibrary.org/asset/215360","Open")</f>
        <v>Open</v>
      </c>
      <c r="V612" s="19"/>
    </row>
    <row r="613" customFormat="false" ht="15" hidden="false" customHeight="false" outlineLevel="0" collapsed="false">
      <c r="A613" s="19" t="s">
        <v>2864</v>
      </c>
      <c r="B613" s="19" t="s">
        <v>943</v>
      </c>
      <c r="C613" s="19" t="s">
        <v>944</v>
      </c>
      <c r="D613" s="19" t="s">
        <v>400</v>
      </c>
      <c r="E613" s="19" t="s">
        <v>147</v>
      </c>
      <c r="F613" s="19" t="s">
        <v>601</v>
      </c>
      <c r="G613" s="19" t="n">
        <v>64</v>
      </c>
      <c r="H613" s="19" t="s">
        <v>602</v>
      </c>
      <c r="I613" s="20" t="n">
        <v>1181.811</v>
      </c>
      <c r="J613" s="19" t="n">
        <f aca="false">IF(I613="","",MIN(Overview!$B$8,MAX(1,CEILING(I613/Overview!$B$7,1))))</f>
        <v>120</v>
      </c>
      <c r="K613" s="19" t="n">
        <v>1</v>
      </c>
      <c r="L613" s="19"/>
      <c r="M613" s="20" t="n">
        <v>3.14</v>
      </c>
      <c r="N613" s="19"/>
      <c r="O613" s="19"/>
      <c r="P613" s="19" t="s">
        <v>1549</v>
      </c>
      <c r="Q613" s="19" t="s">
        <v>980</v>
      </c>
      <c r="R613" s="21" t="n">
        <v>32559</v>
      </c>
      <c r="S613" s="19" t="s">
        <v>2865</v>
      </c>
      <c r="T613" s="19" t="s">
        <v>2866</v>
      </c>
      <c r="U613" s="19" t="str">
        <f aca="false">HYPERLINK("https://macaulaylibrary.org/asset/57349","Open")</f>
        <v>Open</v>
      </c>
      <c r="V613" s="19"/>
    </row>
    <row r="614" customFormat="false" ht="15" hidden="false" customHeight="false" outlineLevel="0" collapsed="false">
      <c r="A614" s="19" t="s">
        <v>2867</v>
      </c>
      <c r="B614" s="19" t="s">
        <v>943</v>
      </c>
      <c r="C614" s="19" t="s">
        <v>944</v>
      </c>
      <c r="D614" s="19" t="s">
        <v>400</v>
      </c>
      <c r="E614" s="19" t="s">
        <v>147</v>
      </c>
      <c r="F614" s="19" t="s">
        <v>556</v>
      </c>
      <c r="G614" s="19" t="n">
        <v>65</v>
      </c>
      <c r="H614" s="19" t="s">
        <v>557</v>
      </c>
      <c r="I614" s="20" t="n">
        <v>3.168</v>
      </c>
      <c r="J614" s="19" t="n">
        <f aca="false">IF(I614="","",MIN(Overview!$B$8,MAX(1,CEILING(I614/Overview!$B$7,1))))</f>
        <v>1</v>
      </c>
      <c r="K614" s="19" t="n">
        <v>1</v>
      </c>
      <c r="L614" s="19" t="s">
        <v>1048</v>
      </c>
      <c r="M614" s="20"/>
      <c r="N614" s="19"/>
      <c r="O614" s="19"/>
      <c r="P614" s="19" t="s">
        <v>1029</v>
      </c>
      <c r="Q614" s="19" t="s">
        <v>1030</v>
      </c>
      <c r="R614" s="21" t="n">
        <v>40251</v>
      </c>
      <c r="S614" s="19" t="s">
        <v>2868</v>
      </c>
      <c r="T614" s="19" t="s">
        <v>2869</v>
      </c>
      <c r="U614" s="19" t="str">
        <f aca="false">HYPERLINK("https://macaulaylibrary.org/asset/299663","Open")</f>
        <v>Open</v>
      </c>
      <c r="V614" s="19"/>
    </row>
    <row r="615" customFormat="false" ht="15" hidden="false" customHeight="false" outlineLevel="0" collapsed="false">
      <c r="A615" s="19" t="s">
        <v>2870</v>
      </c>
      <c r="B615" s="19" t="s">
        <v>943</v>
      </c>
      <c r="C615" s="19" t="s">
        <v>944</v>
      </c>
      <c r="D615" s="19" t="s">
        <v>400</v>
      </c>
      <c r="E615" s="19" t="s">
        <v>147</v>
      </c>
      <c r="F615" s="19" t="s">
        <v>556</v>
      </c>
      <c r="G615" s="19" t="n">
        <v>65</v>
      </c>
      <c r="H615" s="19" t="s">
        <v>557</v>
      </c>
      <c r="I615" s="20" t="n">
        <v>3.69</v>
      </c>
      <c r="J615" s="19" t="n">
        <f aca="false">IF(I615="","",MIN(Overview!$B$8,MAX(1,CEILING(I615/Overview!$B$7,1))))</f>
        <v>1</v>
      </c>
      <c r="K615" s="19" t="n">
        <v>1</v>
      </c>
      <c r="L615" s="19" t="s">
        <v>1048</v>
      </c>
      <c r="M615" s="20" t="n">
        <v>2</v>
      </c>
      <c r="N615" s="19"/>
      <c r="O615" s="19"/>
      <c r="P615" s="19" t="s">
        <v>2871</v>
      </c>
      <c r="Q615" s="19" t="s">
        <v>990</v>
      </c>
      <c r="R615" s="21" t="n">
        <v>44548</v>
      </c>
      <c r="S615" s="19" t="s">
        <v>1144</v>
      </c>
      <c r="T615" s="19" t="s">
        <v>2872</v>
      </c>
      <c r="U615" s="19" t="str">
        <f aca="false">HYPERLINK("https://macaulaylibrary.org/asset/400113631","Open")</f>
        <v>Open</v>
      </c>
      <c r="V615" s="19"/>
    </row>
    <row r="616" customFormat="false" ht="15" hidden="false" customHeight="false" outlineLevel="0" collapsed="false">
      <c r="A616" s="19" t="s">
        <v>2873</v>
      </c>
      <c r="B616" s="19" t="s">
        <v>943</v>
      </c>
      <c r="C616" s="19" t="s">
        <v>944</v>
      </c>
      <c r="D616" s="19" t="s">
        <v>400</v>
      </c>
      <c r="E616" s="19" t="s">
        <v>147</v>
      </c>
      <c r="F616" s="19" t="s">
        <v>556</v>
      </c>
      <c r="G616" s="19" t="n">
        <v>65</v>
      </c>
      <c r="H616" s="19" t="s">
        <v>557</v>
      </c>
      <c r="I616" s="20" t="n">
        <v>63.389</v>
      </c>
      <c r="J616" s="19" t="n">
        <f aca="false">IF(I616="","",MIN(Overview!$B$8,MAX(1,CEILING(I616/Overview!$B$7,1))))</f>
        <v>13</v>
      </c>
      <c r="K616" s="19" t="n">
        <v>1</v>
      </c>
      <c r="L616" s="19"/>
      <c r="M616" s="20" t="n">
        <v>2</v>
      </c>
      <c r="N616" s="19"/>
      <c r="O616" s="19"/>
      <c r="P616" s="19" t="s">
        <v>2449</v>
      </c>
      <c r="Q616" s="19" t="s">
        <v>1091</v>
      </c>
      <c r="R616" s="21" t="n">
        <v>45844</v>
      </c>
      <c r="S616" s="19" t="s">
        <v>2123</v>
      </c>
      <c r="T616" s="19" t="s">
        <v>2874</v>
      </c>
      <c r="U616" s="19" t="str">
        <f aca="false">HYPERLINK("https://macaulaylibrary.org/asset/643641351","Open")</f>
        <v>Open</v>
      </c>
      <c r="V616" s="19"/>
    </row>
    <row r="617" customFormat="false" ht="15" hidden="false" customHeight="false" outlineLevel="0" collapsed="false">
      <c r="A617" s="19" t="s">
        <v>2875</v>
      </c>
      <c r="B617" s="19" t="s">
        <v>943</v>
      </c>
      <c r="C617" s="19" t="s">
        <v>944</v>
      </c>
      <c r="D617" s="19" t="s">
        <v>400</v>
      </c>
      <c r="E617" s="19" t="s">
        <v>147</v>
      </c>
      <c r="F617" s="19" t="s">
        <v>556</v>
      </c>
      <c r="G617" s="19" t="n">
        <v>65</v>
      </c>
      <c r="H617" s="19" t="s">
        <v>557</v>
      </c>
      <c r="I617" s="20" t="n">
        <v>14.002</v>
      </c>
      <c r="J617" s="19" t="n">
        <f aca="false">IF(I617="","",MIN(Overview!$B$8,MAX(1,CEILING(I617/Overview!$B$7,1))))</f>
        <v>3</v>
      </c>
      <c r="K617" s="19" t="n">
        <v>1</v>
      </c>
      <c r="L617" s="19"/>
      <c r="M617" s="20"/>
      <c r="N617" s="19"/>
      <c r="O617" s="19"/>
      <c r="P617" s="19" t="s">
        <v>2876</v>
      </c>
      <c r="Q617" s="19" t="s">
        <v>2877</v>
      </c>
      <c r="R617" s="21" t="n">
        <v>45679</v>
      </c>
      <c r="S617" s="19" t="s">
        <v>2878</v>
      </c>
      <c r="T617" s="19" t="s">
        <v>2879</v>
      </c>
      <c r="U617" s="19" t="str">
        <f aca="false">HYPERLINK("https://macaulaylibrary.org/asset/663970966","Open")</f>
        <v>Open</v>
      </c>
      <c r="V617" s="19"/>
    </row>
    <row r="618" customFormat="false" ht="15" hidden="false" customHeight="false" outlineLevel="0" collapsed="false">
      <c r="A618" s="19" t="s">
        <v>2880</v>
      </c>
      <c r="B618" s="19" t="s">
        <v>943</v>
      </c>
      <c r="C618" s="19" t="s">
        <v>944</v>
      </c>
      <c r="D618" s="19" t="s">
        <v>148</v>
      </c>
      <c r="E618" s="19" t="s">
        <v>147</v>
      </c>
      <c r="F618" s="19" t="s">
        <v>298</v>
      </c>
      <c r="G618" s="19" t="n">
        <v>66</v>
      </c>
      <c r="H618" s="19" t="s">
        <v>299</v>
      </c>
      <c r="I618" s="20" t="n">
        <v>34.668</v>
      </c>
      <c r="J618" s="19" t="n">
        <f aca="false">IF(I618="","",MIN(Overview!$B$8,MAX(1,CEILING(I618/Overview!$B$7,1))))</f>
        <v>7</v>
      </c>
      <c r="K618" s="19" t="n">
        <v>1</v>
      </c>
      <c r="L618" s="19"/>
      <c r="M618" s="20" t="n">
        <v>3</v>
      </c>
      <c r="N618" s="19"/>
      <c r="O618" s="19"/>
      <c r="P618" s="19" t="s">
        <v>1664</v>
      </c>
      <c r="Q618" s="19" t="s">
        <v>1021</v>
      </c>
      <c r="R618" s="21" t="n">
        <v>35866</v>
      </c>
      <c r="S618" s="19" t="s">
        <v>1279</v>
      </c>
      <c r="T618" s="19" t="s">
        <v>2881</v>
      </c>
      <c r="U618" s="19" t="str">
        <f aca="false">HYPERLINK("https://macaulaylibrary.org/asset/102589421","Open")</f>
        <v>Open</v>
      </c>
      <c r="V618" s="19"/>
    </row>
    <row r="619" customFormat="false" ht="15" hidden="false" customHeight="false" outlineLevel="0" collapsed="false">
      <c r="A619" s="19" t="s">
        <v>2882</v>
      </c>
      <c r="B619" s="19" t="s">
        <v>943</v>
      </c>
      <c r="C619" s="19" t="s">
        <v>944</v>
      </c>
      <c r="D619" s="19" t="s">
        <v>148</v>
      </c>
      <c r="E619" s="19" t="s">
        <v>147</v>
      </c>
      <c r="F619" s="19" t="s">
        <v>298</v>
      </c>
      <c r="G619" s="19" t="n">
        <v>66</v>
      </c>
      <c r="H619" s="19" t="s">
        <v>299</v>
      </c>
      <c r="I619" s="20" t="n">
        <v>24.085</v>
      </c>
      <c r="J619" s="19" t="n">
        <f aca="false">IF(I619="","",MIN(Overview!$B$8,MAX(1,CEILING(I619/Overview!$B$7,1))))</f>
        <v>5</v>
      </c>
      <c r="K619" s="19" t="n">
        <v>1</v>
      </c>
      <c r="L619" s="19"/>
      <c r="M619" s="20" t="n">
        <v>4</v>
      </c>
      <c r="N619" s="19"/>
      <c r="O619" s="19"/>
      <c r="P619" s="19" t="s">
        <v>1698</v>
      </c>
      <c r="Q619" s="19" t="s">
        <v>1021</v>
      </c>
      <c r="R619" s="21" t="n">
        <v>36599</v>
      </c>
      <c r="S619" s="19" t="s">
        <v>1036</v>
      </c>
      <c r="T619" s="19" t="s">
        <v>2883</v>
      </c>
      <c r="U619" s="19" t="str">
        <f aca="false">HYPERLINK("https://macaulaylibrary.org/asset/148844601","Open")</f>
        <v>Open</v>
      </c>
      <c r="V619" s="19"/>
    </row>
    <row r="620" customFormat="false" ht="15" hidden="false" customHeight="false" outlineLevel="0" collapsed="false">
      <c r="A620" s="19" t="s">
        <v>2884</v>
      </c>
      <c r="B620" s="19" t="s">
        <v>943</v>
      </c>
      <c r="C620" s="19" t="s">
        <v>944</v>
      </c>
      <c r="D620" s="19" t="s">
        <v>148</v>
      </c>
      <c r="E620" s="19" t="s">
        <v>147</v>
      </c>
      <c r="F620" s="19" t="s">
        <v>298</v>
      </c>
      <c r="G620" s="19" t="n">
        <v>66</v>
      </c>
      <c r="H620" s="19" t="s">
        <v>299</v>
      </c>
      <c r="I620" s="20" t="n">
        <v>3.382</v>
      </c>
      <c r="J620" s="19" t="n">
        <f aca="false">IF(I620="","",MIN(Overview!$B$8,MAX(1,CEILING(I620/Overview!$B$7,1))))</f>
        <v>1</v>
      </c>
      <c r="K620" s="19" t="n">
        <v>1</v>
      </c>
      <c r="L620" s="19" t="s">
        <v>1048</v>
      </c>
      <c r="M620" s="20" t="n">
        <v>3</v>
      </c>
      <c r="N620" s="19"/>
      <c r="O620" s="19"/>
      <c r="P620" s="19" t="s">
        <v>1698</v>
      </c>
      <c r="Q620" s="19" t="s">
        <v>1021</v>
      </c>
      <c r="R620" s="21" t="n">
        <v>36599</v>
      </c>
      <c r="S620" s="19" t="s">
        <v>1036</v>
      </c>
      <c r="T620" s="19" t="s">
        <v>2885</v>
      </c>
      <c r="U620" s="19" t="str">
        <f aca="false">HYPERLINK("https://macaulaylibrary.org/asset/148844781","Open")</f>
        <v>Open</v>
      </c>
      <c r="V620" s="19"/>
    </row>
    <row r="621" customFormat="false" ht="15" hidden="false" customHeight="false" outlineLevel="0" collapsed="false">
      <c r="A621" s="19" t="s">
        <v>2886</v>
      </c>
      <c r="B621" s="19" t="s">
        <v>943</v>
      </c>
      <c r="C621" s="19" t="s">
        <v>944</v>
      </c>
      <c r="D621" s="19" t="s">
        <v>148</v>
      </c>
      <c r="E621" s="19" t="s">
        <v>147</v>
      </c>
      <c r="F621" s="19" t="s">
        <v>298</v>
      </c>
      <c r="G621" s="19" t="n">
        <v>66</v>
      </c>
      <c r="H621" s="19" t="s">
        <v>299</v>
      </c>
      <c r="I621" s="20" t="n">
        <v>13.212</v>
      </c>
      <c r="J621" s="19" t="n">
        <f aca="false">IF(I621="","",MIN(Overview!$B$8,MAX(1,CEILING(I621/Overview!$B$7,1))))</f>
        <v>3</v>
      </c>
      <c r="K621" s="19" t="n">
        <v>1</v>
      </c>
      <c r="L621" s="19"/>
      <c r="M621" s="20" t="n">
        <v>3.5</v>
      </c>
      <c r="N621" s="19"/>
      <c r="O621" s="19"/>
      <c r="P621" s="19" t="s">
        <v>1698</v>
      </c>
      <c r="Q621" s="19" t="s">
        <v>1021</v>
      </c>
      <c r="R621" s="21" t="n">
        <v>36599</v>
      </c>
      <c r="S621" s="19" t="s">
        <v>1036</v>
      </c>
      <c r="T621" s="19" t="s">
        <v>2887</v>
      </c>
      <c r="U621" s="19" t="str">
        <f aca="false">HYPERLINK("https://macaulaylibrary.org/asset/148845081","Open")</f>
        <v>Open</v>
      </c>
      <c r="V621" s="19"/>
    </row>
    <row r="622" customFormat="false" ht="15" hidden="false" customHeight="false" outlineLevel="0" collapsed="false">
      <c r="A622" s="19" t="s">
        <v>2888</v>
      </c>
      <c r="B622" s="19" t="s">
        <v>943</v>
      </c>
      <c r="C622" s="19" t="s">
        <v>944</v>
      </c>
      <c r="D622" s="19" t="s">
        <v>148</v>
      </c>
      <c r="E622" s="19" t="s">
        <v>147</v>
      </c>
      <c r="F622" s="19" t="s">
        <v>298</v>
      </c>
      <c r="G622" s="19" t="n">
        <v>66</v>
      </c>
      <c r="H622" s="19" t="s">
        <v>299</v>
      </c>
      <c r="I622" s="20" t="n">
        <v>27.151</v>
      </c>
      <c r="J622" s="19" t="n">
        <f aca="false">IF(I622="","",MIN(Overview!$B$8,MAX(1,CEILING(I622/Overview!$B$7,1))))</f>
        <v>6</v>
      </c>
      <c r="K622" s="19" t="n">
        <v>1</v>
      </c>
      <c r="L622" s="19"/>
      <c r="M622" s="20" t="n">
        <v>4</v>
      </c>
      <c r="N622" s="19"/>
      <c r="O622" s="19"/>
      <c r="P622" s="19" t="s">
        <v>1703</v>
      </c>
      <c r="Q622" s="19" t="s">
        <v>1021</v>
      </c>
      <c r="R622" s="21" t="n">
        <v>36601</v>
      </c>
      <c r="S622" s="19" t="s">
        <v>1036</v>
      </c>
      <c r="T622" s="19" t="s">
        <v>2889</v>
      </c>
      <c r="U622" s="19" t="str">
        <f aca="false">HYPERLINK("https://macaulaylibrary.org/asset/152252991","Open")</f>
        <v>Open</v>
      </c>
      <c r="V622" s="19"/>
    </row>
    <row r="623" customFormat="false" ht="15" hidden="false" customHeight="false" outlineLevel="0" collapsed="false">
      <c r="A623" s="19" t="s">
        <v>2890</v>
      </c>
      <c r="B623" s="19" t="s">
        <v>943</v>
      </c>
      <c r="C623" s="19" t="s">
        <v>944</v>
      </c>
      <c r="D623" s="19" t="s">
        <v>148</v>
      </c>
      <c r="E623" s="19" t="s">
        <v>147</v>
      </c>
      <c r="F623" s="19" t="s">
        <v>298</v>
      </c>
      <c r="G623" s="19" t="n">
        <v>66</v>
      </c>
      <c r="H623" s="19" t="s">
        <v>299</v>
      </c>
      <c r="I623" s="20" t="n">
        <v>86.298</v>
      </c>
      <c r="J623" s="19" t="n">
        <f aca="false">IF(I623="","",MIN(Overview!$B$8,MAX(1,CEILING(I623/Overview!$B$7,1))))</f>
        <v>18</v>
      </c>
      <c r="K623" s="19" t="n">
        <v>1</v>
      </c>
      <c r="L623" s="19"/>
      <c r="M623" s="20" t="n">
        <v>2</v>
      </c>
      <c r="N623" s="19"/>
      <c r="O623" s="19" t="s">
        <v>2891</v>
      </c>
      <c r="P623" s="19" t="s">
        <v>2665</v>
      </c>
      <c r="Q623" s="19" t="s">
        <v>1218</v>
      </c>
      <c r="R623" s="21" t="n">
        <v>34812</v>
      </c>
      <c r="S623" s="19" t="s">
        <v>2272</v>
      </c>
      <c r="T623" s="19" t="s">
        <v>2892</v>
      </c>
      <c r="U623" s="19" t="str">
        <f aca="false">HYPERLINK("https://macaulaylibrary.org/asset/184250","Open")</f>
        <v>Open</v>
      </c>
      <c r="V623" s="19"/>
    </row>
    <row r="624" customFormat="false" ht="15" hidden="false" customHeight="false" outlineLevel="0" collapsed="false">
      <c r="A624" s="19" t="s">
        <v>2893</v>
      </c>
      <c r="B624" s="19" t="s">
        <v>943</v>
      </c>
      <c r="C624" s="19" t="s">
        <v>944</v>
      </c>
      <c r="D624" s="19" t="s">
        <v>148</v>
      </c>
      <c r="E624" s="19" t="s">
        <v>147</v>
      </c>
      <c r="F624" s="19" t="s">
        <v>298</v>
      </c>
      <c r="G624" s="19" t="n">
        <v>66</v>
      </c>
      <c r="H624" s="19" t="s">
        <v>299</v>
      </c>
      <c r="I624" s="20" t="n">
        <v>128.178</v>
      </c>
      <c r="J624" s="19" t="n">
        <f aca="false">IF(I624="","",MIN(Overview!$B$8,MAX(1,CEILING(I624/Overview!$B$7,1))))</f>
        <v>26</v>
      </c>
      <c r="K624" s="19" t="n">
        <v>1</v>
      </c>
      <c r="L624" s="19"/>
      <c r="M624" s="20" t="n">
        <v>4</v>
      </c>
      <c r="N624" s="19"/>
      <c r="O624" s="19" t="s">
        <v>2894</v>
      </c>
      <c r="P624" s="19" t="s">
        <v>2538</v>
      </c>
      <c r="Q624" s="19" t="s">
        <v>980</v>
      </c>
      <c r="R624" s="21" t="n">
        <v>35207</v>
      </c>
      <c r="S624" s="19" t="s">
        <v>2542</v>
      </c>
      <c r="T624" s="19" t="s">
        <v>2895</v>
      </c>
      <c r="U624" s="19" t="str">
        <f aca="false">HYPERLINK("https://macaulaylibrary.org/asset/184775","Open")</f>
        <v>Open</v>
      </c>
      <c r="V624" s="19"/>
    </row>
    <row r="625" customFormat="false" ht="15" hidden="false" customHeight="false" outlineLevel="0" collapsed="false">
      <c r="A625" s="19" t="s">
        <v>2896</v>
      </c>
      <c r="B625" s="19" t="s">
        <v>943</v>
      </c>
      <c r="C625" s="19" t="s">
        <v>944</v>
      </c>
      <c r="D625" s="19" t="s">
        <v>148</v>
      </c>
      <c r="E625" s="19" t="s">
        <v>147</v>
      </c>
      <c r="F625" s="19" t="s">
        <v>298</v>
      </c>
      <c r="G625" s="19" t="n">
        <v>66</v>
      </c>
      <c r="H625" s="19" t="s">
        <v>299</v>
      </c>
      <c r="I625" s="20" t="n">
        <v>5.07</v>
      </c>
      <c r="J625" s="19" t="n">
        <f aca="false">IF(I625="","",MIN(Overview!$B$8,MAX(1,CEILING(I625/Overview!$B$7,1))))</f>
        <v>2</v>
      </c>
      <c r="K625" s="19" t="n">
        <v>1</v>
      </c>
      <c r="L625" s="19"/>
      <c r="M625" s="20" t="n">
        <v>4</v>
      </c>
      <c r="N625" s="19"/>
      <c r="O625" s="19"/>
      <c r="P625" s="19" t="s">
        <v>1029</v>
      </c>
      <c r="Q625" s="19" t="s">
        <v>1030</v>
      </c>
      <c r="R625" s="21" t="n">
        <v>40251</v>
      </c>
      <c r="S625" s="19" t="s">
        <v>1530</v>
      </c>
      <c r="T625" s="19" t="s">
        <v>2897</v>
      </c>
      <c r="U625" s="19" t="str">
        <f aca="false">HYPERLINK("https://macaulaylibrary.org/asset/299655","Open")</f>
        <v>Open</v>
      </c>
      <c r="V625" s="19"/>
    </row>
    <row r="626" customFormat="false" ht="15" hidden="false" customHeight="false" outlineLevel="0" collapsed="false">
      <c r="A626" s="19" t="s">
        <v>2898</v>
      </c>
      <c r="B626" s="19" t="s">
        <v>943</v>
      </c>
      <c r="C626" s="19" t="s">
        <v>944</v>
      </c>
      <c r="D626" s="19" t="s">
        <v>148</v>
      </c>
      <c r="E626" s="19" t="s">
        <v>147</v>
      </c>
      <c r="F626" s="19" t="s">
        <v>298</v>
      </c>
      <c r="G626" s="19" t="n">
        <v>66</v>
      </c>
      <c r="H626" s="19" t="s">
        <v>299</v>
      </c>
      <c r="I626" s="20" t="n">
        <v>7.536</v>
      </c>
      <c r="J626" s="19" t="n">
        <f aca="false">IF(I626="","",MIN(Overview!$B$8,MAX(1,CEILING(I626/Overview!$B$7,1))))</f>
        <v>2</v>
      </c>
      <c r="K626" s="19" t="n">
        <v>1</v>
      </c>
      <c r="L626" s="19"/>
      <c r="M626" s="20" t="n">
        <v>4</v>
      </c>
      <c r="N626" s="19"/>
      <c r="O626" s="19"/>
      <c r="P626" s="19" t="s">
        <v>1157</v>
      </c>
      <c r="Q626" s="19" t="s">
        <v>1158</v>
      </c>
      <c r="R626" s="21" t="n">
        <v>44942</v>
      </c>
      <c r="S626" s="19" t="s">
        <v>1009</v>
      </c>
      <c r="T626" s="19" t="s">
        <v>2899</v>
      </c>
      <c r="U626" s="19" t="str">
        <f aca="false">HYPERLINK("https://macaulaylibrary.org/asset/543397751","Open")</f>
        <v>Open</v>
      </c>
      <c r="V626" s="19"/>
    </row>
    <row r="627" customFormat="false" ht="15" hidden="false" customHeight="false" outlineLevel="0" collapsed="false">
      <c r="A627" s="19" t="s">
        <v>2900</v>
      </c>
      <c r="B627" s="19" t="s">
        <v>943</v>
      </c>
      <c r="C627" s="19" t="s">
        <v>944</v>
      </c>
      <c r="D627" s="19" t="s">
        <v>148</v>
      </c>
      <c r="E627" s="19" t="s">
        <v>147</v>
      </c>
      <c r="F627" s="19" t="s">
        <v>298</v>
      </c>
      <c r="G627" s="19" t="n">
        <v>66</v>
      </c>
      <c r="H627" s="19" t="s">
        <v>299</v>
      </c>
      <c r="I627" s="20" t="n">
        <v>8.514</v>
      </c>
      <c r="J627" s="19" t="n">
        <f aca="false">IF(I627="","",MIN(Overview!$B$8,MAX(1,CEILING(I627/Overview!$B$7,1))))</f>
        <v>2</v>
      </c>
      <c r="K627" s="19" t="n">
        <v>1</v>
      </c>
      <c r="L627" s="19"/>
      <c r="M627" s="20" t="n">
        <v>4.5</v>
      </c>
      <c r="N627" s="19"/>
      <c r="O627" s="19"/>
      <c r="P627" s="19" t="s">
        <v>2901</v>
      </c>
      <c r="Q627" s="19" t="s">
        <v>1368</v>
      </c>
      <c r="R627" s="21" t="n">
        <v>45624</v>
      </c>
      <c r="S627" s="19" t="s">
        <v>1036</v>
      </c>
      <c r="T627" s="19" t="s">
        <v>2902</v>
      </c>
      <c r="U627" s="19" t="str">
        <f aca="false">HYPERLINK("https://macaulaylibrary.org/asset/642913297","Open")</f>
        <v>Open</v>
      </c>
      <c r="V627" s="19"/>
    </row>
    <row r="628" customFormat="false" ht="15" hidden="false" customHeight="false" outlineLevel="0" collapsed="false">
      <c r="A628" s="19" t="s">
        <v>2903</v>
      </c>
      <c r="B628" s="19" t="s">
        <v>943</v>
      </c>
      <c r="C628" s="19" t="s">
        <v>944</v>
      </c>
      <c r="D628" s="19" t="s">
        <v>148</v>
      </c>
      <c r="E628" s="19" t="s">
        <v>147</v>
      </c>
      <c r="F628" s="19" t="s">
        <v>298</v>
      </c>
      <c r="G628" s="19" t="n">
        <v>66</v>
      </c>
      <c r="H628" s="19" t="s">
        <v>299</v>
      </c>
      <c r="I628" s="20" t="n">
        <v>12.355</v>
      </c>
      <c r="J628" s="19" t="n">
        <f aca="false">IF(I628="","",MIN(Overview!$B$8,MAX(1,CEILING(I628/Overview!$B$7,1))))</f>
        <v>3</v>
      </c>
      <c r="K628" s="19" t="n">
        <v>1</v>
      </c>
      <c r="L628" s="19"/>
      <c r="M628" s="20" t="n">
        <v>2</v>
      </c>
      <c r="N628" s="19"/>
      <c r="O628" s="19"/>
      <c r="P628" s="19" t="s">
        <v>1214</v>
      </c>
      <c r="Q628" s="19" t="s">
        <v>980</v>
      </c>
      <c r="R628" s="21" t="n">
        <v>33300</v>
      </c>
      <c r="S628" s="19" t="s">
        <v>1858</v>
      </c>
      <c r="T628" s="19" t="s">
        <v>2904</v>
      </c>
      <c r="U628" s="19" t="str">
        <f aca="false">HYPERLINK("https://macaulaylibrary.org/asset/72673","Open")</f>
        <v>Open</v>
      </c>
      <c r="V628" s="19"/>
    </row>
    <row r="629" customFormat="false" ht="15" hidden="false" customHeight="false" outlineLevel="0" collapsed="false">
      <c r="A629" s="19" t="s">
        <v>2905</v>
      </c>
      <c r="B629" s="19" t="s">
        <v>943</v>
      </c>
      <c r="C629" s="19" t="s">
        <v>944</v>
      </c>
      <c r="D629" s="19" t="s">
        <v>148</v>
      </c>
      <c r="E629" s="19" t="s">
        <v>147</v>
      </c>
      <c r="F629" s="19" t="s">
        <v>298</v>
      </c>
      <c r="G629" s="19" t="n">
        <v>66</v>
      </c>
      <c r="H629" s="19" t="s">
        <v>299</v>
      </c>
      <c r="I629" s="20" t="n">
        <v>14.005</v>
      </c>
      <c r="J629" s="19" t="n">
        <f aca="false">IF(I629="","",MIN(Overview!$B$8,MAX(1,CEILING(I629/Overview!$B$7,1))))</f>
        <v>3</v>
      </c>
      <c r="K629" s="19" t="n">
        <v>1</v>
      </c>
      <c r="L629" s="19"/>
      <c r="M629" s="20" t="n">
        <v>2.5</v>
      </c>
      <c r="N629" s="19"/>
      <c r="O629" s="19"/>
      <c r="P629" s="19" t="s">
        <v>1742</v>
      </c>
      <c r="Q629" s="19" t="s">
        <v>1021</v>
      </c>
      <c r="R629" s="21" t="n">
        <v>35860</v>
      </c>
      <c r="S629" s="19" t="s">
        <v>1743</v>
      </c>
      <c r="T629" s="19" t="s">
        <v>2906</v>
      </c>
      <c r="U629" s="19" t="str">
        <f aca="false">HYPERLINK("https://macaulaylibrary.org/asset/98010231","Open")</f>
        <v>Open</v>
      </c>
      <c r="V629" s="19"/>
    </row>
    <row r="630" customFormat="false" ht="15" hidden="false" customHeight="false" outlineLevel="0" collapsed="false">
      <c r="A630" s="19" t="s">
        <v>2907</v>
      </c>
      <c r="B630" s="19" t="s">
        <v>1005</v>
      </c>
      <c r="C630" s="19" t="s">
        <v>944</v>
      </c>
      <c r="D630" s="19" t="s">
        <v>647</v>
      </c>
      <c r="E630" s="19" t="s">
        <v>147</v>
      </c>
      <c r="F630" s="19" t="s">
        <v>298</v>
      </c>
      <c r="G630" s="19" t="n">
        <v>66</v>
      </c>
      <c r="H630" s="19" t="s">
        <v>299</v>
      </c>
      <c r="I630" s="20" t="n">
        <v>15.024</v>
      </c>
      <c r="J630" s="19" t="n">
        <f aca="false">IF(I630="","",MIN(Overview!$B$8,MAX(1,CEILING(I630/Overview!$B$7,1))))</f>
        <v>4</v>
      </c>
      <c r="K630" s="19" t="n">
        <v>1</v>
      </c>
      <c r="L630" s="19"/>
      <c r="M630" s="20"/>
      <c r="N630" s="19" t="s">
        <v>1006</v>
      </c>
      <c r="O630" s="19"/>
      <c r="P630" s="19" t="s">
        <v>1007</v>
      </c>
      <c r="Q630" s="19" t="s">
        <v>1008</v>
      </c>
      <c r="R630" s="21" t="n">
        <v>42577</v>
      </c>
      <c r="S630" s="19" t="s">
        <v>1550</v>
      </c>
      <c r="T630" s="19" t="s">
        <v>2908</v>
      </c>
      <c r="U630" s="19" t="str">
        <f aca="false">HYPERLINK("https://xeno-canto.org/331449","Open")</f>
        <v>Open</v>
      </c>
      <c r="V630" s="19" t="s">
        <v>1720</v>
      </c>
    </row>
    <row r="631" customFormat="false" ht="15" hidden="false" customHeight="false" outlineLevel="0" collapsed="false">
      <c r="A631" s="19" t="s">
        <v>2909</v>
      </c>
      <c r="B631" s="19" t="s">
        <v>1005</v>
      </c>
      <c r="C631" s="19" t="s">
        <v>944</v>
      </c>
      <c r="D631" s="19" t="s">
        <v>647</v>
      </c>
      <c r="E631" s="19" t="s">
        <v>147</v>
      </c>
      <c r="F631" s="19" t="s">
        <v>792</v>
      </c>
      <c r="G631" s="19" t="n">
        <v>67</v>
      </c>
      <c r="H631" s="19" t="s">
        <v>793</v>
      </c>
      <c r="I631" s="20" t="n">
        <v>5.52</v>
      </c>
      <c r="J631" s="19" t="n">
        <f aca="false">IF(I631="","",MIN(Overview!$B$8,MAX(1,CEILING(I631/Overview!$B$7,1))))</f>
        <v>2</v>
      </c>
      <c r="K631" s="19" t="n">
        <v>1</v>
      </c>
      <c r="L631" s="19"/>
      <c r="M631" s="20"/>
      <c r="N631" s="19" t="s">
        <v>2910</v>
      </c>
      <c r="O631" s="19"/>
      <c r="P631" s="19" t="s">
        <v>2911</v>
      </c>
      <c r="Q631" s="19" t="s">
        <v>1008</v>
      </c>
      <c r="R631" s="21" t="n">
        <v>42580</v>
      </c>
      <c r="S631" s="19" t="s">
        <v>1459</v>
      </c>
      <c r="T631" s="19" t="s">
        <v>2912</v>
      </c>
      <c r="U631" s="19" t="str">
        <f aca="false">HYPERLINK("https://xeno-canto.org/332265","Open")</f>
        <v>Open</v>
      </c>
      <c r="V631" s="19" t="s">
        <v>1660</v>
      </c>
    </row>
    <row r="632" customFormat="false" ht="15" hidden="false" customHeight="false" outlineLevel="0" collapsed="false">
      <c r="A632" s="19" t="s">
        <v>2913</v>
      </c>
      <c r="B632" s="19" t="s">
        <v>1005</v>
      </c>
      <c r="C632" s="19" t="s">
        <v>944</v>
      </c>
      <c r="D632" s="19" t="s">
        <v>647</v>
      </c>
      <c r="E632" s="19" t="s">
        <v>147</v>
      </c>
      <c r="F632" s="19" t="s">
        <v>794</v>
      </c>
      <c r="G632" s="19" t="n">
        <v>68</v>
      </c>
      <c r="H632" s="19" t="s">
        <v>795</v>
      </c>
      <c r="I632" s="20" t="n">
        <v>20.4</v>
      </c>
      <c r="J632" s="19" t="n">
        <f aca="false">IF(I632="","",MIN(Overview!$B$8,MAX(1,CEILING(I632/Overview!$B$7,1))))</f>
        <v>5</v>
      </c>
      <c r="K632" s="19" t="n">
        <v>1</v>
      </c>
      <c r="L632" s="19"/>
      <c r="M632" s="20"/>
      <c r="N632" s="19" t="s">
        <v>1718</v>
      </c>
      <c r="O632" s="19"/>
      <c r="P632" s="19" t="s">
        <v>1657</v>
      </c>
      <c r="Q632" s="19" t="s">
        <v>1008</v>
      </c>
      <c r="R632" s="21" t="n">
        <v>42581</v>
      </c>
      <c r="S632" s="19" t="s">
        <v>1072</v>
      </c>
      <c r="T632" s="19" t="s">
        <v>2914</v>
      </c>
      <c r="U632" s="19" t="str">
        <f aca="false">HYPERLINK("https://xeno-canto.org/332499","Open")</f>
        <v>Open</v>
      </c>
      <c r="V632" s="19" t="s">
        <v>2789</v>
      </c>
    </row>
    <row r="633" customFormat="false" ht="15" hidden="false" customHeight="false" outlineLevel="0" collapsed="false">
      <c r="A633" s="19" t="s">
        <v>2915</v>
      </c>
      <c r="B633" s="19" t="s">
        <v>943</v>
      </c>
      <c r="C633" s="19" t="s">
        <v>944</v>
      </c>
      <c r="D633" s="19" t="s">
        <v>148</v>
      </c>
      <c r="E633" s="19" t="s">
        <v>147</v>
      </c>
      <c r="F633" s="19" t="s">
        <v>200</v>
      </c>
      <c r="G633" s="19" t="n">
        <v>70</v>
      </c>
      <c r="H633" s="19" t="s">
        <v>201</v>
      </c>
      <c r="I633" s="20" t="n">
        <v>18.895</v>
      </c>
      <c r="J633" s="19" t="n">
        <f aca="false">IF(I633="","",MIN(Overview!$B$8,MAX(1,CEILING(I633/Overview!$B$7,1))))</f>
        <v>4</v>
      </c>
      <c r="K633" s="19" t="n">
        <v>1</v>
      </c>
      <c r="L633" s="19"/>
      <c r="M633" s="20" t="n">
        <v>1</v>
      </c>
      <c r="N633" s="19"/>
      <c r="O633" s="19"/>
      <c r="P633" s="19" t="s">
        <v>2916</v>
      </c>
      <c r="Q633" s="19" t="s">
        <v>2235</v>
      </c>
      <c r="R633" s="21" t="n">
        <v>43469</v>
      </c>
      <c r="S633" s="19" t="s">
        <v>1484</v>
      </c>
      <c r="T633" s="19" t="s">
        <v>2917</v>
      </c>
      <c r="U633" s="19" t="str">
        <f aca="false">HYPERLINK("https://macaulaylibrary.org/asset/143072191","Open")</f>
        <v>Open</v>
      </c>
      <c r="V633" s="19"/>
    </row>
    <row r="634" customFormat="false" ht="15" hidden="false" customHeight="false" outlineLevel="0" collapsed="false">
      <c r="A634" s="19" t="s">
        <v>2918</v>
      </c>
      <c r="B634" s="19" t="s">
        <v>943</v>
      </c>
      <c r="C634" s="19" t="s">
        <v>944</v>
      </c>
      <c r="D634" s="19" t="s">
        <v>148</v>
      </c>
      <c r="E634" s="19" t="s">
        <v>147</v>
      </c>
      <c r="F634" s="19" t="s">
        <v>200</v>
      </c>
      <c r="G634" s="19" t="n">
        <v>70</v>
      </c>
      <c r="H634" s="19" t="s">
        <v>201</v>
      </c>
      <c r="I634" s="20" t="n">
        <v>18.194</v>
      </c>
      <c r="J634" s="19" t="n">
        <f aca="false">IF(I634="","",MIN(Overview!$B$8,MAX(1,CEILING(I634/Overview!$B$7,1))))</f>
        <v>4</v>
      </c>
      <c r="K634" s="19" t="n">
        <v>1</v>
      </c>
      <c r="L634" s="19"/>
      <c r="M634" s="20" t="n">
        <v>2</v>
      </c>
      <c r="N634" s="19"/>
      <c r="O634" s="19"/>
      <c r="P634" s="19" t="s">
        <v>2916</v>
      </c>
      <c r="Q634" s="19" t="s">
        <v>2235</v>
      </c>
      <c r="R634" s="21" t="n">
        <v>43469</v>
      </c>
      <c r="S634" s="19" t="s">
        <v>1484</v>
      </c>
      <c r="T634" s="19" t="s">
        <v>2919</v>
      </c>
      <c r="U634" s="19" t="str">
        <f aca="false">HYPERLINK("https://macaulaylibrary.org/asset/143072211","Open")</f>
        <v>Open</v>
      </c>
      <c r="V634" s="19"/>
    </row>
    <row r="635" customFormat="false" ht="15" hidden="false" customHeight="false" outlineLevel="0" collapsed="false">
      <c r="A635" s="19" t="s">
        <v>2920</v>
      </c>
      <c r="B635" s="19" t="s">
        <v>943</v>
      </c>
      <c r="C635" s="19" t="s">
        <v>944</v>
      </c>
      <c r="D635" s="19" t="s">
        <v>148</v>
      </c>
      <c r="E635" s="19" t="s">
        <v>147</v>
      </c>
      <c r="F635" s="19" t="s">
        <v>200</v>
      </c>
      <c r="G635" s="19" t="n">
        <v>70</v>
      </c>
      <c r="H635" s="19" t="s">
        <v>201</v>
      </c>
      <c r="I635" s="20" t="n">
        <v>97.319</v>
      </c>
      <c r="J635" s="19" t="n">
        <f aca="false">IF(I635="","",MIN(Overview!$B$8,MAX(1,CEILING(I635/Overview!$B$7,1))))</f>
        <v>20</v>
      </c>
      <c r="K635" s="19" t="n">
        <v>1</v>
      </c>
      <c r="L635" s="19"/>
      <c r="M635" s="20" t="n">
        <v>3</v>
      </c>
      <c r="N635" s="19"/>
      <c r="O635" s="19"/>
      <c r="P635" s="19" t="s">
        <v>1698</v>
      </c>
      <c r="Q635" s="19" t="s">
        <v>1021</v>
      </c>
      <c r="R635" s="21" t="n">
        <v>36599</v>
      </c>
      <c r="S635" s="19" t="s">
        <v>1036</v>
      </c>
      <c r="T635" s="19" t="s">
        <v>2921</v>
      </c>
      <c r="U635" s="19" t="str">
        <f aca="false">HYPERLINK("https://macaulaylibrary.org/asset/150736831","Open")</f>
        <v>Open</v>
      </c>
      <c r="V635" s="19"/>
    </row>
    <row r="636" customFormat="false" ht="15" hidden="false" customHeight="false" outlineLevel="0" collapsed="false">
      <c r="A636" s="19" t="s">
        <v>2922</v>
      </c>
      <c r="B636" s="19" t="s">
        <v>943</v>
      </c>
      <c r="C636" s="19" t="s">
        <v>944</v>
      </c>
      <c r="D636" s="19" t="s">
        <v>148</v>
      </c>
      <c r="E636" s="19" t="s">
        <v>147</v>
      </c>
      <c r="F636" s="19" t="s">
        <v>200</v>
      </c>
      <c r="G636" s="19" t="n">
        <v>70</v>
      </c>
      <c r="H636" s="19" t="s">
        <v>201</v>
      </c>
      <c r="I636" s="20" t="n">
        <v>283.27</v>
      </c>
      <c r="J636" s="19" t="n">
        <f aca="false">IF(I636="","",MIN(Overview!$B$8,MAX(1,CEILING(I636/Overview!$B$7,1))))</f>
        <v>57</v>
      </c>
      <c r="K636" s="19" t="n">
        <v>1</v>
      </c>
      <c r="L636" s="19"/>
      <c r="M636" s="20" t="n">
        <v>3</v>
      </c>
      <c r="N636" s="19"/>
      <c r="O636" s="19"/>
      <c r="P636" s="19" t="s">
        <v>1097</v>
      </c>
      <c r="Q636" s="19" t="s">
        <v>980</v>
      </c>
      <c r="R636" s="21" t="n">
        <v>32553</v>
      </c>
      <c r="S636" s="19"/>
      <c r="T636" s="19" t="s">
        <v>2923</v>
      </c>
      <c r="U636" s="19" t="str">
        <f aca="false">HYPERLINK("https://macaulaylibrary.org/asset/215318","Open")</f>
        <v>Open</v>
      </c>
      <c r="V636" s="19"/>
    </row>
    <row r="637" customFormat="false" ht="15" hidden="false" customHeight="false" outlineLevel="0" collapsed="false">
      <c r="A637" s="19" t="s">
        <v>2924</v>
      </c>
      <c r="B637" s="19" t="s">
        <v>943</v>
      </c>
      <c r="C637" s="19" t="s">
        <v>944</v>
      </c>
      <c r="D637" s="19" t="s">
        <v>148</v>
      </c>
      <c r="E637" s="19" t="s">
        <v>147</v>
      </c>
      <c r="F637" s="19" t="s">
        <v>200</v>
      </c>
      <c r="G637" s="19" t="n">
        <v>70</v>
      </c>
      <c r="H637" s="19" t="s">
        <v>201</v>
      </c>
      <c r="I637" s="20" t="n">
        <v>190.133</v>
      </c>
      <c r="J637" s="19" t="n">
        <f aca="false">IF(I637="","",MIN(Overview!$B$8,MAX(1,CEILING(I637/Overview!$B$7,1))))</f>
        <v>39</v>
      </c>
      <c r="K637" s="19" t="n">
        <v>1</v>
      </c>
      <c r="L637" s="19"/>
      <c r="M637" s="20" t="n">
        <v>2</v>
      </c>
      <c r="N637" s="19"/>
      <c r="O637" s="19"/>
      <c r="P637" s="19" t="s">
        <v>1097</v>
      </c>
      <c r="Q637" s="19" t="s">
        <v>980</v>
      </c>
      <c r="R637" s="21" t="n">
        <v>32553</v>
      </c>
      <c r="S637" s="19" t="s">
        <v>1584</v>
      </c>
      <c r="T637" s="19" t="s">
        <v>2925</v>
      </c>
      <c r="U637" s="19" t="str">
        <f aca="false">HYPERLINK("https://macaulaylibrary.org/asset/215320","Open")</f>
        <v>Open</v>
      </c>
      <c r="V637" s="19"/>
    </row>
    <row r="638" customFormat="false" ht="15" hidden="false" customHeight="false" outlineLevel="0" collapsed="false">
      <c r="A638" s="19" t="s">
        <v>2926</v>
      </c>
      <c r="B638" s="19" t="s">
        <v>943</v>
      </c>
      <c r="C638" s="19" t="s">
        <v>944</v>
      </c>
      <c r="D638" s="19" t="s">
        <v>148</v>
      </c>
      <c r="E638" s="19" t="s">
        <v>147</v>
      </c>
      <c r="F638" s="19" t="s">
        <v>200</v>
      </c>
      <c r="G638" s="19" t="n">
        <v>70</v>
      </c>
      <c r="H638" s="19" t="s">
        <v>201</v>
      </c>
      <c r="I638" s="20" t="n">
        <v>138.838</v>
      </c>
      <c r="J638" s="19" t="n">
        <f aca="false">IF(I638="","",MIN(Overview!$B$8,MAX(1,CEILING(I638/Overview!$B$7,1))))</f>
        <v>28</v>
      </c>
      <c r="K638" s="19" t="n">
        <v>1</v>
      </c>
      <c r="L638" s="19"/>
      <c r="M638" s="20" t="n">
        <v>2</v>
      </c>
      <c r="N638" s="19"/>
      <c r="O638" s="19"/>
      <c r="P638" s="19" t="s">
        <v>1125</v>
      </c>
      <c r="Q638" s="19" t="s">
        <v>980</v>
      </c>
      <c r="R638" s="21" t="n">
        <v>32557</v>
      </c>
      <c r="S638" s="19" t="s">
        <v>2927</v>
      </c>
      <c r="T638" s="19" t="s">
        <v>2928</v>
      </c>
      <c r="U638" s="19" t="str">
        <f aca="false">HYPERLINK("https://macaulaylibrary.org/asset/215387","Open")</f>
        <v>Open</v>
      </c>
      <c r="V638" s="19"/>
    </row>
    <row r="639" customFormat="false" ht="15" hidden="false" customHeight="false" outlineLevel="0" collapsed="false">
      <c r="A639" s="19" t="s">
        <v>2929</v>
      </c>
      <c r="B639" s="19" t="s">
        <v>943</v>
      </c>
      <c r="C639" s="19" t="s">
        <v>944</v>
      </c>
      <c r="D639" s="19" t="s">
        <v>148</v>
      </c>
      <c r="E639" s="19" t="s">
        <v>147</v>
      </c>
      <c r="F639" s="19" t="s">
        <v>200</v>
      </c>
      <c r="G639" s="19" t="n">
        <v>70</v>
      </c>
      <c r="H639" s="19" t="s">
        <v>201</v>
      </c>
      <c r="I639" s="20" t="n">
        <v>463.904</v>
      </c>
      <c r="J639" s="19" t="n">
        <f aca="false">IF(I639="","",MIN(Overview!$B$8,MAX(1,CEILING(I639/Overview!$B$7,1))))</f>
        <v>93</v>
      </c>
      <c r="K639" s="19" t="n">
        <v>1</v>
      </c>
      <c r="L639" s="19"/>
      <c r="M639" s="20" t="n">
        <v>3</v>
      </c>
      <c r="N639" s="19"/>
      <c r="O639" s="19"/>
      <c r="P639" s="19" t="s">
        <v>1733</v>
      </c>
      <c r="Q639" s="19" t="s">
        <v>1136</v>
      </c>
      <c r="R639" s="21" t="n">
        <v>29732</v>
      </c>
      <c r="S639" s="19" t="s">
        <v>2930</v>
      </c>
      <c r="T639" s="19" t="s">
        <v>2931</v>
      </c>
      <c r="U639" s="19" t="str">
        <f aca="false">HYPERLINK("https://macaulaylibrary.org/asset/28149","Open")</f>
        <v>Open</v>
      </c>
      <c r="V639" s="19"/>
    </row>
    <row r="640" customFormat="false" ht="15" hidden="false" customHeight="false" outlineLevel="0" collapsed="false">
      <c r="A640" s="19" t="s">
        <v>2932</v>
      </c>
      <c r="B640" s="19" t="s">
        <v>943</v>
      </c>
      <c r="C640" s="19" t="s">
        <v>944</v>
      </c>
      <c r="D640" s="19" t="s">
        <v>148</v>
      </c>
      <c r="E640" s="19" t="s">
        <v>147</v>
      </c>
      <c r="F640" s="19" t="s">
        <v>200</v>
      </c>
      <c r="G640" s="19" t="n">
        <v>70</v>
      </c>
      <c r="H640" s="19" t="s">
        <v>201</v>
      </c>
      <c r="I640" s="20" t="n">
        <v>52.359</v>
      </c>
      <c r="J640" s="19" t="n">
        <f aca="false">IF(I640="","",MIN(Overview!$B$8,MAX(1,CEILING(I640/Overview!$B$7,1))))</f>
        <v>11</v>
      </c>
      <c r="K640" s="19" t="n">
        <v>1</v>
      </c>
      <c r="L640" s="19"/>
      <c r="M640" s="20" t="n">
        <v>2</v>
      </c>
      <c r="N640" s="19"/>
      <c r="O640" s="19"/>
      <c r="P640" s="19" t="s">
        <v>1140</v>
      </c>
      <c r="Q640" s="19" t="s">
        <v>1030</v>
      </c>
      <c r="R640" s="21" t="n">
        <v>40250</v>
      </c>
      <c r="S640" s="19" t="s">
        <v>2933</v>
      </c>
      <c r="T640" s="19" t="s">
        <v>2934</v>
      </c>
      <c r="U640" s="19" t="str">
        <f aca="false">HYPERLINK("https://macaulaylibrary.org/asset/299606","Open")</f>
        <v>Open</v>
      </c>
      <c r="V640" s="19"/>
    </row>
    <row r="641" customFormat="false" ht="15" hidden="false" customHeight="false" outlineLevel="0" collapsed="false">
      <c r="A641" s="19" t="s">
        <v>2935</v>
      </c>
      <c r="B641" s="19" t="s">
        <v>943</v>
      </c>
      <c r="C641" s="19" t="s">
        <v>944</v>
      </c>
      <c r="D641" s="19" t="s">
        <v>148</v>
      </c>
      <c r="E641" s="19" t="s">
        <v>147</v>
      </c>
      <c r="F641" s="19" t="s">
        <v>200</v>
      </c>
      <c r="G641" s="19" t="n">
        <v>70</v>
      </c>
      <c r="H641" s="19" t="s">
        <v>201</v>
      </c>
      <c r="I641" s="20" t="n">
        <v>79.515</v>
      </c>
      <c r="J641" s="19" t="n">
        <f aca="false">IF(I641="","",MIN(Overview!$B$8,MAX(1,CEILING(I641/Overview!$B$7,1))))</f>
        <v>16</v>
      </c>
      <c r="K641" s="19" t="n">
        <v>1</v>
      </c>
      <c r="L641" s="19"/>
      <c r="M641" s="20" t="n">
        <v>3</v>
      </c>
      <c r="N641" s="19"/>
      <c r="O641" s="19"/>
      <c r="P641" s="19" t="s">
        <v>1029</v>
      </c>
      <c r="Q641" s="19" t="s">
        <v>1030</v>
      </c>
      <c r="R641" s="21" t="n">
        <v>40251</v>
      </c>
      <c r="S641" s="19" t="s">
        <v>971</v>
      </c>
      <c r="T641" s="19" t="s">
        <v>2936</v>
      </c>
      <c r="U641" s="19" t="str">
        <f aca="false">HYPERLINK("https://macaulaylibrary.org/asset/299641","Open")</f>
        <v>Open</v>
      </c>
      <c r="V641" s="19"/>
    </row>
    <row r="642" customFormat="false" ht="15" hidden="false" customHeight="false" outlineLevel="0" collapsed="false">
      <c r="A642" s="19" t="s">
        <v>2937</v>
      </c>
      <c r="B642" s="19" t="s">
        <v>943</v>
      </c>
      <c r="C642" s="19" t="s">
        <v>944</v>
      </c>
      <c r="D642" s="19" t="s">
        <v>148</v>
      </c>
      <c r="E642" s="19" t="s">
        <v>147</v>
      </c>
      <c r="F642" s="19" t="s">
        <v>200</v>
      </c>
      <c r="G642" s="19" t="n">
        <v>70</v>
      </c>
      <c r="H642" s="19" t="s">
        <v>201</v>
      </c>
      <c r="I642" s="20" t="n">
        <v>11.807</v>
      </c>
      <c r="J642" s="19" t="n">
        <f aca="false">IF(I642="","",MIN(Overview!$B$8,MAX(1,CEILING(I642/Overview!$B$7,1))))</f>
        <v>3</v>
      </c>
      <c r="K642" s="19" t="n">
        <v>1</v>
      </c>
      <c r="L642" s="19"/>
      <c r="M642" s="20" t="n">
        <v>2.5</v>
      </c>
      <c r="N642" s="19"/>
      <c r="O642" s="19"/>
      <c r="P642" s="19" t="s">
        <v>1034</v>
      </c>
      <c r="Q642" s="19" t="s">
        <v>1035</v>
      </c>
      <c r="R642" s="21" t="n">
        <v>43665</v>
      </c>
      <c r="S642" s="19" t="s">
        <v>1036</v>
      </c>
      <c r="T642" s="19" t="s">
        <v>2938</v>
      </c>
      <c r="U642" s="19" t="str">
        <f aca="false">HYPERLINK("https://macaulaylibrary.org/asset/498003311","Open")</f>
        <v>Open</v>
      </c>
      <c r="V642" s="19"/>
    </row>
    <row r="643" customFormat="false" ht="15" hidden="false" customHeight="false" outlineLevel="0" collapsed="false">
      <c r="A643" s="19" t="s">
        <v>2939</v>
      </c>
      <c r="B643" s="19" t="s">
        <v>943</v>
      </c>
      <c r="C643" s="19" t="s">
        <v>944</v>
      </c>
      <c r="D643" s="19" t="s">
        <v>148</v>
      </c>
      <c r="E643" s="19" t="s">
        <v>147</v>
      </c>
      <c r="F643" s="19" t="s">
        <v>200</v>
      </c>
      <c r="G643" s="19" t="n">
        <v>70</v>
      </c>
      <c r="H643" s="19" t="s">
        <v>201</v>
      </c>
      <c r="I643" s="20" t="n">
        <v>6.147</v>
      </c>
      <c r="J643" s="19" t="n">
        <f aca="false">IF(I643="","",MIN(Overview!$B$8,MAX(1,CEILING(I643/Overview!$B$7,1))))</f>
        <v>2</v>
      </c>
      <c r="K643" s="19" t="n">
        <v>1</v>
      </c>
      <c r="L643" s="19"/>
      <c r="M643" s="20" t="n">
        <v>2.5</v>
      </c>
      <c r="N643" s="19"/>
      <c r="O643" s="19"/>
      <c r="P643" s="19" t="s">
        <v>1165</v>
      </c>
      <c r="Q643" s="19" t="s">
        <v>1166</v>
      </c>
      <c r="R643" s="21" t="n">
        <v>44899</v>
      </c>
      <c r="S643" s="19" t="s">
        <v>1167</v>
      </c>
      <c r="T643" s="19" t="s">
        <v>2940</v>
      </c>
      <c r="U643" s="19" t="str">
        <f aca="false">HYPERLINK("https://macaulaylibrary.org/asset/597713211","Open")</f>
        <v>Open</v>
      </c>
      <c r="V643" s="19"/>
    </row>
    <row r="644" customFormat="false" ht="15" hidden="false" customHeight="false" outlineLevel="0" collapsed="false">
      <c r="A644" s="19" t="s">
        <v>2941</v>
      </c>
      <c r="B644" s="19" t="s">
        <v>943</v>
      </c>
      <c r="C644" s="19" t="s">
        <v>944</v>
      </c>
      <c r="D644" s="19" t="s">
        <v>148</v>
      </c>
      <c r="E644" s="19" t="s">
        <v>147</v>
      </c>
      <c r="F644" s="19" t="s">
        <v>200</v>
      </c>
      <c r="G644" s="19" t="n">
        <v>70</v>
      </c>
      <c r="H644" s="19" t="s">
        <v>201</v>
      </c>
      <c r="I644" s="20" t="n">
        <v>6.424</v>
      </c>
      <c r="J644" s="19" t="n">
        <f aca="false">IF(I644="","",MIN(Overview!$B$8,MAX(1,CEILING(I644/Overview!$B$7,1))))</f>
        <v>2</v>
      </c>
      <c r="K644" s="19" t="n">
        <v>1</v>
      </c>
      <c r="L644" s="19"/>
      <c r="M644" s="20" t="n">
        <v>3</v>
      </c>
      <c r="N644" s="19"/>
      <c r="O644" s="19"/>
      <c r="P644" s="19" t="s">
        <v>1393</v>
      </c>
      <c r="Q644" s="19" t="s">
        <v>1040</v>
      </c>
      <c r="R644" s="21" t="n">
        <v>41265</v>
      </c>
      <c r="S644" s="19" t="s">
        <v>1002</v>
      </c>
      <c r="T644" s="19" t="s">
        <v>2942</v>
      </c>
      <c r="U644" s="19" t="str">
        <f aca="false">HYPERLINK("https://macaulaylibrary.org/asset/609059022","Open")</f>
        <v>Open</v>
      </c>
      <c r="V644" s="19"/>
    </row>
    <row r="645" customFormat="false" ht="15" hidden="false" customHeight="false" outlineLevel="0" collapsed="false">
      <c r="A645" s="19" t="s">
        <v>2943</v>
      </c>
      <c r="B645" s="19" t="s">
        <v>943</v>
      </c>
      <c r="C645" s="19" t="s">
        <v>944</v>
      </c>
      <c r="D645" s="19" t="s">
        <v>148</v>
      </c>
      <c r="E645" s="19" t="s">
        <v>147</v>
      </c>
      <c r="F645" s="19" t="s">
        <v>200</v>
      </c>
      <c r="G645" s="19" t="n">
        <v>70</v>
      </c>
      <c r="H645" s="19" t="s">
        <v>201</v>
      </c>
      <c r="I645" s="20" t="n">
        <v>217.029</v>
      </c>
      <c r="J645" s="19" t="n">
        <f aca="false">IF(I645="","",MIN(Overview!$B$8,MAX(1,CEILING(I645/Overview!$B$7,1))))</f>
        <v>44</v>
      </c>
      <c r="K645" s="19" t="n">
        <v>1</v>
      </c>
      <c r="L645" s="19"/>
      <c r="M645" s="20" t="n">
        <v>2</v>
      </c>
      <c r="N645" s="19"/>
      <c r="O645" s="19"/>
      <c r="P645" s="19" t="s">
        <v>2944</v>
      </c>
      <c r="Q645" s="19" t="s">
        <v>1040</v>
      </c>
      <c r="R645" s="21" t="n">
        <v>41266</v>
      </c>
      <c r="S645" s="19" t="s">
        <v>1002</v>
      </c>
      <c r="T645" s="19" t="s">
        <v>2945</v>
      </c>
      <c r="U645" s="19" t="str">
        <f aca="false">HYPERLINK("https://macaulaylibrary.org/asset/609059099","Open")</f>
        <v>Open</v>
      </c>
      <c r="V645" s="19"/>
    </row>
    <row r="646" customFormat="false" ht="15" hidden="false" customHeight="false" outlineLevel="0" collapsed="false">
      <c r="A646" s="19" t="s">
        <v>2946</v>
      </c>
      <c r="B646" s="19" t="s">
        <v>943</v>
      </c>
      <c r="C646" s="19" t="s">
        <v>944</v>
      </c>
      <c r="D646" s="19" t="s">
        <v>148</v>
      </c>
      <c r="E646" s="19" t="s">
        <v>147</v>
      </c>
      <c r="F646" s="19" t="s">
        <v>200</v>
      </c>
      <c r="G646" s="19" t="n">
        <v>70</v>
      </c>
      <c r="H646" s="19" t="s">
        <v>201</v>
      </c>
      <c r="I646" s="20" t="n">
        <v>21.148</v>
      </c>
      <c r="J646" s="19" t="n">
        <f aca="false">IF(I646="","",MIN(Overview!$B$8,MAX(1,CEILING(I646/Overview!$B$7,1))))</f>
        <v>5</v>
      </c>
      <c r="K646" s="19" t="n">
        <v>1</v>
      </c>
      <c r="L646" s="19"/>
      <c r="M646" s="20" t="n">
        <v>2</v>
      </c>
      <c r="N646" s="19"/>
      <c r="O646" s="19"/>
      <c r="P646" s="19" t="s">
        <v>2528</v>
      </c>
      <c r="Q646" s="19" t="s">
        <v>951</v>
      </c>
      <c r="R646" s="21" t="n">
        <v>45222</v>
      </c>
      <c r="S646" s="19" t="s">
        <v>2529</v>
      </c>
      <c r="T646" s="19" t="s">
        <v>2947</v>
      </c>
      <c r="U646" s="19" t="str">
        <f aca="false">HYPERLINK("https://macaulaylibrary.org/asset/610541036","Open")</f>
        <v>Open</v>
      </c>
      <c r="V646" s="19"/>
    </row>
    <row r="647" customFormat="false" ht="15" hidden="false" customHeight="false" outlineLevel="0" collapsed="false">
      <c r="A647" s="19" t="s">
        <v>2948</v>
      </c>
      <c r="B647" s="19" t="s">
        <v>943</v>
      </c>
      <c r="C647" s="19" t="s">
        <v>944</v>
      </c>
      <c r="D647" s="19" t="s">
        <v>148</v>
      </c>
      <c r="E647" s="19" t="s">
        <v>147</v>
      </c>
      <c r="F647" s="19" t="s">
        <v>200</v>
      </c>
      <c r="G647" s="19" t="n">
        <v>70</v>
      </c>
      <c r="H647" s="19" t="s">
        <v>201</v>
      </c>
      <c r="I647" s="20" t="n">
        <v>43.221</v>
      </c>
      <c r="J647" s="19" t="n">
        <f aca="false">IF(I647="","",MIN(Overview!$B$8,MAX(1,CEILING(I647/Overview!$B$7,1))))</f>
        <v>9</v>
      </c>
      <c r="K647" s="19" t="n">
        <v>1</v>
      </c>
      <c r="L647" s="19"/>
      <c r="M647" s="20" t="n">
        <v>3</v>
      </c>
      <c r="N647" s="19"/>
      <c r="O647" s="19"/>
      <c r="P647" s="19" t="s">
        <v>2949</v>
      </c>
      <c r="Q647" s="19" t="s">
        <v>965</v>
      </c>
      <c r="R647" s="21" t="n">
        <v>45277</v>
      </c>
      <c r="S647" s="19" t="s">
        <v>1419</v>
      </c>
      <c r="T647" s="19" t="s">
        <v>2950</v>
      </c>
      <c r="U647" s="19" t="str">
        <f aca="false">HYPERLINK("https://macaulaylibrary.org/asset/612364958","Open")</f>
        <v>Open</v>
      </c>
      <c r="V647" s="19"/>
    </row>
    <row r="648" customFormat="false" ht="15" hidden="false" customHeight="false" outlineLevel="0" collapsed="false">
      <c r="A648" s="19" t="s">
        <v>2951</v>
      </c>
      <c r="B648" s="19" t="s">
        <v>943</v>
      </c>
      <c r="C648" s="19" t="s">
        <v>944</v>
      </c>
      <c r="D648" s="19" t="s">
        <v>148</v>
      </c>
      <c r="E648" s="19" t="s">
        <v>147</v>
      </c>
      <c r="F648" s="19" t="s">
        <v>200</v>
      </c>
      <c r="G648" s="19" t="n">
        <v>70</v>
      </c>
      <c r="H648" s="19" t="s">
        <v>201</v>
      </c>
      <c r="I648" s="20" t="n">
        <v>10.48</v>
      </c>
      <c r="J648" s="19" t="n">
        <f aca="false">IF(I648="","",MIN(Overview!$B$8,MAX(1,CEILING(I648/Overview!$B$7,1))))</f>
        <v>3</v>
      </c>
      <c r="K648" s="19" t="n">
        <v>1</v>
      </c>
      <c r="L648" s="19"/>
      <c r="M648" s="20" t="n">
        <v>3.5</v>
      </c>
      <c r="N648" s="19"/>
      <c r="O648" s="19"/>
      <c r="P648" s="19" t="s">
        <v>2823</v>
      </c>
      <c r="Q648" s="19" t="s">
        <v>956</v>
      </c>
      <c r="R648" s="21" t="n">
        <v>45302</v>
      </c>
      <c r="S648" s="19" t="s">
        <v>2824</v>
      </c>
      <c r="T648" s="19" t="s">
        <v>2952</v>
      </c>
      <c r="U648" s="19" t="str">
        <f aca="false">HYPERLINK("https://macaulaylibrary.org/asset/613429877","Open")</f>
        <v>Open</v>
      </c>
      <c r="V648" s="19"/>
    </row>
    <row r="649" customFormat="false" ht="15" hidden="false" customHeight="false" outlineLevel="0" collapsed="false">
      <c r="A649" s="19" t="s">
        <v>2953</v>
      </c>
      <c r="B649" s="19" t="s">
        <v>943</v>
      </c>
      <c r="C649" s="19" t="s">
        <v>944</v>
      </c>
      <c r="D649" s="19" t="s">
        <v>148</v>
      </c>
      <c r="E649" s="19" t="s">
        <v>147</v>
      </c>
      <c r="F649" s="19" t="s">
        <v>200</v>
      </c>
      <c r="G649" s="19" t="n">
        <v>70</v>
      </c>
      <c r="H649" s="19" t="s">
        <v>201</v>
      </c>
      <c r="I649" s="20" t="n">
        <v>13.12</v>
      </c>
      <c r="J649" s="19" t="n">
        <f aca="false">IF(I649="","",MIN(Overview!$B$8,MAX(1,CEILING(I649/Overview!$B$7,1))))</f>
        <v>3</v>
      </c>
      <c r="K649" s="19" t="n">
        <v>1</v>
      </c>
      <c r="L649" s="19"/>
      <c r="M649" s="20" t="n">
        <v>4.5</v>
      </c>
      <c r="N649" s="19"/>
      <c r="O649" s="19"/>
      <c r="P649" s="19" t="s">
        <v>2823</v>
      </c>
      <c r="Q649" s="19" t="s">
        <v>956</v>
      </c>
      <c r="R649" s="21" t="n">
        <v>45302</v>
      </c>
      <c r="S649" s="19" t="s">
        <v>2824</v>
      </c>
      <c r="T649" s="19" t="s">
        <v>2954</v>
      </c>
      <c r="U649" s="19" t="str">
        <f aca="false">HYPERLINK("https://macaulaylibrary.org/asset/613429887","Open")</f>
        <v>Open</v>
      </c>
      <c r="V649" s="19"/>
    </row>
    <row r="650" customFormat="false" ht="15" hidden="false" customHeight="false" outlineLevel="0" collapsed="false">
      <c r="A650" s="19" t="s">
        <v>2955</v>
      </c>
      <c r="B650" s="19" t="s">
        <v>943</v>
      </c>
      <c r="C650" s="19" t="s">
        <v>944</v>
      </c>
      <c r="D650" s="19" t="s">
        <v>148</v>
      </c>
      <c r="E650" s="19" t="s">
        <v>147</v>
      </c>
      <c r="F650" s="19" t="s">
        <v>200</v>
      </c>
      <c r="G650" s="19" t="n">
        <v>70</v>
      </c>
      <c r="H650" s="19" t="s">
        <v>201</v>
      </c>
      <c r="I650" s="20" t="n">
        <v>19.387</v>
      </c>
      <c r="J650" s="19" t="n">
        <f aca="false">IF(I650="","",MIN(Overview!$B$8,MAX(1,CEILING(I650/Overview!$B$7,1))))</f>
        <v>4</v>
      </c>
      <c r="K650" s="19" t="n">
        <v>1</v>
      </c>
      <c r="L650" s="19"/>
      <c r="M650" s="20"/>
      <c r="N650" s="19"/>
      <c r="O650" s="19"/>
      <c r="P650" s="19" t="s">
        <v>2956</v>
      </c>
      <c r="Q650" s="19" t="s">
        <v>2957</v>
      </c>
      <c r="R650" s="21" t="n">
        <v>45297</v>
      </c>
      <c r="S650" s="19" t="s">
        <v>1584</v>
      </c>
      <c r="T650" s="19" t="s">
        <v>2958</v>
      </c>
      <c r="U650" s="19" t="str">
        <f aca="false">HYPERLINK("https://macaulaylibrary.org/asset/619568095","Open")</f>
        <v>Open</v>
      </c>
      <c r="V650" s="19"/>
    </row>
    <row r="651" customFormat="false" ht="15" hidden="false" customHeight="false" outlineLevel="0" collapsed="false">
      <c r="A651" s="19" t="s">
        <v>2959</v>
      </c>
      <c r="B651" s="19" t="s">
        <v>943</v>
      </c>
      <c r="C651" s="19" t="s">
        <v>944</v>
      </c>
      <c r="D651" s="19" t="s">
        <v>148</v>
      </c>
      <c r="E651" s="19" t="s">
        <v>147</v>
      </c>
      <c r="F651" s="19" t="s">
        <v>200</v>
      </c>
      <c r="G651" s="19" t="n">
        <v>70</v>
      </c>
      <c r="H651" s="19" t="s">
        <v>201</v>
      </c>
      <c r="I651" s="20" t="n">
        <v>65.028</v>
      </c>
      <c r="J651" s="19" t="n">
        <f aca="false">IF(I651="","",MIN(Overview!$B$8,MAX(1,CEILING(I651/Overview!$B$7,1))))</f>
        <v>14</v>
      </c>
      <c r="K651" s="19" t="n">
        <v>1</v>
      </c>
      <c r="L651" s="19"/>
      <c r="M651" s="20"/>
      <c r="N651" s="19"/>
      <c r="O651" s="19"/>
      <c r="P651" s="19" t="s">
        <v>2011</v>
      </c>
      <c r="Q651" s="19" t="s">
        <v>2012</v>
      </c>
      <c r="R651" s="21" t="n">
        <v>45677</v>
      </c>
      <c r="S651" s="19" t="s">
        <v>1137</v>
      </c>
      <c r="T651" s="19" t="s">
        <v>2960</v>
      </c>
      <c r="U651" s="19" t="str">
        <f aca="false">HYPERLINK("https://macaulaylibrary.org/asset/630171327","Open")</f>
        <v>Open</v>
      </c>
      <c r="V651" s="19"/>
    </row>
    <row r="652" customFormat="false" ht="15" hidden="false" customHeight="false" outlineLevel="0" collapsed="false">
      <c r="A652" s="19" t="s">
        <v>2961</v>
      </c>
      <c r="B652" s="19" t="s">
        <v>943</v>
      </c>
      <c r="C652" s="19" t="s">
        <v>944</v>
      </c>
      <c r="D652" s="19" t="s">
        <v>148</v>
      </c>
      <c r="E652" s="19" t="s">
        <v>147</v>
      </c>
      <c r="F652" s="19" t="s">
        <v>200</v>
      </c>
      <c r="G652" s="19" t="n">
        <v>70</v>
      </c>
      <c r="H652" s="19" t="s">
        <v>201</v>
      </c>
      <c r="I652" s="20" t="n">
        <v>135.55</v>
      </c>
      <c r="J652" s="19" t="n">
        <f aca="false">IF(I652="","",MIN(Overview!$B$8,MAX(1,CEILING(I652/Overview!$B$7,1))))</f>
        <v>28</v>
      </c>
      <c r="K652" s="19" t="n">
        <v>1</v>
      </c>
      <c r="L652" s="19"/>
      <c r="M652" s="20" t="n">
        <v>5</v>
      </c>
      <c r="N652" s="19"/>
      <c r="O652" s="19" t="s">
        <v>2962</v>
      </c>
      <c r="P652" s="19" t="s">
        <v>2963</v>
      </c>
      <c r="Q652" s="19" t="s">
        <v>1191</v>
      </c>
      <c r="R652" s="21" t="n">
        <v>45736</v>
      </c>
      <c r="S652" s="19" t="s">
        <v>1036</v>
      </c>
      <c r="T652" s="19" t="s">
        <v>2964</v>
      </c>
      <c r="U652" s="19" t="str">
        <f aca="false">HYPERLINK("https://macaulaylibrary.org/asset/632430804","Open")</f>
        <v>Open</v>
      </c>
      <c r="V652" s="19"/>
    </row>
    <row r="653" customFormat="false" ht="15" hidden="false" customHeight="false" outlineLevel="0" collapsed="false">
      <c r="A653" s="19" t="s">
        <v>2965</v>
      </c>
      <c r="B653" s="19" t="s">
        <v>943</v>
      </c>
      <c r="C653" s="19" t="s">
        <v>944</v>
      </c>
      <c r="D653" s="19" t="s">
        <v>148</v>
      </c>
      <c r="E653" s="19" t="s">
        <v>147</v>
      </c>
      <c r="F653" s="19" t="s">
        <v>200</v>
      </c>
      <c r="G653" s="19" t="n">
        <v>70</v>
      </c>
      <c r="H653" s="19" t="s">
        <v>201</v>
      </c>
      <c r="I653" s="20" t="n">
        <v>23.031</v>
      </c>
      <c r="J653" s="19" t="n">
        <f aca="false">IF(I653="","",MIN(Overview!$B$8,MAX(1,CEILING(I653/Overview!$B$7,1))))</f>
        <v>5</v>
      </c>
      <c r="K653" s="19" t="n">
        <v>1</v>
      </c>
      <c r="L653" s="19"/>
      <c r="M653" s="20" t="n">
        <v>3</v>
      </c>
      <c r="N653" s="19"/>
      <c r="O653" s="19"/>
      <c r="P653" s="19" t="s">
        <v>1641</v>
      </c>
      <c r="Q653" s="19" t="s">
        <v>1642</v>
      </c>
      <c r="R653" s="21" t="n">
        <v>45741</v>
      </c>
      <c r="S653" s="19" t="s">
        <v>1643</v>
      </c>
      <c r="T653" s="19" t="s">
        <v>2966</v>
      </c>
      <c r="U653" s="19" t="str">
        <f aca="false">HYPERLINK("https://macaulaylibrary.org/asset/650740157","Open")</f>
        <v>Open</v>
      </c>
      <c r="V653" s="19"/>
    </row>
    <row r="654" customFormat="false" ht="15" hidden="false" customHeight="false" outlineLevel="0" collapsed="false">
      <c r="A654" s="19" t="s">
        <v>2967</v>
      </c>
      <c r="B654" s="19" t="s">
        <v>943</v>
      </c>
      <c r="C654" s="19" t="s">
        <v>944</v>
      </c>
      <c r="D654" s="19" t="s">
        <v>148</v>
      </c>
      <c r="E654" s="19" t="s">
        <v>147</v>
      </c>
      <c r="F654" s="19" t="s">
        <v>200</v>
      </c>
      <c r="G654" s="19" t="n">
        <v>70</v>
      </c>
      <c r="H654" s="19" t="s">
        <v>201</v>
      </c>
      <c r="I654" s="20" t="n">
        <v>51</v>
      </c>
      <c r="J654" s="19" t="n">
        <f aca="false">IF(I654="","",MIN(Overview!$B$8,MAX(1,CEILING(I654/Overview!$B$7,1))))</f>
        <v>11</v>
      </c>
      <c r="K654" s="19" t="n">
        <v>1</v>
      </c>
      <c r="L654" s="19"/>
      <c r="M654" s="20" t="n">
        <v>3.67</v>
      </c>
      <c r="N654" s="19"/>
      <c r="O654" s="19" t="s">
        <v>2968</v>
      </c>
      <c r="P654" s="19" t="s">
        <v>2969</v>
      </c>
      <c r="Q654" s="19" t="s">
        <v>2970</v>
      </c>
      <c r="R654" s="21" t="n">
        <v>46062</v>
      </c>
      <c r="S654" s="19" t="s">
        <v>2971</v>
      </c>
      <c r="T654" s="19" t="s">
        <v>2972</v>
      </c>
      <c r="U654" s="19" t="str">
        <f aca="false">HYPERLINK("https://macaulaylibrary.org/asset/651348554","Open")</f>
        <v>Open</v>
      </c>
      <c r="V654" s="19"/>
    </row>
    <row r="655" customFormat="false" ht="15" hidden="false" customHeight="false" outlineLevel="0" collapsed="false">
      <c r="A655" s="19" t="s">
        <v>2973</v>
      </c>
      <c r="B655" s="19" t="s">
        <v>943</v>
      </c>
      <c r="C655" s="19" t="s">
        <v>944</v>
      </c>
      <c r="D655" s="19" t="s">
        <v>148</v>
      </c>
      <c r="E655" s="19" t="s">
        <v>147</v>
      </c>
      <c r="F655" s="19" t="s">
        <v>200</v>
      </c>
      <c r="G655" s="19" t="n">
        <v>70</v>
      </c>
      <c r="H655" s="19" t="s">
        <v>201</v>
      </c>
      <c r="I655" s="20" t="n">
        <v>19.551</v>
      </c>
      <c r="J655" s="19" t="n">
        <f aca="false">IF(I655="","",MIN(Overview!$B$8,MAX(1,CEILING(I655/Overview!$B$7,1))))</f>
        <v>4</v>
      </c>
      <c r="K655" s="19" t="n">
        <v>1</v>
      </c>
      <c r="L655" s="19"/>
      <c r="M655" s="20" t="n">
        <v>3</v>
      </c>
      <c r="N655" s="19"/>
      <c r="O655" s="19" t="s">
        <v>181</v>
      </c>
      <c r="P655" s="19" t="s">
        <v>2974</v>
      </c>
      <c r="Q655" s="19" t="s">
        <v>2975</v>
      </c>
      <c r="R655" s="21" t="n">
        <v>46052</v>
      </c>
      <c r="S655" s="19" t="s">
        <v>2976</v>
      </c>
      <c r="T655" s="19" t="s">
        <v>2977</v>
      </c>
      <c r="U655" s="19" t="str">
        <f aca="false">HYPERLINK("https://macaulaylibrary.org/asset/651373847","Open")</f>
        <v>Open</v>
      </c>
      <c r="V655" s="19"/>
    </row>
    <row r="656" customFormat="false" ht="15" hidden="false" customHeight="false" outlineLevel="0" collapsed="false">
      <c r="A656" s="19" t="s">
        <v>2978</v>
      </c>
      <c r="B656" s="19" t="s">
        <v>943</v>
      </c>
      <c r="C656" s="19" t="s">
        <v>944</v>
      </c>
      <c r="D656" s="19" t="s">
        <v>148</v>
      </c>
      <c r="E656" s="19" t="s">
        <v>147</v>
      </c>
      <c r="F656" s="19" t="s">
        <v>200</v>
      </c>
      <c r="G656" s="19" t="n">
        <v>70</v>
      </c>
      <c r="H656" s="19" t="s">
        <v>201</v>
      </c>
      <c r="I656" s="20" t="n">
        <v>18.259</v>
      </c>
      <c r="J656" s="19" t="n">
        <f aca="false">IF(I656="","",MIN(Overview!$B$8,MAX(1,CEILING(I656/Overview!$B$7,1))))</f>
        <v>4</v>
      </c>
      <c r="K656" s="19" t="n">
        <v>1</v>
      </c>
      <c r="L656" s="19"/>
      <c r="M656" s="20"/>
      <c r="N656" s="19"/>
      <c r="O656" s="19"/>
      <c r="P656" s="19" t="s">
        <v>1650</v>
      </c>
      <c r="Q656" s="19" t="s">
        <v>1382</v>
      </c>
      <c r="R656" s="21" t="n">
        <v>46104</v>
      </c>
      <c r="S656" s="19" t="s">
        <v>1651</v>
      </c>
      <c r="T656" s="19" t="s">
        <v>2979</v>
      </c>
      <c r="U656" s="19" t="str">
        <f aca="false">HYPERLINK("https://macaulaylibrary.org/asset/654657115","Open")</f>
        <v>Open</v>
      </c>
      <c r="V656" s="19"/>
    </row>
    <row r="657" customFormat="false" ht="15" hidden="false" customHeight="false" outlineLevel="0" collapsed="false">
      <c r="A657" s="19" t="s">
        <v>2980</v>
      </c>
      <c r="B657" s="19" t="s">
        <v>943</v>
      </c>
      <c r="C657" s="19" t="s">
        <v>944</v>
      </c>
      <c r="D657" s="19" t="s">
        <v>148</v>
      </c>
      <c r="E657" s="19" t="s">
        <v>147</v>
      </c>
      <c r="F657" s="19" t="s">
        <v>200</v>
      </c>
      <c r="G657" s="19" t="n">
        <v>70</v>
      </c>
      <c r="H657" s="19" t="s">
        <v>201</v>
      </c>
      <c r="I657" s="20" t="n">
        <v>101.046</v>
      </c>
      <c r="J657" s="19" t="n">
        <f aca="false">IF(I657="","",MIN(Overview!$B$8,MAX(1,CEILING(I657/Overview!$B$7,1))))</f>
        <v>21</v>
      </c>
      <c r="K657" s="19" t="n">
        <v>1</v>
      </c>
      <c r="L657" s="19"/>
      <c r="M657" s="20" t="n">
        <v>3</v>
      </c>
      <c r="N657" s="19"/>
      <c r="O657" s="19"/>
      <c r="P657" s="19" t="s">
        <v>2981</v>
      </c>
      <c r="Q657" s="19" t="s">
        <v>1818</v>
      </c>
      <c r="R657" s="21" t="n">
        <v>45879</v>
      </c>
      <c r="S657" s="19" t="s">
        <v>2982</v>
      </c>
      <c r="T657" s="19" t="s">
        <v>2983</v>
      </c>
      <c r="U657" s="19" t="str">
        <f aca="false">HYPERLINK("https://macaulaylibrary.org/asset/658279997","Open")</f>
        <v>Open</v>
      </c>
      <c r="V657" s="19"/>
    </row>
    <row r="658" customFormat="false" ht="15" hidden="false" customHeight="false" outlineLevel="0" collapsed="false">
      <c r="A658" s="19" t="s">
        <v>2984</v>
      </c>
      <c r="B658" s="19" t="s">
        <v>1005</v>
      </c>
      <c r="C658" s="19" t="s">
        <v>944</v>
      </c>
      <c r="D658" s="19" t="s">
        <v>647</v>
      </c>
      <c r="E658" s="19" t="s">
        <v>147</v>
      </c>
      <c r="F658" s="19" t="s">
        <v>200</v>
      </c>
      <c r="G658" s="19" t="n">
        <v>70</v>
      </c>
      <c r="H658" s="19" t="s">
        <v>201</v>
      </c>
      <c r="I658" s="20" t="n">
        <v>13.92</v>
      </c>
      <c r="J658" s="19" t="n">
        <f aca="false">IF(I658="","",MIN(Overview!$B$8,MAX(1,CEILING(I658/Overview!$B$7,1))))</f>
        <v>3</v>
      </c>
      <c r="K658" s="19" t="n">
        <v>1</v>
      </c>
      <c r="L658" s="19"/>
      <c r="M658" s="20"/>
      <c r="N658" s="19" t="s">
        <v>1656</v>
      </c>
      <c r="O658" s="19"/>
      <c r="P658" s="19" t="s">
        <v>1007</v>
      </c>
      <c r="Q658" s="19" t="s">
        <v>1008</v>
      </c>
      <c r="R658" s="21" t="n">
        <v>42577</v>
      </c>
      <c r="S658" s="19" t="s">
        <v>1009</v>
      </c>
      <c r="T658" s="19" t="s">
        <v>2985</v>
      </c>
      <c r="U658" s="19" t="str">
        <f aca="false">HYPERLINK("https://xeno-canto.org/331367","Open")</f>
        <v>Open</v>
      </c>
      <c r="V658" s="19" t="s">
        <v>1720</v>
      </c>
    </row>
    <row r="659" customFormat="false" ht="15" hidden="false" customHeight="false" outlineLevel="0" collapsed="false">
      <c r="A659" s="19" t="s">
        <v>2986</v>
      </c>
      <c r="B659" s="19" t="s">
        <v>943</v>
      </c>
      <c r="C659" s="19" t="s">
        <v>944</v>
      </c>
      <c r="D659" s="19" t="s">
        <v>148</v>
      </c>
      <c r="E659" s="19" t="s">
        <v>147</v>
      </c>
      <c r="F659" s="19" t="s">
        <v>301</v>
      </c>
      <c r="G659" s="19" t="n">
        <v>71</v>
      </c>
      <c r="H659" s="19" t="s">
        <v>302</v>
      </c>
      <c r="I659" s="20" t="n">
        <v>24.891</v>
      </c>
      <c r="J659" s="19" t="n">
        <f aca="false">IF(I659="","",MIN(Overview!$B$8,MAX(1,CEILING(I659/Overview!$B$7,1))))</f>
        <v>5</v>
      </c>
      <c r="K659" s="19" t="n">
        <v>1</v>
      </c>
      <c r="L659" s="19"/>
      <c r="M659" s="20" t="n">
        <v>2</v>
      </c>
      <c r="N659" s="19"/>
      <c r="O659" s="19"/>
      <c r="P659" s="19" t="s">
        <v>2987</v>
      </c>
      <c r="Q659" s="19" t="s">
        <v>980</v>
      </c>
      <c r="R659" s="21" t="n">
        <v>34129</v>
      </c>
      <c r="S659" s="19"/>
      <c r="T659" s="19" t="s">
        <v>2988</v>
      </c>
      <c r="U659" s="19" t="str">
        <f aca="false">HYPERLINK("https://macaulaylibrary.org/asset/211132","Open")</f>
        <v>Open</v>
      </c>
      <c r="V659" s="19"/>
    </row>
    <row r="660" customFormat="false" ht="15" hidden="false" customHeight="false" outlineLevel="0" collapsed="false">
      <c r="A660" s="19" t="s">
        <v>2989</v>
      </c>
      <c r="B660" s="19" t="s">
        <v>943</v>
      </c>
      <c r="C660" s="19" t="s">
        <v>944</v>
      </c>
      <c r="D660" s="19" t="s">
        <v>148</v>
      </c>
      <c r="E660" s="19" t="s">
        <v>147</v>
      </c>
      <c r="F660" s="19" t="s">
        <v>301</v>
      </c>
      <c r="G660" s="19" t="n">
        <v>71</v>
      </c>
      <c r="H660" s="19" t="s">
        <v>302</v>
      </c>
      <c r="I660" s="20" t="n">
        <v>83.702</v>
      </c>
      <c r="J660" s="19" t="n">
        <f aca="false">IF(I660="","",MIN(Overview!$B$8,MAX(1,CEILING(I660/Overview!$B$7,1))))</f>
        <v>17</v>
      </c>
      <c r="K660" s="19" t="n">
        <v>1</v>
      </c>
      <c r="L660" s="19"/>
      <c r="M660" s="20" t="n">
        <v>2</v>
      </c>
      <c r="N660" s="19"/>
      <c r="O660" s="19"/>
      <c r="P660" s="19" t="s">
        <v>1097</v>
      </c>
      <c r="Q660" s="19" t="s">
        <v>980</v>
      </c>
      <c r="R660" s="21" t="n">
        <v>32553</v>
      </c>
      <c r="S660" s="19" t="s">
        <v>2990</v>
      </c>
      <c r="T660" s="19" t="s">
        <v>2991</v>
      </c>
      <c r="U660" s="19" t="str">
        <f aca="false">HYPERLINK("https://macaulaylibrary.org/asset/215304","Open")</f>
        <v>Open</v>
      </c>
      <c r="V660" s="19"/>
    </row>
    <row r="661" customFormat="false" ht="15" hidden="false" customHeight="false" outlineLevel="0" collapsed="false">
      <c r="A661" s="19" t="s">
        <v>2992</v>
      </c>
      <c r="B661" s="19" t="s">
        <v>943</v>
      </c>
      <c r="C661" s="19" t="s">
        <v>944</v>
      </c>
      <c r="D661" s="19" t="s">
        <v>148</v>
      </c>
      <c r="E661" s="19" t="s">
        <v>147</v>
      </c>
      <c r="F661" s="19" t="s">
        <v>301</v>
      </c>
      <c r="G661" s="19" t="n">
        <v>71</v>
      </c>
      <c r="H661" s="19" t="s">
        <v>302</v>
      </c>
      <c r="I661" s="20" t="n">
        <v>398.042</v>
      </c>
      <c r="J661" s="19" t="n">
        <f aca="false">IF(I661="","",MIN(Overview!$B$8,MAX(1,CEILING(I661/Overview!$B$7,1))))</f>
        <v>80</v>
      </c>
      <c r="K661" s="19" t="n">
        <v>1</v>
      </c>
      <c r="L661" s="19"/>
      <c r="M661" s="20" t="n">
        <v>2</v>
      </c>
      <c r="N661" s="19"/>
      <c r="O661" s="19"/>
      <c r="P661" s="19" t="s">
        <v>1058</v>
      </c>
      <c r="Q661" s="19" t="s">
        <v>980</v>
      </c>
      <c r="R661" s="21" t="n">
        <v>32555</v>
      </c>
      <c r="S661" s="19" t="s">
        <v>2666</v>
      </c>
      <c r="T661" s="19" t="s">
        <v>2993</v>
      </c>
      <c r="U661" s="19" t="str">
        <f aca="false">HYPERLINK("https://macaulaylibrary.org/asset/215343","Open")</f>
        <v>Open</v>
      </c>
      <c r="V661" s="19"/>
    </row>
    <row r="662" customFormat="false" ht="15" hidden="false" customHeight="false" outlineLevel="0" collapsed="false">
      <c r="A662" s="19" t="s">
        <v>2994</v>
      </c>
      <c r="B662" s="19" t="s">
        <v>943</v>
      </c>
      <c r="C662" s="19" t="s">
        <v>944</v>
      </c>
      <c r="D662" s="19" t="s">
        <v>148</v>
      </c>
      <c r="E662" s="19" t="s">
        <v>147</v>
      </c>
      <c r="F662" s="19" t="s">
        <v>301</v>
      </c>
      <c r="G662" s="19" t="n">
        <v>71</v>
      </c>
      <c r="H662" s="19" t="s">
        <v>302</v>
      </c>
      <c r="I662" s="20" t="n">
        <v>185.195</v>
      </c>
      <c r="J662" s="19" t="n">
        <f aca="false">IF(I662="","",MIN(Overview!$B$8,MAX(1,CEILING(I662/Overview!$B$7,1))))</f>
        <v>38</v>
      </c>
      <c r="K662" s="19" t="n">
        <v>1</v>
      </c>
      <c r="L662" s="19"/>
      <c r="M662" s="20" t="n">
        <v>2</v>
      </c>
      <c r="N662" s="19"/>
      <c r="O662" s="19"/>
      <c r="P662" s="19" t="s">
        <v>1058</v>
      </c>
      <c r="Q662" s="19" t="s">
        <v>980</v>
      </c>
      <c r="R662" s="21" t="n">
        <v>32555</v>
      </c>
      <c r="S662" s="19" t="s">
        <v>2995</v>
      </c>
      <c r="T662" s="19" t="s">
        <v>2996</v>
      </c>
      <c r="U662" s="19" t="str">
        <f aca="false">HYPERLINK("https://macaulaylibrary.org/asset/215359","Open")</f>
        <v>Open</v>
      </c>
      <c r="V662" s="19"/>
    </row>
    <row r="663" customFormat="false" ht="15" hidden="false" customHeight="false" outlineLevel="0" collapsed="false">
      <c r="A663" s="19" t="s">
        <v>2997</v>
      </c>
      <c r="B663" s="19" t="s">
        <v>943</v>
      </c>
      <c r="C663" s="19" t="s">
        <v>944</v>
      </c>
      <c r="D663" s="19" t="s">
        <v>148</v>
      </c>
      <c r="E663" s="19" t="s">
        <v>147</v>
      </c>
      <c r="F663" s="19" t="s">
        <v>301</v>
      </c>
      <c r="G663" s="19" t="n">
        <v>71</v>
      </c>
      <c r="H663" s="19" t="s">
        <v>302</v>
      </c>
      <c r="I663" s="20" t="n">
        <v>905.36</v>
      </c>
      <c r="J663" s="19" t="n">
        <f aca="false">IF(I663="","",MIN(Overview!$B$8,MAX(1,CEILING(I663/Overview!$B$7,1))))</f>
        <v>120</v>
      </c>
      <c r="K663" s="19" t="n">
        <v>1</v>
      </c>
      <c r="L663" s="19"/>
      <c r="M663" s="20" t="n">
        <v>2</v>
      </c>
      <c r="N663" s="19"/>
      <c r="O663" s="19"/>
      <c r="P663" s="19" t="s">
        <v>1058</v>
      </c>
      <c r="Q663" s="19" t="s">
        <v>980</v>
      </c>
      <c r="R663" s="21" t="n">
        <v>32555</v>
      </c>
      <c r="S663" s="19" t="s">
        <v>2998</v>
      </c>
      <c r="T663" s="19" t="s">
        <v>2999</v>
      </c>
      <c r="U663" s="19" t="str">
        <f aca="false">HYPERLINK("https://macaulaylibrary.org/asset/215361","Open")</f>
        <v>Open</v>
      </c>
      <c r="V663" s="19"/>
    </row>
    <row r="664" customFormat="false" ht="15" hidden="false" customHeight="false" outlineLevel="0" collapsed="false">
      <c r="A664" s="19" t="s">
        <v>3000</v>
      </c>
      <c r="B664" s="19" t="s">
        <v>943</v>
      </c>
      <c r="C664" s="19" t="s">
        <v>944</v>
      </c>
      <c r="D664" s="19" t="s">
        <v>148</v>
      </c>
      <c r="E664" s="19" t="s">
        <v>147</v>
      </c>
      <c r="F664" s="19" t="s">
        <v>301</v>
      </c>
      <c r="G664" s="19" t="n">
        <v>71</v>
      </c>
      <c r="H664" s="19" t="s">
        <v>302</v>
      </c>
      <c r="I664" s="20" t="n">
        <v>110.341</v>
      </c>
      <c r="J664" s="19" t="n">
        <f aca="false">IF(I664="","",MIN(Overview!$B$8,MAX(1,CEILING(I664/Overview!$B$7,1))))</f>
        <v>23</v>
      </c>
      <c r="K664" s="19" t="n">
        <v>1</v>
      </c>
      <c r="L664" s="19"/>
      <c r="M664" s="20" t="n">
        <v>2</v>
      </c>
      <c r="N664" s="19"/>
      <c r="O664" s="19"/>
      <c r="P664" s="19" t="s">
        <v>1730</v>
      </c>
      <c r="Q664" s="19" t="s">
        <v>980</v>
      </c>
      <c r="R664" s="21" t="n">
        <v>32558</v>
      </c>
      <c r="S664" s="19" t="s">
        <v>3001</v>
      </c>
      <c r="T664" s="19" t="s">
        <v>3002</v>
      </c>
      <c r="U664" s="19" t="str">
        <f aca="false">HYPERLINK("https://macaulaylibrary.org/asset/215428","Open")</f>
        <v>Open</v>
      </c>
      <c r="V664" s="19"/>
    </row>
    <row r="665" customFormat="false" ht="15" hidden="false" customHeight="false" outlineLevel="0" collapsed="false">
      <c r="A665" s="19" t="s">
        <v>3003</v>
      </c>
      <c r="B665" s="19" t="s">
        <v>943</v>
      </c>
      <c r="C665" s="19" t="s">
        <v>944</v>
      </c>
      <c r="D665" s="19" t="s">
        <v>148</v>
      </c>
      <c r="E665" s="19" t="s">
        <v>147</v>
      </c>
      <c r="F665" s="19" t="s">
        <v>301</v>
      </c>
      <c r="G665" s="19" t="n">
        <v>71</v>
      </c>
      <c r="H665" s="19" t="s">
        <v>302</v>
      </c>
      <c r="I665" s="20" t="n">
        <v>244.212</v>
      </c>
      <c r="J665" s="19" t="n">
        <f aca="false">IF(I665="","",MIN(Overview!$B$8,MAX(1,CEILING(I665/Overview!$B$7,1))))</f>
        <v>49</v>
      </c>
      <c r="K665" s="19" t="n">
        <v>1</v>
      </c>
      <c r="L665" s="19"/>
      <c r="M665" s="20" t="n">
        <v>2</v>
      </c>
      <c r="N665" s="19"/>
      <c r="O665" s="19"/>
      <c r="P665" s="19" t="s">
        <v>1549</v>
      </c>
      <c r="Q665" s="19" t="s">
        <v>980</v>
      </c>
      <c r="R665" s="21" t="n">
        <v>32559</v>
      </c>
      <c r="S665" s="19" t="s">
        <v>3004</v>
      </c>
      <c r="T665" s="19" t="s">
        <v>3005</v>
      </c>
      <c r="U665" s="19" t="str">
        <f aca="false">HYPERLINK("https://macaulaylibrary.org/asset/215434","Open")</f>
        <v>Open</v>
      </c>
      <c r="V665" s="19"/>
    </row>
    <row r="666" customFormat="false" ht="15" hidden="false" customHeight="false" outlineLevel="0" collapsed="false">
      <c r="A666" s="19" t="s">
        <v>3006</v>
      </c>
      <c r="B666" s="19" t="s">
        <v>943</v>
      </c>
      <c r="C666" s="19" t="s">
        <v>944</v>
      </c>
      <c r="D666" s="19" t="s">
        <v>148</v>
      </c>
      <c r="E666" s="19" t="s">
        <v>147</v>
      </c>
      <c r="F666" s="19" t="s">
        <v>301</v>
      </c>
      <c r="G666" s="19" t="n">
        <v>71</v>
      </c>
      <c r="H666" s="19" t="s">
        <v>302</v>
      </c>
      <c r="I666" s="20" t="n">
        <v>12.631</v>
      </c>
      <c r="J666" s="19" t="n">
        <f aca="false">IF(I666="","",MIN(Overview!$B$8,MAX(1,CEILING(I666/Overview!$B$7,1))))</f>
        <v>3</v>
      </c>
      <c r="K666" s="19" t="n">
        <v>1</v>
      </c>
      <c r="L666" s="19"/>
      <c r="M666" s="20"/>
      <c r="N666" s="19"/>
      <c r="O666" s="19"/>
      <c r="P666" s="19" t="s">
        <v>1426</v>
      </c>
      <c r="Q666" s="19" t="s">
        <v>1204</v>
      </c>
      <c r="R666" s="21" t="n">
        <v>44611</v>
      </c>
      <c r="S666" s="19" t="s">
        <v>1259</v>
      </c>
      <c r="T666" s="19" t="s">
        <v>3007</v>
      </c>
      <c r="U666" s="19" t="str">
        <f aca="false">HYPERLINK("https://macaulaylibrary.org/asset/531241281","Open")</f>
        <v>Open</v>
      </c>
      <c r="V666" s="19"/>
    </row>
    <row r="667" customFormat="false" ht="15" hidden="false" customHeight="false" outlineLevel="0" collapsed="false">
      <c r="A667" s="19" t="s">
        <v>3008</v>
      </c>
      <c r="B667" s="19" t="s">
        <v>943</v>
      </c>
      <c r="C667" s="19" t="s">
        <v>944</v>
      </c>
      <c r="D667" s="19" t="s">
        <v>148</v>
      </c>
      <c r="E667" s="19" t="s">
        <v>147</v>
      </c>
      <c r="F667" s="19" t="s">
        <v>301</v>
      </c>
      <c r="G667" s="19" t="n">
        <v>71</v>
      </c>
      <c r="H667" s="19" t="s">
        <v>302</v>
      </c>
      <c r="I667" s="20" t="n">
        <v>21.291</v>
      </c>
      <c r="J667" s="19" t="n">
        <f aca="false">IF(I667="","",MIN(Overview!$B$8,MAX(1,CEILING(I667/Overview!$B$7,1))))</f>
        <v>5</v>
      </c>
      <c r="K667" s="19" t="n">
        <v>1</v>
      </c>
      <c r="L667" s="19"/>
      <c r="M667" s="20"/>
      <c r="N667" s="19"/>
      <c r="O667" s="19"/>
      <c r="P667" s="19" t="s">
        <v>3009</v>
      </c>
      <c r="Q667" s="19" t="s">
        <v>1298</v>
      </c>
      <c r="R667" s="21" t="n">
        <v>44993</v>
      </c>
      <c r="S667" s="19" t="s">
        <v>3010</v>
      </c>
      <c r="T667" s="19" t="s">
        <v>3011</v>
      </c>
      <c r="U667" s="19" t="str">
        <f aca="false">HYPERLINK("https://macaulaylibrary.org/asset/543580931","Open")</f>
        <v>Open</v>
      </c>
      <c r="V667" s="19"/>
    </row>
    <row r="668" customFormat="false" ht="15" hidden="false" customHeight="false" outlineLevel="0" collapsed="false">
      <c r="A668" s="19" t="s">
        <v>3012</v>
      </c>
      <c r="B668" s="19" t="s">
        <v>943</v>
      </c>
      <c r="C668" s="19" t="s">
        <v>944</v>
      </c>
      <c r="D668" s="19" t="s">
        <v>148</v>
      </c>
      <c r="E668" s="19" t="s">
        <v>147</v>
      </c>
      <c r="F668" s="19" t="s">
        <v>301</v>
      </c>
      <c r="G668" s="19" t="n">
        <v>71</v>
      </c>
      <c r="H668" s="19" t="s">
        <v>302</v>
      </c>
      <c r="I668" s="20" t="n">
        <v>14.042</v>
      </c>
      <c r="J668" s="19" t="n">
        <f aca="false">IF(I668="","",MIN(Overview!$B$8,MAX(1,CEILING(I668/Overview!$B$7,1))))</f>
        <v>3</v>
      </c>
      <c r="K668" s="19" t="n">
        <v>1</v>
      </c>
      <c r="L668" s="19"/>
      <c r="M668" s="20" t="n">
        <v>2</v>
      </c>
      <c r="N668" s="19"/>
      <c r="O668" s="19"/>
      <c r="P668" s="19" t="s">
        <v>1555</v>
      </c>
      <c r="Q668" s="19" t="s">
        <v>980</v>
      </c>
      <c r="R668" s="21" t="n">
        <v>33291</v>
      </c>
      <c r="S668" s="19" t="s">
        <v>1969</v>
      </c>
      <c r="T668" s="19" t="s">
        <v>3013</v>
      </c>
      <c r="U668" s="19" t="str">
        <f aca="false">HYPERLINK("https://macaulaylibrary.org/asset/57470","Open")</f>
        <v>Open</v>
      </c>
      <c r="V668" s="19"/>
    </row>
    <row r="669" customFormat="false" ht="15" hidden="false" customHeight="false" outlineLevel="0" collapsed="false">
      <c r="A669" s="19" t="s">
        <v>3014</v>
      </c>
      <c r="B669" s="19" t="s">
        <v>943</v>
      </c>
      <c r="C669" s="19" t="s">
        <v>944</v>
      </c>
      <c r="D669" s="19" t="s">
        <v>148</v>
      </c>
      <c r="E669" s="19" t="s">
        <v>147</v>
      </c>
      <c r="F669" s="19" t="s">
        <v>301</v>
      </c>
      <c r="G669" s="19" t="n">
        <v>71</v>
      </c>
      <c r="H669" s="19" t="s">
        <v>302</v>
      </c>
      <c r="I669" s="20" t="n">
        <v>20.673</v>
      </c>
      <c r="J669" s="19" t="n">
        <f aca="false">IF(I669="","",MIN(Overview!$B$8,MAX(1,CEILING(I669/Overview!$B$7,1))))</f>
        <v>5</v>
      </c>
      <c r="K669" s="19" t="n">
        <v>1</v>
      </c>
      <c r="L669" s="19"/>
      <c r="M669" s="20"/>
      <c r="N669" s="19"/>
      <c r="O669" s="19"/>
      <c r="P669" s="19" t="s">
        <v>3015</v>
      </c>
      <c r="Q669" s="19" t="s">
        <v>1166</v>
      </c>
      <c r="R669" s="21" t="n">
        <v>44899</v>
      </c>
      <c r="S669" s="19" t="s">
        <v>3016</v>
      </c>
      <c r="T669" s="19" t="s">
        <v>3017</v>
      </c>
      <c r="U669" s="19" t="str">
        <f aca="false">HYPERLINK("https://macaulaylibrary.org/asset/597713461","Open")</f>
        <v>Open</v>
      </c>
      <c r="V669" s="19"/>
    </row>
    <row r="670" customFormat="false" ht="15" hidden="false" customHeight="false" outlineLevel="0" collapsed="false">
      <c r="A670" s="19" t="s">
        <v>3018</v>
      </c>
      <c r="B670" s="19" t="s">
        <v>943</v>
      </c>
      <c r="C670" s="19" t="s">
        <v>944</v>
      </c>
      <c r="D670" s="19" t="s">
        <v>148</v>
      </c>
      <c r="E670" s="19" t="s">
        <v>147</v>
      </c>
      <c r="F670" s="19" t="s">
        <v>301</v>
      </c>
      <c r="G670" s="19" t="n">
        <v>71</v>
      </c>
      <c r="H670" s="19" t="s">
        <v>302</v>
      </c>
      <c r="I670" s="20" t="n">
        <v>44.369</v>
      </c>
      <c r="J670" s="19" t="n">
        <f aca="false">IF(I670="","",MIN(Overview!$B$8,MAX(1,CEILING(I670/Overview!$B$7,1))))</f>
        <v>9</v>
      </c>
      <c r="K670" s="19" t="n">
        <v>1</v>
      </c>
      <c r="L670" s="19"/>
      <c r="M670" s="20" t="n">
        <v>3</v>
      </c>
      <c r="N670" s="19"/>
      <c r="O670" s="19" t="s">
        <v>3019</v>
      </c>
      <c r="P670" s="19" t="s">
        <v>3020</v>
      </c>
      <c r="Q670" s="19" t="s">
        <v>1191</v>
      </c>
      <c r="R670" s="21" t="n">
        <v>45371</v>
      </c>
      <c r="S670" s="19" t="s">
        <v>1081</v>
      </c>
      <c r="T670" s="19" t="s">
        <v>3021</v>
      </c>
      <c r="U670" s="19" t="str">
        <f aca="false">HYPERLINK("https://macaulaylibrary.org/asset/617547161","Open")</f>
        <v>Open</v>
      </c>
      <c r="V670" s="19"/>
    </row>
    <row r="671" customFormat="false" ht="15" hidden="false" customHeight="false" outlineLevel="0" collapsed="false">
      <c r="A671" s="19" t="s">
        <v>3022</v>
      </c>
      <c r="B671" s="19" t="s">
        <v>943</v>
      </c>
      <c r="C671" s="19" t="s">
        <v>944</v>
      </c>
      <c r="D671" s="19" t="s">
        <v>148</v>
      </c>
      <c r="E671" s="19" t="s">
        <v>147</v>
      </c>
      <c r="F671" s="19" t="s">
        <v>301</v>
      </c>
      <c r="G671" s="19" t="n">
        <v>71</v>
      </c>
      <c r="H671" s="19" t="s">
        <v>302</v>
      </c>
      <c r="I671" s="20" t="n">
        <v>5.049</v>
      </c>
      <c r="J671" s="19" t="n">
        <f aca="false">IF(I671="","",MIN(Overview!$B$8,MAX(1,CEILING(I671/Overview!$B$7,1))))</f>
        <v>2</v>
      </c>
      <c r="K671" s="19" t="n">
        <v>1</v>
      </c>
      <c r="L671" s="19"/>
      <c r="M671" s="20" t="n">
        <v>3</v>
      </c>
      <c r="N671" s="19"/>
      <c r="O671" s="19"/>
      <c r="P671" s="19" t="s">
        <v>3023</v>
      </c>
      <c r="Q671" s="19" t="s">
        <v>1513</v>
      </c>
      <c r="R671" s="21" t="n">
        <v>45759</v>
      </c>
      <c r="S671" s="19" t="s">
        <v>3024</v>
      </c>
      <c r="T671" s="19" t="s">
        <v>3025</v>
      </c>
      <c r="U671" s="19" t="str">
        <f aca="false">HYPERLINK("https://macaulaylibrary.org/asset/647148928","Open")</f>
        <v>Open</v>
      </c>
      <c r="V671" s="19"/>
    </row>
    <row r="672" customFormat="false" ht="15" hidden="false" customHeight="false" outlineLevel="0" collapsed="false">
      <c r="A672" s="19" t="s">
        <v>3026</v>
      </c>
      <c r="B672" s="19" t="s">
        <v>943</v>
      </c>
      <c r="C672" s="19" t="s">
        <v>944</v>
      </c>
      <c r="D672" s="19" t="s">
        <v>400</v>
      </c>
      <c r="E672" s="19" t="s">
        <v>147</v>
      </c>
      <c r="F672" s="19" t="s">
        <v>529</v>
      </c>
      <c r="G672" s="19" t="n">
        <v>72</v>
      </c>
      <c r="H672" s="19" t="s">
        <v>530</v>
      </c>
      <c r="I672" s="20" t="n">
        <v>35.499</v>
      </c>
      <c r="J672" s="19" t="n">
        <f aca="false">IF(I672="","",MIN(Overview!$B$8,MAX(1,CEILING(I672/Overview!$B$7,1))))</f>
        <v>8</v>
      </c>
      <c r="K672" s="19" t="n">
        <v>1</v>
      </c>
      <c r="L672" s="19"/>
      <c r="M672" s="20" t="n">
        <v>3</v>
      </c>
      <c r="N672" s="19"/>
      <c r="O672" s="19"/>
      <c r="P672" s="19" t="s">
        <v>3027</v>
      </c>
      <c r="Q672" s="19" t="s">
        <v>965</v>
      </c>
      <c r="R672" s="21" t="n">
        <v>44912</v>
      </c>
      <c r="S672" s="19" t="s">
        <v>957</v>
      </c>
      <c r="T672" s="19" t="s">
        <v>3028</v>
      </c>
      <c r="U672" s="19" t="str">
        <f aca="false">HYPERLINK("https://macaulaylibrary.org/asset/514042491","Open")</f>
        <v>Open</v>
      </c>
      <c r="V672" s="19"/>
    </row>
    <row r="673" customFormat="false" ht="15" hidden="false" customHeight="false" outlineLevel="0" collapsed="false">
      <c r="A673" s="19" t="s">
        <v>3029</v>
      </c>
      <c r="B673" s="19" t="s">
        <v>943</v>
      </c>
      <c r="C673" s="19" t="s">
        <v>944</v>
      </c>
      <c r="D673" s="19" t="s">
        <v>400</v>
      </c>
      <c r="E673" s="19" t="s">
        <v>147</v>
      </c>
      <c r="F673" s="19" t="s">
        <v>529</v>
      </c>
      <c r="G673" s="19" t="n">
        <v>72</v>
      </c>
      <c r="H673" s="19" t="s">
        <v>530</v>
      </c>
      <c r="I673" s="20" t="n">
        <v>13.714</v>
      </c>
      <c r="J673" s="19" t="n">
        <f aca="false">IF(I673="","",MIN(Overview!$B$8,MAX(1,CEILING(I673/Overview!$B$7,1))))</f>
        <v>3</v>
      </c>
      <c r="K673" s="19" t="n">
        <v>1</v>
      </c>
      <c r="L673" s="19"/>
      <c r="M673" s="20" t="n">
        <v>5</v>
      </c>
      <c r="N673" s="19"/>
      <c r="O673" s="19" t="s">
        <v>3030</v>
      </c>
      <c r="P673" s="19" t="s">
        <v>1373</v>
      </c>
      <c r="Q673" s="19" t="s">
        <v>990</v>
      </c>
      <c r="R673" s="21" t="n">
        <v>46012</v>
      </c>
      <c r="S673" s="19" t="s">
        <v>1009</v>
      </c>
      <c r="T673" s="19" t="s">
        <v>3031</v>
      </c>
      <c r="U673" s="19" t="str">
        <f aca="false">HYPERLINK("https://macaulaylibrary.org/asset/647331675","Open")</f>
        <v>Open</v>
      </c>
      <c r="V673" s="19"/>
    </row>
    <row r="674" customFormat="false" ht="15" hidden="false" customHeight="false" outlineLevel="0" collapsed="false">
      <c r="A674" s="19" t="s">
        <v>3032</v>
      </c>
      <c r="B674" s="19" t="s">
        <v>943</v>
      </c>
      <c r="C674" s="19" t="s">
        <v>944</v>
      </c>
      <c r="D674" s="19" t="s">
        <v>400</v>
      </c>
      <c r="E674" s="19" t="s">
        <v>147</v>
      </c>
      <c r="F674" s="19" t="s">
        <v>529</v>
      </c>
      <c r="G674" s="19" t="n">
        <v>72</v>
      </c>
      <c r="H674" s="19" t="s">
        <v>530</v>
      </c>
      <c r="I674" s="20" t="n">
        <v>22.171</v>
      </c>
      <c r="J674" s="19" t="n">
        <f aca="false">IF(I674="","",MIN(Overview!$B$8,MAX(1,CEILING(I674/Overview!$B$7,1))))</f>
        <v>5</v>
      </c>
      <c r="K674" s="19" t="n">
        <v>1</v>
      </c>
      <c r="L674" s="19"/>
      <c r="M674" s="20" t="n">
        <v>5</v>
      </c>
      <c r="N674" s="19"/>
      <c r="O674" s="19" t="s">
        <v>3030</v>
      </c>
      <c r="P674" s="19" t="s">
        <v>1373</v>
      </c>
      <c r="Q674" s="19" t="s">
        <v>990</v>
      </c>
      <c r="R674" s="21" t="n">
        <v>46012</v>
      </c>
      <c r="S674" s="19" t="s">
        <v>1009</v>
      </c>
      <c r="T674" s="19" t="s">
        <v>3033</v>
      </c>
      <c r="U674" s="19" t="str">
        <f aca="false">HYPERLINK("https://macaulaylibrary.org/asset/647335529","Open")</f>
        <v>Open</v>
      </c>
      <c r="V674" s="19"/>
    </row>
    <row r="675" customFormat="false" ht="15" hidden="false" customHeight="false" outlineLevel="0" collapsed="false">
      <c r="A675" s="19" t="s">
        <v>3034</v>
      </c>
      <c r="B675" s="19" t="s">
        <v>943</v>
      </c>
      <c r="C675" s="19" t="s">
        <v>944</v>
      </c>
      <c r="D675" s="19" t="s">
        <v>400</v>
      </c>
      <c r="E675" s="19" t="s">
        <v>147</v>
      </c>
      <c r="F675" s="19" t="s">
        <v>529</v>
      </c>
      <c r="G675" s="19" t="n">
        <v>72</v>
      </c>
      <c r="H675" s="19" t="s">
        <v>530</v>
      </c>
      <c r="I675" s="20" t="n">
        <v>14.716</v>
      </c>
      <c r="J675" s="19" t="n">
        <f aca="false">IF(I675="","",MIN(Overview!$B$8,MAX(1,CEILING(I675/Overview!$B$7,1))))</f>
        <v>3</v>
      </c>
      <c r="K675" s="19" t="n">
        <v>1</v>
      </c>
      <c r="L675" s="19"/>
      <c r="M675" s="20" t="n">
        <v>3</v>
      </c>
      <c r="N675" s="19"/>
      <c r="O675" s="19" t="s">
        <v>544</v>
      </c>
      <c r="P675" s="19" t="s">
        <v>1631</v>
      </c>
      <c r="Q675" s="19" t="s">
        <v>990</v>
      </c>
      <c r="R675" s="21" t="n">
        <v>46012</v>
      </c>
      <c r="S675" s="19" t="s">
        <v>1632</v>
      </c>
      <c r="T675" s="19" t="s">
        <v>3035</v>
      </c>
      <c r="U675" s="19" t="str">
        <f aca="false">HYPERLINK("https://macaulaylibrary.org/asset/647335590","Open")</f>
        <v>Open</v>
      </c>
      <c r="V675" s="19"/>
    </row>
    <row r="676" customFormat="false" ht="15" hidden="false" customHeight="false" outlineLevel="0" collapsed="false">
      <c r="A676" s="19" t="s">
        <v>3036</v>
      </c>
      <c r="B676" s="19" t="s">
        <v>943</v>
      </c>
      <c r="C676" s="19" t="s">
        <v>944</v>
      </c>
      <c r="D676" s="19" t="s">
        <v>400</v>
      </c>
      <c r="E676" s="19" t="s">
        <v>147</v>
      </c>
      <c r="F676" s="19" t="s">
        <v>529</v>
      </c>
      <c r="G676" s="19" t="n">
        <v>72</v>
      </c>
      <c r="H676" s="19" t="s">
        <v>530</v>
      </c>
      <c r="I676" s="20" t="n">
        <v>23.039</v>
      </c>
      <c r="J676" s="19" t="n">
        <f aca="false">IF(I676="","",MIN(Overview!$B$8,MAX(1,CEILING(I676/Overview!$B$7,1))))</f>
        <v>5</v>
      </c>
      <c r="K676" s="19" t="n">
        <v>1</v>
      </c>
      <c r="L676" s="19"/>
      <c r="M676" s="20" t="n">
        <v>5</v>
      </c>
      <c r="N676" s="19"/>
      <c r="O676" s="19" t="s">
        <v>3037</v>
      </c>
      <c r="P676" s="19" t="s">
        <v>1373</v>
      </c>
      <c r="Q676" s="19" t="s">
        <v>990</v>
      </c>
      <c r="R676" s="21" t="n">
        <v>46012</v>
      </c>
      <c r="S676" s="19" t="s">
        <v>1009</v>
      </c>
      <c r="T676" s="19" t="s">
        <v>3038</v>
      </c>
      <c r="U676" s="19" t="str">
        <f aca="false">HYPERLINK("https://macaulaylibrary.org/asset/647336051","Open")</f>
        <v>Open</v>
      </c>
      <c r="V676" s="19"/>
    </row>
    <row r="677" customFormat="false" ht="15" hidden="false" customHeight="false" outlineLevel="0" collapsed="false">
      <c r="A677" s="19" t="s">
        <v>3039</v>
      </c>
      <c r="B677" s="19" t="s">
        <v>943</v>
      </c>
      <c r="C677" s="19" t="s">
        <v>944</v>
      </c>
      <c r="D677" s="19" t="s">
        <v>400</v>
      </c>
      <c r="E677" s="19" t="s">
        <v>147</v>
      </c>
      <c r="F677" s="19" t="s">
        <v>559</v>
      </c>
      <c r="G677" s="19" t="n">
        <v>73</v>
      </c>
      <c r="H677" s="19" t="s">
        <v>560</v>
      </c>
      <c r="I677" s="20" t="n">
        <v>25.215</v>
      </c>
      <c r="J677" s="19" t="n">
        <f aca="false">IF(I677="","",MIN(Overview!$B$8,MAX(1,CEILING(I677/Overview!$B$7,1))))</f>
        <v>6</v>
      </c>
      <c r="K677" s="19" t="n">
        <v>1</v>
      </c>
      <c r="L677" s="19"/>
      <c r="M677" s="20" t="n">
        <v>2.8</v>
      </c>
      <c r="N677" s="19"/>
      <c r="O677" s="19"/>
      <c r="P677" s="19" t="s">
        <v>3040</v>
      </c>
      <c r="Q677" s="19" t="s">
        <v>3041</v>
      </c>
      <c r="R677" s="21" t="n">
        <v>43406</v>
      </c>
      <c r="S677" s="19" t="s">
        <v>3042</v>
      </c>
      <c r="T677" s="19" t="s">
        <v>3043</v>
      </c>
      <c r="U677" s="19" t="str">
        <f aca="false">HYPERLINK("https://macaulaylibrary.org/asset/123825661","Open")</f>
        <v>Open</v>
      </c>
      <c r="V677" s="19"/>
    </row>
    <row r="678" customFormat="false" ht="15" hidden="false" customHeight="false" outlineLevel="0" collapsed="false">
      <c r="A678" s="19" t="s">
        <v>3044</v>
      </c>
      <c r="B678" s="19" t="s">
        <v>943</v>
      </c>
      <c r="C678" s="19" t="s">
        <v>944</v>
      </c>
      <c r="D678" s="19" t="s">
        <v>400</v>
      </c>
      <c r="E678" s="19" t="s">
        <v>147</v>
      </c>
      <c r="F678" s="19" t="s">
        <v>559</v>
      </c>
      <c r="G678" s="19" t="n">
        <v>73</v>
      </c>
      <c r="H678" s="19" t="s">
        <v>560</v>
      </c>
      <c r="I678" s="20" t="n">
        <v>31.277</v>
      </c>
      <c r="J678" s="19" t="n">
        <f aca="false">IF(I678="","",MIN(Overview!$B$8,MAX(1,CEILING(I678/Overview!$B$7,1))))</f>
        <v>7</v>
      </c>
      <c r="K678" s="19" t="n">
        <v>1</v>
      </c>
      <c r="L678" s="19"/>
      <c r="M678" s="20" t="n">
        <v>1</v>
      </c>
      <c r="N678" s="19"/>
      <c r="O678" s="19"/>
      <c r="P678" s="19" t="s">
        <v>1135</v>
      </c>
      <c r="Q678" s="19" t="s">
        <v>1136</v>
      </c>
      <c r="R678" s="21" t="n">
        <v>29735</v>
      </c>
      <c r="S678" s="19" t="s">
        <v>1534</v>
      </c>
      <c r="T678" s="19" t="s">
        <v>3045</v>
      </c>
      <c r="U678" s="19" t="str">
        <f aca="false">HYPERLINK("https://macaulaylibrary.org/asset/28140","Open")</f>
        <v>Open</v>
      </c>
      <c r="V678" s="19"/>
    </row>
    <row r="679" customFormat="false" ht="15" hidden="false" customHeight="false" outlineLevel="0" collapsed="false">
      <c r="A679" s="19" t="s">
        <v>3046</v>
      </c>
      <c r="B679" s="19" t="s">
        <v>943</v>
      </c>
      <c r="C679" s="19" t="s">
        <v>944</v>
      </c>
      <c r="D679" s="19" t="s">
        <v>400</v>
      </c>
      <c r="E679" s="19" t="s">
        <v>147</v>
      </c>
      <c r="F679" s="19" t="s">
        <v>559</v>
      </c>
      <c r="G679" s="19" t="n">
        <v>73</v>
      </c>
      <c r="H679" s="19" t="s">
        <v>560</v>
      </c>
      <c r="I679" s="20" t="n">
        <v>24.474</v>
      </c>
      <c r="J679" s="19" t="n">
        <f aca="false">IF(I679="","",MIN(Overview!$B$8,MAX(1,CEILING(I679/Overview!$B$7,1))))</f>
        <v>5</v>
      </c>
      <c r="K679" s="19" t="n">
        <v>1</v>
      </c>
      <c r="L679" s="19"/>
      <c r="M679" s="20" t="n">
        <v>2</v>
      </c>
      <c r="N679" s="19"/>
      <c r="O679" s="19" t="s">
        <v>326</v>
      </c>
      <c r="P679" s="19" t="s">
        <v>1824</v>
      </c>
      <c r="Q679" s="19" t="s">
        <v>1502</v>
      </c>
      <c r="R679" s="21" t="n">
        <v>45938</v>
      </c>
      <c r="S679" s="19" t="s">
        <v>1825</v>
      </c>
      <c r="T679" s="19" t="s">
        <v>3047</v>
      </c>
      <c r="U679" s="19" t="str">
        <f aca="false">HYPERLINK("https://macaulaylibrary.org/asset/648628517","Open")</f>
        <v>Open</v>
      </c>
      <c r="V679" s="19"/>
    </row>
    <row r="680" customFormat="false" ht="15" hidden="false" customHeight="false" outlineLevel="0" collapsed="false">
      <c r="A680" s="19" t="s">
        <v>3048</v>
      </c>
      <c r="B680" s="19" t="s">
        <v>943</v>
      </c>
      <c r="C680" s="19" t="s">
        <v>944</v>
      </c>
      <c r="D680" s="19" t="s">
        <v>400</v>
      </c>
      <c r="E680" s="19" t="s">
        <v>147</v>
      </c>
      <c r="F680" s="19" t="s">
        <v>559</v>
      </c>
      <c r="G680" s="19" t="n">
        <v>73</v>
      </c>
      <c r="H680" s="19" t="s">
        <v>560</v>
      </c>
      <c r="I680" s="20" t="n">
        <v>43.754</v>
      </c>
      <c r="J680" s="19" t="n">
        <f aca="false">IF(I680="","",MIN(Overview!$B$8,MAX(1,CEILING(I680/Overview!$B$7,1))))</f>
        <v>9</v>
      </c>
      <c r="K680" s="19" t="n">
        <v>1</v>
      </c>
      <c r="L680" s="19"/>
      <c r="M680" s="20" t="n">
        <v>3</v>
      </c>
      <c r="N680" s="19"/>
      <c r="O680" s="19" t="s">
        <v>3049</v>
      </c>
      <c r="P680" s="19" t="s">
        <v>3050</v>
      </c>
      <c r="Q680" s="19" t="s">
        <v>1502</v>
      </c>
      <c r="R680" s="21" t="n">
        <v>45940</v>
      </c>
      <c r="S680" s="19" t="s">
        <v>1643</v>
      </c>
      <c r="T680" s="19" t="s">
        <v>3051</v>
      </c>
      <c r="U680" s="19" t="str">
        <f aca="false">HYPERLINK("https://macaulaylibrary.org/asset/648780729","Open")</f>
        <v>Open</v>
      </c>
      <c r="V680" s="19"/>
    </row>
    <row r="681" customFormat="false" ht="15" hidden="false" customHeight="false" outlineLevel="0" collapsed="false">
      <c r="A681" s="19" t="s">
        <v>3052</v>
      </c>
      <c r="B681" s="19" t="s">
        <v>943</v>
      </c>
      <c r="C681" s="19" t="s">
        <v>944</v>
      </c>
      <c r="D681" s="19" t="s">
        <v>148</v>
      </c>
      <c r="E681" s="19" t="s">
        <v>147</v>
      </c>
      <c r="F681" s="19" t="s">
        <v>225</v>
      </c>
      <c r="G681" s="19" t="n">
        <v>76</v>
      </c>
      <c r="H681" s="19" t="s">
        <v>226</v>
      </c>
      <c r="I681" s="20" t="n">
        <v>223.499</v>
      </c>
      <c r="J681" s="19" t="n">
        <f aca="false">IF(I681="","",MIN(Overview!$B$8,MAX(1,CEILING(I681/Overview!$B$7,1))))</f>
        <v>45</v>
      </c>
      <c r="K681" s="19" t="n">
        <v>1</v>
      </c>
      <c r="L681" s="19"/>
      <c r="M681" s="20" t="n">
        <v>3.5</v>
      </c>
      <c r="N681" s="19"/>
      <c r="O681" s="19"/>
      <c r="P681" s="19" t="s">
        <v>1526</v>
      </c>
      <c r="Q681" s="19" t="s">
        <v>1021</v>
      </c>
      <c r="R681" s="21" t="n">
        <v>35865</v>
      </c>
      <c r="S681" s="19" t="s">
        <v>1279</v>
      </c>
      <c r="T681" s="19" t="s">
        <v>3053</v>
      </c>
      <c r="U681" s="19" t="str">
        <f aca="false">HYPERLINK("https://macaulaylibrary.org/asset/102484871","Open")</f>
        <v>Open</v>
      </c>
      <c r="V681" s="19"/>
    </row>
    <row r="682" customFormat="false" ht="15" hidden="false" customHeight="false" outlineLevel="0" collapsed="false">
      <c r="A682" s="19" t="s">
        <v>3054</v>
      </c>
      <c r="B682" s="19" t="s">
        <v>943</v>
      </c>
      <c r="C682" s="19" t="s">
        <v>944</v>
      </c>
      <c r="D682" s="19" t="s">
        <v>148</v>
      </c>
      <c r="E682" s="19" t="s">
        <v>147</v>
      </c>
      <c r="F682" s="19" t="s">
        <v>225</v>
      </c>
      <c r="G682" s="19" t="n">
        <v>76</v>
      </c>
      <c r="H682" s="19" t="s">
        <v>226</v>
      </c>
      <c r="I682" s="20" t="n">
        <v>221.711</v>
      </c>
      <c r="J682" s="19" t="n">
        <f aca="false">IF(I682="","",MIN(Overview!$B$8,MAX(1,CEILING(I682/Overview!$B$7,1))))</f>
        <v>45</v>
      </c>
      <c r="K682" s="19" t="n">
        <v>1</v>
      </c>
      <c r="L682" s="19"/>
      <c r="M682" s="20" t="n">
        <v>3</v>
      </c>
      <c r="N682" s="19"/>
      <c r="O682" s="19"/>
      <c r="P682" s="19" t="s">
        <v>1752</v>
      </c>
      <c r="Q682" s="19" t="s">
        <v>980</v>
      </c>
      <c r="R682" s="21" t="n">
        <v>35208</v>
      </c>
      <c r="S682" s="19" t="s">
        <v>3055</v>
      </c>
      <c r="T682" s="19" t="s">
        <v>3056</v>
      </c>
      <c r="U682" s="19" t="str">
        <f aca="false">HYPERLINK("https://macaulaylibrary.org/asset/184788","Open")</f>
        <v>Open</v>
      </c>
      <c r="V682" s="19" t="s">
        <v>3057</v>
      </c>
    </row>
    <row r="683" customFormat="false" ht="15" hidden="false" customHeight="false" outlineLevel="0" collapsed="false">
      <c r="A683" s="19" t="s">
        <v>3058</v>
      </c>
      <c r="B683" s="19" t="s">
        <v>943</v>
      </c>
      <c r="C683" s="19" t="s">
        <v>944</v>
      </c>
      <c r="D683" s="19" t="s">
        <v>148</v>
      </c>
      <c r="E683" s="19" t="s">
        <v>147</v>
      </c>
      <c r="F683" s="19" t="s">
        <v>225</v>
      </c>
      <c r="G683" s="19" t="n">
        <v>76</v>
      </c>
      <c r="H683" s="19" t="s">
        <v>226</v>
      </c>
      <c r="I683" s="20" t="n">
        <v>50.784</v>
      </c>
      <c r="J683" s="19" t="n">
        <f aca="false">IF(I683="","",MIN(Overview!$B$8,MAX(1,CEILING(I683/Overview!$B$7,1))))</f>
        <v>11</v>
      </c>
      <c r="K683" s="19" t="n">
        <v>1</v>
      </c>
      <c r="L683" s="19"/>
      <c r="M683" s="20" t="n">
        <v>3</v>
      </c>
      <c r="N683" s="19"/>
      <c r="O683" s="19"/>
      <c r="P683" s="19" t="s">
        <v>1109</v>
      </c>
      <c r="Q683" s="19" t="s">
        <v>1110</v>
      </c>
      <c r="R683" s="21" t="n">
        <v>36969</v>
      </c>
      <c r="S683" s="19" t="s">
        <v>1799</v>
      </c>
      <c r="T683" s="19" t="s">
        <v>3059</v>
      </c>
      <c r="U683" s="19" t="str">
        <f aca="false">HYPERLINK("https://macaulaylibrary.org/asset/185748","Open")</f>
        <v>Open</v>
      </c>
      <c r="V683" s="19" t="s">
        <v>3057</v>
      </c>
    </row>
    <row r="684" customFormat="false" ht="15" hidden="false" customHeight="false" outlineLevel="0" collapsed="false">
      <c r="A684" s="19" t="s">
        <v>3060</v>
      </c>
      <c r="B684" s="19" t="s">
        <v>943</v>
      </c>
      <c r="C684" s="19" t="s">
        <v>944</v>
      </c>
      <c r="D684" s="19" t="s">
        <v>148</v>
      </c>
      <c r="E684" s="19" t="s">
        <v>147</v>
      </c>
      <c r="F684" s="19" t="s">
        <v>225</v>
      </c>
      <c r="G684" s="19" t="n">
        <v>76</v>
      </c>
      <c r="H684" s="19" t="s">
        <v>226</v>
      </c>
      <c r="I684" s="20" t="n">
        <v>24.859</v>
      </c>
      <c r="J684" s="19" t="n">
        <f aca="false">IF(I684="","",MIN(Overview!$B$8,MAX(1,CEILING(I684/Overview!$B$7,1))))</f>
        <v>5</v>
      </c>
      <c r="K684" s="19" t="n">
        <v>1</v>
      </c>
      <c r="L684" s="19"/>
      <c r="M684" s="20"/>
      <c r="N684" s="19"/>
      <c r="O684" s="19"/>
      <c r="P684" s="19" t="s">
        <v>3061</v>
      </c>
      <c r="Q684" s="19" t="s">
        <v>2085</v>
      </c>
      <c r="R684" s="21" t="n">
        <v>44185</v>
      </c>
      <c r="S684" s="19" t="s">
        <v>1098</v>
      </c>
      <c r="T684" s="19" t="s">
        <v>3062</v>
      </c>
      <c r="U684" s="19" t="str">
        <f aca="false">HYPERLINK("https://macaulaylibrary.org/asset/297143321","Open")</f>
        <v>Open</v>
      </c>
      <c r="V684" s="19"/>
    </row>
    <row r="685" customFormat="false" ht="15" hidden="false" customHeight="false" outlineLevel="0" collapsed="false">
      <c r="A685" s="19" t="s">
        <v>3063</v>
      </c>
      <c r="B685" s="19" t="s">
        <v>943</v>
      </c>
      <c r="C685" s="19" t="s">
        <v>944</v>
      </c>
      <c r="D685" s="19" t="s">
        <v>148</v>
      </c>
      <c r="E685" s="19" t="s">
        <v>147</v>
      </c>
      <c r="F685" s="19" t="s">
        <v>225</v>
      </c>
      <c r="G685" s="19" t="n">
        <v>76</v>
      </c>
      <c r="H685" s="19" t="s">
        <v>226</v>
      </c>
      <c r="I685" s="20" t="n">
        <v>18.994</v>
      </c>
      <c r="J685" s="19" t="n">
        <f aca="false">IF(I685="","",MIN(Overview!$B$8,MAX(1,CEILING(I685/Overview!$B$7,1))))</f>
        <v>4</v>
      </c>
      <c r="K685" s="19" t="n">
        <v>1</v>
      </c>
      <c r="L685" s="19"/>
      <c r="M685" s="20"/>
      <c r="N685" s="19"/>
      <c r="O685" s="19"/>
      <c r="P685" s="19" t="s">
        <v>3061</v>
      </c>
      <c r="Q685" s="19" t="s">
        <v>2085</v>
      </c>
      <c r="R685" s="21" t="n">
        <v>44185</v>
      </c>
      <c r="S685" s="19" t="s">
        <v>1098</v>
      </c>
      <c r="T685" s="19" t="s">
        <v>3064</v>
      </c>
      <c r="U685" s="19" t="str">
        <f aca="false">HYPERLINK("https://macaulaylibrary.org/asset/297143331","Open")</f>
        <v>Open</v>
      </c>
      <c r="V685" s="19"/>
    </row>
    <row r="686" customFormat="false" ht="15" hidden="false" customHeight="false" outlineLevel="0" collapsed="false">
      <c r="A686" s="19" t="s">
        <v>3065</v>
      </c>
      <c r="B686" s="19" t="s">
        <v>943</v>
      </c>
      <c r="C686" s="19" t="s">
        <v>944</v>
      </c>
      <c r="D686" s="19" t="s">
        <v>148</v>
      </c>
      <c r="E686" s="19" t="s">
        <v>147</v>
      </c>
      <c r="F686" s="19" t="s">
        <v>225</v>
      </c>
      <c r="G686" s="19" t="n">
        <v>76</v>
      </c>
      <c r="H686" s="19" t="s">
        <v>226</v>
      </c>
      <c r="I686" s="20" t="n">
        <v>22.602</v>
      </c>
      <c r="J686" s="19" t="n">
        <f aca="false">IF(I686="","",MIN(Overview!$B$8,MAX(1,CEILING(I686/Overview!$B$7,1))))</f>
        <v>5</v>
      </c>
      <c r="K686" s="19" t="n">
        <v>1</v>
      </c>
      <c r="L686" s="19"/>
      <c r="M686" s="20"/>
      <c r="N686" s="19"/>
      <c r="O686" s="19"/>
      <c r="P686" s="19" t="s">
        <v>3066</v>
      </c>
      <c r="Q686" s="19" t="s">
        <v>2085</v>
      </c>
      <c r="R686" s="21" t="n">
        <v>44695</v>
      </c>
      <c r="S686" s="19" t="s">
        <v>3067</v>
      </c>
      <c r="T686" s="19" t="s">
        <v>3068</v>
      </c>
      <c r="U686" s="19" t="str">
        <f aca="false">HYPERLINK("https://macaulaylibrary.org/asset/449606321","Open")</f>
        <v>Open</v>
      </c>
      <c r="V686" s="19"/>
    </row>
    <row r="687" customFormat="false" ht="15" hidden="false" customHeight="false" outlineLevel="0" collapsed="false">
      <c r="A687" s="19" t="s">
        <v>3069</v>
      </c>
      <c r="B687" s="19" t="s">
        <v>943</v>
      </c>
      <c r="C687" s="19" t="s">
        <v>944</v>
      </c>
      <c r="D687" s="19" t="s">
        <v>148</v>
      </c>
      <c r="E687" s="19" t="s">
        <v>147</v>
      </c>
      <c r="F687" s="19" t="s">
        <v>225</v>
      </c>
      <c r="G687" s="19" t="n">
        <v>76</v>
      </c>
      <c r="H687" s="19" t="s">
        <v>226</v>
      </c>
      <c r="I687" s="20" t="n">
        <v>4.12</v>
      </c>
      <c r="J687" s="19" t="n">
        <f aca="false">IF(I687="","",MIN(Overview!$B$8,MAX(1,CEILING(I687/Overview!$B$7,1))))</f>
        <v>1</v>
      </c>
      <c r="K687" s="19" t="n">
        <v>1</v>
      </c>
      <c r="L687" s="19" t="s">
        <v>1048</v>
      </c>
      <c r="M687" s="20" t="n">
        <v>4</v>
      </c>
      <c r="N687" s="19"/>
      <c r="O687" s="19"/>
      <c r="P687" s="19" t="s">
        <v>3070</v>
      </c>
      <c r="Q687" s="19" t="s">
        <v>3071</v>
      </c>
      <c r="R687" s="21" t="n">
        <v>44737</v>
      </c>
      <c r="S687" s="19" t="s">
        <v>3072</v>
      </c>
      <c r="T687" s="19" t="s">
        <v>3073</v>
      </c>
      <c r="U687" s="19" t="str">
        <f aca="false">HYPERLINK("https://macaulaylibrary.org/asset/470168411","Open")</f>
        <v>Open</v>
      </c>
      <c r="V687" s="19"/>
    </row>
    <row r="688" customFormat="false" ht="15" hidden="false" customHeight="false" outlineLevel="0" collapsed="false">
      <c r="A688" s="19" t="s">
        <v>3074</v>
      </c>
      <c r="B688" s="19" t="s">
        <v>943</v>
      </c>
      <c r="C688" s="19" t="s">
        <v>944</v>
      </c>
      <c r="D688" s="19" t="s">
        <v>148</v>
      </c>
      <c r="E688" s="19" t="s">
        <v>147</v>
      </c>
      <c r="F688" s="19" t="s">
        <v>225</v>
      </c>
      <c r="G688" s="19" t="n">
        <v>76</v>
      </c>
      <c r="H688" s="19" t="s">
        <v>226</v>
      </c>
      <c r="I688" s="20" t="n">
        <v>86.164</v>
      </c>
      <c r="J688" s="19" t="n">
        <f aca="false">IF(I688="","",MIN(Overview!$B$8,MAX(1,CEILING(I688/Overview!$B$7,1))))</f>
        <v>18</v>
      </c>
      <c r="K688" s="19" t="n">
        <v>1</v>
      </c>
      <c r="L688" s="19"/>
      <c r="M688" s="20" t="n">
        <v>2</v>
      </c>
      <c r="N688" s="19"/>
      <c r="O688" s="19"/>
      <c r="P688" s="19" t="s">
        <v>1567</v>
      </c>
      <c r="Q688" s="19" t="s">
        <v>980</v>
      </c>
      <c r="R688" s="21" t="n">
        <v>33294</v>
      </c>
      <c r="S688" s="19" t="s">
        <v>3075</v>
      </c>
      <c r="T688" s="19" t="s">
        <v>3076</v>
      </c>
      <c r="U688" s="19" t="str">
        <f aca="false">HYPERLINK("https://macaulaylibrary.org/asset/57497","Open")</f>
        <v>Open</v>
      </c>
      <c r="V688" s="19" t="s">
        <v>3057</v>
      </c>
    </row>
    <row r="689" customFormat="false" ht="15" hidden="false" customHeight="false" outlineLevel="0" collapsed="false">
      <c r="A689" s="19" t="s">
        <v>3077</v>
      </c>
      <c r="B689" s="19" t="s">
        <v>943</v>
      </c>
      <c r="C689" s="19" t="s">
        <v>944</v>
      </c>
      <c r="D689" s="19" t="s">
        <v>148</v>
      </c>
      <c r="E689" s="19" t="s">
        <v>147</v>
      </c>
      <c r="F689" s="19" t="s">
        <v>225</v>
      </c>
      <c r="G689" s="19" t="n">
        <v>76</v>
      </c>
      <c r="H689" s="19" t="s">
        <v>226</v>
      </c>
      <c r="I689" s="20" t="n">
        <v>7.116</v>
      </c>
      <c r="J689" s="19" t="n">
        <f aca="false">IF(I689="","",MIN(Overview!$B$8,MAX(1,CEILING(I689/Overview!$B$7,1))))</f>
        <v>2</v>
      </c>
      <c r="K689" s="19" t="n">
        <v>1</v>
      </c>
      <c r="L689" s="19"/>
      <c r="M689" s="20"/>
      <c r="N689" s="19"/>
      <c r="O689" s="19"/>
      <c r="P689" s="19" t="s">
        <v>1170</v>
      </c>
      <c r="Q689" s="19" t="s">
        <v>1166</v>
      </c>
      <c r="R689" s="21" t="n">
        <v>44900</v>
      </c>
      <c r="S689" s="19" t="s">
        <v>1092</v>
      </c>
      <c r="T689" s="19" t="s">
        <v>3078</v>
      </c>
      <c r="U689" s="19" t="str">
        <f aca="false">HYPERLINK("https://macaulaylibrary.org/asset/597933391","Open")</f>
        <v>Open</v>
      </c>
      <c r="V689" s="19"/>
    </row>
    <row r="690" customFormat="false" ht="15" hidden="false" customHeight="false" outlineLevel="0" collapsed="false">
      <c r="A690" s="19" t="s">
        <v>3079</v>
      </c>
      <c r="B690" s="19" t="s">
        <v>943</v>
      </c>
      <c r="C690" s="19" t="s">
        <v>944</v>
      </c>
      <c r="D690" s="19" t="s">
        <v>148</v>
      </c>
      <c r="E690" s="19" t="s">
        <v>147</v>
      </c>
      <c r="F690" s="19" t="s">
        <v>225</v>
      </c>
      <c r="G690" s="19" t="n">
        <v>76</v>
      </c>
      <c r="H690" s="19" t="s">
        <v>226</v>
      </c>
      <c r="I690" s="20" t="n">
        <v>95.379</v>
      </c>
      <c r="J690" s="19" t="n">
        <f aca="false">IF(I690="","",MIN(Overview!$B$8,MAX(1,CEILING(I690/Overview!$B$7,1))))</f>
        <v>20</v>
      </c>
      <c r="K690" s="19" t="n">
        <v>1</v>
      </c>
      <c r="L690" s="19"/>
      <c r="M690" s="20"/>
      <c r="N690" s="19"/>
      <c r="O690" s="19"/>
      <c r="P690" s="19" t="s">
        <v>1605</v>
      </c>
      <c r="Q690" s="19" t="s">
        <v>1040</v>
      </c>
      <c r="R690" s="21" t="n">
        <v>40902</v>
      </c>
      <c r="S690" s="19" t="s">
        <v>1002</v>
      </c>
      <c r="T690" s="19" t="s">
        <v>3080</v>
      </c>
      <c r="U690" s="19" t="str">
        <f aca="false">HYPERLINK("https://macaulaylibrary.org/asset/609056563","Open")</f>
        <v>Open</v>
      </c>
      <c r="V690" s="19"/>
    </row>
    <row r="691" customFormat="false" ht="15" hidden="false" customHeight="false" outlineLevel="0" collapsed="false">
      <c r="A691" s="19" t="s">
        <v>3081</v>
      </c>
      <c r="B691" s="19" t="s">
        <v>943</v>
      </c>
      <c r="C691" s="19" t="s">
        <v>944</v>
      </c>
      <c r="D691" s="19" t="s">
        <v>148</v>
      </c>
      <c r="E691" s="19" t="s">
        <v>147</v>
      </c>
      <c r="F691" s="19" t="s">
        <v>225</v>
      </c>
      <c r="G691" s="19" t="n">
        <v>76</v>
      </c>
      <c r="H691" s="19" t="s">
        <v>226</v>
      </c>
      <c r="I691" s="20" t="n">
        <v>25.906</v>
      </c>
      <c r="J691" s="19" t="n">
        <f aca="false">IF(I691="","",MIN(Overview!$B$8,MAX(1,CEILING(I691/Overview!$B$7,1))))</f>
        <v>6</v>
      </c>
      <c r="K691" s="19" t="n">
        <v>1</v>
      </c>
      <c r="L691" s="19"/>
      <c r="M691" s="20"/>
      <c r="N691" s="19"/>
      <c r="O691" s="19"/>
      <c r="P691" s="19" t="s">
        <v>1605</v>
      </c>
      <c r="Q691" s="19" t="s">
        <v>1040</v>
      </c>
      <c r="R691" s="21" t="n">
        <v>40902</v>
      </c>
      <c r="S691" s="19" t="s">
        <v>1002</v>
      </c>
      <c r="T691" s="19" t="s">
        <v>3082</v>
      </c>
      <c r="U691" s="19" t="str">
        <f aca="false">HYPERLINK("https://macaulaylibrary.org/asset/609056566","Open")</f>
        <v>Open</v>
      </c>
      <c r="V691" s="19"/>
    </row>
    <row r="692" customFormat="false" ht="15" hidden="false" customHeight="false" outlineLevel="0" collapsed="false">
      <c r="A692" s="19" t="s">
        <v>3083</v>
      </c>
      <c r="B692" s="19" t="s">
        <v>943</v>
      </c>
      <c r="C692" s="19" t="s">
        <v>944</v>
      </c>
      <c r="D692" s="19" t="s">
        <v>148</v>
      </c>
      <c r="E692" s="19" t="s">
        <v>147</v>
      </c>
      <c r="F692" s="19" t="s">
        <v>225</v>
      </c>
      <c r="G692" s="19" t="n">
        <v>76</v>
      </c>
      <c r="H692" s="19" t="s">
        <v>226</v>
      </c>
      <c r="I692" s="20" t="n">
        <v>20.316</v>
      </c>
      <c r="J692" s="19" t="n">
        <f aca="false">IF(I692="","",MIN(Overview!$B$8,MAX(1,CEILING(I692/Overview!$B$7,1))))</f>
        <v>5</v>
      </c>
      <c r="K692" s="19" t="n">
        <v>1</v>
      </c>
      <c r="L692" s="19"/>
      <c r="M692" s="20" t="n">
        <v>3</v>
      </c>
      <c r="N692" s="19"/>
      <c r="O692" s="19"/>
      <c r="P692" s="19" t="s">
        <v>3084</v>
      </c>
      <c r="Q692" s="19" t="s">
        <v>3085</v>
      </c>
      <c r="R692" s="21" t="n">
        <v>44982</v>
      </c>
      <c r="S692" s="19" t="s">
        <v>3086</v>
      </c>
      <c r="T692" s="19" t="s">
        <v>3087</v>
      </c>
      <c r="U692" s="19" t="str">
        <f aca="false">HYPERLINK("https://macaulaylibrary.org/asset/611524231","Open")</f>
        <v>Open</v>
      </c>
      <c r="V692" s="19"/>
    </row>
    <row r="693" customFormat="false" ht="15" hidden="false" customHeight="false" outlineLevel="0" collapsed="false">
      <c r="A693" s="19" t="s">
        <v>3088</v>
      </c>
      <c r="B693" s="19" t="s">
        <v>943</v>
      </c>
      <c r="C693" s="19" t="s">
        <v>944</v>
      </c>
      <c r="D693" s="19" t="s">
        <v>148</v>
      </c>
      <c r="E693" s="19" t="s">
        <v>147</v>
      </c>
      <c r="F693" s="19" t="s">
        <v>225</v>
      </c>
      <c r="G693" s="19" t="n">
        <v>76</v>
      </c>
      <c r="H693" s="19" t="s">
        <v>226</v>
      </c>
      <c r="I693" s="20" t="n">
        <v>9.32</v>
      </c>
      <c r="J693" s="19" t="n">
        <f aca="false">IF(I693="","",MIN(Overview!$B$8,MAX(1,CEILING(I693/Overview!$B$7,1))))</f>
        <v>2</v>
      </c>
      <c r="K693" s="19" t="n">
        <v>1</v>
      </c>
      <c r="L693" s="19"/>
      <c r="M693" s="20"/>
      <c r="N693" s="19"/>
      <c r="O693" s="19"/>
      <c r="P693" s="19" t="s">
        <v>3089</v>
      </c>
      <c r="Q693" s="19" t="s">
        <v>3090</v>
      </c>
      <c r="R693" s="21" t="n">
        <v>45311</v>
      </c>
      <c r="S693" s="19" t="s">
        <v>3091</v>
      </c>
      <c r="T693" s="19" t="s">
        <v>3092</v>
      </c>
      <c r="U693" s="19" t="str">
        <f aca="false">HYPERLINK("https://macaulaylibrary.org/asset/614046358","Open")</f>
        <v>Open</v>
      </c>
      <c r="V693" s="19"/>
    </row>
    <row r="694" customFormat="false" ht="15" hidden="false" customHeight="false" outlineLevel="0" collapsed="false">
      <c r="A694" s="19" t="s">
        <v>3093</v>
      </c>
      <c r="B694" s="19" t="s">
        <v>943</v>
      </c>
      <c r="C694" s="19" t="s">
        <v>944</v>
      </c>
      <c r="D694" s="19" t="s">
        <v>148</v>
      </c>
      <c r="E694" s="19" t="s">
        <v>147</v>
      </c>
      <c r="F694" s="19" t="s">
        <v>225</v>
      </c>
      <c r="G694" s="19" t="n">
        <v>76</v>
      </c>
      <c r="H694" s="19" t="s">
        <v>226</v>
      </c>
      <c r="I694" s="20" t="n">
        <v>35.852</v>
      </c>
      <c r="J694" s="19" t="n">
        <f aca="false">IF(I694="","",MIN(Overview!$B$8,MAX(1,CEILING(I694/Overview!$B$7,1))))</f>
        <v>8</v>
      </c>
      <c r="K694" s="19" t="n">
        <v>1</v>
      </c>
      <c r="L694" s="19"/>
      <c r="M694" s="20" t="n">
        <v>4</v>
      </c>
      <c r="N694" s="19"/>
      <c r="O694" s="19"/>
      <c r="P694" s="19" t="s">
        <v>3094</v>
      </c>
      <c r="Q694" s="19" t="s">
        <v>2003</v>
      </c>
      <c r="R694" s="21" t="n">
        <v>45325</v>
      </c>
      <c r="S694" s="19" t="s">
        <v>1106</v>
      </c>
      <c r="T694" s="19" t="s">
        <v>3095</v>
      </c>
      <c r="U694" s="19" t="str">
        <f aca="false">HYPERLINK("https://macaulaylibrary.org/asset/615003597","Open")</f>
        <v>Open</v>
      </c>
      <c r="V694" s="19"/>
    </row>
    <row r="695" customFormat="false" ht="15" hidden="false" customHeight="false" outlineLevel="0" collapsed="false">
      <c r="A695" s="19" t="s">
        <v>3096</v>
      </c>
      <c r="B695" s="19" t="s">
        <v>943</v>
      </c>
      <c r="C695" s="19" t="s">
        <v>944</v>
      </c>
      <c r="D695" s="19" t="s">
        <v>148</v>
      </c>
      <c r="E695" s="19" t="s">
        <v>147</v>
      </c>
      <c r="F695" s="19" t="s">
        <v>225</v>
      </c>
      <c r="G695" s="19" t="n">
        <v>76</v>
      </c>
      <c r="H695" s="19" t="s">
        <v>226</v>
      </c>
      <c r="I695" s="20" t="n">
        <v>49.1</v>
      </c>
      <c r="J695" s="19" t="n">
        <f aca="false">IF(I695="","",MIN(Overview!$B$8,MAX(1,CEILING(I695/Overview!$B$7,1))))</f>
        <v>10</v>
      </c>
      <c r="K695" s="19" t="n">
        <v>1</v>
      </c>
      <c r="L695" s="19"/>
      <c r="M695" s="20"/>
      <c r="N695" s="19"/>
      <c r="O695" s="19" t="s">
        <v>3097</v>
      </c>
      <c r="P695" s="19" t="s">
        <v>3098</v>
      </c>
      <c r="Q695" s="19" t="s">
        <v>1035</v>
      </c>
      <c r="R695" s="21" t="n">
        <v>45232</v>
      </c>
      <c r="S695" s="19" t="s">
        <v>2533</v>
      </c>
      <c r="T695" s="19" t="s">
        <v>3099</v>
      </c>
      <c r="U695" s="19" t="str">
        <f aca="false">HYPERLINK("https://macaulaylibrary.org/asset/615067297","Open")</f>
        <v>Open</v>
      </c>
      <c r="V695" s="19" t="s">
        <v>3057</v>
      </c>
    </row>
    <row r="696" customFormat="false" ht="15" hidden="false" customHeight="false" outlineLevel="0" collapsed="false">
      <c r="A696" s="19" t="s">
        <v>3100</v>
      </c>
      <c r="B696" s="19" t="s">
        <v>943</v>
      </c>
      <c r="C696" s="19" t="s">
        <v>944</v>
      </c>
      <c r="D696" s="19" t="s">
        <v>148</v>
      </c>
      <c r="E696" s="19" t="s">
        <v>147</v>
      </c>
      <c r="F696" s="19" t="s">
        <v>225</v>
      </c>
      <c r="G696" s="19" t="n">
        <v>76</v>
      </c>
      <c r="H696" s="19" t="s">
        <v>226</v>
      </c>
      <c r="I696" s="20" t="n">
        <v>7.617</v>
      </c>
      <c r="J696" s="19" t="n">
        <f aca="false">IF(I696="","",MIN(Overview!$B$8,MAX(1,CEILING(I696/Overview!$B$7,1))))</f>
        <v>2</v>
      </c>
      <c r="K696" s="19" t="n">
        <v>1</v>
      </c>
      <c r="L696" s="19"/>
      <c r="M696" s="20"/>
      <c r="N696" s="19"/>
      <c r="O696" s="19"/>
      <c r="P696" s="19" t="s">
        <v>3101</v>
      </c>
      <c r="Q696" s="19" t="s">
        <v>1458</v>
      </c>
      <c r="R696" s="21" t="n">
        <v>45174</v>
      </c>
      <c r="S696" s="19" t="s">
        <v>1098</v>
      </c>
      <c r="T696" s="19" t="s">
        <v>3102</v>
      </c>
      <c r="U696" s="19" t="str">
        <f aca="false">HYPERLINK("https://macaulaylibrary.org/asset/618152480","Open")</f>
        <v>Open</v>
      </c>
      <c r="V696" s="19"/>
    </row>
    <row r="697" customFormat="false" ht="15" hidden="false" customHeight="false" outlineLevel="0" collapsed="false">
      <c r="A697" s="19" t="s">
        <v>3103</v>
      </c>
      <c r="B697" s="19" t="s">
        <v>943</v>
      </c>
      <c r="C697" s="19" t="s">
        <v>944</v>
      </c>
      <c r="D697" s="19" t="s">
        <v>148</v>
      </c>
      <c r="E697" s="19" t="s">
        <v>147</v>
      </c>
      <c r="F697" s="19" t="s">
        <v>225</v>
      </c>
      <c r="G697" s="19" t="n">
        <v>76</v>
      </c>
      <c r="H697" s="19" t="s">
        <v>226</v>
      </c>
      <c r="I697" s="20" t="n">
        <v>14.302</v>
      </c>
      <c r="J697" s="19" t="n">
        <f aca="false">IF(I697="","",MIN(Overview!$B$8,MAX(1,CEILING(I697/Overview!$B$7,1))))</f>
        <v>3</v>
      </c>
      <c r="K697" s="19" t="n">
        <v>1</v>
      </c>
      <c r="L697" s="19"/>
      <c r="M697" s="20"/>
      <c r="N697" s="19"/>
      <c r="O697" s="19" t="s">
        <v>151</v>
      </c>
      <c r="P697" s="19" t="s">
        <v>3104</v>
      </c>
      <c r="Q697" s="19" t="s">
        <v>3105</v>
      </c>
      <c r="R697" s="21" t="n">
        <v>45502</v>
      </c>
      <c r="S697" s="19" t="s">
        <v>986</v>
      </c>
      <c r="T697" s="19" t="s">
        <v>3106</v>
      </c>
      <c r="U697" s="19" t="str">
        <f aca="false">HYPERLINK("https://macaulaylibrary.org/asset/622517779","Open")</f>
        <v>Open</v>
      </c>
      <c r="V697" s="19"/>
    </row>
    <row r="698" customFormat="false" ht="15" hidden="false" customHeight="false" outlineLevel="0" collapsed="false">
      <c r="A698" s="19" t="s">
        <v>3107</v>
      </c>
      <c r="B698" s="19" t="s">
        <v>943</v>
      </c>
      <c r="C698" s="19" t="s">
        <v>944</v>
      </c>
      <c r="D698" s="19" t="s">
        <v>148</v>
      </c>
      <c r="E698" s="19" t="s">
        <v>147</v>
      </c>
      <c r="F698" s="19" t="s">
        <v>225</v>
      </c>
      <c r="G698" s="19" t="n">
        <v>76</v>
      </c>
      <c r="H698" s="19" t="s">
        <v>226</v>
      </c>
      <c r="I698" s="20" t="n">
        <v>19.109</v>
      </c>
      <c r="J698" s="19" t="n">
        <f aca="false">IF(I698="","",MIN(Overview!$B$8,MAX(1,CEILING(I698/Overview!$B$7,1))))</f>
        <v>4</v>
      </c>
      <c r="K698" s="19" t="n">
        <v>1</v>
      </c>
      <c r="L698" s="19"/>
      <c r="M698" s="20"/>
      <c r="N698" s="19"/>
      <c r="O698" s="19"/>
      <c r="P698" s="19" t="s">
        <v>3108</v>
      </c>
      <c r="Q698" s="19" t="s">
        <v>3109</v>
      </c>
      <c r="R698" s="21" t="n">
        <v>45543</v>
      </c>
      <c r="S698" s="19" t="s">
        <v>3110</v>
      </c>
      <c r="T698" s="19" t="s">
        <v>3111</v>
      </c>
      <c r="U698" s="19" t="str">
        <f aca="false">HYPERLINK("https://macaulaylibrary.org/asset/623652892","Open")</f>
        <v>Open</v>
      </c>
      <c r="V698" s="19"/>
    </row>
    <row r="699" customFormat="false" ht="15" hidden="false" customHeight="false" outlineLevel="0" collapsed="false">
      <c r="A699" s="19" t="s">
        <v>3112</v>
      </c>
      <c r="B699" s="19" t="s">
        <v>943</v>
      </c>
      <c r="C699" s="19" t="s">
        <v>944</v>
      </c>
      <c r="D699" s="19" t="s">
        <v>148</v>
      </c>
      <c r="E699" s="19" t="s">
        <v>147</v>
      </c>
      <c r="F699" s="19" t="s">
        <v>225</v>
      </c>
      <c r="G699" s="19" t="n">
        <v>76</v>
      </c>
      <c r="H699" s="19" t="s">
        <v>226</v>
      </c>
      <c r="I699" s="20" t="n">
        <v>12.421</v>
      </c>
      <c r="J699" s="19" t="n">
        <f aca="false">IF(I699="","",MIN(Overview!$B$8,MAX(1,CEILING(I699/Overview!$B$7,1))))</f>
        <v>3</v>
      </c>
      <c r="K699" s="19" t="n">
        <v>1</v>
      </c>
      <c r="L699" s="19"/>
      <c r="M699" s="20"/>
      <c r="N699" s="19"/>
      <c r="O699" s="19"/>
      <c r="P699" s="19" t="s">
        <v>3113</v>
      </c>
      <c r="Q699" s="19" t="s">
        <v>3109</v>
      </c>
      <c r="R699" s="21" t="n">
        <v>45542</v>
      </c>
      <c r="S699" s="19" t="s">
        <v>3114</v>
      </c>
      <c r="T699" s="19" t="s">
        <v>3115</v>
      </c>
      <c r="U699" s="19" t="str">
        <f aca="false">HYPERLINK("https://macaulaylibrary.org/asset/623652916","Open")</f>
        <v>Open</v>
      </c>
      <c r="V699" s="19"/>
    </row>
    <row r="700" customFormat="false" ht="15" hidden="false" customHeight="false" outlineLevel="0" collapsed="false">
      <c r="A700" s="19" t="s">
        <v>3116</v>
      </c>
      <c r="B700" s="19" t="s">
        <v>943</v>
      </c>
      <c r="C700" s="19" t="s">
        <v>944</v>
      </c>
      <c r="D700" s="19" t="s">
        <v>148</v>
      </c>
      <c r="E700" s="19" t="s">
        <v>147</v>
      </c>
      <c r="F700" s="19" t="s">
        <v>225</v>
      </c>
      <c r="G700" s="19" t="n">
        <v>76</v>
      </c>
      <c r="H700" s="19" t="s">
        <v>226</v>
      </c>
      <c r="I700" s="20" t="n">
        <v>18.37</v>
      </c>
      <c r="J700" s="19" t="n">
        <f aca="false">IF(I700="","",MIN(Overview!$B$8,MAX(1,CEILING(I700/Overview!$B$7,1))))</f>
        <v>4</v>
      </c>
      <c r="K700" s="19" t="n">
        <v>1</v>
      </c>
      <c r="L700" s="19"/>
      <c r="M700" s="20" t="n">
        <v>3</v>
      </c>
      <c r="N700" s="19"/>
      <c r="O700" s="19"/>
      <c r="P700" s="19" t="s">
        <v>1943</v>
      </c>
      <c r="Q700" s="19" t="s">
        <v>1368</v>
      </c>
      <c r="R700" s="21" t="n">
        <v>45488</v>
      </c>
      <c r="S700" s="19" t="s">
        <v>1936</v>
      </c>
      <c r="T700" s="19" t="s">
        <v>3117</v>
      </c>
      <c r="U700" s="19" t="str">
        <f aca="false">HYPERLINK("https://macaulaylibrary.org/asset/628721211","Open")</f>
        <v>Open</v>
      </c>
      <c r="V700" s="19"/>
    </row>
    <row r="701" customFormat="false" ht="15" hidden="false" customHeight="false" outlineLevel="0" collapsed="false">
      <c r="A701" s="19" t="s">
        <v>3118</v>
      </c>
      <c r="B701" s="19" t="s">
        <v>943</v>
      </c>
      <c r="C701" s="19" t="s">
        <v>944</v>
      </c>
      <c r="D701" s="19" t="s">
        <v>148</v>
      </c>
      <c r="E701" s="19" t="s">
        <v>147</v>
      </c>
      <c r="F701" s="19" t="s">
        <v>225</v>
      </c>
      <c r="G701" s="19" t="n">
        <v>76</v>
      </c>
      <c r="H701" s="19" t="s">
        <v>226</v>
      </c>
      <c r="I701" s="20" t="n">
        <v>33.336</v>
      </c>
      <c r="J701" s="19" t="n">
        <f aca="false">IF(I701="","",MIN(Overview!$B$8,MAX(1,CEILING(I701/Overview!$B$7,1))))</f>
        <v>7</v>
      </c>
      <c r="K701" s="19" t="n">
        <v>1</v>
      </c>
      <c r="L701" s="19"/>
      <c r="M701" s="20" t="n">
        <v>4</v>
      </c>
      <c r="N701" s="19"/>
      <c r="O701" s="19"/>
      <c r="P701" s="19" t="s">
        <v>1811</v>
      </c>
      <c r="Q701" s="19" t="s">
        <v>1368</v>
      </c>
      <c r="R701" s="21" t="n">
        <v>45489</v>
      </c>
      <c r="S701" s="19" t="s">
        <v>1081</v>
      </c>
      <c r="T701" s="19" t="s">
        <v>3119</v>
      </c>
      <c r="U701" s="19" t="str">
        <f aca="false">HYPERLINK("https://macaulaylibrary.org/asset/631662783","Open")</f>
        <v>Open</v>
      </c>
      <c r="V701" s="19"/>
    </row>
    <row r="702" customFormat="false" ht="15" hidden="false" customHeight="false" outlineLevel="0" collapsed="false">
      <c r="A702" s="19" t="s">
        <v>3120</v>
      </c>
      <c r="B702" s="19" t="s">
        <v>943</v>
      </c>
      <c r="C702" s="19" t="s">
        <v>944</v>
      </c>
      <c r="D702" s="19" t="s">
        <v>148</v>
      </c>
      <c r="E702" s="19" t="s">
        <v>147</v>
      </c>
      <c r="F702" s="19" t="s">
        <v>225</v>
      </c>
      <c r="G702" s="19" t="n">
        <v>76</v>
      </c>
      <c r="H702" s="19" t="s">
        <v>226</v>
      </c>
      <c r="I702" s="20" t="n">
        <v>89.046</v>
      </c>
      <c r="J702" s="19" t="n">
        <f aca="false">IF(I702="","",MIN(Overview!$B$8,MAX(1,CEILING(I702/Overview!$B$7,1))))</f>
        <v>18</v>
      </c>
      <c r="K702" s="19" t="n">
        <v>1</v>
      </c>
      <c r="L702" s="19"/>
      <c r="M702" s="20"/>
      <c r="N702" s="19"/>
      <c r="O702" s="19"/>
      <c r="P702" s="19" t="s">
        <v>3121</v>
      </c>
      <c r="Q702" s="19" t="s">
        <v>3122</v>
      </c>
      <c r="R702" s="21" t="n">
        <v>43516</v>
      </c>
      <c r="S702" s="19" t="s">
        <v>2159</v>
      </c>
      <c r="T702" s="19" t="s">
        <v>3123</v>
      </c>
      <c r="U702" s="19" t="str">
        <f aca="false">HYPERLINK("https://macaulaylibrary.org/asset/661204474","Open")</f>
        <v>Open</v>
      </c>
      <c r="V702" s="19"/>
    </row>
    <row r="703" customFormat="false" ht="15" hidden="false" customHeight="false" outlineLevel="0" collapsed="false">
      <c r="A703" s="19" t="s">
        <v>3124</v>
      </c>
      <c r="B703" s="19" t="s">
        <v>943</v>
      </c>
      <c r="C703" s="19" t="s">
        <v>944</v>
      </c>
      <c r="D703" s="19" t="s">
        <v>400</v>
      </c>
      <c r="E703" s="19" t="s">
        <v>147</v>
      </c>
      <c r="F703" s="19" t="s">
        <v>502</v>
      </c>
      <c r="G703" s="19" t="n">
        <v>77</v>
      </c>
      <c r="H703" s="19" t="s">
        <v>503</v>
      </c>
      <c r="I703" s="20" t="n">
        <v>36.466</v>
      </c>
      <c r="J703" s="19" t="n">
        <f aca="false">IF(I703="","",MIN(Overview!$B$8,MAX(1,CEILING(I703/Overview!$B$7,1))))</f>
        <v>8</v>
      </c>
      <c r="K703" s="19" t="n">
        <v>1</v>
      </c>
      <c r="L703" s="19"/>
      <c r="M703" s="20" t="n">
        <v>3</v>
      </c>
      <c r="N703" s="19"/>
      <c r="O703" s="19"/>
      <c r="P703" s="19" t="s">
        <v>1703</v>
      </c>
      <c r="Q703" s="19" t="s">
        <v>1021</v>
      </c>
      <c r="R703" s="21" t="n">
        <v>36601</v>
      </c>
      <c r="S703" s="19" t="s">
        <v>1036</v>
      </c>
      <c r="T703" s="19" t="s">
        <v>3125</v>
      </c>
      <c r="U703" s="19" t="str">
        <f aca="false">HYPERLINK("https://macaulaylibrary.org/asset/152252021","Open")</f>
        <v>Open</v>
      </c>
      <c r="V703" s="19"/>
    </row>
    <row r="704" customFormat="false" ht="15" hidden="false" customHeight="false" outlineLevel="0" collapsed="false">
      <c r="A704" s="19" t="s">
        <v>3126</v>
      </c>
      <c r="B704" s="19" t="s">
        <v>943</v>
      </c>
      <c r="C704" s="19" t="s">
        <v>944</v>
      </c>
      <c r="D704" s="19" t="s">
        <v>400</v>
      </c>
      <c r="E704" s="19" t="s">
        <v>147</v>
      </c>
      <c r="F704" s="19" t="s">
        <v>502</v>
      </c>
      <c r="G704" s="19" t="n">
        <v>77</v>
      </c>
      <c r="H704" s="19" t="s">
        <v>503</v>
      </c>
      <c r="I704" s="20" t="n">
        <v>28.348</v>
      </c>
      <c r="J704" s="19" t="n">
        <f aca="false">IF(I704="","",MIN(Overview!$B$8,MAX(1,CEILING(I704/Overview!$B$7,1))))</f>
        <v>6</v>
      </c>
      <c r="K704" s="19" t="n">
        <v>1</v>
      </c>
      <c r="L704" s="19"/>
      <c r="M704" s="20" t="n">
        <v>4</v>
      </c>
      <c r="N704" s="19"/>
      <c r="O704" s="19"/>
      <c r="P704" s="19" t="s">
        <v>1964</v>
      </c>
      <c r="Q704" s="19" t="s">
        <v>1021</v>
      </c>
      <c r="R704" s="21" t="n">
        <v>36604</v>
      </c>
      <c r="S704" s="19" t="s">
        <v>1081</v>
      </c>
      <c r="T704" s="19" t="s">
        <v>3127</v>
      </c>
      <c r="U704" s="19" t="str">
        <f aca="false">HYPERLINK("https://macaulaylibrary.org/asset/157035561","Open")</f>
        <v>Open</v>
      </c>
      <c r="V704" s="19"/>
    </row>
    <row r="705" customFormat="false" ht="15" hidden="false" customHeight="false" outlineLevel="0" collapsed="false">
      <c r="A705" s="19" t="s">
        <v>3128</v>
      </c>
      <c r="B705" s="19" t="s">
        <v>943</v>
      </c>
      <c r="C705" s="19" t="s">
        <v>944</v>
      </c>
      <c r="D705" s="19" t="s">
        <v>400</v>
      </c>
      <c r="E705" s="19" t="s">
        <v>147</v>
      </c>
      <c r="F705" s="19" t="s">
        <v>502</v>
      </c>
      <c r="G705" s="19" t="n">
        <v>77</v>
      </c>
      <c r="H705" s="19" t="s">
        <v>503</v>
      </c>
      <c r="I705" s="20" t="n">
        <v>21.566</v>
      </c>
      <c r="J705" s="19" t="n">
        <f aca="false">IF(I705="","",MIN(Overview!$B$8,MAX(1,CEILING(I705/Overview!$B$7,1))))</f>
        <v>5</v>
      </c>
      <c r="K705" s="19" t="n">
        <v>1</v>
      </c>
      <c r="L705" s="19"/>
      <c r="M705" s="20"/>
      <c r="N705" s="19"/>
      <c r="O705" s="19"/>
      <c r="P705" s="19" t="s">
        <v>1140</v>
      </c>
      <c r="Q705" s="19" t="s">
        <v>1030</v>
      </c>
      <c r="R705" s="21" t="n">
        <v>40250</v>
      </c>
      <c r="S705" s="19" t="s">
        <v>1550</v>
      </c>
      <c r="T705" s="19" t="s">
        <v>3129</v>
      </c>
      <c r="U705" s="19" t="str">
        <f aca="false">HYPERLINK("https://macaulaylibrary.org/asset/299604","Open")</f>
        <v>Open</v>
      </c>
      <c r="V705" s="19"/>
    </row>
    <row r="706" customFormat="false" ht="15" hidden="false" customHeight="false" outlineLevel="0" collapsed="false">
      <c r="A706" s="19" t="s">
        <v>3130</v>
      </c>
      <c r="B706" s="19" t="s">
        <v>943</v>
      </c>
      <c r="C706" s="19" t="s">
        <v>944</v>
      </c>
      <c r="D706" s="19" t="s">
        <v>400</v>
      </c>
      <c r="E706" s="19" t="s">
        <v>147</v>
      </c>
      <c r="F706" s="19" t="s">
        <v>502</v>
      </c>
      <c r="G706" s="19" t="n">
        <v>77</v>
      </c>
      <c r="H706" s="19" t="s">
        <v>503</v>
      </c>
      <c r="I706" s="20" t="n">
        <v>9.77</v>
      </c>
      <c r="J706" s="19" t="n">
        <f aca="false">IF(I706="","",MIN(Overview!$B$8,MAX(1,CEILING(I706/Overview!$B$7,1))))</f>
        <v>2</v>
      </c>
      <c r="K706" s="19" t="n">
        <v>1</v>
      </c>
      <c r="L706" s="19"/>
      <c r="M706" s="20" t="n">
        <v>2.5</v>
      </c>
      <c r="N706" s="19"/>
      <c r="O706" s="19"/>
      <c r="P706" s="19" t="s">
        <v>1935</v>
      </c>
      <c r="Q706" s="19" t="s">
        <v>1158</v>
      </c>
      <c r="R706" s="21" t="n">
        <v>44942</v>
      </c>
      <c r="S706" s="19" t="s">
        <v>1936</v>
      </c>
      <c r="T706" s="19" t="s">
        <v>3131</v>
      </c>
      <c r="U706" s="19" t="str">
        <f aca="false">HYPERLINK("https://macaulaylibrary.org/asset/543401141","Open")</f>
        <v>Open</v>
      </c>
      <c r="V706" s="19"/>
    </row>
    <row r="707" customFormat="false" ht="15" hidden="false" customHeight="false" outlineLevel="0" collapsed="false">
      <c r="A707" s="19" t="s">
        <v>3132</v>
      </c>
      <c r="B707" s="19" t="s">
        <v>943</v>
      </c>
      <c r="C707" s="19" t="s">
        <v>944</v>
      </c>
      <c r="D707" s="19" t="s">
        <v>400</v>
      </c>
      <c r="E707" s="19" t="s">
        <v>147</v>
      </c>
      <c r="F707" s="19" t="s">
        <v>502</v>
      </c>
      <c r="G707" s="19" t="n">
        <v>77</v>
      </c>
      <c r="H707" s="19" t="s">
        <v>503</v>
      </c>
      <c r="I707" s="20" t="n">
        <v>16.658</v>
      </c>
      <c r="J707" s="19" t="n">
        <f aca="false">IF(I707="","",MIN(Overview!$B$8,MAX(1,CEILING(I707/Overview!$B$7,1))))</f>
        <v>4</v>
      </c>
      <c r="K707" s="19" t="n">
        <v>1</v>
      </c>
      <c r="L707" s="19"/>
      <c r="M707" s="20" t="n">
        <v>1</v>
      </c>
      <c r="N707" s="19"/>
      <c r="O707" s="19"/>
      <c r="P707" s="19" t="s">
        <v>1170</v>
      </c>
      <c r="Q707" s="19" t="s">
        <v>1166</v>
      </c>
      <c r="R707" s="21" t="n">
        <v>44900</v>
      </c>
      <c r="S707" s="19" t="s">
        <v>1092</v>
      </c>
      <c r="T707" s="19" t="s">
        <v>3133</v>
      </c>
      <c r="U707" s="19" t="str">
        <f aca="false">HYPERLINK("https://macaulaylibrary.org/asset/597934881","Open")</f>
        <v>Open</v>
      </c>
      <c r="V707" s="19"/>
    </row>
    <row r="708" customFormat="false" ht="15" hidden="false" customHeight="false" outlineLevel="0" collapsed="false">
      <c r="A708" s="19" t="s">
        <v>3134</v>
      </c>
      <c r="B708" s="19" t="s">
        <v>943</v>
      </c>
      <c r="C708" s="19" t="s">
        <v>944</v>
      </c>
      <c r="D708" s="19" t="s">
        <v>400</v>
      </c>
      <c r="E708" s="19" t="s">
        <v>147</v>
      </c>
      <c r="F708" s="19" t="s">
        <v>502</v>
      </c>
      <c r="G708" s="19" t="n">
        <v>77</v>
      </c>
      <c r="H708" s="19" t="s">
        <v>503</v>
      </c>
      <c r="I708" s="20" t="n">
        <v>51.341</v>
      </c>
      <c r="J708" s="19" t="n">
        <f aca="false">IF(I708="","",MIN(Overview!$B$8,MAX(1,CEILING(I708/Overview!$B$7,1))))</f>
        <v>11</v>
      </c>
      <c r="K708" s="19" t="n">
        <v>1</v>
      </c>
      <c r="L708" s="19"/>
      <c r="M708" s="20" t="n">
        <v>3</v>
      </c>
      <c r="N708" s="19"/>
      <c r="O708" s="19"/>
      <c r="P708" s="19" t="s">
        <v>2750</v>
      </c>
      <c r="Q708" s="19" t="s">
        <v>1021</v>
      </c>
      <c r="R708" s="21" t="n">
        <v>35859</v>
      </c>
      <c r="S708" s="19" t="s">
        <v>1658</v>
      </c>
      <c r="T708" s="19" t="s">
        <v>3135</v>
      </c>
      <c r="U708" s="19" t="str">
        <f aca="false">HYPERLINK("https://macaulaylibrary.org/asset/97066421","Open")</f>
        <v>Open</v>
      </c>
      <c r="V708" s="19"/>
    </row>
    <row r="709" customFormat="false" ht="15" hidden="false" customHeight="false" outlineLevel="0" collapsed="false">
      <c r="A709" s="19" t="s">
        <v>3136</v>
      </c>
      <c r="B709" s="19" t="s">
        <v>943</v>
      </c>
      <c r="C709" s="19" t="s">
        <v>944</v>
      </c>
      <c r="D709" s="19" t="s">
        <v>148</v>
      </c>
      <c r="E709" s="19" t="s">
        <v>147</v>
      </c>
      <c r="F709" s="19" t="s">
        <v>280</v>
      </c>
      <c r="G709" s="19" t="n">
        <v>78</v>
      </c>
      <c r="H709" s="19" t="s">
        <v>281</v>
      </c>
      <c r="I709" s="20" t="n">
        <v>104.274</v>
      </c>
      <c r="J709" s="19" t="n">
        <f aca="false">IF(I709="","",MIN(Overview!$B$8,MAX(1,CEILING(I709/Overview!$B$7,1))))</f>
        <v>21</v>
      </c>
      <c r="K709" s="19" t="n">
        <v>1</v>
      </c>
      <c r="L709" s="19"/>
      <c r="M709" s="20" t="n">
        <v>3</v>
      </c>
      <c r="N709" s="19"/>
      <c r="O709" s="19"/>
      <c r="P709" s="19" t="s">
        <v>1698</v>
      </c>
      <c r="Q709" s="19" t="s">
        <v>1021</v>
      </c>
      <c r="R709" s="21" t="n">
        <v>36599</v>
      </c>
      <c r="S709" s="19" t="s">
        <v>1036</v>
      </c>
      <c r="T709" s="19" t="s">
        <v>3137</v>
      </c>
      <c r="U709" s="19" t="str">
        <f aca="false">HYPERLINK("https://macaulaylibrary.org/asset/150738441","Open")</f>
        <v>Open</v>
      </c>
      <c r="V709" s="19"/>
    </row>
    <row r="710" customFormat="false" ht="15" hidden="false" customHeight="false" outlineLevel="0" collapsed="false">
      <c r="A710" s="19" t="s">
        <v>3138</v>
      </c>
      <c r="B710" s="19" t="s">
        <v>943</v>
      </c>
      <c r="C710" s="19" t="s">
        <v>944</v>
      </c>
      <c r="D710" s="19" t="s">
        <v>148</v>
      </c>
      <c r="E710" s="19" t="s">
        <v>147</v>
      </c>
      <c r="F710" s="19" t="s">
        <v>280</v>
      </c>
      <c r="G710" s="19" t="n">
        <v>78</v>
      </c>
      <c r="H710" s="19" t="s">
        <v>281</v>
      </c>
      <c r="I710" s="20" t="n">
        <v>102.175</v>
      </c>
      <c r="J710" s="19" t="n">
        <f aca="false">IF(I710="","",MIN(Overview!$B$8,MAX(1,CEILING(I710/Overview!$B$7,1))))</f>
        <v>21</v>
      </c>
      <c r="K710" s="19" t="n">
        <v>1</v>
      </c>
      <c r="L710" s="19"/>
      <c r="M710" s="20" t="n">
        <v>3.67</v>
      </c>
      <c r="N710" s="19"/>
      <c r="O710" s="19"/>
      <c r="P710" s="19" t="s">
        <v>1703</v>
      </c>
      <c r="Q710" s="19" t="s">
        <v>1021</v>
      </c>
      <c r="R710" s="21" t="n">
        <v>36601</v>
      </c>
      <c r="S710" s="19" t="s">
        <v>1036</v>
      </c>
      <c r="T710" s="19" t="s">
        <v>3139</v>
      </c>
      <c r="U710" s="19" t="str">
        <f aca="false">HYPERLINK("https://macaulaylibrary.org/asset/152753281","Open")</f>
        <v>Open</v>
      </c>
      <c r="V710" s="19"/>
    </row>
    <row r="711" customFormat="false" ht="15" hidden="false" customHeight="false" outlineLevel="0" collapsed="false">
      <c r="A711" s="19" t="s">
        <v>3140</v>
      </c>
      <c r="B711" s="19" t="s">
        <v>943</v>
      </c>
      <c r="C711" s="19" t="s">
        <v>944</v>
      </c>
      <c r="D711" s="19" t="s">
        <v>148</v>
      </c>
      <c r="E711" s="19" t="s">
        <v>147</v>
      </c>
      <c r="F711" s="19" t="s">
        <v>280</v>
      </c>
      <c r="G711" s="19" t="n">
        <v>78</v>
      </c>
      <c r="H711" s="19" t="s">
        <v>281</v>
      </c>
      <c r="I711" s="20" t="n">
        <v>63.429</v>
      </c>
      <c r="J711" s="19" t="n">
        <f aca="false">IF(I711="","",MIN(Overview!$B$8,MAX(1,CEILING(I711/Overview!$B$7,1))))</f>
        <v>13</v>
      </c>
      <c r="K711" s="19" t="n">
        <v>1</v>
      </c>
      <c r="L711" s="19"/>
      <c r="M711" s="20" t="n">
        <v>4</v>
      </c>
      <c r="N711" s="19"/>
      <c r="O711" s="19"/>
      <c r="P711" s="19" t="s">
        <v>1879</v>
      </c>
      <c r="Q711" s="19" t="s">
        <v>975</v>
      </c>
      <c r="R711" s="21" t="n">
        <v>43665</v>
      </c>
      <c r="S711" s="19" t="s">
        <v>1880</v>
      </c>
      <c r="T711" s="19" t="s">
        <v>3141</v>
      </c>
      <c r="U711" s="19" t="str">
        <f aca="false">HYPERLINK("https://macaulaylibrary.org/asset/179453921","Open")</f>
        <v>Open</v>
      </c>
      <c r="V711" s="19"/>
    </row>
    <row r="712" customFormat="false" ht="15" hidden="false" customHeight="false" outlineLevel="0" collapsed="false">
      <c r="A712" s="19" t="s">
        <v>3142</v>
      </c>
      <c r="B712" s="19" t="s">
        <v>943</v>
      </c>
      <c r="C712" s="19" t="s">
        <v>944</v>
      </c>
      <c r="D712" s="19" t="s">
        <v>148</v>
      </c>
      <c r="E712" s="19" t="s">
        <v>147</v>
      </c>
      <c r="F712" s="19" t="s">
        <v>280</v>
      </c>
      <c r="G712" s="19" t="n">
        <v>78</v>
      </c>
      <c r="H712" s="19" t="s">
        <v>281</v>
      </c>
      <c r="I712" s="20" t="n">
        <v>99.467</v>
      </c>
      <c r="J712" s="19" t="n">
        <f aca="false">IF(I712="","",MIN(Overview!$B$8,MAX(1,CEILING(I712/Overview!$B$7,1))))</f>
        <v>20</v>
      </c>
      <c r="K712" s="19" t="n">
        <v>1</v>
      </c>
      <c r="L712" s="19"/>
      <c r="M712" s="20" t="n">
        <v>2</v>
      </c>
      <c r="N712" s="19"/>
      <c r="O712" s="19" t="s">
        <v>3143</v>
      </c>
      <c r="P712" s="19" t="s">
        <v>3144</v>
      </c>
      <c r="Q712" s="19" t="s">
        <v>1136</v>
      </c>
      <c r="R712" s="21" t="n">
        <v>29736</v>
      </c>
      <c r="S712" s="19" t="s">
        <v>976</v>
      </c>
      <c r="T712" s="19" t="s">
        <v>3145</v>
      </c>
      <c r="U712" s="19" t="str">
        <f aca="false">HYPERLINK("https://macaulaylibrary.org/asset/26397","Open")</f>
        <v>Open</v>
      </c>
      <c r="V712" s="19"/>
    </row>
    <row r="713" customFormat="false" ht="15" hidden="false" customHeight="false" outlineLevel="0" collapsed="false">
      <c r="A713" s="19" t="s">
        <v>3146</v>
      </c>
      <c r="B713" s="19" t="s">
        <v>943</v>
      </c>
      <c r="C713" s="19" t="s">
        <v>944</v>
      </c>
      <c r="D713" s="19" t="s">
        <v>148</v>
      </c>
      <c r="E713" s="19" t="s">
        <v>147</v>
      </c>
      <c r="F713" s="19" t="s">
        <v>280</v>
      </c>
      <c r="G713" s="19" t="n">
        <v>78</v>
      </c>
      <c r="H713" s="19" t="s">
        <v>281</v>
      </c>
      <c r="I713" s="20" t="n">
        <v>8.043</v>
      </c>
      <c r="J713" s="19" t="n">
        <f aca="false">IF(I713="","",MIN(Overview!$B$8,MAX(1,CEILING(I713/Overview!$B$7,1))))</f>
        <v>2</v>
      </c>
      <c r="K713" s="19" t="n">
        <v>1</v>
      </c>
      <c r="L713" s="19"/>
      <c r="M713" s="20" t="n">
        <v>4</v>
      </c>
      <c r="N713" s="19"/>
      <c r="O713" s="19"/>
      <c r="P713" s="19" t="s">
        <v>3147</v>
      </c>
      <c r="Q713" s="19" t="s">
        <v>965</v>
      </c>
      <c r="R713" s="21" t="n">
        <v>44184</v>
      </c>
      <c r="S713" s="19" t="s">
        <v>1137</v>
      </c>
      <c r="T713" s="19" t="s">
        <v>3148</v>
      </c>
      <c r="U713" s="19" t="str">
        <f aca="false">HYPERLINK("https://macaulaylibrary.org/asset/289819451","Open")</f>
        <v>Open</v>
      </c>
      <c r="V713" s="19"/>
    </row>
    <row r="714" customFormat="false" ht="15" hidden="false" customHeight="false" outlineLevel="0" collapsed="false">
      <c r="A714" s="19" t="s">
        <v>3149</v>
      </c>
      <c r="B714" s="19" t="s">
        <v>943</v>
      </c>
      <c r="C714" s="19" t="s">
        <v>944</v>
      </c>
      <c r="D714" s="19" t="s">
        <v>148</v>
      </c>
      <c r="E714" s="19" t="s">
        <v>147</v>
      </c>
      <c r="F714" s="19" t="s">
        <v>280</v>
      </c>
      <c r="G714" s="19" t="n">
        <v>78</v>
      </c>
      <c r="H714" s="19" t="s">
        <v>281</v>
      </c>
      <c r="I714" s="20" t="n">
        <v>20.157</v>
      </c>
      <c r="J714" s="19" t="n">
        <f aca="false">IF(I714="","",MIN(Overview!$B$8,MAX(1,CEILING(I714/Overview!$B$7,1))))</f>
        <v>5</v>
      </c>
      <c r="K714" s="19" t="n">
        <v>1</v>
      </c>
      <c r="L714" s="19"/>
      <c r="M714" s="20" t="n">
        <v>3</v>
      </c>
      <c r="N714" s="19"/>
      <c r="O714" s="19"/>
      <c r="P714" s="19" t="s">
        <v>2084</v>
      </c>
      <c r="Q714" s="19" t="s">
        <v>2085</v>
      </c>
      <c r="R714" s="21" t="n">
        <v>44184</v>
      </c>
      <c r="S714" s="19" t="s">
        <v>1137</v>
      </c>
      <c r="T714" s="19" t="s">
        <v>3150</v>
      </c>
      <c r="U714" s="19" t="str">
        <f aca="false">HYPERLINK("https://macaulaylibrary.org/asset/297140711","Open")</f>
        <v>Open</v>
      </c>
      <c r="V714" s="19"/>
    </row>
    <row r="715" customFormat="false" ht="15" hidden="false" customHeight="false" outlineLevel="0" collapsed="false">
      <c r="A715" s="19" t="s">
        <v>3151</v>
      </c>
      <c r="B715" s="19" t="s">
        <v>943</v>
      </c>
      <c r="C715" s="19" t="s">
        <v>944</v>
      </c>
      <c r="D715" s="19" t="s">
        <v>148</v>
      </c>
      <c r="E715" s="19" t="s">
        <v>147</v>
      </c>
      <c r="F715" s="19" t="s">
        <v>280</v>
      </c>
      <c r="G715" s="19" t="n">
        <v>78</v>
      </c>
      <c r="H715" s="19" t="s">
        <v>281</v>
      </c>
      <c r="I715" s="20" t="n">
        <v>53.777</v>
      </c>
      <c r="J715" s="19" t="n">
        <f aca="false">IF(I715="","",MIN(Overview!$B$8,MAX(1,CEILING(I715/Overview!$B$7,1))))</f>
        <v>11</v>
      </c>
      <c r="K715" s="19" t="n">
        <v>1</v>
      </c>
      <c r="L715" s="19"/>
      <c r="M715" s="20" t="n">
        <v>3</v>
      </c>
      <c r="N715" s="19"/>
      <c r="O715" s="19"/>
      <c r="P715" s="19" t="s">
        <v>3152</v>
      </c>
      <c r="Q715" s="19" t="s">
        <v>1408</v>
      </c>
      <c r="R715" s="21" t="n">
        <v>31807</v>
      </c>
      <c r="S715" s="19" t="s">
        <v>1009</v>
      </c>
      <c r="T715" s="19" t="s">
        <v>3153</v>
      </c>
      <c r="U715" s="19" t="str">
        <f aca="false">HYPERLINK("https://macaulaylibrary.org/asset/306059561","Open")</f>
        <v>Open</v>
      </c>
      <c r="V715" s="19"/>
    </row>
    <row r="716" customFormat="false" ht="15" hidden="false" customHeight="false" outlineLevel="0" collapsed="false">
      <c r="A716" s="19" t="s">
        <v>3154</v>
      </c>
      <c r="B716" s="19" t="s">
        <v>943</v>
      </c>
      <c r="C716" s="19" t="s">
        <v>944</v>
      </c>
      <c r="D716" s="19" t="s">
        <v>148</v>
      </c>
      <c r="E716" s="19" t="s">
        <v>147</v>
      </c>
      <c r="F716" s="19" t="s">
        <v>280</v>
      </c>
      <c r="G716" s="19" t="n">
        <v>78</v>
      </c>
      <c r="H716" s="19" t="s">
        <v>281</v>
      </c>
      <c r="I716" s="20" t="n">
        <v>17.916</v>
      </c>
      <c r="J716" s="19" t="n">
        <f aca="false">IF(I716="","",MIN(Overview!$B$8,MAX(1,CEILING(I716/Overview!$B$7,1))))</f>
        <v>4</v>
      </c>
      <c r="K716" s="19" t="n">
        <v>1</v>
      </c>
      <c r="L716" s="19"/>
      <c r="M716" s="20" t="n">
        <v>3</v>
      </c>
      <c r="N716" s="19"/>
      <c r="O716" s="19"/>
      <c r="P716" s="19" t="s">
        <v>2381</v>
      </c>
      <c r="Q716" s="19" t="s">
        <v>1408</v>
      </c>
      <c r="R716" s="21" t="n">
        <v>32098</v>
      </c>
      <c r="S716" s="19" t="s">
        <v>1009</v>
      </c>
      <c r="T716" s="19" t="s">
        <v>3155</v>
      </c>
      <c r="U716" s="19" t="str">
        <f aca="false">HYPERLINK("https://macaulaylibrary.org/asset/338504411","Open")</f>
        <v>Open</v>
      </c>
      <c r="V716" s="19"/>
    </row>
    <row r="717" customFormat="false" ht="15" hidden="false" customHeight="false" outlineLevel="0" collapsed="false">
      <c r="A717" s="19" t="s">
        <v>3156</v>
      </c>
      <c r="B717" s="19" t="s">
        <v>943</v>
      </c>
      <c r="C717" s="19" t="s">
        <v>944</v>
      </c>
      <c r="D717" s="19" t="s">
        <v>148</v>
      </c>
      <c r="E717" s="19" t="s">
        <v>147</v>
      </c>
      <c r="F717" s="19" t="s">
        <v>280</v>
      </c>
      <c r="G717" s="19" t="n">
        <v>78</v>
      </c>
      <c r="H717" s="19" t="s">
        <v>281</v>
      </c>
      <c r="I717" s="20" t="n">
        <v>34.081</v>
      </c>
      <c r="J717" s="19" t="n">
        <f aca="false">IF(I717="","",MIN(Overview!$B$8,MAX(1,CEILING(I717/Overview!$B$7,1))))</f>
        <v>7</v>
      </c>
      <c r="K717" s="19" t="n">
        <v>1</v>
      </c>
      <c r="L717" s="19"/>
      <c r="M717" s="20" t="n">
        <v>4</v>
      </c>
      <c r="N717" s="19"/>
      <c r="O717" s="19"/>
      <c r="P717" s="19" t="s">
        <v>1787</v>
      </c>
      <c r="Q717" s="19" t="s">
        <v>1408</v>
      </c>
      <c r="R717" s="21" t="n">
        <v>32588</v>
      </c>
      <c r="S717" s="19" t="s">
        <v>1369</v>
      </c>
      <c r="T717" s="19" t="s">
        <v>3157</v>
      </c>
      <c r="U717" s="19" t="str">
        <f aca="false">HYPERLINK("https://macaulaylibrary.org/asset/348002801","Open")</f>
        <v>Open</v>
      </c>
      <c r="V717" s="19"/>
    </row>
    <row r="718" customFormat="false" ht="15" hidden="false" customHeight="false" outlineLevel="0" collapsed="false">
      <c r="A718" s="19" t="s">
        <v>3158</v>
      </c>
      <c r="B718" s="19" t="s">
        <v>943</v>
      </c>
      <c r="C718" s="19" t="s">
        <v>944</v>
      </c>
      <c r="D718" s="19" t="s">
        <v>148</v>
      </c>
      <c r="E718" s="19" t="s">
        <v>147</v>
      </c>
      <c r="F718" s="19" t="s">
        <v>280</v>
      </c>
      <c r="G718" s="19" t="n">
        <v>78</v>
      </c>
      <c r="H718" s="19" t="s">
        <v>281</v>
      </c>
      <c r="I718" s="20" t="n">
        <v>47.393</v>
      </c>
      <c r="J718" s="19" t="n">
        <f aca="false">IF(I718="","",MIN(Overview!$B$8,MAX(1,CEILING(I718/Overview!$B$7,1))))</f>
        <v>10</v>
      </c>
      <c r="K718" s="19" t="n">
        <v>1</v>
      </c>
      <c r="L718" s="19"/>
      <c r="M718" s="20"/>
      <c r="N718" s="19"/>
      <c r="O718" s="19"/>
      <c r="P718" s="19" t="s">
        <v>3159</v>
      </c>
      <c r="Q718" s="19" t="s">
        <v>1076</v>
      </c>
      <c r="R718" s="21" t="n">
        <v>43398</v>
      </c>
      <c r="S718" s="19" t="s">
        <v>1275</v>
      </c>
      <c r="T718" s="19" t="s">
        <v>3160</v>
      </c>
      <c r="U718" s="19" t="str">
        <f aca="false">HYPERLINK("https://macaulaylibrary.org/asset/471210181","Open")</f>
        <v>Open</v>
      </c>
      <c r="V718" s="19"/>
    </row>
    <row r="719" customFormat="false" ht="15" hidden="false" customHeight="false" outlineLevel="0" collapsed="false">
      <c r="A719" s="19" t="s">
        <v>3161</v>
      </c>
      <c r="B719" s="19" t="s">
        <v>943</v>
      </c>
      <c r="C719" s="19" t="s">
        <v>944</v>
      </c>
      <c r="D719" s="19" t="s">
        <v>148</v>
      </c>
      <c r="E719" s="19" t="s">
        <v>147</v>
      </c>
      <c r="F719" s="19" t="s">
        <v>280</v>
      </c>
      <c r="G719" s="19" t="n">
        <v>78</v>
      </c>
      <c r="H719" s="19" t="s">
        <v>281</v>
      </c>
      <c r="I719" s="20" t="n">
        <v>35.883</v>
      </c>
      <c r="J719" s="19" t="n">
        <f aca="false">IF(I719="","",MIN(Overview!$B$8,MAX(1,CEILING(I719/Overview!$B$7,1))))</f>
        <v>8</v>
      </c>
      <c r="K719" s="19" t="n">
        <v>1</v>
      </c>
      <c r="L719" s="19"/>
      <c r="M719" s="20" t="n">
        <v>5</v>
      </c>
      <c r="N719" s="19"/>
      <c r="O719" s="19"/>
      <c r="P719" s="19" t="s">
        <v>3027</v>
      </c>
      <c r="Q719" s="19" t="s">
        <v>965</v>
      </c>
      <c r="R719" s="21" t="n">
        <v>44912</v>
      </c>
      <c r="S719" s="19" t="s">
        <v>957</v>
      </c>
      <c r="T719" s="19" t="s">
        <v>3162</v>
      </c>
      <c r="U719" s="19" t="str">
        <f aca="false">HYPERLINK("https://macaulaylibrary.org/asset/514042681","Open")</f>
        <v>Open</v>
      </c>
      <c r="V719" s="19"/>
    </row>
    <row r="720" customFormat="false" ht="15" hidden="false" customHeight="false" outlineLevel="0" collapsed="false">
      <c r="A720" s="19" t="s">
        <v>3163</v>
      </c>
      <c r="B720" s="19" t="s">
        <v>943</v>
      </c>
      <c r="C720" s="19" t="s">
        <v>944</v>
      </c>
      <c r="D720" s="19" t="s">
        <v>148</v>
      </c>
      <c r="E720" s="19" t="s">
        <v>147</v>
      </c>
      <c r="F720" s="19" t="s">
        <v>280</v>
      </c>
      <c r="G720" s="19" t="n">
        <v>78</v>
      </c>
      <c r="H720" s="19" t="s">
        <v>281</v>
      </c>
      <c r="I720" s="20" t="n">
        <v>125.052</v>
      </c>
      <c r="J720" s="19" t="n">
        <f aca="false">IF(I720="","",MIN(Overview!$B$8,MAX(1,CEILING(I720/Overview!$B$7,1))))</f>
        <v>26</v>
      </c>
      <c r="K720" s="19" t="n">
        <v>1</v>
      </c>
      <c r="L720" s="19"/>
      <c r="M720" s="20" t="n">
        <v>3.5</v>
      </c>
      <c r="N720" s="19"/>
      <c r="O720" s="19"/>
      <c r="P720" s="19" t="s">
        <v>3164</v>
      </c>
      <c r="Q720" s="19" t="s">
        <v>1040</v>
      </c>
      <c r="R720" s="21" t="n">
        <v>41268</v>
      </c>
      <c r="S720" s="19" t="s">
        <v>1002</v>
      </c>
      <c r="T720" s="19" t="s">
        <v>3165</v>
      </c>
      <c r="U720" s="19" t="str">
        <f aca="false">HYPERLINK("https://macaulaylibrary.org/asset/609059108","Open")</f>
        <v>Open</v>
      </c>
      <c r="V720" s="19"/>
    </row>
    <row r="721" customFormat="false" ht="15" hidden="false" customHeight="false" outlineLevel="0" collapsed="false">
      <c r="A721" s="19" t="s">
        <v>3166</v>
      </c>
      <c r="B721" s="19" t="s">
        <v>943</v>
      </c>
      <c r="C721" s="19" t="s">
        <v>944</v>
      </c>
      <c r="D721" s="19" t="s">
        <v>148</v>
      </c>
      <c r="E721" s="19" t="s">
        <v>147</v>
      </c>
      <c r="F721" s="19" t="s">
        <v>280</v>
      </c>
      <c r="G721" s="19" t="n">
        <v>78</v>
      </c>
      <c r="H721" s="19" t="s">
        <v>281</v>
      </c>
      <c r="I721" s="20" t="n">
        <v>15.778</v>
      </c>
      <c r="J721" s="19" t="n">
        <f aca="false">IF(I721="","",MIN(Overview!$B$8,MAX(1,CEILING(I721/Overview!$B$7,1))))</f>
        <v>4</v>
      </c>
      <c r="K721" s="19" t="n">
        <v>1</v>
      </c>
      <c r="L721" s="19"/>
      <c r="M721" s="20" t="n">
        <v>3</v>
      </c>
      <c r="N721" s="19"/>
      <c r="O721" s="19"/>
      <c r="P721" s="19" t="s">
        <v>3167</v>
      </c>
      <c r="Q721" s="19" t="s">
        <v>2085</v>
      </c>
      <c r="R721" s="21" t="n">
        <v>45277</v>
      </c>
      <c r="S721" s="19" t="s">
        <v>1022</v>
      </c>
      <c r="T721" s="19" t="s">
        <v>3168</v>
      </c>
      <c r="U721" s="19" t="str">
        <f aca="false">HYPERLINK("https://macaulaylibrary.org/asset/613171016","Open")</f>
        <v>Open</v>
      </c>
      <c r="V721" s="19"/>
    </row>
    <row r="722" customFormat="false" ht="15" hidden="false" customHeight="false" outlineLevel="0" collapsed="false">
      <c r="A722" s="19" t="s">
        <v>3169</v>
      </c>
      <c r="B722" s="19" t="s">
        <v>943</v>
      </c>
      <c r="C722" s="19" t="s">
        <v>944</v>
      </c>
      <c r="D722" s="19" t="s">
        <v>148</v>
      </c>
      <c r="E722" s="19" t="s">
        <v>147</v>
      </c>
      <c r="F722" s="19" t="s">
        <v>280</v>
      </c>
      <c r="G722" s="19" t="n">
        <v>78</v>
      </c>
      <c r="H722" s="19" t="s">
        <v>281</v>
      </c>
      <c r="I722" s="20" t="n">
        <v>16.8</v>
      </c>
      <c r="J722" s="19" t="n">
        <f aca="false">IF(I722="","",MIN(Overview!$B$8,MAX(1,CEILING(I722/Overview!$B$7,1))))</f>
        <v>4</v>
      </c>
      <c r="K722" s="19" t="n">
        <v>1</v>
      </c>
      <c r="L722" s="19"/>
      <c r="M722" s="20" t="n">
        <v>4.5</v>
      </c>
      <c r="N722" s="19"/>
      <c r="O722" s="19"/>
      <c r="P722" s="19" t="s">
        <v>3170</v>
      </c>
      <c r="Q722" s="19" t="s">
        <v>965</v>
      </c>
      <c r="R722" s="21" t="n">
        <v>45641</v>
      </c>
      <c r="S722" s="19" t="s">
        <v>966</v>
      </c>
      <c r="T722" s="19" t="s">
        <v>3171</v>
      </c>
      <c r="U722" s="19" t="str">
        <f aca="false">HYPERLINK("https://macaulaylibrary.org/asset/627958260","Open")</f>
        <v>Open</v>
      </c>
      <c r="V722" s="19"/>
    </row>
    <row r="723" customFormat="false" ht="15" hidden="false" customHeight="false" outlineLevel="0" collapsed="false">
      <c r="A723" s="19" t="s">
        <v>3172</v>
      </c>
      <c r="B723" s="19" t="s">
        <v>943</v>
      </c>
      <c r="C723" s="19" t="s">
        <v>944</v>
      </c>
      <c r="D723" s="19" t="s">
        <v>148</v>
      </c>
      <c r="E723" s="19" t="s">
        <v>147</v>
      </c>
      <c r="F723" s="19" t="s">
        <v>280</v>
      </c>
      <c r="G723" s="19" t="n">
        <v>78</v>
      </c>
      <c r="H723" s="19" t="s">
        <v>281</v>
      </c>
      <c r="I723" s="20" t="n">
        <v>16.824</v>
      </c>
      <c r="J723" s="19" t="n">
        <f aca="false">IF(I723="","",MIN(Overview!$B$8,MAX(1,CEILING(I723/Overview!$B$7,1))))</f>
        <v>4</v>
      </c>
      <c r="K723" s="19" t="n">
        <v>1</v>
      </c>
      <c r="L723" s="19"/>
      <c r="M723" s="20" t="n">
        <v>1</v>
      </c>
      <c r="N723" s="19"/>
      <c r="O723" s="19"/>
      <c r="P723" s="19" t="s">
        <v>3173</v>
      </c>
      <c r="Q723" s="19" t="s">
        <v>3174</v>
      </c>
      <c r="R723" s="21" t="n">
        <v>46072</v>
      </c>
      <c r="S723" s="19" t="s">
        <v>3175</v>
      </c>
      <c r="T723" s="19" t="s">
        <v>3176</v>
      </c>
      <c r="U723" s="19" t="str">
        <f aca="false">HYPERLINK("https://macaulaylibrary.org/asset/651311587","Open")</f>
        <v>Open</v>
      </c>
      <c r="V723" s="19"/>
    </row>
    <row r="724" customFormat="false" ht="15" hidden="false" customHeight="false" outlineLevel="0" collapsed="false">
      <c r="A724" s="19" t="s">
        <v>3177</v>
      </c>
      <c r="B724" s="19" t="s">
        <v>943</v>
      </c>
      <c r="C724" s="19" t="s">
        <v>944</v>
      </c>
      <c r="D724" s="19" t="s">
        <v>400</v>
      </c>
      <c r="E724" s="19" t="s">
        <v>147</v>
      </c>
      <c r="F724" s="19" t="s">
        <v>649</v>
      </c>
      <c r="G724" s="19" t="n">
        <v>79</v>
      </c>
      <c r="H724" s="19" t="s">
        <v>650</v>
      </c>
      <c r="I724" s="20" t="n">
        <v>47.722</v>
      </c>
      <c r="J724" s="19" t="n">
        <f aca="false">IF(I724="","",MIN(Overview!$B$8,MAX(1,CEILING(I724/Overview!$B$7,1))))</f>
        <v>10</v>
      </c>
      <c r="K724" s="19" t="n">
        <v>1</v>
      </c>
      <c r="L724" s="19"/>
      <c r="M724" s="20" t="n">
        <v>2.5</v>
      </c>
      <c r="N724" s="19"/>
      <c r="O724" s="19"/>
      <c r="P724" s="19" t="s">
        <v>1147</v>
      </c>
      <c r="Q724" s="19" t="s">
        <v>1148</v>
      </c>
      <c r="R724" s="21" t="n">
        <v>44842</v>
      </c>
      <c r="S724" s="19" t="s">
        <v>1149</v>
      </c>
      <c r="T724" s="19" t="s">
        <v>3178</v>
      </c>
      <c r="U724" s="19" t="str">
        <f aca="false">HYPERLINK("https://macaulaylibrary.org/asset/492725501","Open")</f>
        <v>Open</v>
      </c>
      <c r="V724" s="19"/>
    </row>
    <row r="725" customFormat="false" ht="15" hidden="false" customHeight="false" outlineLevel="0" collapsed="false">
      <c r="A725" s="19" t="s">
        <v>3179</v>
      </c>
      <c r="B725" s="19" t="s">
        <v>943</v>
      </c>
      <c r="C725" s="19" t="s">
        <v>944</v>
      </c>
      <c r="D725" s="19" t="s">
        <v>400</v>
      </c>
      <c r="E725" s="19" t="s">
        <v>147</v>
      </c>
      <c r="F725" s="19" t="s">
        <v>649</v>
      </c>
      <c r="G725" s="19" t="n">
        <v>79</v>
      </c>
      <c r="H725" s="19" t="s">
        <v>650</v>
      </c>
      <c r="I725" s="20" t="n">
        <v>16.409</v>
      </c>
      <c r="J725" s="19" t="n">
        <f aca="false">IF(I725="","",MIN(Overview!$B$8,MAX(1,CEILING(I725/Overview!$B$7,1))))</f>
        <v>4</v>
      </c>
      <c r="K725" s="19" t="n">
        <v>1</v>
      </c>
      <c r="L725" s="19"/>
      <c r="M725" s="20" t="n">
        <v>2</v>
      </c>
      <c r="N725" s="19"/>
      <c r="O725" s="19"/>
      <c r="P725" s="19" t="s">
        <v>1049</v>
      </c>
      <c r="Q725" s="19" t="s">
        <v>1050</v>
      </c>
      <c r="R725" s="21" t="n">
        <v>43406</v>
      </c>
      <c r="S725" s="19" t="s">
        <v>1051</v>
      </c>
      <c r="T725" s="19" t="s">
        <v>3180</v>
      </c>
      <c r="U725" s="19" t="str">
        <f aca="false">HYPERLINK("https://macaulaylibrary.org/asset/662832791","Open")</f>
        <v>Open</v>
      </c>
      <c r="V725" s="19"/>
    </row>
    <row r="726" customFormat="false" ht="15" hidden="false" customHeight="false" outlineLevel="0" collapsed="false">
      <c r="A726" s="19" t="s">
        <v>3181</v>
      </c>
      <c r="B726" s="19" t="s">
        <v>943</v>
      </c>
      <c r="C726" s="19" t="s">
        <v>944</v>
      </c>
      <c r="D726" s="19" t="s">
        <v>400</v>
      </c>
      <c r="E726" s="19" t="s">
        <v>147</v>
      </c>
      <c r="F726" s="19" t="s">
        <v>562</v>
      </c>
      <c r="G726" s="19" t="n">
        <v>80</v>
      </c>
      <c r="H726" s="19" t="s">
        <v>563</v>
      </c>
      <c r="I726" s="20" t="n">
        <v>3.245</v>
      </c>
      <c r="J726" s="19" t="n">
        <f aca="false">IF(I726="","",MIN(Overview!$B$8,MAX(1,CEILING(I726/Overview!$B$7,1))))</f>
        <v>1</v>
      </c>
      <c r="K726" s="19" t="n">
        <v>1</v>
      </c>
      <c r="L726" s="19" t="s">
        <v>1048</v>
      </c>
      <c r="M726" s="20" t="n">
        <v>1.67</v>
      </c>
      <c r="N726" s="19"/>
      <c r="O726" s="19"/>
      <c r="P726" s="19" t="s">
        <v>1879</v>
      </c>
      <c r="Q726" s="19" t="s">
        <v>975</v>
      </c>
      <c r="R726" s="21" t="n">
        <v>43665</v>
      </c>
      <c r="S726" s="19" t="s">
        <v>1880</v>
      </c>
      <c r="T726" s="19" t="s">
        <v>3182</v>
      </c>
      <c r="U726" s="19" t="str">
        <f aca="false">HYPERLINK("https://macaulaylibrary.org/asset/179453701","Open")</f>
        <v>Open</v>
      </c>
      <c r="V726" s="19"/>
    </row>
    <row r="727" customFormat="false" ht="15" hidden="false" customHeight="false" outlineLevel="0" collapsed="false">
      <c r="A727" s="19" t="s">
        <v>3183</v>
      </c>
      <c r="B727" s="19" t="s">
        <v>943</v>
      </c>
      <c r="C727" s="19" t="s">
        <v>944</v>
      </c>
      <c r="D727" s="19" t="s">
        <v>400</v>
      </c>
      <c r="E727" s="19" t="s">
        <v>147</v>
      </c>
      <c r="F727" s="19" t="s">
        <v>562</v>
      </c>
      <c r="G727" s="19" t="n">
        <v>80</v>
      </c>
      <c r="H727" s="19" t="s">
        <v>563</v>
      </c>
      <c r="I727" s="20" t="n">
        <v>17.901</v>
      </c>
      <c r="J727" s="19" t="n">
        <f aca="false">IF(I727="","",MIN(Overview!$B$8,MAX(1,CEILING(I727/Overview!$B$7,1))))</f>
        <v>4</v>
      </c>
      <c r="K727" s="19" t="n">
        <v>1</v>
      </c>
      <c r="L727" s="19"/>
      <c r="M727" s="20" t="n">
        <v>3.33</v>
      </c>
      <c r="N727" s="19"/>
      <c r="O727" s="19"/>
      <c r="P727" s="19" t="s">
        <v>1029</v>
      </c>
      <c r="Q727" s="19" t="s">
        <v>1030</v>
      </c>
      <c r="R727" s="21" t="n">
        <v>40251</v>
      </c>
      <c r="S727" s="19" t="s">
        <v>1369</v>
      </c>
      <c r="T727" s="19" t="s">
        <v>3184</v>
      </c>
      <c r="U727" s="19" t="str">
        <f aca="false">HYPERLINK("https://macaulaylibrary.org/asset/299619","Open")</f>
        <v>Open</v>
      </c>
      <c r="V727" s="19"/>
    </row>
    <row r="728" customFormat="false" ht="15" hidden="false" customHeight="false" outlineLevel="0" collapsed="false">
      <c r="A728" s="19" t="s">
        <v>3185</v>
      </c>
      <c r="B728" s="19" t="s">
        <v>943</v>
      </c>
      <c r="C728" s="19" t="s">
        <v>944</v>
      </c>
      <c r="D728" s="19" t="s">
        <v>400</v>
      </c>
      <c r="E728" s="19" t="s">
        <v>147</v>
      </c>
      <c r="F728" s="19" t="s">
        <v>562</v>
      </c>
      <c r="G728" s="19" t="n">
        <v>80</v>
      </c>
      <c r="H728" s="19" t="s">
        <v>563</v>
      </c>
      <c r="I728" s="20" t="n">
        <v>151.455</v>
      </c>
      <c r="J728" s="19" t="n">
        <f aca="false">IF(I728="","",MIN(Overview!$B$8,MAX(1,CEILING(I728/Overview!$B$7,1))))</f>
        <v>31</v>
      </c>
      <c r="K728" s="19" t="n">
        <v>1</v>
      </c>
      <c r="L728" s="19"/>
      <c r="M728" s="20" t="n">
        <v>2.33</v>
      </c>
      <c r="N728" s="19"/>
      <c r="O728" s="19"/>
      <c r="P728" s="19" t="s">
        <v>1029</v>
      </c>
      <c r="Q728" s="19" t="s">
        <v>1030</v>
      </c>
      <c r="R728" s="21" t="n">
        <v>40251</v>
      </c>
      <c r="S728" s="19" t="s">
        <v>1369</v>
      </c>
      <c r="T728" s="19" t="s">
        <v>3186</v>
      </c>
      <c r="U728" s="19" t="str">
        <f aca="false">HYPERLINK("https://macaulaylibrary.org/asset/299621","Open")</f>
        <v>Open</v>
      </c>
      <c r="V728" s="19"/>
    </row>
    <row r="729" customFormat="false" ht="15" hidden="false" customHeight="false" outlineLevel="0" collapsed="false">
      <c r="A729" s="19" t="s">
        <v>3187</v>
      </c>
      <c r="B729" s="19" t="s">
        <v>943</v>
      </c>
      <c r="C729" s="19" t="s">
        <v>944</v>
      </c>
      <c r="D729" s="19" t="s">
        <v>400</v>
      </c>
      <c r="E729" s="19" t="s">
        <v>147</v>
      </c>
      <c r="F729" s="19" t="s">
        <v>562</v>
      </c>
      <c r="G729" s="19" t="n">
        <v>80</v>
      </c>
      <c r="H729" s="19" t="s">
        <v>563</v>
      </c>
      <c r="I729" s="20" t="n">
        <v>27.68</v>
      </c>
      <c r="J729" s="19" t="n">
        <f aca="false">IF(I729="","",MIN(Overview!$B$8,MAX(1,CEILING(I729/Overview!$B$7,1))))</f>
        <v>6</v>
      </c>
      <c r="K729" s="19" t="n">
        <v>1</v>
      </c>
      <c r="L729" s="19"/>
      <c r="M729" s="20" t="n">
        <v>3.33</v>
      </c>
      <c r="N729" s="19"/>
      <c r="O729" s="19" t="s">
        <v>231</v>
      </c>
      <c r="P729" s="19" t="s">
        <v>3188</v>
      </c>
      <c r="Q729" s="19" t="s">
        <v>3189</v>
      </c>
      <c r="R729" s="21" t="n">
        <v>45671</v>
      </c>
      <c r="S729" s="19" t="s">
        <v>966</v>
      </c>
      <c r="T729" s="19" t="s">
        <v>3190</v>
      </c>
      <c r="U729" s="19" t="str">
        <f aca="false">HYPERLINK("https://macaulaylibrary.org/asset/631698844","Open")</f>
        <v>Open</v>
      </c>
      <c r="V729" s="19"/>
    </row>
    <row r="730" customFormat="false" ht="15" hidden="false" customHeight="false" outlineLevel="0" collapsed="false">
      <c r="A730" s="19" t="s">
        <v>3191</v>
      </c>
      <c r="B730" s="19" t="s">
        <v>943</v>
      </c>
      <c r="C730" s="19" t="s">
        <v>944</v>
      </c>
      <c r="D730" s="19" t="s">
        <v>148</v>
      </c>
      <c r="E730" s="19" t="s">
        <v>147</v>
      </c>
      <c r="F730" s="19" t="s">
        <v>265</v>
      </c>
      <c r="G730" s="19" t="n">
        <v>81</v>
      </c>
      <c r="H730" s="19" t="s">
        <v>266</v>
      </c>
      <c r="I730" s="20" t="n">
        <v>64.494</v>
      </c>
      <c r="J730" s="19" t="n">
        <f aca="false">IF(I730="","",MIN(Overview!$B$8,MAX(1,CEILING(I730/Overview!$B$7,1))))</f>
        <v>13</v>
      </c>
      <c r="K730" s="19" t="n">
        <v>1</v>
      </c>
      <c r="L730" s="19"/>
      <c r="M730" s="20" t="n">
        <v>3</v>
      </c>
      <c r="N730" s="19"/>
      <c r="O730" s="19"/>
      <c r="P730" s="19" t="s">
        <v>3192</v>
      </c>
      <c r="Q730" s="19" t="s">
        <v>1401</v>
      </c>
      <c r="R730" s="21" t="n">
        <v>36954</v>
      </c>
      <c r="S730" s="19" t="s">
        <v>1009</v>
      </c>
      <c r="T730" s="19" t="s">
        <v>3193</v>
      </c>
      <c r="U730" s="19" t="str">
        <f aca="false">HYPERLINK("https://macaulaylibrary.org/asset/129952321","Open")</f>
        <v>Open</v>
      </c>
      <c r="V730" s="19"/>
    </row>
    <row r="731" customFormat="false" ht="15" hidden="false" customHeight="false" outlineLevel="0" collapsed="false">
      <c r="A731" s="19" t="s">
        <v>3194</v>
      </c>
      <c r="B731" s="19" t="s">
        <v>943</v>
      </c>
      <c r="C731" s="19" t="s">
        <v>944</v>
      </c>
      <c r="D731" s="19" t="s">
        <v>148</v>
      </c>
      <c r="E731" s="19" t="s">
        <v>147</v>
      </c>
      <c r="F731" s="19" t="s">
        <v>265</v>
      </c>
      <c r="G731" s="19" t="n">
        <v>81</v>
      </c>
      <c r="H731" s="19" t="s">
        <v>266</v>
      </c>
      <c r="I731" s="20" t="n">
        <v>32.064</v>
      </c>
      <c r="J731" s="19" t="n">
        <f aca="false">IF(I731="","",MIN(Overview!$B$8,MAX(1,CEILING(I731/Overview!$B$7,1))))</f>
        <v>7</v>
      </c>
      <c r="K731" s="19" t="n">
        <v>1</v>
      </c>
      <c r="L731" s="19"/>
      <c r="M731" s="20" t="n">
        <v>1</v>
      </c>
      <c r="N731" s="19"/>
      <c r="O731" s="19"/>
      <c r="P731" s="19" t="s">
        <v>3195</v>
      </c>
      <c r="Q731" s="19" t="s">
        <v>965</v>
      </c>
      <c r="R731" s="21" t="n">
        <v>43813</v>
      </c>
      <c r="S731" s="19" t="s">
        <v>3196</v>
      </c>
      <c r="T731" s="19" t="s">
        <v>3197</v>
      </c>
      <c r="U731" s="19" t="str">
        <f aca="false">HYPERLINK("https://macaulaylibrary.org/asset/193419031","Open")</f>
        <v>Open</v>
      </c>
      <c r="V731" s="19"/>
    </row>
    <row r="732" customFormat="false" ht="15" hidden="false" customHeight="false" outlineLevel="0" collapsed="false">
      <c r="A732" s="19" t="s">
        <v>3198</v>
      </c>
      <c r="B732" s="19" t="s">
        <v>943</v>
      </c>
      <c r="C732" s="19" t="s">
        <v>944</v>
      </c>
      <c r="D732" s="19" t="s">
        <v>148</v>
      </c>
      <c r="E732" s="19" t="s">
        <v>147</v>
      </c>
      <c r="F732" s="19" t="s">
        <v>265</v>
      </c>
      <c r="G732" s="19" t="n">
        <v>81</v>
      </c>
      <c r="H732" s="19" t="s">
        <v>266</v>
      </c>
      <c r="I732" s="20" t="n">
        <v>164.845</v>
      </c>
      <c r="J732" s="19" t="n">
        <f aca="false">IF(I732="","",MIN(Overview!$B$8,MAX(1,CEILING(I732/Overview!$B$7,1))))</f>
        <v>33</v>
      </c>
      <c r="K732" s="19" t="n">
        <v>1</v>
      </c>
      <c r="L732" s="19"/>
      <c r="M732" s="20" t="n">
        <v>2</v>
      </c>
      <c r="N732" s="19"/>
      <c r="O732" s="19" t="s">
        <v>225</v>
      </c>
      <c r="P732" s="19" t="s">
        <v>1115</v>
      </c>
      <c r="Q732" s="19" t="s">
        <v>980</v>
      </c>
      <c r="R732" s="21" t="n">
        <v>34125</v>
      </c>
      <c r="S732" s="19"/>
      <c r="T732" s="19" t="s">
        <v>3199</v>
      </c>
      <c r="U732" s="19" t="str">
        <f aca="false">HYPERLINK("https://macaulaylibrary.org/asset/209482","Open")</f>
        <v>Open</v>
      </c>
      <c r="V732" s="19"/>
    </row>
    <row r="733" customFormat="false" ht="15" hidden="false" customHeight="false" outlineLevel="0" collapsed="false">
      <c r="A733" s="19" t="s">
        <v>3200</v>
      </c>
      <c r="B733" s="19" t="s">
        <v>943</v>
      </c>
      <c r="C733" s="19" t="s">
        <v>944</v>
      </c>
      <c r="D733" s="19" t="s">
        <v>148</v>
      </c>
      <c r="E733" s="19" t="s">
        <v>147</v>
      </c>
      <c r="F733" s="19" t="s">
        <v>265</v>
      </c>
      <c r="G733" s="19" t="n">
        <v>81</v>
      </c>
      <c r="H733" s="19" t="s">
        <v>266</v>
      </c>
      <c r="I733" s="20" t="n">
        <v>106.254</v>
      </c>
      <c r="J733" s="19" t="n">
        <f aca="false">IF(I733="","",MIN(Overview!$B$8,MAX(1,CEILING(I733/Overview!$B$7,1))))</f>
        <v>22</v>
      </c>
      <c r="K733" s="19" t="n">
        <v>1</v>
      </c>
      <c r="L733" s="19"/>
      <c r="M733" s="20" t="n">
        <v>1</v>
      </c>
      <c r="N733" s="19"/>
      <c r="O733" s="19" t="s">
        <v>307</v>
      </c>
      <c r="P733" s="19" t="s">
        <v>3201</v>
      </c>
      <c r="Q733" s="19" t="s">
        <v>1136</v>
      </c>
      <c r="R733" s="21" t="n">
        <v>29739</v>
      </c>
      <c r="S733" s="19" t="s">
        <v>1009</v>
      </c>
      <c r="T733" s="19" t="s">
        <v>3202</v>
      </c>
      <c r="U733" s="19" t="str">
        <f aca="false">HYPERLINK("https://macaulaylibrary.org/asset/28105","Open")</f>
        <v>Open</v>
      </c>
      <c r="V733" s="19"/>
    </row>
    <row r="734" customFormat="false" ht="15" hidden="false" customHeight="false" outlineLevel="0" collapsed="false">
      <c r="A734" s="19" t="s">
        <v>3203</v>
      </c>
      <c r="B734" s="19" t="s">
        <v>943</v>
      </c>
      <c r="C734" s="19" t="s">
        <v>944</v>
      </c>
      <c r="D734" s="19" t="s">
        <v>148</v>
      </c>
      <c r="E734" s="19" t="s">
        <v>147</v>
      </c>
      <c r="F734" s="19" t="s">
        <v>265</v>
      </c>
      <c r="G734" s="19" t="n">
        <v>81</v>
      </c>
      <c r="H734" s="19" t="s">
        <v>266</v>
      </c>
      <c r="I734" s="20" t="n">
        <v>32.32</v>
      </c>
      <c r="J734" s="19" t="n">
        <f aca="false">IF(I734="","",MIN(Overview!$B$8,MAX(1,CEILING(I734/Overview!$B$7,1))))</f>
        <v>7</v>
      </c>
      <c r="K734" s="19" t="n">
        <v>1</v>
      </c>
      <c r="L734" s="19"/>
      <c r="M734" s="20"/>
      <c r="N734" s="19"/>
      <c r="O734" s="19"/>
      <c r="P734" s="19" t="s">
        <v>1278</v>
      </c>
      <c r="Q734" s="19" t="s">
        <v>1030</v>
      </c>
      <c r="R734" s="21" t="n">
        <v>33597</v>
      </c>
      <c r="S734" s="19" t="s">
        <v>1279</v>
      </c>
      <c r="T734" s="19" t="s">
        <v>3204</v>
      </c>
      <c r="U734" s="19" t="str">
        <f aca="false">HYPERLINK("https://macaulaylibrary.org/asset/285629","Open")</f>
        <v>Open</v>
      </c>
      <c r="V734" s="19"/>
    </row>
    <row r="735" customFormat="false" ht="15" hidden="false" customHeight="false" outlineLevel="0" collapsed="false">
      <c r="A735" s="19" t="s">
        <v>3205</v>
      </c>
      <c r="B735" s="19" t="s">
        <v>943</v>
      </c>
      <c r="C735" s="19" t="s">
        <v>944</v>
      </c>
      <c r="D735" s="19" t="s">
        <v>148</v>
      </c>
      <c r="E735" s="19" t="s">
        <v>147</v>
      </c>
      <c r="F735" s="19" t="s">
        <v>265</v>
      </c>
      <c r="G735" s="19" t="n">
        <v>81</v>
      </c>
      <c r="H735" s="19" t="s">
        <v>266</v>
      </c>
      <c r="I735" s="20" t="n">
        <v>5.525</v>
      </c>
      <c r="J735" s="19" t="n">
        <f aca="false">IF(I735="","",MIN(Overview!$B$8,MAX(1,CEILING(I735/Overview!$B$7,1))))</f>
        <v>2</v>
      </c>
      <c r="K735" s="19" t="n">
        <v>1</v>
      </c>
      <c r="L735" s="19"/>
      <c r="M735" s="20" t="n">
        <v>3.5</v>
      </c>
      <c r="N735" s="19"/>
      <c r="O735" s="19"/>
      <c r="P735" s="19" t="s">
        <v>3147</v>
      </c>
      <c r="Q735" s="19" t="s">
        <v>965</v>
      </c>
      <c r="R735" s="21" t="n">
        <v>44184</v>
      </c>
      <c r="S735" s="19" t="s">
        <v>1137</v>
      </c>
      <c r="T735" s="19" t="s">
        <v>3206</v>
      </c>
      <c r="U735" s="19" t="str">
        <f aca="false">HYPERLINK("https://macaulaylibrary.org/asset/289817971","Open")</f>
        <v>Open</v>
      </c>
      <c r="V735" s="19"/>
    </row>
    <row r="736" customFormat="false" ht="15" hidden="false" customHeight="false" outlineLevel="0" collapsed="false">
      <c r="A736" s="19" t="s">
        <v>3207</v>
      </c>
      <c r="B736" s="19" t="s">
        <v>943</v>
      </c>
      <c r="C736" s="19" t="s">
        <v>944</v>
      </c>
      <c r="D736" s="19" t="s">
        <v>148</v>
      </c>
      <c r="E736" s="19" t="s">
        <v>147</v>
      </c>
      <c r="F736" s="19" t="s">
        <v>265</v>
      </c>
      <c r="G736" s="19" t="n">
        <v>81</v>
      </c>
      <c r="H736" s="19" t="s">
        <v>266</v>
      </c>
      <c r="I736" s="20" t="n">
        <v>40.085</v>
      </c>
      <c r="J736" s="19" t="n">
        <f aca="false">IF(I736="","",MIN(Overview!$B$8,MAX(1,CEILING(I736/Overview!$B$7,1))))</f>
        <v>9</v>
      </c>
      <c r="K736" s="19" t="n">
        <v>1</v>
      </c>
      <c r="L736" s="19"/>
      <c r="M736" s="20"/>
      <c r="N736" s="19"/>
      <c r="O736" s="19"/>
      <c r="P736" s="19" t="s">
        <v>1067</v>
      </c>
      <c r="Q736" s="19" t="s">
        <v>965</v>
      </c>
      <c r="R736" s="21" t="n">
        <v>44185</v>
      </c>
      <c r="S736" s="19" t="s">
        <v>1022</v>
      </c>
      <c r="T736" s="19" t="s">
        <v>3208</v>
      </c>
      <c r="U736" s="19" t="str">
        <f aca="false">HYPERLINK("https://macaulaylibrary.org/asset/289833751","Open")</f>
        <v>Open</v>
      </c>
      <c r="V736" s="19"/>
    </row>
    <row r="737" customFormat="false" ht="15" hidden="false" customHeight="false" outlineLevel="0" collapsed="false">
      <c r="A737" s="19" t="s">
        <v>3209</v>
      </c>
      <c r="B737" s="19" t="s">
        <v>943</v>
      </c>
      <c r="C737" s="19" t="s">
        <v>944</v>
      </c>
      <c r="D737" s="19" t="s">
        <v>148</v>
      </c>
      <c r="E737" s="19" t="s">
        <v>147</v>
      </c>
      <c r="F737" s="19" t="s">
        <v>265</v>
      </c>
      <c r="G737" s="19" t="n">
        <v>81</v>
      </c>
      <c r="H737" s="19" t="s">
        <v>266</v>
      </c>
      <c r="I737" s="20" t="n">
        <v>42.53</v>
      </c>
      <c r="J737" s="19" t="n">
        <f aca="false">IF(I737="","",MIN(Overview!$B$8,MAX(1,CEILING(I737/Overview!$B$7,1))))</f>
        <v>9</v>
      </c>
      <c r="K737" s="19" t="n">
        <v>1</v>
      </c>
      <c r="L737" s="19"/>
      <c r="M737" s="20" t="n">
        <v>4.4</v>
      </c>
      <c r="N737" s="19"/>
      <c r="O737" s="19"/>
      <c r="P737" s="19" t="s">
        <v>2084</v>
      </c>
      <c r="Q737" s="19" t="s">
        <v>2085</v>
      </c>
      <c r="R737" s="21" t="n">
        <v>44184</v>
      </c>
      <c r="S737" s="19" t="s">
        <v>1137</v>
      </c>
      <c r="T737" s="19" t="s">
        <v>3210</v>
      </c>
      <c r="U737" s="19" t="str">
        <f aca="false">HYPERLINK("https://macaulaylibrary.org/asset/297140571","Open")</f>
        <v>Open</v>
      </c>
      <c r="V737" s="19"/>
    </row>
    <row r="738" customFormat="false" ht="15" hidden="false" customHeight="false" outlineLevel="0" collapsed="false">
      <c r="A738" s="19" t="s">
        <v>3211</v>
      </c>
      <c r="B738" s="19" t="s">
        <v>943</v>
      </c>
      <c r="C738" s="19" t="s">
        <v>944</v>
      </c>
      <c r="D738" s="19" t="s">
        <v>148</v>
      </c>
      <c r="E738" s="19" t="s">
        <v>147</v>
      </c>
      <c r="F738" s="19" t="s">
        <v>265</v>
      </c>
      <c r="G738" s="19" t="n">
        <v>81</v>
      </c>
      <c r="H738" s="19" t="s">
        <v>266</v>
      </c>
      <c r="I738" s="20" t="n">
        <v>21.439</v>
      </c>
      <c r="J738" s="19" t="n">
        <f aca="false">IF(I738="","",MIN(Overview!$B$8,MAX(1,CEILING(I738/Overview!$B$7,1))))</f>
        <v>5</v>
      </c>
      <c r="K738" s="19" t="n">
        <v>1</v>
      </c>
      <c r="L738" s="19"/>
      <c r="M738" s="20" t="n">
        <v>2</v>
      </c>
      <c r="N738" s="19"/>
      <c r="O738" s="19"/>
      <c r="P738" s="19" t="s">
        <v>1686</v>
      </c>
      <c r="Q738" s="19" t="s">
        <v>1687</v>
      </c>
      <c r="R738" s="21" t="n">
        <v>42786</v>
      </c>
      <c r="S738" s="19" t="s">
        <v>1688</v>
      </c>
      <c r="T738" s="19" t="s">
        <v>3212</v>
      </c>
      <c r="U738" s="19" t="str">
        <f aca="false">HYPERLINK("https://macaulaylibrary.org/asset/49769831","Open")</f>
        <v>Open</v>
      </c>
      <c r="V738" s="19"/>
    </row>
    <row r="739" customFormat="false" ht="15" hidden="false" customHeight="false" outlineLevel="0" collapsed="false">
      <c r="A739" s="19" t="s">
        <v>3213</v>
      </c>
      <c r="B739" s="19" t="s">
        <v>943</v>
      </c>
      <c r="C739" s="19" t="s">
        <v>944</v>
      </c>
      <c r="D739" s="19" t="s">
        <v>148</v>
      </c>
      <c r="E739" s="19" t="s">
        <v>147</v>
      </c>
      <c r="F739" s="19" t="s">
        <v>265</v>
      </c>
      <c r="G739" s="19" t="n">
        <v>81</v>
      </c>
      <c r="H739" s="19" t="s">
        <v>266</v>
      </c>
      <c r="I739" s="20" t="n">
        <v>6.478</v>
      </c>
      <c r="J739" s="19" t="n">
        <f aca="false">IF(I739="","",MIN(Overview!$B$8,MAX(1,CEILING(I739/Overview!$B$7,1))))</f>
        <v>2</v>
      </c>
      <c r="K739" s="19" t="n">
        <v>1</v>
      </c>
      <c r="L739" s="19"/>
      <c r="M739" s="20" t="n">
        <v>2</v>
      </c>
      <c r="N739" s="19"/>
      <c r="O739" s="19"/>
      <c r="P739" s="19" t="s">
        <v>3214</v>
      </c>
      <c r="Q739" s="19" t="s">
        <v>3215</v>
      </c>
      <c r="R739" s="21" t="n">
        <v>43380</v>
      </c>
      <c r="S739" s="19" t="s">
        <v>3216</v>
      </c>
      <c r="T739" s="19" t="s">
        <v>3217</v>
      </c>
      <c r="U739" s="19" t="str">
        <f aca="false">HYPERLINK("https://macaulaylibrary.org/asset/609410590","Open")</f>
        <v>Open</v>
      </c>
      <c r="V739" s="19"/>
    </row>
    <row r="740" customFormat="false" ht="15" hidden="false" customHeight="false" outlineLevel="0" collapsed="false">
      <c r="A740" s="19" t="s">
        <v>3218</v>
      </c>
      <c r="B740" s="19" t="s">
        <v>943</v>
      </c>
      <c r="C740" s="19" t="s">
        <v>944</v>
      </c>
      <c r="D740" s="19" t="s">
        <v>148</v>
      </c>
      <c r="E740" s="19" t="s">
        <v>147</v>
      </c>
      <c r="F740" s="19" t="s">
        <v>265</v>
      </c>
      <c r="G740" s="19" t="n">
        <v>81</v>
      </c>
      <c r="H740" s="19" t="s">
        <v>266</v>
      </c>
      <c r="I740" s="20" t="n">
        <v>28.767</v>
      </c>
      <c r="J740" s="19" t="n">
        <f aca="false">IF(I740="","",MIN(Overview!$B$8,MAX(1,CEILING(I740/Overview!$B$7,1))))</f>
        <v>6</v>
      </c>
      <c r="K740" s="19" t="n">
        <v>1</v>
      </c>
      <c r="L740" s="19"/>
      <c r="M740" s="20" t="n">
        <v>1</v>
      </c>
      <c r="N740" s="19"/>
      <c r="O740" s="19"/>
      <c r="P740" s="19" t="s">
        <v>3219</v>
      </c>
      <c r="Q740" s="19" t="s">
        <v>1086</v>
      </c>
      <c r="R740" s="21" t="n">
        <v>45296</v>
      </c>
      <c r="S740" s="19" t="s">
        <v>2319</v>
      </c>
      <c r="T740" s="19" t="s">
        <v>3220</v>
      </c>
      <c r="U740" s="19" t="str">
        <f aca="false">HYPERLINK("https://macaulaylibrary.org/asset/614019758","Open")</f>
        <v>Open</v>
      </c>
      <c r="V740" s="19"/>
    </row>
    <row r="741" customFormat="false" ht="15" hidden="false" customHeight="false" outlineLevel="0" collapsed="false">
      <c r="A741" s="19" t="s">
        <v>3221</v>
      </c>
      <c r="B741" s="19" t="s">
        <v>943</v>
      </c>
      <c r="C741" s="19" t="s">
        <v>944</v>
      </c>
      <c r="D741" s="19" t="s">
        <v>148</v>
      </c>
      <c r="E741" s="19" t="s">
        <v>147</v>
      </c>
      <c r="F741" s="19" t="s">
        <v>265</v>
      </c>
      <c r="G741" s="19" t="n">
        <v>81</v>
      </c>
      <c r="H741" s="19" t="s">
        <v>266</v>
      </c>
      <c r="I741" s="20" t="n">
        <v>64.626</v>
      </c>
      <c r="J741" s="19" t="n">
        <f aca="false">IF(I741="","",MIN(Overview!$B$8,MAX(1,CEILING(I741/Overview!$B$7,1))))</f>
        <v>13</v>
      </c>
      <c r="K741" s="19" t="n">
        <v>1</v>
      </c>
      <c r="L741" s="19"/>
      <c r="M741" s="20"/>
      <c r="N741" s="19"/>
      <c r="O741" s="19"/>
      <c r="P741" s="19" t="s">
        <v>3222</v>
      </c>
      <c r="Q741" s="19" t="s">
        <v>1473</v>
      </c>
      <c r="R741" s="21" t="n">
        <v>45692</v>
      </c>
      <c r="S741" s="19" t="s">
        <v>1254</v>
      </c>
      <c r="T741" s="19" t="s">
        <v>3223</v>
      </c>
      <c r="U741" s="19" t="str">
        <f aca="false">HYPERLINK("https://macaulaylibrary.org/asset/630190503","Open")</f>
        <v>Open</v>
      </c>
      <c r="V741" s="19"/>
    </row>
    <row r="742" customFormat="false" ht="15" hidden="false" customHeight="false" outlineLevel="0" collapsed="false">
      <c r="A742" s="19" t="s">
        <v>3224</v>
      </c>
      <c r="B742" s="19" t="s">
        <v>943</v>
      </c>
      <c r="C742" s="19" t="s">
        <v>944</v>
      </c>
      <c r="D742" s="19" t="s">
        <v>148</v>
      </c>
      <c r="E742" s="19" t="s">
        <v>147</v>
      </c>
      <c r="F742" s="19" t="s">
        <v>265</v>
      </c>
      <c r="G742" s="19" t="n">
        <v>81</v>
      </c>
      <c r="H742" s="19" t="s">
        <v>266</v>
      </c>
      <c r="I742" s="20" t="n">
        <v>22.383</v>
      </c>
      <c r="J742" s="19" t="n">
        <f aca="false">IF(I742="","",MIN(Overview!$B$8,MAX(1,CEILING(I742/Overview!$B$7,1))))</f>
        <v>5</v>
      </c>
      <c r="K742" s="19" t="n">
        <v>1</v>
      </c>
      <c r="L742" s="19"/>
      <c r="M742" s="20"/>
      <c r="N742" s="19"/>
      <c r="O742" s="19" t="s">
        <v>3225</v>
      </c>
      <c r="P742" s="19" t="s">
        <v>1674</v>
      </c>
      <c r="Q742" s="19" t="s">
        <v>1091</v>
      </c>
      <c r="R742" s="21" t="n">
        <v>45843</v>
      </c>
      <c r="S742" s="19" t="s">
        <v>1009</v>
      </c>
      <c r="T742" s="19" t="s">
        <v>3226</v>
      </c>
      <c r="U742" s="19" t="str">
        <f aca="false">HYPERLINK("https://macaulaylibrary.org/asset/639163682","Open")</f>
        <v>Open</v>
      </c>
      <c r="V742" s="19"/>
    </row>
    <row r="743" customFormat="false" ht="15" hidden="false" customHeight="false" outlineLevel="0" collapsed="false">
      <c r="A743" s="19" t="s">
        <v>3227</v>
      </c>
      <c r="B743" s="19" t="s">
        <v>943</v>
      </c>
      <c r="C743" s="19" t="s">
        <v>944</v>
      </c>
      <c r="D743" s="19" t="s">
        <v>148</v>
      </c>
      <c r="E743" s="19" t="s">
        <v>147</v>
      </c>
      <c r="F743" s="19" t="s">
        <v>265</v>
      </c>
      <c r="G743" s="19" t="n">
        <v>81</v>
      </c>
      <c r="H743" s="19" t="s">
        <v>266</v>
      </c>
      <c r="I743" s="20" t="n">
        <v>27.362</v>
      </c>
      <c r="J743" s="19" t="n">
        <f aca="false">IF(I743="","",MIN(Overview!$B$8,MAX(1,CEILING(I743/Overview!$B$7,1))))</f>
        <v>6</v>
      </c>
      <c r="K743" s="19" t="n">
        <v>1</v>
      </c>
      <c r="L743" s="19"/>
      <c r="M743" s="20"/>
      <c r="N743" s="19"/>
      <c r="O743" s="19"/>
      <c r="P743" s="19" t="s">
        <v>1619</v>
      </c>
      <c r="Q743" s="19" t="s">
        <v>1620</v>
      </c>
      <c r="R743" s="21" t="n">
        <v>45706</v>
      </c>
      <c r="S743" s="19" t="s">
        <v>1621</v>
      </c>
      <c r="T743" s="19" t="s">
        <v>3228</v>
      </c>
      <c r="U743" s="19" t="str">
        <f aca="false">HYPERLINK("https://macaulaylibrary.org/asset/642659152","Open")</f>
        <v>Open</v>
      </c>
      <c r="V743" s="19"/>
    </row>
    <row r="744" customFormat="false" ht="15" hidden="false" customHeight="false" outlineLevel="0" collapsed="false">
      <c r="A744" s="19" t="s">
        <v>3229</v>
      </c>
      <c r="B744" s="19" t="s">
        <v>943</v>
      </c>
      <c r="C744" s="19" t="s">
        <v>944</v>
      </c>
      <c r="D744" s="19" t="s">
        <v>148</v>
      </c>
      <c r="E744" s="19" t="s">
        <v>147</v>
      </c>
      <c r="F744" s="19" t="s">
        <v>265</v>
      </c>
      <c r="G744" s="19" t="n">
        <v>81</v>
      </c>
      <c r="H744" s="19" t="s">
        <v>266</v>
      </c>
      <c r="I744" s="20" t="n">
        <v>23.195</v>
      </c>
      <c r="J744" s="19" t="n">
        <f aca="false">IF(I744="","",MIN(Overview!$B$8,MAX(1,CEILING(I744/Overview!$B$7,1))))</f>
        <v>5</v>
      </c>
      <c r="K744" s="19" t="n">
        <v>1</v>
      </c>
      <c r="L744" s="19"/>
      <c r="M744" s="20"/>
      <c r="N744" s="19"/>
      <c r="O744" s="19"/>
      <c r="P744" s="19" t="s">
        <v>1674</v>
      </c>
      <c r="Q744" s="19" t="s">
        <v>1091</v>
      </c>
      <c r="R744" s="21" t="n">
        <v>45843</v>
      </c>
      <c r="S744" s="19" t="s">
        <v>1009</v>
      </c>
      <c r="T744" s="19" t="s">
        <v>3230</v>
      </c>
      <c r="U744" s="19" t="str">
        <f aca="false">HYPERLINK("https://macaulaylibrary.org/asset/643658336","Open")</f>
        <v>Open</v>
      </c>
      <c r="V744" s="19"/>
    </row>
    <row r="745" customFormat="false" ht="15" hidden="false" customHeight="false" outlineLevel="0" collapsed="false">
      <c r="A745" s="19" t="s">
        <v>3231</v>
      </c>
      <c r="B745" s="19" t="s">
        <v>943</v>
      </c>
      <c r="C745" s="19" t="s">
        <v>944</v>
      </c>
      <c r="D745" s="19" t="s">
        <v>148</v>
      </c>
      <c r="E745" s="19" t="s">
        <v>147</v>
      </c>
      <c r="F745" s="19" t="s">
        <v>265</v>
      </c>
      <c r="G745" s="19" t="n">
        <v>81</v>
      </c>
      <c r="H745" s="19" t="s">
        <v>266</v>
      </c>
      <c r="I745" s="20" t="n">
        <v>105.092</v>
      </c>
      <c r="J745" s="19" t="n">
        <f aca="false">IF(I745="","",MIN(Overview!$B$8,MAX(1,CEILING(I745/Overview!$B$7,1))))</f>
        <v>22</v>
      </c>
      <c r="K745" s="19" t="n">
        <v>1</v>
      </c>
      <c r="L745" s="19"/>
      <c r="M745" s="20" t="n">
        <v>2</v>
      </c>
      <c r="N745" s="19"/>
      <c r="O745" s="19"/>
      <c r="P745" s="19" t="s">
        <v>1674</v>
      </c>
      <c r="Q745" s="19" t="s">
        <v>1091</v>
      </c>
      <c r="R745" s="21" t="n">
        <v>45843</v>
      </c>
      <c r="S745" s="19" t="s">
        <v>1009</v>
      </c>
      <c r="T745" s="19" t="s">
        <v>3232</v>
      </c>
      <c r="U745" s="19" t="str">
        <f aca="false">HYPERLINK("https://macaulaylibrary.org/asset/643658466","Open")</f>
        <v>Open</v>
      </c>
      <c r="V745" s="19"/>
    </row>
    <row r="746" customFormat="false" ht="15" hidden="false" customHeight="false" outlineLevel="0" collapsed="false">
      <c r="A746" s="19" t="s">
        <v>3233</v>
      </c>
      <c r="B746" s="19" t="s">
        <v>943</v>
      </c>
      <c r="C746" s="19" t="s">
        <v>944</v>
      </c>
      <c r="D746" s="19" t="s">
        <v>148</v>
      </c>
      <c r="E746" s="19" t="s">
        <v>147</v>
      </c>
      <c r="F746" s="19" t="s">
        <v>265</v>
      </c>
      <c r="G746" s="19" t="n">
        <v>81</v>
      </c>
      <c r="H746" s="19" t="s">
        <v>266</v>
      </c>
      <c r="I746" s="20" t="n">
        <v>5.123</v>
      </c>
      <c r="J746" s="19" t="n">
        <f aca="false">IF(I746="","",MIN(Overview!$B$8,MAX(1,CEILING(I746/Overview!$B$7,1))))</f>
        <v>2</v>
      </c>
      <c r="K746" s="19" t="n">
        <v>1</v>
      </c>
      <c r="L746" s="19"/>
      <c r="M746" s="20"/>
      <c r="N746" s="19"/>
      <c r="O746" s="19"/>
      <c r="P746" s="19" t="s">
        <v>1347</v>
      </c>
      <c r="Q746" s="19" t="s">
        <v>1348</v>
      </c>
      <c r="R746" s="21" t="n">
        <v>46100</v>
      </c>
      <c r="S746" s="19" t="s">
        <v>1106</v>
      </c>
      <c r="T746" s="19" t="s">
        <v>3234</v>
      </c>
      <c r="U746" s="19" t="str">
        <f aca="false">HYPERLINK("https://macaulaylibrary.org/asset/654443045","Open")</f>
        <v>Open</v>
      </c>
      <c r="V746" s="19"/>
    </row>
    <row r="747" customFormat="false" ht="15" hidden="false" customHeight="false" outlineLevel="0" collapsed="false">
      <c r="A747" s="19" t="s">
        <v>3235</v>
      </c>
      <c r="B747" s="19" t="s">
        <v>943</v>
      </c>
      <c r="C747" s="19" t="s">
        <v>944</v>
      </c>
      <c r="D747" s="19" t="s">
        <v>148</v>
      </c>
      <c r="E747" s="19" t="s">
        <v>147</v>
      </c>
      <c r="F747" s="19" t="s">
        <v>419</v>
      </c>
      <c r="G747" s="19" t="n">
        <v>82</v>
      </c>
      <c r="H747" s="19" t="s">
        <v>420</v>
      </c>
      <c r="I747" s="20" t="n">
        <v>537.411</v>
      </c>
      <c r="J747" s="19" t="n">
        <f aca="false">IF(I747="","",MIN(Overview!$B$8,MAX(1,CEILING(I747/Overview!$B$7,1))))</f>
        <v>108</v>
      </c>
      <c r="K747" s="19" t="n">
        <v>1</v>
      </c>
      <c r="L747" s="19"/>
      <c r="M747" s="20" t="n">
        <v>4</v>
      </c>
      <c r="N747" s="19"/>
      <c r="O747" s="19"/>
      <c r="P747" s="19" t="s">
        <v>3236</v>
      </c>
      <c r="Q747" s="19" t="s">
        <v>980</v>
      </c>
      <c r="R747" s="21" t="n">
        <v>32551</v>
      </c>
      <c r="S747" s="19" t="s">
        <v>1769</v>
      </c>
      <c r="T747" s="19" t="s">
        <v>3237</v>
      </c>
      <c r="U747" s="19" t="str">
        <f aca="false">HYPERLINK("https://macaulaylibrary.org/asset/215301","Open")</f>
        <v>Open</v>
      </c>
      <c r="V747" s="19" t="s">
        <v>3238</v>
      </c>
    </row>
    <row r="748" customFormat="false" ht="15" hidden="false" customHeight="false" outlineLevel="0" collapsed="false">
      <c r="A748" s="19" t="s">
        <v>3239</v>
      </c>
      <c r="B748" s="19" t="s">
        <v>943</v>
      </c>
      <c r="C748" s="19" t="s">
        <v>944</v>
      </c>
      <c r="D748" s="19" t="s">
        <v>148</v>
      </c>
      <c r="E748" s="19" t="s">
        <v>147</v>
      </c>
      <c r="F748" s="19" t="s">
        <v>419</v>
      </c>
      <c r="G748" s="19" t="n">
        <v>82</v>
      </c>
      <c r="H748" s="19" t="s">
        <v>420</v>
      </c>
      <c r="I748" s="20" t="n">
        <v>76.969</v>
      </c>
      <c r="J748" s="19" t="n">
        <f aca="false">IF(I748="","",MIN(Overview!$B$8,MAX(1,CEILING(I748/Overview!$B$7,1))))</f>
        <v>16</v>
      </c>
      <c r="K748" s="19" t="n">
        <v>1</v>
      </c>
      <c r="L748" s="19"/>
      <c r="M748" s="20" t="n">
        <v>5</v>
      </c>
      <c r="N748" s="19"/>
      <c r="O748" s="19"/>
      <c r="P748" s="19" t="s">
        <v>1542</v>
      </c>
      <c r="Q748" s="19" t="s">
        <v>1408</v>
      </c>
      <c r="R748" s="21" t="n">
        <v>31806</v>
      </c>
      <c r="S748" s="19" t="s">
        <v>1009</v>
      </c>
      <c r="T748" s="19" t="s">
        <v>3240</v>
      </c>
      <c r="U748" s="19" t="str">
        <f aca="false">HYPERLINK("https://macaulaylibrary.org/asset/336559841","Open")</f>
        <v>Open</v>
      </c>
      <c r="V748" s="19"/>
    </row>
    <row r="749" customFormat="false" ht="15" hidden="false" customHeight="false" outlineLevel="0" collapsed="false">
      <c r="A749" s="19" t="s">
        <v>3241</v>
      </c>
      <c r="B749" s="19" t="s">
        <v>943</v>
      </c>
      <c r="C749" s="19" t="s">
        <v>944</v>
      </c>
      <c r="D749" s="19" t="s">
        <v>148</v>
      </c>
      <c r="E749" s="19" t="s">
        <v>147</v>
      </c>
      <c r="F749" s="19" t="s">
        <v>419</v>
      </c>
      <c r="G749" s="19" t="n">
        <v>82</v>
      </c>
      <c r="H749" s="19" t="s">
        <v>420</v>
      </c>
      <c r="I749" s="20" t="n">
        <v>13.766</v>
      </c>
      <c r="J749" s="19" t="n">
        <f aca="false">IF(I749="","",MIN(Overview!$B$8,MAX(1,CEILING(I749/Overview!$B$7,1))))</f>
        <v>3</v>
      </c>
      <c r="K749" s="19" t="n">
        <v>1</v>
      </c>
      <c r="L749" s="19"/>
      <c r="M749" s="20" t="n">
        <v>3</v>
      </c>
      <c r="N749" s="19"/>
      <c r="O749" s="19"/>
      <c r="P749" s="19" t="s">
        <v>3242</v>
      </c>
      <c r="Q749" s="19" t="s">
        <v>1408</v>
      </c>
      <c r="R749" s="21" t="n">
        <v>32458</v>
      </c>
      <c r="S749" s="19" t="s">
        <v>1009</v>
      </c>
      <c r="T749" s="19" t="s">
        <v>3243</v>
      </c>
      <c r="U749" s="19" t="str">
        <f aca="false">HYPERLINK("https://macaulaylibrary.org/asset/347768251","Open")</f>
        <v>Open</v>
      </c>
      <c r="V749" s="19"/>
    </row>
    <row r="750" customFormat="false" ht="15" hidden="false" customHeight="false" outlineLevel="0" collapsed="false">
      <c r="A750" s="19" t="s">
        <v>3244</v>
      </c>
      <c r="B750" s="19" t="s">
        <v>943</v>
      </c>
      <c r="C750" s="19" t="s">
        <v>944</v>
      </c>
      <c r="D750" s="19" t="s">
        <v>148</v>
      </c>
      <c r="E750" s="19" t="s">
        <v>147</v>
      </c>
      <c r="F750" s="19" t="s">
        <v>419</v>
      </c>
      <c r="G750" s="19" t="n">
        <v>82</v>
      </c>
      <c r="H750" s="19" t="s">
        <v>420</v>
      </c>
      <c r="I750" s="20" t="n">
        <v>18.465</v>
      </c>
      <c r="J750" s="19" t="n">
        <f aca="false">IF(I750="","",MIN(Overview!$B$8,MAX(1,CEILING(I750/Overview!$B$7,1))))</f>
        <v>4</v>
      </c>
      <c r="K750" s="19" t="n">
        <v>1</v>
      </c>
      <c r="L750" s="19"/>
      <c r="M750" s="20" t="n">
        <v>3</v>
      </c>
      <c r="N750" s="19"/>
      <c r="O750" s="19"/>
      <c r="P750" s="19" t="s">
        <v>1161</v>
      </c>
      <c r="Q750" s="19" t="s">
        <v>980</v>
      </c>
      <c r="R750" s="21" t="n">
        <v>33292</v>
      </c>
      <c r="S750" s="19" t="s">
        <v>1002</v>
      </c>
      <c r="T750" s="19" t="s">
        <v>3245</v>
      </c>
      <c r="U750" s="19" t="str">
        <f aca="false">HYPERLINK("https://macaulaylibrary.org/asset/57485","Open")</f>
        <v>Open</v>
      </c>
      <c r="V750" s="19" t="s">
        <v>3238</v>
      </c>
    </row>
    <row r="751" customFormat="false" ht="15" hidden="false" customHeight="false" outlineLevel="0" collapsed="false">
      <c r="A751" s="19" t="s">
        <v>3246</v>
      </c>
      <c r="B751" s="19" t="s">
        <v>943</v>
      </c>
      <c r="C751" s="19" t="s">
        <v>944</v>
      </c>
      <c r="D751" s="19" t="s">
        <v>148</v>
      </c>
      <c r="E751" s="19" t="s">
        <v>147</v>
      </c>
      <c r="F751" s="19" t="s">
        <v>419</v>
      </c>
      <c r="G751" s="19" t="n">
        <v>82</v>
      </c>
      <c r="H751" s="19" t="s">
        <v>420</v>
      </c>
      <c r="I751" s="20" t="n">
        <v>348.224</v>
      </c>
      <c r="J751" s="19" t="n">
        <f aca="false">IF(I751="","",MIN(Overview!$B$8,MAX(1,CEILING(I751/Overview!$B$7,1))))</f>
        <v>70</v>
      </c>
      <c r="K751" s="19" t="n">
        <v>1</v>
      </c>
      <c r="L751" s="19"/>
      <c r="M751" s="20" t="n">
        <v>4</v>
      </c>
      <c r="N751" s="19"/>
      <c r="O751" s="19"/>
      <c r="P751" s="19" t="s">
        <v>1161</v>
      </c>
      <c r="Q751" s="19" t="s">
        <v>980</v>
      </c>
      <c r="R751" s="21" t="n">
        <v>33292</v>
      </c>
      <c r="S751" s="19" t="s">
        <v>3247</v>
      </c>
      <c r="T751" s="19" t="s">
        <v>3248</v>
      </c>
      <c r="U751" s="19" t="str">
        <f aca="false">HYPERLINK("https://macaulaylibrary.org/asset/57486","Open")</f>
        <v>Open</v>
      </c>
      <c r="V751" s="19" t="s">
        <v>3238</v>
      </c>
    </row>
    <row r="752" customFormat="false" ht="15" hidden="false" customHeight="false" outlineLevel="0" collapsed="false">
      <c r="A752" s="19" t="s">
        <v>3249</v>
      </c>
      <c r="B752" s="19" t="s">
        <v>943</v>
      </c>
      <c r="C752" s="19" t="s">
        <v>944</v>
      </c>
      <c r="D752" s="19" t="s">
        <v>148</v>
      </c>
      <c r="E752" s="19" t="s">
        <v>147</v>
      </c>
      <c r="F752" s="19" t="s">
        <v>419</v>
      </c>
      <c r="G752" s="19" t="n">
        <v>82</v>
      </c>
      <c r="H752" s="19" t="s">
        <v>420</v>
      </c>
      <c r="I752" s="20" t="n">
        <v>235.611</v>
      </c>
      <c r="J752" s="19" t="n">
        <f aca="false">IF(I752="","",MIN(Overview!$B$8,MAX(1,CEILING(I752/Overview!$B$7,1))))</f>
        <v>48</v>
      </c>
      <c r="K752" s="19" t="n">
        <v>1</v>
      </c>
      <c r="L752" s="19"/>
      <c r="M752" s="20" t="n">
        <v>3.2</v>
      </c>
      <c r="N752" s="19"/>
      <c r="O752" s="19"/>
      <c r="P752" s="19" t="s">
        <v>1001</v>
      </c>
      <c r="Q752" s="19" t="s">
        <v>980</v>
      </c>
      <c r="R752" s="21" t="n">
        <v>33299</v>
      </c>
      <c r="S752" s="19" t="s">
        <v>3250</v>
      </c>
      <c r="T752" s="19" t="s">
        <v>3251</v>
      </c>
      <c r="U752" s="19" t="str">
        <f aca="false">HYPERLINK("https://macaulaylibrary.org/asset/72661","Open")</f>
        <v>Open</v>
      </c>
      <c r="V752" s="19" t="s">
        <v>3238</v>
      </c>
    </row>
    <row r="753" customFormat="false" ht="15" hidden="false" customHeight="false" outlineLevel="0" collapsed="false">
      <c r="A753" s="19" t="s">
        <v>3252</v>
      </c>
      <c r="B753" s="19" t="s">
        <v>943</v>
      </c>
      <c r="C753" s="19" t="s">
        <v>944</v>
      </c>
      <c r="D753" s="19" t="s">
        <v>148</v>
      </c>
      <c r="E753" s="19" t="s">
        <v>147</v>
      </c>
      <c r="F753" s="19" t="s">
        <v>310</v>
      </c>
      <c r="G753" s="19" t="n">
        <v>83</v>
      </c>
      <c r="H753" s="19" t="s">
        <v>311</v>
      </c>
      <c r="I753" s="20" t="n">
        <v>58.141</v>
      </c>
      <c r="J753" s="19" t="n">
        <f aca="false">IF(I753="","",MIN(Overview!$B$8,MAX(1,CEILING(I753/Overview!$B$7,1))))</f>
        <v>12</v>
      </c>
      <c r="K753" s="19" t="n">
        <v>1</v>
      </c>
      <c r="L753" s="19"/>
      <c r="M753" s="20" t="n">
        <v>3</v>
      </c>
      <c r="N753" s="19"/>
      <c r="O753" s="19"/>
      <c r="P753" s="19" t="s">
        <v>1390</v>
      </c>
      <c r="Q753" s="19" t="s">
        <v>1021</v>
      </c>
      <c r="R753" s="21" t="n">
        <v>36596</v>
      </c>
      <c r="S753" s="19" t="s">
        <v>1137</v>
      </c>
      <c r="T753" s="19" t="s">
        <v>3253</v>
      </c>
      <c r="U753" s="19" t="str">
        <f aca="false">HYPERLINK("https://macaulaylibrary.org/asset/145171261","Open")</f>
        <v>Open</v>
      </c>
      <c r="V753" s="19"/>
    </row>
    <row r="754" customFormat="false" ht="15" hidden="false" customHeight="false" outlineLevel="0" collapsed="false">
      <c r="A754" s="19" t="s">
        <v>3254</v>
      </c>
      <c r="B754" s="19" t="s">
        <v>943</v>
      </c>
      <c r="C754" s="19" t="s">
        <v>944</v>
      </c>
      <c r="D754" s="19" t="s">
        <v>148</v>
      </c>
      <c r="E754" s="19" t="s">
        <v>147</v>
      </c>
      <c r="F754" s="19" t="s">
        <v>310</v>
      </c>
      <c r="G754" s="19" t="n">
        <v>83</v>
      </c>
      <c r="H754" s="19" t="s">
        <v>311</v>
      </c>
      <c r="I754" s="20" t="n">
        <v>34.243</v>
      </c>
      <c r="J754" s="19" t="n">
        <f aca="false">IF(I754="","",MIN(Overview!$B$8,MAX(1,CEILING(I754/Overview!$B$7,1))))</f>
        <v>7</v>
      </c>
      <c r="K754" s="19" t="n">
        <v>1</v>
      </c>
      <c r="L754" s="19"/>
      <c r="M754" s="20" t="n">
        <v>3</v>
      </c>
      <c r="N754" s="19"/>
      <c r="O754" s="19"/>
      <c r="P754" s="19" t="s">
        <v>1029</v>
      </c>
      <c r="Q754" s="19" t="s">
        <v>1030</v>
      </c>
      <c r="R754" s="21" t="n">
        <v>40251</v>
      </c>
      <c r="S754" s="19" t="s">
        <v>3255</v>
      </c>
      <c r="T754" s="19" t="s">
        <v>3256</v>
      </c>
      <c r="U754" s="19" t="str">
        <f aca="false">HYPERLINK("https://macaulaylibrary.org/asset/299630","Open")</f>
        <v>Open</v>
      </c>
      <c r="V754" s="19"/>
    </row>
    <row r="755" customFormat="false" ht="15" hidden="false" customHeight="false" outlineLevel="0" collapsed="false">
      <c r="A755" s="19" t="s">
        <v>3257</v>
      </c>
      <c r="B755" s="19" t="s">
        <v>943</v>
      </c>
      <c r="C755" s="19" t="s">
        <v>944</v>
      </c>
      <c r="D755" s="19" t="s">
        <v>148</v>
      </c>
      <c r="E755" s="19" t="s">
        <v>147</v>
      </c>
      <c r="F755" s="19" t="s">
        <v>310</v>
      </c>
      <c r="G755" s="19" t="n">
        <v>83</v>
      </c>
      <c r="H755" s="19" t="s">
        <v>311</v>
      </c>
      <c r="I755" s="20" t="n">
        <v>8.034</v>
      </c>
      <c r="J755" s="19" t="n">
        <f aca="false">IF(I755="","",MIN(Overview!$B$8,MAX(1,CEILING(I755/Overview!$B$7,1))))</f>
        <v>2</v>
      </c>
      <c r="K755" s="19" t="n">
        <v>1</v>
      </c>
      <c r="L755" s="19"/>
      <c r="M755" s="20" t="n">
        <v>5</v>
      </c>
      <c r="N755" s="19"/>
      <c r="O755" s="19"/>
      <c r="P755" s="19" t="s">
        <v>1429</v>
      </c>
      <c r="Q755" s="19" t="s">
        <v>1158</v>
      </c>
      <c r="R755" s="21" t="n">
        <v>44942</v>
      </c>
      <c r="S755" s="19" t="s">
        <v>1279</v>
      </c>
      <c r="T755" s="19" t="s">
        <v>3258</v>
      </c>
      <c r="U755" s="19" t="str">
        <f aca="false">HYPERLINK("https://macaulaylibrary.org/asset/543398731","Open")</f>
        <v>Open</v>
      </c>
      <c r="V755" s="19"/>
    </row>
    <row r="756" customFormat="false" ht="15" hidden="false" customHeight="false" outlineLevel="0" collapsed="false">
      <c r="A756" s="19" t="s">
        <v>3259</v>
      </c>
      <c r="B756" s="19" t="s">
        <v>943</v>
      </c>
      <c r="C756" s="19" t="s">
        <v>944</v>
      </c>
      <c r="D756" s="19" t="s">
        <v>148</v>
      </c>
      <c r="E756" s="19" t="s">
        <v>147</v>
      </c>
      <c r="F756" s="19" t="s">
        <v>310</v>
      </c>
      <c r="G756" s="19" t="n">
        <v>83</v>
      </c>
      <c r="H756" s="19" t="s">
        <v>311</v>
      </c>
      <c r="I756" s="20" t="n">
        <v>38</v>
      </c>
      <c r="J756" s="19" t="n">
        <f aca="false">IF(I756="","",MIN(Overview!$B$8,MAX(1,CEILING(I756/Overview!$B$7,1))))</f>
        <v>8</v>
      </c>
      <c r="K756" s="19" t="n">
        <v>1</v>
      </c>
      <c r="L756" s="19"/>
      <c r="M756" s="20" t="n">
        <v>4.5</v>
      </c>
      <c r="N756" s="19"/>
      <c r="O756" s="19"/>
      <c r="P756" s="19" t="s">
        <v>1467</v>
      </c>
      <c r="Q756" s="19" t="s">
        <v>1258</v>
      </c>
      <c r="R756" s="21" t="n">
        <v>45230</v>
      </c>
      <c r="S756" s="19" t="s">
        <v>1306</v>
      </c>
      <c r="T756" s="19" t="s">
        <v>3260</v>
      </c>
      <c r="U756" s="19" t="str">
        <f aca="false">HYPERLINK("https://macaulaylibrary.org/asset/621760045","Open")</f>
        <v>Open</v>
      </c>
      <c r="V756" s="19"/>
    </row>
    <row r="757" customFormat="false" ht="15" hidden="false" customHeight="false" outlineLevel="0" collapsed="false">
      <c r="A757" s="19" t="s">
        <v>3261</v>
      </c>
      <c r="B757" s="19" t="s">
        <v>943</v>
      </c>
      <c r="C757" s="19" t="s">
        <v>944</v>
      </c>
      <c r="D757" s="19" t="s">
        <v>148</v>
      </c>
      <c r="E757" s="19" t="s">
        <v>147</v>
      </c>
      <c r="F757" s="19" t="s">
        <v>310</v>
      </c>
      <c r="G757" s="19" t="n">
        <v>83</v>
      </c>
      <c r="H757" s="19" t="s">
        <v>311</v>
      </c>
      <c r="I757" s="20" t="n">
        <v>13.199</v>
      </c>
      <c r="J757" s="19" t="n">
        <f aca="false">IF(I757="","",MIN(Overview!$B$8,MAX(1,CEILING(I757/Overview!$B$7,1))))</f>
        <v>3</v>
      </c>
      <c r="K757" s="19" t="n">
        <v>1</v>
      </c>
      <c r="L757" s="19"/>
      <c r="M757" s="20"/>
      <c r="N757" s="19"/>
      <c r="O757" s="19"/>
      <c r="P757" s="19" t="s">
        <v>2210</v>
      </c>
      <c r="Q757" s="19" t="s">
        <v>1158</v>
      </c>
      <c r="R757" s="21" t="n">
        <v>45658</v>
      </c>
      <c r="S757" s="19" t="s">
        <v>1969</v>
      </c>
      <c r="T757" s="19" t="s">
        <v>3262</v>
      </c>
      <c r="U757" s="19" t="str">
        <f aca="false">HYPERLINK("https://macaulaylibrary.org/asset/630087493","Open")</f>
        <v>Open</v>
      </c>
      <c r="V757" s="19"/>
    </row>
    <row r="758" customFormat="false" ht="15" hidden="false" customHeight="false" outlineLevel="0" collapsed="false">
      <c r="A758" s="19" t="s">
        <v>3263</v>
      </c>
      <c r="B758" s="19" t="s">
        <v>943</v>
      </c>
      <c r="C758" s="19" t="s">
        <v>944</v>
      </c>
      <c r="D758" s="19" t="s">
        <v>148</v>
      </c>
      <c r="E758" s="19" t="s">
        <v>147</v>
      </c>
      <c r="F758" s="19" t="s">
        <v>310</v>
      </c>
      <c r="G758" s="19" t="n">
        <v>83</v>
      </c>
      <c r="H758" s="19" t="s">
        <v>311</v>
      </c>
      <c r="I758" s="20" t="n">
        <v>29.68</v>
      </c>
      <c r="J758" s="19" t="n">
        <f aca="false">IF(I758="","",MIN(Overview!$B$8,MAX(1,CEILING(I758/Overview!$B$7,1))))</f>
        <v>6</v>
      </c>
      <c r="K758" s="19" t="n">
        <v>1</v>
      </c>
      <c r="L758" s="19"/>
      <c r="M758" s="20"/>
      <c r="N758" s="19"/>
      <c r="O758" s="19"/>
      <c r="P758" s="19" t="s">
        <v>3264</v>
      </c>
      <c r="Q758" s="19" t="s">
        <v>2012</v>
      </c>
      <c r="R758" s="21" t="n">
        <v>45675</v>
      </c>
      <c r="S758" s="19" t="s">
        <v>3265</v>
      </c>
      <c r="T758" s="19" t="s">
        <v>3266</v>
      </c>
      <c r="U758" s="19" t="str">
        <f aca="false">HYPERLINK("https://macaulaylibrary.org/asset/630171996","Open")</f>
        <v>Open</v>
      </c>
      <c r="V758" s="19"/>
    </row>
    <row r="759" customFormat="false" ht="15" hidden="false" customHeight="false" outlineLevel="0" collapsed="false">
      <c r="A759" s="19" t="s">
        <v>3267</v>
      </c>
      <c r="B759" s="19" t="s">
        <v>943</v>
      </c>
      <c r="C759" s="19" t="s">
        <v>944</v>
      </c>
      <c r="D759" s="19" t="s">
        <v>148</v>
      </c>
      <c r="E759" s="19" t="s">
        <v>147</v>
      </c>
      <c r="F759" s="19" t="s">
        <v>310</v>
      </c>
      <c r="G759" s="19" t="n">
        <v>83</v>
      </c>
      <c r="H759" s="19" t="s">
        <v>311</v>
      </c>
      <c r="I759" s="20" t="n">
        <v>29.581</v>
      </c>
      <c r="J759" s="19" t="n">
        <f aca="false">IF(I759="","",MIN(Overview!$B$8,MAX(1,CEILING(I759/Overview!$B$7,1))))</f>
        <v>6</v>
      </c>
      <c r="K759" s="19" t="n">
        <v>1</v>
      </c>
      <c r="L759" s="19"/>
      <c r="M759" s="20"/>
      <c r="N759" s="19"/>
      <c r="O759" s="19"/>
      <c r="P759" s="19" t="s">
        <v>1946</v>
      </c>
      <c r="Q759" s="19" t="s">
        <v>1091</v>
      </c>
      <c r="R759" s="21" t="n">
        <v>45844</v>
      </c>
      <c r="S759" s="19" t="s">
        <v>1013</v>
      </c>
      <c r="T759" s="19" t="s">
        <v>3268</v>
      </c>
      <c r="U759" s="19" t="str">
        <f aca="false">HYPERLINK("https://macaulaylibrary.org/asset/643643850","Open")</f>
        <v>Open</v>
      </c>
      <c r="V759" s="19"/>
    </row>
    <row r="760" customFormat="false" ht="15" hidden="false" customHeight="false" outlineLevel="0" collapsed="false">
      <c r="A760" s="19" t="s">
        <v>3269</v>
      </c>
      <c r="B760" s="19" t="s">
        <v>943</v>
      </c>
      <c r="C760" s="19" t="s">
        <v>944</v>
      </c>
      <c r="D760" s="19" t="s">
        <v>148</v>
      </c>
      <c r="E760" s="19" t="s">
        <v>147</v>
      </c>
      <c r="F760" s="19" t="s">
        <v>310</v>
      </c>
      <c r="G760" s="19" t="n">
        <v>83</v>
      </c>
      <c r="H760" s="19" t="s">
        <v>311</v>
      </c>
      <c r="I760" s="20" t="n">
        <v>35.625</v>
      </c>
      <c r="J760" s="19" t="n">
        <f aca="false">IF(I760="","",MIN(Overview!$B$8,MAX(1,CEILING(I760/Overview!$B$7,1))))</f>
        <v>8</v>
      </c>
      <c r="K760" s="19" t="n">
        <v>1</v>
      </c>
      <c r="L760" s="19"/>
      <c r="M760" s="20" t="n">
        <v>4</v>
      </c>
      <c r="N760" s="19"/>
      <c r="O760" s="19"/>
      <c r="P760" s="19" t="s">
        <v>1949</v>
      </c>
      <c r="Q760" s="19" t="s">
        <v>1368</v>
      </c>
      <c r="R760" s="21" t="n">
        <v>45983</v>
      </c>
      <c r="S760" s="19" t="s">
        <v>1022</v>
      </c>
      <c r="T760" s="19" t="s">
        <v>3270</v>
      </c>
      <c r="U760" s="19" t="str">
        <f aca="false">HYPERLINK("https://macaulaylibrary.org/asset/646458238","Open")</f>
        <v>Open</v>
      </c>
      <c r="V760" s="19"/>
    </row>
    <row r="761" customFormat="false" ht="15" hidden="false" customHeight="false" outlineLevel="0" collapsed="false">
      <c r="A761" s="19" t="s">
        <v>3271</v>
      </c>
      <c r="B761" s="19" t="s">
        <v>943</v>
      </c>
      <c r="C761" s="19" t="s">
        <v>944</v>
      </c>
      <c r="D761" s="19" t="s">
        <v>148</v>
      </c>
      <c r="E761" s="19" t="s">
        <v>147</v>
      </c>
      <c r="F761" s="19" t="s">
        <v>310</v>
      </c>
      <c r="G761" s="19" t="n">
        <v>83</v>
      </c>
      <c r="H761" s="19" t="s">
        <v>311</v>
      </c>
      <c r="I761" s="20" t="n">
        <v>11.458</v>
      </c>
      <c r="J761" s="19" t="n">
        <f aca="false">IF(I761="","",MIN(Overview!$B$8,MAX(1,CEILING(I761/Overview!$B$7,1))))</f>
        <v>3</v>
      </c>
      <c r="K761" s="19" t="n">
        <v>1</v>
      </c>
      <c r="L761" s="19"/>
      <c r="M761" s="20" t="n">
        <v>2</v>
      </c>
      <c r="N761" s="19"/>
      <c r="O761" s="19" t="s">
        <v>3272</v>
      </c>
      <c r="P761" s="19" t="s">
        <v>1373</v>
      </c>
      <c r="Q761" s="19" t="s">
        <v>990</v>
      </c>
      <c r="R761" s="21" t="n">
        <v>46012</v>
      </c>
      <c r="S761" s="19" t="s">
        <v>1009</v>
      </c>
      <c r="T761" s="19" t="s">
        <v>3273</v>
      </c>
      <c r="U761" s="19" t="str">
        <f aca="false">HYPERLINK("https://macaulaylibrary.org/asset/647570665","Open")</f>
        <v>Open</v>
      </c>
      <c r="V761" s="19"/>
    </row>
    <row r="762" customFormat="false" ht="15" hidden="false" customHeight="false" outlineLevel="0" collapsed="false">
      <c r="A762" s="19" t="s">
        <v>3274</v>
      </c>
      <c r="B762" s="19" t="s">
        <v>943</v>
      </c>
      <c r="C762" s="19" t="s">
        <v>944</v>
      </c>
      <c r="D762" s="19" t="s">
        <v>148</v>
      </c>
      <c r="E762" s="19" t="s">
        <v>147</v>
      </c>
      <c r="F762" s="19" t="s">
        <v>310</v>
      </c>
      <c r="G762" s="19" t="n">
        <v>83</v>
      </c>
      <c r="H762" s="19" t="s">
        <v>311</v>
      </c>
      <c r="I762" s="20" t="n">
        <v>47.035</v>
      </c>
      <c r="J762" s="19" t="n">
        <f aca="false">IF(I762="","",MIN(Overview!$B$8,MAX(1,CEILING(I762/Overview!$B$7,1))))</f>
        <v>10</v>
      </c>
      <c r="K762" s="19" t="n">
        <v>1</v>
      </c>
      <c r="L762" s="19"/>
      <c r="M762" s="20" t="n">
        <v>3</v>
      </c>
      <c r="N762" s="19"/>
      <c r="O762" s="19" t="s">
        <v>3275</v>
      </c>
      <c r="P762" s="19" t="s">
        <v>1373</v>
      </c>
      <c r="Q762" s="19" t="s">
        <v>990</v>
      </c>
      <c r="R762" s="21" t="n">
        <v>46012</v>
      </c>
      <c r="S762" s="19" t="s">
        <v>1009</v>
      </c>
      <c r="T762" s="19" t="s">
        <v>3276</v>
      </c>
      <c r="U762" s="19" t="str">
        <f aca="false">HYPERLINK("https://macaulaylibrary.org/asset/647570774","Open")</f>
        <v>Open</v>
      </c>
      <c r="V762" s="19"/>
    </row>
    <row r="763" customFormat="false" ht="15" hidden="false" customHeight="false" outlineLevel="0" collapsed="false">
      <c r="A763" s="19" t="s">
        <v>3277</v>
      </c>
      <c r="B763" s="19" t="s">
        <v>943</v>
      </c>
      <c r="C763" s="19" t="s">
        <v>944</v>
      </c>
      <c r="D763" s="19" t="s">
        <v>148</v>
      </c>
      <c r="E763" s="19" t="s">
        <v>147</v>
      </c>
      <c r="F763" s="19" t="s">
        <v>310</v>
      </c>
      <c r="G763" s="19" t="n">
        <v>83</v>
      </c>
      <c r="H763" s="19" t="s">
        <v>311</v>
      </c>
      <c r="I763" s="20" t="n">
        <v>8.381</v>
      </c>
      <c r="J763" s="19" t="n">
        <f aca="false">IF(I763="","",MIN(Overview!$B$8,MAX(1,CEILING(I763/Overview!$B$7,1))))</f>
        <v>2</v>
      </c>
      <c r="K763" s="19" t="n">
        <v>1</v>
      </c>
      <c r="L763" s="19"/>
      <c r="M763" s="20"/>
      <c r="N763" s="19"/>
      <c r="O763" s="19"/>
      <c r="P763" s="19" t="s">
        <v>1347</v>
      </c>
      <c r="Q763" s="19" t="s">
        <v>1348</v>
      </c>
      <c r="R763" s="21" t="n">
        <v>46100</v>
      </c>
      <c r="S763" s="19" t="s">
        <v>1106</v>
      </c>
      <c r="T763" s="19" t="s">
        <v>3278</v>
      </c>
      <c r="U763" s="19" t="str">
        <f aca="false">HYPERLINK("https://macaulaylibrary.org/asset/654444540","Open")</f>
        <v>Open</v>
      </c>
      <c r="V763" s="19"/>
    </row>
    <row r="764" customFormat="false" ht="15" hidden="false" customHeight="false" outlineLevel="0" collapsed="false">
      <c r="A764" s="19" t="s">
        <v>3279</v>
      </c>
      <c r="B764" s="19" t="s">
        <v>943</v>
      </c>
      <c r="C764" s="19" t="s">
        <v>944</v>
      </c>
      <c r="D764" s="19" t="s">
        <v>148</v>
      </c>
      <c r="E764" s="19" t="s">
        <v>147</v>
      </c>
      <c r="F764" s="19" t="s">
        <v>310</v>
      </c>
      <c r="G764" s="19" t="n">
        <v>83</v>
      </c>
      <c r="H764" s="19" t="s">
        <v>311</v>
      </c>
      <c r="I764" s="20" t="n">
        <v>14.212</v>
      </c>
      <c r="J764" s="19" t="n">
        <f aca="false">IF(I764="","",MIN(Overview!$B$8,MAX(1,CEILING(I764/Overview!$B$7,1))))</f>
        <v>3</v>
      </c>
      <c r="K764" s="19" t="n">
        <v>1</v>
      </c>
      <c r="L764" s="19"/>
      <c r="M764" s="20"/>
      <c r="N764" s="19"/>
      <c r="O764" s="19" t="s">
        <v>3280</v>
      </c>
      <c r="P764" s="19" t="s">
        <v>2126</v>
      </c>
      <c r="Q764" s="19" t="s">
        <v>2127</v>
      </c>
      <c r="R764" s="21" t="n">
        <v>45300</v>
      </c>
      <c r="S764" s="19" t="s">
        <v>2128</v>
      </c>
      <c r="T764" s="19" t="s">
        <v>3281</v>
      </c>
      <c r="U764" s="19" t="str">
        <f aca="false">HYPERLINK("https://macaulaylibrary.org/asset/655862147","Open")</f>
        <v>Open</v>
      </c>
      <c r="V764" s="19"/>
    </row>
    <row r="765" customFormat="false" ht="15" hidden="false" customHeight="false" outlineLevel="0" collapsed="false">
      <c r="A765" s="19" t="s">
        <v>3282</v>
      </c>
      <c r="B765" s="19" t="s">
        <v>943</v>
      </c>
      <c r="C765" s="19" t="s">
        <v>944</v>
      </c>
      <c r="D765" s="19" t="s">
        <v>148</v>
      </c>
      <c r="E765" s="19" t="s">
        <v>147</v>
      </c>
      <c r="F765" s="19" t="s">
        <v>286</v>
      </c>
      <c r="G765" s="19" t="n">
        <v>85</v>
      </c>
      <c r="H765" s="19" t="s">
        <v>287</v>
      </c>
      <c r="I765" s="20" t="n">
        <v>8.169</v>
      </c>
      <c r="J765" s="19" t="n">
        <f aca="false">IF(I765="","",MIN(Overview!$B$8,MAX(1,CEILING(I765/Overview!$B$7,1))))</f>
        <v>2</v>
      </c>
      <c r="K765" s="19" t="n">
        <v>1</v>
      </c>
      <c r="L765" s="19"/>
      <c r="M765" s="20" t="n">
        <v>2.25</v>
      </c>
      <c r="N765" s="19"/>
      <c r="O765" s="19"/>
      <c r="P765" s="19" t="s">
        <v>1390</v>
      </c>
      <c r="Q765" s="19" t="s">
        <v>1021</v>
      </c>
      <c r="R765" s="21" t="n">
        <v>36596</v>
      </c>
      <c r="S765" s="19" t="s">
        <v>1137</v>
      </c>
      <c r="T765" s="19" t="s">
        <v>3283</v>
      </c>
      <c r="U765" s="19" t="str">
        <f aca="false">HYPERLINK("https://macaulaylibrary.org/asset/144844141","Open")</f>
        <v>Open</v>
      </c>
      <c r="V765" s="19"/>
    </row>
    <row r="766" customFormat="false" ht="15" hidden="false" customHeight="false" outlineLevel="0" collapsed="false">
      <c r="A766" s="19" t="s">
        <v>3284</v>
      </c>
      <c r="B766" s="19" t="s">
        <v>943</v>
      </c>
      <c r="C766" s="19" t="s">
        <v>944</v>
      </c>
      <c r="D766" s="19" t="s">
        <v>148</v>
      </c>
      <c r="E766" s="19" t="s">
        <v>147</v>
      </c>
      <c r="F766" s="19" t="s">
        <v>286</v>
      </c>
      <c r="G766" s="19" t="n">
        <v>85</v>
      </c>
      <c r="H766" s="19" t="s">
        <v>287</v>
      </c>
      <c r="I766" s="20" t="n">
        <v>15.049</v>
      </c>
      <c r="J766" s="19" t="n">
        <f aca="false">IF(I766="","",MIN(Overview!$B$8,MAX(1,CEILING(I766/Overview!$B$7,1))))</f>
        <v>4</v>
      </c>
      <c r="K766" s="19" t="n">
        <v>1</v>
      </c>
      <c r="L766" s="19"/>
      <c r="M766" s="20" t="n">
        <v>3</v>
      </c>
      <c r="N766" s="19"/>
      <c r="O766" s="19"/>
      <c r="P766" s="19" t="s">
        <v>1080</v>
      </c>
      <c r="Q766" s="19" t="s">
        <v>1021</v>
      </c>
      <c r="R766" s="21" t="n">
        <v>36602</v>
      </c>
      <c r="S766" s="19" t="s">
        <v>1081</v>
      </c>
      <c r="T766" s="19" t="s">
        <v>3285</v>
      </c>
      <c r="U766" s="19" t="str">
        <f aca="false">HYPERLINK("https://macaulaylibrary.org/asset/154144041","Open")</f>
        <v>Open</v>
      </c>
      <c r="V766" s="19"/>
    </row>
    <row r="767" customFormat="false" ht="15" hidden="false" customHeight="false" outlineLevel="0" collapsed="false">
      <c r="A767" s="19" t="s">
        <v>3286</v>
      </c>
      <c r="B767" s="19" t="s">
        <v>943</v>
      </c>
      <c r="C767" s="19" t="s">
        <v>944</v>
      </c>
      <c r="D767" s="19" t="s">
        <v>148</v>
      </c>
      <c r="E767" s="19" t="s">
        <v>147</v>
      </c>
      <c r="F767" s="19" t="s">
        <v>286</v>
      </c>
      <c r="G767" s="19" t="n">
        <v>85</v>
      </c>
      <c r="H767" s="19" t="s">
        <v>287</v>
      </c>
      <c r="I767" s="20" t="n">
        <v>33.822</v>
      </c>
      <c r="J767" s="19" t="n">
        <f aca="false">IF(I767="","",MIN(Overview!$B$8,MAX(1,CEILING(I767/Overview!$B$7,1))))</f>
        <v>7</v>
      </c>
      <c r="K767" s="19" t="n">
        <v>1</v>
      </c>
      <c r="L767" s="19"/>
      <c r="M767" s="20" t="n">
        <v>2</v>
      </c>
      <c r="N767" s="19"/>
      <c r="O767" s="19"/>
      <c r="P767" s="19" t="s">
        <v>1097</v>
      </c>
      <c r="Q767" s="19" t="s">
        <v>980</v>
      </c>
      <c r="R767" s="21" t="n">
        <v>32553</v>
      </c>
      <c r="S767" s="19"/>
      <c r="T767" s="19" t="s">
        <v>3287</v>
      </c>
      <c r="U767" s="19" t="str">
        <f aca="false">HYPERLINK("https://macaulaylibrary.org/asset/215328","Open")</f>
        <v>Open</v>
      </c>
      <c r="V767" s="19"/>
    </row>
    <row r="768" customFormat="false" ht="15" hidden="false" customHeight="false" outlineLevel="0" collapsed="false">
      <c r="A768" s="19" t="s">
        <v>3288</v>
      </c>
      <c r="B768" s="19" t="s">
        <v>943</v>
      </c>
      <c r="C768" s="19" t="s">
        <v>944</v>
      </c>
      <c r="D768" s="19" t="s">
        <v>148</v>
      </c>
      <c r="E768" s="19" t="s">
        <v>147</v>
      </c>
      <c r="F768" s="19" t="s">
        <v>286</v>
      </c>
      <c r="G768" s="19" t="n">
        <v>85</v>
      </c>
      <c r="H768" s="19" t="s">
        <v>287</v>
      </c>
      <c r="I768" s="20" t="n">
        <v>48.939</v>
      </c>
      <c r="J768" s="19" t="n">
        <f aca="false">IF(I768="","",MIN(Overview!$B$8,MAX(1,CEILING(I768/Overview!$B$7,1))))</f>
        <v>10</v>
      </c>
      <c r="K768" s="19" t="n">
        <v>1</v>
      </c>
      <c r="L768" s="19"/>
      <c r="M768" s="20" t="n">
        <v>3</v>
      </c>
      <c r="N768" s="19"/>
      <c r="O768" s="19"/>
      <c r="P768" s="19" t="s">
        <v>2677</v>
      </c>
      <c r="Q768" s="19" t="s">
        <v>965</v>
      </c>
      <c r="R768" s="21" t="n">
        <v>44183</v>
      </c>
      <c r="S768" s="19" t="s">
        <v>1022</v>
      </c>
      <c r="T768" s="19" t="s">
        <v>3289</v>
      </c>
      <c r="U768" s="19" t="str">
        <f aca="false">HYPERLINK("https://macaulaylibrary.org/asset/289815281","Open")</f>
        <v>Open</v>
      </c>
      <c r="V768" s="19"/>
    </row>
    <row r="769" customFormat="false" ht="15" hidden="false" customHeight="false" outlineLevel="0" collapsed="false">
      <c r="A769" s="19" t="s">
        <v>3290</v>
      </c>
      <c r="B769" s="19" t="s">
        <v>943</v>
      </c>
      <c r="C769" s="19" t="s">
        <v>944</v>
      </c>
      <c r="D769" s="19" t="s">
        <v>148</v>
      </c>
      <c r="E769" s="19" t="s">
        <v>147</v>
      </c>
      <c r="F769" s="19" t="s">
        <v>286</v>
      </c>
      <c r="G769" s="19" t="n">
        <v>85</v>
      </c>
      <c r="H769" s="19" t="s">
        <v>287</v>
      </c>
      <c r="I769" s="20" t="n">
        <v>10.559</v>
      </c>
      <c r="J769" s="19" t="n">
        <f aca="false">IF(I769="","",MIN(Overview!$B$8,MAX(1,CEILING(I769/Overview!$B$7,1))))</f>
        <v>3</v>
      </c>
      <c r="K769" s="19" t="n">
        <v>1</v>
      </c>
      <c r="L769" s="19"/>
      <c r="M769" s="20" t="n">
        <v>2.67</v>
      </c>
      <c r="N769" s="19"/>
      <c r="O769" s="19"/>
      <c r="P769" s="19" t="s">
        <v>1029</v>
      </c>
      <c r="Q769" s="19" t="s">
        <v>1030</v>
      </c>
      <c r="R769" s="21" t="n">
        <v>40251</v>
      </c>
      <c r="S769" s="19" t="s">
        <v>1602</v>
      </c>
      <c r="T769" s="19" t="s">
        <v>3291</v>
      </c>
      <c r="U769" s="19" t="str">
        <f aca="false">HYPERLINK("https://macaulaylibrary.org/asset/299649","Open")</f>
        <v>Open</v>
      </c>
      <c r="V769" s="19"/>
    </row>
    <row r="770" customFormat="false" ht="15" hidden="false" customHeight="false" outlineLevel="0" collapsed="false">
      <c r="A770" s="19" t="s">
        <v>3292</v>
      </c>
      <c r="B770" s="19" t="s">
        <v>943</v>
      </c>
      <c r="C770" s="19" t="s">
        <v>944</v>
      </c>
      <c r="D770" s="19" t="s">
        <v>148</v>
      </c>
      <c r="E770" s="19" t="s">
        <v>147</v>
      </c>
      <c r="F770" s="19" t="s">
        <v>286</v>
      </c>
      <c r="G770" s="19" t="n">
        <v>85</v>
      </c>
      <c r="H770" s="19" t="s">
        <v>287</v>
      </c>
      <c r="I770" s="20" t="n">
        <v>8.033</v>
      </c>
      <c r="J770" s="19" t="n">
        <f aca="false">IF(I770="","",MIN(Overview!$B$8,MAX(1,CEILING(I770/Overview!$B$7,1))))</f>
        <v>2</v>
      </c>
      <c r="K770" s="19" t="n">
        <v>1</v>
      </c>
      <c r="L770" s="19"/>
      <c r="M770" s="20" t="n">
        <v>3.67</v>
      </c>
      <c r="N770" s="19"/>
      <c r="O770" s="19"/>
      <c r="P770" s="19" t="s">
        <v>1029</v>
      </c>
      <c r="Q770" s="19" t="s">
        <v>1030</v>
      </c>
      <c r="R770" s="21" t="n">
        <v>40251</v>
      </c>
      <c r="S770" s="19" t="s">
        <v>1777</v>
      </c>
      <c r="T770" s="19" t="s">
        <v>3293</v>
      </c>
      <c r="U770" s="19" t="str">
        <f aca="false">HYPERLINK("https://macaulaylibrary.org/asset/299660","Open")</f>
        <v>Open</v>
      </c>
      <c r="V770" s="19"/>
    </row>
    <row r="771" customFormat="false" ht="15" hidden="false" customHeight="false" outlineLevel="0" collapsed="false">
      <c r="A771" s="19" t="s">
        <v>3294</v>
      </c>
      <c r="B771" s="19" t="s">
        <v>943</v>
      </c>
      <c r="C771" s="19" t="s">
        <v>944</v>
      </c>
      <c r="D771" s="19" t="s">
        <v>148</v>
      </c>
      <c r="E771" s="19" t="s">
        <v>147</v>
      </c>
      <c r="F771" s="19" t="s">
        <v>286</v>
      </c>
      <c r="G771" s="19" t="n">
        <v>85</v>
      </c>
      <c r="H771" s="19" t="s">
        <v>287</v>
      </c>
      <c r="I771" s="20" t="n">
        <v>6.981</v>
      </c>
      <c r="J771" s="19" t="n">
        <f aca="false">IF(I771="","",MIN(Overview!$B$8,MAX(1,CEILING(I771/Overview!$B$7,1))))</f>
        <v>2</v>
      </c>
      <c r="K771" s="19" t="n">
        <v>1</v>
      </c>
      <c r="L771" s="19"/>
      <c r="M771" s="20" t="n">
        <v>2.67</v>
      </c>
      <c r="N771" s="19"/>
      <c r="O771" s="19"/>
      <c r="P771" s="19" t="s">
        <v>3295</v>
      </c>
      <c r="Q771" s="19" t="s">
        <v>1040</v>
      </c>
      <c r="R771" s="21" t="n">
        <v>42737</v>
      </c>
      <c r="S771" s="19" t="s">
        <v>1081</v>
      </c>
      <c r="T771" s="19" t="s">
        <v>3296</v>
      </c>
      <c r="U771" s="19" t="str">
        <f aca="false">HYPERLINK("https://macaulaylibrary.org/asset/45453941","Open")</f>
        <v>Open</v>
      </c>
      <c r="V771" s="19"/>
    </row>
    <row r="772" customFormat="false" ht="15" hidden="false" customHeight="false" outlineLevel="0" collapsed="false">
      <c r="A772" s="19" t="s">
        <v>3297</v>
      </c>
      <c r="B772" s="19" t="s">
        <v>943</v>
      </c>
      <c r="C772" s="19" t="s">
        <v>944</v>
      </c>
      <c r="D772" s="19" t="s">
        <v>148</v>
      </c>
      <c r="E772" s="19" t="s">
        <v>147</v>
      </c>
      <c r="F772" s="19" t="s">
        <v>286</v>
      </c>
      <c r="G772" s="19" t="n">
        <v>85</v>
      </c>
      <c r="H772" s="19" t="s">
        <v>287</v>
      </c>
      <c r="I772" s="20" t="n">
        <v>39.538</v>
      </c>
      <c r="J772" s="19" t="n">
        <f aca="false">IF(I772="","",MIN(Overview!$B$8,MAX(1,CEILING(I772/Overview!$B$7,1))))</f>
        <v>8</v>
      </c>
      <c r="K772" s="19" t="n">
        <v>1</v>
      </c>
      <c r="L772" s="19"/>
      <c r="M772" s="20" t="n">
        <v>2.33</v>
      </c>
      <c r="N772" s="19"/>
      <c r="O772" s="19"/>
      <c r="P772" s="19" t="s">
        <v>3298</v>
      </c>
      <c r="Q772" s="19" t="s">
        <v>2245</v>
      </c>
      <c r="R772" s="21" t="n">
        <v>44971</v>
      </c>
      <c r="S772" s="19" t="s">
        <v>1534</v>
      </c>
      <c r="T772" s="19" t="s">
        <v>3299</v>
      </c>
      <c r="U772" s="19" t="str">
        <f aca="false">HYPERLINK("https://macaulaylibrary.org/asset/542522841","Open")</f>
        <v>Open</v>
      </c>
      <c r="V772" s="19"/>
    </row>
    <row r="773" customFormat="false" ht="15" hidden="false" customHeight="false" outlineLevel="0" collapsed="false">
      <c r="A773" s="19" t="s">
        <v>3300</v>
      </c>
      <c r="B773" s="19" t="s">
        <v>943</v>
      </c>
      <c r="C773" s="19" t="s">
        <v>944</v>
      </c>
      <c r="D773" s="19" t="s">
        <v>148</v>
      </c>
      <c r="E773" s="19" t="s">
        <v>147</v>
      </c>
      <c r="F773" s="19" t="s">
        <v>286</v>
      </c>
      <c r="G773" s="19" t="n">
        <v>85</v>
      </c>
      <c r="H773" s="19" t="s">
        <v>287</v>
      </c>
      <c r="I773" s="20" t="n">
        <v>22.5</v>
      </c>
      <c r="J773" s="19" t="n">
        <f aca="false">IF(I773="","",MIN(Overview!$B$8,MAX(1,CEILING(I773/Overview!$B$7,1))))</f>
        <v>5</v>
      </c>
      <c r="K773" s="19" t="n">
        <v>1</v>
      </c>
      <c r="L773" s="19"/>
      <c r="M773" s="20" t="n">
        <v>3.5</v>
      </c>
      <c r="N773" s="19"/>
      <c r="O773" s="19"/>
      <c r="P773" s="19" t="s">
        <v>1691</v>
      </c>
      <c r="Q773" s="19" t="s">
        <v>1692</v>
      </c>
      <c r="R773" s="21" t="n">
        <v>44992</v>
      </c>
      <c r="S773" s="19" t="s">
        <v>1693</v>
      </c>
      <c r="T773" s="19" t="s">
        <v>3301</v>
      </c>
      <c r="U773" s="19" t="str">
        <f aca="false">HYPERLINK("https://macaulaylibrary.org/asset/549044421","Open")</f>
        <v>Open</v>
      </c>
      <c r="V773" s="19"/>
    </row>
    <row r="774" customFormat="false" ht="15" hidden="false" customHeight="false" outlineLevel="0" collapsed="false">
      <c r="A774" s="19" t="s">
        <v>3302</v>
      </c>
      <c r="B774" s="19" t="s">
        <v>943</v>
      </c>
      <c r="C774" s="19" t="s">
        <v>944</v>
      </c>
      <c r="D774" s="19" t="s">
        <v>148</v>
      </c>
      <c r="E774" s="19" t="s">
        <v>147</v>
      </c>
      <c r="F774" s="19" t="s">
        <v>286</v>
      </c>
      <c r="G774" s="19" t="n">
        <v>85</v>
      </c>
      <c r="H774" s="19" t="s">
        <v>287</v>
      </c>
      <c r="I774" s="20" t="n">
        <v>32.811</v>
      </c>
      <c r="J774" s="19" t="n">
        <f aca="false">IF(I774="","",MIN(Overview!$B$8,MAX(1,CEILING(I774/Overview!$B$7,1))))</f>
        <v>7</v>
      </c>
      <c r="K774" s="19" t="n">
        <v>1</v>
      </c>
      <c r="L774" s="19"/>
      <c r="M774" s="20" t="n">
        <v>4.25</v>
      </c>
      <c r="N774" s="19"/>
      <c r="O774" s="19"/>
      <c r="P774" s="19" t="s">
        <v>2949</v>
      </c>
      <c r="Q774" s="19" t="s">
        <v>965</v>
      </c>
      <c r="R774" s="21" t="n">
        <v>45277</v>
      </c>
      <c r="S774" s="19" t="s">
        <v>1419</v>
      </c>
      <c r="T774" s="19" t="s">
        <v>3303</v>
      </c>
      <c r="U774" s="19" t="str">
        <f aca="false">HYPERLINK("https://macaulaylibrary.org/asset/612365001","Open")</f>
        <v>Open</v>
      </c>
      <c r="V774" s="19"/>
    </row>
    <row r="775" customFormat="false" ht="15" hidden="false" customHeight="false" outlineLevel="0" collapsed="false">
      <c r="A775" s="19" t="s">
        <v>3304</v>
      </c>
      <c r="B775" s="19" t="s">
        <v>943</v>
      </c>
      <c r="C775" s="19" t="s">
        <v>944</v>
      </c>
      <c r="D775" s="19" t="s">
        <v>148</v>
      </c>
      <c r="E775" s="19" t="s">
        <v>147</v>
      </c>
      <c r="F775" s="19" t="s">
        <v>286</v>
      </c>
      <c r="G775" s="19" t="n">
        <v>85</v>
      </c>
      <c r="H775" s="19" t="s">
        <v>287</v>
      </c>
      <c r="I775" s="20" t="n">
        <v>46.186</v>
      </c>
      <c r="J775" s="19" t="n">
        <f aca="false">IF(I775="","",MIN(Overview!$B$8,MAX(1,CEILING(I775/Overview!$B$7,1))))</f>
        <v>10</v>
      </c>
      <c r="K775" s="19" t="n">
        <v>1</v>
      </c>
      <c r="L775" s="19"/>
      <c r="M775" s="20" t="n">
        <v>4.33</v>
      </c>
      <c r="N775" s="19"/>
      <c r="O775" s="19"/>
      <c r="P775" s="19" t="s">
        <v>3222</v>
      </c>
      <c r="Q775" s="19" t="s">
        <v>1473</v>
      </c>
      <c r="R775" s="21" t="n">
        <v>45692</v>
      </c>
      <c r="S775" s="19" t="s">
        <v>1254</v>
      </c>
      <c r="T775" s="19" t="s">
        <v>3305</v>
      </c>
      <c r="U775" s="19" t="str">
        <f aca="false">HYPERLINK("https://macaulaylibrary.org/asset/630349826","Open")</f>
        <v>Open</v>
      </c>
      <c r="V775" s="19"/>
    </row>
    <row r="776" customFormat="false" ht="15" hidden="false" customHeight="false" outlineLevel="0" collapsed="false">
      <c r="A776" s="19" t="s">
        <v>3306</v>
      </c>
      <c r="B776" s="19" t="s">
        <v>943</v>
      </c>
      <c r="C776" s="19" t="s">
        <v>944</v>
      </c>
      <c r="D776" s="19" t="s">
        <v>148</v>
      </c>
      <c r="E776" s="19" t="s">
        <v>147</v>
      </c>
      <c r="F776" s="19" t="s">
        <v>286</v>
      </c>
      <c r="G776" s="19" t="n">
        <v>85</v>
      </c>
      <c r="H776" s="19" t="s">
        <v>287</v>
      </c>
      <c r="I776" s="20" t="n">
        <v>35.988</v>
      </c>
      <c r="J776" s="19" t="n">
        <f aca="false">IF(I776="","",MIN(Overview!$B$8,MAX(1,CEILING(I776/Overview!$B$7,1))))</f>
        <v>8</v>
      </c>
      <c r="K776" s="19" t="n">
        <v>1</v>
      </c>
      <c r="L776" s="19"/>
      <c r="M776" s="20" t="n">
        <v>5</v>
      </c>
      <c r="N776" s="19"/>
      <c r="O776" s="19"/>
      <c r="P776" s="19" t="s">
        <v>1949</v>
      </c>
      <c r="Q776" s="19" t="s">
        <v>1368</v>
      </c>
      <c r="R776" s="21" t="n">
        <v>45983</v>
      </c>
      <c r="S776" s="19" t="s">
        <v>1022</v>
      </c>
      <c r="T776" s="19" t="s">
        <v>3307</v>
      </c>
      <c r="U776" s="19" t="str">
        <f aca="false">HYPERLINK("https://macaulaylibrary.org/asset/646459959","Open")</f>
        <v>Open</v>
      </c>
      <c r="V776" s="19"/>
    </row>
    <row r="777" customFormat="false" ht="15" hidden="false" customHeight="false" outlineLevel="0" collapsed="false">
      <c r="A777" s="19" t="s">
        <v>3308</v>
      </c>
      <c r="B777" s="19" t="s">
        <v>943</v>
      </c>
      <c r="C777" s="19" t="s">
        <v>944</v>
      </c>
      <c r="D777" s="19" t="s">
        <v>148</v>
      </c>
      <c r="E777" s="19" t="s">
        <v>147</v>
      </c>
      <c r="F777" s="19" t="s">
        <v>286</v>
      </c>
      <c r="G777" s="19" t="n">
        <v>85</v>
      </c>
      <c r="H777" s="19" t="s">
        <v>287</v>
      </c>
      <c r="I777" s="20" t="n">
        <v>13.125</v>
      </c>
      <c r="J777" s="19" t="n">
        <f aca="false">IF(I777="","",MIN(Overview!$B$8,MAX(1,CEILING(I777/Overview!$B$7,1))))</f>
        <v>3</v>
      </c>
      <c r="K777" s="19" t="n">
        <v>1</v>
      </c>
      <c r="L777" s="19"/>
      <c r="M777" s="20" t="n">
        <v>5</v>
      </c>
      <c r="N777" s="19"/>
      <c r="O777" s="19" t="s">
        <v>3309</v>
      </c>
      <c r="P777" s="19" t="s">
        <v>3310</v>
      </c>
      <c r="Q777" s="19" t="s">
        <v>990</v>
      </c>
      <c r="R777" s="21" t="n">
        <v>46011</v>
      </c>
      <c r="S777" s="19" t="s">
        <v>3311</v>
      </c>
      <c r="T777" s="19" t="s">
        <v>3312</v>
      </c>
      <c r="U777" s="19" t="str">
        <f aca="false">HYPERLINK("https://macaulaylibrary.org/asset/647336477","Open")</f>
        <v>Open</v>
      </c>
      <c r="V777" s="19"/>
    </row>
    <row r="778" customFormat="false" ht="15" hidden="false" customHeight="false" outlineLevel="0" collapsed="false">
      <c r="A778" s="19" t="s">
        <v>3313</v>
      </c>
      <c r="B778" s="19" t="s">
        <v>943</v>
      </c>
      <c r="C778" s="19" t="s">
        <v>944</v>
      </c>
      <c r="D778" s="19" t="s">
        <v>148</v>
      </c>
      <c r="E778" s="19" t="s">
        <v>147</v>
      </c>
      <c r="F778" s="19" t="s">
        <v>286</v>
      </c>
      <c r="G778" s="19" t="n">
        <v>85</v>
      </c>
      <c r="H778" s="19" t="s">
        <v>287</v>
      </c>
      <c r="I778" s="20" t="n">
        <v>9.427</v>
      </c>
      <c r="J778" s="19" t="n">
        <f aca="false">IF(I778="","",MIN(Overview!$B$8,MAX(1,CEILING(I778/Overview!$B$7,1))))</f>
        <v>2</v>
      </c>
      <c r="K778" s="19" t="n">
        <v>1</v>
      </c>
      <c r="L778" s="19"/>
      <c r="M778" s="20"/>
      <c r="N778" s="19"/>
      <c r="O778" s="19"/>
      <c r="P778" s="19" t="s">
        <v>2146</v>
      </c>
      <c r="Q778" s="19" t="s">
        <v>1382</v>
      </c>
      <c r="R778" s="21" t="n">
        <v>46104</v>
      </c>
      <c r="S778" s="19" t="s">
        <v>2147</v>
      </c>
      <c r="T778" s="19" t="s">
        <v>3314</v>
      </c>
      <c r="U778" s="19" t="str">
        <f aca="false">HYPERLINK("https://macaulaylibrary.org/asset/654603769","Open")</f>
        <v>Open</v>
      </c>
      <c r="V778" s="19"/>
    </row>
    <row r="779" customFormat="false" ht="15" hidden="false" customHeight="false" outlineLevel="0" collapsed="false">
      <c r="A779" s="19" t="s">
        <v>3315</v>
      </c>
      <c r="B779" s="19" t="s">
        <v>943</v>
      </c>
      <c r="C779" s="19" t="s">
        <v>944</v>
      </c>
      <c r="D779" s="19" t="s">
        <v>148</v>
      </c>
      <c r="E779" s="19" t="s">
        <v>147</v>
      </c>
      <c r="F779" s="19" t="s">
        <v>316</v>
      </c>
      <c r="G779" s="19" t="n">
        <v>86</v>
      </c>
      <c r="H779" s="19" t="s">
        <v>317</v>
      </c>
      <c r="I779" s="20" t="n">
        <v>6.655</v>
      </c>
      <c r="J779" s="19" t="n">
        <f aca="false">IF(I779="","",MIN(Overview!$B$8,MAX(1,CEILING(I779/Overview!$B$7,1))))</f>
        <v>2</v>
      </c>
      <c r="K779" s="19" t="n">
        <v>1</v>
      </c>
      <c r="L779" s="19"/>
      <c r="M779" s="20" t="n">
        <v>1</v>
      </c>
      <c r="N779" s="19"/>
      <c r="O779" s="19"/>
      <c r="P779" s="19" t="s">
        <v>3316</v>
      </c>
      <c r="Q779" s="19" t="s">
        <v>1289</v>
      </c>
      <c r="R779" s="21" t="n">
        <v>42534</v>
      </c>
      <c r="S779" s="19" t="s">
        <v>1369</v>
      </c>
      <c r="T779" s="19" t="s">
        <v>3317</v>
      </c>
      <c r="U779" s="19" t="str">
        <f aca="false">HYPERLINK("https://macaulaylibrary.org/asset/32704891","Open")</f>
        <v>Open</v>
      </c>
      <c r="V779" s="19"/>
    </row>
    <row r="780" customFormat="false" ht="15" hidden="false" customHeight="false" outlineLevel="0" collapsed="false">
      <c r="A780" s="19" t="s">
        <v>3318</v>
      </c>
      <c r="B780" s="19" t="s">
        <v>943</v>
      </c>
      <c r="C780" s="19" t="s">
        <v>944</v>
      </c>
      <c r="D780" s="19" t="s">
        <v>148</v>
      </c>
      <c r="E780" s="19" t="s">
        <v>147</v>
      </c>
      <c r="F780" s="19" t="s">
        <v>316</v>
      </c>
      <c r="G780" s="19" t="n">
        <v>86</v>
      </c>
      <c r="H780" s="19" t="s">
        <v>317</v>
      </c>
      <c r="I780" s="20" t="n">
        <v>58.014</v>
      </c>
      <c r="J780" s="19" t="n">
        <f aca="false">IF(I780="","",MIN(Overview!$B$8,MAX(1,CEILING(I780/Overview!$B$7,1))))</f>
        <v>12</v>
      </c>
      <c r="K780" s="19" t="n">
        <v>1</v>
      </c>
      <c r="L780" s="19"/>
      <c r="M780" s="20" t="n">
        <v>3</v>
      </c>
      <c r="N780" s="19"/>
      <c r="O780" s="19" t="s">
        <v>209</v>
      </c>
      <c r="P780" s="19" t="s">
        <v>3319</v>
      </c>
      <c r="Q780" s="19" t="s">
        <v>2085</v>
      </c>
      <c r="R780" s="21" t="n">
        <v>44913</v>
      </c>
      <c r="S780" s="19" t="s">
        <v>1245</v>
      </c>
      <c r="T780" s="19" t="s">
        <v>3320</v>
      </c>
      <c r="U780" s="19" t="str">
        <f aca="false">HYPERLINK("https://macaulaylibrary.org/asset/515649331","Open")</f>
        <v>Open</v>
      </c>
      <c r="V780" s="19"/>
    </row>
    <row r="781" customFormat="false" ht="15" hidden="false" customHeight="false" outlineLevel="0" collapsed="false">
      <c r="A781" s="19" t="s">
        <v>3321</v>
      </c>
      <c r="B781" s="19" t="s">
        <v>943</v>
      </c>
      <c r="C781" s="19" t="s">
        <v>944</v>
      </c>
      <c r="D781" s="19" t="s">
        <v>148</v>
      </c>
      <c r="E781" s="19" t="s">
        <v>147</v>
      </c>
      <c r="F781" s="19" t="s">
        <v>316</v>
      </c>
      <c r="G781" s="19" t="n">
        <v>86</v>
      </c>
      <c r="H781" s="19" t="s">
        <v>317</v>
      </c>
      <c r="I781" s="20" t="n">
        <v>33.92</v>
      </c>
      <c r="J781" s="19" t="n">
        <f aca="false">IF(I781="","",MIN(Overview!$B$8,MAX(1,CEILING(I781/Overview!$B$7,1))))</f>
        <v>7</v>
      </c>
      <c r="K781" s="19" t="n">
        <v>1</v>
      </c>
      <c r="L781" s="19"/>
      <c r="M781" s="20" t="n">
        <v>3</v>
      </c>
      <c r="N781" s="19"/>
      <c r="O781" s="19"/>
      <c r="P781" s="19" t="s">
        <v>2398</v>
      </c>
      <c r="Q781" s="19" t="s">
        <v>951</v>
      </c>
      <c r="R781" s="21" t="n">
        <v>45222</v>
      </c>
      <c r="S781" s="19" t="s">
        <v>1098</v>
      </c>
      <c r="T781" s="19" t="s">
        <v>3322</v>
      </c>
      <c r="U781" s="19" t="str">
        <f aca="false">HYPERLINK("https://macaulaylibrary.org/asset/610541433","Open")</f>
        <v>Open</v>
      </c>
      <c r="V781" s="19"/>
    </row>
    <row r="782" customFormat="false" ht="15" hidden="false" customHeight="false" outlineLevel="0" collapsed="false">
      <c r="A782" s="19" t="s">
        <v>3323</v>
      </c>
      <c r="B782" s="19" t="s">
        <v>943</v>
      </c>
      <c r="C782" s="19" t="s">
        <v>944</v>
      </c>
      <c r="D782" s="19" t="s">
        <v>148</v>
      </c>
      <c r="E782" s="19" t="s">
        <v>147</v>
      </c>
      <c r="F782" s="19" t="s">
        <v>316</v>
      </c>
      <c r="G782" s="19" t="n">
        <v>86</v>
      </c>
      <c r="H782" s="19" t="s">
        <v>317</v>
      </c>
      <c r="I782" s="20" t="n">
        <v>17.68</v>
      </c>
      <c r="J782" s="19" t="n">
        <f aca="false">IF(I782="","",MIN(Overview!$B$8,MAX(1,CEILING(I782/Overview!$B$7,1))))</f>
        <v>4</v>
      </c>
      <c r="K782" s="19" t="n">
        <v>1</v>
      </c>
      <c r="L782" s="19"/>
      <c r="M782" s="20" t="n">
        <v>3.67</v>
      </c>
      <c r="N782" s="19"/>
      <c r="O782" s="19"/>
      <c r="P782" s="19" t="s">
        <v>950</v>
      </c>
      <c r="Q782" s="19" t="s">
        <v>951</v>
      </c>
      <c r="R782" s="21" t="n">
        <v>45223</v>
      </c>
      <c r="S782" s="19" t="s">
        <v>952</v>
      </c>
      <c r="T782" s="19" t="s">
        <v>3324</v>
      </c>
      <c r="U782" s="19" t="str">
        <f aca="false">HYPERLINK("https://macaulaylibrary.org/asset/610572821","Open")</f>
        <v>Open</v>
      </c>
      <c r="V782" s="19"/>
    </row>
    <row r="783" customFormat="false" ht="15" hidden="false" customHeight="false" outlineLevel="0" collapsed="false">
      <c r="A783" s="19" t="s">
        <v>3325</v>
      </c>
      <c r="B783" s="19" t="s">
        <v>943</v>
      </c>
      <c r="C783" s="19" t="s">
        <v>944</v>
      </c>
      <c r="D783" s="19" t="s">
        <v>148</v>
      </c>
      <c r="E783" s="19" t="s">
        <v>147</v>
      </c>
      <c r="F783" s="19" t="s">
        <v>316</v>
      </c>
      <c r="G783" s="19" t="n">
        <v>86</v>
      </c>
      <c r="H783" s="19" t="s">
        <v>317</v>
      </c>
      <c r="I783" s="20" t="n">
        <v>83.18</v>
      </c>
      <c r="J783" s="19" t="n">
        <f aca="false">IF(I783="","",MIN(Overview!$B$8,MAX(1,CEILING(I783/Overview!$B$7,1))))</f>
        <v>17</v>
      </c>
      <c r="K783" s="19" t="n">
        <v>1</v>
      </c>
      <c r="L783" s="19"/>
      <c r="M783" s="20"/>
      <c r="N783" s="19"/>
      <c r="O783" s="19"/>
      <c r="P783" s="19" t="s">
        <v>3326</v>
      </c>
      <c r="Q783" s="19" t="s">
        <v>1086</v>
      </c>
      <c r="R783" s="21" t="n">
        <v>45297</v>
      </c>
      <c r="S783" s="19" t="s">
        <v>1584</v>
      </c>
      <c r="T783" s="19" t="s">
        <v>3327</v>
      </c>
      <c r="U783" s="19" t="str">
        <f aca="false">HYPERLINK("https://macaulaylibrary.org/asset/614020108","Open")</f>
        <v>Open</v>
      </c>
      <c r="V783" s="19"/>
    </row>
    <row r="784" customFormat="false" ht="15" hidden="false" customHeight="false" outlineLevel="0" collapsed="false">
      <c r="A784" s="19" t="s">
        <v>3328</v>
      </c>
      <c r="B784" s="19" t="s">
        <v>943</v>
      </c>
      <c r="C784" s="19" t="s">
        <v>944</v>
      </c>
      <c r="D784" s="19" t="s">
        <v>148</v>
      </c>
      <c r="E784" s="19" t="s">
        <v>147</v>
      </c>
      <c r="F784" s="19" t="s">
        <v>316</v>
      </c>
      <c r="G784" s="19" t="n">
        <v>86</v>
      </c>
      <c r="H784" s="19" t="s">
        <v>317</v>
      </c>
      <c r="I784" s="20" t="n">
        <v>59.839</v>
      </c>
      <c r="J784" s="19" t="n">
        <f aca="false">IF(I784="","",MIN(Overview!$B$8,MAX(1,CEILING(I784/Overview!$B$7,1))))</f>
        <v>12</v>
      </c>
      <c r="K784" s="19" t="n">
        <v>1</v>
      </c>
      <c r="L784" s="19"/>
      <c r="M784" s="20" t="n">
        <v>2</v>
      </c>
      <c r="N784" s="19"/>
      <c r="O784" s="19"/>
      <c r="P784" s="19" t="s">
        <v>1085</v>
      </c>
      <c r="Q784" s="19" t="s">
        <v>1086</v>
      </c>
      <c r="R784" s="21" t="n">
        <v>45298</v>
      </c>
      <c r="S784" s="19" t="s">
        <v>1087</v>
      </c>
      <c r="T784" s="19" t="s">
        <v>3329</v>
      </c>
      <c r="U784" s="19" t="str">
        <f aca="false">HYPERLINK("https://macaulaylibrary.org/asset/614027099","Open")</f>
        <v>Open</v>
      </c>
      <c r="V784" s="19"/>
    </row>
    <row r="785" customFormat="false" ht="15" hidden="false" customHeight="false" outlineLevel="0" collapsed="false">
      <c r="A785" s="19" t="s">
        <v>3330</v>
      </c>
      <c r="B785" s="19" t="s">
        <v>943</v>
      </c>
      <c r="C785" s="19" t="s">
        <v>944</v>
      </c>
      <c r="D785" s="19" t="s">
        <v>148</v>
      </c>
      <c r="E785" s="19" t="s">
        <v>147</v>
      </c>
      <c r="F785" s="19" t="s">
        <v>316</v>
      </c>
      <c r="G785" s="19" t="n">
        <v>86</v>
      </c>
      <c r="H785" s="19" t="s">
        <v>317</v>
      </c>
      <c r="I785" s="20" t="n">
        <v>9.6</v>
      </c>
      <c r="J785" s="19" t="n">
        <f aca="false">IF(I785="","",MIN(Overview!$B$8,MAX(1,CEILING(I785/Overview!$B$7,1))))</f>
        <v>2</v>
      </c>
      <c r="K785" s="19" t="n">
        <v>1</v>
      </c>
      <c r="L785" s="19"/>
      <c r="M785" s="20" t="n">
        <v>2</v>
      </c>
      <c r="N785" s="19"/>
      <c r="O785" s="19"/>
      <c r="P785" s="19" t="s">
        <v>3331</v>
      </c>
      <c r="Q785" s="19" t="s">
        <v>3332</v>
      </c>
      <c r="R785" s="21" t="n">
        <v>45531</v>
      </c>
      <c r="S785" s="19" t="s">
        <v>2784</v>
      </c>
      <c r="T785" s="19" t="s">
        <v>3333</v>
      </c>
      <c r="U785" s="19" t="str">
        <f aca="false">HYPERLINK("https://macaulaylibrary.org/asset/623161900","Open")</f>
        <v>Open</v>
      </c>
      <c r="V785" s="19"/>
    </row>
    <row r="786" customFormat="false" ht="15" hidden="false" customHeight="false" outlineLevel="0" collapsed="false">
      <c r="A786" s="19" t="s">
        <v>3334</v>
      </c>
      <c r="B786" s="19" t="s">
        <v>943</v>
      </c>
      <c r="C786" s="19" t="s">
        <v>944</v>
      </c>
      <c r="D786" s="19" t="s">
        <v>148</v>
      </c>
      <c r="E786" s="19" t="s">
        <v>147</v>
      </c>
      <c r="F786" s="19" t="s">
        <v>316</v>
      </c>
      <c r="G786" s="19" t="n">
        <v>86</v>
      </c>
      <c r="H786" s="19" t="s">
        <v>317</v>
      </c>
      <c r="I786" s="20" t="n">
        <v>16.416</v>
      </c>
      <c r="J786" s="19" t="n">
        <f aca="false">IF(I786="","",MIN(Overview!$B$8,MAX(1,CEILING(I786/Overview!$B$7,1))))</f>
        <v>4</v>
      </c>
      <c r="K786" s="19" t="n">
        <v>1</v>
      </c>
      <c r="L786" s="19"/>
      <c r="M786" s="20" t="n">
        <v>2</v>
      </c>
      <c r="N786" s="19"/>
      <c r="O786" s="19" t="s">
        <v>3335</v>
      </c>
      <c r="P786" s="19" t="s">
        <v>1631</v>
      </c>
      <c r="Q786" s="19" t="s">
        <v>990</v>
      </c>
      <c r="R786" s="21" t="n">
        <v>46012</v>
      </c>
      <c r="S786" s="19" t="s">
        <v>1632</v>
      </c>
      <c r="T786" s="19" t="s">
        <v>3336</v>
      </c>
      <c r="U786" s="19" t="str">
        <f aca="false">HYPERLINK("https://macaulaylibrary.org/asset/647329633","Open")</f>
        <v>Open</v>
      </c>
      <c r="V786" s="19"/>
    </row>
    <row r="787" customFormat="false" ht="15" hidden="false" customHeight="false" outlineLevel="0" collapsed="false">
      <c r="A787" s="19" t="s">
        <v>3337</v>
      </c>
      <c r="B787" s="19" t="s">
        <v>943</v>
      </c>
      <c r="C787" s="19" t="s">
        <v>944</v>
      </c>
      <c r="D787" s="19" t="s">
        <v>148</v>
      </c>
      <c r="E787" s="19" t="s">
        <v>147</v>
      </c>
      <c r="F787" s="19" t="s">
        <v>316</v>
      </c>
      <c r="G787" s="19" t="n">
        <v>86</v>
      </c>
      <c r="H787" s="19" t="s">
        <v>317</v>
      </c>
      <c r="I787" s="20" t="n">
        <v>44.48</v>
      </c>
      <c r="J787" s="19" t="n">
        <f aca="false">IF(I787="","",MIN(Overview!$B$8,MAX(1,CEILING(I787/Overview!$B$7,1))))</f>
        <v>9</v>
      </c>
      <c r="K787" s="19" t="n">
        <v>1</v>
      </c>
      <c r="L787" s="19"/>
      <c r="M787" s="20" t="n">
        <v>4</v>
      </c>
      <c r="N787" s="19"/>
      <c r="O787" s="19"/>
      <c r="P787" s="19" t="s">
        <v>964</v>
      </c>
      <c r="Q787" s="19" t="s">
        <v>965</v>
      </c>
      <c r="R787" s="21" t="n">
        <v>46011</v>
      </c>
      <c r="S787" s="19" t="s">
        <v>966</v>
      </c>
      <c r="T787" s="19" t="s">
        <v>3338</v>
      </c>
      <c r="U787" s="19" t="str">
        <f aca="false">HYPERLINK("https://macaulaylibrary.org/asset/647448070","Open")</f>
        <v>Open</v>
      </c>
      <c r="V787" s="19"/>
    </row>
    <row r="788" customFormat="false" ht="15" hidden="false" customHeight="false" outlineLevel="0" collapsed="false">
      <c r="A788" s="19" t="s">
        <v>3339</v>
      </c>
      <c r="B788" s="19" t="s">
        <v>943</v>
      </c>
      <c r="C788" s="19" t="s">
        <v>944</v>
      </c>
      <c r="D788" s="19" t="s">
        <v>148</v>
      </c>
      <c r="E788" s="19" t="s">
        <v>147</v>
      </c>
      <c r="F788" s="19" t="s">
        <v>316</v>
      </c>
      <c r="G788" s="19" t="n">
        <v>86</v>
      </c>
      <c r="H788" s="19" t="s">
        <v>317</v>
      </c>
      <c r="I788" s="20" t="n">
        <v>69.628</v>
      </c>
      <c r="J788" s="19" t="n">
        <f aca="false">IF(I788="","",MIN(Overview!$B$8,MAX(1,CEILING(I788/Overview!$B$7,1))))</f>
        <v>14</v>
      </c>
      <c r="K788" s="19" t="n">
        <v>1</v>
      </c>
      <c r="L788" s="19"/>
      <c r="M788" s="20" t="n">
        <v>2.2</v>
      </c>
      <c r="N788" s="19"/>
      <c r="O788" s="19"/>
      <c r="P788" s="19" t="s">
        <v>1217</v>
      </c>
      <c r="Q788" s="19" t="s">
        <v>1218</v>
      </c>
      <c r="R788" s="21" t="n">
        <v>33330</v>
      </c>
      <c r="S788" s="19" t="s">
        <v>1106</v>
      </c>
      <c r="T788" s="19" t="s">
        <v>3340</v>
      </c>
      <c r="U788" s="19" t="str">
        <f aca="false">HYPERLINK("https://macaulaylibrary.org/asset/76615","Open")</f>
        <v>Open</v>
      </c>
      <c r="V788" s="19"/>
    </row>
    <row r="789" customFormat="false" ht="15" hidden="false" customHeight="false" outlineLevel="0" collapsed="false">
      <c r="A789" s="19" t="s">
        <v>3341</v>
      </c>
      <c r="B789" s="19" t="s">
        <v>943</v>
      </c>
      <c r="C789" s="19" t="s">
        <v>944</v>
      </c>
      <c r="D789" s="19" t="s">
        <v>148</v>
      </c>
      <c r="E789" s="19" t="s">
        <v>147</v>
      </c>
      <c r="F789" s="19" t="s">
        <v>316</v>
      </c>
      <c r="G789" s="19" t="n">
        <v>86</v>
      </c>
      <c r="H789" s="19" t="s">
        <v>317</v>
      </c>
      <c r="I789" s="20" t="n">
        <v>20.693</v>
      </c>
      <c r="J789" s="19" t="n">
        <f aca="false">IF(I789="","",MIN(Overview!$B$8,MAX(1,CEILING(I789/Overview!$B$7,1))))</f>
        <v>5</v>
      </c>
      <c r="K789" s="19" t="n">
        <v>1</v>
      </c>
      <c r="L789" s="19"/>
      <c r="M789" s="20" t="n">
        <v>2.5</v>
      </c>
      <c r="N789" s="19"/>
      <c r="O789" s="19"/>
      <c r="P789" s="19" t="s">
        <v>1871</v>
      </c>
      <c r="Q789" s="19" t="s">
        <v>1847</v>
      </c>
      <c r="R789" s="21" t="n">
        <v>43161</v>
      </c>
      <c r="S789" s="19" t="s">
        <v>1872</v>
      </c>
      <c r="T789" s="19" t="s">
        <v>3342</v>
      </c>
      <c r="U789" s="19" t="str">
        <f aca="false">HYPERLINK("https://macaulaylibrary.org/asset/89671661","Open")</f>
        <v>Open</v>
      </c>
      <c r="V789" s="19"/>
    </row>
    <row r="790" customFormat="false" ht="15" hidden="false" customHeight="false" outlineLevel="0" collapsed="false">
      <c r="A790" s="19" t="s">
        <v>3343</v>
      </c>
      <c r="B790" s="19" t="s">
        <v>943</v>
      </c>
      <c r="C790" s="19" t="s">
        <v>944</v>
      </c>
      <c r="D790" s="19" t="s">
        <v>714</v>
      </c>
      <c r="E790" s="19" t="s">
        <v>147</v>
      </c>
      <c r="F790" s="19" t="s">
        <v>711</v>
      </c>
      <c r="G790" s="19" t="n">
        <v>88</v>
      </c>
      <c r="H790" s="19" t="s">
        <v>712</v>
      </c>
      <c r="I790" s="20" t="n">
        <v>535.058</v>
      </c>
      <c r="J790" s="19" t="n">
        <f aca="false">IF(I790="","",MIN(Overview!$B$8,MAX(1,CEILING(I790/Overview!$B$7,1))))</f>
        <v>108</v>
      </c>
      <c r="K790" s="19" t="n">
        <v>1</v>
      </c>
      <c r="L790" s="19"/>
      <c r="M790" s="20" t="n">
        <v>3.8</v>
      </c>
      <c r="N790" s="19"/>
      <c r="O790" s="19"/>
      <c r="P790" s="19" t="s">
        <v>2275</v>
      </c>
      <c r="Q790" s="19" t="s">
        <v>980</v>
      </c>
      <c r="R790" s="21" t="n">
        <v>34123</v>
      </c>
      <c r="S790" s="19" t="s">
        <v>1200</v>
      </c>
      <c r="T790" s="19" t="s">
        <v>3344</v>
      </c>
      <c r="U790" s="19" t="str">
        <f aca="false">HYPERLINK("https://macaulaylibrary.org/asset/209464","Open")</f>
        <v>Open</v>
      </c>
      <c r="V790" s="19"/>
    </row>
    <row r="791" customFormat="false" ht="15" hidden="false" customHeight="false" outlineLevel="0" collapsed="false">
      <c r="A791" s="19" t="s">
        <v>3345</v>
      </c>
      <c r="B791" s="19" t="s">
        <v>943</v>
      </c>
      <c r="C791" s="19" t="s">
        <v>944</v>
      </c>
      <c r="D791" s="19" t="s">
        <v>714</v>
      </c>
      <c r="E791" s="19" t="s">
        <v>147</v>
      </c>
      <c r="F791" s="19" t="s">
        <v>711</v>
      </c>
      <c r="G791" s="19" t="n">
        <v>88</v>
      </c>
      <c r="H791" s="19" t="s">
        <v>712</v>
      </c>
      <c r="I791" s="20" t="n">
        <v>39.907</v>
      </c>
      <c r="J791" s="19" t="n">
        <f aca="false">IF(I791="","",MIN(Overview!$B$8,MAX(1,CEILING(I791/Overview!$B$7,1))))</f>
        <v>8</v>
      </c>
      <c r="K791" s="19" t="n">
        <v>1</v>
      </c>
      <c r="L791" s="19"/>
      <c r="M791" s="20" t="n">
        <v>3</v>
      </c>
      <c r="N791" s="19"/>
      <c r="O791" s="19"/>
      <c r="P791" s="19" t="s">
        <v>2275</v>
      </c>
      <c r="Q791" s="19" t="s">
        <v>980</v>
      </c>
      <c r="R791" s="21" t="n">
        <v>34123</v>
      </c>
      <c r="S791" s="19" t="s">
        <v>3346</v>
      </c>
      <c r="T791" s="19" t="s">
        <v>3347</v>
      </c>
      <c r="U791" s="19" t="str">
        <f aca="false">HYPERLINK("https://macaulaylibrary.org/asset/209466","Open")</f>
        <v>Open</v>
      </c>
      <c r="V791" s="19"/>
    </row>
    <row r="792" customFormat="false" ht="15" hidden="false" customHeight="false" outlineLevel="0" collapsed="false">
      <c r="A792" s="19" t="s">
        <v>3348</v>
      </c>
      <c r="B792" s="19" t="s">
        <v>1005</v>
      </c>
      <c r="C792" s="19" t="s">
        <v>944</v>
      </c>
      <c r="D792" s="19" t="s">
        <v>647</v>
      </c>
      <c r="E792" s="19" t="s">
        <v>147</v>
      </c>
      <c r="F792" s="19" t="s">
        <v>715</v>
      </c>
      <c r="G792" s="19" t="n">
        <v>89</v>
      </c>
      <c r="H792" s="19" t="s">
        <v>716</v>
      </c>
      <c r="I792" s="20" t="n">
        <v>279</v>
      </c>
      <c r="J792" s="19" t="n">
        <f aca="false">IF(I792="","",MIN(Overview!$B$8,MAX(1,CEILING(I792/Overview!$B$7,1))))</f>
        <v>56</v>
      </c>
      <c r="K792" s="19" t="n">
        <v>1</v>
      </c>
      <c r="L792" s="19"/>
      <c r="M792" s="20"/>
      <c r="N792" s="19" t="s">
        <v>1006</v>
      </c>
      <c r="O792" s="19"/>
      <c r="P792" s="19" t="s">
        <v>2911</v>
      </c>
      <c r="Q792" s="19" t="s">
        <v>1008</v>
      </c>
      <c r="R792" s="21" t="n">
        <v>42580</v>
      </c>
      <c r="S792" s="19" t="s">
        <v>1302</v>
      </c>
      <c r="T792" s="19" t="s">
        <v>3349</v>
      </c>
      <c r="U792" s="19" t="str">
        <f aca="false">HYPERLINK("https://xeno-canto.org/332230","Open")</f>
        <v>Open</v>
      </c>
      <c r="V792" s="19" t="s">
        <v>1660</v>
      </c>
    </row>
    <row r="793" customFormat="false" ht="15" hidden="false" customHeight="false" outlineLevel="0" collapsed="false">
      <c r="A793" s="19" t="s">
        <v>3350</v>
      </c>
      <c r="B793" s="19" t="s">
        <v>1005</v>
      </c>
      <c r="C793" s="19" t="s">
        <v>944</v>
      </c>
      <c r="D793" s="19" t="s">
        <v>647</v>
      </c>
      <c r="E793" s="19" t="s">
        <v>147</v>
      </c>
      <c r="F793" s="19" t="s">
        <v>715</v>
      </c>
      <c r="G793" s="19" t="n">
        <v>89</v>
      </c>
      <c r="H793" s="19" t="s">
        <v>716</v>
      </c>
      <c r="I793" s="20" t="n">
        <v>54.72</v>
      </c>
      <c r="J793" s="19" t="n">
        <f aca="false">IF(I793="","",MIN(Overview!$B$8,MAX(1,CEILING(I793/Overview!$B$7,1))))</f>
        <v>11</v>
      </c>
      <c r="K793" s="19" t="n">
        <v>1</v>
      </c>
      <c r="L793" s="19"/>
      <c r="M793" s="20"/>
      <c r="N793" s="19" t="s">
        <v>1006</v>
      </c>
      <c r="O793" s="19"/>
      <c r="P793" s="19" t="s">
        <v>1657</v>
      </c>
      <c r="Q793" s="19" t="s">
        <v>1008</v>
      </c>
      <c r="R793" s="21" t="n">
        <v>42581</v>
      </c>
      <c r="S793" s="19" t="s">
        <v>1459</v>
      </c>
      <c r="T793" s="19" t="s">
        <v>3351</v>
      </c>
      <c r="U793" s="19" t="str">
        <f aca="false">HYPERLINK("https://xeno-canto.org/332449","Open")</f>
        <v>Open</v>
      </c>
      <c r="V793" s="19" t="s">
        <v>2789</v>
      </c>
    </row>
    <row r="794" customFormat="false" ht="15" hidden="false" customHeight="false" outlineLevel="0" collapsed="false">
      <c r="A794" s="19" t="s">
        <v>3352</v>
      </c>
      <c r="B794" s="19" t="s">
        <v>943</v>
      </c>
      <c r="C794" s="19" t="s">
        <v>944</v>
      </c>
      <c r="D794" s="19" t="s">
        <v>148</v>
      </c>
      <c r="E794" s="19" t="s">
        <v>147</v>
      </c>
      <c r="F794" s="19" t="s">
        <v>249</v>
      </c>
      <c r="G794" s="19" t="n">
        <v>90</v>
      </c>
      <c r="H794" s="19" t="s">
        <v>250</v>
      </c>
      <c r="I794" s="20" t="n">
        <v>51.633</v>
      </c>
      <c r="J794" s="19" t="n">
        <f aca="false">IF(I794="","",MIN(Overview!$B$8,MAX(1,CEILING(I794/Overview!$B$7,1))))</f>
        <v>11</v>
      </c>
      <c r="K794" s="19" t="n">
        <v>1</v>
      </c>
      <c r="L794" s="19"/>
      <c r="M794" s="20" t="n">
        <v>2.5</v>
      </c>
      <c r="N794" s="19"/>
      <c r="O794" s="19"/>
      <c r="P794" s="19" t="s">
        <v>1855</v>
      </c>
      <c r="Q794" s="19" t="s">
        <v>1401</v>
      </c>
      <c r="R794" s="21" t="n">
        <v>35811</v>
      </c>
      <c r="S794" s="19" t="s">
        <v>1002</v>
      </c>
      <c r="T794" s="19" t="s">
        <v>3353</v>
      </c>
      <c r="U794" s="19" t="str">
        <f aca="false">HYPERLINK("https://macaulaylibrary.org/asset/128376981","Open")</f>
        <v>Open</v>
      </c>
      <c r="V794" s="19"/>
    </row>
    <row r="795" customFormat="false" ht="15" hidden="false" customHeight="false" outlineLevel="0" collapsed="false">
      <c r="A795" s="19" t="s">
        <v>3354</v>
      </c>
      <c r="B795" s="19" t="s">
        <v>943</v>
      </c>
      <c r="C795" s="19" t="s">
        <v>944</v>
      </c>
      <c r="D795" s="19" t="s">
        <v>148</v>
      </c>
      <c r="E795" s="19" t="s">
        <v>147</v>
      </c>
      <c r="F795" s="19" t="s">
        <v>249</v>
      </c>
      <c r="G795" s="19" t="n">
        <v>90</v>
      </c>
      <c r="H795" s="19" t="s">
        <v>250</v>
      </c>
      <c r="I795" s="20" t="n">
        <v>51.568</v>
      </c>
      <c r="J795" s="19" t="n">
        <f aca="false">IF(I795="","",MIN(Overview!$B$8,MAX(1,CEILING(I795/Overview!$B$7,1))))</f>
        <v>11</v>
      </c>
      <c r="K795" s="19" t="n">
        <v>1</v>
      </c>
      <c r="L795" s="19"/>
      <c r="M795" s="20" t="n">
        <v>3.5</v>
      </c>
      <c r="N795" s="19"/>
      <c r="O795" s="19"/>
      <c r="P795" s="19" t="s">
        <v>1356</v>
      </c>
      <c r="Q795" s="19" t="s">
        <v>1021</v>
      </c>
      <c r="R795" s="21" t="n">
        <v>36603</v>
      </c>
      <c r="S795" s="19" t="s">
        <v>1357</v>
      </c>
      <c r="T795" s="19" t="s">
        <v>3355</v>
      </c>
      <c r="U795" s="19" t="str">
        <f aca="false">HYPERLINK("https://macaulaylibrary.org/asset/155116521","Open")</f>
        <v>Open</v>
      </c>
      <c r="V795" s="19"/>
    </row>
    <row r="796" customFormat="false" ht="15" hidden="false" customHeight="false" outlineLevel="0" collapsed="false">
      <c r="A796" s="19" t="s">
        <v>3356</v>
      </c>
      <c r="B796" s="19" t="s">
        <v>943</v>
      </c>
      <c r="C796" s="19" t="s">
        <v>944</v>
      </c>
      <c r="D796" s="19" t="s">
        <v>148</v>
      </c>
      <c r="E796" s="19" t="s">
        <v>147</v>
      </c>
      <c r="F796" s="19" t="s">
        <v>249</v>
      </c>
      <c r="G796" s="19" t="n">
        <v>90</v>
      </c>
      <c r="H796" s="19" t="s">
        <v>250</v>
      </c>
      <c r="I796" s="20" t="n">
        <v>31.729</v>
      </c>
      <c r="J796" s="19" t="n">
        <f aca="false">IF(I796="","",MIN(Overview!$B$8,MAX(1,CEILING(I796/Overview!$B$7,1))))</f>
        <v>7</v>
      </c>
      <c r="K796" s="19" t="n">
        <v>1</v>
      </c>
      <c r="L796" s="19"/>
      <c r="M796" s="20" t="n">
        <v>3.5</v>
      </c>
      <c r="N796" s="19"/>
      <c r="O796" s="19" t="s">
        <v>460</v>
      </c>
      <c r="P796" s="19" t="s">
        <v>1356</v>
      </c>
      <c r="Q796" s="19" t="s">
        <v>1021</v>
      </c>
      <c r="R796" s="21" t="n">
        <v>36603</v>
      </c>
      <c r="S796" s="19" t="s">
        <v>1357</v>
      </c>
      <c r="T796" s="19" t="s">
        <v>3357</v>
      </c>
      <c r="U796" s="19" t="str">
        <f aca="false">HYPERLINK("https://macaulaylibrary.org/asset/156784301","Open")</f>
        <v>Open</v>
      </c>
      <c r="V796" s="19"/>
    </row>
    <row r="797" customFormat="false" ht="15" hidden="false" customHeight="false" outlineLevel="0" collapsed="false">
      <c r="A797" s="19" t="s">
        <v>3358</v>
      </c>
      <c r="B797" s="19" t="s">
        <v>943</v>
      </c>
      <c r="C797" s="19" t="s">
        <v>944</v>
      </c>
      <c r="D797" s="19" t="s">
        <v>148</v>
      </c>
      <c r="E797" s="19" t="s">
        <v>147</v>
      </c>
      <c r="F797" s="19" t="s">
        <v>249</v>
      </c>
      <c r="G797" s="19" t="n">
        <v>90</v>
      </c>
      <c r="H797" s="19" t="s">
        <v>250</v>
      </c>
      <c r="I797" s="20" t="n">
        <v>46.707</v>
      </c>
      <c r="J797" s="19" t="n">
        <f aca="false">IF(I797="","",MIN(Overview!$B$8,MAX(1,CEILING(I797/Overview!$B$7,1))))</f>
        <v>10</v>
      </c>
      <c r="K797" s="19" t="n">
        <v>1</v>
      </c>
      <c r="L797" s="19"/>
      <c r="M797" s="20" t="n">
        <v>2</v>
      </c>
      <c r="N797" s="19"/>
      <c r="O797" s="19" t="s">
        <v>274</v>
      </c>
      <c r="P797" s="19" t="s">
        <v>1797</v>
      </c>
      <c r="Q797" s="19" t="s">
        <v>1798</v>
      </c>
      <c r="R797" s="21" t="n">
        <v>33584</v>
      </c>
      <c r="S797" s="19" t="s">
        <v>1279</v>
      </c>
      <c r="T797" s="19" t="s">
        <v>3359</v>
      </c>
      <c r="U797" s="19" t="str">
        <f aca="false">HYPERLINK("https://macaulaylibrary.org/asset/56620","Open")</f>
        <v>Open</v>
      </c>
      <c r="V797" s="19"/>
    </row>
    <row r="798" customFormat="false" ht="15" hidden="false" customHeight="false" outlineLevel="0" collapsed="false">
      <c r="A798" s="19" t="s">
        <v>3360</v>
      </c>
      <c r="B798" s="19" t="s">
        <v>943</v>
      </c>
      <c r="C798" s="19" t="s">
        <v>944</v>
      </c>
      <c r="D798" s="19" t="s">
        <v>148</v>
      </c>
      <c r="E798" s="19" t="s">
        <v>147</v>
      </c>
      <c r="F798" s="19" t="s">
        <v>249</v>
      </c>
      <c r="G798" s="19" t="n">
        <v>90</v>
      </c>
      <c r="H798" s="19" t="s">
        <v>250</v>
      </c>
      <c r="I798" s="20" t="n">
        <v>18.377</v>
      </c>
      <c r="J798" s="19" t="n">
        <f aca="false">IF(I798="","",MIN(Overview!$B$8,MAX(1,CEILING(I798/Overview!$B$7,1))))</f>
        <v>4</v>
      </c>
      <c r="K798" s="19" t="n">
        <v>1</v>
      </c>
      <c r="L798" s="19"/>
      <c r="M798" s="20" t="n">
        <v>3</v>
      </c>
      <c r="N798" s="19"/>
      <c r="O798" s="19"/>
      <c r="P798" s="19" t="s">
        <v>1039</v>
      </c>
      <c r="Q798" s="19" t="s">
        <v>1040</v>
      </c>
      <c r="R798" s="21" t="n">
        <v>40901</v>
      </c>
      <c r="S798" s="19" t="s">
        <v>1002</v>
      </c>
      <c r="T798" s="19" t="s">
        <v>3361</v>
      </c>
      <c r="U798" s="19" t="str">
        <f aca="false">HYPERLINK("https://macaulaylibrary.org/asset/609056485","Open")</f>
        <v>Open</v>
      </c>
      <c r="V798" s="19"/>
    </row>
    <row r="799" customFormat="false" ht="15" hidden="false" customHeight="false" outlineLevel="0" collapsed="false">
      <c r="A799" s="19" t="s">
        <v>3362</v>
      </c>
      <c r="B799" s="19" t="s">
        <v>943</v>
      </c>
      <c r="C799" s="19" t="s">
        <v>944</v>
      </c>
      <c r="D799" s="19" t="s">
        <v>148</v>
      </c>
      <c r="E799" s="19" t="s">
        <v>147</v>
      </c>
      <c r="F799" s="19" t="s">
        <v>249</v>
      </c>
      <c r="G799" s="19" t="n">
        <v>90</v>
      </c>
      <c r="H799" s="19" t="s">
        <v>250</v>
      </c>
      <c r="I799" s="20" t="n">
        <v>6.096</v>
      </c>
      <c r="J799" s="19" t="n">
        <f aca="false">IF(I799="","",MIN(Overview!$B$8,MAX(1,CEILING(I799/Overview!$B$7,1))))</f>
        <v>2</v>
      </c>
      <c r="K799" s="19" t="n">
        <v>1</v>
      </c>
      <c r="L799" s="19"/>
      <c r="M799" s="20" t="n">
        <v>2.5</v>
      </c>
      <c r="N799" s="19"/>
      <c r="O799" s="19"/>
      <c r="P799" s="19" t="s">
        <v>1039</v>
      </c>
      <c r="Q799" s="19" t="s">
        <v>1040</v>
      </c>
      <c r="R799" s="21" t="n">
        <v>40901</v>
      </c>
      <c r="S799" s="19" t="s">
        <v>1002</v>
      </c>
      <c r="T799" s="19" t="s">
        <v>3363</v>
      </c>
      <c r="U799" s="19" t="str">
        <f aca="false">HYPERLINK("https://macaulaylibrary.org/asset/609056514","Open")</f>
        <v>Open</v>
      </c>
      <c r="V799" s="19"/>
    </row>
    <row r="800" customFormat="false" ht="15" hidden="false" customHeight="false" outlineLevel="0" collapsed="false">
      <c r="A800" s="19" t="s">
        <v>3364</v>
      </c>
      <c r="B800" s="19" t="s">
        <v>943</v>
      </c>
      <c r="C800" s="19" t="s">
        <v>944</v>
      </c>
      <c r="D800" s="19" t="s">
        <v>148</v>
      </c>
      <c r="E800" s="19" t="s">
        <v>147</v>
      </c>
      <c r="F800" s="19" t="s">
        <v>249</v>
      </c>
      <c r="G800" s="19" t="n">
        <v>90</v>
      </c>
      <c r="H800" s="19" t="s">
        <v>250</v>
      </c>
      <c r="I800" s="20" t="n">
        <v>41.857</v>
      </c>
      <c r="J800" s="19" t="n">
        <f aca="false">IF(I800="","",MIN(Overview!$B$8,MAX(1,CEILING(I800/Overview!$B$7,1))))</f>
        <v>9</v>
      </c>
      <c r="K800" s="19" t="n">
        <v>1</v>
      </c>
      <c r="L800" s="19"/>
      <c r="M800" s="20" t="n">
        <v>4</v>
      </c>
      <c r="N800" s="19"/>
      <c r="O800" s="19"/>
      <c r="P800" s="19" t="s">
        <v>3365</v>
      </c>
      <c r="Q800" s="19" t="s">
        <v>1035</v>
      </c>
      <c r="R800" s="21" t="n">
        <v>45233</v>
      </c>
      <c r="S800" s="19" t="s">
        <v>3175</v>
      </c>
      <c r="T800" s="19" t="s">
        <v>3366</v>
      </c>
      <c r="U800" s="19" t="str">
        <f aca="false">HYPERLINK("https://macaulaylibrary.org/asset/615065452","Open")</f>
        <v>Open</v>
      </c>
      <c r="V800" s="19"/>
    </row>
    <row r="801" customFormat="false" ht="15" hidden="false" customHeight="false" outlineLevel="0" collapsed="false">
      <c r="A801" s="19" t="s">
        <v>3367</v>
      </c>
      <c r="B801" s="19" t="s">
        <v>943</v>
      </c>
      <c r="C801" s="19" t="s">
        <v>944</v>
      </c>
      <c r="D801" s="19" t="s">
        <v>148</v>
      </c>
      <c r="E801" s="19" t="s">
        <v>147</v>
      </c>
      <c r="F801" s="19" t="s">
        <v>249</v>
      </c>
      <c r="G801" s="19" t="n">
        <v>90</v>
      </c>
      <c r="H801" s="19" t="s">
        <v>250</v>
      </c>
      <c r="I801" s="20" t="n">
        <v>20.629</v>
      </c>
      <c r="J801" s="19" t="n">
        <f aca="false">IF(I801="","",MIN(Overview!$B$8,MAX(1,CEILING(I801/Overview!$B$7,1))))</f>
        <v>5</v>
      </c>
      <c r="K801" s="19" t="n">
        <v>1</v>
      </c>
      <c r="L801" s="19"/>
      <c r="M801" s="20" t="n">
        <v>4.5</v>
      </c>
      <c r="N801" s="19"/>
      <c r="O801" s="19"/>
      <c r="P801" s="19" t="s">
        <v>3368</v>
      </c>
      <c r="Q801" s="19" t="s">
        <v>3174</v>
      </c>
      <c r="R801" s="21" t="n">
        <v>45507</v>
      </c>
      <c r="S801" s="19" t="s">
        <v>1357</v>
      </c>
      <c r="T801" s="19" t="s">
        <v>3369</v>
      </c>
      <c r="U801" s="19" t="str">
        <f aca="false">HYPERLINK("https://macaulaylibrary.org/asset/622217057","Open")</f>
        <v>Open</v>
      </c>
      <c r="V801" s="19"/>
    </row>
    <row r="802" customFormat="false" ht="15" hidden="false" customHeight="false" outlineLevel="0" collapsed="false">
      <c r="A802" s="19" t="s">
        <v>3370</v>
      </c>
      <c r="B802" s="19" t="s">
        <v>943</v>
      </c>
      <c r="C802" s="19" t="s">
        <v>944</v>
      </c>
      <c r="D802" s="19" t="s">
        <v>148</v>
      </c>
      <c r="E802" s="19" t="s">
        <v>147</v>
      </c>
      <c r="F802" s="19" t="s">
        <v>249</v>
      </c>
      <c r="G802" s="19" t="n">
        <v>90</v>
      </c>
      <c r="H802" s="19" t="s">
        <v>250</v>
      </c>
      <c r="I802" s="20" t="n">
        <v>38.56</v>
      </c>
      <c r="J802" s="19" t="n">
        <f aca="false">IF(I802="","",MIN(Overview!$B$8,MAX(1,CEILING(I802/Overview!$B$7,1))))</f>
        <v>8</v>
      </c>
      <c r="K802" s="19" t="n">
        <v>1</v>
      </c>
      <c r="L802" s="19"/>
      <c r="M802" s="20" t="n">
        <v>4.5</v>
      </c>
      <c r="N802" s="19"/>
      <c r="O802" s="19"/>
      <c r="P802" s="19" t="s">
        <v>3170</v>
      </c>
      <c r="Q802" s="19" t="s">
        <v>965</v>
      </c>
      <c r="R802" s="21" t="n">
        <v>45641</v>
      </c>
      <c r="S802" s="19" t="s">
        <v>966</v>
      </c>
      <c r="T802" s="19" t="s">
        <v>3371</v>
      </c>
      <c r="U802" s="19" t="str">
        <f aca="false">HYPERLINK("https://macaulaylibrary.org/asset/627958275","Open")</f>
        <v>Open</v>
      </c>
      <c r="V802" s="19"/>
    </row>
    <row r="803" customFormat="false" ht="15" hidden="false" customHeight="false" outlineLevel="0" collapsed="false">
      <c r="A803" s="19" t="s">
        <v>3372</v>
      </c>
      <c r="B803" s="19" t="s">
        <v>943</v>
      </c>
      <c r="C803" s="19" t="s">
        <v>944</v>
      </c>
      <c r="D803" s="19" t="s">
        <v>148</v>
      </c>
      <c r="E803" s="19" t="s">
        <v>147</v>
      </c>
      <c r="F803" s="19" t="s">
        <v>249</v>
      </c>
      <c r="G803" s="19" t="n">
        <v>90</v>
      </c>
      <c r="H803" s="19" t="s">
        <v>250</v>
      </c>
      <c r="I803" s="20" t="n">
        <v>6.411</v>
      </c>
      <c r="J803" s="19" t="n">
        <f aca="false">IF(I803="","",MIN(Overview!$B$8,MAX(1,CEILING(I803/Overview!$B$7,1))))</f>
        <v>2</v>
      </c>
      <c r="K803" s="19" t="n">
        <v>1</v>
      </c>
      <c r="L803" s="19"/>
      <c r="M803" s="20" t="n">
        <v>4</v>
      </c>
      <c r="N803" s="19"/>
      <c r="O803" s="19"/>
      <c r="P803" s="19" t="s">
        <v>1949</v>
      </c>
      <c r="Q803" s="19" t="s">
        <v>1368</v>
      </c>
      <c r="R803" s="21" t="n">
        <v>45983</v>
      </c>
      <c r="S803" s="19" t="s">
        <v>1022</v>
      </c>
      <c r="T803" s="19" t="s">
        <v>3373</v>
      </c>
      <c r="U803" s="19" t="str">
        <f aca="false">HYPERLINK("https://macaulaylibrary.org/asset/646459466","Open")</f>
        <v>Open</v>
      </c>
      <c r="V803" s="19"/>
    </row>
    <row r="804" customFormat="false" ht="15" hidden="false" customHeight="false" outlineLevel="0" collapsed="false">
      <c r="A804" s="19" t="s">
        <v>3374</v>
      </c>
      <c r="B804" s="19" t="s">
        <v>943</v>
      </c>
      <c r="C804" s="19" t="s">
        <v>944</v>
      </c>
      <c r="D804" s="19" t="s">
        <v>148</v>
      </c>
      <c r="E804" s="19" t="s">
        <v>147</v>
      </c>
      <c r="F804" s="19" t="s">
        <v>249</v>
      </c>
      <c r="G804" s="19" t="n">
        <v>90</v>
      </c>
      <c r="H804" s="19" t="s">
        <v>250</v>
      </c>
      <c r="I804" s="20" t="n">
        <v>21.903</v>
      </c>
      <c r="J804" s="19" t="n">
        <f aca="false">IF(I804="","",MIN(Overview!$B$8,MAX(1,CEILING(I804/Overview!$B$7,1))))</f>
        <v>5</v>
      </c>
      <c r="K804" s="19" t="n">
        <v>1</v>
      </c>
      <c r="L804" s="19"/>
      <c r="M804" s="20" t="n">
        <v>3</v>
      </c>
      <c r="N804" s="19"/>
      <c r="O804" s="19" t="s">
        <v>3375</v>
      </c>
      <c r="P804" s="19" t="s">
        <v>1373</v>
      </c>
      <c r="Q804" s="19" t="s">
        <v>990</v>
      </c>
      <c r="R804" s="21" t="n">
        <v>46012</v>
      </c>
      <c r="S804" s="19" t="s">
        <v>1009</v>
      </c>
      <c r="T804" s="19" t="s">
        <v>3376</v>
      </c>
      <c r="U804" s="19" t="str">
        <f aca="false">HYPERLINK("https://macaulaylibrary.org/asset/647483044","Open")</f>
        <v>Open</v>
      </c>
      <c r="V804" s="19"/>
    </row>
    <row r="805" customFormat="false" ht="15" hidden="false" customHeight="false" outlineLevel="0" collapsed="false">
      <c r="A805" s="19" t="s">
        <v>3377</v>
      </c>
      <c r="B805" s="19" t="s">
        <v>943</v>
      </c>
      <c r="C805" s="19" t="s">
        <v>944</v>
      </c>
      <c r="D805" s="19" t="s">
        <v>148</v>
      </c>
      <c r="E805" s="19" t="s">
        <v>147</v>
      </c>
      <c r="F805" s="19" t="s">
        <v>249</v>
      </c>
      <c r="G805" s="19" t="n">
        <v>90</v>
      </c>
      <c r="H805" s="19" t="s">
        <v>250</v>
      </c>
      <c r="I805" s="20" t="n">
        <v>12.612</v>
      </c>
      <c r="J805" s="19" t="n">
        <f aca="false">IF(I805="","",MIN(Overview!$B$8,MAX(1,CEILING(I805/Overview!$B$7,1))))</f>
        <v>3</v>
      </c>
      <c r="K805" s="19" t="n">
        <v>1</v>
      </c>
      <c r="L805" s="19"/>
      <c r="M805" s="20"/>
      <c r="N805" s="19"/>
      <c r="O805" s="19" t="s">
        <v>307</v>
      </c>
      <c r="P805" s="19" t="s">
        <v>1386</v>
      </c>
      <c r="Q805" s="19" t="s">
        <v>1382</v>
      </c>
      <c r="R805" s="21" t="n">
        <v>46103</v>
      </c>
      <c r="S805" s="19" t="s">
        <v>1387</v>
      </c>
      <c r="T805" s="19" t="s">
        <v>3378</v>
      </c>
      <c r="U805" s="19" t="str">
        <f aca="false">HYPERLINK("https://macaulaylibrary.org/asset/654318296","Open")</f>
        <v>Open</v>
      </c>
      <c r="V805" s="19"/>
    </row>
    <row r="806" customFormat="false" ht="15" hidden="false" customHeight="false" outlineLevel="0" collapsed="false">
      <c r="A806" s="19" t="s">
        <v>3379</v>
      </c>
      <c r="B806" s="19" t="s">
        <v>943</v>
      </c>
      <c r="C806" s="19" t="s">
        <v>944</v>
      </c>
      <c r="D806" s="19" t="s">
        <v>148</v>
      </c>
      <c r="E806" s="19" t="s">
        <v>147</v>
      </c>
      <c r="F806" s="19" t="s">
        <v>249</v>
      </c>
      <c r="G806" s="19" t="n">
        <v>90</v>
      </c>
      <c r="H806" s="19" t="s">
        <v>250</v>
      </c>
      <c r="I806" s="20" t="n">
        <v>9.849</v>
      </c>
      <c r="J806" s="19" t="n">
        <f aca="false">IF(I806="","",MIN(Overview!$B$8,MAX(1,CEILING(I806/Overview!$B$7,1))))</f>
        <v>2</v>
      </c>
      <c r="K806" s="19" t="n">
        <v>1</v>
      </c>
      <c r="L806" s="19"/>
      <c r="M806" s="20" t="n">
        <v>2</v>
      </c>
      <c r="N806" s="19"/>
      <c r="O806" s="19" t="s">
        <v>307</v>
      </c>
      <c r="P806" s="19" t="s">
        <v>1049</v>
      </c>
      <c r="Q806" s="19" t="s">
        <v>1050</v>
      </c>
      <c r="R806" s="21" t="n">
        <v>43406</v>
      </c>
      <c r="S806" s="19" t="s">
        <v>1051</v>
      </c>
      <c r="T806" s="19" t="s">
        <v>3380</v>
      </c>
      <c r="U806" s="19" t="str">
        <f aca="false">HYPERLINK("https://macaulaylibrary.org/asset/662831476","Open")</f>
        <v>Open</v>
      </c>
      <c r="V806" s="19"/>
    </row>
    <row r="807" customFormat="false" ht="15" hidden="false" customHeight="false" outlineLevel="0" collapsed="false">
      <c r="A807" s="19" t="s">
        <v>3381</v>
      </c>
      <c r="B807" s="19" t="s">
        <v>943</v>
      </c>
      <c r="C807" s="19" t="s">
        <v>944</v>
      </c>
      <c r="D807" s="19" t="s">
        <v>148</v>
      </c>
      <c r="E807" s="19" t="s">
        <v>147</v>
      </c>
      <c r="F807" s="19" t="s">
        <v>249</v>
      </c>
      <c r="G807" s="19" t="n">
        <v>90</v>
      </c>
      <c r="H807" s="19" t="s">
        <v>250</v>
      </c>
      <c r="I807" s="20" t="n">
        <v>66.681</v>
      </c>
      <c r="J807" s="19" t="n">
        <f aca="false">IF(I807="","",MIN(Overview!$B$8,MAX(1,CEILING(I807/Overview!$B$7,1))))</f>
        <v>14</v>
      </c>
      <c r="K807" s="19" t="n">
        <v>1</v>
      </c>
      <c r="L807" s="19"/>
      <c r="M807" s="20" t="n">
        <v>2</v>
      </c>
      <c r="N807" s="19"/>
      <c r="O807" s="19"/>
      <c r="P807" s="19" t="s">
        <v>3382</v>
      </c>
      <c r="Q807" s="19" t="s">
        <v>980</v>
      </c>
      <c r="R807" s="21" t="n">
        <v>32229</v>
      </c>
      <c r="S807" s="19" t="s">
        <v>1884</v>
      </c>
      <c r="T807" s="19" t="s">
        <v>3383</v>
      </c>
      <c r="U807" s="19" t="str">
        <f aca="false">HYPERLINK("https://macaulaylibrary.org/asset/74218","Open")</f>
        <v>Open</v>
      </c>
      <c r="V807" s="19"/>
    </row>
    <row r="808" customFormat="false" ht="15" hidden="false" customHeight="false" outlineLevel="0" collapsed="false">
      <c r="A808" s="19" t="s">
        <v>3384</v>
      </c>
      <c r="B808" s="19" t="s">
        <v>943</v>
      </c>
      <c r="C808" s="19" t="s">
        <v>944</v>
      </c>
      <c r="D808" s="19" t="s">
        <v>148</v>
      </c>
      <c r="E808" s="19" t="s">
        <v>147</v>
      </c>
      <c r="F808" s="19" t="s">
        <v>249</v>
      </c>
      <c r="G808" s="19" t="n">
        <v>90</v>
      </c>
      <c r="H808" s="19" t="s">
        <v>250</v>
      </c>
      <c r="I808" s="20" t="n">
        <v>80.901</v>
      </c>
      <c r="J808" s="19" t="n">
        <f aca="false">IF(I808="","",MIN(Overview!$B$8,MAX(1,CEILING(I808/Overview!$B$7,1))))</f>
        <v>17</v>
      </c>
      <c r="K808" s="19" t="n">
        <v>1</v>
      </c>
      <c r="L808" s="19"/>
      <c r="M808" s="20" t="n">
        <v>2</v>
      </c>
      <c r="N808" s="19"/>
      <c r="O808" s="19"/>
      <c r="P808" s="19" t="s">
        <v>2152</v>
      </c>
      <c r="Q808" s="19" t="s">
        <v>1218</v>
      </c>
      <c r="R808" s="21" t="n">
        <v>33329</v>
      </c>
      <c r="S808" s="19" t="s">
        <v>1081</v>
      </c>
      <c r="T808" s="19" t="s">
        <v>3385</v>
      </c>
      <c r="U808" s="19" t="str">
        <f aca="false">HYPERLINK("https://macaulaylibrary.org/asset/76606","Open")</f>
        <v>Open</v>
      </c>
      <c r="V808" s="19"/>
    </row>
    <row r="809" customFormat="false" ht="15" hidden="false" customHeight="false" outlineLevel="0" collapsed="false">
      <c r="A809" s="19" t="s">
        <v>3386</v>
      </c>
      <c r="B809" s="19" t="s">
        <v>943</v>
      </c>
      <c r="C809" s="19" t="s">
        <v>944</v>
      </c>
      <c r="D809" s="19" t="s">
        <v>148</v>
      </c>
      <c r="E809" s="19" t="s">
        <v>147</v>
      </c>
      <c r="F809" s="19" t="s">
        <v>249</v>
      </c>
      <c r="G809" s="19" t="n">
        <v>90</v>
      </c>
      <c r="H809" s="19" t="s">
        <v>250</v>
      </c>
      <c r="I809" s="20" t="n">
        <v>82.738</v>
      </c>
      <c r="J809" s="19" t="n">
        <f aca="false">IF(I809="","",MIN(Overview!$B$8,MAX(1,CEILING(I809/Overview!$B$7,1))))</f>
        <v>17</v>
      </c>
      <c r="K809" s="19" t="n">
        <v>1</v>
      </c>
      <c r="L809" s="19"/>
      <c r="M809" s="20" t="n">
        <v>3</v>
      </c>
      <c r="N809" s="19"/>
      <c r="O809" s="19"/>
      <c r="P809" s="19" t="s">
        <v>2750</v>
      </c>
      <c r="Q809" s="19" t="s">
        <v>1021</v>
      </c>
      <c r="R809" s="21" t="n">
        <v>35859</v>
      </c>
      <c r="S809" s="19" t="s">
        <v>1658</v>
      </c>
      <c r="T809" s="19" t="s">
        <v>3387</v>
      </c>
      <c r="U809" s="19" t="str">
        <f aca="false">HYPERLINK("https://macaulaylibrary.org/asset/97470351","Open")</f>
        <v>Open</v>
      </c>
      <c r="V809" s="19"/>
    </row>
    <row r="810" customFormat="false" ht="15" hidden="false" customHeight="false" outlineLevel="0" collapsed="false">
      <c r="A810" s="19" t="s">
        <v>3388</v>
      </c>
      <c r="B810" s="19" t="s">
        <v>1005</v>
      </c>
      <c r="C810" s="19" t="s">
        <v>944</v>
      </c>
      <c r="D810" s="19" t="s">
        <v>647</v>
      </c>
      <c r="E810" s="19" t="s">
        <v>147</v>
      </c>
      <c r="F810" s="19" t="s">
        <v>249</v>
      </c>
      <c r="G810" s="19" t="n">
        <v>90</v>
      </c>
      <c r="H810" s="19" t="s">
        <v>250</v>
      </c>
      <c r="I810" s="20" t="n">
        <v>16.824</v>
      </c>
      <c r="J810" s="19" t="n">
        <f aca="false">IF(I810="","",MIN(Overview!$B$8,MAX(1,CEILING(I810/Overview!$B$7,1))))</f>
        <v>4</v>
      </c>
      <c r="K810" s="19" t="n">
        <v>1</v>
      </c>
      <c r="L810" s="19"/>
      <c r="M810" s="20"/>
      <c r="N810" s="19" t="s">
        <v>1006</v>
      </c>
      <c r="O810" s="19"/>
      <c r="P810" s="19" t="s">
        <v>1016</v>
      </c>
      <c r="Q810" s="19" t="s">
        <v>1008</v>
      </c>
      <c r="R810" s="21" t="n">
        <v>42578</v>
      </c>
      <c r="S810" s="19" t="s">
        <v>1009</v>
      </c>
      <c r="T810" s="19" t="s">
        <v>3389</v>
      </c>
      <c r="U810" s="19" t="str">
        <f aca="false">HYPERLINK("https://xeno-canto.org/331460","Open")</f>
        <v>Open</v>
      </c>
      <c r="V810" s="19" t="s">
        <v>1720</v>
      </c>
    </row>
    <row r="811" customFormat="false" ht="15" hidden="false" customHeight="false" outlineLevel="0" collapsed="false">
      <c r="A811" s="19" t="s">
        <v>3390</v>
      </c>
      <c r="B811" s="19" t="s">
        <v>943</v>
      </c>
      <c r="C811" s="19" t="s">
        <v>944</v>
      </c>
      <c r="D811" s="19" t="s">
        <v>400</v>
      </c>
      <c r="E811" s="19" t="s">
        <v>147</v>
      </c>
      <c r="F811" s="19" t="s">
        <v>532</v>
      </c>
      <c r="G811" s="19" t="n">
        <v>91</v>
      </c>
      <c r="H811" s="19" t="s">
        <v>533</v>
      </c>
      <c r="I811" s="20" t="n">
        <v>7.437</v>
      </c>
      <c r="J811" s="19" t="n">
        <f aca="false">IF(I811="","",MIN(Overview!$B$8,MAX(1,CEILING(I811/Overview!$B$7,1))))</f>
        <v>2</v>
      </c>
      <c r="K811" s="19" t="n">
        <v>1</v>
      </c>
      <c r="L811" s="19"/>
      <c r="M811" s="20" t="n">
        <v>1.5</v>
      </c>
      <c r="N811" s="19"/>
      <c r="O811" s="19"/>
      <c r="P811" s="19" t="s">
        <v>1742</v>
      </c>
      <c r="Q811" s="19" t="s">
        <v>1021</v>
      </c>
      <c r="R811" s="21" t="n">
        <v>35860</v>
      </c>
      <c r="S811" s="19" t="s">
        <v>1743</v>
      </c>
      <c r="T811" s="19" t="s">
        <v>3391</v>
      </c>
      <c r="U811" s="19" t="str">
        <f aca="false">HYPERLINK("https://macaulaylibrary.org/asset/176633861","Open")</f>
        <v>Open</v>
      </c>
      <c r="V811" s="19"/>
    </row>
    <row r="812" customFormat="false" ht="15" hidden="false" customHeight="false" outlineLevel="0" collapsed="false">
      <c r="A812" s="19" t="s">
        <v>3392</v>
      </c>
      <c r="B812" s="19" t="s">
        <v>943</v>
      </c>
      <c r="C812" s="19" t="s">
        <v>944</v>
      </c>
      <c r="D812" s="19" t="s">
        <v>400</v>
      </c>
      <c r="E812" s="19" t="s">
        <v>147</v>
      </c>
      <c r="F812" s="19" t="s">
        <v>532</v>
      </c>
      <c r="G812" s="19" t="n">
        <v>91</v>
      </c>
      <c r="H812" s="19" t="s">
        <v>533</v>
      </c>
      <c r="I812" s="20" t="n">
        <v>59.307</v>
      </c>
      <c r="J812" s="19" t="n">
        <f aca="false">IF(I812="","",MIN(Overview!$B$8,MAX(1,CEILING(I812/Overview!$B$7,1))))</f>
        <v>12</v>
      </c>
      <c r="K812" s="19" t="n">
        <v>1</v>
      </c>
      <c r="L812" s="19"/>
      <c r="M812" s="20" t="n">
        <v>2</v>
      </c>
      <c r="N812" s="19"/>
      <c r="O812" s="19"/>
      <c r="P812" s="19" t="s">
        <v>1140</v>
      </c>
      <c r="Q812" s="19" t="s">
        <v>1030</v>
      </c>
      <c r="R812" s="21" t="n">
        <v>40250</v>
      </c>
      <c r="S812" s="19" t="s">
        <v>1118</v>
      </c>
      <c r="T812" s="19" t="s">
        <v>3393</v>
      </c>
      <c r="U812" s="19" t="str">
        <f aca="false">HYPERLINK("https://macaulaylibrary.org/asset/299548","Open")</f>
        <v>Open</v>
      </c>
      <c r="V812" s="19"/>
    </row>
    <row r="813" customFormat="false" ht="15" hidden="false" customHeight="false" outlineLevel="0" collapsed="false">
      <c r="A813" s="19" t="s">
        <v>3394</v>
      </c>
      <c r="B813" s="19" t="s">
        <v>943</v>
      </c>
      <c r="C813" s="19" t="s">
        <v>944</v>
      </c>
      <c r="D813" s="19" t="s">
        <v>400</v>
      </c>
      <c r="E813" s="19" t="s">
        <v>147</v>
      </c>
      <c r="F813" s="19" t="s">
        <v>532</v>
      </c>
      <c r="G813" s="19" t="n">
        <v>91</v>
      </c>
      <c r="H813" s="19" t="s">
        <v>533</v>
      </c>
      <c r="I813" s="20" t="n">
        <v>9.45</v>
      </c>
      <c r="J813" s="19" t="n">
        <f aca="false">IF(I813="","",MIN(Overview!$B$8,MAX(1,CEILING(I813/Overview!$B$7,1))))</f>
        <v>2</v>
      </c>
      <c r="K813" s="19" t="n">
        <v>1</v>
      </c>
      <c r="L813" s="19"/>
      <c r="M813" s="20"/>
      <c r="N813" s="19"/>
      <c r="O813" s="19"/>
      <c r="P813" s="19" t="s">
        <v>1347</v>
      </c>
      <c r="Q813" s="19" t="s">
        <v>1348</v>
      </c>
      <c r="R813" s="21" t="n">
        <v>46100</v>
      </c>
      <c r="S813" s="19" t="s">
        <v>1106</v>
      </c>
      <c r="T813" s="19" t="s">
        <v>3395</v>
      </c>
      <c r="U813" s="19" t="str">
        <f aca="false">HYPERLINK("https://macaulaylibrary.org/asset/654444587","Open")</f>
        <v>Open</v>
      </c>
      <c r="V813" s="19"/>
    </row>
    <row r="814" customFormat="false" ht="15" hidden="false" customHeight="false" outlineLevel="0" collapsed="false">
      <c r="A814" s="19" t="s">
        <v>3396</v>
      </c>
      <c r="B814" s="19" t="s">
        <v>943</v>
      </c>
      <c r="C814" s="19" t="s">
        <v>944</v>
      </c>
      <c r="D814" s="19" t="s">
        <v>400</v>
      </c>
      <c r="E814" s="19" t="s">
        <v>147</v>
      </c>
      <c r="F814" s="19" t="s">
        <v>532</v>
      </c>
      <c r="G814" s="19" t="n">
        <v>91</v>
      </c>
      <c r="H814" s="19" t="s">
        <v>533</v>
      </c>
      <c r="I814" s="20" t="n">
        <v>35.535</v>
      </c>
      <c r="J814" s="19" t="n">
        <f aca="false">IF(I814="","",MIN(Overview!$B$8,MAX(1,CEILING(I814/Overview!$B$7,1))))</f>
        <v>8</v>
      </c>
      <c r="K814" s="19" t="n">
        <v>1</v>
      </c>
      <c r="L814" s="19"/>
      <c r="M814" s="20"/>
      <c r="N814" s="19"/>
      <c r="O814" s="19"/>
      <c r="P814" s="19" t="s">
        <v>2515</v>
      </c>
      <c r="Q814" s="19" t="s">
        <v>1382</v>
      </c>
      <c r="R814" s="21" t="n">
        <v>46105</v>
      </c>
      <c r="S814" s="19" t="s">
        <v>2516</v>
      </c>
      <c r="T814" s="19" t="s">
        <v>3397</v>
      </c>
      <c r="U814" s="19" t="str">
        <f aca="false">HYPERLINK("https://macaulaylibrary.org/asset/654747757","Open")</f>
        <v>Open</v>
      </c>
      <c r="V814" s="19"/>
    </row>
    <row r="815" customFormat="false" ht="15" hidden="false" customHeight="false" outlineLevel="0" collapsed="false">
      <c r="A815" s="19" t="s">
        <v>3398</v>
      </c>
      <c r="B815" s="19" t="s">
        <v>943</v>
      </c>
      <c r="C815" s="19" t="s">
        <v>944</v>
      </c>
      <c r="D815" s="19" t="s">
        <v>400</v>
      </c>
      <c r="E815" s="19" t="s">
        <v>147</v>
      </c>
      <c r="F815" s="19" t="s">
        <v>532</v>
      </c>
      <c r="G815" s="19" t="n">
        <v>91</v>
      </c>
      <c r="H815" s="19" t="s">
        <v>533</v>
      </c>
      <c r="I815" s="20" t="n">
        <v>26.027</v>
      </c>
      <c r="J815" s="19" t="n">
        <f aca="false">IF(I815="","",MIN(Overview!$B$8,MAX(1,CEILING(I815/Overview!$B$7,1))))</f>
        <v>6</v>
      </c>
      <c r="K815" s="19" t="n">
        <v>1</v>
      </c>
      <c r="L815" s="19"/>
      <c r="M815" s="20" t="n">
        <v>1.8</v>
      </c>
      <c r="N815" s="19"/>
      <c r="O815" s="19"/>
      <c r="P815" s="19" t="s">
        <v>1871</v>
      </c>
      <c r="Q815" s="19" t="s">
        <v>1847</v>
      </c>
      <c r="R815" s="21" t="n">
        <v>43161</v>
      </c>
      <c r="S815" s="19" t="s">
        <v>1872</v>
      </c>
      <c r="T815" s="19" t="s">
        <v>3399</v>
      </c>
      <c r="U815" s="19" t="str">
        <f aca="false">HYPERLINK("https://macaulaylibrary.org/asset/89665171","Open")</f>
        <v>Open</v>
      </c>
      <c r="V815" s="19"/>
    </row>
    <row r="816" customFormat="false" ht="15" hidden="false" customHeight="false" outlineLevel="0" collapsed="false">
      <c r="A816" s="19" t="s">
        <v>3400</v>
      </c>
      <c r="B816" s="19" t="s">
        <v>943</v>
      </c>
      <c r="C816" s="19" t="s">
        <v>944</v>
      </c>
      <c r="D816" s="19" t="s">
        <v>400</v>
      </c>
      <c r="E816" s="19" t="s">
        <v>147</v>
      </c>
      <c r="F816" s="19" t="s">
        <v>652</v>
      </c>
      <c r="G816" s="19" t="n">
        <v>92</v>
      </c>
      <c r="H816" s="19" t="s">
        <v>653</v>
      </c>
      <c r="I816" s="20" t="n">
        <v>61.241</v>
      </c>
      <c r="J816" s="19" t="n">
        <f aca="false">IF(I816="","",MIN(Overview!$B$8,MAX(1,CEILING(I816/Overview!$B$7,1))))</f>
        <v>13</v>
      </c>
      <c r="K816" s="19" t="n">
        <v>1</v>
      </c>
      <c r="L816" s="19"/>
      <c r="M816" s="20" t="n">
        <v>2</v>
      </c>
      <c r="N816" s="19"/>
      <c r="O816" s="19"/>
      <c r="P816" s="19" t="s">
        <v>3401</v>
      </c>
      <c r="Q816" s="19" t="s">
        <v>980</v>
      </c>
      <c r="R816" s="21" t="n">
        <v>32223</v>
      </c>
      <c r="S816" s="19" t="s">
        <v>1833</v>
      </c>
      <c r="T816" s="19" t="s">
        <v>3402</v>
      </c>
      <c r="U816" s="19" t="str">
        <f aca="false">HYPERLINK("https://macaulaylibrary.org/asset/74198","Open")</f>
        <v>Open</v>
      </c>
      <c r="V816" s="19"/>
    </row>
    <row r="817" customFormat="false" ht="15" hidden="false" customHeight="false" outlineLevel="0" collapsed="false">
      <c r="A817" s="19" t="s">
        <v>3403</v>
      </c>
      <c r="B817" s="19" t="s">
        <v>1005</v>
      </c>
      <c r="C817" s="19" t="s">
        <v>944</v>
      </c>
      <c r="D817" s="19" t="s">
        <v>647</v>
      </c>
      <c r="E817" s="19" t="s">
        <v>147</v>
      </c>
      <c r="F817" s="19" t="s">
        <v>652</v>
      </c>
      <c r="G817" s="19" t="n">
        <v>92</v>
      </c>
      <c r="H817" s="19" t="s">
        <v>653</v>
      </c>
      <c r="I817" s="20" t="n">
        <v>32.088</v>
      </c>
      <c r="J817" s="19" t="n">
        <f aca="false">IF(I817="","",MIN(Overview!$B$8,MAX(1,CEILING(I817/Overview!$B$7,1))))</f>
        <v>7</v>
      </c>
      <c r="K817" s="19" t="n">
        <v>1</v>
      </c>
      <c r="L817" s="19"/>
      <c r="M817" s="20"/>
      <c r="N817" s="19" t="s">
        <v>1006</v>
      </c>
      <c r="O817" s="19"/>
      <c r="P817" s="19" t="s">
        <v>2911</v>
      </c>
      <c r="Q817" s="19" t="s">
        <v>1008</v>
      </c>
      <c r="R817" s="21" t="n">
        <v>42580</v>
      </c>
      <c r="S817" s="19" t="s">
        <v>1530</v>
      </c>
      <c r="T817" s="19" t="s">
        <v>3404</v>
      </c>
      <c r="U817" s="19" t="str">
        <f aca="false">HYPERLINK("https://xeno-canto.org/332260","Open")</f>
        <v>Open</v>
      </c>
      <c r="V817" s="19" t="s">
        <v>1660</v>
      </c>
    </row>
    <row r="818" customFormat="false" ht="15" hidden="false" customHeight="false" outlineLevel="0" collapsed="false">
      <c r="A818" s="19" t="s">
        <v>3405</v>
      </c>
      <c r="B818" s="19" t="s">
        <v>943</v>
      </c>
      <c r="C818" s="19" t="s">
        <v>944</v>
      </c>
      <c r="D818" s="19" t="s">
        <v>400</v>
      </c>
      <c r="E818" s="19" t="s">
        <v>147</v>
      </c>
      <c r="F818" s="19" t="s">
        <v>565</v>
      </c>
      <c r="G818" s="19" t="n">
        <v>94</v>
      </c>
      <c r="H818" s="19" t="s">
        <v>566</v>
      </c>
      <c r="I818" s="20" t="n">
        <v>96.272</v>
      </c>
      <c r="J818" s="19" t="n">
        <f aca="false">IF(I818="","",MIN(Overview!$B$8,MAX(1,CEILING(I818/Overview!$B$7,1))))</f>
        <v>20</v>
      </c>
      <c r="K818" s="19" t="n">
        <v>1</v>
      </c>
      <c r="L818" s="19"/>
      <c r="M818" s="20" t="n">
        <v>3.5</v>
      </c>
      <c r="N818" s="19"/>
      <c r="O818" s="19"/>
      <c r="P818" s="19" t="s">
        <v>1390</v>
      </c>
      <c r="Q818" s="19" t="s">
        <v>1021</v>
      </c>
      <c r="R818" s="21" t="n">
        <v>36596</v>
      </c>
      <c r="S818" s="19" t="s">
        <v>1137</v>
      </c>
      <c r="T818" s="19" t="s">
        <v>3406</v>
      </c>
      <c r="U818" s="19" t="str">
        <f aca="false">HYPERLINK("https://macaulaylibrary.org/asset/145172931","Open")</f>
        <v>Open</v>
      </c>
      <c r="V818" s="19"/>
    </row>
    <row r="819" customFormat="false" ht="15" hidden="false" customHeight="false" outlineLevel="0" collapsed="false">
      <c r="A819" s="19" t="s">
        <v>3407</v>
      </c>
      <c r="B819" s="19" t="s">
        <v>943</v>
      </c>
      <c r="C819" s="19" t="s">
        <v>944</v>
      </c>
      <c r="D819" s="19" t="s">
        <v>400</v>
      </c>
      <c r="E819" s="19" t="s">
        <v>147</v>
      </c>
      <c r="F819" s="19" t="s">
        <v>565</v>
      </c>
      <c r="G819" s="19" t="n">
        <v>94</v>
      </c>
      <c r="H819" s="19" t="s">
        <v>566</v>
      </c>
      <c r="I819" s="20" t="n">
        <v>447.355</v>
      </c>
      <c r="J819" s="19" t="n">
        <f aca="false">IF(I819="","",MIN(Overview!$B$8,MAX(1,CEILING(I819/Overview!$B$7,1))))</f>
        <v>90</v>
      </c>
      <c r="K819" s="19" t="n">
        <v>1</v>
      </c>
      <c r="L819" s="19"/>
      <c r="M819" s="20" t="n">
        <v>2</v>
      </c>
      <c r="N819" s="19"/>
      <c r="O819" s="19"/>
      <c r="P819" s="19" t="s">
        <v>1727</v>
      </c>
      <c r="Q819" s="19" t="s">
        <v>980</v>
      </c>
      <c r="R819" s="21" t="n">
        <v>34128</v>
      </c>
      <c r="S819" s="19"/>
      <c r="T819" s="19" t="s">
        <v>3408</v>
      </c>
      <c r="U819" s="19" t="str">
        <f aca="false">HYPERLINK("https://macaulaylibrary.org/asset/209704","Open")</f>
        <v>Open</v>
      </c>
      <c r="V819" s="19"/>
    </row>
    <row r="820" customFormat="false" ht="15" hidden="false" customHeight="false" outlineLevel="0" collapsed="false">
      <c r="A820" s="19" t="s">
        <v>3409</v>
      </c>
      <c r="B820" s="19" t="s">
        <v>943</v>
      </c>
      <c r="C820" s="19" t="s">
        <v>944</v>
      </c>
      <c r="D820" s="19" t="s">
        <v>400</v>
      </c>
      <c r="E820" s="19" t="s">
        <v>147</v>
      </c>
      <c r="F820" s="19" t="s">
        <v>565</v>
      </c>
      <c r="G820" s="19" t="n">
        <v>94</v>
      </c>
      <c r="H820" s="19" t="s">
        <v>566</v>
      </c>
      <c r="I820" s="20" t="n">
        <v>130.993</v>
      </c>
      <c r="J820" s="19" t="n">
        <f aca="false">IF(I820="","",MIN(Overview!$B$8,MAX(1,CEILING(I820/Overview!$B$7,1))))</f>
        <v>27</v>
      </c>
      <c r="K820" s="19" t="n">
        <v>1</v>
      </c>
      <c r="L820" s="19"/>
      <c r="M820" s="20" t="n">
        <v>3</v>
      </c>
      <c r="N820" s="19"/>
      <c r="O820" s="19"/>
      <c r="P820" s="19" t="s">
        <v>1570</v>
      </c>
      <c r="Q820" s="19" t="s">
        <v>980</v>
      </c>
      <c r="R820" s="21" t="n">
        <v>33295</v>
      </c>
      <c r="S820" s="19" t="s">
        <v>1002</v>
      </c>
      <c r="T820" s="19" t="s">
        <v>3410</v>
      </c>
      <c r="U820" s="19" t="str">
        <f aca="false">HYPERLINK("https://macaulaylibrary.org/asset/72606","Open")</f>
        <v>Open</v>
      </c>
      <c r="V820" s="19"/>
    </row>
    <row r="821" customFormat="false" ht="15" hidden="false" customHeight="false" outlineLevel="0" collapsed="false">
      <c r="A821" s="19" t="s">
        <v>3411</v>
      </c>
      <c r="B821" s="19" t="s">
        <v>1005</v>
      </c>
      <c r="C821" s="19" t="s">
        <v>944</v>
      </c>
      <c r="D821" s="19" t="s">
        <v>647</v>
      </c>
      <c r="E821" s="19" t="s">
        <v>147</v>
      </c>
      <c r="F821" s="19" t="s">
        <v>565</v>
      </c>
      <c r="G821" s="19" t="n">
        <v>94</v>
      </c>
      <c r="H821" s="19" t="s">
        <v>566</v>
      </c>
      <c r="I821" s="20" t="n">
        <v>72</v>
      </c>
      <c r="J821" s="19" t="n">
        <f aca="false">IF(I821="","",MIN(Overview!$B$8,MAX(1,CEILING(I821/Overview!$B$7,1))))</f>
        <v>15</v>
      </c>
      <c r="K821" s="19" t="n">
        <v>1</v>
      </c>
      <c r="L821" s="19"/>
      <c r="M821" s="20"/>
      <c r="N821" s="19" t="s">
        <v>1718</v>
      </c>
      <c r="O821" s="19"/>
      <c r="P821" s="19" t="s">
        <v>2262</v>
      </c>
      <c r="Q821" s="19" t="s">
        <v>1008</v>
      </c>
      <c r="R821" s="21" t="n">
        <v>42579</v>
      </c>
      <c r="S821" s="19" t="s">
        <v>1459</v>
      </c>
      <c r="T821" s="19" t="s">
        <v>3412</v>
      </c>
      <c r="U821" s="19" t="str">
        <f aca="false">HYPERLINK("https://xeno-canto.org/331639","Open")</f>
        <v>Open</v>
      </c>
      <c r="V821" s="19" t="s">
        <v>3413</v>
      </c>
    </row>
    <row r="822" customFormat="false" ht="15" hidden="false" customHeight="false" outlineLevel="0" collapsed="false">
      <c r="A822" s="19" t="s">
        <v>3414</v>
      </c>
      <c r="B822" s="19" t="s">
        <v>943</v>
      </c>
      <c r="C822" s="19" t="s">
        <v>944</v>
      </c>
      <c r="D822" s="19" t="s">
        <v>400</v>
      </c>
      <c r="E822" s="19" t="s">
        <v>147</v>
      </c>
      <c r="F822" s="19" t="s">
        <v>472</v>
      </c>
      <c r="G822" s="19" t="n">
        <v>95</v>
      </c>
      <c r="H822" s="19" t="s">
        <v>473</v>
      </c>
      <c r="I822" s="20" t="n">
        <v>28.526</v>
      </c>
      <c r="J822" s="19" t="n">
        <f aca="false">IF(I822="","",MIN(Overview!$B$8,MAX(1,CEILING(I822/Overview!$B$7,1))))</f>
        <v>6</v>
      </c>
      <c r="K822" s="19" t="n">
        <v>1</v>
      </c>
      <c r="L822" s="19"/>
      <c r="M822" s="20" t="n">
        <v>3.4</v>
      </c>
      <c r="N822" s="19"/>
      <c r="O822" s="19"/>
      <c r="P822" s="19" t="s">
        <v>1784</v>
      </c>
      <c r="Q822" s="19" t="s">
        <v>1289</v>
      </c>
      <c r="R822" s="21" t="n">
        <v>42536</v>
      </c>
      <c r="S822" s="19" t="s">
        <v>1092</v>
      </c>
      <c r="T822" s="19" t="s">
        <v>3415</v>
      </c>
      <c r="U822" s="19" t="str">
        <f aca="false">HYPERLINK("https://macaulaylibrary.org/asset/32601241","Open")</f>
        <v>Open</v>
      </c>
      <c r="V822" s="19"/>
    </row>
    <row r="823" customFormat="false" ht="15" hidden="false" customHeight="false" outlineLevel="0" collapsed="false">
      <c r="A823" s="19" t="s">
        <v>3416</v>
      </c>
      <c r="B823" s="19" t="s">
        <v>943</v>
      </c>
      <c r="C823" s="19" t="s">
        <v>944</v>
      </c>
      <c r="D823" s="19" t="s">
        <v>400</v>
      </c>
      <c r="E823" s="19" t="s">
        <v>147</v>
      </c>
      <c r="F823" s="19" t="s">
        <v>472</v>
      </c>
      <c r="G823" s="19" t="n">
        <v>95</v>
      </c>
      <c r="H823" s="19" t="s">
        <v>473</v>
      </c>
      <c r="I823" s="20" t="n">
        <v>25.419</v>
      </c>
      <c r="J823" s="19" t="n">
        <f aca="false">IF(I823="","",MIN(Overview!$B$8,MAX(1,CEILING(I823/Overview!$B$7,1))))</f>
        <v>6</v>
      </c>
      <c r="K823" s="19" t="n">
        <v>1</v>
      </c>
      <c r="L823" s="19"/>
      <c r="M823" s="20" t="n">
        <v>4</v>
      </c>
      <c r="N823" s="19"/>
      <c r="O823" s="19"/>
      <c r="P823" s="19" t="s">
        <v>964</v>
      </c>
      <c r="Q823" s="19" t="s">
        <v>965</v>
      </c>
      <c r="R823" s="21" t="n">
        <v>46011</v>
      </c>
      <c r="S823" s="19" t="s">
        <v>966</v>
      </c>
      <c r="T823" s="19" t="s">
        <v>3417</v>
      </c>
      <c r="U823" s="19" t="str">
        <f aca="false">HYPERLINK("https://macaulaylibrary.org/asset/647443317","Open")</f>
        <v>Open</v>
      </c>
      <c r="V823" s="19"/>
    </row>
    <row r="824" customFormat="false" ht="15" hidden="false" customHeight="false" outlineLevel="0" collapsed="false">
      <c r="A824" s="19" t="s">
        <v>3418</v>
      </c>
      <c r="B824" s="19" t="s">
        <v>943</v>
      </c>
      <c r="C824" s="19" t="s">
        <v>944</v>
      </c>
      <c r="D824" s="19" t="s">
        <v>400</v>
      </c>
      <c r="E824" s="19" t="s">
        <v>147</v>
      </c>
      <c r="F824" s="19" t="s">
        <v>472</v>
      </c>
      <c r="G824" s="19" t="n">
        <v>95</v>
      </c>
      <c r="H824" s="19" t="s">
        <v>473</v>
      </c>
      <c r="I824" s="20" t="n">
        <v>10.22</v>
      </c>
      <c r="J824" s="19" t="n">
        <f aca="false">IF(I824="","",MIN(Overview!$B$8,MAX(1,CEILING(I824/Overview!$B$7,1))))</f>
        <v>3</v>
      </c>
      <c r="K824" s="19" t="n">
        <v>1</v>
      </c>
      <c r="L824" s="19"/>
      <c r="M824" s="20" t="n">
        <v>2</v>
      </c>
      <c r="N824" s="19"/>
      <c r="O824" s="19"/>
      <c r="P824" s="19" t="s">
        <v>1335</v>
      </c>
      <c r="Q824" s="19" t="s">
        <v>990</v>
      </c>
      <c r="R824" s="21" t="n">
        <v>46011</v>
      </c>
      <c r="S824" s="19" t="s">
        <v>966</v>
      </c>
      <c r="T824" s="19" t="s">
        <v>3419</v>
      </c>
      <c r="U824" s="19" t="str">
        <f aca="false">HYPERLINK("https://macaulaylibrary.org/asset/647567616","Open")</f>
        <v>Open</v>
      </c>
      <c r="V824" s="19"/>
    </row>
    <row r="825" customFormat="false" ht="15" hidden="false" customHeight="false" outlineLevel="0" collapsed="false">
      <c r="A825" s="19" t="s">
        <v>3420</v>
      </c>
      <c r="B825" s="19" t="s">
        <v>943</v>
      </c>
      <c r="C825" s="19" t="s">
        <v>944</v>
      </c>
      <c r="D825" s="19" t="s">
        <v>400</v>
      </c>
      <c r="E825" s="19" t="s">
        <v>147</v>
      </c>
      <c r="F825" s="19" t="s">
        <v>472</v>
      </c>
      <c r="G825" s="19" t="n">
        <v>95</v>
      </c>
      <c r="H825" s="19" t="s">
        <v>473</v>
      </c>
      <c r="I825" s="20" t="n">
        <v>24.378</v>
      </c>
      <c r="J825" s="19" t="n">
        <f aca="false">IF(I825="","",MIN(Overview!$B$8,MAX(1,CEILING(I825/Overview!$B$7,1))))</f>
        <v>5</v>
      </c>
      <c r="K825" s="19" t="n">
        <v>1</v>
      </c>
      <c r="L825" s="19"/>
      <c r="M825" s="20" t="n">
        <v>3</v>
      </c>
      <c r="N825" s="19"/>
      <c r="O825" s="19"/>
      <c r="P825" s="19" t="s">
        <v>1335</v>
      </c>
      <c r="Q825" s="19" t="s">
        <v>990</v>
      </c>
      <c r="R825" s="21" t="n">
        <v>46011</v>
      </c>
      <c r="S825" s="19" t="s">
        <v>966</v>
      </c>
      <c r="T825" s="19" t="s">
        <v>3421</v>
      </c>
      <c r="U825" s="19" t="str">
        <f aca="false">HYPERLINK("https://macaulaylibrary.org/asset/647567748","Open")</f>
        <v>Open</v>
      </c>
      <c r="V825" s="19"/>
    </row>
    <row r="826" customFormat="false" ht="15" hidden="false" customHeight="false" outlineLevel="0" collapsed="false">
      <c r="A826" s="19" t="s">
        <v>3422</v>
      </c>
      <c r="B826" s="19" t="s">
        <v>943</v>
      </c>
      <c r="C826" s="19" t="s">
        <v>944</v>
      </c>
      <c r="D826" s="19" t="s">
        <v>400</v>
      </c>
      <c r="E826" s="19" t="s">
        <v>147</v>
      </c>
      <c r="F826" s="19" t="s">
        <v>472</v>
      </c>
      <c r="G826" s="19" t="n">
        <v>95</v>
      </c>
      <c r="H826" s="19" t="s">
        <v>473</v>
      </c>
      <c r="I826" s="20" t="n">
        <v>24.933</v>
      </c>
      <c r="J826" s="19" t="n">
        <f aca="false">IF(I826="","",MIN(Overview!$B$8,MAX(1,CEILING(I826/Overview!$B$7,1))))</f>
        <v>5</v>
      </c>
      <c r="K826" s="19" t="n">
        <v>1</v>
      </c>
      <c r="L826" s="19"/>
      <c r="M826" s="20" t="n">
        <v>3</v>
      </c>
      <c r="N826" s="19"/>
      <c r="O826" s="19"/>
      <c r="P826" s="19" t="s">
        <v>1335</v>
      </c>
      <c r="Q826" s="19" t="s">
        <v>990</v>
      </c>
      <c r="R826" s="21" t="n">
        <v>46011</v>
      </c>
      <c r="S826" s="19" t="s">
        <v>966</v>
      </c>
      <c r="T826" s="19" t="s">
        <v>3423</v>
      </c>
      <c r="U826" s="19" t="str">
        <f aca="false">HYPERLINK("https://macaulaylibrary.org/asset/647567831","Open")</f>
        <v>Open</v>
      </c>
      <c r="V826" s="19"/>
    </row>
    <row r="827" customFormat="false" ht="15" hidden="false" customHeight="false" outlineLevel="0" collapsed="false">
      <c r="A827" s="19" t="s">
        <v>3424</v>
      </c>
      <c r="B827" s="19" t="s">
        <v>943</v>
      </c>
      <c r="C827" s="19" t="s">
        <v>944</v>
      </c>
      <c r="D827" s="19" t="s">
        <v>400</v>
      </c>
      <c r="E827" s="19" t="s">
        <v>147</v>
      </c>
      <c r="F827" s="19" t="s">
        <v>472</v>
      </c>
      <c r="G827" s="19" t="n">
        <v>95</v>
      </c>
      <c r="H827" s="19" t="s">
        <v>473</v>
      </c>
      <c r="I827" s="20" t="n">
        <v>27.613</v>
      </c>
      <c r="J827" s="19" t="n">
        <f aca="false">IF(I827="","",MIN(Overview!$B$8,MAX(1,CEILING(I827/Overview!$B$7,1))))</f>
        <v>6</v>
      </c>
      <c r="K827" s="19" t="n">
        <v>1</v>
      </c>
      <c r="L827" s="19"/>
      <c r="M827" s="20" t="n">
        <v>3</v>
      </c>
      <c r="N827" s="19"/>
      <c r="O827" s="19"/>
      <c r="P827" s="19" t="s">
        <v>3425</v>
      </c>
      <c r="Q827" s="19" t="s">
        <v>2085</v>
      </c>
      <c r="R827" s="21" t="n">
        <v>46011</v>
      </c>
      <c r="S827" s="19" t="s">
        <v>966</v>
      </c>
      <c r="T827" s="19" t="s">
        <v>3426</v>
      </c>
      <c r="U827" s="19" t="str">
        <f aca="false">HYPERLINK("https://macaulaylibrary.org/asset/652037936","Open")</f>
        <v>Open</v>
      </c>
      <c r="V827" s="19"/>
    </row>
    <row r="828" customFormat="false" ht="15" hidden="false" customHeight="false" outlineLevel="0" collapsed="false">
      <c r="A828" s="19" t="s">
        <v>3427</v>
      </c>
      <c r="B828" s="19" t="s">
        <v>943</v>
      </c>
      <c r="C828" s="19" t="s">
        <v>944</v>
      </c>
      <c r="D828" s="19" t="s">
        <v>400</v>
      </c>
      <c r="E828" s="19" t="s">
        <v>147</v>
      </c>
      <c r="F828" s="19" t="s">
        <v>472</v>
      </c>
      <c r="G828" s="19" t="n">
        <v>95</v>
      </c>
      <c r="H828" s="19" t="s">
        <v>473</v>
      </c>
      <c r="I828" s="20" t="n">
        <v>12.363</v>
      </c>
      <c r="J828" s="19" t="n">
        <f aca="false">IF(I828="","",MIN(Overview!$B$8,MAX(1,CEILING(I828/Overview!$B$7,1))))</f>
        <v>3</v>
      </c>
      <c r="K828" s="19" t="n">
        <v>1</v>
      </c>
      <c r="L828" s="19"/>
      <c r="M828" s="20"/>
      <c r="N828" s="19"/>
      <c r="O828" s="19"/>
      <c r="P828" s="19" t="s">
        <v>2564</v>
      </c>
      <c r="Q828" s="19" t="s">
        <v>2565</v>
      </c>
      <c r="R828" s="21" t="n">
        <v>46105</v>
      </c>
      <c r="S828" s="19" t="s">
        <v>2566</v>
      </c>
      <c r="T828" s="19" t="s">
        <v>3428</v>
      </c>
      <c r="U828" s="19" t="str">
        <f aca="false">HYPERLINK("https://macaulaylibrary.org/asset/654438249","Open")</f>
        <v>Open</v>
      </c>
      <c r="V828" s="19"/>
    </row>
    <row r="829" customFormat="false" ht="15" hidden="false" customHeight="false" outlineLevel="0" collapsed="false">
      <c r="A829" s="19" t="s">
        <v>3429</v>
      </c>
      <c r="B829" s="19" t="s">
        <v>943</v>
      </c>
      <c r="C829" s="19" t="s">
        <v>944</v>
      </c>
      <c r="D829" s="19" t="s">
        <v>400</v>
      </c>
      <c r="E829" s="19" t="s">
        <v>147</v>
      </c>
      <c r="F829" s="19" t="s">
        <v>604</v>
      </c>
      <c r="G829" s="19" t="n">
        <v>97</v>
      </c>
      <c r="H829" s="19" t="s">
        <v>605</v>
      </c>
      <c r="I829" s="20" t="n">
        <v>44.585</v>
      </c>
      <c r="J829" s="19" t="n">
        <f aca="false">IF(I829="","",MIN(Overview!$B$8,MAX(1,CEILING(I829/Overview!$B$7,1))))</f>
        <v>9</v>
      </c>
      <c r="K829" s="19" t="n">
        <v>1</v>
      </c>
      <c r="L829" s="19"/>
      <c r="M829" s="20" t="n">
        <v>2</v>
      </c>
      <c r="N829" s="19"/>
      <c r="O829" s="19"/>
      <c r="P829" s="19" t="s">
        <v>3430</v>
      </c>
      <c r="Q829" s="19" t="s">
        <v>2343</v>
      </c>
      <c r="R829" s="21" t="n">
        <v>31503</v>
      </c>
      <c r="S829" s="19" t="s">
        <v>2804</v>
      </c>
      <c r="T829" s="19" t="s">
        <v>3431</v>
      </c>
      <c r="U829" s="19" t="str">
        <f aca="false">HYPERLINK("https://macaulaylibrary.org/asset/249423","Open")</f>
        <v>Open</v>
      </c>
      <c r="V829" s="19"/>
    </row>
    <row r="830" customFormat="false" ht="15" hidden="false" customHeight="false" outlineLevel="0" collapsed="false">
      <c r="A830" s="19" t="s">
        <v>3432</v>
      </c>
      <c r="B830" s="19" t="s">
        <v>943</v>
      </c>
      <c r="C830" s="19" t="s">
        <v>944</v>
      </c>
      <c r="D830" s="19" t="s">
        <v>400</v>
      </c>
      <c r="E830" s="19" t="s">
        <v>147</v>
      </c>
      <c r="F830" s="19" t="s">
        <v>604</v>
      </c>
      <c r="G830" s="19" t="n">
        <v>97</v>
      </c>
      <c r="H830" s="19" t="s">
        <v>605</v>
      </c>
      <c r="I830" s="20" t="n">
        <v>183.266</v>
      </c>
      <c r="J830" s="19" t="n">
        <f aca="false">IF(I830="","",MIN(Overview!$B$8,MAX(1,CEILING(I830/Overview!$B$7,1))))</f>
        <v>37</v>
      </c>
      <c r="K830" s="19" t="n">
        <v>1</v>
      </c>
      <c r="L830" s="19"/>
      <c r="M830" s="20" t="n">
        <v>2</v>
      </c>
      <c r="N830" s="19"/>
      <c r="O830" s="19"/>
      <c r="P830" s="19" t="s">
        <v>3433</v>
      </c>
      <c r="Q830" s="19" t="s">
        <v>2343</v>
      </c>
      <c r="R830" s="21" t="n">
        <v>31504</v>
      </c>
      <c r="S830" s="19" t="s">
        <v>2804</v>
      </c>
      <c r="T830" s="19" t="s">
        <v>3434</v>
      </c>
      <c r="U830" s="19" t="str">
        <f aca="false">HYPERLINK("https://macaulaylibrary.org/asset/249433","Open")</f>
        <v>Open</v>
      </c>
      <c r="V830" s="19" t="s">
        <v>3435</v>
      </c>
    </row>
    <row r="831" customFormat="false" ht="15" hidden="false" customHeight="false" outlineLevel="0" collapsed="false">
      <c r="A831" s="19" t="s">
        <v>3436</v>
      </c>
      <c r="B831" s="19" t="s">
        <v>943</v>
      </c>
      <c r="C831" s="19" t="s">
        <v>944</v>
      </c>
      <c r="D831" s="19" t="s">
        <v>400</v>
      </c>
      <c r="E831" s="19" t="s">
        <v>147</v>
      </c>
      <c r="F831" s="19" t="s">
        <v>604</v>
      </c>
      <c r="G831" s="19" t="n">
        <v>97</v>
      </c>
      <c r="H831" s="19" t="s">
        <v>605</v>
      </c>
      <c r="I831" s="20" t="n">
        <v>2.664</v>
      </c>
      <c r="J831" s="19" t="n">
        <f aca="false">IF(I831="","",MIN(Overview!$B$8,MAX(1,CEILING(I831/Overview!$B$7,1))))</f>
        <v>1</v>
      </c>
      <c r="K831" s="19" t="n">
        <v>1</v>
      </c>
      <c r="L831" s="19" t="s">
        <v>1048</v>
      </c>
      <c r="M831" s="20" t="n">
        <v>3</v>
      </c>
      <c r="N831" s="19"/>
      <c r="O831" s="19"/>
      <c r="P831" s="19" t="s">
        <v>1170</v>
      </c>
      <c r="Q831" s="19" t="s">
        <v>1166</v>
      </c>
      <c r="R831" s="21" t="n">
        <v>44900</v>
      </c>
      <c r="S831" s="19" t="s">
        <v>1092</v>
      </c>
      <c r="T831" s="19" t="s">
        <v>3437</v>
      </c>
      <c r="U831" s="19" t="str">
        <f aca="false">HYPERLINK("https://macaulaylibrary.org/asset/597934421","Open")</f>
        <v>Open</v>
      </c>
      <c r="V831" s="19"/>
    </row>
    <row r="832" customFormat="false" ht="15" hidden="false" customHeight="false" outlineLevel="0" collapsed="false">
      <c r="A832" s="19" t="s">
        <v>3438</v>
      </c>
      <c r="B832" s="19" t="s">
        <v>943</v>
      </c>
      <c r="C832" s="19" t="s">
        <v>944</v>
      </c>
      <c r="D832" s="19" t="s">
        <v>400</v>
      </c>
      <c r="E832" s="19" t="s">
        <v>147</v>
      </c>
      <c r="F832" s="19" t="s">
        <v>475</v>
      </c>
      <c r="G832" s="19" t="n">
        <v>98</v>
      </c>
      <c r="H832" s="19" t="s">
        <v>476</v>
      </c>
      <c r="I832" s="20" t="n">
        <v>63.563</v>
      </c>
      <c r="J832" s="19" t="n">
        <f aca="false">IF(I832="","",MIN(Overview!$B$8,MAX(1,CEILING(I832/Overview!$B$7,1))))</f>
        <v>13</v>
      </c>
      <c r="K832" s="19" t="n">
        <v>1</v>
      </c>
      <c r="L832" s="19"/>
      <c r="M832" s="20" t="n">
        <v>3</v>
      </c>
      <c r="N832" s="19"/>
      <c r="O832" s="19"/>
      <c r="P832" s="19" t="s">
        <v>1679</v>
      </c>
      <c r="Q832" s="19" t="s">
        <v>1401</v>
      </c>
      <c r="R832" s="21" t="n">
        <v>36227</v>
      </c>
      <c r="S832" s="19" t="s">
        <v>1002</v>
      </c>
      <c r="T832" s="19" t="s">
        <v>3439</v>
      </c>
      <c r="U832" s="19" t="str">
        <f aca="false">HYPERLINK("https://macaulaylibrary.org/asset/130155901","Open")</f>
        <v>Open</v>
      </c>
      <c r="V832" s="19"/>
    </row>
    <row r="833" customFormat="false" ht="15" hidden="false" customHeight="false" outlineLevel="0" collapsed="false">
      <c r="A833" s="19" t="s">
        <v>3440</v>
      </c>
      <c r="B833" s="19" t="s">
        <v>943</v>
      </c>
      <c r="C833" s="19" t="s">
        <v>944</v>
      </c>
      <c r="D833" s="19" t="s">
        <v>400</v>
      </c>
      <c r="E833" s="19" t="s">
        <v>147</v>
      </c>
      <c r="F833" s="19" t="s">
        <v>475</v>
      </c>
      <c r="G833" s="19" t="n">
        <v>98</v>
      </c>
      <c r="H833" s="19" t="s">
        <v>476</v>
      </c>
      <c r="I833" s="20" t="n">
        <v>42.347</v>
      </c>
      <c r="J833" s="19" t="n">
        <f aca="false">IF(I833="","",MIN(Overview!$B$8,MAX(1,CEILING(I833/Overview!$B$7,1))))</f>
        <v>9</v>
      </c>
      <c r="K833" s="19" t="n">
        <v>1</v>
      </c>
      <c r="L833" s="19"/>
      <c r="M833" s="20" t="n">
        <v>2.5</v>
      </c>
      <c r="N833" s="19"/>
      <c r="O833" s="19"/>
      <c r="P833" s="19" t="s">
        <v>3441</v>
      </c>
      <c r="Q833" s="19" t="s">
        <v>3442</v>
      </c>
      <c r="R833" s="21" t="n">
        <v>43531</v>
      </c>
      <c r="S833" s="19" t="s">
        <v>3175</v>
      </c>
      <c r="T833" s="19" t="s">
        <v>3443</v>
      </c>
      <c r="U833" s="19" t="str">
        <f aca="false">HYPERLINK("https://macaulaylibrary.org/asset/145237251","Open")</f>
        <v>Open</v>
      </c>
      <c r="V833" s="19"/>
    </row>
    <row r="834" customFormat="false" ht="15" hidden="false" customHeight="false" outlineLevel="0" collapsed="false">
      <c r="A834" s="19" t="s">
        <v>3444</v>
      </c>
      <c r="B834" s="19" t="s">
        <v>943</v>
      </c>
      <c r="C834" s="19" t="s">
        <v>944</v>
      </c>
      <c r="D834" s="19" t="s">
        <v>400</v>
      </c>
      <c r="E834" s="19" t="s">
        <v>147</v>
      </c>
      <c r="F834" s="19" t="s">
        <v>475</v>
      </c>
      <c r="G834" s="19" t="n">
        <v>98</v>
      </c>
      <c r="H834" s="19" t="s">
        <v>476</v>
      </c>
      <c r="I834" s="20" t="n">
        <v>6.162</v>
      </c>
      <c r="J834" s="19" t="n">
        <f aca="false">IF(I834="","",MIN(Overview!$B$8,MAX(1,CEILING(I834/Overview!$B$7,1))))</f>
        <v>2</v>
      </c>
      <c r="K834" s="19" t="n">
        <v>1</v>
      </c>
      <c r="L834" s="19"/>
      <c r="M834" s="20" t="n">
        <v>3</v>
      </c>
      <c r="N834" s="19"/>
      <c r="O834" s="19"/>
      <c r="P834" s="19" t="s">
        <v>1105</v>
      </c>
      <c r="Q834" s="19" t="s">
        <v>1021</v>
      </c>
      <c r="R834" s="21" t="n">
        <v>36597</v>
      </c>
      <c r="S834" s="19" t="s">
        <v>1106</v>
      </c>
      <c r="T834" s="19" t="s">
        <v>3445</v>
      </c>
      <c r="U834" s="19" t="str">
        <f aca="false">HYPERLINK("https://macaulaylibrary.org/asset/145618121","Open")</f>
        <v>Open</v>
      </c>
      <c r="V834" s="19"/>
    </row>
    <row r="835" customFormat="false" ht="15" hidden="false" customHeight="false" outlineLevel="0" collapsed="false">
      <c r="A835" s="19" t="s">
        <v>3446</v>
      </c>
      <c r="B835" s="19" t="s">
        <v>943</v>
      </c>
      <c r="C835" s="19" t="s">
        <v>944</v>
      </c>
      <c r="D835" s="19" t="s">
        <v>400</v>
      </c>
      <c r="E835" s="19" t="s">
        <v>147</v>
      </c>
      <c r="F835" s="19" t="s">
        <v>475</v>
      </c>
      <c r="G835" s="19" t="n">
        <v>98</v>
      </c>
      <c r="H835" s="19" t="s">
        <v>476</v>
      </c>
      <c r="I835" s="20" t="n">
        <v>32</v>
      </c>
      <c r="J835" s="19" t="n">
        <f aca="false">IF(I835="","",MIN(Overview!$B$8,MAX(1,CEILING(I835/Overview!$B$7,1))))</f>
        <v>7</v>
      </c>
      <c r="K835" s="19" t="n">
        <v>1</v>
      </c>
      <c r="L835" s="19"/>
      <c r="M835" s="20" t="n">
        <v>3</v>
      </c>
      <c r="N835" s="19"/>
      <c r="O835" s="19"/>
      <c r="P835" s="19" t="s">
        <v>1846</v>
      </c>
      <c r="Q835" s="19" t="s">
        <v>1847</v>
      </c>
      <c r="R835" s="21" t="n">
        <v>43529</v>
      </c>
      <c r="S835" s="19" t="s">
        <v>957</v>
      </c>
      <c r="T835" s="19" t="s">
        <v>3447</v>
      </c>
      <c r="U835" s="19" t="str">
        <f aca="false">HYPERLINK("https://macaulaylibrary.org/asset/147183551","Open")</f>
        <v>Open</v>
      </c>
      <c r="V835" s="19"/>
    </row>
    <row r="836" customFormat="false" ht="15" hidden="false" customHeight="false" outlineLevel="0" collapsed="false">
      <c r="A836" s="19" t="s">
        <v>3448</v>
      </c>
      <c r="B836" s="19" t="s">
        <v>943</v>
      </c>
      <c r="C836" s="19" t="s">
        <v>944</v>
      </c>
      <c r="D836" s="19" t="s">
        <v>400</v>
      </c>
      <c r="E836" s="19" t="s">
        <v>147</v>
      </c>
      <c r="F836" s="19" t="s">
        <v>475</v>
      </c>
      <c r="G836" s="19" t="n">
        <v>98</v>
      </c>
      <c r="H836" s="19" t="s">
        <v>476</v>
      </c>
      <c r="I836" s="20" t="n">
        <v>29.986</v>
      </c>
      <c r="J836" s="19" t="n">
        <f aca="false">IF(I836="","",MIN(Overview!$B$8,MAX(1,CEILING(I836/Overview!$B$7,1))))</f>
        <v>6</v>
      </c>
      <c r="K836" s="19" t="n">
        <v>1</v>
      </c>
      <c r="L836" s="19"/>
      <c r="M836" s="20"/>
      <c r="N836" s="19"/>
      <c r="O836" s="19"/>
      <c r="P836" s="19" t="s">
        <v>1140</v>
      </c>
      <c r="Q836" s="19" t="s">
        <v>1030</v>
      </c>
      <c r="R836" s="21" t="n">
        <v>40250</v>
      </c>
      <c r="S836" s="19" t="s">
        <v>1017</v>
      </c>
      <c r="T836" s="19" t="s">
        <v>3449</v>
      </c>
      <c r="U836" s="19" t="str">
        <f aca="false">HYPERLINK("https://macaulaylibrary.org/asset/299561","Open")</f>
        <v>Open</v>
      </c>
      <c r="V836" s="19"/>
    </row>
    <row r="837" customFormat="false" ht="15" hidden="false" customHeight="false" outlineLevel="0" collapsed="false">
      <c r="A837" s="19" t="s">
        <v>3450</v>
      </c>
      <c r="B837" s="19" t="s">
        <v>943</v>
      </c>
      <c r="C837" s="19" t="s">
        <v>944</v>
      </c>
      <c r="D837" s="19" t="s">
        <v>400</v>
      </c>
      <c r="E837" s="19" t="s">
        <v>147</v>
      </c>
      <c r="F837" s="19" t="s">
        <v>475</v>
      </c>
      <c r="G837" s="19" t="n">
        <v>98</v>
      </c>
      <c r="H837" s="19" t="s">
        <v>476</v>
      </c>
      <c r="I837" s="20" t="n">
        <v>7.32</v>
      </c>
      <c r="J837" s="19" t="n">
        <f aca="false">IF(I837="","",MIN(Overview!$B$8,MAX(1,CEILING(I837/Overview!$B$7,1))))</f>
        <v>2</v>
      </c>
      <c r="K837" s="19" t="n">
        <v>1</v>
      </c>
      <c r="L837" s="19"/>
      <c r="M837" s="20"/>
      <c r="N837" s="19"/>
      <c r="O837" s="19"/>
      <c r="P837" s="19" t="s">
        <v>1140</v>
      </c>
      <c r="Q837" s="19" t="s">
        <v>1030</v>
      </c>
      <c r="R837" s="21" t="n">
        <v>40250</v>
      </c>
      <c r="S837" s="19" t="s">
        <v>1017</v>
      </c>
      <c r="T837" s="19" t="s">
        <v>3451</v>
      </c>
      <c r="U837" s="19" t="str">
        <f aca="false">HYPERLINK("https://macaulaylibrary.org/asset/299562","Open")</f>
        <v>Open</v>
      </c>
      <c r="V837" s="19"/>
    </row>
    <row r="838" customFormat="false" ht="15" hidden="false" customHeight="false" outlineLevel="0" collapsed="false">
      <c r="A838" s="19" t="s">
        <v>3452</v>
      </c>
      <c r="B838" s="19" t="s">
        <v>943</v>
      </c>
      <c r="C838" s="19" t="s">
        <v>944</v>
      </c>
      <c r="D838" s="19" t="s">
        <v>400</v>
      </c>
      <c r="E838" s="19" t="s">
        <v>147</v>
      </c>
      <c r="F838" s="19" t="s">
        <v>475</v>
      </c>
      <c r="G838" s="19" t="n">
        <v>98</v>
      </c>
      <c r="H838" s="19" t="s">
        <v>476</v>
      </c>
      <c r="I838" s="20" t="n">
        <v>148.543</v>
      </c>
      <c r="J838" s="19" t="n">
        <f aca="false">IF(I838="","",MIN(Overview!$B$8,MAX(1,CEILING(I838/Overview!$B$7,1))))</f>
        <v>30</v>
      </c>
      <c r="K838" s="19" t="n">
        <v>1</v>
      </c>
      <c r="L838" s="19"/>
      <c r="M838" s="20" t="n">
        <v>4</v>
      </c>
      <c r="N838" s="19"/>
      <c r="O838" s="19"/>
      <c r="P838" s="19" t="s">
        <v>1742</v>
      </c>
      <c r="Q838" s="19" t="s">
        <v>1021</v>
      </c>
      <c r="R838" s="21" t="n">
        <v>35860</v>
      </c>
      <c r="S838" s="19" t="s">
        <v>1743</v>
      </c>
      <c r="T838" s="19" t="s">
        <v>3453</v>
      </c>
      <c r="U838" s="19" t="str">
        <f aca="false">HYPERLINK("https://macaulaylibrary.org/asset/97861781","Open")</f>
        <v>Open</v>
      </c>
      <c r="V838" s="19"/>
    </row>
    <row r="839" customFormat="false" ht="15" hidden="false" customHeight="false" outlineLevel="0" collapsed="false">
      <c r="A839" s="19" t="s">
        <v>3454</v>
      </c>
      <c r="B839" s="19" t="s">
        <v>943</v>
      </c>
      <c r="C839" s="19" t="s">
        <v>944</v>
      </c>
      <c r="D839" s="19" t="s">
        <v>400</v>
      </c>
      <c r="E839" s="19" t="s">
        <v>147</v>
      </c>
      <c r="F839" s="19" t="s">
        <v>505</v>
      </c>
      <c r="G839" s="19" t="n">
        <v>99</v>
      </c>
      <c r="H839" s="19" t="s">
        <v>506</v>
      </c>
      <c r="I839" s="20" t="n">
        <v>17.081</v>
      </c>
      <c r="J839" s="19" t="n">
        <f aca="false">IF(I839="","",MIN(Overview!$B$8,MAX(1,CEILING(I839/Overview!$B$7,1))))</f>
        <v>4</v>
      </c>
      <c r="K839" s="19" t="n">
        <v>1</v>
      </c>
      <c r="L839" s="19"/>
      <c r="M839" s="20" t="n">
        <v>3</v>
      </c>
      <c r="N839" s="19"/>
      <c r="O839" s="19"/>
      <c r="P839" s="19" t="s">
        <v>1140</v>
      </c>
      <c r="Q839" s="19" t="s">
        <v>1030</v>
      </c>
      <c r="R839" s="21" t="n">
        <v>40250</v>
      </c>
      <c r="S839" s="19" t="s">
        <v>1290</v>
      </c>
      <c r="T839" s="19" t="s">
        <v>3455</v>
      </c>
      <c r="U839" s="19" t="str">
        <f aca="false">HYPERLINK("https://macaulaylibrary.org/asset/299553","Open")</f>
        <v>Open</v>
      </c>
      <c r="V839" s="19"/>
    </row>
    <row r="840" customFormat="false" ht="15" hidden="false" customHeight="false" outlineLevel="0" collapsed="false">
      <c r="A840" s="19" t="s">
        <v>3456</v>
      </c>
      <c r="B840" s="19" t="s">
        <v>943</v>
      </c>
      <c r="C840" s="19" t="s">
        <v>944</v>
      </c>
      <c r="D840" s="19" t="s">
        <v>400</v>
      </c>
      <c r="E840" s="19" t="s">
        <v>147</v>
      </c>
      <c r="F840" s="19" t="s">
        <v>505</v>
      </c>
      <c r="G840" s="19" t="n">
        <v>99</v>
      </c>
      <c r="H840" s="19" t="s">
        <v>506</v>
      </c>
      <c r="I840" s="20" t="n">
        <v>11.448</v>
      </c>
      <c r="J840" s="19" t="n">
        <f aca="false">IF(I840="","",MIN(Overview!$B$8,MAX(1,CEILING(I840/Overview!$B$7,1))))</f>
        <v>3</v>
      </c>
      <c r="K840" s="19" t="n">
        <v>1</v>
      </c>
      <c r="L840" s="19"/>
      <c r="M840" s="20" t="n">
        <v>3</v>
      </c>
      <c r="N840" s="19"/>
      <c r="O840" s="19"/>
      <c r="P840" s="19" t="s">
        <v>3457</v>
      </c>
      <c r="Q840" s="19" t="s">
        <v>3458</v>
      </c>
      <c r="R840" s="21" t="n">
        <v>45419</v>
      </c>
      <c r="S840" s="19" t="s">
        <v>3459</v>
      </c>
      <c r="T840" s="19" t="s">
        <v>3460</v>
      </c>
      <c r="U840" s="19" t="str">
        <f aca="false">HYPERLINK("https://macaulaylibrary.org/asset/619208813","Open")</f>
        <v>Open</v>
      </c>
      <c r="V840" s="19"/>
    </row>
    <row r="841" customFormat="false" ht="15" hidden="false" customHeight="false" outlineLevel="0" collapsed="false">
      <c r="A841" s="19" t="s">
        <v>3461</v>
      </c>
      <c r="B841" s="19" t="s">
        <v>943</v>
      </c>
      <c r="C841" s="19" t="s">
        <v>944</v>
      </c>
      <c r="D841" s="19" t="s">
        <v>400</v>
      </c>
      <c r="E841" s="19" t="s">
        <v>147</v>
      </c>
      <c r="F841" s="19" t="s">
        <v>505</v>
      </c>
      <c r="G841" s="19" t="n">
        <v>99</v>
      </c>
      <c r="H841" s="19" t="s">
        <v>506</v>
      </c>
      <c r="I841" s="20" t="n">
        <v>22.332</v>
      </c>
      <c r="J841" s="19" t="n">
        <f aca="false">IF(I841="","",MIN(Overview!$B$8,MAX(1,CEILING(I841/Overview!$B$7,1))))</f>
        <v>5</v>
      </c>
      <c r="K841" s="19" t="n">
        <v>1</v>
      </c>
      <c r="L841" s="19"/>
      <c r="M841" s="20" t="n">
        <v>3</v>
      </c>
      <c r="N841" s="19"/>
      <c r="O841" s="19"/>
      <c r="P841" s="19" t="s">
        <v>1467</v>
      </c>
      <c r="Q841" s="19" t="s">
        <v>1258</v>
      </c>
      <c r="R841" s="21" t="n">
        <v>45230</v>
      </c>
      <c r="S841" s="19" t="s">
        <v>1306</v>
      </c>
      <c r="T841" s="19" t="s">
        <v>3462</v>
      </c>
      <c r="U841" s="19" t="str">
        <f aca="false">HYPERLINK("https://macaulaylibrary.org/asset/621760082","Open")</f>
        <v>Open</v>
      </c>
      <c r="V841" s="19"/>
    </row>
    <row r="842" customFormat="false" ht="15" hidden="false" customHeight="false" outlineLevel="0" collapsed="false">
      <c r="A842" s="19" t="s">
        <v>3463</v>
      </c>
      <c r="B842" s="19" t="s">
        <v>943</v>
      </c>
      <c r="C842" s="19" t="s">
        <v>944</v>
      </c>
      <c r="D842" s="19" t="s">
        <v>400</v>
      </c>
      <c r="E842" s="19" t="s">
        <v>147</v>
      </c>
      <c r="F842" s="19" t="s">
        <v>505</v>
      </c>
      <c r="G842" s="19" t="n">
        <v>99</v>
      </c>
      <c r="H842" s="19" t="s">
        <v>506</v>
      </c>
      <c r="I842" s="20" t="n">
        <v>55.666</v>
      </c>
      <c r="J842" s="19" t="n">
        <f aca="false">IF(I842="","",MIN(Overview!$B$8,MAX(1,CEILING(I842/Overview!$B$7,1))))</f>
        <v>12</v>
      </c>
      <c r="K842" s="19" t="n">
        <v>1</v>
      </c>
      <c r="L842" s="19"/>
      <c r="M842" s="20" t="n">
        <v>3</v>
      </c>
      <c r="N842" s="19"/>
      <c r="O842" s="19" t="s">
        <v>3464</v>
      </c>
      <c r="P842" s="19" t="s">
        <v>3465</v>
      </c>
      <c r="Q842" s="19" t="s">
        <v>1191</v>
      </c>
      <c r="R842" s="21" t="n">
        <v>45685</v>
      </c>
      <c r="S842" s="19" t="s">
        <v>3466</v>
      </c>
      <c r="T842" s="19" t="s">
        <v>3467</v>
      </c>
      <c r="U842" s="19" t="str">
        <f aca="false">HYPERLINK("https://macaulaylibrary.org/asset/630390537","Open")</f>
        <v>Open</v>
      </c>
      <c r="V842" s="19"/>
    </row>
    <row r="843" customFormat="false" ht="15" hidden="false" customHeight="false" outlineLevel="0" collapsed="false">
      <c r="A843" s="19" t="s">
        <v>3468</v>
      </c>
      <c r="B843" s="19" t="s">
        <v>943</v>
      </c>
      <c r="C843" s="19" t="s">
        <v>944</v>
      </c>
      <c r="D843" s="19" t="s">
        <v>400</v>
      </c>
      <c r="E843" s="19" t="s">
        <v>147</v>
      </c>
      <c r="F843" s="19" t="s">
        <v>505</v>
      </c>
      <c r="G843" s="19" t="n">
        <v>99</v>
      </c>
      <c r="H843" s="19" t="s">
        <v>506</v>
      </c>
      <c r="I843" s="20" t="n">
        <v>6.653</v>
      </c>
      <c r="J843" s="19" t="n">
        <f aca="false">IF(I843="","",MIN(Overview!$B$8,MAX(1,CEILING(I843/Overview!$B$7,1))))</f>
        <v>2</v>
      </c>
      <c r="K843" s="19" t="n">
        <v>1</v>
      </c>
      <c r="L843" s="19"/>
      <c r="M843" s="20" t="n">
        <v>4</v>
      </c>
      <c r="N843" s="19"/>
      <c r="O843" s="19"/>
      <c r="P843" s="19" t="s">
        <v>1477</v>
      </c>
      <c r="Q843" s="19" t="s">
        <v>1478</v>
      </c>
      <c r="R843" s="21" t="n">
        <v>45715</v>
      </c>
      <c r="S843" s="19" t="s">
        <v>1479</v>
      </c>
      <c r="T843" s="19" t="s">
        <v>3469</v>
      </c>
      <c r="U843" s="19" t="str">
        <f aca="false">HYPERLINK("https://macaulaylibrary.org/asset/632692699","Open")</f>
        <v>Open</v>
      </c>
      <c r="V843" s="19"/>
    </row>
    <row r="844" customFormat="false" ht="15" hidden="false" customHeight="false" outlineLevel="0" collapsed="false">
      <c r="A844" s="19" t="s">
        <v>3470</v>
      </c>
      <c r="B844" s="19" t="s">
        <v>943</v>
      </c>
      <c r="C844" s="19" t="s">
        <v>944</v>
      </c>
      <c r="D844" s="19" t="s">
        <v>400</v>
      </c>
      <c r="E844" s="19" t="s">
        <v>147</v>
      </c>
      <c r="F844" s="19" t="s">
        <v>505</v>
      </c>
      <c r="G844" s="19" t="n">
        <v>99</v>
      </c>
      <c r="H844" s="19" t="s">
        <v>506</v>
      </c>
      <c r="I844" s="20" t="n">
        <v>90.149</v>
      </c>
      <c r="J844" s="19" t="n">
        <f aca="false">IF(I844="","",MIN(Overview!$B$8,MAX(1,CEILING(I844/Overview!$B$7,1))))</f>
        <v>19</v>
      </c>
      <c r="K844" s="19" t="n">
        <v>1</v>
      </c>
      <c r="L844" s="19"/>
      <c r="M844" s="20" t="n">
        <v>1</v>
      </c>
      <c r="N844" s="19"/>
      <c r="O844" s="19"/>
      <c r="P844" s="19" t="s">
        <v>2437</v>
      </c>
      <c r="Q844" s="19" t="s">
        <v>1483</v>
      </c>
      <c r="R844" s="21" t="n">
        <v>45292</v>
      </c>
      <c r="S844" s="19" t="s">
        <v>2438</v>
      </c>
      <c r="T844" s="19" t="s">
        <v>3471</v>
      </c>
      <c r="U844" s="19" t="str">
        <f aca="false">HYPERLINK("https://macaulaylibrary.org/asset/638982457","Open")</f>
        <v>Open</v>
      </c>
      <c r="V844" s="19"/>
    </row>
    <row r="845" customFormat="false" ht="15" hidden="false" customHeight="false" outlineLevel="0" collapsed="false">
      <c r="A845" s="19" t="s">
        <v>3472</v>
      </c>
      <c r="B845" s="19" t="s">
        <v>943</v>
      </c>
      <c r="C845" s="19" t="s">
        <v>944</v>
      </c>
      <c r="D845" s="19" t="s">
        <v>400</v>
      </c>
      <c r="E845" s="19" t="s">
        <v>147</v>
      </c>
      <c r="F845" s="19" t="s">
        <v>535</v>
      </c>
      <c r="G845" s="19" t="n">
        <v>100</v>
      </c>
      <c r="H845" s="19" t="s">
        <v>536</v>
      </c>
      <c r="I845" s="20" t="n">
        <v>36.603</v>
      </c>
      <c r="J845" s="19" t="n">
        <f aca="false">IF(I845="","",MIN(Overview!$B$8,MAX(1,CEILING(I845/Overview!$B$7,1))))</f>
        <v>8</v>
      </c>
      <c r="K845" s="19" t="n">
        <v>1</v>
      </c>
      <c r="L845" s="19"/>
      <c r="M845" s="20" t="n">
        <v>2.5</v>
      </c>
      <c r="N845" s="19"/>
      <c r="O845" s="19"/>
      <c r="P845" s="19" t="s">
        <v>3473</v>
      </c>
      <c r="Q845" s="19" t="s">
        <v>1401</v>
      </c>
      <c r="R845" s="21" t="n">
        <v>35880</v>
      </c>
      <c r="S845" s="19" t="s">
        <v>1002</v>
      </c>
      <c r="T845" s="19" t="s">
        <v>3474</v>
      </c>
      <c r="U845" s="19" t="str">
        <f aca="false">HYPERLINK("https://macaulaylibrary.org/asset/127701331","Open")</f>
        <v>Open</v>
      </c>
      <c r="V845" s="19"/>
    </row>
    <row r="846" customFormat="false" ht="15" hidden="false" customHeight="false" outlineLevel="0" collapsed="false">
      <c r="A846" s="19" t="s">
        <v>3475</v>
      </c>
      <c r="B846" s="19" t="s">
        <v>943</v>
      </c>
      <c r="C846" s="19" t="s">
        <v>944</v>
      </c>
      <c r="D846" s="19" t="s">
        <v>400</v>
      </c>
      <c r="E846" s="19" t="s">
        <v>147</v>
      </c>
      <c r="F846" s="19" t="s">
        <v>535</v>
      </c>
      <c r="G846" s="19" t="n">
        <v>100</v>
      </c>
      <c r="H846" s="19" t="s">
        <v>536</v>
      </c>
      <c r="I846" s="20" t="n">
        <v>11.297</v>
      </c>
      <c r="J846" s="19" t="n">
        <f aca="false">IF(I846="","",MIN(Overview!$B$8,MAX(1,CEILING(I846/Overview!$B$7,1))))</f>
        <v>3</v>
      </c>
      <c r="K846" s="19" t="n">
        <v>1</v>
      </c>
      <c r="L846" s="19"/>
      <c r="M846" s="20" t="n">
        <v>1</v>
      </c>
      <c r="N846" s="19"/>
      <c r="O846" s="19" t="s">
        <v>221</v>
      </c>
      <c r="P846" s="19" t="s">
        <v>3476</v>
      </c>
      <c r="Q846" s="19" t="s">
        <v>1063</v>
      </c>
      <c r="R846" s="21" t="n">
        <v>44086</v>
      </c>
      <c r="S846" s="19" t="s">
        <v>1092</v>
      </c>
      <c r="T846" s="19" t="s">
        <v>3477</v>
      </c>
      <c r="U846" s="19" t="str">
        <f aca="false">HYPERLINK("https://macaulaylibrary.org/asset/266216791","Open")</f>
        <v>Open</v>
      </c>
      <c r="V846" s="19"/>
    </row>
    <row r="847" customFormat="false" ht="15" hidden="false" customHeight="false" outlineLevel="0" collapsed="false">
      <c r="A847" s="19" t="s">
        <v>3478</v>
      </c>
      <c r="B847" s="19" t="s">
        <v>943</v>
      </c>
      <c r="C847" s="19" t="s">
        <v>944</v>
      </c>
      <c r="D847" s="19" t="s">
        <v>400</v>
      </c>
      <c r="E847" s="19" t="s">
        <v>147</v>
      </c>
      <c r="F847" s="19" t="s">
        <v>535</v>
      </c>
      <c r="G847" s="19" t="n">
        <v>100</v>
      </c>
      <c r="H847" s="19" t="s">
        <v>536</v>
      </c>
      <c r="I847" s="20" t="n">
        <v>19.661</v>
      </c>
      <c r="J847" s="19" t="n">
        <f aca="false">IF(I847="","",MIN(Overview!$B$8,MAX(1,CEILING(I847/Overview!$B$7,1))))</f>
        <v>4</v>
      </c>
      <c r="K847" s="19" t="n">
        <v>1</v>
      </c>
      <c r="L847" s="19"/>
      <c r="M847" s="20" t="n">
        <v>2.75</v>
      </c>
      <c r="N847" s="19"/>
      <c r="O847" s="19"/>
      <c r="P847" s="19" t="s">
        <v>1278</v>
      </c>
      <c r="Q847" s="19" t="s">
        <v>1030</v>
      </c>
      <c r="R847" s="21" t="n">
        <v>33597</v>
      </c>
      <c r="S847" s="19" t="s">
        <v>1013</v>
      </c>
      <c r="T847" s="19" t="s">
        <v>3479</v>
      </c>
      <c r="U847" s="19" t="str">
        <f aca="false">HYPERLINK("https://macaulaylibrary.org/asset/285621","Open")</f>
        <v>Open</v>
      </c>
      <c r="V847" s="19"/>
    </row>
    <row r="848" customFormat="false" ht="15" hidden="false" customHeight="false" outlineLevel="0" collapsed="false">
      <c r="A848" s="19" t="s">
        <v>3480</v>
      </c>
      <c r="B848" s="19" t="s">
        <v>943</v>
      </c>
      <c r="C848" s="19" t="s">
        <v>944</v>
      </c>
      <c r="D848" s="19" t="s">
        <v>400</v>
      </c>
      <c r="E848" s="19" t="s">
        <v>147</v>
      </c>
      <c r="F848" s="19" t="s">
        <v>535</v>
      </c>
      <c r="G848" s="19" t="n">
        <v>100</v>
      </c>
      <c r="H848" s="19" t="s">
        <v>536</v>
      </c>
      <c r="I848" s="20" t="n">
        <v>65.657</v>
      </c>
      <c r="J848" s="19" t="n">
        <f aca="false">IF(I848="","",MIN(Overview!$B$8,MAX(1,CEILING(I848/Overview!$B$7,1))))</f>
        <v>14</v>
      </c>
      <c r="K848" s="19" t="n">
        <v>1</v>
      </c>
      <c r="L848" s="19"/>
      <c r="M848" s="20" t="n">
        <v>2.5</v>
      </c>
      <c r="N848" s="19"/>
      <c r="O848" s="19"/>
      <c r="P848" s="19" t="s">
        <v>2096</v>
      </c>
      <c r="Q848" s="19" t="s">
        <v>1076</v>
      </c>
      <c r="R848" s="21" t="n">
        <v>43399</v>
      </c>
      <c r="S848" s="19" t="s">
        <v>1205</v>
      </c>
      <c r="T848" s="19" t="s">
        <v>3481</v>
      </c>
      <c r="U848" s="19" t="str">
        <f aca="false">HYPERLINK("https://macaulaylibrary.org/asset/470745041","Open")</f>
        <v>Open</v>
      </c>
      <c r="V848" s="19"/>
    </row>
    <row r="849" customFormat="false" ht="15" hidden="false" customHeight="false" outlineLevel="0" collapsed="false">
      <c r="A849" s="19" t="s">
        <v>3482</v>
      </c>
      <c r="B849" s="19" t="s">
        <v>943</v>
      </c>
      <c r="C849" s="19" t="s">
        <v>944</v>
      </c>
      <c r="D849" s="19" t="s">
        <v>400</v>
      </c>
      <c r="E849" s="19" t="s">
        <v>147</v>
      </c>
      <c r="F849" s="19" t="s">
        <v>535</v>
      </c>
      <c r="G849" s="19" t="n">
        <v>100</v>
      </c>
      <c r="H849" s="19" t="s">
        <v>536</v>
      </c>
      <c r="I849" s="20" t="n">
        <v>65.586</v>
      </c>
      <c r="J849" s="19" t="n">
        <f aca="false">IF(I849="","",MIN(Overview!$B$8,MAX(1,CEILING(I849/Overview!$B$7,1))))</f>
        <v>14</v>
      </c>
      <c r="K849" s="19" t="n">
        <v>1</v>
      </c>
      <c r="L849" s="19"/>
      <c r="M849" s="20" t="n">
        <v>2</v>
      </c>
      <c r="N849" s="19"/>
      <c r="O849" s="19"/>
      <c r="P849" s="19" t="s">
        <v>1257</v>
      </c>
      <c r="Q849" s="19" t="s">
        <v>1258</v>
      </c>
      <c r="R849" s="21" t="n">
        <v>45231</v>
      </c>
      <c r="S849" s="19" t="s">
        <v>1259</v>
      </c>
      <c r="T849" s="19" t="s">
        <v>3483</v>
      </c>
      <c r="U849" s="19" t="str">
        <f aca="false">HYPERLINK("https://macaulaylibrary.org/asset/621760410","Open")</f>
        <v>Open</v>
      </c>
      <c r="V849" s="19"/>
    </row>
    <row r="850" customFormat="false" ht="15" hidden="false" customHeight="false" outlineLevel="0" collapsed="false">
      <c r="A850" s="19" t="s">
        <v>3484</v>
      </c>
      <c r="B850" s="19" t="s">
        <v>943</v>
      </c>
      <c r="C850" s="19" t="s">
        <v>944</v>
      </c>
      <c r="D850" s="19" t="s">
        <v>148</v>
      </c>
      <c r="E850" s="19" t="s">
        <v>147</v>
      </c>
      <c r="F850" s="19" t="s">
        <v>289</v>
      </c>
      <c r="G850" s="19" t="n">
        <v>102</v>
      </c>
      <c r="H850" s="19" t="s">
        <v>290</v>
      </c>
      <c r="I850" s="20" t="n">
        <v>33.003</v>
      </c>
      <c r="J850" s="19" t="n">
        <f aca="false">IF(I850="","",MIN(Overview!$B$8,MAX(1,CEILING(I850/Overview!$B$7,1))))</f>
        <v>7</v>
      </c>
      <c r="K850" s="19" t="n">
        <v>1</v>
      </c>
      <c r="L850" s="19"/>
      <c r="M850" s="20" t="n">
        <v>4</v>
      </c>
      <c r="N850" s="19"/>
      <c r="O850" s="19"/>
      <c r="P850" s="19" t="s">
        <v>1698</v>
      </c>
      <c r="Q850" s="19" t="s">
        <v>1021</v>
      </c>
      <c r="R850" s="21" t="n">
        <v>36599</v>
      </c>
      <c r="S850" s="19" t="s">
        <v>1036</v>
      </c>
      <c r="T850" s="19" t="s">
        <v>3485</v>
      </c>
      <c r="U850" s="19" t="str">
        <f aca="false">HYPERLINK("https://macaulaylibrary.org/asset/150741091","Open")</f>
        <v>Open</v>
      </c>
      <c r="V850" s="19"/>
    </row>
    <row r="851" customFormat="false" ht="15" hidden="false" customHeight="false" outlineLevel="0" collapsed="false">
      <c r="A851" s="19" t="s">
        <v>3486</v>
      </c>
      <c r="B851" s="19" t="s">
        <v>943</v>
      </c>
      <c r="C851" s="19" t="s">
        <v>944</v>
      </c>
      <c r="D851" s="19" t="s">
        <v>148</v>
      </c>
      <c r="E851" s="19" t="s">
        <v>147</v>
      </c>
      <c r="F851" s="19" t="s">
        <v>289</v>
      </c>
      <c r="G851" s="19" t="n">
        <v>102</v>
      </c>
      <c r="H851" s="19" t="s">
        <v>290</v>
      </c>
      <c r="I851" s="20" t="n">
        <v>31.068</v>
      </c>
      <c r="J851" s="19" t="n">
        <f aca="false">IF(I851="","",MIN(Overview!$B$8,MAX(1,CEILING(I851/Overview!$B$7,1))))</f>
        <v>7</v>
      </c>
      <c r="K851" s="19" t="n">
        <v>1</v>
      </c>
      <c r="L851" s="19"/>
      <c r="M851" s="20" t="n">
        <v>3</v>
      </c>
      <c r="N851" s="19"/>
      <c r="O851" s="19"/>
      <c r="P851" s="19" t="s">
        <v>1360</v>
      </c>
      <c r="Q851" s="19" t="s">
        <v>1076</v>
      </c>
      <c r="R851" s="21" t="n">
        <v>43399</v>
      </c>
      <c r="S851" s="19" t="s">
        <v>1361</v>
      </c>
      <c r="T851" s="19" t="s">
        <v>3487</v>
      </c>
      <c r="U851" s="19" t="str">
        <f aca="false">HYPERLINK("https://macaulaylibrary.org/asset/471206881","Open")</f>
        <v>Open</v>
      </c>
      <c r="V851" s="19"/>
    </row>
    <row r="852" customFormat="false" ht="15" hidden="false" customHeight="false" outlineLevel="0" collapsed="false">
      <c r="A852" s="19" t="s">
        <v>3488</v>
      </c>
      <c r="B852" s="19" t="s">
        <v>943</v>
      </c>
      <c r="C852" s="19" t="s">
        <v>944</v>
      </c>
      <c r="D852" s="19" t="s">
        <v>148</v>
      </c>
      <c r="E852" s="19" t="s">
        <v>147</v>
      </c>
      <c r="F852" s="19" t="s">
        <v>289</v>
      </c>
      <c r="G852" s="19" t="n">
        <v>102</v>
      </c>
      <c r="H852" s="19" t="s">
        <v>290</v>
      </c>
      <c r="I852" s="20" t="n">
        <v>48.347</v>
      </c>
      <c r="J852" s="19" t="n">
        <f aca="false">IF(I852="","",MIN(Overview!$B$8,MAX(1,CEILING(I852/Overview!$B$7,1))))</f>
        <v>10</v>
      </c>
      <c r="K852" s="19" t="n">
        <v>1</v>
      </c>
      <c r="L852" s="19"/>
      <c r="M852" s="20"/>
      <c r="N852" s="19"/>
      <c r="O852" s="19"/>
      <c r="P852" s="19" t="s">
        <v>1039</v>
      </c>
      <c r="Q852" s="19" t="s">
        <v>1040</v>
      </c>
      <c r="R852" s="21" t="n">
        <v>40901</v>
      </c>
      <c r="S852" s="19" t="s">
        <v>1002</v>
      </c>
      <c r="T852" s="19" t="s">
        <v>3489</v>
      </c>
      <c r="U852" s="19" t="str">
        <f aca="false">HYPERLINK("https://macaulaylibrary.org/asset/609056512","Open")</f>
        <v>Open</v>
      </c>
      <c r="V852" s="19"/>
    </row>
    <row r="853" customFormat="false" ht="15" hidden="false" customHeight="false" outlineLevel="0" collapsed="false">
      <c r="A853" s="19" t="s">
        <v>3490</v>
      </c>
      <c r="B853" s="19" t="s">
        <v>943</v>
      </c>
      <c r="C853" s="19" t="s">
        <v>944</v>
      </c>
      <c r="D853" s="19" t="s">
        <v>148</v>
      </c>
      <c r="E853" s="19" t="s">
        <v>147</v>
      </c>
      <c r="F853" s="19" t="s">
        <v>289</v>
      </c>
      <c r="G853" s="19" t="n">
        <v>102</v>
      </c>
      <c r="H853" s="19" t="s">
        <v>290</v>
      </c>
      <c r="I853" s="20" t="n">
        <v>11.614</v>
      </c>
      <c r="J853" s="19" t="n">
        <f aca="false">IF(I853="","",MIN(Overview!$B$8,MAX(1,CEILING(I853/Overview!$B$7,1))))</f>
        <v>3</v>
      </c>
      <c r="K853" s="19" t="n">
        <v>1</v>
      </c>
      <c r="L853" s="19"/>
      <c r="M853" s="20" t="n">
        <v>3.33</v>
      </c>
      <c r="N853" s="19"/>
      <c r="O853" s="19"/>
      <c r="P853" s="19" t="s">
        <v>2528</v>
      </c>
      <c r="Q853" s="19" t="s">
        <v>951</v>
      </c>
      <c r="R853" s="21" t="n">
        <v>45222</v>
      </c>
      <c r="S853" s="19" t="s">
        <v>2529</v>
      </c>
      <c r="T853" s="19" t="s">
        <v>3491</v>
      </c>
      <c r="U853" s="19" t="str">
        <f aca="false">HYPERLINK("https://macaulaylibrary.org/asset/610540441","Open")</f>
        <v>Open</v>
      </c>
      <c r="V853" s="19"/>
    </row>
    <row r="854" customFormat="false" ht="15" hidden="false" customHeight="false" outlineLevel="0" collapsed="false">
      <c r="A854" s="19" t="s">
        <v>3492</v>
      </c>
      <c r="B854" s="19" t="s">
        <v>943</v>
      </c>
      <c r="C854" s="19" t="s">
        <v>944</v>
      </c>
      <c r="D854" s="19" t="s">
        <v>148</v>
      </c>
      <c r="E854" s="19" t="s">
        <v>147</v>
      </c>
      <c r="F854" s="19" t="s">
        <v>289</v>
      </c>
      <c r="G854" s="19" t="n">
        <v>102</v>
      </c>
      <c r="H854" s="19" t="s">
        <v>290</v>
      </c>
      <c r="I854" s="20" t="n">
        <v>22.174</v>
      </c>
      <c r="J854" s="19" t="n">
        <f aca="false">IF(I854="","",MIN(Overview!$B$8,MAX(1,CEILING(I854/Overview!$B$7,1))))</f>
        <v>5</v>
      </c>
      <c r="K854" s="19" t="n">
        <v>1</v>
      </c>
      <c r="L854" s="19"/>
      <c r="M854" s="20" t="n">
        <v>4</v>
      </c>
      <c r="N854" s="19"/>
      <c r="O854" s="19"/>
      <c r="P854" s="19" t="s">
        <v>2783</v>
      </c>
      <c r="Q854" s="19" t="s">
        <v>2408</v>
      </c>
      <c r="R854" s="21" t="n">
        <v>45254</v>
      </c>
      <c r="S854" s="19" t="s">
        <v>2784</v>
      </c>
      <c r="T854" s="19" t="s">
        <v>3493</v>
      </c>
      <c r="U854" s="19" t="str">
        <f aca="false">HYPERLINK("https://macaulaylibrary.org/asset/619788348","Open")</f>
        <v>Open</v>
      </c>
      <c r="V854" s="19"/>
    </row>
    <row r="855" customFormat="false" ht="15" hidden="false" customHeight="false" outlineLevel="0" collapsed="false">
      <c r="A855" s="19" t="s">
        <v>3494</v>
      </c>
      <c r="B855" s="19" t="s">
        <v>943</v>
      </c>
      <c r="C855" s="19" t="s">
        <v>944</v>
      </c>
      <c r="D855" s="19" t="s">
        <v>148</v>
      </c>
      <c r="E855" s="19" t="s">
        <v>147</v>
      </c>
      <c r="F855" s="19" t="s">
        <v>289</v>
      </c>
      <c r="G855" s="19" t="n">
        <v>102</v>
      </c>
      <c r="H855" s="19" t="s">
        <v>290</v>
      </c>
      <c r="I855" s="20" t="n">
        <v>120.101</v>
      </c>
      <c r="J855" s="19" t="n">
        <f aca="false">IF(I855="","",MIN(Overview!$B$8,MAX(1,CEILING(I855/Overview!$B$7,1))))</f>
        <v>25</v>
      </c>
      <c r="K855" s="19" t="n">
        <v>1</v>
      </c>
      <c r="L855" s="19"/>
      <c r="M855" s="20" t="n">
        <v>5</v>
      </c>
      <c r="N855" s="19"/>
      <c r="O855" s="19"/>
      <c r="P855" s="19" t="s">
        <v>2901</v>
      </c>
      <c r="Q855" s="19" t="s">
        <v>1368</v>
      </c>
      <c r="R855" s="21" t="n">
        <v>45624</v>
      </c>
      <c r="S855" s="19" t="s">
        <v>1036</v>
      </c>
      <c r="T855" s="19" t="s">
        <v>3495</v>
      </c>
      <c r="U855" s="19" t="str">
        <f aca="false">HYPERLINK("https://macaulaylibrary.org/asset/642913319","Open")</f>
        <v>Open</v>
      </c>
      <c r="V855" s="19"/>
    </row>
    <row r="856" customFormat="false" ht="15" hidden="false" customHeight="false" outlineLevel="0" collapsed="false">
      <c r="A856" s="19" t="s">
        <v>3496</v>
      </c>
      <c r="B856" s="19" t="s">
        <v>943</v>
      </c>
      <c r="C856" s="19" t="s">
        <v>944</v>
      </c>
      <c r="D856" s="19" t="s">
        <v>148</v>
      </c>
      <c r="E856" s="19" t="s">
        <v>147</v>
      </c>
      <c r="F856" s="19" t="s">
        <v>289</v>
      </c>
      <c r="G856" s="19" t="n">
        <v>102</v>
      </c>
      <c r="H856" s="19" t="s">
        <v>290</v>
      </c>
      <c r="I856" s="20" t="n">
        <v>8.272</v>
      </c>
      <c r="J856" s="19" t="n">
        <f aca="false">IF(I856="","",MIN(Overview!$B$8,MAX(1,CEILING(I856/Overview!$B$7,1))))</f>
        <v>2</v>
      </c>
      <c r="K856" s="19" t="n">
        <v>1</v>
      </c>
      <c r="L856" s="19"/>
      <c r="M856" s="20" t="n">
        <v>4</v>
      </c>
      <c r="N856" s="19"/>
      <c r="O856" s="19"/>
      <c r="P856" s="19" t="s">
        <v>1367</v>
      </c>
      <c r="Q856" s="19" t="s">
        <v>1368</v>
      </c>
      <c r="R856" s="21" t="n">
        <v>45488</v>
      </c>
      <c r="S856" s="19" t="s">
        <v>1369</v>
      </c>
      <c r="T856" s="19" t="s">
        <v>3497</v>
      </c>
      <c r="U856" s="19" t="str">
        <f aca="false">HYPERLINK("https://macaulaylibrary.org/asset/642978376","Open")</f>
        <v>Open</v>
      </c>
      <c r="V856" s="19"/>
    </row>
    <row r="857" customFormat="false" ht="15" hidden="false" customHeight="false" outlineLevel="0" collapsed="false">
      <c r="A857" s="19" t="s">
        <v>3498</v>
      </c>
      <c r="B857" s="19" t="s">
        <v>943</v>
      </c>
      <c r="C857" s="19" t="s">
        <v>944</v>
      </c>
      <c r="D857" s="19" t="s">
        <v>148</v>
      </c>
      <c r="E857" s="19" t="s">
        <v>147</v>
      </c>
      <c r="F857" s="19" t="s">
        <v>289</v>
      </c>
      <c r="G857" s="19" t="n">
        <v>102</v>
      </c>
      <c r="H857" s="19" t="s">
        <v>290</v>
      </c>
      <c r="I857" s="20" t="n">
        <v>29.976</v>
      </c>
      <c r="J857" s="19" t="n">
        <f aca="false">IF(I857="","",MIN(Overview!$B$8,MAX(1,CEILING(I857/Overview!$B$7,1))))</f>
        <v>6</v>
      </c>
      <c r="K857" s="19" t="n">
        <v>1</v>
      </c>
      <c r="L857" s="19"/>
      <c r="M857" s="20" t="n">
        <v>1</v>
      </c>
      <c r="N857" s="19"/>
      <c r="O857" s="19"/>
      <c r="P857" s="19" t="s">
        <v>1674</v>
      </c>
      <c r="Q857" s="19" t="s">
        <v>1091</v>
      </c>
      <c r="R857" s="21" t="n">
        <v>45843</v>
      </c>
      <c r="S857" s="19" t="s">
        <v>1009</v>
      </c>
      <c r="T857" s="19" t="s">
        <v>3499</v>
      </c>
      <c r="U857" s="19" t="str">
        <f aca="false">HYPERLINK("https://macaulaylibrary.org/asset/643661165","Open")</f>
        <v>Open</v>
      </c>
      <c r="V857" s="19"/>
    </row>
    <row r="858" customFormat="false" ht="15" hidden="false" customHeight="false" outlineLevel="0" collapsed="false">
      <c r="A858" s="19" t="s">
        <v>3500</v>
      </c>
      <c r="B858" s="19" t="s">
        <v>943</v>
      </c>
      <c r="C858" s="19" t="s">
        <v>944</v>
      </c>
      <c r="D858" s="19" t="s">
        <v>148</v>
      </c>
      <c r="E858" s="19" t="s">
        <v>147</v>
      </c>
      <c r="F858" s="19" t="s">
        <v>289</v>
      </c>
      <c r="G858" s="19" t="n">
        <v>102</v>
      </c>
      <c r="H858" s="19" t="s">
        <v>290</v>
      </c>
      <c r="I858" s="20" t="n">
        <v>1.022</v>
      </c>
      <c r="J858" s="19" t="n">
        <f aca="false">IF(I858="","",MIN(Overview!$B$8,MAX(1,CEILING(I858/Overview!$B$7,1))))</f>
        <v>1</v>
      </c>
      <c r="K858" s="19" t="n">
        <v>1</v>
      </c>
      <c r="L858" s="19" t="s">
        <v>1048</v>
      </c>
      <c r="M858" s="20" t="n">
        <v>5</v>
      </c>
      <c r="N858" s="19"/>
      <c r="O858" s="19"/>
      <c r="P858" s="19" t="s">
        <v>1462</v>
      </c>
      <c r="Q858" s="19" t="s">
        <v>1463</v>
      </c>
      <c r="R858" s="21" t="n">
        <v>44962</v>
      </c>
      <c r="S858" s="19" t="s">
        <v>1464</v>
      </c>
      <c r="T858" s="19" t="s">
        <v>3501</v>
      </c>
      <c r="U858" s="19" t="str">
        <f aca="false">HYPERLINK("https://macaulaylibrary.org/asset/648194080","Open")</f>
        <v>Open</v>
      </c>
      <c r="V858" s="19"/>
    </row>
    <row r="859" customFormat="false" ht="15" hidden="false" customHeight="false" outlineLevel="0" collapsed="false">
      <c r="A859" s="19" t="s">
        <v>3502</v>
      </c>
      <c r="B859" s="19" t="s">
        <v>943</v>
      </c>
      <c r="C859" s="19" t="s">
        <v>944</v>
      </c>
      <c r="D859" s="19" t="s">
        <v>148</v>
      </c>
      <c r="E859" s="19" t="s">
        <v>147</v>
      </c>
      <c r="F859" s="19" t="s">
        <v>289</v>
      </c>
      <c r="G859" s="19" t="n">
        <v>102</v>
      </c>
      <c r="H859" s="19" t="s">
        <v>290</v>
      </c>
      <c r="I859" s="20" t="n">
        <v>48.112</v>
      </c>
      <c r="J859" s="19" t="n">
        <f aca="false">IF(I859="","",MIN(Overview!$B$8,MAX(1,CEILING(I859/Overview!$B$7,1))))</f>
        <v>10</v>
      </c>
      <c r="K859" s="19" t="n">
        <v>1</v>
      </c>
      <c r="L859" s="19"/>
      <c r="M859" s="20" t="n">
        <v>3</v>
      </c>
      <c r="N859" s="19"/>
      <c r="O859" s="19"/>
      <c r="P859" s="19" t="s">
        <v>2969</v>
      </c>
      <c r="Q859" s="19" t="s">
        <v>2970</v>
      </c>
      <c r="R859" s="21" t="n">
        <v>46062</v>
      </c>
      <c r="S859" s="19" t="s">
        <v>2971</v>
      </c>
      <c r="T859" s="19" t="s">
        <v>3503</v>
      </c>
      <c r="U859" s="19" t="str">
        <f aca="false">HYPERLINK("https://macaulaylibrary.org/asset/650763034","Open")</f>
        <v>Open</v>
      </c>
      <c r="V859" s="19"/>
    </row>
    <row r="860" customFormat="false" ht="15" hidden="false" customHeight="false" outlineLevel="0" collapsed="false">
      <c r="A860" s="19" t="s">
        <v>3504</v>
      </c>
      <c r="B860" s="19" t="s">
        <v>943</v>
      </c>
      <c r="C860" s="19" t="s">
        <v>944</v>
      </c>
      <c r="D860" s="19" t="s">
        <v>148</v>
      </c>
      <c r="E860" s="19" t="s">
        <v>147</v>
      </c>
      <c r="F860" s="19" t="s">
        <v>289</v>
      </c>
      <c r="G860" s="19" t="n">
        <v>102</v>
      </c>
      <c r="H860" s="19" t="s">
        <v>290</v>
      </c>
      <c r="I860" s="20" t="n">
        <v>8.833</v>
      </c>
      <c r="J860" s="19" t="n">
        <f aca="false">IF(I860="","",MIN(Overview!$B$8,MAX(1,CEILING(I860/Overview!$B$7,1))))</f>
        <v>2</v>
      </c>
      <c r="K860" s="19" t="n">
        <v>1</v>
      </c>
      <c r="L860" s="19"/>
      <c r="M860" s="20" t="n">
        <v>3.5</v>
      </c>
      <c r="N860" s="19"/>
      <c r="O860" s="19"/>
      <c r="P860" s="19" t="s">
        <v>1742</v>
      </c>
      <c r="Q860" s="19" t="s">
        <v>1021</v>
      </c>
      <c r="R860" s="21" t="n">
        <v>35860</v>
      </c>
      <c r="S860" s="19" t="s">
        <v>1743</v>
      </c>
      <c r="T860" s="19" t="s">
        <v>3505</v>
      </c>
      <c r="U860" s="19" t="str">
        <f aca="false">HYPERLINK("https://macaulaylibrary.org/asset/98265701","Open")</f>
        <v>Open</v>
      </c>
      <c r="V860" s="19"/>
    </row>
    <row r="861" customFormat="false" ht="15" hidden="false" customHeight="false" outlineLevel="0" collapsed="false">
      <c r="A861" s="19" t="s">
        <v>3506</v>
      </c>
      <c r="B861" s="19" t="s">
        <v>943</v>
      </c>
      <c r="C861" s="19" t="s">
        <v>944</v>
      </c>
      <c r="D861" s="19" t="s">
        <v>148</v>
      </c>
      <c r="E861" s="19" t="s">
        <v>147</v>
      </c>
      <c r="F861" s="19" t="s">
        <v>289</v>
      </c>
      <c r="G861" s="19" t="n">
        <v>102</v>
      </c>
      <c r="H861" s="19" t="s">
        <v>290</v>
      </c>
      <c r="I861" s="20" t="n">
        <v>6.977</v>
      </c>
      <c r="J861" s="19" t="n">
        <f aca="false">IF(I861="","",MIN(Overview!$B$8,MAX(1,CEILING(I861/Overview!$B$7,1))))</f>
        <v>2</v>
      </c>
      <c r="K861" s="19" t="n">
        <v>1</v>
      </c>
      <c r="L861" s="19"/>
      <c r="M861" s="20" t="n">
        <v>3.5</v>
      </c>
      <c r="N861" s="19"/>
      <c r="O861" s="19"/>
      <c r="P861" s="19" t="s">
        <v>1742</v>
      </c>
      <c r="Q861" s="19" t="s">
        <v>1021</v>
      </c>
      <c r="R861" s="21" t="n">
        <v>35860</v>
      </c>
      <c r="S861" s="19" t="s">
        <v>1743</v>
      </c>
      <c r="T861" s="19" t="s">
        <v>3507</v>
      </c>
      <c r="U861" s="19" t="str">
        <f aca="false">HYPERLINK("https://macaulaylibrary.org/asset/98266421","Open")</f>
        <v>Open</v>
      </c>
      <c r="V861" s="19"/>
    </row>
    <row r="862" customFormat="false" ht="15" hidden="false" customHeight="false" outlineLevel="0" collapsed="false">
      <c r="A862" s="19" t="s">
        <v>3508</v>
      </c>
      <c r="B862" s="19" t="s">
        <v>943</v>
      </c>
      <c r="C862" s="19" t="s">
        <v>944</v>
      </c>
      <c r="D862" s="19" t="s">
        <v>148</v>
      </c>
      <c r="E862" s="19" t="s">
        <v>147</v>
      </c>
      <c r="F862" s="19" t="s">
        <v>289</v>
      </c>
      <c r="G862" s="19" t="n">
        <v>102</v>
      </c>
      <c r="H862" s="19" t="s">
        <v>290</v>
      </c>
      <c r="I862" s="20" t="n">
        <v>6.712</v>
      </c>
      <c r="J862" s="19" t="n">
        <f aca="false">IF(I862="","",MIN(Overview!$B$8,MAX(1,CEILING(I862/Overview!$B$7,1))))</f>
        <v>2</v>
      </c>
      <c r="K862" s="19" t="n">
        <v>1</v>
      </c>
      <c r="L862" s="19"/>
      <c r="M862" s="20" t="n">
        <v>3.5</v>
      </c>
      <c r="N862" s="19"/>
      <c r="O862" s="19"/>
      <c r="P862" s="19" t="s">
        <v>1742</v>
      </c>
      <c r="Q862" s="19" t="s">
        <v>1021</v>
      </c>
      <c r="R862" s="21" t="n">
        <v>35860</v>
      </c>
      <c r="S862" s="19" t="s">
        <v>1743</v>
      </c>
      <c r="T862" s="19" t="s">
        <v>3509</v>
      </c>
      <c r="U862" s="19" t="str">
        <f aca="false">HYPERLINK("https://macaulaylibrary.org/asset/98267121","Open")</f>
        <v>Open</v>
      </c>
      <c r="V862" s="19"/>
    </row>
    <row r="863" customFormat="false" ht="15" hidden="false" customHeight="false" outlineLevel="0" collapsed="false">
      <c r="A863" s="19" t="s">
        <v>3510</v>
      </c>
      <c r="B863" s="19" t="s">
        <v>943</v>
      </c>
      <c r="C863" s="19" t="s">
        <v>944</v>
      </c>
      <c r="D863" s="19" t="s">
        <v>148</v>
      </c>
      <c r="E863" s="19" t="s">
        <v>147</v>
      </c>
      <c r="F863" s="19" t="s">
        <v>289</v>
      </c>
      <c r="G863" s="19" t="n">
        <v>102</v>
      </c>
      <c r="H863" s="19" t="s">
        <v>290</v>
      </c>
      <c r="I863" s="20" t="n">
        <v>13.322</v>
      </c>
      <c r="J863" s="19" t="n">
        <f aca="false">IF(I863="","",MIN(Overview!$B$8,MAX(1,CEILING(I863/Overview!$B$7,1))))</f>
        <v>3</v>
      </c>
      <c r="K863" s="19" t="n">
        <v>1</v>
      </c>
      <c r="L863" s="19"/>
      <c r="M863" s="20" t="n">
        <v>3.5</v>
      </c>
      <c r="N863" s="19"/>
      <c r="O863" s="19"/>
      <c r="P863" s="19" t="s">
        <v>3511</v>
      </c>
      <c r="Q863" s="19" t="s">
        <v>3512</v>
      </c>
      <c r="R863" s="21" t="n">
        <v>43229</v>
      </c>
      <c r="S863" s="19" t="s">
        <v>3513</v>
      </c>
      <c r="T863" s="19" t="s">
        <v>3514</v>
      </c>
      <c r="U863" s="19" t="str">
        <f aca="false">HYPERLINK("https://macaulaylibrary.org/asset/99938741","Open")</f>
        <v>Open</v>
      </c>
      <c r="V863" s="19"/>
    </row>
    <row r="864" customFormat="false" ht="15" hidden="false" customHeight="false" outlineLevel="0" collapsed="false">
      <c r="A864" s="19" t="s">
        <v>3515</v>
      </c>
      <c r="B864" s="19" t="s">
        <v>943</v>
      </c>
      <c r="C864" s="19" t="s">
        <v>944</v>
      </c>
      <c r="D864" s="19" t="s">
        <v>148</v>
      </c>
      <c r="E864" s="19" t="s">
        <v>147</v>
      </c>
      <c r="F864" s="19" t="s">
        <v>422</v>
      </c>
      <c r="G864" s="19" t="n">
        <v>103</v>
      </c>
      <c r="H864" s="19" t="s">
        <v>423</v>
      </c>
      <c r="I864" s="20" t="n">
        <v>480.034</v>
      </c>
      <c r="J864" s="19" t="n">
        <f aca="false">IF(I864="","",MIN(Overview!$B$8,MAX(1,CEILING(I864/Overview!$B$7,1))))</f>
        <v>97</v>
      </c>
      <c r="K864" s="19" t="n">
        <v>1</v>
      </c>
      <c r="L864" s="19"/>
      <c r="M864" s="20" t="n">
        <v>2</v>
      </c>
      <c r="N864" s="19"/>
      <c r="O864" s="19"/>
      <c r="P864" s="19" t="s">
        <v>1125</v>
      </c>
      <c r="Q864" s="19" t="s">
        <v>980</v>
      </c>
      <c r="R864" s="21" t="n">
        <v>32557</v>
      </c>
      <c r="S864" s="19" t="s">
        <v>3516</v>
      </c>
      <c r="T864" s="19" t="s">
        <v>3517</v>
      </c>
      <c r="U864" s="19" t="str">
        <f aca="false">HYPERLINK("https://macaulaylibrary.org/asset/215405","Open")</f>
        <v>Open</v>
      </c>
      <c r="V864" s="19"/>
    </row>
    <row r="865" customFormat="false" ht="15" hidden="false" customHeight="false" outlineLevel="0" collapsed="false">
      <c r="A865" s="19" t="s">
        <v>3518</v>
      </c>
      <c r="B865" s="19" t="s">
        <v>943</v>
      </c>
      <c r="C865" s="19" t="s">
        <v>944</v>
      </c>
      <c r="D865" s="19" t="s">
        <v>148</v>
      </c>
      <c r="E865" s="19" t="s">
        <v>147</v>
      </c>
      <c r="F865" s="19" t="s">
        <v>422</v>
      </c>
      <c r="G865" s="19" t="n">
        <v>103</v>
      </c>
      <c r="H865" s="19" t="s">
        <v>423</v>
      </c>
      <c r="I865" s="20" t="n">
        <v>877.806</v>
      </c>
      <c r="J865" s="19" t="n">
        <f aca="false">IF(I865="","",MIN(Overview!$B$8,MAX(1,CEILING(I865/Overview!$B$7,1))))</f>
        <v>120</v>
      </c>
      <c r="K865" s="19" t="n">
        <v>1</v>
      </c>
      <c r="L865" s="19"/>
      <c r="M865" s="20" t="n">
        <v>2</v>
      </c>
      <c r="N865" s="19"/>
      <c r="O865" s="19"/>
      <c r="P865" s="19" t="s">
        <v>1730</v>
      </c>
      <c r="Q865" s="19" t="s">
        <v>980</v>
      </c>
      <c r="R865" s="21" t="n">
        <v>32558</v>
      </c>
      <c r="S865" s="19" t="s">
        <v>3519</v>
      </c>
      <c r="T865" s="19" t="s">
        <v>3520</v>
      </c>
      <c r="U865" s="19" t="str">
        <f aca="false">HYPERLINK("https://macaulaylibrary.org/asset/215432","Open")</f>
        <v>Open</v>
      </c>
      <c r="V865" s="19"/>
    </row>
    <row r="866" customFormat="false" ht="15" hidden="false" customHeight="false" outlineLevel="0" collapsed="false">
      <c r="A866" s="19" t="s">
        <v>3521</v>
      </c>
      <c r="B866" s="19" t="s">
        <v>943</v>
      </c>
      <c r="C866" s="19" t="s">
        <v>944</v>
      </c>
      <c r="D866" s="19" t="s">
        <v>148</v>
      </c>
      <c r="E866" s="19" t="s">
        <v>147</v>
      </c>
      <c r="F866" s="19" t="s">
        <v>422</v>
      </c>
      <c r="G866" s="19" t="n">
        <v>103</v>
      </c>
      <c r="H866" s="19" t="s">
        <v>423</v>
      </c>
      <c r="I866" s="20" t="n">
        <v>2.867</v>
      </c>
      <c r="J866" s="19" t="n">
        <f aca="false">IF(I866="","",MIN(Overview!$B$8,MAX(1,CEILING(I866/Overview!$B$7,1))))</f>
        <v>1</v>
      </c>
      <c r="K866" s="19" t="n">
        <v>1</v>
      </c>
      <c r="L866" s="19" t="s">
        <v>1048</v>
      </c>
      <c r="M866" s="20" t="n">
        <v>3</v>
      </c>
      <c r="N866" s="19"/>
      <c r="O866" s="19"/>
      <c r="P866" s="19" t="s">
        <v>1029</v>
      </c>
      <c r="Q866" s="19" t="s">
        <v>1030</v>
      </c>
      <c r="R866" s="21" t="n">
        <v>40251</v>
      </c>
      <c r="S866" s="19" t="s">
        <v>1092</v>
      </c>
      <c r="T866" s="19" t="s">
        <v>3522</v>
      </c>
      <c r="U866" s="19" t="str">
        <f aca="false">HYPERLINK("https://macaulaylibrary.org/asset/299607","Open")</f>
        <v>Open</v>
      </c>
      <c r="V866" s="19"/>
    </row>
    <row r="867" customFormat="false" ht="15" hidden="false" customHeight="false" outlineLevel="0" collapsed="false">
      <c r="A867" s="19" t="s">
        <v>3523</v>
      </c>
      <c r="B867" s="19" t="s">
        <v>943</v>
      </c>
      <c r="C867" s="19" t="s">
        <v>944</v>
      </c>
      <c r="D867" s="19" t="s">
        <v>148</v>
      </c>
      <c r="E867" s="19" t="s">
        <v>147</v>
      </c>
      <c r="F867" s="19" t="s">
        <v>422</v>
      </c>
      <c r="G867" s="19" t="n">
        <v>103</v>
      </c>
      <c r="H867" s="19" t="s">
        <v>423</v>
      </c>
      <c r="I867" s="20" t="n">
        <v>12.328</v>
      </c>
      <c r="J867" s="19" t="n">
        <f aca="false">IF(I867="","",MIN(Overview!$B$8,MAX(1,CEILING(I867/Overview!$B$7,1))))</f>
        <v>3</v>
      </c>
      <c r="K867" s="19" t="n">
        <v>1</v>
      </c>
      <c r="L867" s="19"/>
      <c r="M867" s="20" t="n">
        <v>4.5</v>
      </c>
      <c r="N867" s="19"/>
      <c r="O867" s="19"/>
      <c r="P867" s="19" t="s">
        <v>1029</v>
      </c>
      <c r="Q867" s="19" t="s">
        <v>1030</v>
      </c>
      <c r="R867" s="21" t="n">
        <v>40251</v>
      </c>
      <c r="S867" s="19" t="s">
        <v>1092</v>
      </c>
      <c r="T867" s="19" t="s">
        <v>3524</v>
      </c>
      <c r="U867" s="19" t="str">
        <f aca="false">HYPERLINK("https://macaulaylibrary.org/asset/299608","Open")</f>
        <v>Open</v>
      </c>
      <c r="V867" s="19"/>
    </row>
    <row r="868" customFormat="false" ht="15" hidden="false" customHeight="false" outlineLevel="0" collapsed="false">
      <c r="A868" s="19" t="s">
        <v>3525</v>
      </c>
      <c r="B868" s="19" t="s">
        <v>943</v>
      </c>
      <c r="C868" s="19" t="s">
        <v>944</v>
      </c>
      <c r="D868" s="19" t="s">
        <v>148</v>
      </c>
      <c r="E868" s="19" t="s">
        <v>147</v>
      </c>
      <c r="F868" s="19" t="s">
        <v>422</v>
      </c>
      <c r="G868" s="19" t="n">
        <v>103</v>
      </c>
      <c r="H868" s="19" t="s">
        <v>423</v>
      </c>
      <c r="I868" s="20" t="n">
        <v>3.473</v>
      </c>
      <c r="J868" s="19" t="n">
        <f aca="false">IF(I868="","",MIN(Overview!$B$8,MAX(1,CEILING(I868/Overview!$B$7,1))))</f>
        <v>1</v>
      </c>
      <c r="K868" s="19" t="n">
        <v>1</v>
      </c>
      <c r="L868" s="19" t="s">
        <v>1048</v>
      </c>
      <c r="M868" s="20" t="n">
        <v>1</v>
      </c>
      <c r="N868" s="19"/>
      <c r="O868" s="19"/>
      <c r="P868" s="19" t="s">
        <v>3526</v>
      </c>
      <c r="Q868" s="19" t="s">
        <v>1458</v>
      </c>
      <c r="R868" s="21" t="n">
        <v>45176</v>
      </c>
      <c r="S868" s="19" t="s">
        <v>3527</v>
      </c>
      <c r="T868" s="19" t="s">
        <v>3528</v>
      </c>
      <c r="U868" s="19" t="str">
        <f aca="false">HYPERLINK("https://macaulaylibrary.org/asset/618109233","Open")</f>
        <v>Open</v>
      </c>
      <c r="V868" s="19"/>
    </row>
    <row r="869" customFormat="false" ht="15" hidden="false" customHeight="false" outlineLevel="0" collapsed="false">
      <c r="A869" s="19" t="s">
        <v>3529</v>
      </c>
      <c r="B869" s="19" t="s">
        <v>943</v>
      </c>
      <c r="C869" s="19" t="s">
        <v>944</v>
      </c>
      <c r="D869" s="19" t="s">
        <v>148</v>
      </c>
      <c r="E869" s="19" t="s">
        <v>147</v>
      </c>
      <c r="F869" s="19" t="s">
        <v>422</v>
      </c>
      <c r="G869" s="19" t="n">
        <v>103</v>
      </c>
      <c r="H869" s="19" t="s">
        <v>423</v>
      </c>
      <c r="I869" s="20" t="n">
        <v>18.412</v>
      </c>
      <c r="J869" s="19" t="n">
        <f aca="false">IF(I869="","",MIN(Overview!$B$8,MAX(1,CEILING(I869/Overview!$B$7,1))))</f>
        <v>4</v>
      </c>
      <c r="K869" s="19" t="n">
        <v>1</v>
      </c>
      <c r="L869" s="19"/>
      <c r="M869" s="20" t="n">
        <v>3.5</v>
      </c>
      <c r="N869" s="19"/>
      <c r="O869" s="19"/>
      <c r="P869" s="19" t="s">
        <v>2206</v>
      </c>
      <c r="Q869" s="19" t="s">
        <v>2207</v>
      </c>
      <c r="R869" s="21" t="n">
        <v>45611</v>
      </c>
      <c r="S869" s="19" t="s">
        <v>1969</v>
      </c>
      <c r="T869" s="19" t="s">
        <v>3530</v>
      </c>
      <c r="U869" s="19" t="str">
        <f aca="false">HYPERLINK("https://macaulaylibrary.org/asset/626932104","Open")</f>
        <v>Open</v>
      </c>
      <c r="V869" s="19"/>
    </row>
    <row r="870" customFormat="false" ht="15" hidden="false" customHeight="false" outlineLevel="0" collapsed="false">
      <c r="A870" s="19" t="s">
        <v>3531</v>
      </c>
      <c r="B870" s="19" t="s">
        <v>943</v>
      </c>
      <c r="C870" s="19" t="s">
        <v>944</v>
      </c>
      <c r="D870" s="19" t="s">
        <v>148</v>
      </c>
      <c r="E870" s="19" t="s">
        <v>147</v>
      </c>
      <c r="F870" s="19" t="s">
        <v>155</v>
      </c>
      <c r="G870" s="19" t="n">
        <v>104</v>
      </c>
      <c r="H870" s="19" t="s">
        <v>156</v>
      </c>
      <c r="I870" s="20" t="n">
        <v>28.713</v>
      </c>
      <c r="J870" s="19" t="n">
        <f aca="false">IF(I870="","",MIN(Overview!$B$8,MAX(1,CEILING(I870/Overview!$B$7,1))))</f>
        <v>6</v>
      </c>
      <c r="K870" s="19" t="n">
        <v>1</v>
      </c>
      <c r="L870" s="19"/>
      <c r="M870" s="20" t="n">
        <v>1</v>
      </c>
      <c r="N870" s="19"/>
      <c r="O870" s="19"/>
      <c r="P870" s="19" t="s">
        <v>3532</v>
      </c>
      <c r="Q870" s="19" t="s">
        <v>3041</v>
      </c>
      <c r="R870" s="21" t="n">
        <v>43406</v>
      </c>
      <c r="S870" s="19" t="s">
        <v>3533</v>
      </c>
      <c r="T870" s="19" t="s">
        <v>3534</v>
      </c>
      <c r="U870" s="19" t="str">
        <f aca="false">HYPERLINK("https://macaulaylibrary.org/asset/123824981","Open")</f>
        <v>Open</v>
      </c>
      <c r="V870" s="19"/>
    </row>
    <row r="871" customFormat="false" ht="15" hidden="false" customHeight="false" outlineLevel="0" collapsed="false">
      <c r="A871" s="19" t="s">
        <v>3535</v>
      </c>
      <c r="B871" s="19" t="s">
        <v>943</v>
      </c>
      <c r="C871" s="19" t="s">
        <v>944</v>
      </c>
      <c r="D871" s="19" t="s">
        <v>148</v>
      </c>
      <c r="E871" s="19" t="s">
        <v>147</v>
      </c>
      <c r="F871" s="19" t="s">
        <v>155</v>
      </c>
      <c r="G871" s="19" t="n">
        <v>104</v>
      </c>
      <c r="H871" s="19" t="s">
        <v>156</v>
      </c>
      <c r="I871" s="20" t="n">
        <v>34.303</v>
      </c>
      <c r="J871" s="19" t="n">
        <f aca="false">IF(I871="","",MIN(Overview!$B$8,MAX(1,CEILING(I871/Overview!$B$7,1))))</f>
        <v>7</v>
      </c>
      <c r="K871" s="19" t="n">
        <v>1</v>
      </c>
      <c r="L871" s="19"/>
      <c r="M871" s="20" t="n">
        <v>1.33</v>
      </c>
      <c r="N871" s="19"/>
      <c r="O871" s="19"/>
      <c r="P871" s="19" t="s">
        <v>3532</v>
      </c>
      <c r="Q871" s="19" t="s">
        <v>3041</v>
      </c>
      <c r="R871" s="21" t="n">
        <v>43406</v>
      </c>
      <c r="S871" s="19" t="s">
        <v>3533</v>
      </c>
      <c r="T871" s="19" t="s">
        <v>3536</v>
      </c>
      <c r="U871" s="19" t="str">
        <f aca="false">HYPERLINK("https://macaulaylibrary.org/asset/123824991","Open")</f>
        <v>Open</v>
      </c>
      <c r="V871" s="19"/>
    </row>
    <row r="872" customFormat="false" ht="15" hidden="false" customHeight="false" outlineLevel="0" collapsed="false">
      <c r="A872" s="19" t="s">
        <v>3537</v>
      </c>
      <c r="B872" s="19" t="s">
        <v>943</v>
      </c>
      <c r="C872" s="19" t="s">
        <v>944</v>
      </c>
      <c r="D872" s="19" t="s">
        <v>148</v>
      </c>
      <c r="E872" s="19" t="s">
        <v>147</v>
      </c>
      <c r="F872" s="19" t="s">
        <v>155</v>
      </c>
      <c r="G872" s="19" t="n">
        <v>104</v>
      </c>
      <c r="H872" s="19" t="s">
        <v>156</v>
      </c>
      <c r="I872" s="20" t="n">
        <v>16.811</v>
      </c>
      <c r="J872" s="19" t="n">
        <f aca="false">IF(I872="","",MIN(Overview!$B$8,MAX(1,CEILING(I872/Overview!$B$7,1))))</f>
        <v>4</v>
      </c>
      <c r="K872" s="19" t="n">
        <v>1</v>
      </c>
      <c r="L872" s="19"/>
      <c r="M872" s="20" t="n">
        <v>3</v>
      </c>
      <c r="N872" s="19"/>
      <c r="O872" s="19"/>
      <c r="P872" s="19" t="s">
        <v>3538</v>
      </c>
      <c r="Q872" s="19" t="s">
        <v>965</v>
      </c>
      <c r="R872" s="21" t="n">
        <v>43814</v>
      </c>
      <c r="S872" s="19" t="s">
        <v>1578</v>
      </c>
      <c r="T872" s="19" t="s">
        <v>3539</v>
      </c>
      <c r="U872" s="19" t="str">
        <f aca="false">HYPERLINK("https://macaulaylibrary.org/asset/193422041","Open")</f>
        <v>Open</v>
      </c>
      <c r="V872" s="19"/>
    </row>
    <row r="873" customFormat="false" ht="15" hidden="false" customHeight="false" outlineLevel="0" collapsed="false">
      <c r="A873" s="19" t="s">
        <v>3540</v>
      </c>
      <c r="B873" s="19" t="s">
        <v>943</v>
      </c>
      <c r="C873" s="19" t="s">
        <v>944</v>
      </c>
      <c r="D873" s="19" t="s">
        <v>148</v>
      </c>
      <c r="E873" s="19" t="s">
        <v>147</v>
      </c>
      <c r="F873" s="19" t="s">
        <v>155</v>
      </c>
      <c r="G873" s="19" t="n">
        <v>104</v>
      </c>
      <c r="H873" s="19" t="s">
        <v>156</v>
      </c>
      <c r="I873" s="20" t="n">
        <v>171.048</v>
      </c>
      <c r="J873" s="19" t="n">
        <f aca="false">IF(I873="","",MIN(Overview!$B$8,MAX(1,CEILING(I873/Overview!$B$7,1))))</f>
        <v>35</v>
      </c>
      <c r="K873" s="19" t="n">
        <v>1</v>
      </c>
      <c r="L873" s="19"/>
      <c r="M873" s="20" t="n">
        <v>3</v>
      </c>
      <c r="N873" s="19"/>
      <c r="O873" s="19"/>
      <c r="P873" s="19" t="s">
        <v>1097</v>
      </c>
      <c r="Q873" s="19" t="s">
        <v>980</v>
      </c>
      <c r="R873" s="21" t="n">
        <v>32553</v>
      </c>
      <c r="S873" s="19" t="s">
        <v>1254</v>
      </c>
      <c r="T873" s="19" t="s">
        <v>3541</v>
      </c>
      <c r="U873" s="19" t="str">
        <f aca="false">HYPERLINK("https://macaulaylibrary.org/asset/215321","Open")</f>
        <v>Open</v>
      </c>
      <c r="V873" s="19"/>
    </row>
    <row r="874" customFormat="false" ht="15" hidden="false" customHeight="false" outlineLevel="0" collapsed="false">
      <c r="A874" s="19" t="s">
        <v>3542</v>
      </c>
      <c r="B874" s="19" t="s">
        <v>943</v>
      </c>
      <c r="C874" s="19" t="s">
        <v>944</v>
      </c>
      <c r="D874" s="19" t="s">
        <v>148</v>
      </c>
      <c r="E874" s="19" t="s">
        <v>147</v>
      </c>
      <c r="F874" s="19" t="s">
        <v>155</v>
      </c>
      <c r="G874" s="19" t="n">
        <v>104</v>
      </c>
      <c r="H874" s="19" t="s">
        <v>156</v>
      </c>
      <c r="I874" s="20" t="n">
        <v>105.313</v>
      </c>
      <c r="J874" s="19" t="n">
        <f aca="false">IF(I874="","",MIN(Overview!$B$8,MAX(1,CEILING(I874/Overview!$B$7,1))))</f>
        <v>22</v>
      </c>
      <c r="K874" s="19" t="n">
        <v>1</v>
      </c>
      <c r="L874" s="19"/>
      <c r="M874" s="20" t="n">
        <v>2</v>
      </c>
      <c r="N874" s="19"/>
      <c r="O874" s="19" t="s">
        <v>212</v>
      </c>
      <c r="P874" s="19" t="s">
        <v>1730</v>
      </c>
      <c r="Q874" s="19" t="s">
        <v>980</v>
      </c>
      <c r="R874" s="21" t="n">
        <v>32558</v>
      </c>
      <c r="S874" s="19"/>
      <c r="T874" s="19" t="s">
        <v>3543</v>
      </c>
      <c r="U874" s="19" t="str">
        <f aca="false">HYPERLINK("https://macaulaylibrary.org/asset/215423","Open")</f>
        <v>Open</v>
      </c>
      <c r="V874" s="19"/>
    </row>
    <row r="875" customFormat="false" ht="15" hidden="false" customHeight="false" outlineLevel="0" collapsed="false">
      <c r="A875" s="19" t="s">
        <v>3544</v>
      </c>
      <c r="B875" s="19" t="s">
        <v>943</v>
      </c>
      <c r="C875" s="19" t="s">
        <v>944</v>
      </c>
      <c r="D875" s="19" t="s">
        <v>148</v>
      </c>
      <c r="E875" s="19" t="s">
        <v>147</v>
      </c>
      <c r="F875" s="19" t="s">
        <v>155</v>
      </c>
      <c r="G875" s="19" t="n">
        <v>104</v>
      </c>
      <c r="H875" s="19" t="s">
        <v>156</v>
      </c>
      <c r="I875" s="20" t="n">
        <v>24.518</v>
      </c>
      <c r="J875" s="19" t="n">
        <f aca="false">IF(I875="","",MIN(Overview!$B$8,MAX(1,CEILING(I875/Overview!$B$7,1))))</f>
        <v>5</v>
      </c>
      <c r="K875" s="19" t="n">
        <v>1</v>
      </c>
      <c r="L875" s="19"/>
      <c r="M875" s="20" t="n">
        <v>3</v>
      </c>
      <c r="N875" s="19"/>
      <c r="O875" s="19"/>
      <c r="P875" s="19" t="s">
        <v>1278</v>
      </c>
      <c r="Q875" s="19" t="s">
        <v>1030</v>
      </c>
      <c r="R875" s="21" t="n">
        <v>33597</v>
      </c>
      <c r="S875" s="19" t="s">
        <v>1279</v>
      </c>
      <c r="T875" s="19" t="s">
        <v>3545</v>
      </c>
      <c r="U875" s="19" t="str">
        <f aca="false">HYPERLINK("https://macaulaylibrary.org/asset/285633","Open")</f>
        <v>Open</v>
      </c>
      <c r="V875" s="19"/>
    </row>
    <row r="876" customFormat="false" ht="15" hidden="false" customHeight="false" outlineLevel="0" collapsed="false">
      <c r="A876" s="19" t="s">
        <v>3546</v>
      </c>
      <c r="B876" s="19" t="s">
        <v>943</v>
      </c>
      <c r="C876" s="19" t="s">
        <v>944</v>
      </c>
      <c r="D876" s="19" t="s">
        <v>148</v>
      </c>
      <c r="E876" s="19" t="s">
        <v>147</v>
      </c>
      <c r="F876" s="19" t="s">
        <v>155</v>
      </c>
      <c r="G876" s="19" t="n">
        <v>104</v>
      </c>
      <c r="H876" s="19" t="s">
        <v>156</v>
      </c>
      <c r="I876" s="20" t="n">
        <v>23.836</v>
      </c>
      <c r="J876" s="19" t="n">
        <f aca="false">IF(I876="","",MIN(Overview!$B$8,MAX(1,CEILING(I876/Overview!$B$7,1))))</f>
        <v>5</v>
      </c>
      <c r="K876" s="19" t="n">
        <v>1</v>
      </c>
      <c r="L876" s="19"/>
      <c r="M876" s="20" t="n">
        <v>3</v>
      </c>
      <c r="N876" s="19"/>
      <c r="O876" s="19"/>
      <c r="P876" s="19" t="s">
        <v>1029</v>
      </c>
      <c r="Q876" s="19" t="s">
        <v>1030</v>
      </c>
      <c r="R876" s="21" t="n">
        <v>40251</v>
      </c>
      <c r="S876" s="19" t="s">
        <v>1833</v>
      </c>
      <c r="T876" s="19" t="s">
        <v>3547</v>
      </c>
      <c r="U876" s="19" t="str">
        <f aca="false">HYPERLINK("https://macaulaylibrary.org/asset/299646","Open")</f>
        <v>Open</v>
      </c>
      <c r="V876" s="19"/>
    </row>
    <row r="877" customFormat="false" ht="15" hidden="false" customHeight="false" outlineLevel="0" collapsed="false">
      <c r="A877" s="19" t="s">
        <v>3548</v>
      </c>
      <c r="B877" s="19" t="s">
        <v>943</v>
      </c>
      <c r="C877" s="19" t="s">
        <v>944</v>
      </c>
      <c r="D877" s="19" t="s">
        <v>148</v>
      </c>
      <c r="E877" s="19" t="s">
        <v>147</v>
      </c>
      <c r="F877" s="19" t="s">
        <v>155</v>
      </c>
      <c r="G877" s="19" t="n">
        <v>104</v>
      </c>
      <c r="H877" s="19" t="s">
        <v>156</v>
      </c>
      <c r="I877" s="20" t="n">
        <v>17.329</v>
      </c>
      <c r="J877" s="19" t="n">
        <f aca="false">IF(I877="","",MIN(Overview!$B$8,MAX(1,CEILING(I877/Overview!$B$7,1))))</f>
        <v>4</v>
      </c>
      <c r="K877" s="19" t="n">
        <v>1</v>
      </c>
      <c r="L877" s="19"/>
      <c r="M877" s="20" t="n">
        <v>3</v>
      </c>
      <c r="N877" s="19"/>
      <c r="O877" s="19"/>
      <c r="P877" s="19" t="s">
        <v>3549</v>
      </c>
      <c r="Q877" s="19" t="s">
        <v>1289</v>
      </c>
      <c r="R877" s="21" t="n">
        <v>42533</v>
      </c>
      <c r="S877" s="19" t="s">
        <v>1884</v>
      </c>
      <c r="T877" s="19" t="s">
        <v>3550</v>
      </c>
      <c r="U877" s="19" t="str">
        <f aca="false">HYPERLINK("https://macaulaylibrary.org/asset/32601161","Open")</f>
        <v>Open</v>
      </c>
      <c r="V877" s="19"/>
    </row>
    <row r="878" customFormat="false" ht="15" hidden="false" customHeight="false" outlineLevel="0" collapsed="false">
      <c r="A878" s="19" t="s">
        <v>3551</v>
      </c>
      <c r="B878" s="19" t="s">
        <v>943</v>
      </c>
      <c r="C878" s="19" t="s">
        <v>944</v>
      </c>
      <c r="D878" s="19" t="s">
        <v>148</v>
      </c>
      <c r="E878" s="19" t="s">
        <v>147</v>
      </c>
      <c r="F878" s="19" t="s">
        <v>155</v>
      </c>
      <c r="G878" s="19" t="n">
        <v>104</v>
      </c>
      <c r="H878" s="19" t="s">
        <v>156</v>
      </c>
      <c r="I878" s="20" t="n">
        <v>25.494</v>
      </c>
      <c r="J878" s="19" t="n">
        <f aca="false">IF(I878="","",MIN(Overview!$B$8,MAX(1,CEILING(I878/Overview!$B$7,1))))</f>
        <v>6</v>
      </c>
      <c r="K878" s="19" t="n">
        <v>1</v>
      </c>
      <c r="L878" s="19"/>
      <c r="M878" s="20" t="n">
        <v>2.5</v>
      </c>
      <c r="N878" s="19"/>
      <c r="O878" s="19"/>
      <c r="P878" s="19" t="s">
        <v>3549</v>
      </c>
      <c r="Q878" s="19" t="s">
        <v>1289</v>
      </c>
      <c r="R878" s="21" t="n">
        <v>42533</v>
      </c>
      <c r="S878" s="19" t="s">
        <v>1884</v>
      </c>
      <c r="T878" s="19" t="s">
        <v>3552</v>
      </c>
      <c r="U878" s="19" t="str">
        <f aca="false">HYPERLINK("https://macaulaylibrary.org/asset/32601171","Open")</f>
        <v>Open</v>
      </c>
      <c r="V878" s="19"/>
    </row>
    <row r="879" customFormat="false" ht="15" hidden="false" customHeight="false" outlineLevel="0" collapsed="false">
      <c r="A879" s="19" t="s">
        <v>3553</v>
      </c>
      <c r="B879" s="19" t="s">
        <v>943</v>
      </c>
      <c r="C879" s="19" t="s">
        <v>944</v>
      </c>
      <c r="D879" s="19" t="s">
        <v>148</v>
      </c>
      <c r="E879" s="19" t="s">
        <v>147</v>
      </c>
      <c r="F879" s="19" t="s">
        <v>155</v>
      </c>
      <c r="G879" s="19" t="n">
        <v>104</v>
      </c>
      <c r="H879" s="19" t="s">
        <v>156</v>
      </c>
      <c r="I879" s="20" t="n">
        <v>82.013</v>
      </c>
      <c r="J879" s="19" t="n">
        <f aca="false">IF(I879="","",MIN(Overview!$B$8,MAX(1,CEILING(I879/Overview!$B$7,1))))</f>
        <v>17</v>
      </c>
      <c r="K879" s="19" t="n">
        <v>1</v>
      </c>
      <c r="L879" s="19"/>
      <c r="M879" s="20" t="n">
        <v>2</v>
      </c>
      <c r="N879" s="19"/>
      <c r="O879" s="19"/>
      <c r="P879" s="19" t="s">
        <v>3554</v>
      </c>
      <c r="Q879" s="19" t="s">
        <v>3555</v>
      </c>
      <c r="R879" s="21" t="n">
        <v>42067</v>
      </c>
      <c r="S879" s="19" t="s">
        <v>1369</v>
      </c>
      <c r="T879" s="19" t="s">
        <v>3556</v>
      </c>
      <c r="U879" s="19" t="str">
        <f aca="false">HYPERLINK("https://macaulaylibrary.org/asset/42499311","Open")</f>
        <v>Open</v>
      </c>
      <c r="V879" s="19"/>
    </row>
    <row r="880" customFormat="false" ht="15" hidden="false" customHeight="false" outlineLevel="0" collapsed="false">
      <c r="A880" s="19" t="s">
        <v>3557</v>
      </c>
      <c r="B880" s="19" t="s">
        <v>943</v>
      </c>
      <c r="C880" s="19" t="s">
        <v>944</v>
      </c>
      <c r="D880" s="19" t="s">
        <v>148</v>
      </c>
      <c r="E880" s="19" t="s">
        <v>147</v>
      </c>
      <c r="F880" s="19" t="s">
        <v>155</v>
      </c>
      <c r="G880" s="19" t="n">
        <v>104</v>
      </c>
      <c r="H880" s="19" t="s">
        <v>156</v>
      </c>
      <c r="I880" s="20" t="n">
        <v>12.723</v>
      </c>
      <c r="J880" s="19" t="n">
        <f aca="false">IF(I880="","",MIN(Overview!$B$8,MAX(1,CEILING(I880/Overview!$B$7,1))))</f>
        <v>3</v>
      </c>
      <c r="K880" s="19" t="n">
        <v>1</v>
      </c>
      <c r="L880" s="19"/>
      <c r="M880" s="20" t="n">
        <v>3</v>
      </c>
      <c r="N880" s="19"/>
      <c r="O880" s="19"/>
      <c r="P880" s="19" t="s">
        <v>1075</v>
      </c>
      <c r="Q880" s="19" t="s">
        <v>1076</v>
      </c>
      <c r="R880" s="21" t="n">
        <v>43398</v>
      </c>
      <c r="S880" s="19" t="s">
        <v>1077</v>
      </c>
      <c r="T880" s="19" t="s">
        <v>3558</v>
      </c>
      <c r="U880" s="19" t="str">
        <f aca="false">HYPERLINK("https://macaulaylibrary.org/asset/470892911","Open")</f>
        <v>Open</v>
      </c>
      <c r="V880" s="19"/>
    </row>
    <row r="881" customFormat="false" ht="15" hidden="false" customHeight="false" outlineLevel="0" collapsed="false">
      <c r="A881" s="19" t="s">
        <v>3559</v>
      </c>
      <c r="B881" s="19" t="s">
        <v>943</v>
      </c>
      <c r="C881" s="19" t="s">
        <v>944</v>
      </c>
      <c r="D881" s="19" t="s">
        <v>148</v>
      </c>
      <c r="E881" s="19" t="s">
        <v>147</v>
      </c>
      <c r="F881" s="19" t="s">
        <v>155</v>
      </c>
      <c r="G881" s="19" t="n">
        <v>104</v>
      </c>
      <c r="H881" s="19" t="s">
        <v>156</v>
      </c>
      <c r="I881" s="20" t="n">
        <v>16.967</v>
      </c>
      <c r="J881" s="19" t="n">
        <f aca="false">IF(I881="","",MIN(Overview!$B$8,MAX(1,CEILING(I881/Overview!$B$7,1))))</f>
        <v>4</v>
      </c>
      <c r="K881" s="19" t="n">
        <v>1</v>
      </c>
      <c r="L881" s="19"/>
      <c r="M881" s="20" t="n">
        <v>3</v>
      </c>
      <c r="N881" s="19"/>
      <c r="O881" s="19"/>
      <c r="P881" s="19" t="s">
        <v>1075</v>
      </c>
      <c r="Q881" s="19" t="s">
        <v>1076</v>
      </c>
      <c r="R881" s="21" t="n">
        <v>43398</v>
      </c>
      <c r="S881" s="19" t="s">
        <v>1077</v>
      </c>
      <c r="T881" s="19" t="s">
        <v>3560</v>
      </c>
      <c r="U881" s="19" t="str">
        <f aca="false">HYPERLINK("https://macaulaylibrary.org/asset/470892921","Open")</f>
        <v>Open</v>
      </c>
      <c r="V881" s="19"/>
    </row>
    <row r="882" customFormat="false" ht="15" hidden="false" customHeight="false" outlineLevel="0" collapsed="false">
      <c r="A882" s="19" t="s">
        <v>3561</v>
      </c>
      <c r="B882" s="19" t="s">
        <v>943</v>
      </c>
      <c r="C882" s="19" t="s">
        <v>944</v>
      </c>
      <c r="D882" s="19" t="s">
        <v>148</v>
      </c>
      <c r="E882" s="19" t="s">
        <v>147</v>
      </c>
      <c r="F882" s="19" t="s">
        <v>155</v>
      </c>
      <c r="G882" s="19" t="n">
        <v>104</v>
      </c>
      <c r="H882" s="19" t="s">
        <v>156</v>
      </c>
      <c r="I882" s="20" t="n">
        <v>11.232</v>
      </c>
      <c r="J882" s="19" t="n">
        <f aca="false">IF(I882="","",MIN(Overview!$B$8,MAX(1,CEILING(I882/Overview!$B$7,1))))</f>
        <v>3</v>
      </c>
      <c r="K882" s="19" t="n">
        <v>1</v>
      </c>
      <c r="L882" s="19"/>
      <c r="M882" s="20" t="n">
        <v>3</v>
      </c>
      <c r="N882" s="19"/>
      <c r="O882" s="19"/>
      <c r="P882" s="19" t="s">
        <v>3562</v>
      </c>
      <c r="Q882" s="19" t="s">
        <v>3563</v>
      </c>
      <c r="R882" s="21" t="n">
        <v>44786</v>
      </c>
      <c r="S882" s="19" t="s">
        <v>3311</v>
      </c>
      <c r="T882" s="19" t="s">
        <v>3564</v>
      </c>
      <c r="U882" s="19" t="str">
        <f aca="false">HYPERLINK("https://macaulaylibrary.org/asset/508814281","Open")</f>
        <v>Open</v>
      </c>
      <c r="V882" s="19"/>
    </row>
    <row r="883" customFormat="false" ht="15" hidden="false" customHeight="false" outlineLevel="0" collapsed="false">
      <c r="A883" s="19" t="s">
        <v>3565</v>
      </c>
      <c r="B883" s="19" t="s">
        <v>943</v>
      </c>
      <c r="C883" s="19" t="s">
        <v>944</v>
      </c>
      <c r="D883" s="19" t="s">
        <v>148</v>
      </c>
      <c r="E883" s="19" t="s">
        <v>147</v>
      </c>
      <c r="F883" s="19" t="s">
        <v>155</v>
      </c>
      <c r="G883" s="19" t="n">
        <v>104</v>
      </c>
      <c r="H883" s="19" t="s">
        <v>156</v>
      </c>
      <c r="I883" s="20" t="n">
        <v>5.994</v>
      </c>
      <c r="J883" s="19" t="n">
        <f aca="false">IF(I883="","",MIN(Overview!$B$8,MAX(1,CEILING(I883/Overview!$B$7,1))))</f>
        <v>2</v>
      </c>
      <c r="K883" s="19" t="n">
        <v>1</v>
      </c>
      <c r="L883" s="19"/>
      <c r="M883" s="20" t="n">
        <v>2</v>
      </c>
      <c r="N883" s="19"/>
      <c r="O883" s="19"/>
      <c r="P883" s="19" t="s">
        <v>1426</v>
      </c>
      <c r="Q883" s="19" t="s">
        <v>1204</v>
      </c>
      <c r="R883" s="21" t="n">
        <v>44611</v>
      </c>
      <c r="S883" s="19" t="s">
        <v>1259</v>
      </c>
      <c r="T883" s="19" t="s">
        <v>3566</v>
      </c>
      <c r="U883" s="19" t="str">
        <f aca="false">HYPERLINK("https://macaulaylibrary.org/asset/531230351","Open")</f>
        <v>Open</v>
      </c>
      <c r="V883" s="19"/>
    </row>
    <row r="884" customFormat="false" ht="15" hidden="false" customHeight="false" outlineLevel="0" collapsed="false">
      <c r="A884" s="19" t="s">
        <v>3567</v>
      </c>
      <c r="B884" s="19" t="s">
        <v>943</v>
      </c>
      <c r="C884" s="19" t="s">
        <v>944</v>
      </c>
      <c r="D884" s="19" t="s">
        <v>148</v>
      </c>
      <c r="E884" s="19" t="s">
        <v>147</v>
      </c>
      <c r="F884" s="19" t="s">
        <v>155</v>
      </c>
      <c r="G884" s="19" t="n">
        <v>104</v>
      </c>
      <c r="H884" s="19" t="s">
        <v>156</v>
      </c>
      <c r="I884" s="20" t="n">
        <v>28.352</v>
      </c>
      <c r="J884" s="19" t="n">
        <f aca="false">IF(I884="","",MIN(Overview!$B$8,MAX(1,CEILING(I884/Overview!$B$7,1))))</f>
        <v>6</v>
      </c>
      <c r="K884" s="19" t="n">
        <v>1</v>
      </c>
      <c r="L884" s="19"/>
      <c r="M884" s="20" t="n">
        <v>3</v>
      </c>
      <c r="N884" s="19"/>
      <c r="O884" s="19"/>
      <c r="P884" s="19" t="s">
        <v>2190</v>
      </c>
      <c r="Q884" s="19" t="s">
        <v>1204</v>
      </c>
      <c r="R884" s="21" t="n">
        <v>44612</v>
      </c>
      <c r="S884" s="19" t="s">
        <v>1969</v>
      </c>
      <c r="T884" s="19" t="s">
        <v>3568</v>
      </c>
      <c r="U884" s="19" t="str">
        <f aca="false">HYPERLINK("https://macaulaylibrary.org/asset/531231601","Open")</f>
        <v>Open</v>
      </c>
      <c r="V884" s="19"/>
    </row>
    <row r="885" customFormat="false" ht="15" hidden="false" customHeight="false" outlineLevel="0" collapsed="false">
      <c r="A885" s="19" t="s">
        <v>3569</v>
      </c>
      <c r="B885" s="19" t="s">
        <v>943</v>
      </c>
      <c r="C885" s="19" t="s">
        <v>944</v>
      </c>
      <c r="D885" s="19" t="s">
        <v>148</v>
      </c>
      <c r="E885" s="19" t="s">
        <v>147</v>
      </c>
      <c r="F885" s="19" t="s">
        <v>155</v>
      </c>
      <c r="G885" s="19" t="n">
        <v>104</v>
      </c>
      <c r="H885" s="19" t="s">
        <v>156</v>
      </c>
      <c r="I885" s="20" t="n">
        <v>12.005</v>
      </c>
      <c r="J885" s="19" t="n">
        <f aca="false">IF(I885="","",MIN(Overview!$B$8,MAX(1,CEILING(I885/Overview!$B$7,1))))</f>
        <v>3</v>
      </c>
      <c r="K885" s="19" t="n">
        <v>1</v>
      </c>
      <c r="L885" s="19"/>
      <c r="M885" s="20" t="n">
        <v>5</v>
      </c>
      <c r="N885" s="19"/>
      <c r="O885" s="19"/>
      <c r="P885" s="19" t="s">
        <v>1932</v>
      </c>
      <c r="Q885" s="19" t="s">
        <v>1158</v>
      </c>
      <c r="R885" s="21" t="n">
        <v>44941</v>
      </c>
      <c r="S885" s="19" t="s">
        <v>1387</v>
      </c>
      <c r="T885" s="19" t="s">
        <v>3570</v>
      </c>
      <c r="U885" s="19" t="str">
        <f aca="false">HYPERLINK("https://macaulaylibrary.org/asset/539024371","Open")</f>
        <v>Open</v>
      </c>
      <c r="V885" s="19"/>
    </row>
    <row r="886" customFormat="false" ht="15" hidden="false" customHeight="false" outlineLevel="0" collapsed="false">
      <c r="A886" s="19" t="s">
        <v>3571</v>
      </c>
      <c r="B886" s="19" t="s">
        <v>943</v>
      </c>
      <c r="C886" s="19" t="s">
        <v>944</v>
      </c>
      <c r="D886" s="19" t="s">
        <v>148</v>
      </c>
      <c r="E886" s="19" t="s">
        <v>147</v>
      </c>
      <c r="F886" s="19" t="s">
        <v>155</v>
      </c>
      <c r="G886" s="19" t="n">
        <v>104</v>
      </c>
      <c r="H886" s="19" t="s">
        <v>156</v>
      </c>
      <c r="I886" s="20" t="n">
        <v>6.901</v>
      </c>
      <c r="J886" s="19" t="n">
        <f aca="false">IF(I886="","",MIN(Overview!$B$8,MAX(1,CEILING(I886/Overview!$B$7,1))))</f>
        <v>2</v>
      </c>
      <c r="K886" s="19" t="n">
        <v>1</v>
      </c>
      <c r="L886" s="19"/>
      <c r="M886" s="20" t="n">
        <v>4</v>
      </c>
      <c r="N886" s="19"/>
      <c r="O886" s="19"/>
      <c r="P886" s="19" t="s">
        <v>1935</v>
      </c>
      <c r="Q886" s="19" t="s">
        <v>1158</v>
      </c>
      <c r="R886" s="21" t="n">
        <v>44942</v>
      </c>
      <c r="S886" s="19" t="s">
        <v>1936</v>
      </c>
      <c r="T886" s="19" t="s">
        <v>3572</v>
      </c>
      <c r="U886" s="19" t="str">
        <f aca="false">HYPERLINK("https://macaulaylibrary.org/asset/543400981","Open")</f>
        <v>Open</v>
      </c>
      <c r="V886" s="19"/>
    </row>
    <row r="887" customFormat="false" ht="15" hidden="false" customHeight="false" outlineLevel="0" collapsed="false">
      <c r="A887" s="19" t="s">
        <v>3573</v>
      </c>
      <c r="B887" s="19" t="s">
        <v>943</v>
      </c>
      <c r="C887" s="19" t="s">
        <v>944</v>
      </c>
      <c r="D887" s="19" t="s">
        <v>148</v>
      </c>
      <c r="E887" s="19" t="s">
        <v>147</v>
      </c>
      <c r="F887" s="19" t="s">
        <v>155</v>
      </c>
      <c r="G887" s="19" t="n">
        <v>104</v>
      </c>
      <c r="H887" s="19" t="s">
        <v>156</v>
      </c>
      <c r="I887" s="20" t="n">
        <v>18.216</v>
      </c>
      <c r="J887" s="19" t="n">
        <f aca="false">IF(I887="","",MIN(Overview!$B$8,MAX(1,CEILING(I887/Overview!$B$7,1))))</f>
        <v>4</v>
      </c>
      <c r="K887" s="19" t="n">
        <v>1</v>
      </c>
      <c r="L887" s="19"/>
      <c r="M887" s="20" t="n">
        <v>4.5</v>
      </c>
      <c r="N887" s="19"/>
      <c r="O887" s="19"/>
      <c r="P887" s="19" t="s">
        <v>3574</v>
      </c>
      <c r="Q887" s="19" t="s">
        <v>1692</v>
      </c>
      <c r="R887" s="21" t="n">
        <v>44993</v>
      </c>
      <c r="S887" s="19" t="s">
        <v>2841</v>
      </c>
      <c r="T887" s="19" t="s">
        <v>3575</v>
      </c>
      <c r="U887" s="19" t="str">
        <f aca="false">HYPERLINK("https://macaulaylibrary.org/asset/549350641","Open")</f>
        <v>Open</v>
      </c>
      <c r="V887" s="19"/>
    </row>
    <row r="888" customFormat="false" ht="15" hidden="false" customHeight="false" outlineLevel="0" collapsed="false">
      <c r="A888" s="19" t="s">
        <v>3576</v>
      </c>
      <c r="B888" s="19" t="s">
        <v>943</v>
      </c>
      <c r="C888" s="19" t="s">
        <v>944</v>
      </c>
      <c r="D888" s="19" t="s">
        <v>148</v>
      </c>
      <c r="E888" s="19" t="s">
        <v>147</v>
      </c>
      <c r="F888" s="19" t="s">
        <v>155</v>
      </c>
      <c r="G888" s="19" t="n">
        <v>104</v>
      </c>
      <c r="H888" s="19" t="s">
        <v>156</v>
      </c>
      <c r="I888" s="20" t="n">
        <v>293.485</v>
      </c>
      <c r="J888" s="19" t="n">
        <f aca="false">IF(I888="","",MIN(Overview!$B$8,MAX(1,CEILING(I888/Overview!$B$7,1))))</f>
        <v>59</v>
      </c>
      <c r="K888" s="19" t="n">
        <v>1</v>
      </c>
      <c r="L888" s="19"/>
      <c r="M888" s="20" t="n">
        <v>3</v>
      </c>
      <c r="N888" s="19"/>
      <c r="O888" s="19"/>
      <c r="P888" s="19" t="s">
        <v>1097</v>
      </c>
      <c r="Q888" s="19" t="s">
        <v>980</v>
      </c>
      <c r="R888" s="21" t="n">
        <v>32553</v>
      </c>
      <c r="S888" s="19" t="s">
        <v>3577</v>
      </c>
      <c r="T888" s="19" t="s">
        <v>3578</v>
      </c>
      <c r="U888" s="19" t="str">
        <f aca="false">HYPERLINK("https://macaulaylibrary.org/asset/57315","Open")</f>
        <v>Open</v>
      </c>
      <c r="V888" s="19"/>
    </row>
    <row r="889" customFormat="false" ht="15" hidden="false" customHeight="false" outlineLevel="0" collapsed="false">
      <c r="A889" s="19" t="s">
        <v>3579</v>
      </c>
      <c r="B889" s="19" t="s">
        <v>943</v>
      </c>
      <c r="C889" s="19" t="s">
        <v>944</v>
      </c>
      <c r="D889" s="19" t="s">
        <v>148</v>
      </c>
      <c r="E889" s="19" t="s">
        <v>147</v>
      </c>
      <c r="F889" s="19" t="s">
        <v>155</v>
      </c>
      <c r="G889" s="19" t="n">
        <v>104</v>
      </c>
      <c r="H889" s="19" t="s">
        <v>156</v>
      </c>
      <c r="I889" s="20" t="n">
        <v>307.335</v>
      </c>
      <c r="J889" s="19" t="n">
        <f aca="false">IF(I889="","",MIN(Overview!$B$8,MAX(1,CEILING(I889/Overview!$B$7,1))))</f>
        <v>62</v>
      </c>
      <c r="K889" s="19" t="n">
        <v>1</v>
      </c>
      <c r="L889" s="19"/>
      <c r="M889" s="20" t="n">
        <v>3</v>
      </c>
      <c r="N889" s="19"/>
      <c r="O889" s="19"/>
      <c r="P889" s="19" t="s">
        <v>1097</v>
      </c>
      <c r="Q889" s="19" t="s">
        <v>980</v>
      </c>
      <c r="R889" s="21" t="n">
        <v>32553</v>
      </c>
      <c r="S889" s="19" t="s">
        <v>1002</v>
      </c>
      <c r="T889" s="19" t="s">
        <v>3580</v>
      </c>
      <c r="U889" s="19" t="str">
        <f aca="false">HYPERLINK("https://macaulaylibrary.org/asset/57317","Open")</f>
        <v>Open</v>
      </c>
      <c r="V889" s="19"/>
    </row>
    <row r="890" customFormat="false" ht="15" hidden="false" customHeight="false" outlineLevel="0" collapsed="false">
      <c r="A890" s="19" t="s">
        <v>3581</v>
      </c>
      <c r="B890" s="19" t="s">
        <v>943</v>
      </c>
      <c r="C890" s="19" t="s">
        <v>944</v>
      </c>
      <c r="D890" s="19" t="s">
        <v>148</v>
      </c>
      <c r="E890" s="19" t="s">
        <v>147</v>
      </c>
      <c r="F890" s="19" t="s">
        <v>155</v>
      </c>
      <c r="G890" s="19" t="n">
        <v>104</v>
      </c>
      <c r="H890" s="19" t="s">
        <v>156</v>
      </c>
      <c r="I890" s="20" t="n">
        <v>1091.954</v>
      </c>
      <c r="J890" s="19" t="n">
        <f aca="false">IF(I890="","",MIN(Overview!$B$8,MAX(1,CEILING(I890/Overview!$B$7,1))))</f>
        <v>120</v>
      </c>
      <c r="K890" s="19" t="n">
        <v>1</v>
      </c>
      <c r="L890" s="19"/>
      <c r="M890" s="20" t="n">
        <v>3.83</v>
      </c>
      <c r="N890" s="19"/>
      <c r="O890" s="19"/>
      <c r="P890" s="19" t="s">
        <v>3582</v>
      </c>
      <c r="Q890" s="19" t="s">
        <v>980</v>
      </c>
      <c r="R890" s="21" t="n">
        <v>32912</v>
      </c>
      <c r="S890" s="19" t="s">
        <v>3583</v>
      </c>
      <c r="T890" s="19" t="s">
        <v>3584</v>
      </c>
      <c r="U890" s="19" t="str">
        <f aca="false">HYPERLINK("https://macaulaylibrary.org/asset/57318","Open")</f>
        <v>Open</v>
      </c>
      <c r="V890" s="19"/>
    </row>
    <row r="891" customFormat="false" ht="15" hidden="false" customHeight="false" outlineLevel="0" collapsed="false">
      <c r="A891" s="19" t="s">
        <v>3585</v>
      </c>
      <c r="B891" s="19" t="s">
        <v>943</v>
      </c>
      <c r="C891" s="19" t="s">
        <v>944</v>
      </c>
      <c r="D891" s="19" t="s">
        <v>148</v>
      </c>
      <c r="E891" s="19" t="s">
        <v>147</v>
      </c>
      <c r="F891" s="19" t="s">
        <v>155</v>
      </c>
      <c r="G891" s="19" t="n">
        <v>104</v>
      </c>
      <c r="H891" s="19" t="s">
        <v>156</v>
      </c>
      <c r="I891" s="20" t="n">
        <v>392.571</v>
      </c>
      <c r="J891" s="19" t="n">
        <f aca="false">IF(I891="","",MIN(Overview!$B$8,MAX(1,CEILING(I891/Overview!$B$7,1))))</f>
        <v>79</v>
      </c>
      <c r="K891" s="19" t="n">
        <v>1</v>
      </c>
      <c r="L891" s="19"/>
      <c r="M891" s="20" t="n">
        <v>2.2</v>
      </c>
      <c r="N891" s="19"/>
      <c r="O891" s="19"/>
      <c r="P891" s="19" t="s">
        <v>3586</v>
      </c>
      <c r="Q891" s="19" t="s">
        <v>980</v>
      </c>
      <c r="R891" s="21" t="n">
        <v>33293</v>
      </c>
      <c r="S891" s="19" t="s">
        <v>1275</v>
      </c>
      <c r="T891" s="19" t="s">
        <v>3587</v>
      </c>
      <c r="U891" s="19" t="str">
        <f aca="false">HYPERLINK("https://macaulaylibrary.org/asset/57491","Open")</f>
        <v>Open</v>
      </c>
      <c r="V891" s="19"/>
    </row>
    <row r="892" customFormat="false" ht="15" hidden="false" customHeight="false" outlineLevel="0" collapsed="false">
      <c r="A892" s="19" t="s">
        <v>3588</v>
      </c>
      <c r="B892" s="19" t="s">
        <v>943</v>
      </c>
      <c r="C892" s="19" t="s">
        <v>944</v>
      </c>
      <c r="D892" s="19" t="s">
        <v>148</v>
      </c>
      <c r="E892" s="19" t="s">
        <v>147</v>
      </c>
      <c r="F892" s="19" t="s">
        <v>155</v>
      </c>
      <c r="G892" s="19" t="n">
        <v>104</v>
      </c>
      <c r="H892" s="19" t="s">
        <v>156</v>
      </c>
      <c r="I892" s="20" t="n">
        <v>26.904</v>
      </c>
      <c r="J892" s="19" t="n">
        <f aca="false">IF(I892="","",MIN(Overview!$B$8,MAX(1,CEILING(I892/Overview!$B$7,1))))</f>
        <v>6</v>
      </c>
      <c r="K892" s="19" t="n">
        <v>1</v>
      </c>
      <c r="L892" s="19"/>
      <c r="M892" s="20" t="n">
        <v>1</v>
      </c>
      <c r="N892" s="19"/>
      <c r="O892" s="19"/>
      <c r="P892" s="19" t="s">
        <v>3589</v>
      </c>
      <c r="Q892" s="19" t="s">
        <v>3590</v>
      </c>
      <c r="R892" s="21" t="n">
        <v>26330</v>
      </c>
      <c r="S892" s="19" t="s">
        <v>1002</v>
      </c>
      <c r="T892" s="19" t="s">
        <v>3591</v>
      </c>
      <c r="U892" s="19" t="str">
        <f aca="false">HYPERLINK("https://macaulaylibrary.org/asset/58713","Open")</f>
        <v>Open</v>
      </c>
      <c r="V892" s="19"/>
    </row>
    <row r="893" customFormat="false" ht="15" hidden="false" customHeight="false" outlineLevel="0" collapsed="false">
      <c r="A893" s="19" t="s">
        <v>3592</v>
      </c>
      <c r="B893" s="19" t="s">
        <v>943</v>
      </c>
      <c r="C893" s="19" t="s">
        <v>944</v>
      </c>
      <c r="D893" s="19" t="s">
        <v>148</v>
      </c>
      <c r="E893" s="19" t="s">
        <v>147</v>
      </c>
      <c r="F893" s="19" t="s">
        <v>155</v>
      </c>
      <c r="G893" s="19" t="n">
        <v>104</v>
      </c>
      <c r="H893" s="19" t="s">
        <v>156</v>
      </c>
      <c r="I893" s="20" t="n">
        <v>15.939</v>
      </c>
      <c r="J893" s="19" t="n">
        <f aca="false">IF(I893="","",MIN(Overview!$B$8,MAX(1,CEILING(I893/Overview!$B$7,1))))</f>
        <v>4</v>
      </c>
      <c r="K893" s="19" t="n">
        <v>1</v>
      </c>
      <c r="L893" s="19"/>
      <c r="M893" s="20" t="n">
        <v>2.67</v>
      </c>
      <c r="N893" s="19"/>
      <c r="O893" s="19"/>
      <c r="P893" s="19" t="s">
        <v>1165</v>
      </c>
      <c r="Q893" s="19" t="s">
        <v>1166</v>
      </c>
      <c r="R893" s="21" t="n">
        <v>44899</v>
      </c>
      <c r="S893" s="19" t="s">
        <v>1167</v>
      </c>
      <c r="T893" s="19" t="s">
        <v>3593</v>
      </c>
      <c r="U893" s="19" t="str">
        <f aca="false">HYPERLINK("https://macaulaylibrary.org/asset/597713221","Open")</f>
        <v>Open</v>
      </c>
      <c r="V893" s="19"/>
    </row>
    <row r="894" customFormat="false" ht="15" hidden="false" customHeight="false" outlineLevel="0" collapsed="false">
      <c r="A894" s="19" t="s">
        <v>3594</v>
      </c>
      <c r="B894" s="19" t="s">
        <v>943</v>
      </c>
      <c r="C894" s="19" t="s">
        <v>944</v>
      </c>
      <c r="D894" s="19" t="s">
        <v>148</v>
      </c>
      <c r="E894" s="19" t="s">
        <v>147</v>
      </c>
      <c r="F894" s="19" t="s">
        <v>155</v>
      </c>
      <c r="G894" s="19" t="n">
        <v>104</v>
      </c>
      <c r="H894" s="19" t="s">
        <v>156</v>
      </c>
      <c r="I894" s="20" t="n">
        <v>70.398</v>
      </c>
      <c r="J894" s="19" t="n">
        <f aca="false">IF(I894="","",MIN(Overview!$B$8,MAX(1,CEILING(I894/Overview!$B$7,1))))</f>
        <v>15</v>
      </c>
      <c r="K894" s="19" t="n">
        <v>1</v>
      </c>
      <c r="L894" s="19"/>
      <c r="M894" s="20" t="n">
        <v>2</v>
      </c>
      <c r="N894" s="19"/>
      <c r="O894" s="19"/>
      <c r="P894" s="19" t="s">
        <v>1045</v>
      </c>
      <c r="Q894" s="19" t="s">
        <v>1040</v>
      </c>
      <c r="R894" s="21" t="n">
        <v>40903</v>
      </c>
      <c r="S894" s="19" t="s">
        <v>1002</v>
      </c>
      <c r="T894" s="19" t="s">
        <v>3595</v>
      </c>
      <c r="U894" s="19" t="str">
        <f aca="false">HYPERLINK("https://macaulaylibrary.org/asset/609056534","Open")</f>
        <v>Open</v>
      </c>
      <c r="V894" s="19"/>
    </row>
    <row r="895" customFormat="false" ht="15" hidden="false" customHeight="false" outlineLevel="0" collapsed="false">
      <c r="A895" s="19" t="s">
        <v>3596</v>
      </c>
      <c r="B895" s="19" t="s">
        <v>943</v>
      </c>
      <c r="C895" s="19" t="s">
        <v>944</v>
      </c>
      <c r="D895" s="19" t="s">
        <v>148</v>
      </c>
      <c r="E895" s="19" t="s">
        <v>147</v>
      </c>
      <c r="F895" s="19" t="s">
        <v>155</v>
      </c>
      <c r="G895" s="19" t="n">
        <v>104</v>
      </c>
      <c r="H895" s="19" t="s">
        <v>156</v>
      </c>
      <c r="I895" s="20" t="n">
        <v>12.4</v>
      </c>
      <c r="J895" s="19" t="n">
        <f aca="false">IF(I895="","",MIN(Overview!$B$8,MAX(1,CEILING(I895/Overview!$B$7,1))))</f>
        <v>3</v>
      </c>
      <c r="K895" s="19" t="n">
        <v>1</v>
      </c>
      <c r="L895" s="19"/>
      <c r="M895" s="20" t="n">
        <v>3.5</v>
      </c>
      <c r="N895" s="19"/>
      <c r="O895" s="19"/>
      <c r="P895" s="19" t="s">
        <v>3597</v>
      </c>
      <c r="Q895" s="19" t="s">
        <v>3085</v>
      </c>
      <c r="R895" s="21" t="n">
        <v>44981</v>
      </c>
      <c r="S895" s="19" t="s">
        <v>3598</v>
      </c>
      <c r="T895" s="19" t="s">
        <v>3599</v>
      </c>
      <c r="U895" s="19" t="str">
        <f aca="false">HYPERLINK("https://macaulaylibrary.org/asset/611524277","Open")</f>
        <v>Open</v>
      </c>
      <c r="V895" s="19"/>
    </row>
    <row r="896" customFormat="false" ht="15" hidden="false" customHeight="false" outlineLevel="0" collapsed="false">
      <c r="A896" s="19" t="s">
        <v>3600</v>
      </c>
      <c r="B896" s="19" t="s">
        <v>943</v>
      </c>
      <c r="C896" s="19" t="s">
        <v>944</v>
      </c>
      <c r="D896" s="19" t="s">
        <v>148</v>
      </c>
      <c r="E896" s="19" t="s">
        <v>147</v>
      </c>
      <c r="F896" s="19" t="s">
        <v>155</v>
      </c>
      <c r="G896" s="19" t="n">
        <v>104</v>
      </c>
      <c r="H896" s="19" t="s">
        <v>156</v>
      </c>
      <c r="I896" s="20" t="n">
        <v>10.497</v>
      </c>
      <c r="J896" s="19" t="n">
        <f aca="false">IF(I896="","",MIN(Overview!$B$8,MAX(1,CEILING(I896/Overview!$B$7,1))))</f>
        <v>3</v>
      </c>
      <c r="K896" s="19" t="n">
        <v>1</v>
      </c>
      <c r="L896" s="19"/>
      <c r="M896" s="20"/>
      <c r="N896" s="19"/>
      <c r="O896" s="19"/>
      <c r="P896" s="19" t="s">
        <v>1867</v>
      </c>
      <c r="Q896" s="19" t="s">
        <v>1086</v>
      </c>
      <c r="R896" s="21" t="n">
        <v>45297</v>
      </c>
      <c r="S896" s="19" t="s">
        <v>1868</v>
      </c>
      <c r="T896" s="19" t="s">
        <v>3601</v>
      </c>
      <c r="U896" s="19" t="str">
        <f aca="false">HYPERLINK("https://macaulaylibrary.org/asset/614020328","Open")</f>
        <v>Open</v>
      </c>
      <c r="V896" s="19"/>
    </row>
    <row r="897" customFormat="false" ht="15" hidden="false" customHeight="false" outlineLevel="0" collapsed="false">
      <c r="A897" s="19" t="s">
        <v>3602</v>
      </c>
      <c r="B897" s="19" t="s">
        <v>943</v>
      </c>
      <c r="C897" s="19" t="s">
        <v>944</v>
      </c>
      <c r="D897" s="19" t="s">
        <v>148</v>
      </c>
      <c r="E897" s="19" t="s">
        <v>147</v>
      </c>
      <c r="F897" s="19" t="s">
        <v>155</v>
      </c>
      <c r="G897" s="19" t="n">
        <v>104</v>
      </c>
      <c r="H897" s="19" t="s">
        <v>156</v>
      </c>
      <c r="I897" s="20" t="n">
        <v>12.118</v>
      </c>
      <c r="J897" s="19" t="n">
        <f aca="false">IF(I897="","",MIN(Overview!$B$8,MAX(1,CEILING(I897/Overview!$B$7,1))))</f>
        <v>3</v>
      </c>
      <c r="K897" s="19" t="n">
        <v>1</v>
      </c>
      <c r="L897" s="19"/>
      <c r="M897" s="20"/>
      <c r="N897" s="19"/>
      <c r="O897" s="19"/>
      <c r="P897" s="19" t="s">
        <v>1867</v>
      </c>
      <c r="Q897" s="19" t="s">
        <v>1086</v>
      </c>
      <c r="R897" s="21" t="n">
        <v>45297</v>
      </c>
      <c r="S897" s="19" t="s">
        <v>1868</v>
      </c>
      <c r="T897" s="19" t="s">
        <v>3603</v>
      </c>
      <c r="U897" s="19" t="str">
        <f aca="false">HYPERLINK("https://macaulaylibrary.org/asset/614020340","Open")</f>
        <v>Open</v>
      </c>
      <c r="V897" s="19"/>
    </row>
    <row r="898" customFormat="false" ht="15" hidden="false" customHeight="false" outlineLevel="0" collapsed="false">
      <c r="A898" s="19" t="s">
        <v>3604</v>
      </c>
      <c r="B898" s="19" t="s">
        <v>943</v>
      </c>
      <c r="C898" s="19" t="s">
        <v>944</v>
      </c>
      <c r="D898" s="19" t="s">
        <v>148</v>
      </c>
      <c r="E898" s="19" t="s">
        <v>147</v>
      </c>
      <c r="F898" s="19" t="s">
        <v>155</v>
      </c>
      <c r="G898" s="19" t="n">
        <v>104</v>
      </c>
      <c r="H898" s="19" t="s">
        <v>156</v>
      </c>
      <c r="I898" s="20" t="n">
        <v>28.096</v>
      </c>
      <c r="J898" s="19" t="n">
        <f aca="false">IF(I898="","",MIN(Overview!$B$8,MAX(1,CEILING(I898/Overview!$B$7,1))))</f>
        <v>6</v>
      </c>
      <c r="K898" s="19" t="n">
        <v>1</v>
      </c>
      <c r="L898" s="19"/>
      <c r="M898" s="20"/>
      <c r="N898" s="19"/>
      <c r="O898" s="19" t="s">
        <v>151</v>
      </c>
      <c r="P898" s="19" t="s">
        <v>3605</v>
      </c>
      <c r="Q898" s="19" t="s">
        <v>1319</v>
      </c>
      <c r="R898" s="21" t="n">
        <v>44679</v>
      </c>
      <c r="S898" s="19" t="s">
        <v>3606</v>
      </c>
      <c r="T898" s="19" t="s">
        <v>3607</v>
      </c>
      <c r="U898" s="19" t="str">
        <f aca="false">HYPERLINK("https://macaulaylibrary.org/asset/614213210","Open")</f>
        <v>Open</v>
      </c>
      <c r="V898" s="19"/>
    </row>
    <row r="899" customFormat="false" ht="15" hidden="false" customHeight="false" outlineLevel="0" collapsed="false">
      <c r="A899" s="19" t="s">
        <v>3608</v>
      </c>
      <c r="B899" s="19" t="s">
        <v>943</v>
      </c>
      <c r="C899" s="19" t="s">
        <v>944</v>
      </c>
      <c r="D899" s="19" t="s">
        <v>148</v>
      </c>
      <c r="E899" s="19" t="s">
        <v>147</v>
      </c>
      <c r="F899" s="19" t="s">
        <v>155</v>
      </c>
      <c r="G899" s="19" t="n">
        <v>104</v>
      </c>
      <c r="H899" s="19" t="s">
        <v>156</v>
      </c>
      <c r="I899" s="20" t="n">
        <v>15.209</v>
      </c>
      <c r="J899" s="19" t="n">
        <f aca="false">IF(I899="","",MIN(Overview!$B$8,MAX(1,CEILING(I899/Overview!$B$7,1))))</f>
        <v>4</v>
      </c>
      <c r="K899" s="19" t="n">
        <v>1</v>
      </c>
      <c r="L899" s="19"/>
      <c r="M899" s="20" t="n">
        <v>3</v>
      </c>
      <c r="N899" s="19"/>
      <c r="O899" s="19"/>
      <c r="P899" s="19" t="s">
        <v>1558</v>
      </c>
      <c r="Q899" s="19" t="s">
        <v>1458</v>
      </c>
      <c r="R899" s="21" t="n">
        <v>45173</v>
      </c>
      <c r="S899" s="19" t="s">
        <v>1559</v>
      </c>
      <c r="T899" s="19" t="s">
        <v>3609</v>
      </c>
      <c r="U899" s="19" t="str">
        <f aca="false">HYPERLINK("https://macaulaylibrary.org/asset/618010006","Open")</f>
        <v>Open</v>
      </c>
      <c r="V899" s="19"/>
    </row>
    <row r="900" customFormat="false" ht="15" hidden="false" customHeight="false" outlineLevel="0" collapsed="false">
      <c r="A900" s="19" t="s">
        <v>3610</v>
      </c>
      <c r="B900" s="19" t="s">
        <v>943</v>
      </c>
      <c r="C900" s="19" t="s">
        <v>944</v>
      </c>
      <c r="D900" s="19" t="s">
        <v>148</v>
      </c>
      <c r="E900" s="19" t="s">
        <v>147</v>
      </c>
      <c r="F900" s="19" t="s">
        <v>155</v>
      </c>
      <c r="G900" s="19" t="n">
        <v>104</v>
      </c>
      <c r="H900" s="19" t="s">
        <v>156</v>
      </c>
      <c r="I900" s="20" t="n">
        <v>14.488</v>
      </c>
      <c r="J900" s="19" t="n">
        <f aca="false">IF(I900="","",MIN(Overview!$B$8,MAX(1,CEILING(I900/Overview!$B$7,1))))</f>
        <v>3</v>
      </c>
      <c r="K900" s="19" t="n">
        <v>1</v>
      </c>
      <c r="L900" s="19"/>
      <c r="M900" s="20" t="n">
        <v>5</v>
      </c>
      <c r="N900" s="19"/>
      <c r="O900" s="19"/>
      <c r="P900" s="19" t="s">
        <v>3611</v>
      </c>
      <c r="Q900" s="19" t="s">
        <v>2957</v>
      </c>
      <c r="R900" s="21" t="n">
        <v>45297</v>
      </c>
      <c r="S900" s="19" t="s">
        <v>3612</v>
      </c>
      <c r="T900" s="19" t="s">
        <v>3613</v>
      </c>
      <c r="U900" s="19" t="str">
        <f aca="false">HYPERLINK("https://macaulaylibrary.org/asset/619568190","Open")</f>
        <v>Open</v>
      </c>
      <c r="V900" s="19"/>
    </row>
    <row r="901" customFormat="false" ht="15" hidden="false" customHeight="false" outlineLevel="0" collapsed="false">
      <c r="A901" s="19" t="s">
        <v>3614</v>
      </c>
      <c r="B901" s="19" t="s">
        <v>943</v>
      </c>
      <c r="C901" s="19" t="s">
        <v>944</v>
      </c>
      <c r="D901" s="19" t="s">
        <v>148</v>
      </c>
      <c r="E901" s="19" t="s">
        <v>147</v>
      </c>
      <c r="F901" s="19" t="s">
        <v>155</v>
      </c>
      <c r="G901" s="19" t="n">
        <v>104</v>
      </c>
      <c r="H901" s="19" t="s">
        <v>156</v>
      </c>
      <c r="I901" s="20" t="n">
        <v>10.184</v>
      </c>
      <c r="J901" s="19" t="n">
        <f aca="false">IF(I901="","",MIN(Overview!$B$8,MAX(1,CEILING(I901/Overview!$B$7,1))))</f>
        <v>3</v>
      </c>
      <c r="K901" s="19" t="n">
        <v>1</v>
      </c>
      <c r="L901" s="19"/>
      <c r="M901" s="20"/>
      <c r="N901" s="19"/>
      <c r="O901" s="19"/>
      <c r="P901" s="19" t="s">
        <v>3615</v>
      </c>
      <c r="Q901" s="19" t="s">
        <v>3616</v>
      </c>
      <c r="R901" s="21" t="n">
        <v>45455</v>
      </c>
      <c r="S901" s="19" t="s">
        <v>3617</v>
      </c>
      <c r="T901" s="19" t="s">
        <v>3618</v>
      </c>
      <c r="U901" s="19" t="str">
        <f aca="false">HYPERLINK("https://macaulaylibrary.org/asset/620357353","Open")</f>
        <v>Open</v>
      </c>
      <c r="V901" s="19"/>
    </row>
    <row r="902" customFormat="false" ht="15" hidden="false" customHeight="false" outlineLevel="0" collapsed="false">
      <c r="A902" s="19" t="s">
        <v>3619</v>
      </c>
      <c r="B902" s="19" t="s">
        <v>943</v>
      </c>
      <c r="C902" s="19" t="s">
        <v>944</v>
      </c>
      <c r="D902" s="19" t="s">
        <v>148</v>
      </c>
      <c r="E902" s="19" t="s">
        <v>147</v>
      </c>
      <c r="F902" s="19" t="s">
        <v>155</v>
      </c>
      <c r="G902" s="19" t="n">
        <v>104</v>
      </c>
      <c r="H902" s="19" t="s">
        <v>156</v>
      </c>
      <c r="I902" s="20" t="n">
        <v>15.015</v>
      </c>
      <c r="J902" s="19" t="n">
        <f aca="false">IF(I902="","",MIN(Overview!$B$8,MAX(1,CEILING(I902/Overview!$B$7,1))))</f>
        <v>4</v>
      </c>
      <c r="K902" s="19" t="n">
        <v>1</v>
      </c>
      <c r="L902" s="19"/>
      <c r="M902" s="20" t="n">
        <v>4.5</v>
      </c>
      <c r="N902" s="19"/>
      <c r="O902" s="19"/>
      <c r="P902" s="19" t="s">
        <v>2708</v>
      </c>
      <c r="Q902" s="19" t="s">
        <v>1258</v>
      </c>
      <c r="R902" s="21" t="n">
        <v>45229</v>
      </c>
      <c r="S902" s="19" t="s">
        <v>2542</v>
      </c>
      <c r="T902" s="19" t="s">
        <v>3620</v>
      </c>
      <c r="U902" s="19" t="str">
        <f aca="false">HYPERLINK("https://macaulaylibrary.org/asset/621759928","Open")</f>
        <v>Open</v>
      </c>
      <c r="V902" s="19"/>
    </row>
    <row r="903" customFormat="false" ht="15" hidden="false" customHeight="false" outlineLevel="0" collapsed="false">
      <c r="A903" s="19" t="s">
        <v>3621</v>
      </c>
      <c r="B903" s="19" t="s">
        <v>943</v>
      </c>
      <c r="C903" s="19" t="s">
        <v>944</v>
      </c>
      <c r="D903" s="19" t="s">
        <v>148</v>
      </c>
      <c r="E903" s="19" t="s">
        <v>147</v>
      </c>
      <c r="F903" s="19" t="s">
        <v>155</v>
      </c>
      <c r="G903" s="19" t="n">
        <v>104</v>
      </c>
      <c r="H903" s="19" t="s">
        <v>156</v>
      </c>
      <c r="I903" s="20" t="n">
        <v>15.015</v>
      </c>
      <c r="J903" s="19" t="n">
        <f aca="false">IF(I903="","",MIN(Overview!$B$8,MAX(1,CEILING(I903/Overview!$B$7,1))))</f>
        <v>4</v>
      </c>
      <c r="K903" s="19" t="n">
        <v>1</v>
      </c>
      <c r="L903" s="19"/>
      <c r="M903" s="20" t="n">
        <v>3.5</v>
      </c>
      <c r="N903" s="19"/>
      <c r="O903" s="19"/>
      <c r="P903" s="19" t="s">
        <v>2708</v>
      </c>
      <c r="Q903" s="19" t="s">
        <v>1258</v>
      </c>
      <c r="R903" s="21" t="n">
        <v>45229</v>
      </c>
      <c r="S903" s="19" t="s">
        <v>2542</v>
      </c>
      <c r="T903" s="19" t="s">
        <v>3622</v>
      </c>
      <c r="U903" s="19" t="str">
        <f aca="false">HYPERLINK("https://macaulaylibrary.org/asset/621759929","Open")</f>
        <v>Open</v>
      </c>
      <c r="V903" s="19"/>
    </row>
    <row r="904" customFormat="false" ht="15" hidden="false" customHeight="false" outlineLevel="0" collapsed="false">
      <c r="A904" s="19" t="s">
        <v>3623</v>
      </c>
      <c r="B904" s="19" t="s">
        <v>943</v>
      </c>
      <c r="C904" s="19" t="s">
        <v>944</v>
      </c>
      <c r="D904" s="19" t="s">
        <v>148</v>
      </c>
      <c r="E904" s="19" t="s">
        <v>147</v>
      </c>
      <c r="F904" s="19" t="s">
        <v>155</v>
      </c>
      <c r="G904" s="19" t="n">
        <v>104</v>
      </c>
      <c r="H904" s="19" t="s">
        <v>156</v>
      </c>
      <c r="I904" s="20" t="n">
        <v>15.949</v>
      </c>
      <c r="J904" s="19" t="n">
        <f aca="false">IF(I904="","",MIN(Overview!$B$8,MAX(1,CEILING(I904/Overview!$B$7,1))))</f>
        <v>4</v>
      </c>
      <c r="K904" s="19" t="n">
        <v>1</v>
      </c>
      <c r="L904" s="19"/>
      <c r="M904" s="20"/>
      <c r="N904" s="19"/>
      <c r="O904" s="19"/>
      <c r="P904" s="19" t="s">
        <v>2023</v>
      </c>
      <c r="Q904" s="19" t="s">
        <v>1483</v>
      </c>
      <c r="R904" s="21" t="n">
        <v>45291</v>
      </c>
      <c r="S904" s="19" t="s">
        <v>1167</v>
      </c>
      <c r="T904" s="19" t="s">
        <v>3624</v>
      </c>
      <c r="U904" s="19" t="str">
        <f aca="false">HYPERLINK("https://macaulaylibrary.org/asset/638950841","Open")</f>
        <v>Open</v>
      </c>
      <c r="V904" s="19"/>
    </row>
    <row r="905" customFormat="false" ht="15" hidden="false" customHeight="false" outlineLevel="0" collapsed="false">
      <c r="A905" s="19" t="s">
        <v>3625</v>
      </c>
      <c r="B905" s="19" t="s">
        <v>943</v>
      </c>
      <c r="C905" s="19" t="s">
        <v>944</v>
      </c>
      <c r="D905" s="19" t="s">
        <v>148</v>
      </c>
      <c r="E905" s="19" t="s">
        <v>147</v>
      </c>
      <c r="F905" s="19" t="s">
        <v>155</v>
      </c>
      <c r="G905" s="19" t="n">
        <v>104</v>
      </c>
      <c r="H905" s="19" t="s">
        <v>156</v>
      </c>
      <c r="I905" s="20" t="n">
        <v>39.237</v>
      </c>
      <c r="J905" s="19" t="n">
        <f aca="false">IF(I905="","",MIN(Overview!$B$8,MAX(1,CEILING(I905/Overview!$B$7,1))))</f>
        <v>8</v>
      </c>
      <c r="K905" s="19" t="n">
        <v>1</v>
      </c>
      <c r="L905" s="19"/>
      <c r="M905" s="20" t="n">
        <v>4</v>
      </c>
      <c r="N905" s="19"/>
      <c r="O905" s="19" t="s">
        <v>3626</v>
      </c>
      <c r="P905" s="19" t="s">
        <v>1631</v>
      </c>
      <c r="Q905" s="19" t="s">
        <v>990</v>
      </c>
      <c r="R905" s="21" t="n">
        <v>46012</v>
      </c>
      <c r="S905" s="19" t="s">
        <v>1632</v>
      </c>
      <c r="T905" s="19" t="s">
        <v>3627</v>
      </c>
      <c r="U905" s="19" t="str">
        <f aca="false">HYPERLINK("https://macaulaylibrary.org/asset/647566116","Open")</f>
        <v>Open</v>
      </c>
      <c r="V905" s="19"/>
    </row>
    <row r="906" customFormat="false" ht="15" hidden="false" customHeight="false" outlineLevel="0" collapsed="false">
      <c r="A906" s="19" t="s">
        <v>3628</v>
      </c>
      <c r="B906" s="19" t="s">
        <v>943</v>
      </c>
      <c r="C906" s="19" t="s">
        <v>944</v>
      </c>
      <c r="D906" s="19" t="s">
        <v>148</v>
      </c>
      <c r="E906" s="19" t="s">
        <v>147</v>
      </c>
      <c r="F906" s="19" t="s">
        <v>155</v>
      </c>
      <c r="G906" s="19" t="n">
        <v>104</v>
      </c>
      <c r="H906" s="19" t="s">
        <v>156</v>
      </c>
      <c r="I906" s="20" t="n">
        <v>39.091</v>
      </c>
      <c r="J906" s="19" t="n">
        <f aca="false">IF(I906="","",MIN(Overview!$B$8,MAX(1,CEILING(I906/Overview!$B$7,1))))</f>
        <v>8</v>
      </c>
      <c r="K906" s="19" t="n">
        <v>1</v>
      </c>
      <c r="L906" s="19"/>
      <c r="M906" s="20" t="n">
        <v>3</v>
      </c>
      <c r="N906" s="19"/>
      <c r="O906" s="19" t="s">
        <v>520</v>
      </c>
      <c r="P906" s="19" t="s">
        <v>1631</v>
      </c>
      <c r="Q906" s="19" t="s">
        <v>990</v>
      </c>
      <c r="R906" s="21" t="n">
        <v>46012</v>
      </c>
      <c r="S906" s="19" t="s">
        <v>1632</v>
      </c>
      <c r="T906" s="19" t="s">
        <v>3629</v>
      </c>
      <c r="U906" s="19" t="str">
        <f aca="false">HYPERLINK("https://macaulaylibrary.org/asset/647566125","Open")</f>
        <v>Open</v>
      </c>
      <c r="V906" s="19"/>
    </row>
    <row r="907" customFormat="false" ht="15" hidden="false" customHeight="false" outlineLevel="0" collapsed="false">
      <c r="A907" s="19" t="s">
        <v>3630</v>
      </c>
      <c r="B907" s="19" t="s">
        <v>943</v>
      </c>
      <c r="C907" s="19" t="s">
        <v>944</v>
      </c>
      <c r="D907" s="19" t="s">
        <v>148</v>
      </c>
      <c r="E907" s="19" t="s">
        <v>147</v>
      </c>
      <c r="F907" s="19" t="s">
        <v>155</v>
      </c>
      <c r="G907" s="19" t="n">
        <v>104</v>
      </c>
      <c r="H907" s="19" t="s">
        <v>156</v>
      </c>
      <c r="I907" s="20" t="n">
        <v>57.271</v>
      </c>
      <c r="J907" s="19" t="n">
        <f aca="false">IF(I907="","",MIN(Overview!$B$8,MAX(1,CEILING(I907/Overview!$B$7,1))))</f>
        <v>12</v>
      </c>
      <c r="K907" s="19" t="n">
        <v>1</v>
      </c>
      <c r="L907" s="19"/>
      <c r="M907" s="20"/>
      <c r="N907" s="19"/>
      <c r="O907" s="19"/>
      <c r="P907" s="19" t="s">
        <v>3631</v>
      </c>
      <c r="Q907" s="19" t="s">
        <v>3632</v>
      </c>
      <c r="R907" s="21" t="n">
        <v>46018</v>
      </c>
      <c r="S907" s="19" t="s">
        <v>966</v>
      </c>
      <c r="T907" s="19" t="s">
        <v>3633</v>
      </c>
      <c r="U907" s="19" t="str">
        <f aca="false">HYPERLINK("https://macaulaylibrary.org/asset/648493779","Open")</f>
        <v>Open</v>
      </c>
      <c r="V907" s="19"/>
    </row>
    <row r="908" customFormat="false" ht="15" hidden="false" customHeight="false" outlineLevel="0" collapsed="false">
      <c r="A908" s="19" t="s">
        <v>3634</v>
      </c>
      <c r="B908" s="19" t="s">
        <v>943</v>
      </c>
      <c r="C908" s="19" t="s">
        <v>944</v>
      </c>
      <c r="D908" s="19" t="s">
        <v>148</v>
      </c>
      <c r="E908" s="19" t="s">
        <v>147</v>
      </c>
      <c r="F908" s="19" t="s">
        <v>155</v>
      </c>
      <c r="G908" s="19" t="n">
        <v>104</v>
      </c>
      <c r="H908" s="19" t="s">
        <v>156</v>
      </c>
      <c r="I908" s="20" t="n">
        <v>67.335</v>
      </c>
      <c r="J908" s="19" t="n">
        <f aca="false">IF(I908="","",MIN(Overview!$B$8,MAX(1,CEILING(I908/Overview!$B$7,1))))</f>
        <v>14</v>
      </c>
      <c r="K908" s="19" t="n">
        <v>1</v>
      </c>
      <c r="L908" s="19"/>
      <c r="M908" s="20"/>
      <c r="N908" s="19"/>
      <c r="O908" s="19"/>
      <c r="P908" s="19" t="s">
        <v>3631</v>
      </c>
      <c r="Q908" s="19" t="s">
        <v>3632</v>
      </c>
      <c r="R908" s="21" t="n">
        <v>46018</v>
      </c>
      <c r="S908" s="19" t="s">
        <v>966</v>
      </c>
      <c r="T908" s="19" t="s">
        <v>3635</v>
      </c>
      <c r="U908" s="19" t="str">
        <f aca="false">HYPERLINK("https://macaulaylibrary.org/asset/648494032","Open")</f>
        <v>Open</v>
      </c>
      <c r="V908" s="19"/>
    </row>
    <row r="909" customFormat="false" ht="15" hidden="false" customHeight="false" outlineLevel="0" collapsed="false">
      <c r="A909" s="19" t="s">
        <v>3636</v>
      </c>
      <c r="B909" s="19" t="s">
        <v>943</v>
      </c>
      <c r="C909" s="19" t="s">
        <v>944</v>
      </c>
      <c r="D909" s="19" t="s">
        <v>148</v>
      </c>
      <c r="E909" s="19" t="s">
        <v>147</v>
      </c>
      <c r="F909" s="19" t="s">
        <v>155</v>
      </c>
      <c r="G909" s="19" t="n">
        <v>104</v>
      </c>
      <c r="H909" s="19" t="s">
        <v>156</v>
      </c>
      <c r="I909" s="20" t="n">
        <v>10.645</v>
      </c>
      <c r="J909" s="19" t="n">
        <f aca="false">IF(I909="","",MIN(Overview!$B$8,MAX(1,CEILING(I909/Overview!$B$7,1))))</f>
        <v>3</v>
      </c>
      <c r="K909" s="19" t="n">
        <v>1</v>
      </c>
      <c r="L909" s="19"/>
      <c r="M909" s="20" t="n">
        <v>1</v>
      </c>
      <c r="N909" s="19"/>
      <c r="O909" s="19" t="s">
        <v>394</v>
      </c>
      <c r="P909" s="19" t="s">
        <v>3637</v>
      </c>
      <c r="Q909" s="19" t="s">
        <v>1199</v>
      </c>
      <c r="R909" s="21" t="n">
        <v>46026</v>
      </c>
      <c r="S909" s="19" t="s">
        <v>2603</v>
      </c>
      <c r="T909" s="19" t="s">
        <v>3638</v>
      </c>
      <c r="U909" s="19" t="str">
        <f aca="false">HYPERLINK("https://macaulaylibrary.org/asset/648568089","Open")</f>
        <v>Open</v>
      </c>
      <c r="V909" s="19"/>
    </row>
    <row r="910" customFormat="false" ht="15" hidden="false" customHeight="false" outlineLevel="0" collapsed="false">
      <c r="A910" s="19" t="s">
        <v>3639</v>
      </c>
      <c r="B910" s="19" t="s">
        <v>943</v>
      </c>
      <c r="C910" s="19" t="s">
        <v>944</v>
      </c>
      <c r="D910" s="19" t="s">
        <v>148</v>
      </c>
      <c r="E910" s="19" t="s">
        <v>147</v>
      </c>
      <c r="F910" s="19" t="s">
        <v>155</v>
      </c>
      <c r="G910" s="19" t="n">
        <v>104</v>
      </c>
      <c r="H910" s="19" t="s">
        <v>156</v>
      </c>
      <c r="I910" s="20" t="n">
        <v>7.972</v>
      </c>
      <c r="J910" s="19" t="n">
        <f aca="false">IF(I910="","",MIN(Overview!$B$8,MAX(1,CEILING(I910/Overview!$B$7,1))))</f>
        <v>2</v>
      </c>
      <c r="K910" s="19" t="n">
        <v>1</v>
      </c>
      <c r="L910" s="19"/>
      <c r="M910" s="20" t="n">
        <v>2</v>
      </c>
      <c r="N910" s="19"/>
      <c r="O910" s="19"/>
      <c r="P910" s="19" t="s">
        <v>3640</v>
      </c>
      <c r="Q910" s="19" t="s">
        <v>3641</v>
      </c>
      <c r="R910" s="21" t="n">
        <v>46091</v>
      </c>
      <c r="S910" s="19" t="s">
        <v>3642</v>
      </c>
      <c r="T910" s="19" t="s">
        <v>3643</v>
      </c>
      <c r="U910" s="19" t="str">
        <f aca="false">HYPERLINK("https://macaulaylibrary.org/asset/654478370","Open")</f>
        <v>Open</v>
      </c>
      <c r="V910" s="19"/>
    </row>
    <row r="911" customFormat="false" ht="15" hidden="false" customHeight="false" outlineLevel="0" collapsed="false">
      <c r="A911" s="19" t="s">
        <v>3644</v>
      </c>
      <c r="B911" s="19" t="s">
        <v>943</v>
      </c>
      <c r="C911" s="19" t="s">
        <v>944</v>
      </c>
      <c r="D911" s="19" t="s">
        <v>148</v>
      </c>
      <c r="E911" s="19" t="s">
        <v>147</v>
      </c>
      <c r="F911" s="19" t="s">
        <v>155</v>
      </c>
      <c r="G911" s="19" t="n">
        <v>104</v>
      </c>
      <c r="H911" s="19" t="s">
        <v>156</v>
      </c>
      <c r="I911" s="20" t="n">
        <v>28.519</v>
      </c>
      <c r="J911" s="19" t="n">
        <f aca="false">IF(I911="","",MIN(Overview!$B$8,MAX(1,CEILING(I911/Overview!$B$7,1))))</f>
        <v>6</v>
      </c>
      <c r="K911" s="19" t="n">
        <v>1</v>
      </c>
      <c r="L911" s="19"/>
      <c r="M911" s="20" t="n">
        <v>1</v>
      </c>
      <c r="N911" s="19"/>
      <c r="O911" s="19"/>
      <c r="P911" s="19" t="s">
        <v>1396</v>
      </c>
      <c r="Q911" s="19" t="s">
        <v>1397</v>
      </c>
      <c r="R911" s="21" t="n">
        <v>46217</v>
      </c>
      <c r="S911" s="19" t="s">
        <v>1137</v>
      </c>
      <c r="T911" s="19" t="s">
        <v>3645</v>
      </c>
      <c r="U911" s="19" t="str">
        <f aca="false">HYPERLINK("https://macaulaylibrary.org/asset/661734223","Open")</f>
        <v>Open</v>
      </c>
      <c r="V911" s="19"/>
    </row>
    <row r="912" customFormat="false" ht="15" hidden="false" customHeight="false" outlineLevel="0" collapsed="false">
      <c r="A912" s="19" t="s">
        <v>3646</v>
      </c>
      <c r="B912" s="19" t="s">
        <v>943</v>
      </c>
      <c r="C912" s="19" t="s">
        <v>944</v>
      </c>
      <c r="D912" s="19" t="s">
        <v>148</v>
      </c>
      <c r="E912" s="19" t="s">
        <v>147</v>
      </c>
      <c r="F912" s="19" t="s">
        <v>155</v>
      </c>
      <c r="G912" s="19" t="n">
        <v>104</v>
      </c>
      <c r="H912" s="19" t="s">
        <v>156</v>
      </c>
      <c r="I912" s="20" t="n">
        <v>30.934</v>
      </c>
      <c r="J912" s="19" t="n">
        <f aca="false">IF(I912="","",MIN(Overview!$B$8,MAX(1,CEILING(I912/Overview!$B$7,1))))</f>
        <v>7</v>
      </c>
      <c r="K912" s="19" t="n">
        <v>1</v>
      </c>
      <c r="L912" s="19"/>
      <c r="M912" s="20" t="n">
        <v>2</v>
      </c>
      <c r="N912" s="19"/>
      <c r="O912" s="19"/>
      <c r="P912" s="19" t="s">
        <v>2152</v>
      </c>
      <c r="Q912" s="19" t="s">
        <v>1218</v>
      </c>
      <c r="R912" s="21" t="n">
        <v>33329</v>
      </c>
      <c r="S912" s="19" t="s">
        <v>1009</v>
      </c>
      <c r="T912" s="19" t="s">
        <v>3647</v>
      </c>
      <c r="U912" s="19" t="str">
        <f aca="false">HYPERLINK("https://macaulaylibrary.org/asset/76613","Open")</f>
        <v>Open</v>
      </c>
      <c r="V912" s="19"/>
    </row>
    <row r="913" customFormat="false" ht="15" hidden="false" customHeight="false" outlineLevel="0" collapsed="false">
      <c r="A913" s="19" t="s">
        <v>3648</v>
      </c>
      <c r="B913" s="19" t="s">
        <v>943</v>
      </c>
      <c r="C913" s="19" t="s">
        <v>944</v>
      </c>
      <c r="D913" s="19" t="s">
        <v>148</v>
      </c>
      <c r="E913" s="19" t="s">
        <v>147</v>
      </c>
      <c r="F913" s="19" t="s">
        <v>155</v>
      </c>
      <c r="G913" s="19" t="n">
        <v>104</v>
      </c>
      <c r="H913" s="19" t="s">
        <v>156</v>
      </c>
      <c r="I913" s="20" t="n">
        <v>65.716</v>
      </c>
      <c r="J913" s="19" t="n">
        <f aca="false">IF(I913="","",MIN(Overview!$B$8,MAX(1,CEILING(I913/Overview!$B$7,1))))</f>
        <v>14</v>
      </c>
      <c r="K913" s="19" t="n">
        <v>1</v>
      </c>
      <c r="L913" s="19"/>
      <c r="M913" s="20" t="n">
        <v>1.2</v>
      </c>
      <c r="N913" s="19"/>
      <c r="O913" s="19" t="s">
        <v>3649</v>
      </c>
      <c r="P913" s="19" t="s">
        <v>1225</v>
      </c>
      <c r="Q913" s="19" t="s">
        <v>1226</v>
      </c>
      <c r="R913" s="21" t="n">
        <v>21274</v>
      </c>
      <c r="S913" s="19"/>
      <c r="T913" s="19" t="s">
        <v>3650</v>
      </c>
      <c r="U913" s="19" t="str">
        <f aca="false">HYPERLINK("https://macaulaylibrary.org/asset/875","Open")</f>
        <v>Open</v>
      </c>
      <c r="V913" s="19"/>
    </row>
    <row r="914" customFormat="false" ht="15" hidden="false" customHeight="false" outlineLevel="0" collapsed="false">
      <c r="A914" s="19" t="s">
        <v>3651</v>
      </c>
      <c r="B914" s="19" t="s">
        <v>943</v>
      </c>
      <c r="C914" s="19" t="s">
        <v>944</v>
      </c>
      <c r="D914" s="19" t="s">
        <v>400</v>
      </c>
      <c r="E914" s="19" t="s">
        <v>147</v>
      </c>
      <c r="F914" s="19" t="s">
        <v>478</v>
      </c>
      <c r="G914" s="19" t="n">
        <v>105</v>
      </c>
      <c r="H914" s="19" t="s">
        <v>479</v>
      </c>
      <c r="I914" s="20" t="n">
        <v>28.843</v>
      </c>
      <c r="J914" s="19" t="n">
        <f aca="false">IF(I914="","",MIN(Overview!$B$8,MAX(1,CEILING(I914/Overview!$B$7,1))))</f>
        <v>6</v>
      </c>
      <c r="K914" s="19" t="n">
        <v>1</v>
      </c>
      <c r="L914" s="19"/>
      <c r="M914" s="20" t="n">
        <v>1</v>
      </c>
      <c r="N914" s="19"/>
      <c r="O914" s="19"/>
      <c r="P914" s="19" t="s">
        <v>2342</v>
      </c>
      <c r="Q914" s="19" t="s">
        <v>2343</v>
      </c>
      <c r="R914" s="21" t="n">
        <v>31506</v>
      </c>
      <c r="S914" s="19"/>
      <c r="T914" s="19" t="s">
        <v>3652</v>
      </c>
      <c r="U914" s="19" t="str">
        <f aca="false">HYPERLINK("https://macaulaylibrary.org/asset/249462","Open")</f>
        <v>Open</v>
      </c>
      <c r="V914" s="19"/>
    </row>
    <row r="915" customFormat="false" ht="15" hidden="false" customHeight="false" outlineLevel="0" collapsed="false">
      <c r="A915" s="19" t="s">
        <v>3653</v>
      </c>
      <c r="B915" s="19" t="s">
        <v>943</v>
      </c>
      <c r="C915" s="19" t="s">
        <v>944</v>
      </c>
      <c r="D915" s="19" t="s">
        <v>400</v>
      </c>
      <c r="E915" s="19" t="s">
        <v>147</v>
      </c>
      <c r="F915" s="19" t="s">
        <v>478</v>
      </c>
      <c r="G915" s="19" t="n">
        <v>105</v>
      </c>
      <c r="H915" s="19" t="s">
        <v>479</v>
      </c>
      <c r="I915" s="20" t="n">
        <v>11.912</v>
      </c>
      <c r="J915" s="19" t="n">
        <f aca="false">IF(I915="","",MIN(Overview!$B$8,MAX(1,CEILING(I915/Overview!$B$7,1))))</f>
        <v>3</v>
      </c>
      <c r="K915" s="19" t="n">
        <v>1</v>
      </c>
      <c r="L915" s="19"/>
      <c r="M915" s="20" t="n">
        <v>2</v>
      </c>
      <c r="N915" s="19"/>
      <c r="O915" s="19"/>
      <c r="P915" s="19" t="s">
        <v>3654</v>
      </c>
      <c r="Q915" s="19" t="s">
        <v>3655</v>
      </c>
      <c r="R915" s="21" t="n">
        <v>44448</v>
      </c>
      <c r="S915" s="19" t="s">
        <v>1279</v>
      </c>
      <c r="T915" s="19" t="s">
        <v>3656</v>
      </c>
      <c r="U915" s="19" t="str">
        <f aca="false">HYPERLINK("https://macaulaylibrary.org/asset/368118381","Open")</f>
        <v>Open</v>
      </c>
      <c r="V915" s="19"/>
    </row>
    <row r="916" customFormat="false" ht="15" hidden="false" customHeight="false" outlineLevel="0" collapsed="false">
      <c r="A916" s="19" t="s">
        <v>3657</v>
      </c>
      <c r="B916" s="19" t="s">
        <v>943</v>
      </c>
      <c r="C916" s="19" t="s">
        <v>944</v>
      </c>
      <c r="D916" s="19" t="s">
        <v>400</v>
      </c>
      <c r="E916" s="19" t="s">
        <v>147</v>
      </c>
      <c r="F916" s="19" t="s">
        <v>478</v>
      </c>
      <c r="G916" s="19" t="n">
        <v>105</v>
      </c>
      <c r="H916" s="19" t="s">
        <v>479</v>
      </c>
      <c r="I916" s="20" t="n">
        <v>11.349</v>
      </c>
      <c r="J916" s="19" t="n">
        <f aca="false">IF(I916="","",MIN(Overview!$B$8,MAX(1,CEILING(I916/Overview!$B$7,1))))</f>
        <v>3</v>
      </c>
      <c r="K916" s="19" t="n">
        <v>1</v>
      </c>
      <c r="L916" s="19"/>
      <c r="M916" s="20" t="n">
        <v>2.6</v>
      </c>
      <c r="N916" s="19"/>
      <c r="O916" s="19"/>
      <c r="P916" s="19" t="s">
        <v>3658</v>
      </c>
      <c r="Q916" s="19" t="s">
        <v>1148</v>
      </c>
      <c r="R916" s="21" t="n">
        <v>44448</v>
      </c>
      <c r="S916" s="19" t="s">
        <v>1279</v>
      </c>
      <c r="T916" s="19" t="s">
        <v>3659</v>
      </c>
      <c r="U916" s="19" t="str">
        <f aca="false">HYPERLINK("https://macaulaylibrary.org/asset/368384201","Open")</f>
        <v>Open</v>
      </c>
      <c r="V916" s="19"/>
    </row>
    <row r="917" customFormat="false" ht="15" hidden="false" customHeight="false" outlineLevel="0" collapsed="false">
      <c r="A917" s="19" t="s">
        <v>3660</v>
      </c>
      <c r="B917" s="19" t="s">
        <v>943</v>
      </c>
      <c r="C917" s="19" t="s">
        <v>944</v>
      </c>
      <c r="D917" s="19" t="s">
        <v>400</v>
      </c>
      <c r="E917" s="19" t="s">
        <v>147</v>
      </c>
      <c r="F917" s="19" t="s">
        <v>478</v>
      </c>
      <c r="G917" s="19" t="n">
        <v>105</v>
      </c>
      <c r="H917" s="19" t="s">
        <v>479</v>
      </c>
      <c r="I917" s="20" t="n">
        <v>30.996</v>
      </c>
      <c r="J917" s="19" t="n">
        <f aca="false">IF(I917="","",MIN(Overview!$B$8,MAX(1,CEILING(I917/Overview!$B$7,1))))</f>
        <v>7</v>
      </c>
      <c r="K917" s="19" t="n">
        <v>1</v>
      </c>
      <c r="L917" s="19"/>
      <c r="M917" s="20" t="n">
        <v>2.6</v>
      </c>
      <c r="N917" s="19"/>
      <c r="O917" s="19" t="s">
        <v>607</v>
      </c>
      <c r="P917" s="19" t="s">
        <v>2523</v>
      </c>
      <c r="Q917" s="19" t="s">
        <v>1592</v>
      </c>
      <c r="R917" s="21" t="n">
        <v>30405</v>
      </c>
      <c r="S917" s="19" t="s">
        <v>1002</v>
      </c>
      <c r="T917" s="19" t="s">
        <v>3661</v>
      </c>
      <c r="U917" s="19" t="str">
        <f aca="false">HYPERLINK("https://macaulaylibrary.org/asset/39236","Open")</f>
        <v>Open</v>
      </c>
      <c r="V917" s="19"/>
    </row>
    <row r="918" customFormat="false" ht="15" hidden="false" customHeight="false" outlineLevel="0" collapsed="false">
      <c r="A918" s="19" t="s">
        <v>3662</v>
      </c>
      <c r="B918" s="19" t="s">
        <v>943</v>
      </c>
      <c r="C918" s="19" t="s">
        <v>944</v>
      </c>
      <c r="D918" s="19" t="s">
        <v>400</v>
      </c>
      <c r="E918" s="19" t="s">
        <v>147</v>
      </c>
      <c r="F918" s="19" t="s">
        <v>478</v>
      </c>
      <c r="G918" s="19" t="n">
        <v>105</v>
      </c>
      <c r="H918" s="19" t="s">
        <v>479</v>
      </c>
      <c r="I918" s="20" t="n">
        <v>16.16</v>
      </c>
      <c r="J918" s="19" t="n">
        <f aca="false">IF(I918="","",MIN(Overview!$B$8,MAX(1,CEILING(I918/Overview!$B$7,1))))</f>
        <v>4</v>
      </c>
      <c r="K918" s="19" t="n">
        <v>1</v>
      </c>
      <c r="L918" s="19"/>
      <c r="M918" s="20" t="n">
        <v>3.33</v>
      </c>
      <c r="N918" s="19"/>
      <c r="O918" s="19"/>
      <c r="P918" s="19" t="s">
        <v>2507</v>
      </c>
      <c r="Q918" s="19" t="s">
        <v>965</v>
      </c>
      <c r="R918" s="21" t="n">
        <v>45640</v>
      </c>
      <c r="S918" s="19" t="s">
        <v>2065</v>
      </c>
      <c r="T918" s="19" t="s">
        <v>3663</v>
      </c>
      <c r="U918" s="19" t="str">
        <f aca="false">HYPERLINK("https://macaulaylibrary.org/asset/627957602","Open")</f>
        <v>Open</v>
      </c>
      <c r="V918" s="19"/>
    </row>
    <row r="919" customFormat="false" ht="15" hidden="false" customHeight="false" outlineLevel="0" collapsed="false">
      <c r="A919" s="19" t="s">
        <v>3664</v>
      </c>
      <c r="B919" s="19" t="s">
        <v>943</v>
      </c>
      <c r="C919" s="19" t="s">
        <v>944</v>
      </c>
      <c r="D919" s="19" t="s">
        <v>400</v>
      </c>
      <c r="E919" s="19" t="s">
        <v>147</v>
      </c>
      <c r="F919" s="19" t="s">
        <v>478</v>
      </c>
      <c r="G919" s="19" t="n">
        <v>105</v>
      </c>
      <c r="H919" s="19" t="s">
        <v>479</v>
      </c>
      <c r="I919" s="20" t="n">
        <v>41.28</v>
      </c>
      <c r="J919" s="19" t="n">
        <f aca="false">IF(I919="","",MIN(Overview!$B$8,MAX(1,CEILING(I919/Overview!$B$7,1))))</f>
        <v>9</v>
      </c>
      <c r="K919" s="19" t="n">
        <v>1</v>
      </c>
      <c r="L919" s="19"/>
      <c r="M919" s="20" t="n">
        <v>2.67</v>
      </c>
      <c r="N919" s="19"/>
      <c r="O919" s="19"/>
      <c r="P919" s="19" t="s">
        <v>2507</v>
      </c>
      <c r="Q919" s="19" t="s">
        <v>965</v>
      </c>
      <c r="R919" s="21" t="n">
        <v>45640</v>
      </c>
      <c r="S919" s="19" t="s">
        <v>2065</v>
      </c>
      <c r="T919" s="19" t="s">
        <v>3665</v>
      </c>
      <c r="U919" s="19" t="str">
        <f aca="false">HYPERLINK("https://macaulaylibrary.org/asset/627957603","Open")</f>
        <v>Open</v>
      </c>
      <c r="V919" s="19"/>
    </row>
    <row r="920" customFormat="false" ht="15" hidden="false" customHeight="false" outlineLevel="0" collapsed="false">
      <c r="A920" s="19" t="s">
        <v>3666</v>
      </c>
      <c r="B920" s="19" t="s">
        <v>943</v>
      </c>
      <c r="C920" s="19" t="s">
        <v>944</v>
      </c>
      <c r="D920" s="19" t="s">
        <v>400</v>
      </c>
      <c r="E920" s="19" t="s">
        <v>147</v>
      </c>
      <c r="F920" s="19" t="s">
        <v>478</v>
      </c>
      <c r="G920" s="19" t="n">
        <v>105</v>
      </c>
      <c r="H920" s="19" t="s">
        <v>479</v>
      </c>
      <c r="I920" s="20" t="n">
        <v>40.8</v>
      </c>
      <c r="J920" s="19" t="n">
        <f aca="false">IF(I920="","",MIN(Overview!$B$8,MAX(1,CEILING(I920/Overview!$B$7,1))))</f>
        <v>9</v>
      </c>
      <c r="K920" s="19" t="n">
        <v>1</v>
      </c>
      <c r="L920" s="19"/>
      <c r="M920" s="20" t="n">
        <v>3</v>
      </c>
      <c r="N920" s="19"/>
      <c r="O920" s="19"/>
      <c r="P920" s="19" t="s">
        <v>2713</v>
      </c>
      <c r="Q920" s="19" t="s">
        <v>965</v>
      </c>
      <c r="R920" s="21" t="n">
        <v>45640</v>
      </c>
      <c r="S920" s="19" t="s">
        <v>2714</v>
      </c>
      <c r="T920" s="19" t="s">
        <v>3667</v>
      </c>
      <c r="U920" s="19" t="str">
        <f aca="false">HYPERLINK("https://macaulaylibrary.org/asset/627957736","Open")</f>
        <v>Open</v>
      </c>
      <c r="V920" s="19"/>
    </row>
    <row r="921" customFormat="false" ht="15" hidden="false" customHeight="false" outlineLevel="0" collapsed="false">
      <c r="A921" s="19" t="s">
        <v>3668</v>
      </c>
      <c r="B921" s="19" t="s">
        <v>943</v>
      </c>
      <c r="C921" s="19" t="s">
        <v>944</v>
      </c>
      <c r="D921" s="19" t="s">
        <v>148</v>
      </c>
      <c r="E921" s="19" t="s">
        <v>147</v>
      </c>
      <c r="F921" s="19" t="s">
        <v>252</v>
      </c>
      <c r="G921" s="19" t="n">
        <v>106</v>
      </c>
      <c r="H921" s="19" t="s">
        <v>253</v>
      </c>
      <c r="I921" s="20" t="n">
        <v>8.028</v>
      </c>
      <c r="J921" s="19" t="n">
        <f aca="false">IF(I921="","",MIN(Overview!$B$8,MAX(1,CEILING(I921/Overview!$B$7,1))))</f>
        <v>2</v>
      </c>
      <c r="K921" s="19" t="n">
        <v>1</v>
      </c>
      <c r="L921" s="19"/>
      <c r="M921" s="20" t="n">
        <v>2</v>
      </c>
      <c r="N921" s="19"/>
      <c r="O921" s="19"/>
      <c r="P921" s="19" t="s">
        <v>3669</v>
      </c>
      <c r="Q921" s="19" t="s">
        <v>2235</v>
      </c>
      <c r="R921" s="21" t="n">
        <v>43468</v>
      </c>
      <c r="S921" s="19" t="s">
        <v>1311</v>
      </c>
      <c r="T921" s="19" t="s">
        <v>3670</v>
      </c>
      <c r="U921" s="19" t="str">
        <f aca="false">HYPERLINK("https://macaulaylibrary.org/asset/143083231","Open")</f>
        <v>Open</v>
      </c>
      <c r="V921" s="19"/>
    </row>
    <row r="922" customFormat="false" ht="15" hidden="false" customHeight="false" outlineLevel="0" collapsed="false">
      <c r="A922" s="19" t="s">
        <v>3671</v>
      </c>
      <c r="B922" s="19" t="s">
        <v>943</v>
      </c>
      <c r="C922" s="19" t="s">
        <v>944</v>
      </c>
      <c r="D922" s="19" t="s">
        <v>148</v>
      </c>
      <c r="E922" s="19" t="s">
        <v>147</v>
      </c>
      <c r="F922" s="19" t="s">
        <v>252</v>
      </c>
      <c r="G922" s="19" t="n">
        <v>106</v>
      </c>
      <c r="H922" s="19" t="s">
        <v>253</v>
      </c>
      <c r="I922" s="20" t="n">
        <v>50.554</v>
      </c>
      <c r="J922" s="19" t="n">
        <f aca="false">IF(I922="","",MIN(Overview!$B$8,MAX(1,CEILING(I922/Overview!$B$7,1))))</f>
        <v>11</v>
      </c>
      <c r="K922" s="19" t="n">
        <v>1</v>
      </c>
      <c r="L922" s="19"/>
      <c r="M922" s="20" t="n">
        <v>1</v>
      </c>
      <c r="N922" s="19"/>
      <c r="O922" s="19"/>
      <c r="P922" s="19" t="s">
        <v>1935</v>
      </c>
      <c r="Q922" s="19" t="s">
        <v>1158</v>
      </c>
      <c r="R922" s="21" t="n">
        <v>44942</v>
      </c>
      <c r="S922" s="19" t="s">
        <v>1936</v>
      </c>
      <c r="T922" s="19" t="s">
        <v>3672</v>
      </c>
      <c r="U922" s="19" t="str">
        <f aca="false">HYPERLINK("https://macaulaylibrary.org/asset/543400851","Open")</f>
        <v>Open</v>
      </c>
      <c r="V922" s="19"/>
    </row>
    <row r="923" customFormat="false" ht="15" hidden="false" customHeight="false" outlineLevel="0" collapsed="false">
      <c r="A923" s="19" t="s">
        <v>3673</v>
      </c>
      <c r="B923" s="19" t="s">
        <v>943</v>
      </c>
      <c r="C923" s="19" t="s">
        <v>944</v>
      </c>
      <c r="D923" s="19" t="s">
        <v>148</v>
      </c>
      <c r="E923" s="19" t="s">
        <v>147</v>
      </c>
      <c r="F923" s="19" t="s">
        <v>252</v>
      </c>
      <c r="G923" s="19" t="n">
        <v>106</v>
      </c>
      <c r="H923" s="19" t="s">
        <v>253</v>
      </c>
      <c r="I923" s="20" t="n">
        <v>78.691</v>
      </c>
      <c r="J923" s="19" t="n">
        <f aca="false">IF(I923="","",MIN(Overview!$B$8,MAX(1,CEILING(I923/Overview!$B$7,1))))</f>
        <v>16</v>
      </c>
      <c r="K923" s="19" t="n">
        <v>1</v>
      </c>
      <c r="L923" s="19"/>
      <c r="M923" s="20" t="n">
        <v>3</v>
      </c>
      <c r="N923" s="19"/>
      <c r="O923" s="19"/>
      <c r="P923" s="19" t="s">
        <v>1297</v>
      </c>
      <c r="Q923" s="19" t="s">
        <v>1298</v>
      </c>
      <c r="R923" s="21" t="n">
        <v>44994</v>
      </c>
      <c r="S923" s="19" t="s">
        <v>1299</v>
      </c>
      <c r="T923" s="19" t="s">
        <v>3674</v>
      </c>
      <c r="U923" s="19" t="str">
        <f aca="false">HYPERLINK("https://macaulaylibrary.org/asset/543645881","Open")</f>
        <v>Open</v>
      </c>
      <c r="V923" s="19"/>
    </row>
    <row r="924" customFormat="false" ht="15" hidden="false" customHeight="false" outlineLevel="0" collapsed="false">
      <c r="A924" s="19" t="s">
        <v>3675</v>
      </c>
      <c r="B924" s="19" t="s">
        <v>943</v>
      </c>
      <c r="C924" s="19" t="s">
        <v>944</v>
      </c>
      <c r="D924" s="19" t="s">
        <v>148</v>
      </c>
      <c r="E924" s="19" t="s">
        <v>147</v>
      </c>
      <c r="F924" s="19" t="s">
        <v>252</v>
      </c>
      <c r="G924" s="19" t="n">
        <v>106</v>
      </c>
      <c r="H924" s="19" t="s">
        <v>253</v>
      </c>
      <c r="I924" s="20" t="n">
        <v>11.723</v>
      </c>
      <c r="J924" s="19" t="n">
        <f aca="false">IF(I924="","",MIN(Overview!$B$8,MAX(1,CEILING(I924/Overview!$B$7,1))))</f>
        <v>3</v>
      </c>
      <c r="K924" s="19" t="n">
        <v>1</v>
      </c>
      <c r="L924" s="19"/>
      <c r="M924" s="20" t="n">
        <v>3</v>
      </c>
      <c r="N924" s="19"/>
      <c r="O924" s="19" t="s">
        <v>3676</v>
      </c>
      <c r="P924" s="19" t="s">
        <v>3677</v>
      </c>
      <c r="Q924" s="19" t="s">
        <v>2085</v>
      </c>
      <c r="R924" s="21" t="n">
        <v>45026</v>
      </c>
      <c r="S924" s="19" t="s">
        <v>3678</v>
      </c>
      <c r="T924" s="19" t="s">
        <v>3679</v>
      </c>
      <c r="U924" s="19" t="str">
        <f aca="false">HYPERLINK("https://macaulaylibrary.org/asset/557806361","Open")</f>
        <v>Open</v>
      </c>
      <c r="V924" s="19"/>
    </row>
    <row r="925" customFormat="false" ht="15" hidden="false" customHeight="false" outlineLevel="0" collapsed="false">
      <c r="A925" s="19" t="s">
        <v>3680</v>
      </c>
      <c r="B925" s="19" t="s">
        <v>943</v>
      </c>
      <c r="C925" s="19" t="s">
        <v>944</v>
      </c>
      <c r="D925" s="19" t="s">
        <v>148</v>
      </c>
      <c r="E925" s="19" t="s">
        <v>147</v>
      </c>
      <c r="F925" s="19" t="s">
        <v>252</v>
      </c>
      <c r="G925" s="19" t="n">
        <v>106</v>
      </c>
      <c r="H925" s="19" t="s">
        <v>253</v>
      </c>
      <c r="I925" s="20" t="n">
        <v>209.913</v>
      </c>
      <c r="J925" s="19" t="n">
        <f aca="false">IF(I925="","",MIN(Overview!$B$8,MAX(1,CEILING(I925/Overview!$B$7,1))))</f>
        <v>42</v>
      </c>
      <c r="K925" s="19" t="n">
        <v>1</v>
      </c>
      <c r="L925" s="19"/>
      <c r="M925" s="20" t="n">
        <v>3</v>
      </c>
      <c r="N925" s="19"/>
      <c r="O925" s="19"/>
      <c r="P925" s="19" t="s">
        <v>1393</v>
      </c>
      <c r="Q925" s="19" t="s">
        <v>1040</v>
      </c>
      <c r="R925" s="21" t="n">
        <v>41265</v>
      </c>
      <c r="S925" s="19" t="s">
        <v>1002</v>
      </c>
      <c r="T925" s="19" t="s">
        <v>3681</v>
      </c>
      <c r="U925" s="19" t="str">
        <f aca="false">HYPERLINK("https://macaulaylibrary.org/asset/609059019","Open")</f>
        <v>Open</v>
      </c>
      <c r="V925" s="19"/>
    </row>
    <row r="926" customFormat="false" ht="15" hidden="false" customHeight="false" outlineLevel="0" collapsed="false">
      <c r="A926" s="19" t="s">
        <v>3682</v>
      </c>
      <c r="B926" s="19" t="s">
        <v>943</v>
      </c>
      <c r="C926" s="19" t="s">
        <v>944</v>
      </c>
      <c r="D926" s="19" t="s">
        <v>148</v>
      </c>
      <c r="E926" s="19" t="s">
        <v>147</v>
      </c>
      <c r="F926" s="19" t="s">
        <v>252</v>
      </c>
      <c r="G926" s="19" t="n">
        <v>106</v>
      </c>
      <c r="H926" s="19" t="s">
        <v>253</v>
      </c>
      <c r="I926" s="20" t="n">
        <v>47.291</v>
      </c>
      <c r="J926" s="19" t="n">
        <f aca="false">IF(I926="","",MIN(Overview!$B$8,MAX(1,CEILING(I926/Overview!$B$7,1))))</f>
        <v>10</v>
      </c>
      <c r="K926" s="19" t="n">
        <v>1</v>
      </c>
      <c r="L926" s="19"/>
      <c r="M926" s="20" t="n">
        <v>4</v>
      </c>
      <c r="N926" s="19"/>
      <c r="O926" s="19" t="s">
        <v>316</v>
      </c>
      <c r="P926" s="19" t="s">
        <v>3683</v>
      </c>
      <c r="Q926" s="19" t="s">
        <v>2085</v>
      </c>
      <c r="R926" s="21" t="n">
        <v>45276</v>
      </c>
      <c r="S926" s="19" t="s">
        <v>1306</v>
      </c>
      <c r="T926" s="19" t="s">
        <v>3684</v>
      </c>
      <c r="U926" s="19" t="str">
        <f aca="false">HYPERLINK("https://macaulaylibrary.org/asset/612553595","Open")</f>
        <v>Open</v>
      </c>
      <c r="V926" s="19"/>
    </row>
    <row r="927" customFormat="false" ht="15" hidden="false" customHeight="false" outlineLevel="0" collapsed="false">
      <c r="A927" s="19" t="s">
        <v>3685</v>
      </c>
      <c r="B927" s="19" t="s">
        <v>943</v>
      </c>
      <c r="C927" s="19" t="s">
        <v>944</v>
      </c>
      <c r="D927" s="19" t="s">
        <v>148</v>
      </c>
      <c r="E927" s="19" t="s">
        <v>147</v>
      </c>
      <c r="F927" s="19" t="s">
        <v>252</v>
      </c>
      <c r="G927" s="19" t="n">
        <v>106</v>
      </c>
      <c r="H927" s="19" t="s">
        <v>253</v>
      </c>
      <c r="I927" s="20" t="n">
        <v>6.12</v>
      </c>
      <c r="J927" s="19" t="n">
        <f aca="false">IF(I927="","",MIN(Overview!$B$8,MAX(1,CEILING(I927/Overview!$B$7,1))))</f>
        <v>2</v>
      </c>
      <c r="K927" s="19" t="n">
        <v>1</v>
      </c>
      <c r="L927" s="19"/>
      <c r="M927" s="20" t="n">
        <v>2</v>
      </c>
      <c r="N927" s="19"/>
      <c r="O927" s="19"/>
      <c r="P927" s="19" t="s">
        <v>1994</v>
      </c>
      <c r="Q927" s="19" t="s">
        <v>956</v>
      </c>
      <c r="R927" s="21" t="n">
        <v>45300</v>
      </c>
      <c r="S927" s="19" t="s">
        <v>1995</v>
      </c>
      <c r="T927" s="19" t="s">
        <v>3686</v>
      </c>
      <c r="U927" s="19" t="str">
        <f aca="false">HYPERLINK("https://macaulaylibrary.org/asset/613430545","Open")</f>
        <v>Open</v>
      </c>
      <c r="V927" s="19"/>
    </row>
    <row r="928" customFormat="false" ht="15" hidden="false" customHeight="false" outlineLevel="0" collapsed="false">
      <c r="A928" s="19" t="s">
        <v>3687</v>
      </c>
      <c r="B928" s="19" t="s">
        <v>943</v>
      </c>
      <c r="C928" s="19" t="s">
        <v>944</v>
      </c>
      <c r="D928" s="19" t="s">
        <v>148</v>
      </c>
      <c r="E928" s="19" t="s">
        <v>147</v>
      </c>
      <c r="F928" s="19" t="s">
        <v>252</v>
      </c>
      <c r="G928" s="19" t="n">
        <v>106</v>
      </c>
      <c r="H928" s="19" t="s">
        <v>253</v>
      </c>
      <c r="I928" s="20" t="n">
        <v>95.908</v>
      </c>
      <c r="J928" s="19" t="n">
        <f aca="false">IF(I928="","",MIN(Overview!$B$8,MAX(1,CEILING(I928/Overview!$B$7,1))))</f>
        <v>20</v>
      </c>
      <c r="K928" s="19" t="n">
        <v>1</v>
      </c>
      <c r="L928" s="19"/>
      <c r="M928" s="20" t="n">
        <v>4.5</v>
      </c>
      <c r="N928" s="19"/>
      <c r="O928" s="19" t="s">
        <v>197</v>
      </c>
      <c r="P928" s="19" t="s">
        <v>3688</v>
      </c>
      <c r="Q928" s="19" t="s">
        <v>1055</v>
      </c>
      <c r="R928" s="21" t="n">
        <v>45118</v>
      </c>
      <c r="S928" s="19" t="s">
        <v>3175</v>
      </c>
      <c r="T928" s="19" t="s">
        <v>3689</v>
      </c>
      <c r="U928" s="19" t="str">
        <f aca="false">HYPERLINK("https://macaulaylibrary.org/asset/614194979","Open")</f>
        <v>Open</v>
      </c>
      <c r="V928" s="19"/>
    </row>
    <row r="929" customFormat="false" ht="15" hidden="false" customHeight="false" outlineLevel="0" collapsed="false">
      <c r="A929" s="19" t="s">
        <v>3690</v>
      </c>
      <c r="B929" s="19" t="s">
        <v>943</v>
      </c>
      <c r="C929" s="19" t="s">
        <v>944</v>
      </c>
      <c r="D929" s="19" t="s">
        <v>148</v>
      </c>
      <c r="E929" s="19" t="s">
        <v>147</v>
      </c>
      <c r="F929" s="19" t="s">
        <v>252</v>
      </c>
      <c r="G929" s="19" t="n">
        <v>106</v>
      </c>
      <c r="H929" s="19" t="s">
        <v>253</v>
      </c>
      <c r="I929" s="20" t="n">
        <v>16.725</v>
      </c>
      <c r="J929" s="19" t="n">
        <f aca="false">IF(I929="","",MIN(Overview!$B$8,MAX(1,CEILING(I929/Overview!$B$7,1))))</f>
        <v>4</v>
      </c>
      <c r="K929" s="19" t="n">
        <v>1</v>
      </c>
      <c r="L929" s="19"/>
      <c r="M929" s="20" t="n">
        <v>4</v>
      </c>
      <c r="N929" s="19"/>
      <c r="O929" s="19"/>
      <c r="P929" s="19" t="s">
        <v>3691</v>
      </c>
      <c r="Q929" s="19" t="s">
        <v>3692</v>
      </c>
      <c r="R929" s="21" t="n">
        <v>45326</v>
      </c>
      <c r="S929" s="19" t="s">
        <v>2976</v>
      </c>
      <c r="T929" s="19" t="s">
        <v>3693</v>
      </c>
      <c r="U929" s="19" t="str">
        <f aca="false">HYPERLINK("https://macaulaylibrary.org/asset/614545460","Open")</f>
        <v>Open</v>
      </c>
      <c r="V929" s="19"/>
    </row>
    <row r="930" customFormat="false" ht="15" hidden="false" customHeight="false" outlineLevel="0" collapsed="false">
      <c r="A930" s="19" t="s">
        <v>3694</v>
      </c>
      <c r="B930" s="19" t="s">
        <v>943</v>
      </c>
      <c r="C930" s="19" t="s">
        <v>944</v>
      </c>
      <c r="D930" s="19" t="s">
        <v>148</v>
      </c>
      <c r="E930" s="19" t="s">
        <v>147</v>
      </c>
      <c r="F930" s="19" t="s">
        <v>252</v>
      </c>
      <c r="G930" s="19" t="n">
        <v>106</v>
      </c>
      <c r="H930" s="19" t="s">
        <v>253</v>
      </c>
      <c r="I930" s="20" t="n">
        <v>83.524</v>
      </c>
      <c r="J930" s="19" t="n">
        <f aca="false">IF(I930="","",MIN(Overview!$B$8,MAX(1,CEILING(I930/Overview!$B$7,1))))</f>
        <v>17</v>
      </c>
      <c r="K930" s="19" t="n">
        <v>1</v>
      </c>
      <c r="L930" s="19"/>
      <c r="M930" s="20" t="n">
        <v>5</v>
      </c>
      <c r="N930" s="19"/>
      <c r="O930" s="19"/>
      <c r="P930" s="19" t="s">
        <v>3098</v>
      </c>
      <c r="Q930" s="19" t="s">
        <v>1035</v>
      </c>
      <c r="R930" s="21" t="n">
        <v>45232</v>
      </c>
      <c r="S930" s="19" t="s">
        <v>2533</v>
      </c>
      <c r="T930" s="19" t="s">
        <v>3695</v>
      </c>
      <c r="U930" s="19" t="str">
        <f aca="false">HYPERLINK("https://macaulaylibrary.org/asset/615067010","Open")</f>
        <v>Open</v>
      </c>
      <c r="V930" s="19"/>
    </row>
    <row r="931" customFormat="false" ht="15" hidden="false" customHeight="false" outlineLevel="0" collapsed="false">
      <c r="A931" s="19" t="s">
        <v>3696</v>
      </c>
      <c r="B931" s="19" t="s">
        <v>943</v>
      </c>
      <c r="C931" s="19" t="s">
        <v>944</v>
      </c>
      <c r="D931" s="19" t="s">
        <v>148</v>
      </c>
      <c r="E931" s="19" t="s">
        <v>147</v>
      </c>
      <c r="F931" s="19" t="s">
        <v>252</v>
      </c>
      <c r="G931" s="19" t="n">
        <v>106</v>
      </c>
      <c r="H931" s="19" t="s">
        <v>253</v>
      </c>
      <c r="I931" s="20" t="n">
        <v>27.994</v>
      </c>
      <c r="J931" s="19" t="n">
        <f aca="false">IF(I931="","",MIN(Overview!$B$8,MAX(1,CEILING(I931/Overview!$B$7,1))))</f>
        <v>6</v>
      </c>
      <c r="K931" s="19" t="n">
        <v>1</v>
      </c>
      <c r="L931" s="19"/>
      <c r="M931" s="20" t="n">
        <v>4</v>
      </c>
      <c r="N931" s="19"/>
      <c r="O931" s="19"/>
      <c r="P931" s="19" t="s">
        <v>3094</v>
      </c>
      <c r="Q931" s="19" t="s">
        <v>2003</v>
      </c>
      <c r="R931" s="21" t="n">
        <v>45325</v>
      </c>
      <c r="S931" s="19" t="s">
        <v>1106</v>
      </c>
      <c r="T931" s="19" t="s">
        <v>3697</v>
      </c>
      <c r="U931" s="19" t="str">
        <f aca="false">HYPERLINK("https://macaulaylibrary.org/asset/615104023","Open")</f>
        <v>Open</v>
      </c>
      <c r="V931" s="19"/>
    </row>
    <row r="932" customFormat="false" ht="15" hidden="false" customHeight="false" outlineLevel="0" collapsed="false">
      <c r="A932" s="19" t="s">
        <v>3698</v>
      </c>
      <c r="B932" s="19" t="s">
        <v>943</v>
      </c>
      <c r="C932" s="19" t="s">
        <v>944</v>
      </c>
      <c r="D932" s="19" t="s">
        <v>148</v>
      </c>
      <c r="E932" s="19" t="s">
        <v>147</v>
      </c>
      <c r="F932" s="19" t="s">
        <v>252</v>
      </c>
      <c r="G932" s="19" t="n">
        <v>106</v>
      </c>
      <c r="H932" s="19" t="s">
        <v>253</v>
      </c>
      <c r="I932" s="20" t="n">
        <v>78.965</v>
      </c>
      <c r="J932" s="19" t="n">
        <f aca="false">IF(I932="","",MIN(Overview!$B$8,MAX(1,CEILING(I932/Overview!$B$7,1))))</f>
        <v>16</v>
      </c>
      <c r="K932" s="19" t="n">
        <v>1</v>
      </c>
      <c r="L932" s="19"/>
      <c r="M932" s="20" t="n">
        <v>3</v>
      </c>
      <c r="N932" s="19"/>
      <c r="O932" s="19"/>
      <c r="P932" s="19" t="s">
        <v>3699</v>
      </c>
      <c r="Q932" s="19" t="s">
        <v>1458</v>
      </c>
      <c r="R932" s="21" t="n">
        <v>45174</v>
      </c>
      <c r="S932" s="19" t="s">
        <v>3700</v>
      </c>
      <c r="T932" s="19" t="s">
        <v>3701</v>
      </c>
      <c r="U932" s="19" t="str">
        <f aca="false">HYPERLINK("https://macaulaylibrary.org/asset/618152042","Open")</f>
        <v>Open</v>
      </c>
      <c r="V932" s="19"/>
    </row>
    <row r="933" customFormat="false" ht="15" hidden="false" customHeight="false" outlineLevel="0" collapsed="false">
      <c r="A933" s="19" t="s">
        <v>3702</v>
      </c>
      <c r="B933" s="19" t="s">
        <v>943</v>
      </c>
      <c r="C933" s="19" t="s">
        <v>944</v>
      </c>
      <c r="D933" s="19" t="s">
        <v>148</v>
      </c>
      <c r="E933" s="19" t="s">
        <v>147</v>
      </c>
      <c r="F933" s="19" t="s">
        <v>252</v>
      </c>
      <c r="G933" s="19" t="n">
        <v>106</v>
      </c>
      <c r="H933" s="19" t="s">
        <v>253</v>
      </c>
      <c r="I933" s="20" t="n">
        <v>240</v>
      </c>
      <c r="J933" s="19" t="n">
        <f aca="false">IF(I933="","",MIN(Overview!$B$8,MAX(1,CEILING(I933/Overview!$B$7,1))))</f>
        <v>48</v>
      </c>
      <c r="K933" s="19" t="n">
        <v>1</v>
      </c>
      <c r="L933" s="19"/>
      <c r="M933" s="20" t="n">
        <v>3</v>
      </c>
      <c r="N933" s="19"/>
      <c r="O933" s="19"/>
      <c r="P933" s="19" t="s">
        <v>2532</v>
      </c>
      <c r="Q933" s="19" t="s">
        <v>1258</v>
      </c>
      <c r="R933" s="21" t="n">
        <v>45232</v>
      </c>
      <c r="S933" s="19" t="s">
        <v>2533</v>
      </c>
      <c r="T933" s="19" t="s">
        <v>3703</v>
      </c>
      <c r="U933" s="19" t="str">
        <f aca="false">HYPERLINK("https://macaulaylibrary.org/asset/621760400","Open")</f>
        <v>Open</v>
      </c>
      <c r="V933" s="19"/>
    </row>
    <row r="934" customFormat="false" ht="15" hidden="false" customHeight="false" outlineLevel="0" collapsed="false">
      <c r="A934" s="19" t="s">
        <v>3704</v>
      </c>
      <c r="B934" s="19" t="s">
        <v>943</v>
      </c>
      <c r="C934" s="19" t="s">
        <v>944</v>
      </c>
      <c r="D934" s="19" t="s">
        <v>148</v>
      </c>
      <c r="E934" s="19" t="s">
        <v>147</v>
      </c>
      <c r="F934" s="19" t="s">
        <v>252</v>
      </c>
      <c r="G934" s="19" t="n">
        <v>106</v>
      </c>
      <c r="H934" s="19" t="s">
        <v>253</v>
      </c>
      <c r="I934" s="20" t="n">
        <v>11.269</v>
      </c>
      <c r="J934" s="19" t="n">
        <f aca="false">IF(I934="","",MIN(Overview!$B$8,MAX(1,CEILING(I934/Overview!$B$7,1))))</f>
        <v>3</v>
      </c>
      <c r="K934" s="19" t="n">
        <v>1</v>
      </c>
      <c r="L934" s="19"/>
      <c r="M934" s="20" t="n">
        <v>3</v>
      </c>
      <c r="N934" s="19"/>
      <c r="O934" s="19"/>
      <c r="P934" s="19" t="s">
        <v>2901</v>
      </c>
      <c r="Q934" s="19" t="s">
        <v>1368</v>
      </c>
      <c r="R934" s="21" t="n">
        <v>45624</v>
      </c>
      <c r="S934" s="19" t="s">
        <v>1036</v>
      </c>
      <c r="T934" s="19" t="s">
        <v>3705</v>
      </c>
      <c r="U934" s="19" t="str">
        <f aca="false">HYPERLINK("https://macaulaylibrary.org/asset/628584414","Open")</f>
        <v>Open</v>
      </c>
      <c r="V934" s="19"/>
    </row>
    <row r="935" customFormat="false" ht="15" hidden="false" customHeight="false" outlineLevel="0" collapsed="false">
      <c r="A935" s="19" t="s">
        <v>3706</v>
      </c>
      <c r="B935" s="19" t="s">
        <v>943</v>
      </c>
      <c r="C935" s="19" t="s">
        <v>944</v>
      </c>
      <c r="D935" s="19" t="s">
        <v>148</v>
      </c>
      <c r="E935" s="19" t="s">
        <v>147</v>
      </c>
      <c r="F935" s="19" t="s">
        <v>252</v>
      </c>
      <c r="G935" s="19" t="n">
        <v>106</v>
      </c>
      <c r="H935" s="19" t="s">
        <v>253</v>
      </c>
      <c r="I935" s="20" t="n">
        <v>13.138</v>
      </c>
      <c r="J935" s="19" t="n">
        <f aca="false">IF(I935="","",MIN(Overview!$B$8,MAX(1,CEILING(I935/Overview!$B$7,1))))</f>
        <v>3</v>
      </c>
      <c r="K935" s="19" t="n">
        <v>1</v>
      </c>
      <c r="L935" s="19"/>
      <c r="M935" s="20" t="n">
        <v>3.5</v>
      </c>
      <c r="N935" s="19"/>
      <c r="O935" s="19"/>
      <c r="P935" s="19" t="s">
        <v>2901</v>
      </c>
      <c r="Q935" s="19" t="s">
        <v>1368</v>
      </c>
      <c r="R935" s="21" t="n">
        <v>45624</v>
      </c>
      <c r="S935" s="19" t="s">
        <v>1036</v>
      </c>
      <c r="T935" s="19" t="s">
        <v>3707</v>
      </c>
      <c r="U935" s="19" t="str">
        <f aca="false">HYPERLINK("https://macaulaylibrary.org/asset/628584415","Open")</f>
        <v>Open</v>
      </c>
      <c r="V935" s="19"/>
    </row>
    <row r="936" customFormat="false" ht="15" hidden="false" customHeight="false" outlineLevel="0" collapsed="false">
      <c r="A936" s="19" t="s">
        <v>3708</v>
      </c>
      <c r="B936" s="19" t="s">
        <v>943</v>
      </c>
      <c r="C936" s="19" t="s">
        <v>944</v>
      </c>
      <c r="D936" s="19" t="s">
        <v>148</v>
      </c>
      <c r="E936" s="19" t="s">
        <v>147</v>
      </c>
      <c r="F936" s="19" t="s">
        <v>252</v>
      </c>
      <c r="G936" s="19" t="n">
        <v>106</v>
      </c>
      <c r="H936" s="19" t="s">
        <v>253</v>
      </c>
      <c r="I936" s="20" t="n">
        <v>14.883</v>
      </c>
      <c r="J936" s="19" t="n">
        <f aca="false">IF(I936="","",MIN(Overview!$B$8,MAX(1,CEILING(I936/Overview!$B$7,1))))</f>
        <v>3</v>
      </c>
      <c r="K936" s="19" t="n">
        <v>1</v>
      </c>
      <c r="L936" s="19"/>
      <c r="M936" s="20"/>
      <c r="N936" s="19"/>
      <c r="O936" s="19"/>
      <c r="P936" s="19" t="s">
        <v>1674</v>
      </c>
      <c r="Q936" s="19" t="s">
        <v>1091</v>
      </c>
      <c r="R936" s="21" t="n">
        <v>45843</v>
      </c>
      <c r="S936" s="19" t="s">
        <v>1009</v>
      </c>
      <c r="T936" s="19" t="s">
        <v>3709</v>
      </c>
      <c r="U936" s="19" t="str">
        <f aca="false">HYPERLINK("https://macaulaylibrary.org/asset/639165012","Open")</f>
        <v>Open</v>
      </c>
      <c r="V936" s="19"/>
    </row>
    <row r="937" customFormat="false" ht="15" hidden="false" customHeight="false" outlineLevel="0" collapsed="false">
      <c r="A937" s="19" t="s">
        <v>3710</v>
      </c>
      <c r="B937" s="19" t="s">
        <v>943</v>
      </c>
      <c r="C937" s="19" t="s">
        <v>944</v>
      </c>
      <c r="D937" s="19" t="s">
        <v>400</v>
      </c>
      <c r="E937" s="19" t="s">
        <v>147</v>
      </c>
      <c r="F937" s="19" t="s">
        <v>655</v>
      </c>
      <c r="G937" s="19" t="n">
        <v>107</v>
      </c>
      <c r="H937" s="19" t="s">
        <v>656</v>
      </c>
      <c r="I937" s="20" t="n">
        <v>14.912</v>
      </c>
      <c r="J937" s="19" t="n">
        <f aca="false">IF(I937="","",MIN(Overview!$B$8,MAX(1,CEILING(I937/Overview!$B$7,1))))</f>
        <v>3</v>
      </c>
      <c r="K937" s="19" t="n">
        <v>1</v>
      </c>
      <c r="L937" s="19"/>
      <c r="M937" s="20" t="n">
        <v>2.88</v>
      </c>
      <c r="N937" s="19"/>
      <c r="O937" s="19"/>
      <c r="P937" s="19" t="s">
        <v>1143</v>
      </c>
      <c r="Q937" s="19" t="s">
        <v>965</v>
      </c>
      <c r="R937" s="21" t="n">
        <v>44548</v>
      </c>
      <c r="S937" s="19" t="s">
        <v>1144</v>
      </c>
      <c r="T937" s="19" t="s">
        <v>3711</v>
      </c>
      <c r="U937" s="19" t="str">
        <f aca="false">HYPERLINK("https://macaulaylibrary.org/asset/398719601","Open")</f>
        <v>Open</v>
      </c>
      <c r="V937" s="19"/>
    </row>
    <row r="938" customFormat="false" ht="15" hidden="false" customHeight="false" outlineLevel="0" collapsed="false">
      <c r="A938" s="19" t="s">
        <v>3712</v>
      </c>
      <c r="B938" s="19" t="s">
        <v>943</v>
      </c>
      <c r="C938" s="19" t="s">
        <v>944</v>
      </c>
      <c r="D938" s="19" t="s">
        <v>400</v>
      </c>
      <c r="E938" s="19" t="s">
        <v>147</v>
      </c>
      <c r="F938" s="19" t="s">
        <v>655</v>
      </c>
      <c r="G938" s="19" t="n">
        <v>107</v>
      </c>
      <c r="H938" s="19" t="s">
        <v>656</v>
      </c>
      <c r="I938" s="20" t="n">
        <v>81.512</v>
      </c>
      <c r="J938" s="19" t="n">
        <f aca="false">IF(I938="","",MIN(Overview!$B$8,MAX(1,CEILING(I938/Overview!$B$7,1))))</f>
        <v>17</v>
      </c>
      <c r="K938" s="19" t="n">
        <v>1</v>
      </c>
      <c r="L938" s="19"/>
      <c r="M938" s="20" t="n">
        <v>2.71</v>
      </c>
      <c r="N938" s="19"/>
      <c r="O938" s="19"/>
      <c r="P938" s="19" t="s">
        <v>1208</v>
      </c>
      <c r="Q938" s="19" t="s">
        <v>980</v>
      </c>
      <c r="R938" s="21" t="n">
        <v>33297</v>
      </c>
      <c r="S938" s="19" t="s">
        <v>1002</v>
      </c>
      <c r="T938" s="19" t="s">
        <v>3713</v>
      </c>
      <c r="U938" s="19" t="str">
        <f aca="false">HYPERLINK("https://macaulaylibrary.org/asset/72623","Open")</f>
        <v>Open</v>
      </c>
      <c r="V938" s="19"/>
    </row>
    <row r="939" customFormat="false" ht="15" hidden="false" customHeight="false" outlineLevel="0" collapsed="false">
      <c r="A939" s="19" t="s">
        <v>3714</v>
      </c>
      <c r="B939" s="19" t="s">
        <v>943</v>
      </c>
      <c r="C939" s="19" t="s">
        <v>944</v>
      </c>
      <c r="D939" s="19" t="s">
        <v>400</v>
      </c>
      <c r="E939" s="19" t="s">
        <v>147</v>
      </c>
      <c r="F939" s="19" t="s">
        <v>607</v>
      </c>
      <c r="G939" s="19" t="n">
        <v>108</v>
      </c>
      <c r="H939" s="19" t="s">
        <v>608</v>
      </c>
      <c r="I939" s="20" t="n">
        <v>162.79</v>
      </c>
      <c r="J939" s="19" t="n">
        <f aca="false">IF(I939="","",MIN(Overview!$B$8,MAX(1,CEILING(I939/Overview!$B$7,1))))</f>
        <v>33</v>
      </c>
      <c r="K939" s="19" t="n">
        <v>1</v>
      </c>
      <c r="L939" s="19"/>
      <c r="M939" s="20" t="n">
        <v>2.2</v>
      </c>
      <c r="N939" s="19"/>
      <c r="O939" s="19"/>
      <c r="P939" s="19" t="s">
        <v>3433</v>
      </c>
      <c r="Q939" s="19" t="s">
        <v>2343</v>
      </c>
      <c r="R939" s="21" t="n">
        <v>31504</v>
      </c>
      <c r="S939" s="19" t="s">
        <v>1404</v>
      </c>
      <c r="T939" s="19" t="s">
        <v>3715</v>
      </c>
      <c r="U939" s="19" t="str">
        <f aca="false">HYPERLINK("https://macaulaylibrary.org/asset/249429","Open")</f>
        <v>Open</v>
      </c>
      <c r="V939" s="19"/>
    </row>
    <row r="940" customFormat="false" ht="15" hidden="false" customHeight="false" outlineLevel="0" collapsed="false">
      <c r="A940" s="19" t="s">
        <v>3716</v>
      </c>
      <c r="B940" s="19" t="s">
        <v>943</v>
      </c>
      <c r="C940" s="19" t="s">
        <v>944</v>
      </c>
      <c r="D940" s="19" t="s">
        <v>400</v>
      </c>
      <c r="E940" s="19" t="s">
        <v>147</v>
      </c>
      <c r="F940" s="19" t="s">
        <v>607</v>
      </c>
      <c r="G940" s="19" t="n">
        <v>108</v>
      </c>
      <c r="H940" s="19" t="s">
        <v>608</v>
      </c>
      <c r="I940" s="20" t="n">
        <v>31.296</v>
      </c>
      <c r="J940" s="19" t="n">
        <f aca="false">IF(I940="","",MIN(Overview!$B$8,MAX(1,CEILING(I940/Overview!$B$7,1))))</f>
        <v>7</v>
      </c>
      <c r="K940" s="19" t="n">
        <v>1</v>
      </c>
      <c r="L940" s="19"/>
      <c r="M940" s="20" t="n">
        <v>2</v>
      </c>
      <c r="N940" s="19"/>
      <c r="O940" s="19"/>
      <c r="P940" s="19" t="s">
        <v>3717</v>
      </c>
      <c r="Q940" s="19" t="s">
        <v>2343</v>
      </c>
      <c r="R940" s="21" t="n">
        <v>31505</v>
      </c>
      <c r="S940" s="19" t="s">
        <v>2787</v>
      </c>
      <c r="T940" s="19" t="s">
        <v>3718</v>
      </c>
      <c r="U940" s="19" t="str">
        <f aca="false">HYPERLINK("https://macaulaylibrary.org/asset/249446","Open")</f>
        <v>Open</v>
      </c>
      <c r="V940" s="19"/>
    </row>
    <row r="941" customFormat="false" ht="15" hidden="false" customHeight="false" outlineLevel="0" collapsed="false">
      <c r="A941" s="19" t="s">
        <v>3719</v>
      </c>
      <c r="B941" s="19" t="s">
        <v>943</v>
      </c>
      <c r="C941" s="19" t="s">
        <v>944</v>
      </c>
      <c r="D941" s="19" t="s">
        <v>400</v>
      </c>
      <c r="E941" s="19" t="s">
        <v>147</v>
      </c>
      <c r="F941" s="19" t="s">
        <v>607</v>
      </c>
      <c r="G941" s="19" t="n">
        <v>108</v>
      </c>
      <c r="H941" s="19" t="s">
        <v>608</v>
      </c>
      <c r="I941" s="20" t="n">
        <v>18.345</v>
      </c>
      <c r="J941" s="19" t="n">
        <f aca="false">IF(I941="","",MIN(Overview!$B$8,MAX(1,CEILING(I941/Overview!$B$7,1))))</f>
        <v>4</v>
      </c>
      <c r="K941" s="19" t="n">
        <v>1</v>
      </c>
      <c r="L941" s="19"/>
      <c r="M941" s="20" t="n">
        <v>5</v>
      </c>
      <c r="N941" s="19"/>
      <c r="O941" s="19"/>
      <c r="P941" s="19" t="s">
        <v>1787</v>
      </c>
      <c r="Q941" s="19" t="s">
        <v>1408</v>
      </c>
      <c r="R941" s="21" t="n">
        <v>32588</v>
      </c>
      <c r="S941" s="19" t="s">
        <v>1369</v>
      </c>
      <c r="T941" s="19" t="s">
        <v>3720</v>
      </c>
      <c r="U941" s="19" t="str">
        <f aca="false">HYPERLINK("https://macaulaylibrary.org/asset/348001711","Open")</f>
        <v>Open</v>
      </c>
      <c r="V941" s="19"/>
    </row>
    <row r="942" customFormat="false" ht="15" hidden="false" customHeight="false" outlineLevel="0" collapsed="false">
      <c r="A942" s="19" t="s">
        <v>3721</v>
      </c>
      <c r="B942" s="19" t="s">
        <v>943</v>
      </c>
      <c r="C942" s="19" t="s">
        <v>944</v>
      </c>
      <c r="D942" s="19" t="s">
        <v>400</v>
      </c>
      <c r="E942" s="19" t="s">
        <v>147</v>
      </c>
      <c r="F942" s="19" t="s">
        <v>717</v>
      </c>
      <c r="G942" s="19" t="n">
        <v>110</v>
      </c>
      <c r="H942" s="19" t="s">
        <v>718</v>
      </c>
      <c r="I942" s="20" t="n">
        <v>13.995</v>
      </c>
      <c r="J942" s="19" t="n">
        <f aca="false">IF(I942="","",MIN(Overview!$B$8,MAX(1,CEILING(I942/Overview!$B$7,1))))</f>
        <v>3</v>
      </c>
      <c r="K942" s="19" t="n">
        <v>1</v>
      </c>
      <c r="L942" s="19"/>
      <c r="M942" s="20" t="n">
        <v>5</v>
      </c>
      <c r="N942" s="19"/>
      <c r="O942" s="19"/>
      <c r="P942" s="19" t="s">
        <v>3538</v>
      </c>
      <c r="Q942" s="19" t="s">
        <v>965</v>
      </c>
      <c r="R942" s="21" t="n">
        <v>43814</v>
      </c>
      <c r="S942" s="19" t="s">
        <v>1578</v>
      </c>
      <c r="T942" s="19" t="s">
        <v>3722</v>
      </c>
      <c r="U942" s="19" t="str">
        <f aca="false">HYPERLINK("https://macaulaylibrary.org/asset/193423241","Open")</f>
        <v>Open</v>
      </c>
      <c r="V942" s="19"/>
    </row>
    <row r="943" customFormat="false" ht="15" hidden="false" customHeight="false" outlineLevel="0" collapsed="false">
      <c r="A943" s="19" t="s">
        <v>3723</v>
      </c>
      <c r="B943" s="19" t="s">
        <v>943</v>
      </c>
      <c r="C943" s="19" t="s">
        <v>944</v>
      </c>
      <c r="D943" s="19" t="s">
        <v>400</v>
      </c>
      <c r="E943" s="19" t="s">
        <v>147</v>
      </c>
      <c r="F943" s="19" t="s">
        <v>538</v>
      </c>
      <c r="G943" s="19" t="n">
        <v>111</v>
      </c>
      <c r="H943" s="19" t="s">
        <v>539</v>
      </c>
      <c r="I943" s="20" t="n">
        <v>29.312</v>
      </c>
      <c r="J943" s="19" t="n">
        <f aca="false">IF(I943="","",MIN(Overview!$B$8,MAX(1,CEILING(I943/Overview!$B$7,1))))</f>
        <v>6</v>
      </c>
      <c r="K943" s="19" t="n">
        <v>1</v>
      </c>
      <c r="L943" s="19"/>
      <c r="M943" s="20" t="n">
        <v>3</v>
      </c>
      <c r="N943" s="19"/>
      <c r="O943" s="19"/>
      <c r="P943" s="19" t="s">
        <v>3195</v>
      </c>
      <c r="Q943" s="19" t="s">
        <v>965</v>
      </c>
      <c r="R943" s="21" t="n">
        <v>43813</v>
      </c>
      <c r="S943" s="19" t="s">
        <v>3196</v>
      </c>
      <c r="T943" s="19" t="s">
        <v>3724</v>
      </c>
      <c r="U943" s="19" t="str">
        <f aca="false">HYPERLINK("https://macaulaylibrary.org/asset/193418441","Open")</f>
        <v>Open</v>
      </c>
      <c r="V943" s="19"/>
    </row>
    <row r="944" customFormat="false" ht="15" hidden="false" customHeight="false" outlineLevel="0" collapsed="false">
      <c r="A944" s="19" t="s">
        <v>3725</v>
      </c>
      <c r="B944" s="19" t="s">
        <v>943</v>
      </c>
      <c r="C944" s="19" t="s">
        <v>944</v>
      </c>
      <c r="D944" s="19" t="s">
        <v>400</v>
      </c>
      <c r="E944" s="19" t="s">
        <v>147</v>
      </c>
      <c r="F944" s="19" t="s">
        <v>538</v>
      </c>
      <c r="G944" s="19" t="n">
        <v>111</v>
      </c>
      <c r="H944" s="19" t="s">
        <v>539</v>
      </c>
      <c r="I944" s="20" t="n">
        <v>27.051</v>
      </c>
      <c r="J944" s="19" t="n">
        <f aca="false">IF(I944="","",MIN(Overview!$B$8,MAX(1,CEILING(I944/Overview!$B$7,1))))</f>
        <v>6</v>
      </c>
      <c r="K944" s="19" t="n">
        <v>1</v>
      </c>
      <c r="L944" s="19"/>
      <c r="M944" s="20" t="n">
        <v>5</v>
      </c>
      <c r="N944" s="19"/>
      <c r="O944" s="19"/>
      <c r="P944" s="19" t="s">
        <v>3147</v>
      </c>
      <c r="Q944" s="19" t="s">
        <v>965</v>
      </c>
      <c r="R944" s="21" t="n">
        <v>44184</v>
      </c>
      <c r="S944" s="19" t="s">
        <v>1137</v>
      </c>
      <c r="T944" s="19" t="s">
        <v>3726</v>
      </c>
      <c r="U944" s="19" t="str">
        <f aca="false">HYPERLINK("https://macaulaylibrary.org/asset/289818391","Open")</f>
        <v>Open</v>
      </c>
      <c r="V944" s="19"/>
    </row>
    <row r="945" customFormat="false" ht="15" hidden="false" customHeight="false" outlineLevel="0" collapsed="false">
      <c r="A945" s="19" t="s">
        <v>3727</v>
      </c>
      <c r="B945" s="19" t="s">
        <v>943</v>
      </c>
      <c r="C945" s="19" t="s">
        <v>944</v>
      </c>
      <c r="D945" s="19" t="s">
        <v>400</v>
      </c>
      <c r="E945" s="19" t="s">
        <v>147</v>
      </c>
      <c r="F945" s="19" t="s">
        <v>538</v>
      </c>
      <c r="G945" s="19" t="n">
        <v>111</v>
      </c>
      <c r="H945" s="19" t="s">
        <v>539</v>
      </c>
      <c r="I945" s="20" t="n">
        <v>11.159</v>
      </c>
      <c r="J945" s="19" t="n">
        <f aca="false">IF(I945="","",MIN(Overview!$B$8,MAX(1,CEILING(I945/Overview!$B$7,1))))</f>
        <v>3</v>
      </c>
      <c r="K945" s="19" t="n">
        <v>1</v>
      </c>
      <c r="L945" s="19"/>
      <c r="M945" s="20" t="n">
        <v>3</v>
      </c>
      <c r="N945" s="19"/>
      <c r="O945" s="19"/>
      <c r="P945" s="19" t="s">
        <v>3728</v>
      </c>
      <c r="Q945" s="19" t="s">
        <v>990</v>
      </c>
      <c r="R945" s="21" t="n">
        <v>44184</v>
      </c>
      <c r="S945" s="19" t="s">
        <v>1137</v>
      </c>
      <c r="T945" s="19" t="s">
        <v>3729</v>
      </c>
      <c r="U945" s="19" t="str">
        <f aca="false">HYPERLINK("https://macaulaylibrary.org/asset/358804331","Open")</f>
        <v>Open</v>
      </c>
      <c r="V945" s="19"/>
    </row>
    <row r="946" customFormat="false" ht="15" hidden="false" customHeight="false" outlineLevel="0" collapsed="false">
      <c r="A946" s="19" t="s">
        <v>3730</v>
      </c>
      <c r="B946" s="19" t="s">
        <v>943</v>
      </c>
      <c r="C946" s="19" t="s">
        <v>944</v>
      </c>
      <c r="D946" s="19" t="s">
        <v>400</v>
      </c>
      <c r="E946" s="19" t="s">
        <v>147</v>
      </c>
      <c r="F946" s="19" t="s">
        <v>538</v>
      </c>
      <c r="G946" s="19" t="n">
        <v>111</v>
      </c>
      <c r="H946" s="19" t="s">
        <v>539</v>
      </c>
      <c r="I946" s="20" t="n">
        <v>15.68</v>
      </c>
      <c r="J946" s="19" t="n">
        <f aca="false">IF(I946="","",MIN(Overview!$B$8,MAX(1,CEILING(I946/Overview!$B$7,1))))</f>
        <v>4</v>
      </c>
      <c r="K946" s="19" t="n">
        <v>1</v>
      </c>
      <c r="L946" s="19"/>
      <c r="M946" s="20"/>
      <c r="N946" s="19"/>
      <c r="O946" s="19"/>
      <c r="P946" s="19" t="s">
        <v>1143</v>
      </c>
      <c r="Q946" s="19" t="s">
        <v>965</v>
      </c>
      <c r="R946" s="21" t="n">
        <v>44548</v>
      </c>
      <c r="S946" s="19" t="s">
        <v>1144</v>
      </c>
      <c r="T946" s="19" t="s">
        <v>3731</v>
      </c>
      <c r="U946" s="19" t="str">
        <f aca="false">HYPERLINK("https://macaulaylibrary.org/asset/398719541","Open")</f>
        <v>Open</v>
      </c>
      <c r="V946" s="19"/>
    </row>
    <row r="947" customFormat="false" ht="15" hidden="false" customHeight="false" outlineLevel="0" collapsed="false">
      <c r="A947" s="19" t="s">
        <v>3732</v>
      </c>
      <c r="B947" s="19" t="s">
        <v>943</v>
      </c>
      <c r="C947" s="19" t="s">
        <v>944</v>
      </c>
      <c r="D947" s="19" t="s">
        <v>400</v>
      </c>
      <c r="E947" s="19" t="s">
        <v>147</v>
      </c>
      <c r="F947" s="19" t="s">
        <v>538</v>
      </c>
      <c r="G947" s="19" t="n">
        <v>111</v>
      </c>
      <c r="H947" s="19" t="s">
        <v>539</v>
      </c>
      <c r="I947" s="20" t="n">
        <v>52.76</v>
      </c>
      <c r="J947" s="19" t="n">
        <f aca="false">IF(I947="","",MIN(Overview!$B$8,MAX(1,CEILING(I947/Overview!$B$7,1))))</f>
        <v>11</v>
      </c>
      <c r="K947" s="19" t="n">
        <v>1</v>
      </c>
      <c r="L947" s="19"/>
      <c r="M947" s="20"/>
      <c r="N947" s="19"/>
      <c r="O947" s="19"/>
      <c r="P947" s="19" t="s">
        <v>2698</v>
      </c>
      <c r="Q947" s="19" t="s">
        <v>1310</v>
      </c>
      <c r="R947" s="21" t="n">
        <v>44938</v>
      </c>
      <c r="S947" s="19" t="s">
        <v>966</v>
      </c>
      <c r="T947" s="19" t="s">
        <v>3733</v>
      </c>
      <c r="U947" s="19" t="str">
        <f aca="false">HYPERLINK("https://macaulaylibrary.org/asset/612715142","Open")</f>
        <v>Open</v>
      </c>
      <c r="V947" s="19"/>
    </row>
    <row r="948" customFormat="false" ht="15" hidden="false" customHeight="false" outlineLevel="0" collapsed="false">
      <c r="A948" s="19" t="s">
        <v>3734</v>
      </c>
      <c r="B948" s="19" t="s">
        <v>943</v>
      </c>
      <c r="C948" s="19" t="s">
        <v>944</v>
      </c>
      <c r="D948" s="19" t="s">
        <v>148</v>
      </c>
      <c r="E948" s="19" t="s">
        <v>147</v>
      </c>
      <c r="F948" s="19" t="s">
        <v>243</v>
      </c>
      <c r="G948" s="19" t="n">
        <v>112</v>
      </c>
      <c r="H948" s="19" t="s">
        <v>244</v>
      </c>
      <c r="I948" s="20" t="n">
        <v>17.066</v>
      </c>
      <c r="J948" s="19" t="n">
        <f aca="false">IF(I948="","",MIN(Overview!$B$8,MAX(1,CEILING(I948/Overview!$B$7,1))))</f>
        <v>4</v>
      </c>
      <c r="K948" s="19" t="n">
        <v>1</v>
      </c>
      <c r="L948" s="19"/>
      <c r="M948" s="20" t="n">
        <v>1</v>
      </c>
      <c r="N948" s="19"/>
      <c r="O948" s="19"/>
      <c r="P948" s="19" t="s">
        <v>2916</v>
      </c>
      <c r="Q948" s="19" t="s">
        <v>2235</v>
      </c>
      <c r="R948" s="21" t="n">
        <v>43469</v>
      </c>
      <c r="S948" s="19" t="s">
        <v>1484</v>
      </c>
      <c r="T948" s="19" t="s">
        <v>3735</v>
      </c>
      <c r="U948" s="19" t="str">
        <f aca="false">HYPERLINK("https://macaulaylibrary.org/asset/137859791","Open")</f>
        <v>Open</v>
      </c>
      <c r="V948" s="19"/>
    </row>
    <row r="949" customFormat="false" ht="15" hidden="false" customHeight="false" outlineLevel="0" collapsed="false">
      <c r="A949" s="19" t="s">
        <v>3736</v>
      </c>
      <c r="B949" s="19" t="s">
        <v>943</v>
      </c>
      <c r="C949" s="19" t="s">
        <v>944</v>
      </c>
      <c r="D949" s="19" t="s">
        <v>148</v>
      </c>
      <c r="E949" s="19" t="s">
        <v>147</v>
      </c>
      <c r="F949" s="19" t="s">
        <v>243</v>
      </c>
      <c r="G949" s="19" t="n">
        <v>112</v>
      </c>
      <c r="H949" s="19" t="s">
        <v>244</v>
      </c>
      <c r="I949" s="20" t="n">
        <v>124.313</v>
      </c>
      <c r="J949" s="19" t="n">
        <f aca="false">IF(I949="","",MIN(Overview!$B$8,MAX(1,CEILING(I949/Overview!$B$7,1))))</f>
        <v>25</v>
      </c>
      <c r="K949" s="19" t="n">
        <v>1</v>
      </c>
      <c r="L949" s="19"/>
      <c r="M949" s="20" t="n">
        <v>3.2</v>
      </c>
      <c r="N949" s="19"/>
      <c r="O949" s="19"/>
      <c r="P949" s="19" t="s">
        <v>1752</v>
      </c>
      <c r="Q949" s="19" t="s">
        <v>980</v>
      </c>
      <c r="R949" s="21" t="n">
        <v>35208</v>
      </c>
      <c r="S949" s="19" t="s">
        <v>3737</v>
      </c>
      <c r="T949" s="19" t="s">
        <v>3738</v>
      </c>
      <c r="U949" s="19" t="str">
        <f aca="false">HYPERLINK("https://macaulaylibrary.org/asset/184782","Open")</f>
        <v>Open</v>
      </c>
      <c r="V949" s="19"/>
    </row>
    <row r="950" customFormat="false" ht="15" hidden="false" customHeight="false" outlineLevel="0" collapsed="false">
      <c r="A950" s="19" t="s">
        <v>3739</v>
      </c>
      <c r="B950" s="19" t="s">
        <v>943</v>
      </c>
      <c r="C950" s="19" t="s">
        <v>944</v>
      </c>
      <c r="D950" s="19" t="s">
        <v>148</v>
      </c>
      <c r="E950" s="19" t="s">
        <v>147</v>
      </c>
      <c r="F950" s="19" t="s">
        <v>243</v>
      </c>
      <c r="G950" s="19" t="n">
        <v>112</v>
      </c>
      <c r="H950" s="19" t="s">
        <v>244</v>
      </c>
      <c r="I950" s="20" t="n">
        <v>430.244</v>
      </c>
      <c r="J950" s="19" t="n">
        <f aca="false">IF(I950="","",MIN(Overview!$B$8,MAX(1,CEILING(I950/Overview!$B$7,1))))</f>
        <v>87</v>
      </c>
      <c r="K950" s="19" t="n">
        <v>1</v>
      </c>
      <c r="L950" s="19"/>
      <c r="M950" s="20" t="n">
        <v>3</v>
      </c>
      <c r="N950" s="19"/>
      <c r="O950" s="19"/>
      <c r="P950" s="19" t="s">
        <v>1058</v>
      </c>
      <c r="Q950" s="19" t="s">
        <v>980</v>
      </c>
      <c r="R950" s="21" t="n">
        <v>32555</v>
      </c>
      <c r="S950" s="19" t="s">
        <v>3740</v>
      </c>
      <c r="T950" s="19" t="s">
        <v>3741</v>
      </c>
      <c r="U950" s="19" t="str">
        <f aca="false">HYPERLINK("https://macaulaylibrary.org/asset/215351","Open")</f>
        <v>Open</v>
      </c>
      <c r="V950" s="19"/>
    </row>
    <row r="951" customFormat="false" ht="15" hidden="false" customHeight="false" outlineLevel="0" collapsed="false">
      <c r="A951" s="19" t="s">
        <v>3742</v>
      </c>
      <c r="B951" s="19" t="s">
        <v>943</v>
      </c>
      <c r="C951" s="19" t="s">
        <v>944</v>
      </c>
      <c r="D951" s="19" t="s">
        <v>148</v>
      </c>
      <c r="E951" s="19" t="s">
        <v>147</v>
      </c>
      <c r="F951" s="19" t="s">
        <v>243</v>
      </c>
      <c r="G951" s="19" t="n">
        <v>112</v>
      </c>
      <c r="H951" s="19" t="s">
        <v>244</v>
      </c>
      <c r="I951" s="20" t="n">
        <v>56.37</v>
      </c>
      <c r="J951" s="19" t="n">
        <f aca="false">IF(I951="","",MIN(Overview!$B$8,MAX(1,CEILING(I951/Overview!$B$7,1))))</f>
        <v>12</v>
      </c>
      <c r="K951" s="19" t="n">
        <v>1</v>
      </c>
      <c r="L951" s="19"/>
      <c r="M951" s="20" t="n">
        <v>3</v>
      </c>
      <c r="N951" s="19"/>
      <c r="O951" s="19"/>
      <c r="P951" s="19" t="s">
        <v>1058</v>
      </c>
      <c r="Q951" s="19" t="s">
        <v>980</v>
      </c>
      <c r="R951" s="21" t="n">
        <v>32555</v>
      </c>
      <c r="S951" s="19" t="s">
        <v>2500</v>
      </c>
      <c r="T951" s="19" t="s">
        <v>3743</v>
      </c>
      <c r="U951" s="19" t="str">
        <f aca="false">HYPERLINK("https://macaulaylibrary.org/asset/215353","Open")</f>
        <v>Open</v>
      </c>
      <c r="V951" s="19"/>
    </row>
    <row r="952" customFormat="false" ht="15" hidden="false" customHeight="false" outlineLevel="0" collapsed="false">
      <c r="A952" s="19" t="s">
        <v>3744</v>
      </c>
      <c r="B952" s="19" t="s">
        <v>943</v>
      </c>
      <c r="C952" s="19" t="s">
        <v>944</v>
      </c>
      <c r="D952" s="19" t="s">
        <v>148</v>
      </c>
      <c r="E952" s="19" t="s">
        <v>147</v>
      </c>
      <c r="F952" s="19" t="s">
        <v>243</v>
      </c>
      <c r="G952" s="19" t="n">
        <v>112</v>
      </c>
      <c r="H952" s="19" t="s">
        <v>244</v>
      </c>
      <c r="I952" s="20" t="n">
        <v>165.128</v>
      </c>
      <c r="J952" s="19" t="n">
        <f aca="false">IF(I952="","",MIN(Overview!$B$8,MAX(1,CEILING(I952/Overview!$B$7,1))))</f>
        <v>34</v>
      </c>
      <c r="K952" s="19" t="n">
        <v>1</v>
      </c>
      <c r="L952" s="19"/>
      <c r="M952" s="20" t="n">
        <v>3</v>
      </c>
      <c r="N952" s="19"/>
      <c r="O952" s="19"/>
      <c r="P952" s="19" t="s">
        <v>1125</v>
      </c>
      <c r="Q952" s="19" t="s">
        <v>980</v>
      </c>
      <c r="R952" s="21" t="n">
        <v>32557</v>
      </c>
      <c r="S952" s="19" t="s">
        <v>2272</v>
      </c>
      <c r="T952" s="19" t="s">
        <v>3745</v>
      </c>
      <c r="U952" s="19" t="str">
        <f aca="false">HYPERLINK("https://macaulaylibrary.org/asset/215390","Open")</f>
        <v>Open</v>
      </c>
      <c r="V952" s="19"/>
    </row>
    <row r="953" customFormat="false" ht="15" hidden="false" customHeight="false" outlineLevel="0" collapsed="false">
      <c r="A953" s="19" t="s">
        <v>3746</v>
      </c>
      <c r="B953" s="19" t="s">
        <v>943</v>
      </c>
      <c r="C953" s="19" t="s">
        <v>944</v>
      </c>
      <c r="D953" s="19" t="s">
        <v>148</v>
      </c>
      <c r="E953" s="19" t="s">
        <v>147</v>
      </c>
      <c r="F953" s="19" t="s">
        <v>243</v>
      </c>
      <c r="G953" s="19" t="n">
        <v>112</v>
      </c>
      <c r="H953" s="19" t="s">
        <v>244</v>
      </c>
      <c r="I953" s="20" t="n">
        <v>12.655</v>
      </c>
      <c r="J953" s="19" t="n">
        <f aca="false">IF(I953="","",MIN(Overview!$B$8,MAX(1,CEILING(I953/Overview!$B$7,1))))</f>
        <v>3</v>
      </c>
      <c r="K953" s="19" t="n">
        <v>1</v>
      </c>
      <c r="L953" s="19"/>
      <c r="M953" s="20" t="n">
        <v>3</v>
      </c>
      <c r="N953" s="19"/>
      <c r="O953" s="19"/>
      <c r="P953" s="19" t="s">
        <v>1029</v>
      </c>
      <c r="Q953" s="19" t="s">
        <v>1030</v>
      </c>
      <c r="R953" s="21" t="n">
        <v>40251</v>
      </c>
      <c r="S953" s="19" t="s">
        <v>1009</v>
      </c>
      <c r="T953" s="19" t="s">
        <v>3747</v>
      </c>
      <c r="U953" s="19" t="str">
        <f aca="false">HYPERLINK("https://macaulaylibrary.org/asset/299615","Open")</f>
        <v>Open</v>
      </c>
      <c r="V953" s="19"/>
    </row>
    <row r="954" customFormat="false" ht="15" hidden="false" customHeight="false" outlineLevel="0" collapsed="false">
      <c r="A954" s="19" t="s">
        <v>3748</v>
      </c>
      <c r="B954" s="19" t="s">
        <v>943</v>
      </c>
      <c r="C954" s="19" t="s">
        <v>944</v>
      </c>
      <c r="D954" s="19" t="s">
        <v>148</v>
      </c>
      <c r="E954" s="19" t="s">
        <v>147</v>
      </c>
      <c r="F954" s="19" t="s">
        <v>243</v>
      </c>
      <c r="G954" s="19" t="n">
        <v>112</v>
      </c>
      <c r="H954" s="19" t="s">
        <v>244</v>
      </c>
      <c r="I954" s="20" t="n">
        <v>10.031</v>
      </c>
      <c r="J954" s="19" t="n">
        <f aca="false">IF(I954="","",MIN(Overview!$B$8,MAX(1,CEILING(I954/Overview!$B$7,1))))</f>
        <v>3</v>
      </c>
      <c r="K954" s="19" t="n">
        <v>1</v>
      </c>
      <c r="L954" s="19"/>
      <c r="M954" s="20" t="n">
        <v>2</v>
      </c>
      <c r="N954" s="19"/>
      <c r="O954" s="19"/>
      <c r="P954" s="19" t="s">
        <v>3749</v>
      </c>
      <c r="Q954" s="19" t="s">
        <v>1596</v>
      </c>
      <c r="R954" s="21" t="n">
        <v>44700</v>
      </c>
      <c r="S954" s="19" t="s">
        <v>3750</v>
      </c>
      <c r="T954" s="19" t="s">
        <v>3751</v>
      </c>
      <c r="U954" s="19" t="str">
        <f aca="false">HYPERLINK("https://macaulaylibrary.org/asset/458621941","Open")</f>
        <v>Open</v>
      </c>
      <c r="V954" s="19"/>
    </row>
    <row r="955" customFormat="false" ht="15" hidden="false" customHeight="false" outlineLevel="0" collapsed="false">
      <c r="A955" s="19" t="s">
        <v>3752</v>
      </c>
      <c r="B955" s="19" t="s">
        <v>943</v>
      </c>
      <c r="C955" s="19" t="s">
        <v>944</v>
      </c>
      <c r="D955" s="19" t="s">
        <v>148</v>
      </c>
      <c r="E955" s="19" t="s">
        <v>147</v>
      </c>
      <c r="F955" s="19" t="s">
        <v>243</v>
      </c>
      <c r="G955" s="19" t="n">
        <v>112</v>
      </c>
      <c r="H955" s="19" t="s">
        <v>244</v>
      </c>
      <c r="I955" s="20" t="n">
        <v>14.94</v>
      </c>
      <c r="J955" s="19" t="n">
        <f aca="false">IF(I955="","",MIN(Overview!$B$8,MAX(1,CEILING(I955/Overview!$B$7,1))))</f>
        <v>3</v>
      </c>
      <c r="K955" s="19" t="n">
        <v>1</v>
      </c>
      <c r="L955" s="19"/>
      <c r="M955" s="20" t="n">
        <v>3</v>
      </c>
      <c r="N955" s="19"/>
      <c r="O955" s="19"/>
      <c r="P955" s="19" t="s">
        <v>1039</v>
      </c>
      <c r="Q955" s="19" t="s">
        <v>1040</v>
      </c>
      <c r="R955" s="21" t="n">
        <v>40901</v>
      </c>
      <c r="S955" s="19" t="s">
        <v>1002</v>
      </c>
      <c r="T955" s="19" t="s">
        <v>3753</v>
      </c>
      <c r="U955" s="19" t="str">
        <f aca="false">HYPERLINK("https://macaulaylibrary.org/asset/609056488","Open")</f>
        <v>Open</v>
      </c>
      <c r="V955" s="19"/>
    </row>
    <row r="956" customFormat="false" ht="15" hidden="false" customHeight="false" outlineLevel="0" collapsed="false">
      <c r="A956" s="19" t="s">
        <v>3754</v>
      </c>
      <c r="B956" s="19" t="s">
        <v>943</v>
      </c>
      <c r="C956" s="19" t="s">
        <v>944</v>
      </c>
      <c r="D956" s="19" t="s">
        <v>148</v>
      </c>
      <c r="E956" s="19" t="s">
        <v>147</v>
      </c>
      <c r="F956" s="19" t="s">
        <v>243</v>
      </c>
      <c r="G956" s="19" t="n">
        <v>112</v>
      </c>
      <c r="H956" s="19" t="s">
        <v>244</v>
      </c>
      <c r="I956" s="20" t="n">
        <v>19.512</v>
      </c>
      <c r="J956" s="19" t="n">
        <f aca="false">IF(I956="","",MIN(Overview!$B$8,MAX(1,CEILING(I956/Overview!$B$7,1))))</f>
        <v>4</v>
      </c>
      <c r="K956" s="19" t="n">
        <v>1</v>
      </c>
      <c r="L956" s="19"/>
      <c r="M956" s="20" t="n">
        <v>5</v>
      </c>
      <c r="N956" s="19"/>
      <c r="O956" s="19"/>
      <c r="P956" s="19" t="s">
        <v>1045</v>
      </c>
      <c r="Q956" s="19" t="s">
        <v>1040</v>
      </c>
      <c r="R956" s="21" t="n">
        <v>40903</v>
      </c>
      <c r="S956" s="19" t="s">
        <v>1002</v>
      </c>
      <c r="T956" s="19" t="s">
        <v>3755</v>
      </c>
      <c r="U956" s="19" t="str">
        <f aca="false">HYPERLINK("https://macaulaylibrary.org/asset/609056532","Open")</f>
        <v>Open</v>
      </c>
      <c r="V956" s="19"/>
    </row>
    <row r="957" customFormat="false" ht="15" hidden="false" customHeight="false" outlineLevel="0" collapsed="false">
      <c r="A957" s="19" t="s">
        <v>3756</v>
      </c>
      <c r="B957" s="19" t="s">
        <v>943</v>
      </c>
      <c r="C957" s="19" t="s">
        <v>944</v>
      </c>
      <c r="D957" s="19" t="s">
        <v>148</v>
      </c>
      <c r="E957" s="19" t="s">
        <v>147</v>
      </c>
      <c r="F957" s="19" t="s">
        <v>243</v>
      </c>
      <c r="G957" s="19" t="n">
        <v>112</v>
      </c>
      <c r="H957" s="19" t="s">
        <v>244</v>
      </c>
      <c r="I957" s="20" t="n">
        <v>15.818</v>
      </c>
      <c r="J957" s="19" t="n">
        <f aca="false">IF(I957="","",MIN(Overview!$B$8,MAX(1,CEILING(I957/Overview!$B$7,1))))</f>
        <v>4</v>
      </c>
      <c r="K957" s="19" t="n">
        <v>1</v>
      </c>
      <c r="L957" s="19"/>
      <c r="M957" s="20" t="n">
        <v>3</v>
      </c>
      <c r="N957" s="19"/>
      <c r="O957" s="19"/>
      <c r="P957" s="19" t="s">
        <v>2414</v>
      </c>
      <c r="Q957" s="19" t="s">
        <v>956</v>
      </c>
      <c r="R957" s="21" t="n">
        <v>45302</v>
      </c>
      <c r="S957" s="19" t="s">
        <v>2415</v>
      </c>
      <c r="T957" s="19" t="s">
        <v>3757</v>
      </c>
      <c r="U957" s="19" t="str">
        <f aca="false">HYPERLINK("https://macaulaylibrary.org/asset/613429970","Open")</f>
        <v>Open</v>
      </c>
      <c r="V957" s="19"/>
    </row>
    <row r="958" customFormat="false" ht="15" hidden="false" customHeight="false" outlineLevel="0" collapsed="false">
      <c r="A958" s="19" t="s">
        <v>3758</v>
      </c>
      <c r="B958" s="19" t="s">
        <v>943</v>
      </c>
      <c r="C958" s="19" t="s">
        <v>944</v>
      </c>
      <c r="D958" s="19" t="s">
        <v>148</v>
      </c>
      <c r="E958" s="19" t="s">
        <v>147</v>
      </c>
      <c r="F958" s="19" t="s">
        <v>243</v>
      </c>
      <c r="G958" s="19" t="n">
        <v>112</v>
      </c>
      <c r="H958" s="19" t="s">
        <v>244</v>
      </c>
      <c r="I958" s="20" t="n">
        <v>27.073</v>
      </c>
      <c r="J958" s="19" t="n">
        <f aca="false">IF(I958="","",MIN(Overview!$B$8,MAX(1,CEILING(I958/Overview!$B$7,1))))</f>
        <v>6</v>
      </c>
      <c r="K958" s="19" t="n">
        <v>1</v>
      </c>
      <c r="L958" s="19"/>
      <c r="M958" s="20"/>
      <c r="N958" s="19"/>
      <c r="O958" s="19"/>
      <c r="P958" s="19" t="s">
        <v>2443</v>
      </c>
      <c r="Q958" s="19" t="s">
        <v>1091</v>
      </c>
      <c r="R958" s="21" t="n">
        <v>45843</v>
      </c>
      <c r="S958" s="19" t="s">
        <v>2444</v>
      </c>
      <c r="T958" s="19" t="s">
        <v>3759</v>
      </c>
      <c r="U958" s="19" t="str">
        <f aca="false">HYPERLINK("https://macaulaylibrary.org/asset/639170359","Open")</f>
        <v>Open</v>
      </c>
      <c r="V958" s="19"/>
    </row>
    <row r="959" customFormat="false" ht="15" hidden="false" customHeight="false" outlineLevel="0" collapsed="false">
      <c r="A959" s="19" t="s">
        <v>3760</v>
      </c>
      <c r="B959" s="19" t="s">
        <v>943</v>
      </c>
      <c r="C959" s="19" t="s">
        <v>944</v>
      </c>
      <c r="D959" s="19" t="s">
        <v>148</v>
      </c>
      <c r="E959" s="19" t="s">
        <v>147</v>
      </c>
      <c r="F959" s="19" t="s">
        <v>243</v>
      </c>
      <c r="G959" s="19" t="n">
        <v>112</v>
      </c>
      <c r="H959" s="19" t="s">
        <v>244</v>
      </c>
      <c r="I959" s="20" t="n">
        <v>12.696</v>
      </c>
      <c r="J959" s="19" t="n">
        <f aca="false">IF(I959="","",MIN(Overview!$B$8,MAX(1,CEILING(I959/Overview!$B$7,1))))</f>
        <v>3</v>
      </c>
      <c r="K959" s="19" t="n">
        <v>1</v>
      </c>
      <c r="L959" s="19"/>
      <c r="M959" s="20" t="n">
        <v>1</v>
      </c>
      <c r="N959" s="19"/>
      <c r="O959" s="19"/>
      <c r="P959" s="19" t="s">
        <v>1487</v>
      </c>
      <c r="Q959" s="19" t="s">
        <v>1488</v>
      </c>
      <c r="R959" s="21" t="n">
        <v>42379</v>
      </c>
      <c r="S959" s="19" t="s">
        <v>1009</v>
      </c>
      <c r="T959" s="19" t="s">
        <v>3761</v>
      </c>
      <c r="U959" s="19" t="str">
        <f aca="false">HYPERLINK("https://macaulaylibrary.org/asset/642419924","Open")</f>
        <v>Open</v>
      </c>
      <c r="V959" s="19"/>
    </row>
    <row r="960" customFormat="false" ht="15" hidden="false" customHeight="false" outlineLevel="0" collapsed="false">
      <c r="A960" s="19" t="s">
        <v>3762</v>
      </c>
      <c r="B960" s="19" t="s">
        <v>943</v>
      </c>
      <c r="C960" s="19" t="s">
        <v>944</v>
      </c>
      <c r="D960" s="19" t="s">
        <v>148</v>
      </c>
      <c r="E960" s="19" t="s">
        <v>147</v>
      </c>
      <c r="F960" s="19" t="s">
        <v>243</v>
      </c>
      <c r="G960" s="19" t="n">
        <v>112</v>
      </c>
      <c r="H960" s="19" t="s">
        <v>244</v>
      </c>
      <c r="I960" s="20" t="n">
        <v>41.879</v>
      </c>
      <c r="J960" s="19" t="n">
        <f aca="false">IF(I960="","",MIN(Overview!$B$8,MAX(1,CEILING(I960/Overview!$B$7,1))))</f>
        <v>9</v>
      </c>
      <c r="K960" s="19" t="n">
        <v>1</v>
      </c>
      <c r="L960" s="19"/>
      <c r="M960" s="20" t="n">
        <v>3</v>
      </c>
      <c r="N960" s="19"/>
      <c r="O960" s="19"/>
      <c r="P960" s="19" t="s">
        <v>1949</v>
      </c>
      <c r="Q960" s="19" t="s">
        <v>1368</v>
      </c>
      <c r="R960" s="21" t="n">
        <v>45983</v>
      </c>
      <c r="S960" s="19" t="s">
        <v>1022</v>
      </c>
      <c r="T960" s="19" t="s">
        <v>3763</v>
      </c>
      <c r="U960" s="19" t="str">
        <f aca="false">HYPERLINK("https://macaulaylibrary.org/asset/646457277","Open")</f>
        <v>Open</v>
      </c>
      <c r="V960" s="19"/>
    </row>
    <row r="961" customFormat="false" ht="15" hidden="false" customHeight="false" outlineLevel="0" collapsed="false">
      <c r="A961" s="19" t="s">
        <v>3764</v>
      </c>
      <c r="B961" s="19" t="s">
        <v>943</v>
      </c>
      <c r="C961" s="19" t="s">
        <v>944</v>
      </c>
      <c r="D961" s="19" t="s">
        <v>148</v>
      </c>
      <c r="E961" s="19" t="s">
        <v>147</v>
      </c>
      <c r="F961" s="19" t="s">
        <v>243</v>
      </c>
      <c r="G961" s="19" t="n">
        <v>112</v>
      </c>
      <c r="H961" s="19" t="s">
        <v>244</v>
      </c>
      <c r="I961" s="20" t="n">
        <v>32.64</v>
      </c>
      <c r="J961" s="19" t="n">
        <f aca="false">IF(I961="","",MIN(Overview!$B$8,MAX(1,CEILING(I961/Overview!$B$7,1))))</f>
        <v>7</v>
      </c>
      <c r="K961" s="19" t="n">
        <v>1</v>
      </c>
      <c r="L961" s="19"/>
      <c r="M961" s="20" t="n">
        <v>4</v>
      </c>
      <c r="N961" s="19"/>
      <c r="O961" s="19"/>
      <c r="P961" s="19" t="s">
        <v>964</v>
      </c>
      <c r="Q961" s="19" t="s">
        <v>965</v>
      </c>
      <c r="R961" s="21" t="n">
        <v>46011</v>
      </c>
      <c r="S961" s="19" t="s">
        <v>966</v>
      </c>
      <c r="T961" s="19" t="s">
        <v>3765</v>
      </c>
      <c r="U961" s="19" t="str">
        <f aca="false">HYPERLINK("https://macaulaylibrary.org/asset/647391467","Open")</f>
        <v>Open</v>
      </c>
      <c r="V961" s="19"/>
    </row>
    <row r="962" customFormat="false" ht="15" hidden="false" customHeight="false" outlineLevel="0" collapsed="false">
      <c r="A962" s="19" t="s">
        <v>3766</v>
      </c>
      <c r="B962" s="19" t="s">
        <v>943</v>
      </c>
      <c r="C962" s="19" t="s">
        <v>944</v>
      </c>
      <c r="D962" s="19" t="s">
        <v>148</v>
      </c>
      <c r="E962" s="19" t="s">
        <v>147</v>
      </c>
      <c r="F962" s="19" t="s">
        <v>243</v>
      </c>
      <c r="G962" s="19" t="n">
        <v>112</v>
      </c>
      <c r="H962" s="19" t="s">
        <v>244</v>
      </c>
      <c r="I962" s="20" t="n">
        <v>19.188</v>
      </c>
      <c r="J962" s="19" t="n">
        <f aca="false">IF(I962="","",MIN(Overview!$B$8,MAX(1,CEILING(I962/Overview!$B$7,1))))</f>
        <v>4</v>
      </c>
      <c r="K962" s="19" t="n">
        <v>1</v>
      </c>
      <c r="L962" s="19"/>
      <c r="M962" s="20" t="n">
        <v>5</v>
      </c>
      <c r="N962" s="19"/>
      <c r="O962" s="19"/>
      <c r="P962" s="19" t="s">
        <v>1335</v>
      </c>
      <c r="Q962" s="19" t="s">
        <v>990</v>
      </c>
      <c r="R962" s="21" t="n">
        <v>46011</v>
      </c>
      <c r="S962" s="19" t="s">
        <v>966</v>
      </c>
      <c r="T962" s="19" t="s">
        <v>3767</v>
      </c>
      <c r="U962" s="19" t="str">
        <f aca="false">HYPERLINK("https://macaulaylibrary.org/asset/647570570","Open")</f>
        <v>Open</v>
      </c>
      <c r="V962" s="19"/>
    </row>
    <row r="963" customFormat="false" ht="15" hidden="false" customHeight="false" outlineLevel="0" collapsed="false">
      <c r="A963" s="19" t="s">
        <v>3768</v>
      </c>
      <c r="B963" s="19" t="s">
        <v>943</v>
      </c>
      <c r="C963" s="19" t="s">
        <v>944</v>
      </c>
      <c r="D963" s="19" t="s">
        <v>148</v>
      </c>
      <c r="E963" s="19" t="s">
        <v>147</v>
      </c>
      <c r="F963" s="19" t="s">
        <v>243</v>
      </c>
      <c r="G963" s="19" t="n">
        <v>112</v>
      </c>
      <c r="H963" s="19" t="s">
        <v>244</v>
      </c>
      <c r="I963" s="20" t="n">
        <v>53.592</v>
      </c>
      <c r="J963" s="19" t="n">
        <f aca="false">IF(I963="","",MIN(Overview!$B$8,MAX(1,CEILING(I963/Overview!$B$7,1))))</f>
        <v>11</v>
      </c>
      <c r="K963" s="19" t="n">
        <v>1</v>
      </c>
      <c r="L963" s="19"/>
      <c r="M963" s="20" t="n">
        <v>4</v>
      </c>
      <c r="N963" s="19"/>
      <c r="O963" s="19" t="s">
        <v>3769</v>
      </c>
      <c r="P963" s="19" t="s">
        <v>1824</v>
      </c>
      <c r="Q963" s="19" t="s">
        <v>1502</v>
      </c>
      <c r="R963" s="21" t="n">
        <v>45938</v>
      </c>
      <c r="S963" s="19" t="s">
        <v>1825</v>
      </c>
      <c r="T963" s="19" t="s">
        <v>3770</v>
      </c>
      <c r="U963" s="19" t="str">
        <f aca="false">HYPERLINK("https://macaulaylibrary.org/asset/648628493","Open")</f>
        <v>Open</v>
      </c>
      <c r="V963" s="19"/>
    </row>
    <row r="964" customFormat="false" ht="15" hidden="false" customHeight="false" outlineLevel="0" collapsed="false">
      <c r="A964" s="19" t="s">
        <v>3771</v>
      </c>
      <c r="B964" s="19" t="s">
        <v>943</v>
      </c>
      <c r="C964" s="19" t="s">
        <v>944</v>
      </c>
      <c r="D964" s="19" t="s">
        <v>148</v>
      </c>
      <c r="E964" s="19" t="s">
        <v>147</v>
      </c>
      <c r="F964" s="19" t="s">
        <v>243</v>
      </c>
      <c r="G964" s="19" t="n">
        <v>112</v>
      </c>
      <c r="H964" s="19" t="s">
        <v>244</v>
      </c>
      <c r="I964" s="20" t="n">
        <v>6.079</v>
      </c>
      <c r="J964" s="19" t="n">
        <f aca="false">IF(I964="","",MIN(Overview!$B$8,MAX(1,CEILING(I964/Overview!$B$7,1))))</f>
        <v>2</v>
      </c>
      <c r="K964" s="19" t="n">
        <v>1</v>
      </c>
      <c r="L964" s="19"/>
      <c r="M964" s="20"/>
      <c r="N964" s="19"/>
      <c r="O964" s="19"/>
      <c r="P964" s="19" t="s">
        <v>2624</v>
      </c>
      <c r="Q964" s="19" t="s">
        <v>1204</v>
      </c>
      <c r="R964" s="21" t="n">
        <v>46049</v>
      </c>
      <c r="S964" s="19" t="s">
        <v>2625</v>
      </c>
      <c r="T964" s="19" t="s">
        <v>3772</v>
      </c>
      <c r="U964" s="19" t="str">
        <f aca="false">HYPERLINK("https://macaulaylibrary.org/asset/653762560","Open")</f>
        <v>Open</v>
      </c>
      <c r="V964" s="19"/>
    </row>
    <row r="965" customFormat="false" ht="15" hidden="false" customHeight="false" outlineLevel="0" collapsed="false">
      <c r="A965" s="19" t="s">
        <v>3773</v>
      </c>
      <c r="B965" s="19" t="s">
        <v>943</v>
      </c>
      <c r="C965" s="19" t="s">
        <v>944</v>
      </c>
      <c r="D965" s="19" t="s">
        <v>148</v>
      </c>
      <c r="E965" s="19" t="s">
        <v>147</v>
      </c>
      <c r="F965" s="19" t="s">
        <v>243</v>
      </c>
      <c r="G965" s="19" t="n">
        <v>112</v>
      </c>
      <c r="H965" s="19" t="s">
        <v>244</v>
      </c>
      <c r="I965" s="20" t="n">
        <v>166.055</v>
      </c>
      <c r="J965" s="19" t="n">
        <f aca="false">IF(I965="","",MIN(Overview!$B$8,MAX(1,CEILING(I965/Overview!$B$7,1))))</f>
        <v>34</v>
      </c>
      <c r="K965" s="19" t="n">
        <v>1</v>
      </c>
      <c r="L965" s="19"/>
      <c r="M965" s="20" t="n">
        <v>2</v>
      </c>
      <c r="N965" s="19"/>
      <c r="O965" s="19"/>
      <c r="P965" s="19" t="s">
        <v>3382</v>
      </c>
      <c r="Q965" s="19" t="s">
        <v>980</v>
      </c>
      <c r="R965" s="21" t="n">
        <v>32229</v>
      </c>
      <c r="S965" s="19" t="s">
        <v>3774</v>
      </c>
      <c r="T965" s="19" t="s">
        <v>3775</v>
      </c>
      <c r="U965" s="19" t="str">
        <f aca="false">HYPERLINK("https://macaulaylibrary.org/asset/74219","Open")</f>
        <v>Open</v>
      </c>
      <c r="V965" s="19"/>
    </row>
    <row r="966" customFormat="false" ht="15" hidden="false" customHeight="false" outlineLevel="0" collapsed="false">
      <c r="A966" s="19" t="s">
        <v>3776</v>
      </c>
      <c r="B966" s="19" t="s">
        <v>1005</v>
      </c>
      <c r="C966" s="19" t="s">
        <v>944</v>
      </c>
      <c r="D966" s="19" t="s">
        <v>647</v>
      </c>
      <c r="E966" s="19" t="s">
        <v>147</v>
      </c>
      <c r="F966" s="19" t="s">
        <v>243</v>
      </c>
      <c r="G966" s="19" t="n">
        <v>112</v>
      </c>
      <c r="H966" s="19" t="s">
        <v>244</v>
      </c>
      <c r="I966" s="20" t="n">
        <v>64.296</v>
      </c>
      <c r="J966" s="19" t="n">
        <f aca="false">IF(I966="","",MIN(Overview!$B$8,MAX(1,CEILING(I966/Overview!$B$7,1))))</f>
        <v>13</v>
      </c>
      <c r="K966" s="19" t="n">
        <v>1</v>
      </c>
      <c r="L966" s="19"/>
      <c r="M966" s="20"/>
      <c r="N966" s="19" t="s">
        <v>1006</v>
      </c>
      <c r="O966" s="19"/>
      <c r="P966" s="19" t="s">
        <v>1657</v>
      </c>
      <c r="Q966" s="19" t="s">
        <v>1008</v>
      </c>
      <c r="R966" s="21" t="n">
        <v>42581</v>
      </c>
      <c r="S966" s="19" t="s">
        <v>1936</v>
      </c>
      <c r="T966" s="19" t="s">
        <v>3777</v>
      </c>
      <c r="U966" s="19" t="str">
        <f aca="false">HYPERLINK("https://xeno-canto.org/332512","Open")</f>
        <v>Open</v>
      </c>
      <c r="V966" s="19" t="s">
        <v>2789</v>
      </c>
    </row>
    <row r="967" customFormat="false" ht="15" hidden="false" customHeight="false" outlineLevel="0" collapsed="false">
      <c r="A967" s="19" t="s">
        <v>3778</v>
      </c>
      <c r="B967" s="19" t="s">
        <v>1005</v>
      </c>
      <c r="C967" s="19" t="s">
        <v>944</v>
      </c>
      <c r="D967" s="19" t="s">
        <v>647</v>
      </c>
      <c r="E967" s="19" t="s">
        <v>147</v>
      </c>
      <c r="F967" s="19" t="s">
        <v>243</v>
      </c>
      <c r="G967" s="19" t="n">
        <v>112</v>
      </c>
      <c r="H967" s="19" t="s">
        <v>244</v>
      </c>
      <c r="I967" s="20" t="n">
        <v>26.688</v>
      </c>
      <c r="J967" s="19" t="n">
        <f aca="false">IF(I967="","",MIN(Overview!$B$8,MAX(1,CEILING(I967/Overview!$B$7,1))))</f>
        <v>6</v>
      </c>
      <c r="K967" s="19" t="n">
        <v>1</v>
      </c>
      <c r="L967" s="19"/>
      <c r="M967" s="20"/>
      <c r="N967" s="19" t="s">
        <v>1006</v>
      </c>
      <c r="O967" s="19"/>
      <c r="P967" s="19" t="s">
        <v>1657</v>
      </c>
      <c r="Q967" s="19" t="s">
        <v>1008</v>
      </c>
      <c r="R967" s="21" t="n">
        <v>42581</v>
      </c>
      <c r="S967" s="19" t="s">
        <v>1936</v>
      </c>
      <c r="T967" s="19" t="s">
        <v>3779</v>
      </c>
      <c r="U967" s="19" t="str">
        <f aca="false">HYPERLINK("https://xeno-canto.org/332528","Open")</f>
        <v>Open</v>
      </c>
      <c r="V967" s="19" t="s">
        <v>2789</v>
      </c>
    </row>
    <row r="968" customFormat="false" ht="15" hidden="false" customHeight="false" outlineLevel="0" collapsed="false">
      <c r="A968" s="19" t="s">
        <v>3780</v>
      </c>
      <c r="B968" s="19" t="s">
        <v>943</v>
      </c>
      <c r="C968" s="19" t="s">
        <v>944</v>
      </c>
      <c r="D968" s="19" t="s">
        <v>400</v>
      </c>
      <c r="E968" s="19" t="s">
        <v>147</v>
      </c>
      <c r="F968" s="19" t="s">
        <v>481</v>
      </c>
      <c r="G968" s="19" t="n">
        <v>113</v>
      </c>
      <c r="H968" s="19" t="s">
        <v>482</v>
      </c>
      <c r="I968" s="20" t="n">
        <v>30.976</v>
      </c>
      <c r="J968" s="19" t="n">
        <f aca="false">IF(I968="","",MIN(Overview!$B$8,MAX(1,CEILING(I968/Overview!$B$7,1))))</f>
        <v>7</v>
      </c>
      <c r="K968" s="19" t="n">
        <v>1</v>
      </c>
      <c r="L968" s="19"/>
      <c r="M968" s="20" t="n">
        <v>4</v>
      </c>
      <c r="N968" s="19"/>
      <c r="O968" s="19"/>
      <c r="P968" s="19" t="s">
        <v>3781</v>
      </c>
      <c r="Q968" s="19" t="s">
        <v>965</v>
      </c>
      <c r="R968" s="21" t="n">
        <v>44185</v>
      </c>
      <c r="S968" s="19" t="s">
        <v>3782</v>
      </c>
      <c r="T968" s="19" t="s">
        <v>3783</v>
      </c>
      <c r="U968" s="19" t="str">
        <f aca="false">HYPERLINK("https://macaulaylibrary.org/asset/289835861","Open")</f>
        <v>Open</v>
      </c>
      <c r="V968" s="19"/>
    </row>
    <row r="969" customFormat="false" ht="15" hidden="false" customHeight="false" outlineLevel="0" collapsed="false">
      <c r="A969" s="19" t="s">
        <v>3784</v>
      </c>
      <c r="B969" s="19" t="s">
        <v>943</v>
      </c>
      <c r="C969" s="19" t="s">
        <v>944</v>
      </c>
      <c r="D969" s="19" t="s">
        <v>400</v>
      </c>
      <c r="E969" s="19" t="s">
        <v>147</v>
      </c>
      <c r="F969" s="19" t="s">
        <v>481</v>
      </c>
      <c r="G969" s="19" t="n">
        <v>113</v>
      </c>
      <c r="H969" s="19" t="s">
        <v>482</v>
      </c>
      <c r="I969" s="20" t="n">
        <v>31.936</v>
      </c>
      <c r="J969" s="19" t="n">
        <f aca="false">IF(I969="","",MIN(Overview!$B$8,MAX(1,CEILING(I969/Overview!$B$7,1))))</f>
        <v>7</v>
      </c>
      <c r="K969" s="19" t="n">
        <v>1</v>
      </c>
      <c r="L969" s="19"/>
      <c r="M969" s="20" t="n">
        <v>3</v>
      </c>
      <c r="N969" s="19"/>
      <c r="O969" s="19"/>
      <c r="P969" s="19" t="s">
        <v>3785</v>
      </c>
      <c r="Q969" s="19" t="s">
        <v>1148</v>
      </c>
      <c r="R969" s="21" t="n">
        <v>44842</v>
      </c>
      <c r="S969" s="19" t="s">
        <v>1578</v>
      </c>
      <c r="T969" s="19" t="s">
        <v>3786</v>
      </c>
      <c r="U969" s="19" t="str">
        <f aca="false">HYPERLINK("https://macaulaylibrary.org/asset/492658781","Open")</f>
        <v>Open</v>
      </c>
      <c r="V969" s="19"/>
    </row>
    <row r="970" customFormat="false" ht="15" hidden="false" customHeight="false" outlineLevel="0" collapsed="false">
      <c r="A970" s="19" t="s">
        <v>3787</v>
      </c>
      <c r="B970" s="19" t="s">
        <v>943</v>
      </c>
      <c r="C970" s="19" t="s">
        <v>944</v>
      </c>
      <c r="D970" s="19" t="s">
        <v>400</v>
      </c>
      <c r="E970" s="19" t="s">
        <v>147</v>
      </c>
      <c r="F970" s="19" t="s">
        <v>481</v>
      </c>
      <c r="G970" s="19" t="n">
        <v>113</v>
      </c>
      <c r="H970" s="19" t="s">
        <v>482</v>
      </c>
      <c r="I970" s="20" t="n">
        <v>12.136</v>
      </c>
      <c r="J970" s="19" t="n">
        <f aca="false">IF(I970="","",MIN(Overview!$B$8,MAX(1,CEILING(I970/Overview!$B$7,1))))</f>
        <v>3</v>
      </c>
      <c r="K970" s="19" t="n">
        <v>1</v>
      </c>
      <c r="L970" s="19"/>
      <c r="M970" s="20" t="n">
        <v>2</v>
      </c>
      <c r="N970" s="19"/>
      <c r="O970" s="19"/>
      <c r="P970" s="19" t="s">
        <v>1472</v>
      </c>
      <c r="Q970" s="19" t="s">
        <v>1473</v>
      </c>
      <c r="R970" s="21" t="n">
        <v>45609</v>
      </c>
      <c r="S970" s="19" t="s">
        <v>1474</v>
      </c>
      <c r="T970" s="19" t="s">
        <v>3788</v>
      </c>
      <c r="U970" s="19" t="str">
        <f aca="false">HYPERLINK("https://macaulaylibrary.org/asset/626355525","Open")</f>
        <v>Open</v>
      </c>
      <c r="V970" s="19"/>
    </row>
    <row r="971" customFormat="false" ht="15" hidden="false" customHeight="false" outlineLevel="0" collapsed="false">
      <c r="A971" s="19" t="s">
        <v>3789</v>
      </c>
      <c r="B971" s="19" t="s">
        <v>943</v>
      </c>
      <c r="C971" s="19" t="s">
        <v>944</v>
      </c>
      <c r="D971" s="19" t="s">
        <v>400</v>
      </c>
      <c r="E971" s="19" t="s">
        <v>147</v>
      </c>
      <c r="F971" s="19" t="s">
        <v>481</v>
      </c>
      <c r="G971" s="19" t="n">
        <v>113</v>
      </c>
      <c r="H971" s="19" t="s">
        <v>482</v>
      </c>
      <c r="I971" s="20" t="n">
        <v>28.309</v>
      </c>
      <c r="J971" s="19" t="n">
        <f aca="false">IF(I971="","",MIN(Overview!$B$8,MAX(1,CEILING(I971/Overview!$B$7,1))))</f>
        <v>6</v>
      </c>
      <c r="K971" s="19" t="n">
        <v>1</v>
      </c>
      <c r="L971" s="19"/>
      <c r="M971" s="20" t="n">
        <v>5</v>
      </c>
      <c r="N971" s="19"/>
      <c r="O971" s="19" t="s">
        <v>172</v>
      </c>
      <c r="P971" s="19" t="s">
        <v>1335</v>
      </c>
      <c r="Q971" s="19" t="s">
        <v>990</v>
      </c>
      <c r="R971" s="21" t="n">
        <v>46011</v>
      </c>
      <c r="S971" s="19" t="s">
        <v>966</v>
      </c>
      <c r="T971" s="19" t="s">
        <v>3790</v>
      </c>
      <c r="U971" s="19" t="str">
        <f aca="false">HYPERLINK("https://macaulaylibrary.org/asset/647330561","Open")</f>
        <v>Open</v>
      </c>
      <c r="V971" s="19"/>
    </row>
    <row r="972" customFormat="false" ht="15" hidden="false" customHeight="false" outlineLevel="0" collapsed="false">
      <c r="A972" s="19" t="s">
        <v>3791</v>
      </c>
      <c r="B972" s="19" t="s">
        <v>943</v>
      </c>
      <c r="C972" s="19" t="s">
        <v>944</v>
      </c>
      <c r="D972" s="19" t="s">
        <v>400</v>
      </c>
      <c r="E972" s="19" t="s">
        <v>147</v>
      </c>
      <c r="F972" s="19" t="s">
        <v>481</v>
      </c>
      <c r="G972" s="19" t="n">
        <v>113</v>
      </c>
      <c r="H972" s="19" t="s">
        <v>482</v>
      </c>
      <c r="I972" s="20" t="n">
        <v>32.48</v>
      </c>
      <c r="J972" s="19" t="n">
        <f aca="false">IF(I972="","",MIN(Overview!$B$8,MAX(1,CEILING(I972/Overview!$B$7,1))))</f>
        <v>7</v>
      </c>
      <c r="K972" s="19" t="n">
        <v>1</v>
      </c>
      <c r="L972" s="19"/>
      <c r="M972" s="20" t="n">
        <v>3</v>
      </c>
      <c r="N972" s="19"/>
      <c r="O972" s="19"/>
      <c r="P972" s="19" t="s">
        <v>964</v>
      </c>
      <c r="Q972" s="19" t="s">
        <v>965</v>
      </c>
      <c r="R972" s="21" t="n">
        <v>46011</v>
      </c>
      <c r="S972" s="19" t="s">
        <v>966</v>
      </c>
      <c r="T972" s="19" t="s">
        <v>3792</v>
      </c>
      <c r="U972" s="19" t="str">
        <f aca="false">HYPERLINK("https://macaulaylibrary.org/asset/647391498","Open")</f>
        <v>Open</v>
      </c>
      <c r="V972" s="19"/>
    </row>
    <row r="973" customFormat="false" ht="15" hidden="false" customHeight="false" outlineLevel="0" collapsed="false">
      <c r="A973" s="19" t="s">
        <v>3793</v>
      </c>
      <c r="B973" s="19" t="s">
        <v>943</v>
      </c>
      <c r="C973" s="19" t="s">
        <v>944</v>
      </c>
      <c r="D973" s="19" t="s">
        <v>400</v>
      </c>
      <c r="E973" s="19" t="s">
        <v>147</v>
      </c>
      <c r="F973" s="19" t="s">
        <v>481</v>
      </c>
      <c r="G973" s="19" t="n">
        <v>113</v>
      </c>
      <c r="H973" s="19" t="s">
        <v>482</v>
      </c>
      <c r="I973" s="20" t="n">
        <v>20.663</v>
      </c>
      <c r="J973" s="19" t="n">
        <f aca="false">IF(I973="","",MIN(Overview!$B$8,MAX(1,CEILING(I973/Overview!$B$7,1))))</f>
        <v>5</v>
      </c>
      <c r="K973" s="19" t="n">
        <v>1</v>
      </c>
      <c r="L973" s="19"/>
      <c r="M973" s="20" t="n">
        <v>3.5</v>
      </c>
      <c r="N973" s="19"/>
      <c r="O973" s="19"/>
      <c r="P973" s="19" t="s">
        <v>1335</v>
      </c>
      <c r="Q973" s="19" t="s">
        <v>990</v>
      </c>
      <c r="R973" s="21" t="n">
        <v>46011</v>
      </c>
      <c r="S973" s="19" t="s">
        <v>966</v>
      </c>
      <c r="T973" s="19" t="s">
        <v>3794</v>
      </c>
      <c r="U973" s="19" t="str">
        <f aca="false">HYPERLINK("https://macaulaylibrary.org/asset/647482832","Open")</f>
        <v>Open</v>
      </c>
      <c r="V973" s="19"/>
    </row>
    <row r="974" customFormat="false" ht="15" hidden="false" customHeight="false" outlineLevel="0" collapsed="false">
      <c r="A974" s="19" t="s">
        <v>3795</v>
      </c>
      <c r="B974" s="19" t="s">
        <v>943</v>
      </c>
      <c r="C974" s="19" t="s">
        <v>944</v>
      </c>
      <c r="D974" s="19" t="s">
        <v>400</v>
      </c>
      <c r="E974" s="19" t="s">
        <v>147</v>
      </c>
      <c r="F974" s="19" t="s">
        <v>481</v>
      </c>
      <c r="G974" s="19" t="n">
        <v>113</v>
      </c>
      <c r="H974" s="19" t="s">
        <v>482</v>
      </c>
      <c r="I974" s="20" t="n">
        <v>4.187</v>
      </c>
      <c r="J974" s="19" t="n">
        <f aca="false">IF(I974="","",MIN(Overview!$B$8,MAX(1,CEILING(I974/Overview!$B$7,1))))</f>
        <v>1</v>
      </c>
      <c r="K974" s="19" t="n">
        <v>1</v>
      </c>
      <c r="L974" s="19" t="s">
        <v>1048</v>
      </c>
      <c r="M974" s="20" t="n">
        <v>2</v>
      </c>
      <c r="N974" s="19"/>
      <c r="O974" s="19"/>
      <c r="P974" s="19" t="s">
        <v>1049</v>
      </c>
      <c r="Q974" s="19" t="s">
        <v>1050</v>
      </c>
      <c r="R974" s="21" t="n">
        <v>43406</v>
      </c>
      <c r="S974" s="19" t="s">
        <v>1051</v>
      </c>
      <c r="T974" s="19" t="s">
        <v>3796</v>
      </c>
      <c r="U974" s="19" t="str">
        <f aca="false">HYPERLINK("https://macaulaylibrary.org/asset/662832689","Open")</f>
        <v>Open</v>
      </c>
      <c r="V974" s="19"/>
    </row>
    <row r="975" customFormat="false" ht="15" hidden="false" customHeight="false" outlineLevel="0" collapsed="false">
      <c r="A975" s="19" t="s">
        <v>3797</v>
      </c>
      <c r="B975" s="19" t="s">
        <v>943</v>
      </c>
      <c r="C975" s="19" t="s">
        <v>944</v>
      </c>
      <c r="D975" s="19" t="s">
        <v>400</v>
      </c>
      <c r="E975" s="19" t="s">
        <v>147</v>
      </c>
      <c r="F975" s="19" t="s">
        <v>568</v>
      </c>
      <c r="G975" s="19" t="n">
        <v>114</v>
      </c>
      <c r="H975" s="19" t="s">
        <v>569</v>
      </c>
      <c r="I975" s="20" t="n">
        <v>1308.283</v>
      </c>
      <c r="J975" s="19" t="n">
        <f aca="false">IF(I975="","",MIN(Overview!$B$8,MAX(1,CEILING(I975/Overview!$B$7,1))))</f>
        <v>120</v>
      </c>
      <c r="K975" s="19" t="n">
        <v>1</v>
      </c>
      <c r="L975" s="19"/>
      <c r="M975" s="20" t="n">
        <v>3</v>
      </c>
      <c r="N975" s="19"/>
      <c r="O975" s="19"/>
      <c r="P975" s="19" t="s">
        <v>1058</v>
      </c>
      <c r="Q975" s="19" t="s">
        <v>980</v>
      </c>
      <c r="R975" s="21" t="n">
        <v>32555</v>
      </c>
      <c r="S975" s="19" t="s">
        <v>3798</v>
      </c>
      <c r="T975" s="19" t="s">
        <v>3799</v>
      </c>
      <c r="U975" s="19" t="str">
        <f aca="false">HYPERLINK("https://macaulaylibrary.org/asset/215354","Open")</f>
        <v>Open</v>
      </c>
      <c r="V975" s="19"/>
    </row>
    <row r="976" customFormat="false" ht="15" hidden="false" customHeight="false" outlineLevel="0" collapsed="false">
      <c r="A976" s="19" t="s">
        <v>3800</v>
      </c>
      <c r="B976" s="19" t="s">
        <v>943</v>
      </c>
      <c r="C976" s="19" t="s">
        <v>944</v>
      </c>
      <c r="D976" s="19" t="s">
        <v>400</v>
      </c>
      <c r="E976" s="19" t="s">
        <v>147</v>
      </c>
      <c r="F976" s="19" t="s">
        <v>568</v>
      </c>
      <c r="G976" s="19" t="n">
        <v>114</v>
      </c>
      <c r="H976" s="19" t="s">
        <v>569</v>
      </c>
      <c r="I976" s="20" t="n">
        <v>76.758</v>
      </c>
      <c r="J976" s="19" t="n">
        <f aca="false">IF(I976="","",MIN(Overview!$B$8,MAX(1,CEILING(I976/Overview!$B$7,1))))</f>
        <v>16</v>
      </c>
      <c r="K976" s="19" t="n">
        <v>1</v>
      </c>
      <c r="L976" s="19"/>
      <c r="M976" s="20" t="n">
        <v>2</v>
      </c>
      <c r="N976" s="19"/>
      <c r="O976" s="19"/>
      <c r="P976" s="19" t="s">
        <v>1058</v>
      </c>
      <c r="Q976" s="19" t="s">
        <v>980</v>
      </c>
      <c r="R976" s="21" t="n">
        <v>32555</v>
      </c>
      <c r="S976" s="19"/>
      <c r="T976" s="19" t="s">
        <v>3801</v>
      </c>
      <c r="U976" s="19" t="str">
        <f aca="false">HYPERLINK("https://macaulaylibrary.org/asset/215356","Open")</f>
        <v>Open</v>
      </c>
      <c r="V976" s="19"/>
    </row>
    <row r="977" customFormat="false" ht="15" hidden="false" customHeight="false" outlineLevel="0" collapsed="false">
      <c r="A977" s="19" t="s">
        <v>3802</v>
      </c>
      <c r="B977" s="19" t="s">
        <v>943</v>
      </c>
      <c r="C977" s="19" t="s">
        <v>944</v>
      </c>
      <c r="D977" s="19" t="s">
        <v>400</v>
      </c>
      <c r="E977" s="19" t="s">
        <v>147</v>
      </c>
      <c r="F977" s="19" t="s">
        <v>568</v>
      </c>
      <c r="G977" s="19" t="n">
        <v>114</v>
      </c>
      <c r="H977" s="19" t="s">
        <v>569</v>
      </c>
      <c r="I977" s="20" t="n">
        <v>84.001</v>
      </c>
      <c r="J977" s="19" t="n">
        <f aca="false">IF(I977="","",MIN(Overview!$B$8,MAX(1,CEILING(I977/Overview!$B$7,1))))</f>
        <v>17</v>
      </c>
      <c r="K977" s="19" t="n">
        <v>1</v>
      </c>
      <c r="L977" s="19"/>
      <c r="M977" s="20" t="n">
        <v>2</v>
      </c>
      <c r="N977" s="19"/>
      <c r="O977" s="19"/>
      <c r="P977" s="19" t="s">
        <v>3803</v>
      </c>
      <c r="Q977" s="19" t="s">
        <v>2343</v>
      </c>
      <c r="R977" s="21" t="n">
        <v>32222</v>
      </c>
      <c r="S977" s="19"/>
      <c r="T977" s="19" t="s">
        <v>3804</v>
      </c>
      <c r="U977" s="19" t="str">
        <f aca="false">HYPERLINK("https://macaulaylibrary.org/asset/272472","Open")</f>
        <v>Open</v>
      </c>
      <c r="V977" s="19"/>
    </row>
    <row r="978" customFormat="false" ht="15" hidden="false" customHeight="false" outlineLevel="0" collapsed="false">
      <c r="A978" s="19" t="s">
        <v>3805</v>
      </c>
      <c r="B978" s="19" t="s">
        <v>943</v>
      </c>
      <c r="C978" s="19" t="s">
        <v>944</v>
      </c>
      <c r="D978" s="19" t="s">
        <v>400</v>
      </c>
      <c r="E978" s="19" t="s">
        <v>147</v>
      </c>
      <c r="F978" s="19" t="s">
        <v>568</v>
      </c>
      <c r="G978" s="19" t="n">
        <v>114</v>
      </c>
      <c r="H978" s="19" t="s">
        <v>569</v>
      </c>
      <c r="I978" s="20" t="n">
        <v>185.165</v>
      </c>
      <c r="J978" s="19" t="n">
        <f aca="false">IF(I978="","",MIN(Overview!$B$8,MAX(1,CEILING(I978/Overview!$B$7,1))))</f>
        <v>38</v>
      </c>
      <c r="K978" s="19" t="n">
        <v>1</v>
      </c>
      <c r="L978" s="19"/>
      <c r="M978" s="20" t="n">
        <v>2</v>
      </c>
      <c r="N978" s="19"/>
      <c r="O978" s="19"/>
      <c r="P978" s="19" t="s">
        <v>1591</v>
      </c>
      <c r="Q978" s="19" t="s">
        <v>1592</v>
      </c>
      <c r="R978" s="21" t="n">
        <v>30404</v>
      </c>
      <c r="S978" s="19" t="s">
        <v>1002</v>
      </c>
      <c r="T978" s="19" t="s">
        <v>3806</v>
      </c>
      <c r="U978" s="19" t="str">
        <f aca="false">HYPERLINK("https://macaulaylibrary.org/asset/39221","Open")</f>
        <v>Open</v>
      </c>
      <c r="V978" s="19"/>
    </row>
    <row r="979" customFormat="false" ht="15" hidden="false" customHeight="false" outlineLevel="0" collapsed="false">
      <c r="A979" s="19" t="s">
        <v>3807</v>
      </c>
      <c r="B979" s="19" t="s">
        <v>943</v>
      </c>
      <c r="C979" s="19" t="s">
        <v>944</v>
      </c>
      <c r="D979" s="19" t="s">
        <v>148</v>
      </c>
      <c r="E979" s="19" t="s">
        <v>147</v>
      </c>
      <c r="F979" s="19" t="s">
        <v>376</v>
      </c>
      <c r="G979" s="19" t="n">
        <v>115</v>
      </c>
      <c r="H979" s="19" t="s">
        <v>377</v>
      </c>
      <c r="I979" s="20" t="n">
        <v>10.56</v>
      </c>
      <c r="J979" s="19" t="n">
        <f aca="false">IF(I979="","",MIN(Overview!$B$8,MAX(1,CEILING(I979/Overview!$B$7,1))))</f>
        <v>3</v>
      </c>
      <c r="K979" s="19" t="n">
        <v>1</v>
      </c>
      <c r="L979" s="19"/>
      <c r="M979" s="20" t="n">
        <v>4.5</v>
      </c>
      <c r="N979" s="19"/>
      <c r="O979" s="19"/>
      <c r="P979" s="19" t="s">
        <v>1025</v>
      </c>
      <c r="Q979" s="19" t="s">
        <v>965</v>
      </c>
      <c r="R979" s="21" t="n">
        <v>43450</v>
      </c>
      <c r="S979" s="19" t="s">
        <v>1026</v>
      </c>
      <c r="T979" s="19" t="s">
        <v>3808</v>
      </c>
      <c r="U979" s="19" t="str">
        <f aca="false">HYPERLINK("https://macaulaylibrary.org/asset/129901821","Open")</f>
        <v>Open</v>
      </c>
      <c r="V979" s="19"/>
    </row>
    <row r="980" customFormat="false" ht="15" hidden="false" customHeight="false" outlineLevel="0" collapsed="false">
      <c r="A980" s="19" t="s">
        <v>3809</v>
      </c>
      <c r="B980" s="19" t="s">
        <v>943</v>
      </c>
      <c r="C980" s="19" t="s">
        <v>944</v>
      </c>
      <c r="D980" s="19" t="s">
        <v>148</v>
      </c>
      <c r="E980" s="19" t="s">
        <v>147</v>
      </c>
      <c r="F980" s="19" t="s">
        <v>376</v>
      </c>
      <c r="G980" s="19" t="n">
        <v>115</v>
      </c>
      <c r="H980" s="19" t="s">
        <v>377</v>
      </c>
      <c r="I980" s="20" t="n">
        <v>23.96</v>
      </c>
      <c r="J980" s="19" t="n">
        <f aca="false">IF(I980="","",MIN(Overview!$B$8,MAX(1,CEILING(I980/Overview!$B$7,1))))</f>
        <v>5</v>
      </c>
      <c r="K980" s="19" t="n">
        <v>1</v>
      </c>
      <c r="L980" s="19"/>
      <c r="M980" s="20" t="n">
        <v>3</v>
      </c>
      <c r="N980" s="19"/>
      <c r="O980" s="19"/>
      <c r="P980" s="19" t="s">
        <v>955</v>
      </c>
      <c r="Q980" s="19" t="s">
        <v>956</v>
      </c>
      <c r="R980" s="21" t="n">
        <v>45303</v>
      </c>
      <c r="S980" s="19" t="s">
        <v>957</v>
      </c>
      <c r="T980" s="19" t="s">
        <v>3810</v>
      </c>
      <c r="U980" s="19" t="str">
        <f aca="false">HYPERLINK("https://macaulaylibrary.org/asset/613449698","Open")</f>
        <v>Open</v>
      </c>
      <c r="V980" s="19"/>
    </row>
    <row r="981" customFormat="false" ht="15" hidden="false" customHeight="false" outlineLevel="0" collapsed="false">
      <c r="A981" s="19" t="s">
        <v>3811</v>
      </c>
      <c r="B981" s="19" t="s">
        <v>943</v>
      </c>
      <c r="C981" s="19" t="s">
        <v>944</v>
      </c>
      <c r="D981" s="19" t="s">
        <v>148</v>
      </c>
      <c r="E981" s="19" t="s">
        <v>147</v>
      </c>
      <c r="F981" s="19" t="s">
        <v>376</v>
      </c>
      <c r="G981" s="19" t="n">
        <v>115</v>
      </c>
      <c r="H981" s="19" t="s">
        <v>377</v>
      </c>
      <c r="I981" s="20" t="n">
        <v>81.276</v>
      </c>
      <c r="J981" s="19" t="n">
        <f aca="false">IF(I981="","",MIN(Overview!$B$8,MAX(1,CEILING(I981/Overview!$B$7,1))))</f>
        <v>17</v>
      </c>
      <c r="K981" s="19" t="n">
        <v>1</v>
      </c>
      <c r="L981" s="19"/>
      <c r="M981" s="20"/>
      <c r="N981" s="19"/>
      <c r="O981" s="19"/>
      <c r="P981" s="19" t="s">
        <v>3812</v>
      </c>
      <c r="Q981" s="19" t="s">
        <v>2115</v>
      </c>
      <c r="R981" s="21" t="n">
        <v>45227</v>
      </c>
      <c r="S981" s="19" t="s">
        <v>3813</v>
      </c>
      <c r="T981" s="19" t="s">
        <v>3814</v>
      </c>
      <c r="U981" s="19" t="str">
        <f aca="false">HYPERLINK("https://macaulaylibrary.org/asset/615348373","Open")</f>
        <v>Open</v>
      </c>
      <c r="V981" s="19"/>
    </row>
    <row r="982" customFormat="false" ht="15" hidden="false" customHeight="false" outlineLevel="0" collapsed="false">
      <c r="A982" s="19" t="s">
        <v>3815</v>
      </c>
      <c r="B982" s="19" t="s">
        <v>943</v>
      </c>
      <c r="C982" s="19" t="s">
        <v>944</v>
      </c>
      <c r="D982" s="19" t="s">
        <v>148</v>
      </c>
      <c r="E982" s="19" t="s">
        <v>147</v>
      </c>
      <c r="F982" s="19" t="s">
        <v>376</v>
      </c>
      <c r="G982" s="19" t="n">
        <v>115</v>
      </c>
      <c r="H982" s="19" t="s">
        <v>377</v>
      </c>
      <c r="I982" s="20" t="n">
        <v>7.777</v>
      </c>
      <c r="J982" s="19" t="n">
        <f aca="false">IF(I982="","",MIN(Overview!$B$8,MAX(1,CEILING(I982/Overview!$B$7,1))))</f>
        <v>2</v>
      </c>
      <c r="K982" s="19" t="n">
        <v>1</v>
      </c>
      <c r="L982" s="19"/>
      <c r="M982" s="20"/>
      <c r="N982" s="19"/>
      <c r="O982" s="19"/>
      <c r="P982" s="19" t="s">
        <v>3816</v>
      </c>
      <c r="Q982" s="19" t="s">
        <v>2957</v>
      </c>
      <c r="R982" s="21" t="n">
        <v>45298</v>
      </c>
      <c r="S982" s="19" t="s">
        <v>1087</v>
      </c>
      <c r="T982" s="19" t="s">
        <v>3817</v>
      </c>
      <c r="U982" s="19" t="str">
        <f aca="false">HYPERLINK("https://macaulaylibrary.org/asset/619568255","Open")</f>
        <v>Open</v>
      </c>
      <c r="V982" s="19"/>
    </row>
    <row r="983" customFormat="false" ht="15" hidden="false" customHeight="false" outlineLevel="0" collapsed="false">
      <c r="A983" s="19" t="s">
        <v>3818</v>
      </c>
      <c r="B983" s="19" t="s">
        <v>943</v>
      </c>
      <c r="C983" s="19" t="s">
        <v>944</v>
      </c>
      <c r="D983" s="19" t="s">
        <v>148</v>
      </c>
      <c r="E983" s="19" t="s">
        <v>147</v>
      </c>
      <c r="F983" s="19" t="s">
        <v>376</v>
      </c>
      <c r="G983" s="19" t="n">
        <v>115</v>
      </c>
      <c r="H983" s="19" t="s">
        <v>377</v>
      </c>
      <c r="I983" s="20" t="n">
        <v>45.558</v>
      </c>
      <c r="J983" s="19" t="n">
        <f aca="false">IF(I983="","",MIN(Overview!$B$8,MAX(1,CEILING(I983/Overview!$B$7,1))))</f>
        <v>10</v>
      </c>
      <c r="K983" s="19" t="n">
        <v>1</v>
      </c>
      <c r="L983" s="19"/>
      <c r="M983" s="20" t="n">
        <v>3</v>
      </c>
      <c r="N983" s="19"/>
      <c r="O983" s="19"/>
      <c r="P983" s="19" t="s">
        <v>1367</v>
      </c>
      <c r="Q983" s="19" t="s">
        <v>1368</v>
      </c>
      <c r="R983" s="21" t="n">
        <v>45488</v>
      </c>
      <c r="S983" s="19" t="s">
        <v>1369</v>
      </c>
      <c r="T983" s="19" t="s">
        <v>3819</v>
      </c>
      <c r="U983" s="19" t="str">
        <f aca="false">HYPERLINK("https://macaulaylibrary.org/asset/622575964","Open")</f>
        <v>Open</v>
      </c>
      <c r="V983" s="19"/>
    </row>
    <row r="984" customFormat="false" ht="15" hidden="false" customHeight="false" outlineLevel="0" collapsed="false">
      <c r="A984" s="19" t="s">
        <v>3820</v>
      </c>
      <c r="B984" s="19" t="s">
        <v>943</v>
      </c>
      <c r="C984" s="19" t="s">
        <v>944</v>
      </c>
      <c r="D984" s="19" t="s">
        <v>148</v>
      </c>
      <c r="E984" s="19" t="s">
        <v>147</v>
      </c>
      <c r="F984" s="19" t="s">
        <v>376</v>
      </c>
      <c r="G984" s="19" t="n">
        <v>115</v>
      </c>
      <c r="H984" s="19" t="s">
        <v>377</v>
      </c>
      <c r="I984" s="20" t="n">
        <v>32.576</v>
      </c>
      <c r="J984" s="19" t="n">
        <f aca="false">IF(I984="","",MIN(Overview!$B$8,MAX(1,CEILING(I984/Overview!$B$7,1))))</f>
        <v>7</v>
      </c>
      <c r="K984" s="19" t="n">
        <v>1</v>
      </c>
      <c r="L984" s="19"/>
      <c r="M984" s="20"/>
      <c r="N984" s="19"/>
      <c r="O984" s="19"/>
      <c r="P984" s="19" t="s">
        <v>3821</v>
      </c>
      <c r="Q984" s="19" t="s">
        <v>1158</v>
      </c>
      <c r="R984" s="21" t="n">
        <v>45657</v>
      </c>
      <c r="S984" s="19" t="s">
        <v>1419</v>
      </c>
      <c r="T984" s="19" t="s">
        <v>3822</v>
      </c>
      <c r="U984" s="19" t="str">
        <f aca="false">HYPERLINK("https://macaulaylibrary.org/asset/630218252","Open")</f>
        <v>Open</v>
      </c>
      <c r="V984" s="19"/>
    </row>
    <row r="985" customFormat="false" ht="15" hidden="false" customHeight="false" outlineLevel="0" collapsed="false">
      <c r="A985" s="19" t="s">
        <v>3823</v>
      </c>
      <c r="B985" s="19" t="s">
        <v>943</v>
      </c>
      <c r="C985" s="19" t="s">
        <v>944</v>
      </c>
      <c r="D985" s="19" t="s">
        <v>148</v>
      </c>
      <c r="E985" s="19" t="s">
        <v>147</v>
      </c>
      <c r="F985" s="19" t="s">
        <v>376</v>
      </c>
      <c r="G985" s="19" t="n">
        <v>115</v>
      </c>
      <c r="H985" s="19" t="s">
        <v>377</v>
      </c>
      <c r="I985" s="20" t="n">
        <v>33.49</v>
      </c>
      <c r="J985" s="19" t="n">
        <f aca="false">IF(I985="","",MIN(Overview!$B$8,MAX(1,CEILING(I985/Overview!$B$7,1))))</f>
        <v>7</v>
      </c>
      <c r="K985" s="19" t="n">
        <v>1</v>
      </c>
      <c r="L985" s="19"/>
      <c r="M985" s="20" t="n">
        <v>3</v>
      </c>
      <c r="N985" s="19"/>
      <c r="O985" s="19"/>
      <c r="P985" s="19" t="s">
        <v>3824</v>
      </c>
      <c r="Q985" s="19" t="s">
        <v>3825</v>
      </c>
      <c r="R985" s="21" t="n">
        <v>42932</v>
      </c>
      <c r="S985" s="19" t="s">
        <v>2820</v>
      </c>
      <c r="T985" s="19" t="s">
        <v>3826</v>
      </c>
      <c r="U985" s="19" t="str">
        <f aca="false">HYPERLINK("https://macaulaylibrary.org/asset/64438011","Open")</f>
        <v>Open</v>
      </c>
      <c r="V985" s="19"/>
    </row>
    <row r="986" customFormat="false" ht="15" hidden="false" customHeight="false" outlineLevel="0" collapsed="false">
      <c r="A986" s="19" t="s">
        <v>3827</v>
      </c>
      <c r="B986" s="19" t="s">
        <v>943</v>
      </c>
      <c r="C986" s="19" t="s">
        <v>944</v>
      </c>
      <c r="D986" s="19" t="s">
        <v>148</v>
      </c>
      <c r="E986" s="19" t="s">
        <v>147</v>
      </c>
      <c r="F986" s="19" t="s">
        <v>376</v>
      </c>
      <c r="G986" s="19" t="n">
        <v>115</v>
      </c>
      <c r="H986" s="19" t="s">
        <v>377</v>
      </c>
      <c r="I986" s="20" t="n">
        <v>108.922</v>
      </c>
      <c r="J986" s="19" t="n">
        <f aca="false">IF(I986="","",MIN(Overview!$B$8,MAX(1,CEILING(I986/Overview!$B$7,1))))</f>
        <v>22</v>
      </c>
      <c r="K986" s="19" t="n">
        <v>1</v>
      </c>
      <c r="L986" s="19"/>
      <c r="M986" s="20" t="n">
        <v>1</v>
      </c>
      <c r="N986" s="19"/>
      <c r="O986" s="19"/>
      <c r="P986" s="19" t="s">
        <v>1001</v>
      </c>
      <c r="Q986" s="19" t="s">
        <v>980</v>
      </c>
      <c r="R986" s="21" t="n">
        <v>33299</v>
      </c>
      <c r="S986" s="19" t="s">
        <v>3828</v>
      </c>
      <c r="T986" s="19" t="s">
        <v>3829</v>
      </c>
      <c r="U986" s="19" t="str">
        <f aca="false">HYPERLINK("https://macaulaylibrary.org/asset/72652","Open")</f>
        <v>Open</v>
      </c>
      <c r="V986" s="19"/>
    </row>
    <row r="987" customFormat="false" ht="15" hidden="false" customHeight="false" outlineLevel="0" collapsed="false">
      <c r="A987" s="19" t="s">
        <v>3830</v>
      </c>
      <c r="B987" s="19" t="s">
        <v>943</v>
      </c>
      <c r="C987" s="19" t="s">
        <v>944</v>
      </c>
      <c r="D987" s="19" t="s">
        <v>148</v>
      </c>
      <c r="E987" s="19" t="s">
        <v>147</v>
      </c>
      <c r="F987" s="19" t="s">
        <v>329</v>
      </c>
      <c r="G987" s="19" t="n">
        <v>116</v>
      </c>
      <c r="H987" s="19" t="s">
        <v>330</v>
      </c>
      <c r="I987" s="20" t="n">
        <v>29.901</v>
      </c>
      <c r="J987" s="19" t="n">
        <f aca="false">IF(I987="","",MIN(Overview!$B$8,MAX(1,CEILING(I987/Overview!$B$7,1))))</f>
        <v>6</v>
      </c>
      <c r="K987" s="19" t="n">
        <v>1</v>
      </c>
      <c r="L987" s="19"/>
      <c r="M987" s="20" t="n">
        <v>3</v>
      </c>
      <c r="N987" s="19"/>
      <c r="O987" s="19"/>
      <c r="P987" s="19" t="s">
        <v>3831</v>
      </c>
      <c r="Q987" s="19" t="s">
        <v>1021</v>
      </c>
      <c r="R987" s="21" t="n">
        <v>35862</v>
      </c>
      <c r="S987" s="19" t="s">
        <v>1036</v>
      </c>
      <c r="T987" s="19" t="s">
        <v>3832</v>
      </c>
      <c r="U987" s="19" t="str">
        <f aca="false">HYPERLINK("https://macaulaylibrary.org/asset/100770811","Open")</f>
        <v>Open</v>
      </c>
      <c r="V987" s="19"/>
    </row>
    <row r="988" customFormat="false" ht="15" hidden="false" customHeight="false" outlineLevel="0" collapsed="false">
      <c r="A988" s="19" t="s">
        <v>3833</v>
      </c>
      <c r="B988" s="19" t="s">
        <v>943</v>
      </c>
      <c r="C988" s="19" t="s">
        <v>944</v>
      </c>
      <c r="D988" s="19" t="s">
        <v>148</v>
      </c>
      <c r="E988" s="19" t="s">
        <v>147</v>
      </c>
      <c r="F988" s="19" t="s">
        <v>329</v>
      </c>
      <c r="G988" s="19" t="n">
        <v>116</v>
      </c>
      <c r="H988" s="19" t="s">
        <v>330</v>
      </c>
      <c r="I988" s="20" t="n">
        <v>22.404</v>
      </c>
      <c r="J988" s="19" t="n">
        <f aca="false">IF(I988="","",MIN(Overview!$B$8,MAX(1,CEILING(I988/Overview!$B$7,1))))</f>
        <v>5</v>
      </c>
      <c r="K988" s="19" t="n">
        <v>1</v>
      </c>
      <c r="L988" s="19"/>
      <c r="M988" s="20" t="n">
        <v>5</v>
      </c>
      <c r="N988" s="19"/>
      <c r="O988" s="19"/>
      <c r="P988" s="19" t="s">
        <v>1029</v>
      </c>
      <c r="Q988" s="19" t="s">
        <v>1030</v>
      </c>
      <c r="R988" s="21" t="n">
        <v>40251</v>
      </c>
      <c r="S988" s="19" t="s">
        <v>1602</v>
      </c>
      <c r="T988" s="19" t="s">
        <v>3834</v>
      </c>
      <c r="U988" s="19" t="str">
        <f aca="false">HYPERLINK("https://macaulaylibrary.org/asset/299651","Open")</f>
        <v>Open</v>
      </c>
      <c r="V988" s="19"/>
    </row>
    <row r="989" customFormat="false" ht="15" hidden="false" customHeight="false" outlineLevel="0" collapsed="false">
      <c r="A989" s="19" t="s">
        <v>3835</v>
      </c>
      <c r="B989" s="19" t="s">
        <v>943</v>
      </c>
      <c r="C989" s="19" t="s">
        <v>944</v>
      </c>
      <c r="D989" s="19" t="s">
        <v>148</v>
      </c>
      <c r="E989" s="19" t="s">
        <v>147</v>
      </c>
      <c r="F989" s="19" t="s">
        <v>329</v>
      </c>
      <c r="G989" s="19" t="n">
        <v>116</v>
      </c>
      <c r="H989" s="19" t="s">
        <v>330</v>
      </c>
      <c r="I989" s="20" t="n">
        <v>3.118</v>
      </c>
      <c r="J989" s="19" t="n">
        <f aca="false">IF(I989="","",MIN(Overview!$B$8,MAX(1,CEILING(I989/Overview!$B$7,1))))</f>
        <v>1</v>
      </c>
      <c r="K989" s="19" t="n">
        <v>1</v>
      </c>
      <c r="L989" s="19" t="s">
        <v>1048</v>
      </c>
      <c r="M989" s="20" t="n">
        <v>3</v>
      </c>
      <c r="N989" s="19"/>
      <c r="O989" s="19"/>
      <c r="P989" s="19" t="s">
        <v>2190</v>
      </c>
      <c r="Q989" s="19" t="s">
        <v>1204</v>
      </c>
      <c r="R989" s="21" t="n">
        <v>44612</v>
      </c>
      <c r="S989" s="19" t="s">
        <v>1969</v>
      </c>
      <c r="T989" s="19" t="s">
        <v>3836</v>
      </c>
      <c r="U989" s="19" t="str">
        <f aca="false">HYPERLINK("https://macaulaylibrary.org/asset/531232301","Open")</f>
        <v>Open</v>
      </c>
      <c r="V989" s="19"/>
    </row>
    <row r="990" customFormat="false" ht="15" hidden="false" customHeight="false" outlineLevel="0" collapsed="false">
      <c r="A990" s="19" t="s">
        <v>3837</v>
      </c>
      <c r="B990" s="19" t="s">
        <v>943</v>
      </c>
      <c r="C990" s="19" t="s">
        <v>944</v>
      </c>
      <c r="D990" s="19" t="s">
        <v>148</v>
      </c>
      <c r="E990" s="19" t="s">
        <v>147</v>
      </c>
      <c r="F990" s="19" t="s">
        <v>329</v>
      </c>
      <c r="G990" s="19" t="n">
        <v>116</v>
      </c>
      <c r="H990" s="19" t="s">
        <v>330</v>
      </c>
      <c r="I990" s="20" t="n">
        <v>11.151</v>
      </c>
      <c r="J990" s="19" t="n">
        <f aca="false">IF(I990="","",MIN(Overview!$B$8,MAX(1,CEILING(I990/Overview!$B$7,1))))</f>
        <v>3</v>
      </c>
      <c r="K990" s="19" t="n">
        <v>1</v>
      </c>
      <c r="L990" s="19"/>
      <c r="M990" s="20" t="n">
        <v>4</v>
      </c>
      <c r="N990" s="19"/>
      <c r="O990" s="19"/>
      <c r="P990" s="19" t="s">
        <v>3838</v>
      </c>
      <c r="Q990" s="19" t="s">
        <v>1158</v>
      </c>
      <c r="R990" s="21" t="n">
        <v>44943</v>
      </c>
      <c r="S990" s="19" t="s">
        <v>1009</v>
      </c>
      <c r="T990" s="19" t="s">
        <v>3839</v>
      </c>
      <c r="U990" s="19" t="str">
        <f aca="false">HYPERLINK("https://macaulaylibrary.org/asset/538695151","Open")</f>
        <v>Open</v>
      </c>
      <c r="V990" s="19"/>
    </row>
    <row r="991" customFormat="false" ht="15" hidden="false" customHeight="false" outlineLevel="0" collapsed="false">
      <c r="A991" s="19" t="s">
        <v>3840</v>
      </c>
      <c r="B991" s="19" t="s">
        <v>943</v>
      </c>
      <c r="C991" s="19" t="s">
        <v>944</v>
      </c>
      <c r="D991" s="19" t="s">
        <v>148</v>
      </c>
      <c r="E991" s="19" t="s">
        <v>147</v>
      </c>
      <c r="F991" s="19" t="s">
        <v>329</v>
      </c>
      <c r="G991" s="19" t="n">
        <v>116</v>
      </c>
      <c r="H991" s="19" t="s">
        <v>330</v>
      </c>
      <c r="I991" s="20" t="n">
        <v>2.402</v>
      </c>
      <c r="J991" s="19" t="n">
        <f aca="false">IF(I991="","",MIN(Overview!$B$8,MAX(1,CEILING(I991/Overview!$B$7,1))))</f>
        <v>1</v>
      </c>
      <c r="K991" s="19" t="n">
        <v>1</v>
      </c>
      <c r="L991" s="19" t="s">
        <v>1048</v>
      </c>
      <c r="M991" s="20" t="n">
        <v>3</v>
      </c>
      <c r="N991" s="19"/>
      <c r="O991" s="19"/>
      <c r="P991" s="19" t="s">
        <v>1170</v>
      </c>
      <c r="Q991" s="19" t="s">
        <v>1166</v>
      </c>
      <c r="R991" s="21" t="n">
        <v>44900</v>
      </c>
      <c r="S991" s="19" t="s">
        <v>1092</v>
      </c>
      <c r="T991" s="19" t="s">
        <v>3841</v>
      </c>
      <c r="U991" s="19" t="str">
        <f aca="false">HYPERLINK("https://macaulaylibrary.org/asset/597934101","Open")</f>
        <v>Open</v>
      </c>
      <c r="V991" s="19"/>
    </row>
    <row r="992" customFormat="false" ht="15" hidden="false" customHeight="false" outlineLevel="0" collapsed="false">
      <c r="A992" s="19" t="s">
        <v>3842</v>
      </c>
      <c r="B992" s="19" t="s">
        <v>943</v>
      </c>
      <c r="C992" s="19" t="s">
        <v>944</v>
      </c>
      <c r="D992" s="19" t="s">
        <v>148</v>
      </c>
      <c r="E992" s="19" t="s">
        <v>147</v>
      </c>
      <c r="F992" s="19" t="s">
        <v>329</v>
      </c>
      <c r="G992" s="19" t="n">
        <v>116</v>
      </c>
      <c r="H992" s="19" t="s">
        <v>330</v>
      </c>
      <c r="I992" s="20" t="n">
        <v>4.121</v>
      </c>
      <c r="J992" s="19" t="n">
        <f aca="false">IF(I992="","",MIN(Overview!$B$8,MAX(1,CEILING(I992/Overview!$B$7,1))))</f>
        <v>1</v>
      </c>
      <c r="K992" s="19" t="n">
        <v>1</v>
      </c>
      <c r="L992" s="19" t="s">
        <v>1048</v>
      </c>
      <c r="M992" s="20" t="n">
        <v>2</v>
      </c>
      <c r="N992" s="19"/>
      <c r="O992" s="19"/>
      <c r="P992" s="19" t="s">
        <v>3843</v>
      </c>
      <c r="Q992" s="19" t="s">
        <v>2012</v>
      </c>
      <c r="R992" s="21" t="n">
        <v>45676</v>
      </c>
      <c r="S992" s="19" t="s">
        <v>1578</v>
      </c>
      <c r="T992" s="19" t="s">
        <v>3844</v>
      </c>
      <c r="U992" s="19" t="str">
        <f aca="false">HYPERLINK("https://macaulaylibrary.org/asset/630168611","Open")</f>
        <v>Open</v>
      </c>
      <c r="V992" s="19"/>
    </row>
    <row r="993" customFormat="false" ht="15" hidden="false" customHeight="false" outlineLevel="0" collapsed="false">
      <c r="A993" s="19" t="s">
        <v>3845</v>
      </c>
      <c r="B993" s="19" t="s">
        <v>943</v>
      </c>
      <c r="C993" s="19" t="s">
        <v>944</v>
      </c>
      <c r="D993" s="19" t="s">
        <v>148</v>
      </c>
      <c r="E993" s="19" t="s">
        <v>147</v>
      </c>
      <c r="F993" s="19" t="s">
        <v>329</v>
      </c>
      <c r="G993" s="19" t="n">
        <v>116</v>
      </c>
      <c r="H993" s="19" t="s">
        <v>330</v>
      </c>
      <c r="I993" s="20" t="n">
        <v>24.933</v>
      </c>
      <c r="J993" s="19" t="n">
        <f aca="false">IF(I993="","",MIN(Overview!$B$8,MAX(1,CEILING(I993/Overview!$B$7,1))))</f>
        <v>5</v>
      </c>
      <c r="K993" s="19" t="n">
        <v>1</v>
      </c>
      <c r="L993" s="19"/>
      <c r="M993" s="20" t="n">
        <v>3</v>
      </c>
      <c r="N993" s="19"/>
      <c r="O993" s="19"/>
      <c r="P993" s="19" t="s">
        <v>1811</v>
      </c>
      <c r="Q993" s="19" t="s">
        <v>1368</v>
      </c>
      <c r="R993" s="21" t="n">
        <v>45489</v>
      </c>
      <c r="S993" s="19" t="s">
        <v>1081</v>
      </c>
      <c r="T993" s="19" t="s">
        <v>3846</v>
      </c>
      <c r="U993" s="19" t="str">
        <f aca="false">HYPERLINK("https://macaulaylibrary.org/asset/631662887","Open")</f>
        <v>Open</v>
      </c>
      <c r="V993" s="19"/>
    </row>
    <row r="994" customFormat="false" ht="15" hidden="false" customHeight="false" outlineLevel="0" collapsed="false">
      <c r="A994" s="19" t="s">
        <v>3847</v>
      </c>
      <c r="B994" s="19" t="s">
        <v>943</v>
      </c>
      <c r="C994" s="19" t="s">
        <v>944</v>
      </c>
      <c r="D994" s="19" t="s">
        <v>148</v>
      </c>
      <c r="E994" s="19" t="s">
        <v>147</v>
      </c>
      <c r="F994" s="19" t="s">
        <v>329</v>
      </c>
      <c r="G994" s="19" t="n">
        <v>116</v>
      </c>
      <c r="H994" s="19" t="s">
        <v>330</v>
      </c>
      <c r="I994" s="20" t="n">
        <v>36.779</v>
      </c>
      <c r="J994" s="19" t="n">
        <f aca="false">IF(I994="","",MIN(Overview!$B$8,MAX(1,CEILING(I994/Overview!$B$7,1))))</f>
        <v>8</v>
      </c>
      <c r="K994" s="19" t="n">
        <v>1</v>
      </c>
      <c r="L994" s="19"/>
      <c r="M994" s="20"/>
      <c r="N994" s="19"/>
      <c r="O994" s="19"/>
      <c r="P994" s="19" t="s">
        <v>1674</v>
      </c>
      <c r="Q994" s="19" t="s">
        <v>1091</v>
      </c>
      <c r="R994" s="21" t="n">
        <v>45843</v>
      </c>
      <c r="S994" s="19" t="s">
        <v>1009</v>
      </c>
      <c r="T994" s="19" t="s">
        <v>3848</v>
      </c>
      <c r="U994" s="19" t="str">
        <f aca="false">HYPERLINK("https://macaulaylibrary.org/asset/639164351","Open")</f>
        <v>Open</v>
      </c>
      <c r="V994" s="19"/>
    </row>
    <row r="995" customFormat="false" ht="15" hidden="false" customHeight="false" outlineLevel="0" collapsed="false">
      <c r="A995" s="19" t="s">
        <v>3849</v>
      </c>
      <c r="B995" s="19" t="s">
        <v>943</v>
      </c>
      <c r="C995" s="19" t="s">
        <v>944</v>
      </c>
      <c r="D995" s="19" t="s">
        <v>148</v>
      </c>
      <c r="E995" s="19" t="s">
        <v>147</v>
      </c>
      <c r="F995" s="19" t="s">
        <v>329</v>
      </c>
      <c r="G995" s="19" t="n">
        <v>116</v>
      </c>
      <c r="H995" s="19" t="s">
        <v>330</v>
      </c>
      <c r="I995" s="20" t="n">
        <v>1.824</v>
      </c>
      <c r="J995" s="19" t="n">
        <f aca="false">IF(I995="","",MIN(Overview!$B$8,MAX(1,CEILING(I995/Overview!$B$7,1))))</f>
        <v>1</v>
      </c>
      <c r="K995" s="19" t="n">
        <v>1</v>
      </c>
      <c r="L995" s="19" t="s">
        <v>1048</v>
      </c>
      <c r="M995" s="20"/>
      <c r="N995" s="19"/>
      <c r="O995" s="19"/>
      <c r="P995" s="19" t="s">
        <v>1482</v>
      </c>
      <c r="Q995" s="19" t="s">
        <v>1483</v>
      </c>
      <c r="R995" s="21" t="n">
        <v>45293</v>
      </c>
      <c r="S995" s="19" t="s">
        <v>1484</v>
      </c>
      <c r="T995" s="19" t="s">
        <v>3850</v>
      </c>
      <c r="U995" s="19" t="str">
        <f aca="false">HYPERLINK("https://macaulaylibrary.org/asset/639219073","Open")</f>
        <v>Open</v>
      </c>
      <c r="V995" s="19"/>
    </row>
    <row r="996" customFormat="false" ht="15" hidden="false" customHeight="false" outlineLevel="0" collapsed="false">
      <c r="A996" s="19" t="s">
        <v>3851</v>
      </c>
      <c r="B996" s="19" t="s">
        <v>943</v>
      </c>
      <c r="C996" s="19" t="s">
        <v>944</v>
      </c>
      <c r="D996" s="19" t="s">
        <v>148</v>
      </c>
      <c r="E996" s="19" t="s">
        <v>147</v>
      </c>
      <c r="F996" s="19" t="s">
        <v>329</v>
      </c>
      <c r="G996" s="19" t="n">
        <v>116</v>
      </c>
      <c r="H996" s="19" t="s">
        <v>330</v>
      </c>
      <c r="I996" s="20" t="n">
        <v>6.132</v>
      </c>
      <c r="J996" s="19" t="n">
        <f aca="false">IF(I996="","",MIN(Overview!$B$8,MAX(1,CEILING(I996/Overview!$B$7,1))))</f>
        <v>2</v>
      </c>
      <c r="K996" s="19" t="n">
        <v>1</v>
      </c>
      <c r="L996" s="19"/>
      <c r="M996" s="20"/>
      <c r="N996" s="19"/>
      <c r="O996" s="19"/>
      <c r="P996" s="19" t="s">
        <v>1482</v>
      </c>
      <c r="Q996" s="19" t="s">
        <v>1483</v>
      </c>
      <c r="R996" s="21" t="n">
        <v>45293</v>
      </c>
      <c r="S996" s="19" t="s">
        <v>1484</v>
      </c>
      <c r="T996" s="19" t="s">
        <v>3852</v>
      </c>
      <c r="U996" s="19" t="str">
        <f aca="false">HYPERLINK("https://macaulaylibrary.org/asset/639219074","Open")</f>
        <v>Open</v>
      </c>
      <c r="V996" s="19"/>
    </row>
    <row r="997" customFormat="false" ht="15" hidden="false" customHeight="false" outlineLevel="0" collapsed="false">
      <c r="A997" s="19" t="s">
        <v>3853</v>
      </c>
      <c r="B997" s="19" t="s">
        <v>943</v>
      </c>
      <c r="C997" s="19" t="s">
        <v>944</v>
      </c>
      <c r="D997" s="19" t="s">
        <v>148</v>
      </c>
      <c r="E997" s="19" t="s">
        <v>147</v>
      </c>
      <c r="F997" s="19" t="s">
        <v>329</v>
      </c>
      <c r="G997" s="19" t="n">
        <v>116</v>
      </c>
      <c r="H997" s="19" t="s">
        <v>330</v>
      </c>
      <c r="I997" s="20" t="n">
        <v>14.79</v>
      </c>
      <c r="J997" s="19" t="n">
        <f aca="false">IF(I997="","",MIN(Overview!$B$8,MAX(1,CEILING(I997/Overview!$B$7,1))))</f>
        <v>3</v>
      </c>
      <c r="K997" s="19" t="n">
        <v>1</v>
      </c>
      <c r="L997" s="19"/>
      <c r="M997" s="20" t="n">
        <v>3.5</v>
      </c>
      <c r="N997" s="19"/>
      <c r="O997" s="19"/>
      <c r="P997" s="19" t="s">
        <v>3854</v>
      </c>
      <c r="Q997" s="19" t="s">
        <v>3855</v>
      </c>
      <c r="R997" s="21" t="n">
        <v>45751</v>
      </c>
      <c r="S997" s="19" t="s">
        <v>2645</v>
      </c>
      <c r="T997" s="19" t="s">
        <v>3856</v>
      </c>
      <c r="U997" s="19" t="str">
        <f aca="false">HYPERLINK("https://macaulaylibrary.org/asset/643856271","Open")</f>
        <v>Open</v>
      </c>
      <c r="V997" s="19"/>
    </row>
    <row r="998" customFormat="false" ht="15" hidden="false" customHeight="false" outlineLevel="0" collapsed="false">
      <c r="A998" s="19" t="s">
        <v>3857</v>
      </c>
      <c r="B998" s="19" t="s">
        <v>1005</v>
      </c>
      <c r="C998" s="19" t="s">
        <v>944</v>
      </c>
      <c r="D998" s="19" t="s">
        <v>647</v>
      </c>
      <c r="E998" s="19" t="s">
        <v>147</v>
      </c>
      <c r="F998" s="19" t="s">
        <v>329</v>
      </c>
      <c r="G998" s="19" t="n">
        <v>116</v>
      </c>
      <c r="H998" s="19" t="s">
        <v>330</v>
      </c>
      <c r="I998" s="20" t="n">
        <v>80.88</v>
      </c>
      <c r="J998" s="19" t="n">
        <f aca="false">IF(I998="","",MIN(Overview!$B$8,MAX(1,CEILING(I998/Overview!$B$7,1))))</f>
        <v>17</v>
      </c>
      <c r="K998" s="19" t="n">
        <v>1</v>
      </c>
      <c r="L998" s="19"/>
      <c r="M998" s="20"/>
      <c r="N998" s="19" t="s">
        <v>1006</v>
      </c>
      <c r="O998" s="19"/>
      <c r="P998" s="19" t="s">
        <v>1657</v>
      </c>
      <c r="Q998" s="19" t="s">
        <v>1008</v>
      </c>
      <c r="R998" s="21" t="n">
        <v>42581</v>
      </c>
      <c r="S998" s="19" t="s">
        <v>1279</v>
      </c>
      <c r="T998" s="19" t="s">
        <v>3858</v>
      </c>
      <c r="U998" s="19" t="str">
        <f aca="false">HYPERLINK("https://xeno-canto.org/332387","Open")</f>
        <v>Open</v>
      </c>
      <c r="V998" s="19" t="s">
        <v>3859</v>
      </c>
    </row>
    <row r="999" customFormat="false" ht="15" hidden="false" customHeight="false" outlineLevel="0" collapsed="false">
      <c r="A999" s="19" t="s">
        <v>3860</v>
      </c>
      <c r="B999" s="19" t="s">
        <v>943</v>
      </c>
      <c r="C999" s="19" t="s">
        <v>944</v>
      </c>
      <c r="D999" s="19" t="s">
        <v>148</v>
      </c>
      <c r="E999" s="19" t="s">
        <v>147</v>
      </c>
      <c r="F999" s="19" t="s">
        <v>357</v>
      </c>
      <c r="G999" s="19" t="n">
        <v>117</v>
      </c>
      <c r="H999" s="19" t="s">
        <v>358</v>
      </c>
      <c r="I999" s="20" t="n">
        <v>10.404</v>
      </c>
      <c r="J999" s="19" t="n">
        <f aca="false">IF(I999="","",MIN(Overview!$B$8,MAX(1,CEILING(I999/Overview!$B$7,1))))</f>
        <v>3</v>
      </c>
      <c r="K999" s="19" t="n">
        <v>1</v>
      </c>
      <c r="L999" s="19"/>
      <c r="M999" s="20"/>
      <c r="N999" s="19"/>
      <c r="O999" s="19"/>
      <c r="P999" s="19" t="s">
        <v>3861</v>
      </c>
      <c r="Q999" s="19" t="s">
        <v>1401</v>
      </c>
      <c r="R999" s="21" t="n">
        <v>36228</v>
      </c>
      <c r="S999" s="19" t="s">
        <v>1936</v>
      </c>
      <c r="T999" s="19" t="s">
        <v>3862</v>
      </c>
      <c r="U999" s="19" t="str">
        <f aca="false">HYPERLINK("https://macaulaylibrary.org/asset/133780271","Open")</f>
        <v>Open</v>
      </c>
      <c r="V999" s="19"/>
    </row>
    <row r="1000" customFormat="false" ht="15" hidden="false" customHeight="false" outlineLevel="0" collapsed="false">
      <c r="A1000" s="19" t="s">
        <v>3863</v>
      </c>
      <c r="B1000" s="19" t="s">
        <v>943</v>
      </c>
      <c r="C1000" s="19" t="s">
        <v>944</v>
      </c>
      <c r="D1000" s="19" t="s">
        <v>148</v>
      </c>
      <c r="E1000" s="19" t="s">
        <v>147</v>
      </c>
      <c r="F1000" s="19" t="s">
        <v>357</v>
      </c>
      <c r="G1000" s="19" t="n">
        <v>117</v>
      </c>
      <c r="H1000" s="19" t="s">
        <v>358</v>
      </c>
      <c r="I1000" s="20" t="n">
        <v>49.067</v>
      </c>
      <c r="J1000" s="19" t="n">
        <f aca="false">IF(I1000="","",MIN(Overview!$B$8,MAX(1,CEILING(I1000/Overview!$B$7,1))))</f>
        <v>10</v>
      </c>
      <c r="K1000" s="19" t="n">
        <v>1</v>
      </c>
      <c r="L1000" s="19"/>
      <c r="M1000" s="20" t="n">
        <v>5</v>
      </c>
      <c r="N1000" s="19"/>
      <c r="O1000" s="19"/>
      <c r="P1000" s="19" t="s">
        <v>3864</v>
      </c>
      <c r="Q1000" s="19" t="s">
        <v>965</v>
      </c>
      <c r="R1000" s="21" t="n">
        <v>43814</v>
      </c>
      <c r="S1000" s="19" t="s">
        <v>3865</v>
      </c>
      <c r="T1000" s="19" t="s">
        <v>3866</v>
      </c>
      <c r="U1000" s="19" t="str">
        <f aca="false">HYPERLINK("https://macaulaylibrary.org/asset/193421751","Open")</f>
        <v>Open</v>
      </c>
      <c r="V1000" s="19"/>
    </row>
    <row r="1001" customFormat="false" ht="15" hidden="false" customHeight="false" outlineLevel="0" collapsed="false">
      <c r="A1001" s="19" t="s">
        <v>3867</v>
      </c>
      <c r="B1001" s="19" t="s">
        <v>943</v>
      </c>
      <c r="C1001" s="19" t="s">
        <v>944</v>
      </c>
      <c r="D1001" s="19" t="s">
        <v>148</v>
      </c>
      <c r="E1001" s="19" t="s">
        <v>147</v>
      </c>
      <c r="F1001" s="19" t="s">
        <v>357</v>
      </c>
      <c r="G1001" s="19" t="n">
        <v>117</v>
      </c>
      <c r="H1001" s="19" t="s">
        <v>358</v>
      </c>
      <c r="I1001" s="20" t="n">
        <v>29.276</v>
      </c>
      <c r="J1001" s="19" t="n">
        <f aca="false">IF(I1001="","",MIN(Overview!$B$8,MAX(1,CEILING(I1001/Overview!$B$7,1))))</f>
        <v>6</v>
      </c>
      <c r="K1001" s="19" t="n">
        <v>1</v>
      </c>
      <c r="L1001" s="19"/>
      <c r="M1001" s="20"/>
      <c r="N1001" s="19"/>
      <c r="O1001" s="19"/>
      <c r="P1001" s="19" t="s">
        <v>1278</v>
      </c>
      <c r="Q1001" s="19" t="s">
        <v>1030</v>
      </c>
      <c r="R1001" s="21" t="n">
        <v>33597</v>
      </c>
      <c r="S1001" s="19" t="s">
        <v>1279</v>
      </c>
      <c r="T1001" s="19" t="s">
        <v>3868</v>
      </c>
      <c r="U1001" s="19" t="str">
        <f aca="false">HYPERLINK("https://macaulaylibrary.org/asset/285635","Open")</f>
        <v>Open</v>
      </c>
      <c r="V1001" s="19"/>
    </row>
    <row r="1002" customFormat="false" ht="15" hidden="false" customHeight="false" outlineLevel="0" collapsed="false">
      <c r="A1002" s="19" t="s">
        <v>3869</v>
      </c>
      <c r="B1002" s="19" t="s">
        <v>943</v>
      </c>
      <c r="C1002" s="19" t="s">
        <v>944</v>
      </c>
      <c r="D1002" s="19" t="s">
        <v>148</v>
      </c>
      <c r="E1002" s="19" t="s">
        <v>147</v>
      </c>
      <c r="F1002" s="19" t="s">
        <v>357</v>
      </c>
      <c r="G1002" s="19" t="n">
        <v>117</v>
      </c>
      <c r="H1002" s="19" t="s">
        <v>358</v>
      </c>
      <c r="I1002" s="20" t="n">
        <v>16.997</v>
      </c>
      <c r="J1002" s="19" t="n">
        <f aca="false">IF(I1002="","",MIN(Overview!$B$8,MAX(1,CEILING(I1002/Overview!$B$7,1))))</f>
        <v>4</v>
      </c>
      <c r="K1002" s="19" t="n">
        <v>1</v>
      </c>
      <c r="L1002" s="19"/>
      <c r="M1002" s="20" t="n">
        <v>4</v>
      </c>
      <c r="N1002" s="19"/>
      <c r="O1002" s="19"/>
      <c r="P1002" s="19" t="s">
        <v>3870</v>
      </c>
      <c r="Q1002" s="19" t="s">
        <v>951</v>
      </c>
      <c r="R1002" s="21" t="n">
        <v>45223</v>
      </c>
      <c r="S1002" s="19" t="s">
        <v>3871</v>
      </c>
      <c r="T1002" s="19" t="s">
        <v>3872</v>
      </c>
      <c r="U1002" s="19" t="str">
        <f aca="false">HYPERLINK("https://macaulaylibrary.org/asset/610572569","Open")</f>
        <v>Open</v>
      </c>
      <c r="V1002" s="19"/>
    </row>
    <row r="1003" customFormat="false" ht="15" hidden="false" customHeight="false" outlineLevel="0" collapsed="false">
      <c r="A1003" s="19" t="s">
        <v>3873</v>
      </c>
      <c r="B1003" s="19" t="s">
        <v>943</v>
      </c>
      <c r="C1003" s="19" t="s">
        <v>944</v>
      </c>
      <c r="D1003" s="19" t="s">
        <v>148</v>
      </c>
      <c r="E1003" s="19" t="s">
        <v>147</v>
      </c>
      <c r="F1003" s="19" t="s">
        <v>357</v>
      </c>
      <c r="G1003" s="19" t="n">
        <v>117</v>
      </c>
      <c r="H1003" s="19" t="s">
        <v>358</v>
      </c>
      <c r="I1003" s="20" t="n">
        <v>14.985</v>
      </c>
      <c r="J1003" s="19" t="n">
        <f aca="false">IF(I1003="","",MIN(Overview!$B$8,MAX(1,CEILING(I1003/Overview!$B$7,1))))</f>
        <v>3</v>
      </c>
      <c r="K1003" s="19" t="n">
        <v>1</v>
      </c>
      <c r="L1003" s="19"/>
      <c r="M1003" s="20" t="n">
        <v>3</v>
      </c>
      <c r="N1003" s="19"/>
      <c r="O1003" s="19"/>
      <c r="P1003" s="19" t="s">
        <v>3874</v>
      </c>
      <c r="Q1003" s="19" t="s">
        <v>2003</v>
      </c>
      <c r="R1003" s="21" t="n">
        <v>45324</v>
      </c>
      <c r="S1003" s="19" t="s">
        <v>2787</v>
      </c>
      <c r="T1003" s="19" t="s">
        <v>3875</v>
      </c>
      <c r="U1003" s="19" t="str">
        <f aca="false">HYPERLINK("https://macaulaylibrary.org/asset/615003829","Open")</f>
        <v>Open</v>
      </c>
      <c r="V1003" s="19"/>
    </row>
    <row r="1004" customFormat="false" ht="15" hidden="false" customHeight="false" outlineLevel="0" collapsed="false">
      <c r="A1004" s="19" t="s">
        <v>3876</v>
      </c>
      <c r="B1004" s="19" t="s">
        <v>943</v>
      </c>
      <c r="C1004" s="19" t="s">
        <v>944</v>
      </c>
      <c r="D1004" s="19" t="s">
        <v>148</v>
      </c>
      <c r="E1004" s="19" t="s">
        <v>147</v>
      </c>
      <c r="F1004" s="19" t="s">
        <v>357</v>
      </c>
      <c r="G1004" s="19" t="n">
        <v>117</v>
      </c>
      <c r="H1004" s="19" t="s">
        <v>358</v>
      </c>
      <c r="I1004" s="20" t="n">
        <v>16.343</v>
      </c>
      <c r="J1004" s="19" t="n">
        <f aca="false">IF(I1004="","",MIN(Overview!$B$8,MAX(1,CEILING(I1004/Overview!$B$7,1))))</f>
        <v>4</v>
      </c>
      <c r="K1004" s="19" t="n">
        <v>1</v>
      </c>
      <c r="L1004" s="19"/>
      <c r="M1004" s="20" t="n">
        <v>5</v>
      </c>
      <c r="N1004" s="19"/>
      <c r="O1004" s="19"/>
      <c r="P1004" s="19" t="s">
        <v>2901</v>
      </c>
      <c r="Q1004" s="19" t="s">
        <v>1368</v>
      </c>
      <c r="R1004" s="21" t="n">
        <v>45624</v>
      </c>
      <c r="S1004" s="19" t="s">
        <v>1036</v>
      </c>
      <c r="T1004" s="19" t="s">
        <v>3877</v>
      </c>
      <c r="U1004" s="19" t="str">
        <f aca="false">HYPERLINK("https://macaulaylibrary.org/asset/628584426","Open")</f>
        <v>Open</v>
      </c>
      <c r="V1004" s="19"/>
    </row>
    <row r="1005" customFormat="false" ht="15" hidden="false" customHeight="false" outlineLevel="0" collapsed="false">
      <c r="A1005" s="19" t="s">
        <v>3878</v>
      </c>
      <c r="B1005" s="19" t="s">
        <v>943</v>
      </c>
      <c r="C1005" s="19" t="s">
        <v>944</v>
      </c>
      <c r="D1005" s="19" t="s">
        <v>148</v>
      </c>
      <c r="E1005" s="19" t="s">
        <v>147</v>
      </c>
      <c r="F1005" s="19" t="s">
        <v>357</v>
      </c>
      <c r="G1005" s="19" t="n">
        <v>117</v>
      </c>
      <c r="H1005" s="19" t="s">
        <v>358</v>
      </c>
      <c r="I1005" s="20" t="n">
        <v>54.521</v>
      </c>
      <c r="J1005" s="19" t="n">
        <f aca="false">IF(I1005="","",MIN(Overview!$B$8,MAX(1,CEILING(I1005/Overview!$B$7,1))))</f>
        <v>11</v>
      </c>
      <c r="K1005" s="19" t="n">
        <v>1</v>
      </c>
      <c r="L1005" s="19"/>
      <c r="M1005" s="20" t="n">
        <v>5</v>
      </c>
      <c r="N1005" s="19"/>
      <c r="O1005" s="19"/>
      <c r="P1005" s="19" t="s">
        <v>2901</v>
      </c>
      <c r="Q1005" s="19" t="s">
        <v>1368</v>
      </c>
      <c r="R1005" s="21" t="n">
        <v>45624</v>
      </c>
      <c r="S1005" s="19" t="s">
        <v>1036</v>
      </c>
      <c r="T1005" s="19" t="s">
        <v>3879</v>
      </c>
      <c r="U1005" s="19" t="str">
        <f aca="false">HYPERLINK("https://macaulaylibrary.org/asset/628584427","Open")</f>
        <v>Open</v>
      </c>
      <c r="V1005" s="19"/>
    </row>
    <row r="1006" customFormat="false" ht="15" hidden="false" customHeight="false" outlineLevel="0" collapsed="false">
      <c r="A1006" s="19" t="s">
        <v>3880</v>
      </c>
      <c r="B1006" s="19" t="s">
        <v>943</v>
      </c>
      <c r="C1006" s="19" t="s">
        <v>944</v>
      </c>
      <c r="D1006" s="19" t="s">
        <v>148</v>
      </c>
      <c r="E1006" s="19" t="s">
        <v>147</v>
      </c>
      <c r="F1006" s="19" t="s">
        <v>357</v>
      </c>
      <c r="G1006" s="19" t="n">
        <v>117</v>
      </c>
      <c r="H1006" s="19" t="s">
        <v>358</v>
      </c>
      <c r="I1006" s="20" t="n">
        <v>67.272</v>
      </c>
      <c r="J1006" s="19" t="n">
        <f aca="false">IF(I1006="","",MIN(Overview!$B$8,MAX(1,CEILING(I1006/Overview!$B$7,1))))</f>
        <v>14</v>
      </c>
      <c r="K1006" s="19" t="n">
        <v>1</v>
      </c>
      <c r="L1006" s="19"/>
      <c r="M1006" s="20" t="n">
        <v>4</v>
      </c>
      <c r="N1006" s="19"/>
      <c r="O1006" s="19"/>
      <c r="P1006" s="19" t="s">
        <v>2901</v>
      </c>
      <c r="Q1006" s="19" t="s">
        <v>1368</v>
      </c>
      <c r="R1006" s="21" t="n">
        <v>45624</v>
      </c>
      <c r="S1006" s="19" t="s">
        <v>1036</v>
      </c>
      <c r="T1006" s="19" t="s">
        <v>3881</v>
      </c>
      <c r="U1006" s="19" t="str">
        <f aca="false">HYPERLINK("https://macaulaylibrary.org/asset/628584428","Open")</f>
        <v>Open</v>
      </c>
      <c r="V1006" s="19"/>
    </row>
    <row r="1007" customFormat="false" ht="15" hidden="false" customHeight="false" outlineLevel="0" collapsed="false">
      <c r="A1007" s="19" t="s">
        <v>3882</v>
      </c>
      <c r="B1007" s="19" t="s">
        <v>943</v>
      </c>
      <c r="C1007" s="19" t="s">
        <v>944</v>
      </c>
      <c r="D1007" s="19" t="s">
        <v>148</v>
      </c>
      <c r="E1007" s="19" t="s">
        <v>147</v>
      </c>
      <c r="F1007" s="19" t="s">
        <v>357</v>
      </c>
      <c r="G1007" s="19" t="n">
        <v>117</v>
      </c>
      <c r="H1007" s="19" t="s">
        <v>358</v>
      </c>
      <c r="I1007" s="20" t="n">
        <v>11.149</v>
      </c>
      <c r="J1007" s="19" t="n">
        <f aca="false">IF(I1007="","",MIN(Overview!$B$8,MAX(1,CEILING(I1007/Overview!$B$7,1))))</f>
        <v>3</v>
      </c>
      <c r="K1007" s="19" t="n">
        <v>1</v>
      </c>
      <c r="L1007" s="19"/>
      <c r="M1007" s="20" t="n">
        <v>4</v>
      </c>
      <c r="N1007" s="19"/>
      <c r="O1007" s="19"/>
      <c r="P1007" s="19" t="s">
        <v>1367</v>
      </c>
      <c r="Q1007" s="19" t="s">
        <v>1368</v>
      </c>
      <c r="R1007" s="21" t="n">
        <v>45488</v>
      </c>
      <c r="S1007" s="19" t="s">
        <v>1369</v>
      </c>
      <c r="T1007" s="19" t="s">
        <v>3883</v>
      </c>
      <c r="U1007" s="19" t="str">
        <f aca="false">HYPERLINK("https://macaulaylibrary.org/asset/628599475","Open")</f>
        <v>Open</v>
      </c>
      <c r="V1007" s="19"/>
    </row>
    <row r="1008" customFormat="false" ht="15" hidden="false" customHeight="false" outlineLevel="0" collapsed="false">
      <c r="A1008" s="19" t="s">
        <v>3884</v>
      </c>
      <c r="B1008" s="19" t="s">
        <v>943</v>
      </c>
      <c r="C1008" s="19" t="s">
        <v>944</v>
      </c>
      <c r="D1008" s="19" t="s">
        <v>148</v>
      </c>
      <c r="E1008" s="19" t="s">
        <v>147</v>
      </c>
      <c r="F1008" s="19" t="s">
        <v>332</v>
      </c>
      <c r="G1008" s="19" t="n">
        <v>118</v>
      </c>
      <c r="H1008" s="19" t="s">
        <v>333</v>
      </c>
      <c r="I1008" s="20" t="n">
        <v>3.093</v>
      </c>
      <c r="J1008" s="19" t="n">
        <f aca="false">IF(I1008="","",MIN(Overview!$B$8,MAX(1,CEILING(I1008/Overview!$B$7,1))))</f>
        <v>1</v>
      </c>
      <c r="K1008" s="19" t="n">
        <v>1</v>
      </c>
      <c r="L1008" s="19" t="s">
        <v>1048</v>
      </c>
      <c r="M1008" s="20"/>
      <c r="N1008" s="19"/>
      <c r="O1008" s="19"/>
      <c r="P1008" s="19" t="s">
        <v>3195</v>
      </c>
      <c r="Q1008" s="19" t="s">
        <v>965</v>
      </c>
      <c r="R1008" s="21" t="n">
        <v>43813</v>
      </c>
      <c r="S1008" s="19" t="s">
        <v>3196</v>
      </c>
      <c r="T1008" s="19" t="s">
        <v>3885</v>
      </c>
      <c r="U1008" s="19" t="str">
        <f aca="false">HYPERLINK("https://macaulaylibrary.org/asset/193419861","Open")</f>
        <v>Open</v>
      </c>
      <c r="V1008" s="19"/>
    </row>
    <row r="1009" customFormat="false" ht="15" hidden="false" customHeight="false" outlineLevel="0" collapsed="false">
      <c r="A1009" s="19" t="s">
        <v>3886</v>
      </c>
      <c r="B1009" s="19" t="s">
        <v>943</v>
      </c>
      <c r="C1009" s="19" t="s">
        <v>944</v>
      </c>
      <c r="D1009" s="19" t="s">
        <v>148</v>
      </c>
      <c r="E1009" s="19" t="s">
        <v>147</v>
      </c>
      <c r="F1009" s="19" t="s">
        <v>332</v>
      </c>
      <c r="G1009" s="19" t="n">
        <v>118</v>
      </c>
      <c r="H1009" s="19" t="s">
        <v>333</v>
      </c>
      <c r="I1009" s="20" t="n">
        <v>26.384</v>
      </c>
      <c r="J1009" s="19" t="n">
        <f aca="false">IF(I1009="","",MIN(Overview!$B$8,MAX(1,CEILING(I1009/Overview!$B$7,1))))</f>
        <v>6</v>
      </c>
      <c r="K1009" s="19" t="n">
        <v>1</v>
      </c>
      <c r="L1009" s="19"/>
      <c r="M1009" s="20"/>
      <c r="N1009" s="19"/>
      <c r="O1009" s="19"/>
      <c r="P1009" s="19" t="s">
        <v>1438</v>
      </c>
      <c r="Q1009" s="19" t="s">
        <v>1040</v>
      </c>
      <c r="R1009" s="21" t="n">
        <v>41267</v>
      </c>
      <c r="S1009" s="19" t="s">
        <v>1002</v>
      </c>
      <c r="T1009" s="19" t="s">
        <v>3887</v>
      </c>
      <c r="U1009" s="19" t="str">
        <f aca="false">HYPERLINK("https://macaulaylibrary.org/asset/609059106","Open")</f>
        <v>Open</v>
      </c>
      <c r="V1009" s="19"/>
    </row>
    <row r="1010" customFormat="false" ht="15" hidden="false" customHeight="false" outlineLevel="0" collapsed="false">
      <c r="A1010" s="19" t="s">
        <v>3888</v>
      </c>
      <c r="B1010" s="19" t="s">
        <v>943</v>
      </c>
      <c r="C1010" s="19" t="s">
        <v>944</v>
      </c>
      <c r="D1010" s="19" t="s">
        <v>148</v>
      </c>
      <c r="E1010" s="19" t="s">
        <v>147</v>
      </c>
      <c r="F1010" s="19" t="s">
        <v>332</v>
      </c>
      <c r="G1010" s="19" t="n">
        <v>118</v>
      </c>
      <c r="H1010" s="19" t="s">
        <v>333</v>
      </c>
      <c r="I1010" s="20" t="n">
        <v>7.683</v>
      </c>
      <c r="J1010" s="19" t="n">
        <f aca="false">IF(I1010="","",MIN(Overview!$B$8,MAX(1,CEILING(I1010/Overview!$B$7,1))))</f>
        <v>2</v>
      </c>
      <c r="K1010" s="19" t="n">
        <v>1</v>
      </c>
      <c r="L1010" s="19"/>
      <c r="M1010" s="20"/>
      <c r="N1010" s="19"/>
      <c r="O1010" s="19"/>
      <c r="P1010" s="19" t="s">
        <v>1184</v>
      </c>
      <c r="Q1010" s="19" t="s">
        <v>1185</v>
      </c>
      <c r="R1010" s="21" t="n">
        <v>45238</v>
      </c>
      <c r="S1010" s="19" t="s">
        <v>1186</v>
      </c>
      <c r="T1010" s="19" t="s">
        <v>3889</v>
      </c>
      <c r="U1010" s="19" t="str">
        <f aca="false">HYPERLINK("https://macaulaylibrary.org/asset/611512745","Open")</f>
        <v>Open</v>
      </c>
      <c r="V1010" s="19"/>
    </row>
    <row r="1011" customFormat="false" ht="15" hidden="false" customHeight="false" outlineLevel="0" collapsed="false">
      <c r="A1011" s="19" t="s">
        <v>3890</v>
      </c>
      <c r="B1011" s="19" t="s">
        <v>943</v>
      </c>
      <c r="C1011" s="19" t="s">
        <v>944</v>
      </c>
      <c r="D1011" s="19" t="s">
        <v>148</v>
      </c>
      <c r="E1011" s="19" t="s">
        <v>147</v>
      </c>
      <c r="F1011" s="19" t="s">
        <v>332</v>
      </c>
      <c r="G1011" s="19" t="n">
        <v>118</v>
      </c>
      <c r="H1011" s="19" t="s">
        <v>333</v>
      </c>
      <c r="I1011" s="20" t="n">
        <v>9.971</v>
      </c>
      <c r="J1011" s="19" t="n">
        <f aca="false">IF(I1011="","",MIN(Overview!$B$8,MAX(1,CEILING(I1011/Overview!$B$7,1))))</f>
        <v>2</v>
      </c>
      <c r="K1011" s="19" t="n">
        <v>1</v>
      </c>
      <c r="L1011" s="19"/>
      <c r="M1011" s="20"/>
      <c r="N1011" s="19"/>
      <c r="O1011" s="19"/>
      <c r="P1011" s="19" t="s">
        <v>1184</v>
      </c>
      <c r="Q1011" s="19" t="s">
        <v>1185</v>
      </c>
      <c r="R1011" s="21" t="n">
        <v>45238</v>
      </c>
      <c r="S1011" s="19" t="s">
        <v>1186</v>
      </c>
      <c r="T1011" s="19" t="s">
        <v>3891</v>
      </c>
      <c r="U1011" s="19" t="str">
        <f aca="false">HYPERLINK("https://macaulaylibrary.org/asset/611513030","Open")</f>
        <v>Open</v>
      </c>
      <c r="V1011" s="19"/>
    </row>
    <row r="1012" customFormat="false" ht="15" hidden="false" customHeight="false" outlineLevel="0" collapsed="false">
      <c r="A1012" s="19" t="s">
        <v>3892</v>
      </c>
      <c r="B1012" s="19" t="s">
        <v>943</v>
      </c>
      <c r="C1012" s="19" t="s">
        <v>944</v>
      </c>
      <c r="D1012" s="19" t="s">
        <v>148</v>
      </c>
      <c r="E1012" s="19" t="s">
        <v>147</v>
      </c>
      <c r="F1012" s="19" t="s">
        <v>332</v>
      </c>
      <c r="G1012" s="19" t="n">
        <v>118</v>
      </c>
      <c r="H1012" s="19" t="s">
        <v>333</v>
      </c>
      <c r="I1012" s="20" t="n">
        <v>13.864</v>
      </c>
      <c r="J1012" s="19" t="n">
        <f aca="false">IF(I1012="","",MIN(Overview!$B$8,MAX(1,CEILING(I1012/Overview!$B$7,1))))</f>
        <v>3</v>
      </c>
      <c r="K1012" s="19" t="n">
        <v>1</v>
      </c>
      <c r="L1012" s="19"/>
      <c r="M1012" s="20" t="n">
        <v>3</v>
      </c>
      <c r="N1012" s="19"/>
      <c r="O1012" s="19"/>
      <c r="P1012" s="19" t="s">
        <v>3893</v>
      </c>
      <c r="Q1012" s="19" t="s">
        <v>3894</v>
      </c>
      <c r="R1012" s="21" t="n">
        <v>45305</v>
      </c>
      <c r="S1012" s="19" t="s">
        <v>1259</v>
      </c>
      <c r="T1012" s="19" t="s">
        <v>3895</v>
      </c>
      <c r="U1012" s="19" t="str">
        <f aca="false">HYPERLINK("https://macaulaylibrary.org/asset/613718014","Open")</f>
        <v>Open</v>
      </c>
      <c r="V1012" s="19"/>
    </row>
    <row r="1013" customFormat="false" ht="15" hidden="false" customHeight="false" outlineLevel="0" collapsed="false">
      <c r="A1013" s="19" t="s">
        <v>3896</v>
      </c>
      <c r="B1013" s="19" t="s">
        <v>943</v>
      </c>
      <c r="C1013" s="19" t="s">
        <v>944</v>
      </c>
      <c r="D1013" s="19" t="s">
        <v>148</v>
      </c>
      <c r="E1013" s="19" t="s">
        <v>147</v>
      </c>
      <c r="F1013" s="19" t="s">
        <v>332</v>
      </c>
      <c r="G1013" s="19" t="n">
        <v>118</v>
      </c>
      <c r="H1013" s="19" t="s">
        <v>333</v>
      </c>
      <c r="I1013" s="20" t="n">
        <v>23.671</v>
      </c>
      <c r="J1013" s="19" t="n">
        <f aca="false">IF(I1013="","",MIN(Overview!$B$8,MAX(1,CEILING(I1013/Overview!$B$7,1))))</f>
        <v>5</v>
      </c>
      <c r="K1013" s="19" t="n">
        <v>1</v>
      </c>
      <c r="L1013" s="19"/>
      <c r="M1013" s="20"/>
      <c r="N1013" s="19"/>
      <c r="O1013" s="19"/>
      <c r="P1013" s="19" t="s">
        <v>3326</v>
      </c>
      <c r="Q1013" s="19" t="s">
        <v>1086</v>
      </c>
      <c r="R1013" s="21" t="n">
        <v>45297</v>
      </c>
      <c r="S1013" s="19" t="s">
        <v>1584</v>
      </c>
      <c r="T1013" s="19" t="s">
        <v>3897</v>
      </c>
      <c r="U1013" s="19" t="str">
        <f aca="false">HYPERLINK("https://macaulaylibrary.org/asset/614020159","Open")</f>
        <v>Open</v>
      </c>
      <c r="V1013" s="19"/>
    </row>
    <row r="1014" customFormat="false" ht="15" hidden="false" customHeight="false" outlineLevel="0" collapsed="false">
      <c r="A1014" s="19" t="s">
        <v>3898</v>
      </c>
      <c r="B1014" s="19" t="s">
        <v>943</v>
      </c>
      <c r="C1014" s="19" t="s">
        <v>944</v>
      </c>
      <c r="D1014" s="19" t="s">
        <v>148</v>
      </c>
      <c r="E1014" s="19" t="s">
        <v>147</v>
      </c>
      <c r="F1014" s="19" t="s">
        <v>332</v>
      </c>
      <c r="G1014" s="19" t="n">
        <v>118</v>
      </c>
      <c r="H1014" s="19" t="s">
        <v>333</v>
      </c>
      <c r="I1014" s="20" t="n">
        <v>22.76</v>
      </c>
      <c r="J1014" s="19" t="n">
        <f aca="false">IF(I1014="","",MIN(Overview!$B$8,MAX(1,CEILING(I1014/Overview!$B$7,1))))</f>
        <v>5</v>
      </c>
      <c r="K1014" s="19" t="n">
        <v>1</v>
      </c>
      <c r="L1014" s="19"/>
      <c r="M1014" s="20"/>
      <c r="N1014" s="19"/>
      <c r="O1014" s="19"/>
      <c r="P1014" s="19" t="s">
        <v>2532</v>
      </c>
      <c r="Q1014" s="19" t="s">
        <v>1258</v>
      </c>
      <c r="R1014" s="21" t="n">
        <v>45232</v>
      </c>
      <c r="S1014" s="19" t="s">
        <v>2533</v>
      </c>
      <c r="T1014" s="19" t="s">
        <v>3899</v>
      </c>
      <c r="U1014" s="19" t="str">
        <f aca="false">HYPERLINK("https://macaulaylibrary.org/asset/621760397","Open")</f>
        <v>Open</v>
      </c>
      <c r="V1014" s="19" t="s">
        <v>3900</v>
      </c>
    </row>
    <row r="1015" customFormat="false" ht="15" hidden="false" customHeight="false" outlineLevel="0" collapsed="false">
      <c r="A1015" s="19" t="s">
        <v>3901</v>
      </c>
      <c r="B1015" s="19" t="s">
        <v>943</v>
      </c>
      <c r="C1015" s="19" t="s">
        <v>944</v>
      </c>
      <c r="D1015" s="19" t="s">
        <v>148</v>
      </c>
      <c r="E1015" s="19" t="s">
        <v>147</v>
      </c>
      <c r="F1015" s="19" t="s">
        <v>332</v>
      </c>
      <c r="G1015" s="19" t="n">
        <v>118</v>
      </c>
      <c r="H1015" s="19" t="s">
        <v>333</v>
      </c>
      <c r="I1015" s="20" t="n">
        <v>16.96</v>
      </c>
      <c r="J1015" s="19" t="n">
        <f aca="false">IF(I1015="","",MIN(Overview!$B$8,MAX(1,CEILING(I1015/Overview!$B$7,1))))</f>
        <v>4</v>
      </c>
      <c r="K1015" s="19" t="n">
        <v>1</v>
      </c>
      <c r="L1015" s="19"/>
      <c r="M1015" s="20" t="n">
        <v>4</v>
      </c>
      <c r="N1015" s="19"/>
      <c r="O1015" s="19"/>
      <c r="P1015" s="19" t="s">
        <v>2507</v>
      </c>
      <c r="Q1015" s="19" t="s">
        <v>965</v>
      </c>
      <c r="R1015" s="21" t="n">
        <v>45640</v>
      </c>
      <c r="S1015" s="19" t="s">
        <v>2065</v>
      </c>
      <c r="T1015" s="19" t="s">
        <v>3902</v>
      </c>
      <c r="U1015" s="19" t="str">
        <f aca="false">HYPERLINK("https://macaulaylibrary.org/asset/627957627","Open")</f>
        <v>Open</v>
      </c>
      <c r="V1015" s="19"/>
    </row>
    <row r="1016" customFormat="false" ht="15" hidden="false" customHeight="false" outlineLevel="0" collapsed="false">
      <c r="A1016" s="19" t="s">
        <v>3903</v>
      </c>
      <c r="B1016" s="19" t="s">
        <v>943</v>
      </c>
      <c r="C1016" s="19" t="s">
        <v>944</v>
      </c>
      <c r="D1016" s="19" t="s">
        <v>148</v>
      </c>
      <c r="E1016" s="19" t="s">
        <v>147</v>
      </c>
      <c r="F1016" s="19" t="s">
        <v>332</v>
      </c>
      <c r="G1016" s="19" t="n">
        <v>118</v>
      </c>
      <c r="H1016" s="19" t="s">
        <v>333</v>
      </c>
      <c r="I1016" s="20" t="n">
        <v>2.309</v>
      </c>
      <c r="J1016" s="19" t="n">
        <f aca="false">IF(I1016="","",MIN(Overview!$B$8,MAX(1,CEILING(I1016/Overview!$B$7,1))))</f>
        <v>1</v>
      </c>
      <c r="K1016" s="19" t="n">
        <v>1</v>
      </c>
      <c r="L1016" s="19" t="s">
        <v>1048</v>
      </c>
      <c r="M1016" s="20"/>
      <c r="N1016" s="19"/>
      <c r="O1016" s="19"/>
      <c r="P1016" s="19" t="s">
        <v>3904</v>
      </c>
      <c r="Q1016" s="19" t="s">
        <v>3905</v>
      </c>
      <c r="R1016" s="21" t="n">
        <v>45394</v>
      </c>
      <c r="S1016" s="19" t="s">
        <v>1279</v>
      </c>
      <c r="T1016" s="19" t="s">
        <v>3906</v>
      </c>
      <c r="U1016" s="19" t="str">
        <f aca="false">HYPERLINK("https://macaulaylibrary.org/asset/630258199","Open")</f>
        <v>Open</v>
      </c>
      <c r="V1016" s="19"/>
    </row>
    <row r="1017" customFormat="false" ht="15" hidden="false" customHeight="false" outlineLevel="0" collapsed="false">
      <c r="A1017" s="19" t="s">
        <v>3907</v>
      </c>
      <c r="B1017" s="19" t="s">
        <v>943</v>
      </c>
      <c r="C1017" s="19" t="s">
        <v>944</v>
      </c>
      <c r="D1017" s="19" t="s">
        <v>148</v>
      </c>
      <c r="E1017" s="19" t="s">
        <v>147</v>
      </c>
      <c r="F1017" s="19" t="s">
        <v>332</v>
      </c>
      <c r="G1017" s="19" t="n">
        <v>118</v>
      </c>
      <c r="H1017" s="19" t="s">
        <v>333</v>
      </c>
      <c r="I1017" s="20" t="n">
        <v>20.386</v>
      </c>
      <c r="J1017" s="19" t="n">
        <f aca="false">IF(I1017="","",MIN(Overview!$B$8,MAX(1,CEILING(I1017/Overview!$B$7,1))))</f>
        <v>5</v>
      </c>
      <c r="K1017" s="19" t="n">
        <v>1</v>
      </c>
      <c r="L1017" s="19"/>
      <c r="M1017" s="20"/>
      <c r="N1017" s="19"/>
      <c r="O1017" s="19"/>
      <c r="P1017" s="19" t="s">
        <v>1674</v>
      </c>
      <c r="Q1017" s="19" t="s">
        <v>1091</v>
      </c>
      <c r="R1017" s="21" t="n">
        <v>45843</v>
      </c>
      <c r="S1017" s="19" t="s">
        <v>1009</v>
      </c>
      <c r="T1017" s="19" t="s">
        <v>3908</v>
      </c>
      <c r="U1017" s="19" t="str">
        <f aca="false">HYPERLINK("https://macaulaylibrary.org/asset/643661138","Open")</f>
        <v>Open</v>
      </c>
      <c r="V1017" s="19"/>
    </row>
    <row r="1018" customFormat="false" ht="15" hidden="false" customHeight="false" outlineLevel="0" collapsed="false">
      <c r="A1018" s="19" t="s">
        <v>3909</v>
      </c>
      <c r="B1018" s="19" t="s">
        <v>943</v>
      </c>
      <c r="C1018" s="19" t="s">
        <v>944</v>
      </c>
      <c r="D1018" s="19" t="s">
        <v>148</v>
      </c>
      <c r="E1018" s="19" t="s">
        <v>147</v>
      </c>
      <c r="F1018" s="19" t="s">
        <v>332</v>
      </c>
      <c r="G1018" s="19" t="n">
        <v>118</v>
      </c>
      <c r="H1018" s="19" t="s">
        <v>333</v>
      </c>
      <c r="I1018" s="20" t="n">
        <v>73.818</v>
      </c>
      <c r="J1018" s="19" t="n">
        <f aca="false">IF(I1018="","",MIN(Overview!$B$8,MAX(1,CEILING(I1018/Overview!$B$7,1))))</f>
        <v>15</v>
      </c>
      <c r="K1018" s="19" t="n">
        <v>1</v>
      </c>
      <c r="L1018" s="19"/>
      <c r="M1018" s="20" t="n">
        <v>4</v>
      </c>
      <c r="N1018" s="19"/>
      <c r="O1018" s="19" t="s">
        <v>3910</v>
      </c>
      <c r="P1018" s="19" t="s">
        <v>3911</v>
      </c>
      <c r="Q1018" s="19" t="s">
        <v>1502</v>
      </c>
      <c r="R1018" s="21" t="n">
        <v>45938</v>
      </c>
      <c r="S1018" s="19" t="s">
        <v>3912</v>
      </c>
      <c r="T1018" s="19" t="s">
        <v>3913</v>
      </c>
      <c r="U1018" s="19" t="str">
        <f aca="false">HYPERLINK("https://macaulaylibrary.org/asset/648627696","Open")</f>
        <v>Open</v>
      </c>
      <c r="V1018" s="19"/>
    </row>
    <row r="1019" customFormat="false" ht="15" hidden="false" customHeight="false" outlineLevel="0" collapsed="false">
      <c r="A1019" s="19" t="s">
        <v>3914</v>
      </c>
      <c r="B1019" s="19" t="s">
        <v>943</v>
      </c>
      <c r="C1019" s="19" t="s">
        <v>944</v>
      </c>
      <c r="D1019" s="19" t="s">
        <v>148</v>
      </c>
      <c r="E1019" s="19" t="s">
        <v>147</v>
      </c>
      <c r="F1019" s="19" t="s">
        <v>332</v>
      </c>
      <c r="G1019" s="19" t="n">
        <v>118</v>
      </c>
      <c r="H1019" s="19" t="s">
        <v>333</v>
      </c>
      <c r="I1019" s="20" t="n">
        <v>6.542</v>
      </c>
      <c r="J1019" s="19" t="n">
        <f aca="false">IF(I1019="","",MIN(Overview!$B$8,MAX(1,CEILING(I1019/Overview!$B$7,1))))</f>
        <v>2</v>
      </c>
      <c r="K1019" s="19" t="n">
        <v>1</v>
      </c>
      <c r="L1019" s="19"/>
      <c r="M1019" s="20"/>
      <c r="N1019" s="19"/>
      <c r="O1019" s="19"/>
      <c r="P1019" s="19" t="s">
        <v>2126</v>
      </c>
      <c r="Q1019" s="19" t="s">
        <v>2127</v>
      </c>
      <c r="R1019" s="21" t="n">
        <v>45300</v>
      </c>
      <c r="S1019" s="19" t="s">
        <v>2128</v>
      </c>
      <c r="T1019" s="19" t="s">
        <v>3915</v>
      </c>
      <c r="U1019" s="19" t="str">
        <f aca="false">HYPERLINK("https://macaulaylibrary.org/asset/655861621","Open")</f>
        <v>Open</v>
      </c>
      <c r="V1019" s="19"/>
    </row>
    <row r="1020" customFormat="false" ht="15" hidden="false" customHeight="false" outlineLevel="0" collapsed="false">
      <c r="A1020" s="19" t="s">
        <v>3916</v>
      </c>
      <c r="B1020" s="19" t="s">
        <v>943</v>
      </c>
      <c r="C1020" s="19" t="s">
        <v>944</v>
      </c>
      <c r="D1020" s="19" t="s">
        <v>148</v>
      </c>
      <c r="E1020" s="19" t="s">
        <v>147</v>
      </c>
      <c r="F1020" s="19" t="s">
        <v>379</v>
      </c>
      <c r="G1020" s="19" t="n">
        <v>119</v>
      </c>
      <c r="H1020" s="19" t="s">
        <v>380</v>
      </c>
      <c r="I1020" s="20" t="n">
        <v>31.07</v>
      </c>
      <c r="J1020" s="19" t="n">
        <f aca="false">IF(I1020="","",MIN(Overview!$B$8,MAX(1,CEILING(I1020/Overview!$B$7,1))))</f>
        <v>7</v>
      </c>
      <c r="K1020" s="19" t="n">
        <v>1</v>
      </c>
      <c r="L1020" s="19"/>
      <c r="M1020" s="20" t="n">
        <v>2.67</v>
      </c>
      <c r="N1020" s="19"/>
      <c r="O1020" s="19"/>
      <c r="P1020" s="19" t="s">
        <v>1722</v>
      </c>
      <c r="Q1020" s="19" t="s">
        <v>1401</v>
      </c>
      <c r="R1020" s="21" t="n">
        <v>33287</v>
      </c>
      <c r="S1020" s="19" t="s">
        <v>1013</v>
      </c>
      <c r="T1020" s="19" t="s">
        <v>3917</v>
      </c>
      <c r="U1020" s="19" t="str">
        <f aca="false">HYPERLINK("https://macaulaylibrary.org/asset/135382971","Open")</f>
        <v>Open</v>
      </c>
      <c r="V1020" s="19"/>
    </row>
    <row r="1021" customFormat="false" ht="15" hidden="false" customHeight="false" outlineLevel="0" collapsed="false">
      <c r="A1021" s="19" t="s">
        <v>3918</v>
      </c>
      <c r="B1021" s="19" t="s">
        <v>943</v>
      </c>
      <c r="C1021" s="19" t="s">
        <v>944</v>
      </c>
      <c r="D1021" s="19" t="s">
        <v>148</v>
      </c>
      <c r="E1021" s="19" t="s">
        <v>147</v>
      </c>
      <c r="F1021" s="19" t="s">
        <v>379</v>
      </c>
      <c r="G1021" s="19" t="n">
        <v>119</v>
      </c>
      <c r="H1021" s="19" t="s">
        <v>380</v>
      </c>
      <c r="I1021" s="20" t="n">
        <v>13.335</v>
      </c>
      <c r="J1021" s="19" t="n">
        <f aca="false">IF(I1021="","",MIN(Overview!$B$8,MAX(1,CEILING(I1021/Overview!$B$7,1))))</f>
        <v>3</v>
      </c>
      <c r="K1021" s="19" t="n">
        <v>1</v>
      </c>
      <c r="L1021" s="19"/>
      <c r="M1021" s="20" t="n">
        <v>2.67</v>
      </c>
      <c r="N1021" s="19"/>
      <c r="O1021" s="19"/>
      <c r="P1021" s="19" t="s">
        <v>2499</v>
      </c>
      <c r="Q1021" s="19" t="s">
        <v>1063</v>
      </c>
      <c r="R1021" s="21" t="n">
        <v>44087</v>
      </c>
      <c r="S1021" s="19" t="s">
        <v>2500</v>
      </c>
      <c r="T1021" s="19" t="s">
        <v>3919</v>
      </c>
      <c r="U1021" s="19" t="str">
        <f aca="false">HYPERLINK("https://macaulaylibrary.org/asset/267822831","Open")</f>
        <v>Open</v>
      </c>
      <c r="V1021" s="19"/>
    </row>
    <row r="1022" customFormat="false" ht="15" hidden="false" customHeight="false" outlineLevel="0" collapsed="false">
      <c r="A1022" s="19" t="s">
        <v>3920</v>
      </c>
      <c r="B1022" s="19" t="s">
        <v>943</v>
      </c>
      <c r="C1022" s="19" t="s">
        <v>944</v>
      </c>
      <c r="D1022" s="19" t="s">
        <v>148</v>
      </c>
      <c r="E1022" s="19" t="s">
        <v>147</v>
      </c>
      <c r="F1022" s="19" t="s">
        <v>379</v>
      </c>
      <c r="G1022" s="19" t="n">
        <v>119</v>
      </c>
      <c r="H1022" s="19" t="s">
        <v>380</v>
      </c>
      <c r="I1022" s="20" t="n">
        <v>21.131</v>
      </c>
      <c r="J1022" s="19" t="n">
        <f aca="false">IF(I1022="","",MIN(Overview!$B$8,MAX(1,CEILING(I1022/Overview!$B$7,1))))</f>
        <v>5</v>
      </c>
      <c r="K1022" s="19" t="n">
        <v>1</v>
      </c>
      <c r="L1022" s="19"/>
      <c r="M1022" s="20" t="n">
        <v>2.33</v>
      </c>
      <c r="N1022" s="19"/>
      <c r="O1022" s="19"/>
      <c r="P1022" s="19" t="s">
        <v>1278</v>
      </c>
      <c r="Q1022" s="19" t="s">
        <v>1030</v>
      </c>
      <c r="R1022" s="21" t="n">
        <v>33597</v>
      </c>
      <c r="S1022" s="19" t="s">
        <v>1279</v>
      </c>
      <c r="T1022" s="19" t="s">
        <v>3921</v>
      </c>
      <c r="U1022" s="19" t="str">
        <f aca="false">HYPERLINK("https://macaulaylibrary.org/asset/285636","Open")</f>
        <v>Open</v>
      </c>
      <c r="V1022" s="19"/>
    </row>
    <row r="1023" customFormat="false" ht="15" hidden="false" customHeight="false" outlineLevel="0" collapsed="false">
      <c r="A1023" s="19" t="s">
        <v>3922</v>
      </c>
      <c r="B1023" s="19" t="s">
        <v>943</v>
      </c>
      <c r="C1023" s="19" t="s">
        <v>944</v>
      </c>
      <c r="D1023" s="19" t="s">
        <v>148</v>
      </c>
      <c r="E1023" s="19" t="s">
        <v>147</v>
      </c>
      <c r="F1023" s="19" t="s">
        <v>379</v>
      </c>
      <c r="G1023" s="19" t="n">
        <v>119</v>
      </c>
      <c r="H1023" s="19" t="s">
        <v>380</v>
      </c>
      <c r="I1023" s="20" t="n">
        <v>47.099</v>
      </c>
      <c r="J1023" s="19" t="n">
        <f aca="false">IF(I1023="","",MIN(Overview!$B$8,MAX(1,CEILING(I1023/Overview!$B$7,1))))</f>
        <v>10</v>
      </c>
      <c r="K1023" s="19" t="n">
        <v>1</v>
      </c>
      <c r="L1023" s="19"/>
      <c r="M1023" s="20" t="n">
        <v>2</v>
      </c>
      <c r="N1023" s="19"/>
      <c r="O1023" s="19"/>
      <c r="P1023" s="19" t="s">
        <v>1029</v>
      </c>
      <c r="Q1023" s="19" t="s">
        <v>1030</v>
      </c>
      <c r="R1023" s="21" t="n">
        <v>40251</v>
      </c>
      <c r="S1023" s="19" t="s">
        <v>2971</v>
      </c>
      <c r="T1023" s="19" t="s">
        <v>3923</v>
      </c>
      <c r="U1023" s="19" t="str">
        <f aca="false">HYPERLINK("https://macaulaylibrary.org/asset/299635","Open")</f>
        <v>Open</v>
      </c>
      <c r="V1023" s="19"/>
    </row>
    <row r="1024" customFormat="false" ht="15" hidden="false" customHeight="false" outlineLevel="0" collapsed="false">
      <c r="A1024" s="19" t="s">
        <v>3924</v>
      </c>
      <c r="B1024" s="19" t="s">
        <v>943</v>
      </c>
      <c r="C1024" s="19" t="s">
        <v>944</v>
      </c>
      <c r="D1024" s="19" t="s">
        <v>148</v>
      </c>
      <c r="E1024" s="19" t="s">
        <v>147</v>
      </c>
      <c r="F1024" s="19" t="s">
        <v>379</v>
      </c>
      <c r="G1024" s="19" t="n">
        <v>119</v>
      </c>
      <c r="H1024" s="19" t="s">
        <v>380</v>
      </c>
      <c r="I1024" s="20" t="n">
        <v>10.153</v>
      </c>
      <c r="J1024" s="19" t="n">
        <f aca="false">IF(I1024="","",MIN(Overview!$B$8,MAX(1,CEILING(I1024/Overview!$B$7,1))))</f>
        <v>3</v>
      </c>
      <c r="K1024" s="19" t="n">
        <v>1</v>
      </c>
      <c r="L1024" s="19"/>
      <c r="M1024" s="20"/>
      <c r="N1024" s="19"/>
      <c r="O1024" s="19"/>
      <c r="P1024" s="19" t="s">
        <v>1477</v>
      </c>
      <c r="Q1024" s="19" t="s">
        <v>1478</v>
      </c>
      <c r="R1024" s="21" t="n">
        <v>45715</v>
      </c>
      <c r="S1024" s="19" t="s">
        <v>1479</v>
      </c>
      <c r="T1024" s="19" t="s">
        <v>3925</v>
      </c>
      <c r="U1024" s="19" t="str">
        <f aca="false">HYPERLINK("https://macaulaylibrary.org/asset/632692658","Open")</f>
        <v>Open</v>
      </c>
      <c r="V1024" s="19"/>
    </row>
    <row r="1025" customFormat="false" ht="15" hidden="false" customHeight="false" outlineLevel="0" collapsed="false">
      <c r="A1025" s="19" t="s">
        <v>3926</v>
      </c>
      <c r="B1025" s="19" t="s">
        <v>943</v>
      </c>
      <c r="C1025" s="19" t="s">
        <v>944</v>
      </c>
      <c r="D1025" s="19" t="s">
        <v>148</v>
      </c>
      <c r="E1025" s="19" t="s">
        <v>147</v>
      </c>
      <c r="F1025" s="19" t="s">
        <v>379</v>
      </c>
      <c r="G1025" s="19" t="n">
        <v>119</v>
      </c>
      <c r="H1025" s="19" t="s">
        <v>380</v>
      </c>
      <c r="I1025" s="20" t="n">
        <v>11.026</v>
      </c>
      <c r="J1025" s="19" t="n">
        <f aca="false">IF(I1025="","",MIN(Overview!$B$8,MAX(1,CEILING(I1025/Overview!$B$7,1))))</f>
        <v>3</v>
      </c>
      <c r="K1025" s="19" t="n">
        <v>1</v>
      </c>
      <c r="L1025" s="19"/>
      <c r="M1025" s="20"/>
      <c r="N1025" s="19"/>
      <c r="O1025" s="19"/>
      <c r="P1025" s="19" t="s">
        <v>2168</v>
      </c>
      <c r="Q1025" s="19" t="s">
        <v>1382</v>
      </c>
      <c r="R1025" s="21" t="n">
        <v>46104</v>
      </c>
      <c r="S1025" s="19" t="s">
        <v>1259</v>
      </c>
      <c r="T1025" s="19" t="s">
        <v>3927</v>
      </c>
      <c r="U1025" s="19" t="str">
        <f aca="false">HYPERLINK("https://macaulaylibrary.org/asset/654600215","Open")</f>
        <v>Open</v>
      </c>
      <c r="V1025" s="19"/>
    </row>
    <row r="1026" customFormat="false" ht="15" hidden="false" customHeight="false" outlineLevel="0" collapsed="false">
      <c r="A1026" s="19" t="s">
        <v>3928</v>
      </c>
      <c r="B1026" s="19" t="s">
        <v>943</v>
      </c>
      <c r="C1026" s="19" t="s">
        <v>944</v>
      </c>
      <c r="D1026" s="19" t="s">
        <v>148</v>
      </c>
      <c r="E1026" s="19" t="s">
        <v>147</v>
      </c>
      <c r="F1026" s="19" t="s">
        <v>379</v>
      </c>
      <c r="G1026" s="19" t="n">
        <v>119</v>
      </c>
      <c r="H1026" s="19" t="s">
        <v>380</v>
      </c>
      <c r="I1026" s="20" t="n">
        <v>96.037</v>
      </c>
      <c r="J1026" s="19" t="n">
        <f aca="false">IF(I1026="","",MIN(Overview!$B$8,MAX(1,CEILING(I1026/Overview!$B$7,1))))</f>
        <v>20</v>
      </c>
      <c r="K1026" s="19" t="n">
        <v>1</v>
      </c>
      <c r="L1026" s="19"/>
      <c r="M1026" s="20" t="n">
        <v>3</v>
      </c>
      <c r="N1026" s="19"/>
      <c r="O1026" s="19"/>
      <c r="P1026" s="19" t="s">
        <v>1710</v>
      </c>
      <c r="Q1026" s="19" t="s">
        <v>1218</v>
      </c>
      <c r="R1026" s="21" t="n">
        <v>33331</v>
      </c>
      <c r="S1026" s="19" t="s">
        <v>1009</v>
      </c>
      <c r="T1026" s="19" t="s">
        <v>3929</v>
      </c>
      <c r="U1026" s="19" t="str">
        <f aca="false">HYPERLINK("https://macaulaylibrary.org/asset/76634","Open")</f>
        <v>Open</v>
      </c>
      <c r="V1026" s="19" t="s">
        <v>3930</v>
      </c>
    </row>
    <row r="1027" customFormat="false" ht="15" hidden="false" customHeight="false" outlineLevel="0" collapsed="false">
      <c r="A1027" s="19" t="s">
        <v>3931</v>
      </c>
      <c r="B1027" s="19" t="s">
        <v>943</v>
      </c>
      <c r="C1027" s="19" t="s">
        <v>944</v>
      </c>
      <c r="D1027" s="19" t="s">
        <v>148</v>
      </c>
      <c r="E1027" s="19" t="s">
        <v>147</v>
      </c>
      <c r="F1027" s="19" t="s">
        <v>379</v>
      </c>
      <c r="G1027" s="19" t="n">
        <v>119</v>
      </c>
      <c r="H1027" s="19" t="s">
        <v>380</v>
      </c>
      <c r="I1027" s="20" t="n">
        <v>79.542</v>
      </c>
      <c r="J1027" s="19" t="n">
        <f aca="false">IF(I1027="","",MIN(Overview!$B$8,MAX(1,CEILING(I1027/Overview!$B$7,1))))</f>
        <v>16</v>
      </c>
      <c r="K1027" s="19" t="n">
        <v>1</v>
      </c>
      <c r="L1027" s="19"/>
      <c r="M1027" s="20" t="n">
        <v>2.33</v>
      </c>
      <c r="N1027" s="19"/>
      <c r="O1027" s="19"/>
      <c r="P1027" s="19" t="s">
        <v>1742</v>
      </c>
      <c r="Q1027" s="19" t="s">
        <v>1021</v>
      </c>
      <c r="R1027" s="21" t="n">
        <v>35860</v>
      </c>
      <c r="S1027" s="19" t="s">
        <v>1743</v>
      </c>
      <c r="T1027" s="19" t="s">
        <v>3932</v>
      </c>
      <c r="U1027" s="19" t="str">
        <f aca="false">HYPERLINK("https://macaulaylibrary.org/asset/98488021","Open")</f>
        <v>Open</v>
      </c>
      <c r="V1027" s="19"/>
    </row>
    <row r="1028" customFormat="false" ht="15" hidden="false" customHeight="false" outlineLevel="0" collapsed="false">
      <c r="A1028" s="19" t="s">
        <v>3933</v>
      </c>
      <c r="B1028" s="19" t="s">
        <v>1005</v>
      </c>
      <c r="C1028" s="19" t="s">
        <v>944</v>
      </c>
      <c r="D1028" s="19" t="s">
        <v>647</v>
      </c>
      <c r="E1028" s="19" t="s">
        <v>147</v>
      </c>
      <c r="F1028" s="19" t="s">
        <v>720</v>
      </c>
      <c r="G1028" s="19" t="n">
        <v>120</v>
      </c>
      <c r="H1028" s="19" t="s">
        <v>721</v>
      </c>
      <c r="I1028" s="20" t="n">
        <v>10.008</v>
      </c>
      <c r="J1028" s="19" t="n">
        <f aca="false">IF(I1028="","",MIN(Overview!$B$8,MAX(1,CEILING(I1028/Overview!$B$7,1))))</f>
        <v>3</v>
      </c>
      <c r="K1028" s="19" t="n">
        <v>1</v>
      </c>
      <c r="L1028" s="19"/>
      <c r="M1028" s="20"/>
      <c r="N1028" s="19" t="s">
        <v>1656</v>
      </c>
      <c r="O1028" s="19"/>
      <c r="P1028" s="19" t="s">
        <v>3934</v>
      </c>
      <c r="Q1028" s="19" t="s">
        <v>1008</v>
      </c>
      <c r="R1028" s="21" t="n">
        <v>42582</v>
      </c>
      <c r="S1028" s="19" t="s">
        <v>1858</v>
      </c>
      <c r="T1028" s="19" t="s">
        <v>3935</v>
      </c>
      <c r="U1028" s="19" t="str">
        <f aca="false">HYPERLINK("https://xeno-canto.org/332572","Open")</f>
        <v>Open</v>
      </c>
      <c r="V1028" s="19" t="s">
        <v>3936</v>
      </c>
    </row>
    <row r="1029" customFormat="false" ht="15" hidden="false" customHeight="false" outlineLevel="0" collapsed="false">
      <c r="A1029" s="19" t="s">
        <v>3937</v>
      </c>
      <c r="B1029" s="19" t="s">
        <v>1005</v>
      </c>
      <c r="C1029" s="19" t="s">
        <v>944</v>
      </c>
      <c r="D1029" s="19" t="s">
        <v>647</v>
      </c>
      <c r="E1029" s="19" t="s">
        <v>147</v>
      </c>
      <c r="F1029" s="19" t="s">
        <v>720</v>
      </c>
      <c r="G1029" s="19" t="n">
        <v>120</v>
      </c>
      <c r="H1029" s="19" t="s">
        <v>721</v>
      </c>
      <c r="I1029" s="20" t="n">
        <v>20.04</v>
      </c>
      <c r="J1029" s="19" t="n">
        <f aca="false">IF(I1029="","",MIN(Overview!$B$8,MAX(1,CEILING(I1029/Overview!$B$7,1))))</f>
        <v>5</v>
      </c>
      <c r="K1029" s="19" t="n">
        <v>1</v>
      </c>
      <c r="L1029" s="19"/>
      <c r="M1029" s="20"/>
      <c r="N1029" s="19" t="s">
        <v>1718</v>
      </c>
      <c r="O1029" s="19"/>
      <c r="P1029" s="19" t="s">
        <v>3934</v>
      </c>
      <c r="Q1029" s="19" t="s">
        <v>1008</v>
      </c>
      <c r="R1029" s="21" t="n">
        <v>42582</v>
      </c>
      <c r="S1029" s="19" t="s">
        <v>1858</v>
      </c>
      <c r="T1029" s="19" t="s">
        <v>3938</v>
      </c>
      <c r="U1029" s="19" t="str">
        <f aca="false">HYPERLINK("https://xeno-canto.org/332573","Open")</f>
        <v>Open</v>
      </c>
      <c r="V1029" s="19" t="s">
        <v>3936</v>
      </c>
    </row>
    <row r="1030" customFormat="false" ht="15" hidden="false" customHeight="false" outlineLevel="0" collapsed="false">
      <c r="A1030" s="19" t="s">
        <v>3939</v>
      </c>
      <c r="B1030" s="19" t="s">
        <v>943</v>
      </c>
      <c r="C1030" s="19" t="s">
        <v>944</v>
      </c>
      <c r="D1030" s="19" t="s">
        <v>148</v>
      </c>
      <c r="E1030" s="19" t="s">
        <v>147</v>
      </c>
      <c r="F1030" s="19" t="s">
        <v>338</v>
      </c>
      <c r="G1030" s="19" t="n">
        <v>121</v>
      </c>
      <c r="H1030" s="19" t="s">
        <v>339</v>
      </c>
      <c r="I1030" s="20" t="n">
        <v>12.403</v>
      </c>
      <c r="J1030" s="19" t="n">
        <f aca="false">IF(I1030="","",MIN(Overview!$B$8,MAX(1,CEILING(I1030/Overview!$B$7,1))))</f>
        <v>3</v>
      </c>
      <c r="K1030" s="19" t="n">
        <v>1</v>
      </c>
      <c r="L1030" s="19"/>
      <c r="M1030" s="20" t="n">
        <v>1.5</v>
      </c>
      <c r="N1030" s="19"/>
      <c r="O1030" s="19"/>
      <c r="P1030" s="19" t="s">
        <v>3940</v>
      </c>
      <c r="Q1030" s="19" t="s">
        <v>2235</v>
      </c>
      <c r="R1030" s="21" t="n">
        <v>43467</v>
      </c>
      <c r="S1030" s="19" t="s">
        <v>3941</v>
      </c>
      <c r="T1030" s="19" t="s">
        <v>3942</v>
      </c>
      <c r="U1030" s="19" t="str">
        <f aca="false">HYPERLINK("https://macaulaylibrary.org/asset/143083551","Open")</f>
        <v>Open</v>
      </c>
      <c r="V1030" s="19"/>
    </row>
    <row r="1031" customFormat="false" ht="15" hidden="false" customHeight="false" outlineLevel="0" collapsed="false">
      <c r="A1031" s="19" t="s">
        <v>3943</v>
      </c>
      <c r="B1031" s="19" t="s">
        <v>943</v>
      </c>
      <c r="C1031" s="19" t="s">
        <v>944</v>
      </c>
      <c r="D1031" s="19" t="s">
        <v>148</v>
      </c>
      <c r="E1031" s="19" t="s">
        <v>147</v>
      </c>
      <c r="F1031" s="19" t="s">
        <v>338</v>
      </c>
      <c r="G1031" s="19" t="n">
        <v>121</v>
      </c>
      <c r="H1031" s="19" t="s">
        <v>339</v>
      </c>
      <c r="I1031" s="20" t="n">
        <v>135.44</v>
      </c>
      <c r="J1031" s="19" t="n">
        <f aca="false">IF(I1031="","",MIN(Overview!$B$8,MAX(1,CEILING(I1031/Overview!$B$7,1))))</f>
        <v>28</v>
      </c>
      <c r="K1031" s="19" t="n">
        <v>1</v>
      </c>
      <c r="L1031" s="19"/>
      <c r="M1031" s="20" t="n">
        <v>2</v>
      </c>
      <c r="N1031" s="19"/>
      <c r="O1031" s="19" t="s">
        <v>1600</v>
      </c>
      <c r="P1031" s="19" t="s">
        <v>1682</v>
      </c>
      <c r="Q1031" s="19" t="s">
        <v>980</v>
      </c>
      <c r="R1031" s="21" t="n">
        <v>35206</v>
      </c>
      <c r="S1031" s="19" t="s">
        <v>1683</v>
      </c>
      <c r="T1031" s="19" t="s">
        <v>3944</v>
      </c>
      <c r="U1031" s="19" t="str">
        <f aca="false">HYPERLINK("https://macaulaylibrary.org/asset/184765","Open")</f>
        <v>Open</v>
      </c>
      <c r="V1031" s="19"/>
    </row>
    <row r="1032" customFormat="false" ht="15" hidden="false" customHeight="false" outlineLevel="0" collapsed="false">
      <c r="A1032" s="19" t="s">
        <v>3945</v>
      </c>
      <c r="B1032" s="19" t="s">
        <v>943</v>
      </c>
      <c r="C1032" s="19" t="s">
        <v>944</v>
      </c>
      <c r="D1032" s="19" t="s">
        <v>148</v>
      </c>
      <c r="E1032" s="19" t="s">
        <v>147</v>
      </c>
      <c r="F1032" s="19" t="s">
        <v>338</v>
      </c>
      <c r="G1032" s="19" t="n">
        <v>121</v>
      </c>
      <c r="H1032" s="19" t="s">
        <v>339</v>
      </c>
      <c r="I1032" s="20" t="n">
        <v>9.087</v>
      </c>
      <c r="J1032" s="19" t="n">
        <f aca="false">IF(I1032="","",MIN(Overview!$B$8,MAX(1,CEILING(I1032/Overview!$B$7,1))))</f>
        <v>2</v>
      </c>
      <c r="K1032" s="19" t="n">
        <v>1</v>
      </c>
      <c r="L1032" s="19"/>
      <c r="M1032" s="20" t="n">
        <v>3.67</v>
      </c>
      <c r="N1032" s="19"/>
      <c r="O1032" s="19"/>
      <c r="P1032" s="19" t="s">
        <v>1075</v>
      </c>
      <c r="Q1032" s="19" t="s">
        <v>1076</v>
      </c>
      <c r="R1032" s="21" t="n">
        <v>43398</v>
      </c>
      <c r="S1032" s="19" t="s">
        <v>1077</v>
      </c>
      <c r="T1032" s="19" t="s">
        <v>3946</v>
      </c>
      <c r="U1032" s="19" t="str">
        <f aca="false">HYPERLINK("https://macaulaylibrary.org/asset/470892931","Open")</f>
        <v>Open</v>
      </c>
      <c r="V1032" s="19"/>
    </row>
    <row r="1033" customFormat="false" ht="15" hidden="false" customHeight="false" outlineLevel="0" collapsed="false">
      <c r="A1033" s="19" t="s">
        <v>3947</v>
      </c>
      <c r="B1033" s="19" t="s">
        <v>943</v>
      </c>
      <c r="C1033" s="19" t="s">
        <v>944</v>
      </c>
      <c r="D1033" s="19" t="s">
        <v>148</v>
      </c>
      <c r="E1033" s="19" t="s">
        <v>147</v>
      </c>
      <c r="F1033" s="19" t="s">
        <v>338</v>
      </c>
      <c r="G1033" s="19" t="n">
        <v>121</v>
      </c>
      <c r="H1033" s="19" t="s">
        <v>339</v>
      </c>
      <c r="I1033" s="20" t="n">
        <v>9.918</v>
      </c>
      <c r="J1033" s="19" t="n">
        <f aca="false">IF(I1033="","",MIN(Overview!$B$8,MAX(1,CEILING(I1033/Overview!$B$7,1))))</f>
        <v>2</v>
      </c>
      <c r="K1033" s="19" t="n">
        <v>1</v>
      </c>
      <c r="L1033" s="19"/>
      <c r="M1033" s="20" t="n">
        <v>3.5</v>
      </c>
      <c r="N1033" s="19"/>
      <c r="O1033" s="19"/>
      <c r="P1033" s="19" t="s">
        <v>1170</v>
      </c>
      <c r="Q1033" s="19" t="s">
        <v>1166</v>
      </c>
      <c r="R1033" s="21" t="n">
        <v>44900</v>
      </c>
      <c r="S1033" s="19" t="s">
        <v>1092</v>
      </c>
      <c r="T1033" s="19" t="s">
        <v>3948</v>
      </c>
      <c r="U1033" s="19" t="str">
        <f aca="false">HYPERLINK("https://macaulaylibrary.org/asset/597934381","Open")</f>
        <v>Open</v>
      </c>
      <c r="V1033" s="19"/>
    </row>
    <row r="1034" customFormat="false" ht="15" hidden="false" customHeight="false" outlineLevel="0" collapsed="false">
      <c r="A1034" s="19" t="s">
        <v>3949</v>
      </c>
      <c r="B1034" s="19" t="s">
        <v>943</v>
      </c>
      <c r="C1034" s="19" t="s">
        <v>944</v>
      </c>
      <c r="D1034" s="19" t="s">
        <v>148</v>
      </c>
      <c r="E1034" s="19" t="s">
        <v>147</v>
      </c>
      <c r="F1034" s="19" t="s">
        <v>338</v>
      </c>
      <c r="G1034" s="19" t="n">
        <v>121</v>
      </c>
      <c r="H1034" s="19" t="s">
        <v>339</v>
      </c>
      <c r="I1034" s="20" t="n">
        <v>8.187</v>
      </c>
      <c r="J1034" s="19" t="n">
        <f aca="false">IF(I1034="","",MIN(Overview!$B$8,MAX(1,CEILING(I1034/Overview!$B$7,1))))</f>
        <v>2</v>
      </c>
      <c r="K1034" s="19" t="n">
        <v>1</v>
      </c>
      <c r="L1034" s="19"/>
      <c r="M1034" s="20" t="n">
        <v>2.5</v>
      </c>
      <c r="N1034" s="19"/>
      <c r="O1034" s="19"/>
      <c r="P1034" s="19" t="s">
        <v>1605</v>
      </c>
      <c r="Q1034" s="19" t="s">
        <v>1040</v>
      </c>
      <c r="R1034" s="21" t="n">
        <v>40902</v>
      </c>
      <c r="S1034" s="19" t="s">
        <v>1002</v>
      </c>
      <c r="T1034" s="19" t="s">
        <v>3950</v>
      </c>
      <c r="U1034" s="19" t="str">
        <f aca="false">HYPERLINK("https://macaulaylibrary.org/asset/609056567","Open")</f>
        <v>Open</v>
      </c>
      <c r="V1034" s="19"/>
    </row>
    <row r="1035" customFormat="false" ht="15" hidden="false" customHeight="false" outlineLevel="0" collapsed="false">
      <c r="A1035" s="19" t="s">
        <v>3951</v>
      </c>
      <c r="B1035" s="19" t="s">
        <v>943</v>
      </c>
      <c r="C1035" s="19" t="s">
        <v>944</v>
      </c>
      <c r="D1035" s="19" t="s">
        <v>148</v>
      </c>
      <c r="E1035" s="19" t="s">
        <v>147</v>
      </c>
      <c r="F1035" s="19" t="s">
        <v>338</v>
      </c>
      <c r="G1035" s="19" t="n">
        <v>121</v>
      </c>
      <c r="H1035" s="19" t="s">
        <v>339</v>
      </c>
      <c r="I1035" s="20" t="n">
        <v>13.002</v>
      </c>
      <c r="J1035" s="19" t="n">
        <f aca="false">IF(I1035="","",MIN(Overview!$B$8,MAX(1,CEILING(I1035/Overview!$B$7,1))))</f>
        <v>3</v>
      </c>
      <c r="K1035" s="19" t="n">
        <v>1</v>
      </c>
      <c r="L1035" s="19"/>
      <c r="M1035" s="20" t="n">
        <v>4.5</v>
      </c>
      <c r="N1035" s="19"/>
      <c r="O1035" s="19"/>
      <c r="P1035" s="19" t="s">
        <v>1811</v>
      </c>
      <c r="Q1035" s="19" t="s">
        <v>1368</v>
      </c>
      <c r="R1035" s="21" t="n">
        <v>45489</v>
      </c>
      <c r="S1035" s="19" t="s">
        <v>1081</v>
      </c>
      <c r="T1035" s="19" t="s">
        <v>3952</v>
      </c>
      <c r="U1035" s="19" t="str">
        <f aca="false">HYPERLINK("https://macaulaylibrary.org/asset/628653387","Open")</f>
        <v>Open</v>
      </c>
      <c r="V1035" s="19"/>
    </row>
    <row r="1036" customFormat="false" ht="15" hidden="false" customHeight="false" outlineLevel="0" collapsed="false">
      <c r="A1036" s="19" t="s">
        <v>3953</v>
      </c>
      <c r="B1036" s="19" t="s">
        <v>943</v>
      </c>
      <c r="C1036" s="19" t="s">
        <v>944</v>
      </c>
      <c r="D1036" s="19" t="s">
        <v>148</v>
      </c>
      <c r="E1036" s="19" t="s">
        <v>147</v>
      </c>
      <c r="F1036" s="19" t="s">
        <v>338</v>
      </c>
      <c r="G1036" s="19" t="n">
        <v>121</v>
      </c>
      <c r="H1036" s="19" t="s">
        <v>339</v>
      </c>
      <c r="I1036" s="20" t="n">
        <v>2.576</v>
      </c>
      <c r="J1036" s="19" t="n">
        <f aca="false">IF(I1036="","",MIN(Overview!$B$8,MAX(1,CEILING(I1036/Overview!$B$7,1))))</f>
        <v>1</v>
      </c>
      <c r="K1036" s="19" t="n">
        <v>1</v>
      </c>
      <c r="L1036" s="19" t="s">
        <v>1048</v>
      </c>
      <c r="M1036" s="20" t="n">
        <v>4.5</v>
      </c>
      <c r="N1036" s="19"/>
      <c r="O1036" s="19"/>
      <c r="P1036" s="19" t="s">
        <v>1811</v>
      </c>
      <c r="Q1036" s="19" t="s">
        <v>1368</v>
      </c>
      <c r="R1036" s="21" t="n">
        <v>45489</v>
      </c>
      <c r="S1036" s="19" t="s">
        <v>1081</v>
      </c>
      <c r="T1036" s="19" t="s">
        <v>3954</v>
      </c>
      <c r="U1036" s="19" t="str">
        <f aca="false">HYPERLINK("https://macaulaylibrary.org/asset/628653388","Open")</f>
        <v>Open</v>
      </c>
      <c r="V1036" s="19"/>
    </row>
    <row r="1037" customFormat="false" ht="15" hidden="false" customHeight="false" outlineLevel="0" collapsed="false">
      <c r="A1037" s="19" t="s">
        <v>3955</v>
      </c>
      <c r="B1037" s="19" t="s">
        <v>943</v>
      </c>
      <c r="C1037" s="19" t="s">
        <v>944</v>
      </c>
      <c r="D1037" s="19" t="s">
        <v>148</v>
      </c>
      <c r="E1037" s="19" t="s">
        <v>147</v>
      </c>
      <c r="F1037" s="19" t="s">
        <v>338</v>
      </c>
      <c r="G1037" s="19" t="n">
        <v>121</v>
      </c>
      <c r="H1037" s="19" t="s">
        <v>339</v>
      </c>
      <c r="I1037" s="20" t="n">
        <v>25.409</v>
      </c>
      <c r="J1037" s="19" t="n">
        <f aca="false">IF(I1037="","",MIN(Overview!$B$8,MAX(1,CEILING(I1037/Overview!$B$7,1))))</f>
        <v>6</v>
      </c>
      <c r="K1037" s="19" t="n">
        <v>1</v>
      </c>
      <c r="L1037" s="19"/>
      <c r="M1037" s="20" t="n">
        <v>4.5</v>
      </c>
      <c r="N1037" s="19"/>
      <c r="O1037" s="19"/>
      <c r="P1037" s="19" t="s">
        <v>2119</v>
      </c>
      <c r="Q1037" s="19" t="s">
        <v>1368</v>
      </c>
      <c r="R1037" s="21" t="n">
        <v>45489</v>
      </c>
      <c r="S1037" s="19" t="s">
        <v>1211</v>
      </c>
      <c r="T1037" s="19" t="s">
        <v>3956</v>
      </c>
      <c r="U1037" s="19" t="str">
        <f aca="false">HYPERLINK("https://macaulaylibrary.org/asset/631664487","Open")</f>
        <v>Open</v>
      </c>
      <c r="V1037" s="19"/>
    </row>
    <row r="1038" customFormat="false" ht="15" hidden="false" customHeight="false" outlineLevel="0" collapsed="false">
      <c r="A1038" s="19" t="s">
        <v>3957</v>
      </c>
      <c r="B1038" s="19" t="s">
        <v>943</v>
      </c>
      <c r="C1038" s="19" t="s">
        <v>944</v>
      </c>
      <c r="D1038" s="19" t="s">
        <v>148</v>
      </c>
      <c r="E1038" s="19" t="s">
        <v>147</v>
      </c>
      <c r="F1038" s="19" t="s">
        <v>338</v>
      </c>
      <c r="G1038" s="19" t="n">
        <v>121</v>
      </c>
      <c r="H1038" s="19" t="s">
        <v>339</v>
      </c>
      <c r="I1038" s="20" t="n">
        <v>10.484</v>
      </c>
      <c r="J1038" s="19" t="n">
        <f aca="false">IF(I1038="","",MIN(Overview!$B$8,MAX(1,CEILING(I1038/Overview!$B$7,1))))</f>
        <v>3</v>
      </c>
      <c r="K1038" s="19" t="n">
        <v>1</v>
      </c>
      <c r="L1038" s="19"/>
      <c r="M1038" s="20"/>
      <c r="N1038" s="19"/>
      <c r="O1038" s="19"/>
      <c r="P1038" s="19" t="s">
        <v>1347</v>
      </c>
      <c r="Q1038" s="19" t="s">
        <v>1348</v>
      </c>
      <c r="R1038" s="21" t="n">
        <v>46100</v>
      </c>
      <c r="S1038" s="19" t="s">
        <v>1106</v>
      </c>
      <c r="T1038" s="19" t="s">
        <v>3958</v>
      </c>
      <c r="U1038" s="19" t="str">
        <f aca="false">HYPERLINK("https://macaulaylibrary.org/asset/654443036","Open")</f>
        <v>Open</v>
      </c>
      <c r="V1038" s="19"/>
    </row>
    <row r="1039" customFormat="false" ht="15" hidden="false" customHeight="false" outlineLevel="0" collapsed="false">
      <c r="A1039" s="19" t="s">
        <v>3959</v>
      </c>
      <c r="B1039" s="19" t="s">
        <v>943</v>
      </c>
      <c r="C1039" s="19" t="s">
        <v>944</v>
      </c>
      <c r="D1039" s="19" t="s">
        <v>148</v>
      </c>
      <c r="E1039" s="19" t="s">
        <v>147</v>
      </c>
      <c r="F1039" s="19" t="s">
        <v>338</v>
      </c>
      <c r="G1039" s="19" t="n">
        <v>121</v>
      </c>
      <c r="H1039" s="19" t="s">
        <v>339</v>
      </c>
      <c r="I1039" s="20" t="n">
        <v>252.3</v>
      </c>
      <c r="J1039" s="19" t="n">
        <f aca="false">IF(I1039="","",MIN(Overview!$B$8,MAX(1,CEILING(I1039/Overview!$B$7,1))))</f>
        <v>51</v>
      </c>
      <c r="K1039" s="19" t="n">
        <v>1</v>
      </c>
      <c r="L1039" s="19"/>
      <c r="M1039" s="20" t="n">
        <v>3</v>
      </c>
      <c r="N1039" s="19"/>
      <c r="O1039" s="19"/>
      <c r="P1039" s="19" t="s">
        <v>1573</v>
      </c>
      <c r="Q1039" s="19" t="s">
        <v>1021</v>
      </c>
      <c r="R1039" s="21" t="n">
        <v>35861</v>
      </c>
      <c r="S1039" s="19" t="s">
        <v>1574</v>
      </c>
      <c r="T1039" s="19" t="s">
        <v>3960</v>
      </c>
      <c r="U1039" s="19" t="str">
        <f aca="false">HYPERLINK("https://macaulaylibrary.org/asset/99572391","Open")</f>
        <v>Open</v>
      </c>
      <c r="V1039" s="19"/>
    </row>
    <row r="1040" customFormat="false" ht="15" hidden="false" customHeight="false" outlineLevel="0" collapsed="false">
      <c r="A1040" s="19" t="s">
        <v>3961</v>
      </c>
      <c r="B1040" s="19" t="s">
        <v>943</v>
      </c>
      <c r="C1040" s="19" t="s">
        <v>944</v>
      </c>
      <c r="D1040" s="19" t="s">
        <v>400</v>
      </c>
      <c r="E1040" s="19" t="s">
        <v>147</v>
      </c>
      <c r="F1040" s="19" t="s">
        <v>722</v>
      </c>
      <c r="G1040" s="19" t="n">
        <v>122</v>
      </c>
      <c r="H1040" s="19" t="s">
        <v>723</v>
      </c>
      <c r="I1040" s="20" t="n">
        <v>2.641</v>
      </c>
      <c r="J1040" s="19" t="n">
        <f aca="false">IF(I1040="","",MIN(Overview!$B$8,MAX(1,CEILING(I1040/Overview!$B$7,1))))</f>
        <v>1</v>
      </c>
      <c r="K1040" s="19" t="n">
        <v>1</v>
      </c>
      <c r="L1040" s="19" t="s">
        <v>1048</v>
      </c>
      <c r="M1040" s="20" t="n">
        <v>3</v>
      </c>
      <c r="N1040" s="19"/>
      <c r="O1040" s="19"/>
      <c r="P1040" s="19" t="s">
        <v>1949</v>
      </c>
      <c r="Q1040" s="19" t="s">
        <v>1368</v>
      </c>
      <c r="R1040" s="21" t="n">
        <v>45983</v>
      </c>
      <c r="S1040" s="19" t="s">
        <v>1022</v>
      </c>
      <c r="T1040" s="19" t="s">
        <v>3962</v>
      </c>
      <c r="U1040" s="19" t="str">
        <f aca="false">HYPERLINK("https://macaulaylibrary.org/asset/646193389","Open")</f>
        <v>Open</v>
      </c>
      <c r="V1040" s="19"/>
    </row>
    <row r="1041" customFormat="false" ht="15" hidden="false" customHeight="false" outlineLevel="0" collapsed="false">
      <c r="A1041" s="19" t="s">
        <v>3963</v>
      </c>
      <c r="B1041" s="19" t="s">
        <v>943</v>
      </c>
      <c r="C1041" s="19" t="s">
        <v>944</v>
      </c>
      <c r="D1041" s="19" t="s">
        <v>400</v>
      </c>
      <c r="E1041" s="19" t="s">
        <v>147</v>
      </c>
      <c r="F1041" s="19" t="s">
        <v>658</v>
      </c>
      <c r="G1041" s="19" t="n">
        <v>123</v>
      </c>
      <c r="H1041" s="19" t="s">
        <v>659</v>
      </c>
      <c r="I1041" s="20" t="n">
        <v>8.341</v>
      </c>
      <c r="J1041" s="19" t="n">
        <f aca="false">IF(I1041="","",MIN(Overview!$B$8,MAX(1,CEILING(I1041/Overview!$B$7,1))))</f>
        <v>2</v>
      </c>
      <c r="K1041" s="19" t="n">
        <v>1</v>
      </c>
      <c r="L1041" s="19"/>
      <c r="M1041" s="20" t="n">
        <v>2</v>
      </c>
      <c r="N1041" s="19"/>
      <c r="O1041" s="19"/>
      <c r="P1041" s="19" t="s">
        <v>2465</v>
      </c>
      <c r="Q1041" s="19" t="s">
        <v>965</v>
      </c>
      <c r="R1041" s="21" t="n">
        <v>43812</v>
      </c>
      <c r="S1041" s="19" t="s">
        <v>2466</v>
      </c>
      <c r="T1041" s="19" t="s">
        <v>3964</v>
      </c>
      <c r="U1041" s="19" t="str">
        <f aca="false">HYPERLINK("https://macaulaylibrary.org/asset/193406341","Open")</f>
        <v>Open</v>
      </c>
      <c r="V1041" s="19"/>
    </row>
    <row r="1042" customFormat="false" ht="15" hidden="false" customHeight="false" outlineLevel="0" collapsed="false">
      <c r="A1042" s="19" t="s">
        <v>3965</v>
      </c>
      <c r="B1042" s="19" t="s">
        <v>943</v>
      </c>
      <c r="C1042" s="19" t="s">
        <v>944</v>
      </c>
      <c r="D1042" s="19" t="s">
        <v>400</v>
      </c>
      <c r="E1042" s="19" t="s">
        <v>147</v>
      </c>
      <c r="F1042" s="19" t="s">
        <v>658</v>
      </c>
      <c r="G1042" s="19" t="n">
        <v>123</v>
      </c>
      <c r="H1042" s="19" t="s">
        <v>659</v>
      </c>
      <c r="I1042" s="20" t="n">
        <v>32.056</v>
      </c>
      <c r="J1042" s="19" t="n">
        <f aca="false">IF(I1042="","",MIN(Overview!$B$8,MAX(1,CEILING(I1042/Overview!$B$7,1))))</f>
        <v>7</v>
      </c>
      <c r="K1042" s="19" t="n">
        <v>1</v>
      </c>
      <c r="L1042" s="19"/>
      <c r="M1042" s="20" t="n">
        <v>1.4</v>
      </c>
      <c r="N1042" s="19"/>
      <c r="O1042" s="19" t="s">
        <v>3966</v>
      </c>
      <c r="P1042" s="19" t="s">
        <v>1883</v>
      </c>
      <c r="Q1042" s="19" t="s">
        <v>1136</v>
      </c>
      <c r="R1042" s="21" t="n">
        <v>29734</v>
      </c>
      <c r="S1042" s="19" t="s">
        <v>3967</v>
      </c>
      <c r="T1042" s="19" t="s">
        <v>3968</v>
      </c>
      <c r="U1042" s="19" t="str">
        <f aca="false">HYPERLINK("https://macaulaylibrary.org/asset/28129","Open")</f>
        <v>Open</v>
      </c>
      <c r="V1042" s="19"/>
    </row>
    <row r="1043" customFormat="false" ht="15" hidden="false" customHeight="false" outlineLevel="0" collapsed="false">
      <c r="A1043" s="19" t="s">
        <v>3969</v>
      </c>
      <c r="B1043" s="19" t="s">
        <v>943</v>
      </c>
      <c r="C1043" s="19" t="s">
        <v>944</v>
      </c>
      <c r="D1043" s="19" t="s">
        <v>148</v>
      </c>
      <c r="E1043" s="19" t="s">
        <v>147</v>
      </c>
      <c r="F1043" s="19" t="s">
        <v>319</v>
      </c>
      <c r="G1043" s="19" t="n">
        <v>124</v>
      </c>
      <c r="H1043" s="19" t="s">
        <v>320</v>
      </c>
      <c r="I1043" s="20" t="n">
        <v>198.81</v>
      </c>
      <c r="J1043" s="19" t="n">
        <f aca="false">IF(I1043="","",MIN(Overview!$B$8,MAX(1,CEILING(I1043/Overview!$B$7,1))))</f>
        <v>40</v>
      </c>
      <c r="K1043" s="19" t="n">
        <v>1</v>
      </c>
      <c r="L1043" s="19"/>
      <c r="M1043" s="20" t="n">
        <v>4</v>
      </c>
      <c r="N1043" s="19"/>
      <c r="O1043" s="19"/>
      <c r="P1043" s="19" t="s">
        <v>2356</v>
      </c>
      <c r="Q1043" s="19" t="s">
        <v>1021</v>
      </c>
      <c r="R1043" s="21" t="n">
        <v>35869</v>
      </c>
      <c r="S1043" s="19" t="s">
        <v>1036</v>
      </c>
      <c r="T1043" s="19" t="s">
        <v>3970</v>
      </c>
      <c r="U1043" s="19" t="str">
        <f aca="false">HYPERLINK("https://macaulaylibrary.org/asset/103130471","Open")</f>
        <v>Open</v>
      </c>
      <c r="V1043" s="19"/>
    </row>
    <row r="1044" customFormat="false" ht="15" hidden="false" customHeight="false" outlineLevel="0" collapsed="false">
      <c r="A1044" s="19" t="s">
        <v>3971</v>
      </c>
      <c r="B1044" s="19" t="s">
        <v>943</v>
      </c>
      <c r="C1044" s="19" t="s">
        <v>944</v>
      </c>
      <c r="D1044" s="19" t="s">
        <v>148</v>
      </c>
      <c r="E1044" s="19" t="s">
        <v>147</v>
      </c>
      <c r="F1044" s="19" t="s">
        <v>319</v>
      </c>
      <c r="G1044" s="19" t="n">
        <v>124</v>
      </c>
      <c r="H1044" s="19" t="s">
        <v>320</v>
      </c>
      <c r="I1044" s="20" t="n">
        <v>227.034</v>
      </c>
      <c r="J1044" s="19" t="n">
        <f aca="false">IF(I1044="","",MIN(Overview!$B$8,MAX(1,CEILING(I1044/Overview!$B$7,1))))</f>
        <v>46</v>
      </c>
      <c r="K1044" s="19" t="n">
        <v>1</v>
      </c>
      <c r="L1044" s="19"/>
      <c r="M1044" s="20" t="n">
        <v>3</v>
      </c>
      <c r="N1044" s="19"/>
      <c r="O1044" s="19"/>
      <c r="P1044" s="19" t="s">
        <v>1752</v>
      </c>
      <c r="Q1044" s="19" t="s">
        <v>980</v>
      </c>
      <c r="R1044" s="21" t="n">
        <v>35208</v>
      </c>
      <c r="S1044" s="19" t="s">
        <v>1760</v>
      </c>
      <c r="T1044" s="19" t="s">
        <v>3972</v>
      </c>
      <c r="U1044" s="19" t="str">
        <f aca="false">HYPERLINK("https://macaulaylibrary.org/asset/184780","Open")</f>
        <v>Open</v>
      </c>
      <c r="V1044" s="19" t="s">
        <v>3973</v>
      </c>
    </row>
    <row r="1045" customFormat="false" ht="15" hidden="false" customHeight="false" outlineLevel="0" collapsed="false">
      <c r="A1045" s="19" t="s">
        <v>3974</v>
      </c>
      <c r="B1045" s="19" t="s">
        <v>943</v>
      </c>
      <c r="C1045" s="19" t="s">
        <v>944</v>
      </c>
      <c r="D1045" s="19" t="s">
        <v>148</v>
      </c>
      <c r="E1045" s="19" t="s">
        <v>147</v>
      </c>
      <c r="F1045" s="19" t="s">
        <v>319</v>
      </c>
      <c r="G1045" s="19" t="n">
        <v>124</v>
      </c>
      <c r="H1045" s="19" t="s">
        <v>320</v>
      </c>
      <c r="I1045" s="20" t="n">
        <v>33.451</v>
      </c>
      <c r="J1045" s="19" t="n">
        <f aca="false">IF(I1045="","",MIN(Overview!$B$8,MAX(1,CEILING(I1045/Overview!$B$7,1))))</f>
        <v>7</v>
      </c>
      <c r="K1045" s="19" t="n">
        <v>1</v>
      </c>
      <c r="L1045" s="19"/>
      <c r="M1045" s="20" t="n">
        <v>4</v>
      </c>
      <c r="N1045" s="19"/>
      <c r="O1045" s="19"/>
      <c r="P1045" s="19" t="s">
        <v>3975</v>
      </c>
      <c r="Q1045" s="19" t="s">
        <v>946</v>
      </c>
      <c r="R1045" s="21" t="n">
        <v>44677</v>
      </c>
      <c r="S1045" s="19" t="s">
        <v>976</v>
      </c>
      <c r="T1045" s="19" t="s">
        <v>3976</v>
      </c>
      <c r="U1045" s="19" t="str">
        <f aca="false">HYPERLINK("https://macaulaylibrary.org/asset/454613041","Open")</f>
        <v>Open</v>
      </c>
      <c r="V1045" s="19"/>
    </row>
    <row r="1046" customFormat="false" ht="15" hidden="false" customHeight="false" outlineLevel="0" collapsed="false">
      <c r="A1046" s="19" t="s">
        <v>3977</v>
      </c>
      <c r="B1046" s="19" t="s">
        <v>943</v>
      </c>
      <c r="C1046" s="19" t="s">
        <v>944</v>
      </c>
      <c r="D1046" s="19" t="s">
        <v>148</v>
      </c>
      <c r="E1046" s="19" t="s">
        <v>147</v>
      </c>
      <c r="F1046" s="19" t="s">
        <v>319</v>
      </c>
      <c r="G1046" s="19" t="n">
        <v>124</v>
      </c>
      <c r="H1046" s="19" t="s">
        <v>320</v>
      </c>
      <c r="I1046" s="20" t="n">
        <v>14.211</v>
      </c>
      <c r="J1046" s="19" t="n">
        <f aca="false">IF(I1046="","",MIN(Overview!$B$8,MAX(1,CEILING(I1046/Overview!$B$7,1))))</f>
        <v>3</v>
      </c>
      <c r="K1046" s="19" t="n">
        <v>1</v>
      </c>
      <c r="L1046" s="19"/>
      <c r="M1046" s="20" t="n">
        <v>3</v>
      </c>
      <c r="N1046" s="19"/>
      <c r="O1046" s="19"/>
      <c r="P1046" s="19" t="s">
        <v>3978</v>
      </c>
      <c r="Q1046" s="19" t="s">
        <v>3979</v>
      </c>
      <c r="R1046" s="21" t="n">
        <v>44943</v>
      </c>
      <c r="S1046" s="19" t="s">
        <v>1574</v>
      </c>
      <c r="T1046" s="19" t="s">
        <v>3980</v>
      </c>
      <c r="U1046" s="19" t="str">
        <f aca="false">HYPERLINK("https://macaulaylibrary.org/asset/547762141","Open")</f>
        <v>Open</v>
      </c>
      <c r="V1046" s="19"/>
    </row>
    <row r="1047" customFormat="false" ht="15" hidden="false" customHeight="false" outlineLevel="0" collapsed="false">
      <c r="A1047" s="19" t="s">
        <v>3981</v>
      </c>
      <c r="B1047" s="19" t="s">
        <v>943</v>
      </c>
      <c r="C1047" s="19" t="s">
        <v>944</v>
      </c>
      <c r="D1047" s="19" t="s">
        <v>148</v>
      </c>
      <c r="E1047" s="19" t="s">
        <v>147</v>
      </c>
      <c r="F1047" s="19" t="s">
        <v>319</v>
      </c>
      <c r="G1047" s="19" t="n">
        <v>124</v>
      </c>
      <c r="H1047" s="19" t="s">
        <v>320</v>
      </c>
      <c r="I1047" s="20" t="n">
        <v>27.16</v>
      </c>
      <c r="J1047" s="19" t="n">
        <f aca="false">IF(I1047="","",MIN(Overview!$B$8,MAX(1,CEILING(I1047/Overview!$B$7,1))))</f>
        <v>6</v>
      </c>
      <c r="K1047" s="19" t="n">
        <v>1</v>
      </c>
      <c r="L1047" s="19"/>
      <c r="M1047" s="20" t="n">
        <v>2</v>
      </c>
      <c r="N1047" s="19"/>
      <c r="O1047" s="19"/>
      <c r="P1047" s="19" t="s">
        <v>2698</v>
      </c>
      <c r="Q1047" s="19" t="s">
        <v>1310</v>
      </c>
      <c r="R1047" s="21" t="n">
        <v>44938</v>
      </c>
      <c r="S1047" s="19" t="s">
        <v>966</v>
      </c>
      <c r="T1047" s="19" t="s">
        <v>3982</v>
      </c>
      <c r="U1047" s="19" t="str">
        <f aca="false">HYPERLINK("https://macaulaylibrary.org/asset/612714814","Open")</f>
        <v>Open</v>
      </c>
      <c r="V1047" s="19"/>
    </row>
    <row r="1048" customFormat="false" ht="15" hidden="false" customHeight="false" outlineLevel="0" collapsed="false">
      <c r="A1048" s="19" t="s">
        <v>3983</v>
      </c>
      <c r="B1048" s="19" t="s">
        <v>943</v>
      </c>
      <c r="C1048" s="19" t="s">
        <v>944</v>
      </c>
      <c r="D1048" s="19" t="s">
        <v>148</v>
      </c>
      <c r="E1048" s="19" t="s">
        <v>147</v>
      </c>
      <c r="F1048" s="19" t="s">
        <v>319</v>
      </c>
      <c r="G1048" s="19" t="n">
        <v>124</v>
      </c>
      <c r="H1048" s="19" t="s">
        <v>320</v>
      </c>
      <c r="I1048" s="20" t="n">
        <v>88.936</v>
      </c>
      <c r="J1048" s="19" t="n">
        <f aca="false">IF(I1048="","",MIN(Overview!$B$8,MAX(1,CEILING(I1048/Overview!$B$7,1))))</f>
        <v>18</v>
      </c>
      <c r="K1048" s="19" t="n">
        <v>1</v>
      </c>
      <c r="L1048" s="19"/>
      <c r="M1048" s="20"/>
      <c r="N1048" s="19"/>
      <c r="O1048" s="19"/>
      <c r="P1048" s="19" t="s">
        <v>1257</v>
      </c>
      <c r="Q1048" s="19" t="s">
        <v>1258</v>
      </c>
      <c r="R1048" s="21" t="n">
        <v>45231</v>
      </c>
      <c r="S1048" s="19" t="s">
        <v>1259</v>
      </c>
      <c r="T1048" s="19" t="s">
        <v>3984</v>
      </c>
      <c r="U1048" s="19" t="str">
        <f aca="false">HYPERLINK("https://macaulaylibrary.org/asset/621760246","Open")</f>
        <v>Open</v>
      </c>
      <c r="V1048" s="19" t="s">
        <v>3973</v>
      </c>
    </row>
    <row r="1049" customFormat="false" ht="15" hidden="false" customHeight="false" outlineLevel="0" collapsed="false">
      <c r="A1049" s="19" t="s">
        <v>3985</v>
      </c>
      <c r="B1049" s="19" t="s">
        <v>943</v>
      </c>
      <c r="C1049" s="19" t="s">
        <v>944</v>
      </c>
      <c r="D1049" s="19" t="s">
        <v>148</v>
      </c>
      <c r="E1049" s="19" t="s">
        <v>147</v>
      </c>
      <c r="F1049" s="19" t="s">
        <v>319</v>
      </c>
      <c r="G1049" s="19" t="n">
        <v>124</v>
      </c>
      <c r="H1049" s="19" t="s">
        <v>320</v>
      </c>
      <c r="I1049" s="20" t="n">
        <v>128.357</v>
      </c>
      <c r="J1049" s="19" t="n">
        <f aca="false">IF(I1049="","",MIN(Overview!$B$8,MAX(1,CEILING(I1049/Overview!$B$7,1))))</f>
        <v>26</v>
      </c>
      <c r="K1049" s="19" t="n">
        <v>1</v>
      </c>
      <c r="L1049" s="19"/>
      <c r="M1049" s="20" t="n">
        <v>3</v>
      </c>
      <c r="N1049" s="19"/>
      <c r="O1049" s="19" t="s">
        <v>3986</v>
      </c>
      <c r="P1049" s="19" t="s">
        <v>3465</v>
      </c>
      <c r="Q1049" s="19" t="s">
        <v>1191</v>
      </c>
      <c r="R1049" s="21" t="n">
        <v>45685</v>
      </c>
      <c r="S1049" s="19" t="s">
        <v>3466</v>
      </c>
      <c r="T1049" s="19" t="s">
        <v>3987</v>
      </c>
      <c r="U1049" s="19" t="str">
        <f aca="false">HYPERLINK("https://macaulaylibrary.org/asset/630390151","Open")</f>
        <v>Open</v>
      </c>
      <c r="V1049" s="19"/>
    </row>
    <row r="1050" customFormat="false" ht="15" hidden="false" customHeight="false" outlineLevel="0" collapsed="false">
      <c r="A1050" s="19" t="s">
        <v>3988</v>
      </c>
      <c r="B1050" s="19" t="s">
        <v>943</v>
      </c>
      <c r="C1050" s="19" t="s">
        <v>944</v>
      </c>
      <c r="D1050" s="19" t="s">
        <v>148</v>
      </c>
      <c r="E1050" s="19" t="s">
        <v>147</v>
      </c>
      <c r="F1050" s="19" t="s">
        <v>319</v>
      </c>
      <c r="G1050" s="19" t="n">
        <v>124</v>
      </c>
      <c r="H1050" s="19" t="s">
        <v>320</v>
      </c>
      <c r="I1050" s="20" t="n">
        <v>7.986</v>
      </c>
      <c r="J1050" s="19" t="n">
        <f aca="false">IF(I1050="","",MIN(Overview!$B$8,MAX(1,CEILING(I1050/Overview!$B$7,1))))</f>
        <v>2</v>
      </c>
      <c r="K1050" s="19" t="n">
        <v>1</v>
      </c>
      <c r="L1050" s="19"/>
      <c r="M1050" s="20" t="n">
        <v>3</v>
      </c>
      <c r="N1050" s="19"/>
      <c r="O1050" s="19"/>
      <c r="P1050" s="19" t="s">
        <v>2443</v>
      </c>
      <c r="Q1050" s="19" t="s">
        <v>1091</v>
      </c>
      <c r="R1050" s="21" t="n">
        <v>45843</v>
      </c>
      <c r="S1050" s="19" t="s">
        <v>2444</v>
      </c>
      <c r="T1050" s="19" t="s">
        <v>3989</v>
      </c>
      <c r="U1050" s="19" t="str">
        <f aca="false">HYPERLINK("https://macaulaylibrary.org/asset/639165317","Open")</f>
        <v>Open</v>
      </c>
      <c r="V1050" s="19"/>
    </row>
    <row r="1051" customFormat="false" ht="15" hidden="false" customHeight="false" outlineLevel="0" collapsed="false">
      <c r="A1051" s="19" t="s">
        <v>3990</v>
      </c>
      <c r="B1051" s="19" t="s">
        <v>943</v>
      </c>
      <c r="C1051" s="19" t="s">
        <v>944</v>
      </c>
      <c r="D1051" s="19" t="s">
        <v>148</v>
      </c>
      <c r="E1051" s="19" t="s">
        <v>147</v>
      </c>
      <c r="F1051" s="19" t="s">
        <v>319</v>
      </c>
      <c r="G1051" s="19" t="n">
        <v>124</v>
      </c>
      <c r="H1051" s="19" t="s">
        <v>320</v>
      </c>
      <c r="I1051" s="20" t="n">
        <v>9.86</v>
      </c>
      <c r="J1051" s="19" t="n">
        <f aca="false">IF(I1051="","",MIN(Overview!$B$8,MAX(1,CEILING(I1051/Overview!$B$7,1))))</f>
        <v>2</v>
      </c>
      <c r="K1051" s="19" t="n">
        <v>1</v>
      </c>
      <c r="L1051" s="19"/>
      <c r="M1051" s="20" t="n">
        <v>3</v>
      </c>
      <c r="N1051" s="19"/>
      <c r="O1051" s="19"/>
      <c r="P1051" s="19" t="s">
        <v>1512</v>
      </c>
      <c r="Q1051" s="19" t="s">
        <v>1513</v>
      </c>
      <c r="R1051" s="21" t="n">
        <v>45760</v>
      </c>
      <c r="S1051" s="19" t="s">
        <v>1036</v>
      </c>
      <c r="T1051" s="19" t="s">
        <v>3991</v>
      </c>
      <c r="U1051" s="19" t="str">
        <f aca="false">HYPERLINK("https://macaulaylibrary.org/asset/649980431","Open")</f>
        <v>Open</v>
      </c>
      <c r="V1051" s="19"/>
    </row>
    <row r="1052" customFormat="false" ht="15" hidden="false" customHeight="false" outlineLevel="0" collapsed="false">
      <c r="A1052" s="19" t="s">
        <v>3992</v>
      </c>
      <c r="B1052" s="19" t="s">
        <v>943</v>
      </c>
      <c r="C1052" s="19" t="s">
        <v>944</v>
      </c>
      <c r="D1052" s="19" t="s">
        <v>148</v>
      </c>
      <c r="E1052" s="19" t="s">
        <v>147</v>
      </c>
      <c r="F1052" s="19" t="s">
        <v>319</v>
      </c>
      <c r="G1052" s="19" t="n">
        <v>124</v>
      </c>
      <c r="H1052" s="19" t="s">
        <v>320</v>
      </c>
      <c r="I1052" s="20" t="n">
        <v>31.935</v>
      </c>
      <c r="J1052" s="19" t="n">
        <f aca="false">IF(I1052="","",MIN(Overview!$B$8,MAX(1,CEILING(I1052/Overview!$B$7,1))))</f>
        <v>7</v>
      </c>
      <c r="K1052" s="19" t="n">
        <v>1</v>
      </c>
      <c r="L1052" s="19"/>
      <c r="M1052" s="20"/>
      <c r="N1052" s="19"/>
      <c r="O1052" s="19"/>
      <c r="P1052" s="19" t="s">
        <v>2624</v>
      </c>
      <c r="Q1052" s="19" t="s">
        <v>1204</v>
      </c>
      <c r="R1052" s="21" t="n">
        <v>46049</v>
      </c>
      <c r="S1052" s="19" t="s">
        <v>2625</v>
      </c>
      <c r="T1052" s="19" t="s">
        <v>3993</v>
      </c>
      <c r="U1052" s="19" t="str">
        <f aca="false">HYPERLINK("https://macaulaylibrary.org/asset/653762587","Open")</f>
        <v>Open</v>
      </c>
      <c r="V1052" s="19"/>
    </row>
    <row r="1053" customFormat="false" ht="15" hidden="false" customHeight="false" outlineLevel="0" collapsed="false">
      <c r="A1053" s="19" t="s">
        <v>3994</v>
      </c>
      <c r="B1053" s="19" t="s">
        <v>943</v>
      </c>
      <c r="C1053" s="19" t="s">
        <v>944</v>
      </c>
      <c r="D1053" s="19" t="s">
        <v>148</v>
      </c>
      <c r="E1053" s="19" t="s">
        <v>147</v>
      </c>
      <c r="F1053" s="19" t="s">
        <v>319</v>
      </c>
      <c r="G1053" s="19" t="n">
        <v>124</v>
      </c>
      <c r="H1053" s="19" t="s">
        <v>320</v>
      </c>
      <c r="I1053" s="20" t="n">
        <v>19.207</v>
      </c>
      <c r="J1053" s="19" t="n">
        <f aca="false">IF(I1053="","",MIN(Overview!$B$8,MAX(1,CEILING(I1053/Overview!$B$7,1))))</f>
        <v>4</v>
      </c>
      <c r="K1053" s="19" t="n">
        <v>1</v>
      </c>
      <c r="L1053" s="19"/>
      <c r="M1053" s="20"/>
      <c r="N1053" s="19"/>
      <c r="O1053" s="19"/>
      <c r="P1053" s="19" t="s">
        <v>1650</v>
      </c>
      <c r="Q1053" s="19" t="s">
        <v>1382</v>
      </c>
      <c r="R1053" s="21" t="n">
        <v>46104</v>
      </c>
      <c r="S1053" s="19" t="s">
        <v>1651</v>
      </c>
      <c r="T1053" s="19" t="s">
        <v>3995</v>
      </c>
      <c r="U1053" s="19" t="str">
        <f aca="false">HYPERLINK("https://macaulaylibrary.org/asset/654658552","Open")</f>
        <v>Open</v>
      </c>
      <c r="V1053" s="19"/>
    </row>
    <row r="1054" customFormat="false" ht="15" hidden="false" customHeight="false" outlineLevel="0" collapsed="false">
      <c r="A1054" s="19" t="s">
        <v>3996</v>
      </c>
      <c r="B1054" s="19" t="s">
        <v>1005</v>
      </c>
      <c r="C1054" s="19" t="s">
        <v>944</v>
      </c>
      <c r="D1054" s="19" t="s">
        <v>647</v>
      </c>
      <c r="E1054" s="19" t="s">
        <v>147</v>
      </c>
      <c r="F1054" s="19" t="s">
        <v>610</v>
      </c>
      <c r="G1054" s="19" t="n">
        <v>125</v>
      </c>
      <c r="H1054" s="19" t="s">
        <v>611</v>
      </c>
      <c r="I1054" s="20" t="n">
        <v>73.224</v>
      </c>
      <c r="J1054" s="19" t="n">
        <f aca="false">IF(I1054="","",MIN(Overview!$B$8,MAX(1,CEILING(I1054/Overview!$B$7,1))))</f>
        <v>15</v>
      </c>
      <c r="K1054" s="19" t="n">
        <v>1</v>
      </c>
      <c r="L1054" s="19"/>
      <c r="M1054" s="20"/>
      <c r="N1054" s="19" t="s">
        <v>1718</v>
      </c>
      <c r="O1054" s="19"/>
      <c r="P1054" s="19" t="s">
        <v>2155</v>
      </c>
      <c r="Q1054" s="19" t="s">
        <v>1008</v>
      </c>
      <c r="R1054" s="21" t="n">
        <v>42575</v>
      </c>
      <c r="S1054" s="19" t="s">
        <v>1715</v>
      </c>
      <c r="T1054" s="19" t="s">
        <v>3997</v>
      </c>
      <c r="U1054" s="19" t="str">
        <f aca="false">HYPERLINK("https://xeno-canto.org/331320","Open")</f>
        <v>Open</v>
      </c>
      <c r="V1054" s="19" t="s">
        <v>1011</v>
      </c>
    </row>
    <row r="1055" customFormat="false" ht="15" hidden="false" customHeight="false" outlineLevel="0" collapsed="false">
      <c r="A1055" s="19" t="s">
        <v>3998</v>
      </c>
      <c r="B1055" s="19" t="s">
        <v>1005</v>
      </c>
      <c r="C1055" s="19" t="s">
        <v>944</v>
      </c>
      <c r="D1055" s="19" t="s">
        <v>647</v>
      </c>
      <c r="E1055" s="19" t="s">
        <v>147</v>
      </c>
      <c r="F1055" s="19" t="s">
        <v>610</v>
      </c>
      <c r="G1055" s="19" t="n">
        <v>125</v>
      </c>
      <c r="H1055" s="19" t="s">
        <v>611</v>
      </c>
      <c r="I1055" s="20" t="n">
        <v>7.968</v>
      </c>
      <c r="J1055" s="19" t="n">
        <f aca="false">IF(I1055="","",MIN(Overview!$B$8,MAX(1,CEILING(I1055/Overview!$B$7,1))))</f>
        <v>2</v>
      </c>
      <c r="K1055" s="19" t="n">
        <v>1</v>
      </c>
      <c r="L1055" s="19"/>
      <c r="M1055" s="20"/>
      <c r="N1055" s="19" t="s">
        <v>1006</v>
      </c>
      <c r="O1055" s="19"/>
      <c r="P1055" s="19" t="s">
        <v>3999</v>
      </c>
      <c r="Q1055" s="19" t="s">
        <v>1008</v>
      </c>
      <c r="R1055" s="21" t="n">
        <v>42576</v>
      </c>
      <c r="S1055" s="19" t="s">
        <v>1017</v>
      </c>
      <c r="T1055" s="19" t="s">
        <v>4000</v>
      </c>
      <c r="U1055" s="19" t="str">
        <f aca="false">HYPERLINK("https://xeno-canto.org/331322","Open")</f>
        <v>Open</v>
      </c>
      <c r="V1055" s="19" t="s">
        <v>1011</v>
      </c>
    </row>
    <row r="1056" customFormat="false" ht="15" hidden="false" customHeight="false" outlineLevel="0" collapsed="false">
      <c r="A1056" s="19" t="s">
        <v>4001</v>
      </c>
      <c r="B1056" s="19" t="s">
        <v>1005</v>
      </c>
      <c r="C1056" s="19" t="s">
        <v>944</v>
      </c>
      <c r="D1056" s="19" t="s">
        <v>647</v>
      </c>
      <c r="E1056" s="19" t="s">
        <v>147</v>
      </c>
      <c r="F1056" s="19" t="s">
        <v>610</v>
      </c>
      <c r="G1056" s="19" t="n">
        <v>125</v>
      </c>
      <c r="H1056" s="19" t="s">
        <v>611</v>
      </c>
      <c r="I1056" s="20" t="n">
        <v>67.992</v>
      </c>
      <c r="J1056" s="19" t="n">
        <f aca="false">IF(I1056="","",MIN(Overview!$B$8,MAX(1,CEILING(I1056/Overview!$B$7,1))))</f>
        <v>14</v>
      </c>
      <c r="K1056" s="19" t="n">
        <v>1</v>
      </c>
      <c r="L1056" s="19"/>
      <c r="M1056" s="20"/>
      <c r="N1056" s="19" t="s">
        <v>1006</v>
      </c>
      <c r="O1056" s="19"/>
      <c r="P1056" s="19" t="s">
        <v>1007</v>
      </c>
      <c r="Q1056" s="19" t="s">
        <v>1008</v>
      </c>
      <c r="R1056" s="21" t="n">
        <v>42577</v>
      </c>
      <c r="S1056" s="19" t="s">
        <v>2804</v>
      </c>
      <c r="T1056" s="19" t="s">
        <v>4002</v>
      </c>
      <c r="U1056" s="19" t="str">
        <f aca="false">HYPERLINK("https://xeno-canto.org/331323","Open")</f>
        <v>Open</v>
      </c>
      <c r="V1056" s="19" t="s">
        <v>1720</v>
      </c>
    </row>
    <row r="1057" customFormat="false" ht="15" hidden="false" customHeight="false" outlineLevel="0" collapsed="false">
      <c r="A1057" s="19" t="s">
        <v>4003</v>
      </c>
      <c r="B1057" s="19" t="s">
        <v>943</v>
      </c>
      <c r="C1057" s="19" t="s">
        <v>944</v>
      </c>
      <c r="D1057" s="19" t="s">
        <v>148</v>
      </c>
      <c r="E1057" s="19" t="s">
        <v>147</v>
      </c>
      <c r="F1057" s="19" t="s">
        <v>212</v>
      </c>
      <c r="G1057" s="19" t="n">
        <v>126</v>
      </c>
      <c r="H1057" s="19" t="s">
        <v>213</v>
      </c>
      <c r="I1057" s="20" t="n">
        <v>11.285</v>
      </c>
      <c r="J1057" s="19" t="n">
        <f aca="false">IF(I1057="","",MIN(Overview!$B$8,MAX(1,CEILING(I1057/Overview!$B$7,1))))</f>
        <v>3</v>
      </c>
      <c r="K1057" s="19" t="n">
        <v>1</v>
      </c>
      <c r="L1057" s="19"/>
      <c r="M1057" s="20" t="n">
        <v>3</v>
      </c>
      <c r="N1057" s="19"/>
      <c r="O1057" s="19"/>
      <c r="P1057" s="19" t="s">
        <v>4004</v>
      </c>
      <c r="Q1057" s="19" t="s">
        <v>965</v>
      </c>
      <c r="R1057" s="21" t="n">
        <v>43812</v>
      </c>
      <c r="S1057" s="19" t="s">
        <v>4005</v>
      </c>
      <c r="T1057" s="19" t="s">
        <v>4006</v>
      </c>
      <c r="U1057" s="19" t="str">
        <f aca="false">HYPERLINK("https://macaulaylibrary.org/asset/193415211","Open")</f>
        <v>Open</v>
      </c>
      <c r="V1057" s="19"/>
    </row>
    <row r="1058" customFormat="false" ht="15" hidden="false" customHeight="false" outlineLevel="0" collapsed="false">
      <c r="A1058" s="19" t="s">
        <v>4007</v>
      </c>
      <c r="B1058" s="19" t="s">
        <v>943</v>
      </c>
      <c r="C1058" s="19" t="s">
        <v>944</v>
      </c>
      <c r="D1058" s="19" t="s">
        <v>148</v>
      </c>
      <c r="E1058" s="19" t="s">
        <v>147</v>
      </c>
      <c r="F1058" s="19" t="s">
        <v>212</v>
      </c>
      <c r="G1058" s="19" t="n">
        <v>126</v>
      </c>
      <c r="H1058" s="19" t="s">
        <v>213</v>
      </c>
      <c r="I1058" s="20" t="n">
        <v>179.135</v>
      </c>
      <c r="J1058" s="19" t="n">
        <f aca="false">IF(I1058="","",MIN(Overview!$B$8,MAX(1,CEILING(I1058/Overview!$B$7,1))))</f>
        <v>36</v>
      </c>
      <c r="K1058" s="19" t="n">
        <v>1</v>
      </c>
      <c r="L1058" s="19"/>
      <c r="M1058" s="20" t="n">
        <v>2.4</v>
      </c>
      <c r="N1058" s="19"/>
      <c r="O1058" s="19"/>
      <c r="P1058" s="19" t="s">
        <v>2987</v>
      </c>
      <c r="Q1058" s="19" t="s">
        <v>980</v>
      </c>
      <c r="R1058" s="21" t="n">
        <v>34129</v>
      </c>
      <c r="S1058" s="19"/>
      <c r="T1058" s="19" t="s">
        <v>4008</v>
      </c>
      <c r="U1058" s="19" t="str">
        <f aca="false">HYPERLINK("https://macaulaylibrary.org/asset/211131","Open")</f>
        <v>Open</v>
      </c>
      <c r="V1058" s="19" t="s">
        <v>4009</v>
      </c>
    </row>
    <row r="1059" customFormat="false" ht="15" hidden="false" customHeight="false" outlineLevel="0" collapsed="false">
      <c r="A1059" s="19" t="s">
        <v>4010</v>
      </c>
      <c r="B1059" s="19" t="s">
        <v>943</v>
      </c>
      <c r="C1059" s="19" t="s">
        <v>944</v>
      </c>
      <c r="D1059" s="19" t="s">
        <v>148</v>
      </c>
      <c r="E1059" s="19" t="s">
        <v>147</v>
      </c>
      <c r="F1059" s="19" t="s">
        <v>212</v>
      </c>
      <c r="G1059" s="19" t="n">
        <v>126</v>
      </c>
      <c r="H1059" s="19" t="s">
        <v>213</v>
      </c>
      <c r="I1059" s="20" t="n">
        <v>880.895</v>
      </c>
      <c r="J1059" s="19" t="n">
        <f aca="false">IF(I1059="","",MIN(Overview!$B$8,MAX(1,CEILING(I1059/Overview!$B$7,1))))</f>
        <v>120</v>
      </c>
      <c r="K1059" s="19" t="n">
        <v>1</v>
      </c>
      <c r="L1059" s="19"/>
      <c r="M1059" s="20" t="n">
        <v>2.2</v>
      </c>
      <c r="N1059" s="19"/>
      <c r="O1059" s="19"/>
      <c r="P1059" s="19" t="s">
        <v>2177</v>
      </c>
      <c r="Q1059" s="19" t="s">
        <v>980</v>
      </c>
      <c r="R1059" s="21" t="n">
        <v>32554</v>
      </c>
      <c r="S1059" s="19" t="s">
        <v>4011</v>
      </c>
      <c r="T1059" s="19" t="s">
        <v>4012</v>
      </c>
      <c r="U1059" s="19" t="str">
        <f aca="false">HYPERLINK("https://macaulaylibrary.org/asset/215342","Open")</f>
        <v>Open</v>
      </c>
      <c r="V1059" s="19" t="s">
        <v>4009</v>
      </c>
    </row>
    <row r="1060" customFormat="false" ht="15" hidden="false" customHeight="false" outlineLevel="0" collapsed="false">
      <c r="A1060" s="19" t="s">
        <v>4013</v>
      </c>
      <c r="B1060" s="19" t="s">
        <v>943</v>
      </c>
      <c r="C1060" s="19" t="s">
        <v>944</v>
      </c>
      <c r="D1060" s="19" t="s">
        <v>148</v>
      </c>
      <c r="E1060" s="19" t="s">
        <v>147</v>
      </c>
      <c r="F1060" s="19" t="s">
        <v>212</v>
      </c>
      <c r="G1060" s="19" t="n">
        <v>126</v>
      </c>
      <c r="H1060" s="19" t="s">
        <v>213</v>
      </c>
      <c r="I1060" s="20" t="n">
        <v>425.021</v>
      </c>
      <c r="J1060" s="19" t="n">
        <f aca="false">IF(I1060="","",MIN(Overview!$B$8,MAX(1,CEILING(I1060/Overview!$B$7,1))))</f>
        <v>86</v>
      </c>
      <c r="K1060" s="19" t="n">
        <v>1</v>
      </c>
      <c r="L1060" s="19"/>
      <c r="M1060" s="20" t="n">
        <v>2</v>
      </c>
      <c r="N1060" s="19"/>
      <c r="O1060" s="19"/>
      <c r="P1060" s="19" t="s">
        <v>1121</v>
      </c>
      <c r="Q1060" s="19" t="s">
        <v>980</v>
      </c>
      <c r="R1060" s="21" t="n">
        <v>32556</v>
      </c>
      <c r="S1060" s="19" t="s">
        <v>4014</v>
      </c>
      <c r="T1060" s="19" t="s">
        <v>4015</v>
      </c>
      <c r="U1060" s="19" t="str">
        <f aca="false">HYPERLINK("https://macaulaylibrary.org/asset/215381","Open")</f>
        <v>Open</v>
      </c>
      <c r="V1060" s="19" t="s">
        <v>4009</v>
      </c>
    </row>
    <row r="1061" customFormat="false" ht="15" hidden="false" customHeight="false" outlineLevel="0" collapsed="false">
      <c r="A1061" s="19" t="s">
        <v>4016</v>
      </c>
      <c r="B1061" s="19" t="s">
        <v>943</v>
      </c>
      <c r="C1061" s="19" t="s">
        <v>944</v>
      </c>
      <c r="D1061" s="19" t="s">
        <v>148</v>
      </c>
      <c r="E1061" s="19" t="s">
        <v>147</v>
      </c>
      <c r="F1061" s="19" t="s">
        <v>212</v>
      </c>
      <c r="G1061" s="19" t="n">
        <v>126</v>
      </c>
      <c r="H1061" s="19" t="s">
        <v>213</v>
      </c>
      <c r="I1061" s="20" t="n">
        <v>426.655</v>
      </c>
      <c r="J1061" s="19" t="n">
        <f aca="false">IF(I1061="","",MIN(Overview!$B$8,MAX(1,CEILING(I1061/Overview!$B$7,1))))</f>
        <v>86</v>
      </c>
      <c r="K1061" s="19" t="n">
        <v>1</v>
      </c>
      <c r="L1061" s="19"/>
      <c r="M1061" s="20" t="n">
        <v>2</v>
      </c>
      <c r="N1061" s="19"/>
      <c r="O1061" s="19"/>
      <c r="P1061" s="19" t="s">
        <v>1125</v>
      </c>
      <c r="Q1061" s="19" t="s">
        <v>980</v>
      </c>
      <c r="R1061" s="21" t="n">
        <v>32557</v>
      </c>
      <c r="S1061" s="19"/>
      <c r="T1061" s="19" t="s">
        <v>4017</v>
      </c>
      <c r="U1061" s="19" t="str">
        <f aca="false">HYPERLINK("https://macaulaylibrary.org/asset/215406","Open")</f>
        <v>Open</v>
      </c>
      <c r="V1061" s="19" t="s">
        <v>4009</v>
      </c>
    </row>
    <row r="1062" customFormat="false" ht="15" hidden="false" customHeight="false" outlineLevel="0" collapsed="false">
      <c r="A1062" s="19" t="s">
        <v>4018</v>
      </c>
      <c r="B1062" s="19" t="s">
        <v>943</v>
      </c>
      <c r="C1062" s="19" t="s">
        <v>944</v>
      </c>
      <c r="D1062" s="19" t="s">
        <v>148</v>
      </c>
      <c r="E1062" s="19" t="s">
        <v>147</v>
      </c>
      <c r="F1062" s="19" t="s">
        <v>212</v>
      </c>
      <c r="G1062" s="19" t="n">
        <v>126</v>
      </c>
      <c r="H1062" s="19" t="s">
        <v>213</v>
      </c>
      <c r="I1062" s="20" t="n">
        <v>12.988</v>
      </c>
      <c r="J1062" s="19" t="n">
        <f aca="false">IF(I1062="","",MIN(Overview!$B$8,MAX(1,CEILING(I1062/Overview!$B$7,1))))</f>
        <v>3</v>
      </c>
      <c r="K1062" s="19" t="n">
        <v>1</v>
      </c>
      <c r="L1062" s="19"/>
      <c r="M1062" s="20" t="n">
        <v>2</v>
      </c>
      <c r="N1062" s="19"/>
      <c r="O1062" s="19"/>
      <c r="P1062" s="19" t="s">
        <v>1730</v>
      </c>
      <c r="Q1062" s="19" t="s">
        <v>980</v>
      </c>
      <c r="R1062" s="21" t="n">
        <v>32558</v>
      </c>
      <c r="S1062" s="19"/>
      <c r="T1062" s="19" t="s">
        <v>4019</v>
      </c>
      <c r="U1062" s="19" t="str">
        <f aca="false">HYPERLINK("https://macaulaylibrary.org/asset/215424","Open")</f>
        <v>Open</v>
      </c>
      <c r="V1062" s="19" t="s">
        <v>4009</v>
      </c>
    </row>
    <row r="1063" customFormat="false" ht="15" hidden="false" customHeight="false" outlineLevel="0" collapsed="false">
      <c r="A1063" s="19" t="s">
        <v>4020</v>
      </c>
      <c r="B1063" s="19" t="s">
        <v>943</v>
      </c>
      <c r="C1063" s="19" t="s">
        <v>944</v>
      </c>
      <c r="D1063" s="19" t="s">
        <v>148</v>
      </c>
      <c r="E1063" s="19" t="s">
        <v>147</v>
      </c>
      <c r="F1063" s="19" t="s">
        <v>212</v>
      </c>
      <c r="G1063" s="19" t="n">
        <v>126</v>
      </c>
      <c r="H1063" s="19" t="s">
        <v>213</v>
      </c>
      <c r="I1063" s="20" t="n">
        <v>647.833</v>
      </c>
      <c r="J1063" s="19" t="n">
        <f aca="false">IF(I1063="","",MIN(Overview!$B$8,MAX(1,CEILING(I1063/Overview!$B$7,1))))</f>
        <v>120</v>
      </c>
      <c r="K1063" s="19" t="n">
        <v>1</v>
      </c>
      <c r="L1063" s="19"/>
      <c r="M1063" s="20" t="n">
        <v>2</v>
      </c>
      <c r="N1063" s="19"/>
      <c r="O1063" s="19"/>
      <c r="P1063" s="19" t="s">
        <v>1730</v>
      </c>
      <c r="Q1063" s="19" t="s">
        <v>980</v>
      </c>
      <c r="R1063" s="21" t="n">
        <v>32558</v>
      </c>
      <c r="S1063" s="19" t="s">
        <v>4021</v>
      </c>
      <c r="T1063" s="19" t="s">
        <v>4022</v>
      </c>
      <c r="U1063" s="19" t="str">
        <f aca="false">HYPERLINK("https://macaulaylibrary.org/asset/215427","Open")</f>
        <v>Open</v>
      </c>
      <c r="V1063" s="19" t="s">
        <v>4009</v>
      </c>
    </row>
    <row r="1064" customFormat="false" ht="15" hidden="false" customHeight="false" outlineLevel="0" collapsed="false">
      <c r="A1064" s="19" t="s">
        <v>4023</v>
      </c>
      <c r="B1064" s="19" t="s">
        <v>943</v>
      </c>
      <c r="C1064" s="19" t="s">
        <v>944</v>
      </c>
      <c r="D1064" s="19" t="s">
        <v>148</v>
      </c>
      <c r="E1064" s="19" t="s">
        <v>147</v>
      </c>
      <c r="F1064" s="19" t="s">
        <v>212</v>
      </c>
      <c r="G1064" s="19" t="n">
        <v>126</v>
      </c>
      <c r="H1064" s="19" t="s">
        <v>213</v>
      </c>
      <c r="I1064" s="20" t="n">
        <v>239.551</v>
      </c>
      <c r="J1064" s="19" t="n">
        <f aca="false">IF(I1064="","",MIN(Overview!$B$8,MAX(1,CEILING(I1064/Overview!$B$7,1))))</f>
        <v>48</v>
      </c>
      <c r="K1064" s="19" t="n">
        <v>1</v>
      </c>
      <c r="L1064" s="19"/>
      <c r="M1064" s="20" t="n">
        <v>2</v>
      </c>
      <c r="N1064" s="19"/>
      <c r="O1064" s="19"/>
      <c r="P1064" s="19" t="s">
        <v>1730</v>
      </c>
      <c r="Q1064" s="19" t="s">
        <v>980</v>
      </c>
      <c r="R1064" s="21" t="n">
        <v>32558</v>
      </c>
      <c r="S1064" s="19"/>
      <c r="T1064" s="19" t="s">
        <v>4024</v>
      </c>
      <c r="U1064" s="19" t="str">
        <f aca="false">HYPERLINK("https://macaulaylibrary.org/asset/215430","Open")</f>
        <v>Open</v>
      </c>
      <c r="V1064" s="19" t="s">
        <v>4009</v>
      </c>
    </row>
    <row r="1065" customFormat="false" ht="15" hidden="false" customHeight="false" outlineLevel="0" collapsed="false">
      <c r="A1065" s="19" t="s">
        <v>4025</v>
      </c>
      <c r="B1065" s="19" t="s">
        <v>943</v>
      </c>
      <c r="C1065" s="19" t="s">
        <v>944</v>
      </c>
      <c r="D1065" s="19" t="s">
        <v>148</v>
      </c>
      <c r="E1065" s="19" t="s">
        <v>147</v>
      </c>
      <c r="F1065" s="19" t="s">
        <v>212</v>
      </c>
      <c r="G1065" s="19" t="n">
        <v>126</v>
      </c>
      <c r="H1065" s="19" t="s">
        <v>213</v>
      </c>
      <c r="I1065" s="20" t="n">
        <v>492.01</v>
      </c>
      <c r="J1065" s="19" t="n">
        <f aca="false">IF(I1065="","",MIN(Overview!$B$8,MAX(1,CEILING(I1065/Overview!$B$7,1))))</f>
        <v>99</v>
      </c>
      <c r="K1065" s="19" t="n">
        <v>1</v>
      </c>
      <c r="L1065" s="19"/>
      <c r="M1065" s="20" t="n">
        <v>3.43</v>
      </c>
      <c r="N1065" s="19"/>
      <c r="O1065" s="19"/>
      <c r="P1065" s="19" t="s">
        <v>1730</v>
      </c>
      <c r="Q1065" s="19" t="s">
        <v>980</v>
      </c>
      <c r="R1065" s="21" t="n">
        <v>32558</v>
      </c>
      <c r="S1065" s="19" t="s">
        <v>4026</v>
      </c>
      <c r="T1065" s="19" t="s">
        <v>4027</v>
      </c>
      <c r="U1065" s="19" t="str">
        <f aca="false">HYPERLINK("https://macaulaylibrary.org/asset/215433","Open")</f>
        <v>Open</v>
      </c>
      <c r="V1065" s="19" t="s">
        <v>4009</v>
      </c>
    </row>
    <row r="1066" customFormat="false" ht="15" hidden="false" customHeight="false" outlineLevel="0" collapsed="false">
      <c r="A1066" s="19" t="s">
        <v>4028</v>
      </c>
      <c r="B1066" s="19" t="s">
        <v>943</v>
      </c>
      <c r="C1066" s="19" t="s">
        <v>944</v>
      </c>
      <c r="D1066" s="19" t="s">
        <v>148</v>
      </c>
      <c r="E1066" s="19" t="s">
        <v>147</v>
      </c>
      <c r="F1066" s="19" t="s">
        <v>212</v>
      </c>
      <c r="G1066" s="19" t="n">
        <v>126</v>
      </c>
      <c r="H1066" s="19" t="s">
        <v>213</v>
      </c>
      <c r="I1066" s="20" t="n">
        <v>36.953</v>
      </c>
      <c r="J1066" s="19" t="n">
        <f aca="false">IF(I1066="","",MIN(Overview!$B$8,MAX(1,CEILING(I1066/Overview!$B$7,1))))</f>
        <v>8</v>
      </c>
      <c r="K1066" s="19" t="n">
        <v>1</v>
      </c>
      <c r="L1066" s="19"/>
      <c r="M1066" s="20"/>
      <c r="N1066" s="19"/>
      <c r="O1066" s="19"/>
      <c r="P1066" s="19" t="s">
        <v>4029</v>
      </c>
      <c r="Q1066" s="19" t="s">
        <v>2085</v>
      </c>
      <c r="R1066" s="21" t="n">
        <v>44547</v>
      </c>
      <c r="S1066" s="19" t="s">
        <v>4030</v>
      </c>
      <c r="T1066" s="19" t="s">
        <v>4031</v>
      </c>
      <c r="U1066" s="19" t="str">
        <f aca="false">HYPERLINK("https://macaulaylibrary.org/asset/403397771","Open")</f>
        <v>Open</v>
      </c>
      <c r="V1066" s="19"/>
    </row>
    <row r="1067" customFormat="false" ht="15" hidden="false" customHeight="false" outlineLevel="0" collapsed="false">
      <c r="A1067" s="19" t="s">
        <v>4032</v>
      </c>
      <c r="B1067" s="19" t="s">
        <v>943</v>
      </c>
      <c r="C1067" s="19" t="s">
        <v>944</v>
      </c>
      <c r="D1067" s="19" t="s">
        <v>148</v>
      </c>
      <c r="E1067" s="19" t="s">
        <v>147</v>
      </c>
      <c r="F1067" s="19" t="s">
        <v>212</v>
      </c>
      <c r="G1067" s="19" t="n">
        <v>126</v>
      </c>
      <c r="H1067" s="19" t="s">
        <v>213</v>
      </c>
      <c r="I1067" s="20" t="n">
        <v>70.916</v>
      </c>
      <c r="J1067" s="19" t="n">
        <f aca="false">IF(I1067="","",MIN(Overview!$B$8,MAX(1,CEILING(I1067/Overview!$B$7,1))))</f>
        <v>15</v>
      </c>
      <c r="K1067" s="19" t="n">
        <v>1</v>
      </c>
      <c r="L1067" s="19"/>
      <c r="M1067" s="20"/>
      <c r="N1067" s="19"/>
      <c r="O1067" s="19"/>
      <c r="P1067" s="19" t="s">
        <v>4029</v>
      </c>
      <c r="Q1067" s="19" t="s">
        <v>2085</v>
      </c>
      <c r="R1067" s="21" t="n">
        <v>44547</v>
      </c>
      <c r="S1067" s="19" t="s">
        <v>4030</v>
      </c>
      <c r="T1067" s="19" t="s">
        <v>4033</v>
      </c>
      <c r="U1067" s="19" t="str">
        <f aca="false">HYPERLINK("https://macaulaylibrary.org/asset/403397971","Open")</f>
        <v>Open</v>
      </c>
      <c r="V1067" s="19"/>
    </row>
    <row r="1068" customFormat="false" ht="15" hidden="false" customHeight="false" outlineLevel="0" collapsed="false">
      <c r="A1068" s="19" t="s">
        <v>4034</v>
      </c>
      <c r="B1068" s="19" t="s">
        <v>943</v>
      </c>
      <c r="C1068" s="19" t="s">
        <v>944</v>
      </c>
      <c r="D1068" s="19" t="s">
        <v>148</v>
      </c>
      <c r="E1068" s="19" t="s">
        <v>147</v>
      </c>
      <c r="F1068" s="19" t="s">
        <v>212</v>
      </c>
      <c r="G1068" s="19" t="n">
        <v>126</v>
      </c>
      <c r="H1068" s="19" t="s">
        <v>213</v>
      </c>
      <c r="I1068" s="20" t="n">
        <v>12.419</v>
      </c>
      <c r="J1068" s="19" t="n">
        <f aca="false">IF(I1068="","",MIN(Overview!$B$8,MAX(1,CEILING(I1068/Overview!$B$7,1))))</f>
        <v>3</v>
      </c>
      <c r="K1068" s="19" t="n">
        <v>1</v>
      </c>
      <c r="L1068" s="19" t="s">
        <v>4035</v>
      </c>
      <c r="M1068" s="20"/>
      <c r="N1068" s="19"/>
      <c r="O1068" s="19"/>
      <c r="P1068" s="19" t="s">
        <v>1262</v>
      </c>
      <c r="Q1068" s="19" t="s">
        <v>1263</v>
      </c>
      <c r="R1068" s="21" t="n">
        <v>44651</v>
      </c>
      <c r="S1068" s="19" t="s">
        <v>1264</v>
      </c>
      <c r="T1068" s="19" t="s">
        <v>4036</v>
      </c>
      <c r="U1068" s="19" t="str">
        <f aca="false">HYPERLINK("https://macaulaylibrary.org/asset/434305401","Open")</f>
        <v>Open</v>
      </c>
      <c r="V1068" s="19"/>
    </row>
    <row r="1069" customFormat="false" ht="15" hidden="false" customHeight="false" outlineLevel="0" collapsed="false">
      <c r="A1069" s="19" t="s">
        <v>4037</v>
      </c>
      <c r="B1069" s="19" t="s">
        <v>943</v>
      </c>
      <c r="C1069" s="19" t="s">
        <v>944</v>
      </c>
      <c r="D1069" s="19" t="s">
        <v>148</v>
      </c>
      <c r="E1069" s="19" t="s">
        <v>147</v>
      </c>
      <c r="F1069" s="19" t="s">
        <v>212</v>
      </c>
      <c r="G1069" s="19" t="n">
        <v>126</v>
      </c>
      <c r="H1069" s="19" t="s">
        <v>213</v>
      </c>
      <c r="I1069" s="20" t="n">
        <v>16.94</v>
      </c>
      <c r="J1069" s="19" t="n">
        <f aca="false">IF(I1069="","",MIN(Overview!$B$8,MAX(1,CEILING(I1069/Overview!$B$7,1))))</f>
        <v>4</v>
      </c>
      <c r="K1069" s="19" t="n">
        <v>1</v>
      </c>
      <c r="L1069" s="19"/>
      <c r="M1069" s="20" t="n">
        <v>4</v>
      </c>
      <c r="N1069" s="19"/>
      <c r="O1069" s="19"/>
      <c r="P1069" s="19" t="s">
        <v>4038</v>
      </c>
      <c r="Q1069" s="19" t="s">
        <v>4039</v>
      </c>
      <c r="R1069" s="21" t="n">
        <v>44708</v>
      </c>
      <c r="S1069" s="19" t="s">
        <v>4040</v>
      </c>
      <c r="T1069" s="19" t="s">
        <v>4041</v>
      </c>
      <c r="U1069" s="19" t="str">
        <f aca="false">HYPERLINK("https://macaulaylibrary.org/asset/454235481","Open")</f>
        <v>Open</v>
      </c>
      <c r="V1069" s="19"/>
    </row>
    <row r="1070" customFormat="false" ht="15" hidden="false" customHeight="false" outlineLevel="0" collapsed="false">
      <c r="A1070" s="19" t="s">
        <v>4042</v>
      </c>
      <c r="B1070" s="19" t="s">
        <v>943</v>
      </c>
      <c r="C1070" s="19" t="s">
        <v>944</v>
      </c>
      <c r="D1070" s="19" t="s">
        <v>148</v>
      </c>
      <c r="E1070" s="19" t="s">
        <v>147</v>
      </c>
      <c r="F1070" s="19" t="s">
        <v>212</v>
      </c>
      <c r="G1070" s="19" t="n">
        <v>126</v>
      </c>
      <c r="H1070" s="19" t="s">
        <v>213</v>
      </c>
      <c r="I1070" s="20" t="n">
        <v>13.057</v>
      </c>
      <c r="J1070" s="19" t="n">
        <f aca="false">IF(I1070="","",MIN(Overview!$B$8,MAX(1,CEILING(I1070/Overview!$B$7,1))))</f>
        <v>3</v>
      </c>
      <c r="K1070" s="19" t="n">
        <v>1</v>
      </c>
      <c r="L1070" s="19"/>
      <c r="M1070" s="20"/>
      <c r="N1070" s="19"/>
      <c r="O1070" s="19"/>
      <c r="P1070" s="19" t="s">
        <v>4043</v>
      </c>
      <c r="Q1070" s="19" t="s">
        <v>1888</v>
      </c>
      <c r="R1070" s="21" t="n">
        <v>44642</v>
      </c>
      <c r="S1070" s="19" t="s">
        <v>4044</v>
      </c>
      <c r="T1070" s="19" t="s">
        <v>4045</v>
      </c>
      <c r="U1070" s="19" t="str">
        <f aca="false">HYPERLINK("https://macaulaylibrary.org/asset/462753711","Open")</f>
        <v>Open</v>
      </c>
      <c r="V1070" s="19"/>
    </row>
    <row r="1071" customFormat="false" ht="15" hidden="false" customHeight="false" outlineLevel="0" collapsed="false">
      <c r="A1071" s="19" t="s">
        <v>4046</v>
      </c>
      <c r="B1071" s="19" t="s">
        <v>943</v>
      </c>
      <c r="C1071" s="19" t="s">
        <v>944</v>
      </c>
      <c r="D1071" s="19" t="s">
        <v>148</v>
      </c>
      <c r="E1071" s="19" t="s">
        <v>147</v>
      </c>
      <c r="F1071" s="19" t="s">
        <v>212</v>
      </c>
      <c r="G1071" s="19" t="n">
        <v>126</v>
      </c>
      <c r="H1071" s="19" t="s">
        <v>213</v>
      </c>
      <c r="I1071" s="20" t="n">
        <v>10.782</v>
      </c>
      <c r="J1071" s="19" t="n">
        <f aca="false">IF(I1071="","",MIN(Overview!$B$8,MAX(1,CEILING(I1071/Overview!$B$7,1))))</f>
        <v>3</v>
      </c>
      <c r="K1071" s="19" t="n">
        <v>1</v>
      </c>
      <c r="L1071" s="19"/>
      <c r="M1071" s="20"/>
      <c r="N1071" s="19"/>
      <c r="O1071" s="19"/>
      <c r="P1071" s="19" t="s">
        <v>3015</v>
      </c>
      <c r="Q1071" s="19" t="s">
        <v>1166</v>
      </c>
      <c r="R1071" s="21" t="n">
        <v>44899</v>
      </c>
      <c r="S1071" s="19" t="s">
        <v>3016</v>
      </c>
      <c r="T1071" s="19" t="s">
        <v>4047</v>
      </c>
      <c r="U1071" s="19" t="str">
        <f aca="false">HYPERLINK("https://macaulaylibrary.org/asset/597713361","Open")</f>
        <v>Open</v>
      </c>
      <c r="V1071" s="19"/>
    </row>
    <row r="1072" customFormat="false" ht="15" hidden="false" customHeight="false" outlineLevel="0" collapsed="false">
      <c r="A1072" s="19" t="s">
        <v>4048</v>
      </c>
      <c r="B1072" s="19" t="s">
        <v>943</v>
      </c>
      <c r="C1072" s="19" t="s">
        <v>944</v>
      </c>
      <c r="D1072" s="19" t="s">
        <v>148</v>
      </c>
      <c r="E1072" s="19" t="s">
        <v>147</v>
      </c>
      <c r="F1072" s="19" t="s">
        <v>212</v>
      </c>
      <c r="G1072" s="19" t="n">
        <v>126</v>
      </c>
      <c r="H1072" s="19" t="s">
        <v>213</v>
      </c>
      <c r="I1072" s="20" t="n">
        <v>38.776</v>
      </c>
      <c r="J1072" s="19" t="n">
        <f aca="false">IF(I1072="","",MIN(Overview!$B$8,MAX(1,CEILING(I1072/Overview!$B$7,1))))</f>
        <v>8</v>
      </c>
      <c r="K1072" s="19" t="n">
        <v>1</v>
      </c>
      <c r="L1072" s="19"/>
      <c r="M1072" s="20"/>
      <c r="N1072" s="19"/>
      <c r="O1072" s="19"/>
      <c r="P1072" s="19" t="s">
        <v>4049</v>
      </c>
      <c r="Q1072" s="19" t="s">
        <v>2957</v>
      </c>
      <c r="R1072" s="21" t="n">
        <v>45296</v>
      </c>
      <c r="S1072" s="19" t="s">
        <v>4050</v>
      </c>
      <c r="T1072" s="19" t="s">
        <v>4051</v>
      </c>
      <c r="U1072" s="19" t="str">
        <f aca="false">HYPERLINK("https://macaulaylibrary.org/asset/619567963","Open")</f>
        <v>Open</v>
      </c>
      <c r="V1072" s="19"/>
    </row>
    <row r="1073" customFormat="false" ht="15" hidden="false" customHeight="false" outlineLevel="0" collapsed="false">
      <c r="A1073" s="19" t="s">
        <v>4052</v>
      </c>
      <c r="B1073" s="19" t="s">
        <v>943</v>
      </c>
      <c r="C1073" s="19" t="s">
        <v>944</v>
      </c>
      <c r="D1073" s="19" t="s">
        <v>148</v>
      </c>
      <c r="E1073" s="19" t="s">
        <v>147</v>
      </c>
      <c r="F1073" s="19" t="s">
        <v>212</v>
      </c>
      <c r="G1073" s="19" t="n">
        <v>126</v>
      </c>
      <c r="H1073" s="19" t="s">
        <v>213</v>
      </c>
      <c r="I1073" s="20" t="n">
        <v>10.432</v>
      </c>
      <c r="J1073" s="19" t="n">
        <f aca="false">IF(I1073="","",MIN(Overview!$B$8,MAX(1,CEILING(I1073/Overview!$B$7,1))))</f>
        <v>3</v>
      </c>
      <c r="K1073" s="19" t="n">
        <v>1</v>
      </c>
      <c r="L1073" s="19"/>
      <c r="M1073" s="20" t="n">
        <v>2</v>
      </c>
      <c r="N1073" s="19"/>
      <c r="O1073" s="19"/>
      <c r="P1073" s="19" t="s">
        <v>4053</v>
      </c>
      <c r="Q1073" s="19" t="s">
        <v>4054</v>
      </c>
      <c r="R1073" s="21" t="n">
        <v>45513</v>
      </c>
      <c r="S1073" s="19" t="s">
        <v>1269</v>
      </c>
      <c r="T1073" s="19" t="s">
        <v>4055</v>
      </c>
      <c r="U1073" s="19" t="str">
        <f aca="false">HYPERLINK("https://macaulaylibrary.org/asset/623901259","Open")</f>
        <v>Open</v>
      </c>
      <c r="V1073" s="19"/>
    </row>
    <row r="1074" customFormat="false" ht="15" hidden="false" customHeight="false" outlineLevel="0" collapsed="false">
      <c r="A1074" s="19" t="s">
        <v>4056</v>
      </c>
      <c r="B1074" s="19" t="s">
        <v>943</v>
      </c>
      <c r="C1074" s="19" t="s">
        <v>944</v>
      </c>
      <c r="D1074" s="19" t="s">
        <v>148</v>
      </c>
      <c r="E1074" s="19" t="s">
        <v>147</v>
      </c>
      <c r="F1074" s="19" t="s">
        <v>212</v>
      </c>
      <c r="G1074" s="19" t="n">
        <v>126</v>
      </c>
      <c r="H1074" s="19" t="s">
        <v>213</v>
      </c>
      <c r="I1074" s="20" t="n">
        <v>118.649</v>
      </c>
      <c r="J1074" s="19" t="n">
        <f aca="false">IF(I1074="","",MIN(Overview!$B$8,MAX(1,CEILING(I1074/Overview!$B$7,1))))</f>
        <v>24</v>
      </c>
      <c r="K1074" s="19" t="n">
        <v>1</v>
      </c>
      <c r="L1074" s="19"/>
      <c r="M1074" s="20" t="n">
        <v>4.5</v>
      </c>
      <c r="N1074" s="19"/>
      <c r="O1074" s="19"/>
      <c r="P1074" s="19" t="s">
        <v>4057</v>
      </c>
      <c r="Q1074" s="19" t="s">
        <v>1473</v>
      </c>
      <c r="R1074" s="21" t="n">
        <v>45608</v>
      </c>
      <c r="S1074" s="19" t="s">
        <v>4021</v>
      </c>
      <c r="T1074" s="19" t="s">
        <v>4058</v>
      </c>
      <c r="U1074" s="19" t="str">
        <f aca="false">HYPERLINK("https://macaulaylibrary.org/asset/626341703","Open")</f>
        <v>Open</v>
      </c>
      <c r="V1074" s="19"/>
    </row>
    <row r="1075" customFormat="false" ht="15" hidden="false" customHeight="false" outlineLevel="0" collapsed="false">
      <c r="A1075" s="19" t="s">
        <v>4059</v>
      </c>
      <c r="B1075" s="19" t="s">
        <v>943</v>
      </c>
      <c r="C1075" s="19" t="s">
        <v>944</v>
      </c>
      <c r="D1075" s="19" t="s">
        <v>148</v>
      </c>
      <c r="E1075" s="19" t="s">
        <v>147</v>
      </c>
      <c r="F1075" s="19" t="s">
        <v>212</v>
      </c>
      <c r="G1075" s="19" t="n">
        <v>126</v>
      </c>
      <c r="H1075" s="19" t="s">
        <v>213</v>
      </c>
      <c r="I1075" s="20" t="n">
        <v>61.12</v>
      </c>
      <c r="J1075" s="19" t="n">
        <f aca="false">IF(I1075="","",MIN(Overview!$B$8,MAX(1,CEILING(I1075/Overview!$B$7,1))))</f>
        <v>13</v>
      </c>
      <c r="K1075" s="19" t="n">
        <v>1</v>
      </c>
      <c r="L1075" s="19"/>
      <c r="M1075" s="20" t="n">
        <v>2</v>
      </c>
      <c r="N1075" s="19"/>
      <c r="O1075" s="19"/>
      <c r="P1075" s="19" t="s">
        <v>4060</v>
      </c>
      <c r="Q1075" s="19" t="s">
        <v>965</v>
      </c>
      <c r="R1075" s="21" t="n">
        <v>45640</v>
      </c>
      <c r="S1075" s="19" t="s">
        <v>4061</v>
      </c>
      <c r="T1075" s="19" t="s">
        <v>4062</v>
      </c>
      <c r="U1075" s="19" t="str">
        <f aca="false">HYPERLINK("https://macaulaylibrary.org/asset/627957918","Open")</f>
        <v>Open</v>
      </c>
      <c r="V1075" s="19"/>
    </row>
    <row r="1076" customFormat="false" ht="15" hidden="false" customHeight="false" outlineLevel="0" collapsed="false">
      <c r="A1076" s="19" t="s">
        <v>4063</v>
      </c>
      <c r="B1076" s="19" t="s">
        <v>943</v>
      </c>
      <c r="C1076" s="19" t="s">
        <v>944</v>
      </c>
      <c r="D1076" s="19" t="s">
        <v>148</v>
      </c>
      <c r="E1076" s="19" t="s">
        <v>147</v>
      </c>
      <c r="F1076" s="19" t="s">
        <v>212</v>
      </c>
      <c r="G1076" s="19" t="n">
        <v>126</v>
      </c>
      <c r="H1076" s="19" t="s">
        <v>213</v>
      </c>
      <c r="I1076" s="20" t="n">
        <v>5.072</v>
      </c>
      <c r="J1076" s="19" t="n">
        <f aca="false">IF(I1076="","",MIN(Overview!$B$8,MAX(1,CEILING(I1076/Overview!$B$7,1))))</f>
        <v>2</v>
      </c>
      <c r="K1076" s="19" t="n">
        <v>1</v>
      </c>
      <c r="L1076" s="19"/>
      <c r="M1076" s="20"/>
      <c r="N1076" s="19"/>
      <c r="O1076" s="19"/>
      <c r="P1076" s="19" t="s">
        <v>4064</v>
      </c>
      <c r="Q1076" s="19" t="s">
        <v>1158</v>
      </c>
      <c r="R1076" s="21" t="n">
        <v>45656</v>
      </c>
      <c r="S1076" s="19" t="s">
        <v>4065</v>
      </c>
      <c r="T1076" s="19" t="s">
        <v>4066</v>
      </c>
      <c r="U1076" s="19" t="str">
        <f aca="false">HYPERLINK("https://macaulaylibrary.org/asset/629629644","Open")</f>
        <v>Open</v>
      </c>
      <c r="V1076" s="19"/>
    </row>
    <row r="1077" customFormat="false" ht="15" hidden="false" customHeight="false" outlineLevel="0" collapsed="false">
      <c r="A1077" s="19" t="s">
        <v>4067</v>
      </c>
      <c r="B1077" s="19" t="s">
        <v>943</v>
      </c>
      <c r="C1077" s="19" t="s">
        <v>944</v>
      </c>
      <c r="D1077" s="19" t="s">
        <v>148</v>
      </c>
      <c r="E1077" s="19" t="s">
        <v>147</v>
      </c>
      <c r="F1077" s="19" t="s">
        <v>212</v>
      </c>
      <c r="G1077" s="19" t="n">
        <v>126</v>
      </c>
      <c r="H1077" s="19" t="s">
        <v>213</v>
      </c>
      <c r="I1077" s="20" t="n">
        <v>14.306</v>
      </c>
      <c r="J1077" s="19" t="n">
        <f aca="false">IF(I1077="","",MIN(Overview!$B$8,MAX(1,CEILING(I1077/Overview!$B$7,1))))</f>
        <v>3</v>
      </c>
      <c r="K1077" s="19" t="n">
        <v>1</v>
      </c>
      <c r="L1077" s="19"/>
      <c r="M1077" s="20"/>
      <c r="N1077" s="19"/>
      <c r="O1077" s="19"/>
      <c r="P1077" s="19" t="s">
        <v>2564</v>
      </c>
      <c r="Q1077" s="19" t="s">
        <v>2565</v>
      </c>
      <c r="R1077" s="21" t="n">
        <v>46105</v>
      </c>
      <c r="S1077" s="19" t="s">
        <v>2566</v>
      </c>
      <c r="T1077" s="19" t="s">
        <v>4068</v>
      </c>
      <c r="U1077" s="19" t="str">
        <f aca="false">HYPERLINK("https://macaulaylibrary.org/asset/654513006","Open")</f>
        <v>Open</v>
      </c>
      <c r="V1077" s="19"/>
    </row>
    <row r="1078" customFormat="false" ht="15" hidden="false" customHeight="false" outlineLevel="0" collapsed="false">
      <c r="A1078" s="19" t="s">
        <v>4069</v>
      </c>
      <c r="B1078" s="19" t="s">
        <v>943</v>
      </c>
      <c r="C1078" s="19" t="s">
        <v>944</v>
      </c>
      <c r="D1078" s="19" t="s">
        <v>148</v>
      </c>
      <c r="E1078" s="19" t="s">
        <v>147</v>
      </c>
      <c r="F1078" s="19" t="s">
        <v>212</v>
      </c>
      <c r="G1078" s="19" t="n">
        <v>126</v>
      </c>
      <c r="H1078" s="19" t="s">
        <v>213</v>
      </c>
      <c r="I1078" s="20" t="n">
        <v>17.767</v>
      </c>
      <c r="J1078" s="19" t="n">
        <f aca="false">IF(I1078="","",MIN(Overview!$B$8,MAX(1,CEILING(I1078/Overview!$B$7,1))))</f>
        <v>4</v>
      </c>
      <c r="K1078" s="19" t="n">
        <v>1</v>
      </c>
      <c r="L1078" s="19"/>
      <c r="M1078" s="20" t="n">
        <v>2</v>
      </c>
      <c r="N1078" s="19"/>
      <c r="O1078" s="19"/>
      <c r="P1078" s="19" t="s">
        <v>4070</v>
      </c>
      <c r="Q1078" s="19" t="s">
        <v>1818</v>
      </c>
      <c r="R1078" s="21" t="n">
        <v>45879</v>
      </c>
      <c r="S1078" s="19" t="s">
        <v>4071</v>
      </c>
      <c r="T1078" s="19" t="s">
        <v>4072</v>
      </c>
      <c r="U1078" s="19" t="str">
        <f aca="false">HYPERLINK("https://macaulaylibrary.org/asset/658279553","Open")</f>
        <v>Open</v>
      </c>
      <c r="V1078" s="19"/>
    </row>
    <row r="1079" customFormat="false" ht="15" hidden="false" customHeight="false" outlineLevel="0" collapsed="false">
      <c r="A1079" s="19" t="s">
        <v>4073</v>
      </c>
      <c r="B1079" s="19" t="s">
        <v>943</v>
      </c>
      <c r="C1079" s="19" t="s">
        <v>944</v>
      </c>
      <c r="D1079" s="19" t="s">
        <v>148</v>
      </c>
      <c r="E1079" s="19" t="s">
        <v>147</v>
      </c>
      <c r="F1079" s="19" t="s">
        <v>212</v>
      </c>
      <c r="G1079" s="19" t="n">
        <v>126</v>
      </c>
      <c r="H1079" s="19" t="s">
        <v>213</v>
      </c>
      <c r="I1079" s="20" t="n">
        <v>48.361</v>
      </c>
      <c r="J1079" s="19" t="n">
        <f aca="false">IF(I1079="","",MIN(Overview!$B$8,MAX(1,CEILING(I1079/Overview!$B$7,1))))</f>
        <v>10</v>
      </c>
      <c r="K1079" s="19" t="n">
        <v>1</v>
      </c>
      <c r="L1079" s="19"/>
      <c r="M1079" s="20" t="n">
        <v>1</v>
      </c>
      <c r="N1079" s="19"/>
      <c r="O1079" s="19"/>
      <c r="P1079" s="19" t="s">
        <v>1214</v>
      </c>
      <c r="Q1079" s="19" t="s">
        <v>980</v>
      </c>
      <c r="R1079" s="21" t="n">
        <v>33300</v>
      </c>
      <c r="S1079" s="19" t="s">
        <v>1002</v>
      </c>
      <c r="T1079" s="19" t="s">
        <v>4074</v>
      </c>
      <c r="U1079" s="19" t="str">
        <f aca="false">HYPERLINK("https://macaulaylibrary.org/asset/72676","Open")</f>
        <v>Open</v>
      </c>
      <c r="V1079" s="19" t="s">
        <v>4009</v>
      </c>
    </row>
    <row r="1080" customFormat="false" ht="15" hidden="false" customHeight="false" outlineLevel="0" collapsed="false">
      <c r="A1080" s="19" t="s">
        <v>4075</v>
      </c>
      <c r="B1080" s="19" t="s">
        <v>943</v>
      </c>
      <c r="C1080" s="19" t="s">
        <v>944</v>
      </c>
      <c r="D1080" s="19" t="s">
        <v>148</v>
      </c>
      <c r="E1080" s="19" t="s">
        <v>147</v>
      </c>
      <c r="F1080" s="19" t="s">
        <v>212</v>
      </c>
      <c r="G1080" s="19" t="n">
        <v>126</v>
      </c>
      <c r="H1080" s="19" t="s">
        <v>213</v>
      </c>
      <c r="I1080" s="20" t="n">
        <v>17.855</v>
      </c>
      <c r="J1080" s="19" t="n">
        <f aca="false">IF(I1080="","",MIN(Overview!$B$8,MAX(1,CEILING(I1080/Overview!$B$7,1))))</f>
        <v>4</v>
      </c>
      <c r="K1080" s="19" t="n">
        <v>1</v>
      </c>
      <c r="L1080" s="19"/>
      <c r="M1080" s="20" t="n">
        <v>2</v>
      </c>
      <c r="N1080" s="19"/>
      <c r="O1080" s="19"/>
      <c r="P1080" s="19" t="s">
        <v>1217</v>
      </c>
      <c r="Q1080" s="19" t="s">
        <v>1218</v>
      </c>
      <c r="R1080" s="21" t="n">
        <v>33330</v>
      </c>
      <c r="S1080" s="19" t="s">
        <v>2995</v>
      </c>
      <c r="T1080" s="19" t="s">
        <v>4076</v>
      </c>
      <c r="U1080" s="19" t="str">
        <f aca="false">HYPERLINK("https://macaulaylibrary.org/asset/76629","Open")</f>
        <v>Open</v>
      </c>
      <c r="V1080" s="19" t="s">
        <v>4009</v>
      </c>
    </row>
    <row r="1081" customFormat="false" ht="15" hidden="false" customHeight="false" outlineLevel="0" collapsed="false">
      <c r="A1081" s="19" t="s">
        <v>4077</v>
      </c>
      <c r="B1081" s="19" t="s">
        <v>943</v>
      </c>
      <c r="C1081" s="19" t="s">
        <v>944</v>
      </c>
      <c r="D1081" s="19" t="s">
        <v>400</v>
      </c>
      <c r="E1081" s="19" t="s">
        <v>147</v>
      </c>
      <c r="F1081" s="19" t="s">
        <v>438</v>
      </c>
      <c r="G1081" s="19" t="n">
        <v>127</v>
      </c>
      <c r="H1081" s="19" t="s">
        <v>439</v>
      </c>
      <c r="I1081" s="20" t="n">
        <v>87.518</v>
      </c>
      <c r="J1081" s="19" t="n">
        <f aca="false">IF(I1081="","",MIN(Overview!$B$8,MAX(1,CEILING(I1081/Overview!$B$7,1))))</f>
        <v>18</v>
      </c>
      <c r="K1081" s="19" t="n">
        <v>1</v>
      </c>
      <c r="L1081" s="19"/>
      <c r="M1081" s="20" t="n">
        <v>4</v>
      </c>
      <c r="N1081" s="19"/>
      <c r="O1081" s="19"/>
      <c r="P1081" s="19" t="s">
        <v>1356</v>
      </c>
      <c r="Q1081" s="19" t="s">
        <v>1021</v>
      </c>
      <c r="R1081" s="21" t="n">
        <v>36603</v>
      </c>
      <c r="S1081" s="19" t="s">
        <v>1357</v>
      </c>
      <c r="T1081" s="19" t="s">
        <v>4078</v>
      </c>
      <c r="U1081" s="19" t="str">
        <f aca="false">HYPERLINK("https://macaulaylibrary.org/asset/155579101","Open")</f>
        <v>Open</v>
      </c>
      <c r="V1081" s="19"/>
    </row>
    <row r="1082" customFormat="false" ht="15" hidden="false" customHeight="false" outlineLevel="0" collapsed="false">
      <c r="A1082" s="19" t="s">
        <v>4079</v>
      </c>
      <c r="B1082" s="19" t="s">
        <v>943</v>
      </c>
      <c r="C1082" s="19" t="s">
        <v>944</v>
      </c>
      <c r="D1082" s="19" t="s">
        <v>400</v>
      </c>
      <c r="E1082" s="19" t="s">
        <v>147</v>
      </c>
      <c r="F1082" s="19" t="s">
        <v>438</v>
      </c>
      <c r="G1082" s="19" t="n">
        <v>127</v>
      </c>
      <c r="H1082" s="19" t="s">
        <v>439</v>
      </c>
      <c r="I1082" s="20" t="n">
        <v>21.844</v>
      </c>
      <c r="J1082" s="19" t="n">
        <f aca="false">IF(I1082="","",MIN(Overview!$B$8,MAX(1,CEILING(I1082/Overview!$B$7,1))))</f>
        <v>5</v>
      </c>
      <c r="K1082" s="19" t="n">
        <v>1</v>
      </c>
      <c r="L1082" s="19"/>
      <c r="M1082" s="20" t="n">
        <v>3.67</v>
      </c>
      <c r="N1082" s="19"/>
      <c r="O1082" s="19"/>
      <c r="P1082" s="19" t="s">
        <v>1879</v>
      </c>
      <c r="Q1082" s="19" t="s">
        <v>975</v>
      </c>
      <c r="R1082" s="21" t="n">
        <v>43665</v>
      </c>
      <c r="S1082" s="19" t="s">
        <v>1880</v>
      </c>
      <c r="T1082" s="19" t="s">
        <v>4080</v>
      </c>
      <c r="U1082" s="19" t="str">
        <f aca="false">HYPERLINK("https://macaulaylibrary.org/asset/179453811","Open")</f>
        <v>Open</v>
      </c>
      <c r="V1082" s="19"/>
    </row>
    <row r="1083" customFormat="false" ht="15" hidden="false" customHeight="false" outlineLevel="0" collapsed="false">
      <c r="A1083" s="19" t="s">
        <v>4081</v>
      </c>
      <c r="B1083" s="19" t="s">
        <v>943</v>
      </c>
      <c r="C1083" s="19" t="s">
        <v>944</v>
      </c>
      <c r="D1083" s="19" t="s">
        <v>400</v>
      </c>
      <c r="E1083" s="19" t="s">
        <v>147</v>
      </c>
      <c r="F1083" s="19" t="s">
        <v>438</v>
      </c>
      <c r="G1083" s="19" t="n">
        <v>127</v>
      </c>
      <c r="H1083" s="19" t="s">
        <v>439</v>
      </c>
      <c r="I1083" s="20" t="n">
        <v>50.233</v>
      </c>
      <c r="J1083" s="19" t="n">
        <f aca="false">IF(I1083="","",MIN(Overview!$B$8,MAX(1,CEILING(I1083/Overview!$B$7,1))))</f>
        <v>11</v>
      </c>
      <c r="K1083" s="19" t="n">
        <v>1</v>
      </c>
      <c r="L1083" s="19"/>
      <c r="M1083" s="20" t="n">
        <v>4</v>
      </c>
      <c r="N1083" s="19"/>
      <c r="O1083" s="19"/>
      <c r="P1083" s="19" t="s">
        <v>2672</v>
      </c>
      <c r="Q1083" s="19" t="s">
        <v>1055</v>
      </c>
      <c r="R1083" s="21" t="n">
        <v>40255</v>
      </c>
      <c r="S1083" s="19" t="s">
        <v>1002</v>
      </c>
      <c r="T1083" s="19" t="s">
        <v>4082</v>
      </c>
      <c r="U1083" s="19" t="str">
        <f aca="false">HYPERLINK("https://macaulaylibrary.org/asset/203941401","Open")</f>
        <v>Open</v>
      </c>
      <c r="V1083" s="19"/>
    </row>
    <row r="1084" customFormat="false" ht="15" hidden="false" customHeight="false" outlineLevel="0" collapsed="false">
      <c r="A1084" s="19" t="s">
        <v>4083</v>
      </c>
      <c r="B1084" s="19" t="s">
        <v>943</v>
      </c>
      <c r="C1084" s="19" t="s">
        <v>944</v>
      </c>
      <c r="D1084" s="19" t="s">
        <v>400</v>
      </c>
      <c r="E1084" s="19" t="s">
        <v>147</v>
      </c>
      <c r="F1084" s="19" t="s">
        <v>438</v>
      </c>
      <c r="G1084" s="19" t="n">
        <v>127</v>
      </c>
      <c r="H1084" s="19" t="s">
        <v>439</v>
      </c>
      <c r="I1084" s="20" t="n">
        <v>23.159</v>
      </c>
      <c r="J1084" s="19" t="n">
        <f aca="false">IF(I1084="","",MIN(Overview!$B$8,MAX(1,CEILING(I1084/Overview!$B$7,1))))</f>
        <v>5</v>
      </c>
      <c r="K1084" s="19" t="n">
        <v>1</v>
      </c>
      <c r="L1084" s="19"/>
      <c r="M1084" s="20" t="n">
        <v>2</v>
      </c>
      <c r="N1084" s="19"/>
      <c r="O1084" s="19"/>
      <c r="P1084" s="19" t="s">
        <v>1784</v>
      </c>
      <c r="Q1084" s="19" t="s">
        <v>1289</v>
      </c>
      <c r="R1084" s="21" t="n">
        <v>42536</v>
      </c>
      <c r="S1084" s="19" t="s">
        <v>1092</v>
      </c>
      <c r="T1084" s="19" t="s">
        <v>4084</v>
      </c>
      <c r="U1084" s="19" t="str">
        <f aca="false">HYPERLINK("https://macaulaylibrary.org/asset/32448431","Open")</f>
        <v>Open</v>
      </c>
      <c r="V1084" s="19"/>
    </row>
    <row r="1085" customFormat="false" ht="15" hidden="false" customHeight="false" outlineLevel="0" collapsed="false">
      <c r="A1085" s="19" t="s">
        <v>4085</v>
      </c>
      <c r="B1085" s="19" t="s">
        <v>943</v>
      </c>
      <c r="C1085" s="19" t="s">
        <v>944</v>
      </c>
      <c r="D1085" s="19" t="s">
        <v>400</v>
      </c>
      <c r="E1085" s="19" t="s">
        <v>147</v>
      </c>
      <c r="F1085" s="19" t="s">
        <v>438</v>
      </c>
      <c r="G1085" s="19" t="n">
        <v>127</v>
      </c>
      <c r="H1085" s="19" t="s">
        <v>439</v>
      </c>
      <c r="I1085" s="20" t="n">
        <v>26.114</v>
      </c>
      <c r="J1085" s="19" t="n">
        <f aca="false">IF(I1085="","",MIN(Overview!$B$8,MAX(1,CEILING(I1085/Overview!$B$7,1))))</f>
        <v>6</v>
      </c>
      <c r="K1085" s="19" t="n">
        <v>1</v>
      </c>
      <c r="L1085" s="19"/>
      <c r="M1085" s="20" t="n">
        <v>2.75</v>
      </c>
      <c r="N1085" s="19"/>
      <c r="O1085" s="19"/>
      <c r="P1085" s="19" t="s">
        <v>4086</v>
      </c>
      <c r="Q1085" s="19" t="s">
        <v>1289</v>
      </c>
      <c r="R1085" s="21" t="n">
        <v>42547</v>
      </c>
      <c r="S1085" s="19" t="s">
        <v>4087</v>
      </c>
      <c r="T1085" s="19" t="s">
        <v>4088</v>
      </c>
      <c r="U1085" s="19" t="str">
        <f aca="false">HYPERLINK("https://macaulaylibrary.org/asset/32702841","Open")</f>
        <v>Open</v>
      </c>
      <c r="V1085" s="19"/>
    </row>
    <row r="1086" customFormat="false" ht="15" hidden="false" customHeight="false" outlineLevel="0" collapsed="false">
      <c r="A1086" s="19" t="s">
        <v>4089</v>
      </c>
      <c r="B1086" s="19" t="s">
        <v>943</v>
      </c>
      <c r="C1086" s="19" t="s">
        <v>944</v>
      </c>
      <c r="D1086" s="19" t="s">
        <v>400</v>
      </c>
      <c r="E1086" s="19" t="s">
        <v>147</v>
      </c>
      <c r="F1086" s="19" t="s">
        <v>438</v>
      </c>
      <c r="G1086" s="19" t="n">
        <v>127</v>
      </c>
      <c r="H1086" s="19" t="s">
        <v>439</v>
      </c>
      <c r="I1086" s="20" t="n">
        <v>5.45</v>
      </c>
      <c r="J1086" s="19" t="n">
        <f aca="false">IF(I1086="","",MIN(Overview!$B$8,MAX(1,CEILING(I1086/Overview!$B$7,1))))</f>
        <v>2</v>
      </c>
      <c r="K1086" s="19" t="n">
        <v>1</v>
      </c>
      <c r="L1086" s="19"/>
      <c r="M1086" s="20" t="n">
        <v>1.67</v>
      </c>
      <c r="N1086" s="19"/>
      <c r="O1086" s="19"/>
      <c r="P1086" s="19" t="s">
        <v>1605</v>
      </c>
      <c r="Q1086" s="19" t="s">
        <v>1040</v>
      </c>
      <c r="R1086" s="21" t="n">
        <v>40902</v>
      </c>
      <c r="S1086" s="19" t="s">
        <v>1002</v>
      </c>
      <c r="T1086" s="19" t="s">
        <v>4090</v>
      </c>
      <c r="U1086" s="19" t="str">
        <f aca="false">HYPERLINK("https://macaulaylibrary.org/asset/609056537","Open")</f>
        <v>Open</v>
      </c>
      <c r="V1086" s="19"/>
    </row>
    <row r="1087" customFormat="false" ht="15" hidden="false" customHeight="false" outlineLevel="0" collapsed="false">
      <c r="A1087" s="19" t="s">
        <v>4091</v>
      </c>
      <c r="B1087" s="19" t="s">
        <v>943</v>
      </c>
      <c r="C1087" s="19" t="s">
        <v>944</v>
      </c>
      <c r="D1087" s="19" t="s">
        <v>400</v>
      </c>
      <c r="E1087" s="19" t="s">
        <v>147</v>
      </c>
      <c r="F1087" s="19" t="s">
        <v>438</v>
      </c>
      <c r="G1087" s="19" t="n">
        <v>127</v>
      </c>
      <c r="H1087" s="19" t="s">
        <v>439</v>
      </c>
      <c r="I1087" s="20" t="n">
        <v>6.604</v>
      </c>
      <c r="J1087" s="19" t="n">
        <f aca="false">IF(I1087="","",MIN(Overview!$B$8,MAX(1,CEILING(I1087/Overview!$B$7,1))))</f>
        <v>2</v>
      </c>
      <c r="K1087" s="19" t="n">
        <v>1</v>
      </c>
      <c r="L1087" s="19"/>
      <c r="M1087" s="20" t="n">
        <v>3</v>
      </c>
      <c r="N1087" s="19"/>
      <c r="O1087" s="19"/>
      <c r="P1087" s="19" t="s">
        <v>1364</v>
      </c>
      <c r="Q1087" s="19" t="s">
        <v>1040</v>
      </c>
      <c r="R1087" s="21" t="n">
        <v>41630</v>
      </c>
      <c r="S1087" s="19" t="s">
        <v>1002</v>
      </c>
      <c r="T1087" s="19" t="s">
        <v>4092</v>
      </c>
      <c r="U1087" s="19" t="str">
        <f aca="false">HYPERLINK("https://macaulaylibrary.org/asset/609061863","Open")</f>
        <v>Open</v>
      </c>
      <c r="V1087" s="19"/>
    </row>
    <row r="1088" customFormat="false" ht="15" hidden="false" customHeight="false" outlineLevel="0" collapsed="false">
      <c r="A1088" s="19" t="s">
        <v>4093</v>
      </c>
      <c r="B1088" s="19" t="s">
        <v>943</v>
      </c>
      <c r="C1088" s="19" t="s">
        <v>944</v>
      </c>
      <c r="D1088" s="19" t="s">
        <v>400</v>
      </c>
      <c r="E1088" s="19" t="s">
        <v>147</v>
      </c>
      <c r="F1088" s="19" t="s">
        <v>438</v>
      </c>
      <c r="G1088" s="19" t="n">
        <v>127</v>
      </c>
      <c r="H1088" s="19" t="s">
        <v>439</v>
      </c>
      <c r="I1088" s="20" t="n">
        <v>124.572</v>
      </c>
      <c r="J1088" s="19" t="n">
        <f aca="false">IF(I1088="","",MIN(Overview!$B$8,MAX(1,CEILING(I1088/Overview!$B$7,1))))</f>
        <v>25</v>
      </c>
      <c r="K1088" s="19" t="n">
        <v>1</v>
      </c>
      <c r="L1088" s="19"/>
      <c r="M1088" s="20" t="n">
        <v>3</v>
      </c>
      <c r="N1088" s="19"/>
      <c r="O1088" s="19"/>
      <c r="P1088" s="19" t="s">
        <v>1001</v>
      </c>
      <c r="Q1088" s="19" t="s">
        <v>980</v>
      </c>
      <c r="R1088" s="21" t="n">
        <v>33299</v>
      </c>
      <c r="S1088" s="19" t="s">
        <v>4094</v>
      </c>
      <c r="T1088" s="19" t="s">
        <v>4095</v>
      </c>
      <c r="U1088" s="19" t="str">
        <f aca="false">HYPERLINK("https://macaulaylibrary.org/asset/72645","Open")</f>
        <v>Open</v>
      </c>
      <c r="V1088" s="19"/>
    </row>
    <row r="1089" customFormat="false" ht="15" hidden="false" customHeight="false" outlineLevel="0" collapsed="false">
      <c r="A1089" s="19" t="s">
        <v>4096</v>
      </c>
      <c r="B1089" s="19" t="s">
        <v>943</v>
      </c>
      <c r="C1089" s="19" t="s">
        <v>944</v>
      </c>
      <c r="D1089" s="19" t="s">
        <v>148</v>
      </c>
      <c r="E1089" s="19" t="s">
        <v>147</v>
      </c>
      <c r="F1089" s="19" t="s">
        <v>206</v>
      </c>
      <c r="G1089" s="19" t="n">
        <v>128</v>
      </c>
      <c r="H1089" s="19" t="s">
        <v>207</v>
      </c>
      <c r="I1089" s="20" t="n">
        <v>8.587</v>
      </c>
      <c r="J1089" s="19" t="n">
        <f aca="false">IF(I1089="","",MIN(Overview!$B$8,MAX(1,CEILING(I1089/Overview!$B$7,1))))</f>
        <v>2</v>
      </c>
      <c r="K1089" s="19" t="n">
        <v>1</v>
      </c>
      <c r="L1089" s="19"/>
      <c r="M1089" s="20" t="n">
        <v>2</v>
      </c>
      <c r="N1089" s="19"/>
      <c r="O1089" s="19"/>
      <c r="P1089" s="19" t="s">
        <v>2916</v>
      </c>
      <c r="Q1089" s="19" t="s">
        <v>2235</v>
      </c>
      <c r="R1089" s="21" t="n">
        <v>43469</v>
      </c>
      <c r="S1089" s="19" t="s">
        <v>1484</v>
      </c>
      <c r="T1089" s="19" t="s">
        <v>4097</v>
      </c>
      <c r="U1089" s="19" t="str">
        <f aca="false">HYPERLINK("https://macaulaylibrary.org/asset/137859711","Open")</f>
        <v>Open</v>
      </c>
      <c r="V1089" s="19"/>
    </row>
    <row r="1090" customFormat="false" ht="15" hidden="false" customHeight="false" outlineLevel="0" collapsed="false">
      <c r="A1090" s="19" t="s">
        <v>4098</v>
      </c>
      <c r="B1090" s="19" t="s">
        <v>943</v>
      </c>
      <c r="C1090" s="19" t="s">
        <v>944</v>
      </c>
      <c r="D1090" s="19" t="s">
        <v>148</v>
      </c>
      <c r="E1090" s="19" t="s">
        <v>147</v>
      </c>
      <c r="F1090" s="19" t="s">
        <v>206</v>
      </c>
      <c r="G1090" s="19" t="n">
        <v>128</v>
      </c>
      <c r="H1090" s="19" t="s">
        <v>207</v>
      </c>
      <c r="I1090" s="20" t="n">
        <v>142.831</v>
      </c>
      <c r="J1090" s="19" t="n">
        <f aca="false">IF(I1090="","",MIN(Overview!$B$8,MAX(1,CEILING(I1090/Overview!$B$7,1))))</f>
        <v>29</v>
      </c>
      <c r="K1090" s="19" t="n">
        <v>1</v>
      </c>
      <c r="L1090" s="19"/>
      <c r="M1090" s="20" t="n">
        <v>2</v>
      </c>
      <c r="N1090" s="19"/>
      <c r="O1090" s="19"/>
      <c r="P1090" s="19" t="s">
        <v>1097</v>
      </c>
      <c r="Q1090" s="19" t="s">
        <v>980</v>
      </c>
      <c r="R1090" s="21" t="n">
        <v>32553</v>
      </c>
      <c r="S1090" s="19" t="s">
        <v>4099</v>
      </c>
      <c r="T1090" s="19" t="s">
        <v>4100</v>
      </c>
      <c r="U1090" s="19" t="str">
        <f aca="false">HYPERLINK("https://macaulaylibrary.org/asset/215329","Open")</f>
        <v>Open</v>
      </c>
      <c r="V1090" s="19"/>
    </row>
    <row r="1091" customFormat="false" ht="15" hidden="false" customHeight="false" outlineLevel="0" collapsed="false">
      <c r="A1091" s="19" t="s">
        <v>4101</v>
      </c>
      <c r="B1091" s="19" t="s">
        <v>943</v>
      </c>
      <c r="C1091" s="19" t="s">
        <v>944</v>
      </c>
      <c r="D1091" s="19" t="s">
        <v>148</v>
      </c>
      <c r="E1091" s="19" t="s">
        <v>147</v>
      </c>
      <c r="F1091" s="19" t="s">
        <v>206</v>
      </c>
      <c r="G1091" s="19" t="n">
        <v>128</v>
      </c>
      <c r="H1091" s="19" t="s">
        <v>207</v>
      </c>
      <c r="I1091" s="20" t="n">
        <v>375.295</v>
      </c>
      <c r="J1091" s="19" t="n">
        <f aca="false">IF(I1091="","",MIN(Overview!$B$8,MAX(1,CEILING(I1091/Overview!$B$7,1))))</f>
        <v>76</v>
      </c>
      <c r="K1091" s="19" t="n">
        <v>1</v>
      </c>
      <c r="L1091" s="19"/>
      <c r="M1091" s="20" t="n">
        <v>3</v>
      </c>
      <c r="N1091" s="19"/>
      <c r="O1091" s="19"/>
      <c r="P1091" s="19" t="s">
        <v>1097</v>
      </c>
      <c r="Q1091" s="19" t="s">
        <v>980</v>
      </c>
      <c r="R1091" s="21" t="n">
        <v>32553</v>
      </c>
      <c r="S1091" s="19" t="s">
        <v>4102</v>
      </c>
      <c r="T1091" s="19" t="s">
        <v>4103</v>
      </c>
      <c r="U1091" s="19" t="str">
        <f aca="false">HYPERLINK("https://macaulaylibrary.org/asset/215331","Open")</f>
        <v>Open</v>
      </c>
      <c r="V1091" s="19"/>
    </row>
    <row r="1092" customFormat="false" ht="15" hidden="false" customHeight="false" outlineLevel="0" collapsed="false">
      <c r="A1092" s="19" t="s">
        <v>4104</v>
      </c>
      <c r="B1092" s="19" t="s">
        <v>943</v>
      </c>
      <c r="C1092" s="19" t="s">
        <v>944</v>
      </c>
      <c r="D1092" s="19" t="s">
        <v>148</v>
      </c>
      <c r="E1092" s="19" t="s">
        <v>147</v>
      </c>
      <c r="F1092" s="19" t="s">
        <v>206</v>
      </c>
      <c r="G1092" s="19" t="n">
        <v>128</v>
      </c>
      <c r="H1092" s="19" t="s">
        <v>207</v>
      </c>
      <c r="I1092" s="20" t="n">
        <v>101.31</v>
      </c>
      <c r="J1092" s="19" t="n">
        <f aca="false">IF(I1092="","",MIN(Overview!$B$8,MAX(1,CEILING(I1092/Overview!$B$7,1))))</f>
        <v>21</v>
      </c>
      <c r="K1092" s="19" t="n">
        <v>1</v>
      </c>
      <c r="L1092" s="19"/>
      <c r="M1092" s="20" t="n">
        <v>2</v>
      </c>
      <c r="N1092" s="19"/>
      <c r="O1092" s="19"/>
      <c r="P1092" s="19" t="s">
        <v>1097</v>
      </c>
      <c r="Q1092" s="19" t="s">
        <v>980</v>
      </c>
      <c r="R1092" s="21" t="n">
        <v>32553</v>
      </c>
      <c r="S1092" s="19" t="s">
        <v>4105</v>
      </c>
      <c r="T1092" s="19" t="s">
        <v>4106</v>
      </c>
      <c r="U1092" s="19" t="str">
        <f aca="false">HYPERLINK("https://macaulaylibrary.org/asset/215334","Open")</f>
        <v>Open</v>
      </c>
      <c r="V1092" s="19"/>
    </row>
    <row r="1093" customFormat="false" ht="15" hidden="false" customHeight="false" outlineLevel="0" collapsed="false">
      <c r="A1093" s="19" t="s">
        <v>4107</v>
      </c>
      <c r="B1093" s="19" t="s">
        <v>943</v>
      </c>
      <c r="C1093" s="19" t="s">
        <v>944</v>
      </c>
      <c r="D1093" s="19" t="s">
        <v>148</v>
      </c>
      <c r="E1093" s="19" t="s">
        <v>147</v>
      </c>
      <c r="F1093" s="19" t="s">
        <v>206</v>
      </c>
      <c r="G1093" s="19" t="n">
        <v>128</v>
      </c>
      <c r="H1093" s="19" t="s">
        <v>207</v>
      </c>
      <c r="I1093" s="20" t="n">
        <v>10.464</v>
      </c>
      <c r="J1093" s="19" t="n">
        <f aca="false">IF(I1093="","",MIN(Overview!$B$8,MAX(1,CEILING(I1093/Overview!$B$7,1))))</f>
        <v>3</v>
      </c>
      <c r="K1093" s="19" t="n">
        <v>1</v>
      </c>
      <c r="L1093" s="19"/>
      <c r="M1093" s="20" t="n">
        <v>2</v>
      </c>
      <c r="N1093" s="19"/>
      <c r="O1093" s="19"/>
      <c r="P1093" s="19" t="s">
        <v>4108</v>
      </c>
      <c r="Q1093" s="19" t="s">
        <v>1596</v>
      </c>
      <c r="R1093" s="21" t="n">
        <v>44701</v>
      </c>
      <c r="S1093" s="19" t="s">
        <v>4109</v>
      </c>
      <c r="T1093" s="19" t="s">
        <v>4110</v>
      </c>
      <c r="U1093" s="19" t="str">
        <f aca="false">HYPERLINK("https://macaulaylibrary.org/asset/457850491","Open")</f>
        <v>Open</v>
      </c>
      <c r="V1093" s="19"/>
    </row>
    <row r="1094" customFormat="false" ht="15" hidden="false" customHeight="false" outlineLevel="0" collapsed="false">
      <c r="A1094" s="19" t="s">
        <v>4111</v>
      </c>
      <c r="B1094" s="19" t="s">
        <v>943</v>
      </c>
      <c r="C1094" s="19" t="s">
        <v>944</v>
      </c>
      <c r="D1094" s="19" t="s">
        <v>148</v>
      </c>
      <c r="E1094" s="19" t="s">
        <v>147</v>
      </c>
      <c r="F1094" s="19" t="s">
        <v>206</v>
      </c>
      <c r="G1094" s="19" t="n">
        <v>128</v>
      </c>
      <c r="H1094" s="19" t="s">
        <v>207</v>
      </c>
      <c r="I1094" s="20" t="n">
        <v>90.932</v>
      </c>
      <c r="J1094" s="19" t="n">
        <f aca="false">IF(I1094="","",MIN(Overview!$B$8,MAX(1,CEILING(I1094/Overview!$B$7,1))))</f>
        <v>19</v>
      </c>
      <c r="K1094" s="19" t="n">
        <v>1</v>
      </c>
      <c r="L1094" s="19"/>
      <c r="M1094" s="20" t="n">
        <v>3.5</v>
      </c>
      <c r="N1094" s="19"/>
      <c r="O1094" s="19"/>
      <c r="P1094" s="19" t="s">
        <v>1034</v>
      </c>
      <c r="Q1094" s="19" t="s">
        <v>1035</v>
      </c>
      <c r="R1094" s="21" t="n">
        <v>43665</v>
      </c>
      <c r="S1094" s="19" t="s">
        <v>1036</v>
      </c>
      <c r="T1094" s="19" t="s">
        <v>4112</v>
      </c>
      <c r="U1094" s="19" t="str">
        <f aca="false">HYPERLINK("https://macaulaylibrary.org/asset/498005021","Open")</f>
        <v>Open</v>
      </c>
      <c r="V1094" s="19"/>
    </row>
    <row r="1095" customFormat="false" ht="15" hidden="false" customHeight="false" outlineLevel="0" collapsed="false">
      <c r="A1095" s="19" t="s">
        <v>4113</v>
      </c>
      <c r="B1095" s="19" t="s">
        <v>943</v>
      </c>
      <c r="C1095" s="19" t="s">
        <v>944</v>
      </c>
      <c r="D1095" s="19" t="s">
        <v>148</v>
      </c>
      <c r="E1095" s="19" t="s">
        <v>147</v>
      </c>
      <c r="F1095" s="19" t="s">
        <v>206</v>
      </c>
      <c r="G1095" s="19" t="n">
        <v>128</v>
      </c>
      <c r="H1095" s="19" t="s">
        <v>207</v>
      </c>
      <c r="I1095" s="20" t="n">
        <v>2.157</v>
      </c>
      <c r="J1095" s="19" t="n">
        <f aca="false">IF(I1095="","",MIN(Overview!$B$8,MAX(1,CEILING(I1095/Overview!$B$7,1))))</f>
        <v>1</v>
      </c>
      <c r="K1095" s="19" t="n">
        <v>1</v>
      </c>
      <c r="L1095" s="19" t="s">
        <v>1048</v>
      </c>
      <c r="M1095" s="20" t="n">
        <v>2</v>
      </c>
      <c r="N1095" s="19"/>
      <c r="O1095" s="19"/>
      <c r="P1095" s="19" t="s">
        <v>1414</v>
      </c>
      <c r="Q1095" s="19" t="s">
        <v>1204</v>
      </c>
      <c r="R1095" s="21" t="n">
        <v>44608</v>
      </c>
      <c r="S1095" s="19" t="s">
        <v>1415</v>
      </c>
      <c r="T1095" s="19" t="s">
        <v>4114</v>
      </c>
      <c r="U1095" s="19" t="str">
        <f aca="false">HYPERLINK("https://macaulaylibrary.org/asset/531097761","Open")</f>
        <v>Open</v>
      </c>
      <c r="V1095" s="19"/>
    </row>
    <row r="1096" customFormat="false" ht="15" hidden="false" customHeight="false" outlineLevel="0" collapsed="false">
      <c r="A1096" s="19" t="s">
        <v>4115</v>
      </c>
      <c r="B1096" s="19" t="s">
        <v>943</v>
      </c>
      <c r="C1096" s="19" t="s">
        <v>944</v>
      </c>
      <c r="D1096" s="19" t="s">
        <v>148</v>
      </c>
      <c r="E1096" s="19" t="s">
        <v>147</v>
      </c>
      <c r="F1096" s="19" t="s">
        <v>206</v>
      </c>
      <c r="G1096" s="19" t="n">
        <v>128</v>
      </c>
      <c r="H1096" s="19" t="s">
        <v>207</v>
      </c>
      <c r="I1096" s="20" t="n">
        <v>16.912</v>
      </c>
      <c r="J1096" s="19" t="n">
        <f aca="false">IF(I1096="","",MIN(Overview!$B$8,MAX(1,CEILING(I1096/Overview!$B$7,1))))</f>
        <v>4</v>
      </c>
      <c r="K1096" s="19" t="n">
        <v>1</v>
      </c>
      <c r="L1096" s="19"/>
      <c r="M1096" s="20"/>
      <c r="N1096" s="19"/>
      <c r="O1096" s="19"/>
      <c r="P1096" s="19" t="s">
        <v>1039</v>
      </c>
      <c r="Q1096" s="19" t="s">
        <v>1040</v>
      </c>
      <c r="R1096" s="21" t="n">
        <v>40901</v>
      </c>
      <c r="S1096" s="19" t="s">
        <v>1002</v>
      </c>
      <c r="T1096" s="19" t="s">
        <v>4116</v>
      </c>
      <c r="U1096" s="19" t="str">
        <f aca="false">HYPERLINK("https://macaulaylibrary.org/asset/609056516","Open")</f>
        <v>Open</v>
      </c>
      <c r="V1096" s="19"/>
    </row>
    <row r="1097" customFormat="false" ht="15" hidden="false" customHeight="false" outlineLevel="0" collapsed="false">
      <c r="A1097" s="19" t="s">
        <v>4117</v>
      </c>
      <c r="B1097" s="19" t="s">
        <v>943</v>
      </c>
      <c r="C1097" s="19" t="s">
        <v>944</v>
      </c>
      <c r="D1097" s="19" t="s">
        <v>148</v>
      </c>
      <c r="E1097" s="19" t="s">
        <v>147</v>
      </c>
      <c r="F1097" s="19" t="s">
        <v>206</v>
      </c>
      <c r="G1097" s="19" t="n">
        <v>128</v>
      </c>
      <c r="H1097" s="19" t="s">
        <v>207</v>
      </c>
      <c r="I1097" s="20" t="n">
        <v>3.018</v>
      </c>
      <c r="J1097" s="19" t="n">
        <f aca="false">IF(I1097="","",MIN(Overview!$B$8,MAX(1,CEILING(I1097/Overview!$B$7,1))))</f>
        <v>1</v>
      </c>
      <c r="K1097" s="19" t="n">
        <v>1</v>
      </c>
      <c r="L1097" s="19" t="s">
        <v>1048</v>
      </c>
      <c r="M1097" s="20" t="n">
        <v>3.5</v>
      </c>
      <c r="N1097" s="19"/>
      <c r="O1097" s="19"/>
      <c r="P1097" s="19" t="s">
        <v>1045</v>
      </c>
      <c r="Q1097" s="19" t="s">
        <v>1040</v>
      </c>
      <c r="R1097" s="21" t="n">
        <v>40903</v>
      </c>
      <c r="S1097" s="19" t="s">
        <v>1002</v>
      </c>
      <c r="T1097" s="19" t="s">
        <v>4118</v>
      </c>
      <c r="U1097" s="19" t="str">
        <f aca="false">HYPERLINK("https://macaulaylibrary.org/asset/609056529","Open")</f>
        <v>Open</v>
      </c>
      <c r="V1097" s="19"/>
    </row>
    <row r="1098" customFormat="false" ht="15" hidden="false" customHeight="false" outlineLevel="0" collapsed="false">
      <c r="A1098" s="19" t="s">
        <v>4119</v>
      </c>
      <c r="B1098" s="19" t="s">
        <v>943</v>
      </c>
      <c r="C1098" s="19" t="s">
        <v>944</v>
      </c>
      <c r="D1098" s="19" t="s">
        <v>148</v>
      </c>
      <c r="E1098" s="19" t="s">
        <v>147</v>
      </c>
      <c r="F1098" s="19" t="s">
        <v>206</v>
      </c>
      <c r="G1098" s="19" t="n">
        <v>128</v>
      </c>
      <c r="H1098" s="19" t="s">
        <v>207</v>
      </c>
      <c r="I1098" s="20" t="n">
        <v>4.064</v>
      </c>
      <c r="J1098" s="19" t="n">
        <f aca="false">IF(I1098="","",MIN(Overview!$B$8,MAX(1,CEILING(I1098/Overview!$B$7,1))))</f>
        <v>1</v>
      </c>
      <c r="K1098" s="19" t="n">
        <v>1</v>
      </c>
      <c r="L1098" s="19" t="s">
        <v>1048</v>
      </c>
      <c r="M1098" s="20" t="n">
        <v>3</v>
      </c>
      <c r="N1098" s="19"/>
      <c r="O1098" s="19"/>
      <c r="P1098" s="19" t="s">
        <v>1364</v>
      </c>
      <c r="Q1098" s="19" t="s">
        <v>1040</v>
      </c>
      <c r="R1098" s="21" t="n">
        <v>41630</v>
      </c>
      <c r="S1098" s="19" t="s">
        <v>1002</v>
      </c>
      <c r="T1098" s="19" t="s">
        <v>4120</v>
      </c>
      <c r="U1098" s="19" t="str">
        <f aca="false">HYPERLINK("https://macaulaylibrary.org/asset/609061868","Open")</f>
        <v>Open</v>
      </c>
      <c r="V1098" s="19"/>
    </row>
    <row r="1099" customFormat="false" ht="15" hidden="false" customHeight="false" outlineLevel="0" collapsed="false">
      <c r="A1099" s="19" t="s">
        <v>4121</v>
      </c>
      <c r="B1099" s="19" t="s">
        <v>943</v>
      </c>
      <c r="C1099" s="19" t="s">
        <v>944</v>
      </c>
      <c r="D1099" s="19" t="s">
        <v>148</v>
      </c>
      <c r="E1099" s="19" t="s">
        <v>147</v>
      </c>
      <c r="F1099" s="19" t="s">
        <v>206</v>
      </c>
      <c r="G1099" s="19" t="n">
        <v>128</v>
      </c>
      <c r="H1099" s="19" t="s">
        <v>207</v>
      </c>
      <c r="I1099" s="20" t="n">
        <v>24.864</v>
      </c>
      <c r="J1099" s="19" t="n">
        <f aca="false">IF(I1099="","",MIN(Overview!$B$8,MAX(1,CEILING(I1099/Overview!$B$7,1))))</f>
        <v>5</v>
      </c>
      <c r="K1099" s="19" t="n">
        <v>1</v>
      </c>
      <c r="L1099" s="19"/>
      <c r="M1099" s="20" t="n">
        <v>3</v>
      </c>
      <c r="N1099" s="19"/>
      <c r="O1099" s="19"/>
      <c r="P1099" s="19" t="s">
        <v>1248</v>
      </c>
      <c r="Q1099" s="19" t="s">
        <v>1249</v>
      </c>
      <c r="R1099" s="21" t="n">
        <v>44845</v>
      </c>
      <c r="S1099" s="19" t="s">
        <v>1102</v>
      </c>
      <c r="T1099" s="19" t="s">
        <v>4122</v>
      </c>
      <c r="U1099" s="19" t="str">
        <f aca="false">HYPERLINK("https://macaulaylibrary.org/asset/613374654","Open")</f>
        <v>Open</v>
      </c>
      <c r="V1099" s="19"/>
    </row>
    <row r="1100" customFormat="false" ht="15" hidden="false" customHeight="false" outlineLevel="0" collapsed="false">
      <c r="A1100" s="19" t="s">
        <v>4123</v>
      </c>
      <c r="B1100" s="19" t="s">
        <v>943</v>
      </c>
      <c r="C1100" s="19" t="s">
        <v>944</v>
      </c>
      <c r="D1100" s="19" t="s">
        <v>148</v>
      </c>
      <c r="E1100" s="19" t="s">
        <v>147</v>
      </c>
      <c r="F1100" s="19" t="s">
        <v>206</v>
      </c>
      <c r="G1100" s="19" t="n">
        <v>128</v>
      </c>
      <c r="H1100" s="19" t="s">
        <v>207</v>
      </c>
      <c r="I1100" s="20" t="n">
        <v>6.573</v>
      </c>
      <c r="J1100" s="19" t="n">
        <f aca="false">IF(I1100="","",MIN(Overview!$B$8,MAX(1,CEILING(I1100/Overview!$B$7,1))))</f>
        <v>2</v>
      </c>
      <c r="K1100" s="19" t="n">
        <v>1</v>
      </c>
      <c r="L1100" s="19"/>
      <c r="M1100" s="20" t="n">
        <v>3</v>
      </c>
      <c r="N1100" s="19"/>
      <c r="O1100" s="19"/>
      <c r="P1100" s="19" t="s">
        <v>955</v>
      </c>
      <c r="Q1100" s="19" t="s">
        <v>956</v>
      </c>
      <c r="R1100" s="21" t="n">
        <v>45303</v>
      </c>
      <c r="S1100" s="19" t="s">
        <v>957</v>
      </c>
      <c r="T1100" s="19" t="s">
        <v>4124</v>
      </c>
      <c r="U1100" s="19" t="str">
        <f aca="false">HYPERLINK("https://macaulaylibrary.org/asset/613449715","Open")</f>
        <v>Open</v>
      </c>
      <c r="V1100" s="19"/>
    </row>
    <row r="1101" customFormat="false" ht="15" hidden="false" customHeight="false" outlineLevel="0" collapsed="false">
      <c r="A1101" s="19" t="s">
        <v>4125</v>
      </c>
      <c r="B1101" s="19" t="s">
        <v>943</v>
      </c>
      <c r="C1101" s="19" t="s">
        <v>944</v>
      </c>
      <c r="D1101" s="19" t="s">
        <v>148</v>
      </c>
      <c r="E1101" s="19" t="s">
        <v>147</v>
      </c>
      <c r="F1101" s="19" t="s">
        <v>206</v>
      </c>
      <c r="G1101" s="19" t="n">
        <v>128</v>
      </c>
      <c r="H1101" s="19" t="s">
        <v>207</v>
      </c>
      <c r="I1101" s="20" t="n">
        <v>16.686</v>
      </c>
      <c r="J1101" s="19" t="n">
        <f aca="false">IF(I1101="","",MIN(Overview!$B$8,MAX(1,CEILING(I1101/Overview!$B$7,1))))</f>
        <v>4</v>
      </c>
      <c r="K1101" s="19" t="n">
        <v>1</v>
      </c>
      <c r="L1101" s="19"/>
      <c r="M1101" s="20"/>
      <c r="N1101" s="19"/>
      <c r="O1101" s="19"/>
      <c r="P1101" s="19" t="s">
        <v>2011</v>
      </c>
      <c r="Q1101" s="19" t="s">
        <v>2012</v>
      </c>
      <c r="R1101" s="21" t="n">
        <v>45677</v>
      </c>
      <c r="S1101" s="19" t="s">
        <v>1137</v>
      </c>
      <c r="T1101" s="19" t="s">
        <v>4126</v>
      </c>
      <c r="U1101" s="19" t="str">
        <f aca="false">HYPERLINK("https://macaulaylibrary.org/asset/630268926","Open")</f>
        <v>Open</v>
      </c>
      <c r="V1101" s="19"/>
    </row>
    <row r="1102" customFormat="false" ht="15" hidden="false" customHeight="false" outlineLevel="0" collapsed="false">
      <c r="A1102" s="19" t="s">
        <v>4127</v>
      </c>
      <c r="B1102" s="19" t="s">
        <v>943</v>
      </c>
      <c r="C1102" s="19" t="s">
        <v>944</v>
      </c>
      <c r="D1102" s="19" t="s">
        <v>148</v>
      </c>
      <c r="E1102" s="19" t="s">
        <v>147</v>
      </c>
      <c r="F1102" s="19" t="s">
        <v>206</v>
      </c>
      <c r="G1102" s="19" t="n">
        <v>128</v>
      </c>
      <c r="H1102" s="19" t="s">
        <v>207</v>
      </c>
      <c r="I1102" s="20" t="n">
        <v>56.678</v>
      </c>
      <c r="J1102" s="19" t="n">
        <f aca="false">IF(I1102="","",MIN(Overview!$B$8,MAX(1,CEILING(I1102/Overview!$B$7,1))))</f>
        <v>12</v>
      </c>
      <c r="K1102" s="19" t="n">
        <v>1</v>
      </c>
      <c r="L1102" s="19"/>
      <c r="M1102" s="20" t="n">
        <v>3</v>
      </c>
      <c r="N1102" s="19"/>
      <c r="O1102" s="19"/>
      <c r="P1102" s="19" t="s">
        <v>1811</v>
      </c>
      <c r="Q1102" s="19" t="s">
        <v>1368</v>
      </c>
      <c r="R1102" s="21" t="n">
        <v>45489</v>
      </c>
      <c r="S1102" s="19" t="s">
        <v>1081</v>
      </c>
      <c r="T1102" s="19" t="s">
        <v>4128</v>
      </c>
      <c r="U1102" s="19" t="str">
        <f aca="false">HYPERLINK("https://macaulaylibrary.org/asset/631663227","Open")</f>
        <v>Open</v>
      </c>
      <c r="V1102" s="19"/>
    </row>
    <row r="1103" customFormat="false" ht="15" hidden="false" customHeight="false" outlineLevel="0" collapsed="false">
      <c r="A1103" s="19" t="s">
        <v>4129</v>
      </c>
      <c r="B1103" s="19" t="s">
        <v>943</v>
      </c>
      <c r="C1103" s="19" t="s">
        <v>944</v>
      </c>
      <c r="D1103" s="19" t="s">
        <v>148</v>
      </c>
      <c r="E1103" s="19" t="s">
        <v>147</v>
      </c>
      <c r="F1103" s="19" t="s">
        <v>206</v>
      </c>
      <c r="G1103" s="19" t="n">
        <v>128</v>
      </c>
      <c r="H1103" s="19" t="s">
        <v>207</v>
      </c>
      <c r="I1103" s="20" t="n">
        <v>85.14</v>
      </c>
      <c r="J1103" s="19" t="n">
        <f aca="false">IF(I1103="","",MIN(Overview!$B$8,MAX(1,CEILING(I1103/Overview!$B$7,1))))</f>
        <v>18</v>
      </c>
      <c r="K1103" s="19" t="n">
        <v>1</v>
      </c>
      <c r="L1103" s="19"/>
      <c r="M1103" s="20"/>
      <c r="N1103" s="19"/>
      <c r="O1103" s="19"/>
      <c r="P1103" s="19" t="s">
        <v>1811</v>
      </c>
      <c r="Q1103" s="19" t="s">
        <v>1368</v>
      </c>
      <c r="R1103" s="21" t="n">
        <v>45489</v>
      </c>
      <c r="S1103" s="19" t="s">
        <v>1081</v>
      </c>
      <c r="T1103" s="19" t="s">
        <v>4130</v>
      </c>
      <c r="U1103" s="19" t="str">
        <f aca="false">HYPERLINK("https://macaulaylibrary.org/asset/636344930","Open")</f>
        <v>Open</v>
      </c>
      <c r="V1103" s="19"/>
    </row>
    <row r="1104" customFormat="false" ht="15" hidden="false" customHeight="false" outlineLevel="0" collapsed="false">
      <c r="A1104" s="19" t="s">
        <v>4131</v>
      </c>
      <c r="B1104" s="19" t="s">
        <v>943</v>
      </c>
      <c r="C1104" s="19" t="s">
        <v>944</v>
      </c>
      <c r="D1104" s="19" t="s">
        <v>148</v>
      </c>
      <c r="E1104" s="19" t="s">
        <v>147</v>
      </c>
      <c r="F1104" s="19" t="s">
        <v>206</v>
      </c>
      <c r="G1104" s="19" t="n">
        <v>128</v>
      </c>
      <c r="H1104" s="19" t="s">
        <v>207</v>
      </c>
      <c r="I1104" s="20" t="n">
        <v>1.52</v>
      </c>
      <c r="J1104" s="19" t="n">
        <f aca="false">IF(I1104="","",MIN(Overview!$B$8,MAX(1,CEILING(I1104/Overview!$B$7,1))))</f>
        <v>1</v>
      </c>
      <c r="K1104" s="19" t="n">
        <v>1</v>
      </c>
      <c r="L1104" s="19" t="s">
        <v>1048</v>
      </c>
      <c r="M1104" s="20" t="n">
        <v>1</v>
      </c>
      <c r="N1104" s="19"/>
      <c r="O1104" s="19"/>
      <c r="P1104" s="19" t="s">
        <v>1482</v>
      </c>
      <c r="Q1104" s="19" t="s">
        <v>1483</v>
      </c>
      <c r="R1104" s="21" t="n">
        <v>45293</v>
      </c>
      <c r="S1104" s="19" t="s">
        <v>1484</v>
      </c>
      <c r="T1104" s="19" t="s">
        <v>4132</v>
      </c>
      <c r="U1104" s="19" t="str">
        <f aca="false">HYPERLINK("https://macaulaylibrary.org/asset/639219067","Open")</f>
        <v>Open</v>
      </c>
      <c r="V1104" s="19"/>
    </row>
    <row r="1105" customFormat="false" ht="15" hidden="false" customHeight="false" outlineLevel="0" collapsed="false">
      <c r="A1105" s="19" t="s">
        <v>4133</v>
      </c>
      <c r="B1105" s="19" t="s">
        <v>943</v>
      </c>
      <c r="C1105" s="19" t="s">
        <v>944</v>
      </c>
      <c r="D1105" s="19" t="s">
        <v>148</v>
      </c>
      <c r="E1105" s="19" t="s">
        <v>147</v>
      </c>
      <c r="F1105" s="19" t="s">
        <v>206</v>
      </c>
      <c r="G1105" s="19" t="n">
        <v>128</v>
      </c>
      <c r="H1105" s="19" t="s">
        <v>207</v>
      </c>
      <c r="I1105" s="20" t="n">
        <v>65.295</v>
      </c>
      <c r="J1105" s="19" t="n">
        <f aca="false">IF(I1105="","",MIN(Overview!$B$8,MAX(1,CEILING(I1105/Overview!$B$7,1))))</f>
        <v>14</v>
      </c>
      <c r="K1105" s="19" t="n">
        <v>1</v>
      </c>
      <c r="L1105" s="19"/>
      <c r="M1105" s="20" t="n">
        <v>3</v>
      </c>
      <c r="N1105" s="19"/>
      <c r="O1105" s="19" t="s">
        <v>4134</v>
      </c>
      <c r="P1105" s="19" t="s">
        <v>1506</v>
      </c>
      <c r="Q1105" s="19" t="s">
        <v>1502</v>
      </c>
      <c r="R1105" s="21" t="n">
        <v>45940</v>
      </c>
      <c r="S1105" s="19" t="s">
        <v>1507</v>
      </c>
      <c r="T1105" s="19" t="s">
        <v>4135</v>
      </c>
      <c r="U1105" s="19" t="str">
        <f aca="false">HYPERLINK("https://macaulaylibrary.org/asset/648782429","Open")</f>
        <v>Open</v>
      </c>
      <c r="V1105" s="19"/>
    </row>
    <row r="1106" customFormat="false" ht="15" hidden="false" customHeight="false" outlineLevel="0" collapsed="false">
      <c r="A1106" s="19" t="s">
        <v>4136</v>
      </c>
      <c r="B1106" s="19" t="s">
        <v>943</v>
      </c>
      <c r="C1106" s="19" t="s">
        <v>944</v>
      </c>
      <c r="D1106" s="19" t="s">
        <v>148</v>
      </c>
      <c r="E1106" s="19" t="s">
        <v>147</v>
      </c>
      <c r="F1106" s="19" t="s">
        <v>206</v>
      </c>
      <c r="G1106" s="19" t="n">
        <v>128</v>
      </c>
      <c r="H1106" s="19" t="s">
        <v>207</v>
      </c>
      <c r="I1106" s="20" t="n">
        <v>43.855</v>
      </c>
      <c r="J1106" s="19" t="n">
        <f aca="false">IF(I1106="","",MIN(Overview!$B$8,MAX(1,CEILING(I1106/Overview!$B$7,1))))</f>
        <v>9</v>
      </c>
      <c r="K1106" s="19" t="n">
        <v>1</v>
      </c>
      <c r="L1106" s="19"/>
      <c r="M1106" s="20" t="n">
        <v>2</v>
      </c>
      <c r="N1106" s="19"/>
      <c r="O1106" s="19" t="s">
        <v>181</v>
      </c>
      <c r="P1106" s="19" t="s">
        <v>2035</v>
      </c>
      <c r="Q1106" s="19" t="s">
        <v>1502</v>
      </c>
      <c r="R1106" s="21" t="n">
        <v>45941</v>
      </c>
      <c r="S1106" s="19" t="s">
        <v>2036</v>
      </c>
      <c r="T1106" s="19" t="s">
        <v>4137</v>
      </c>
      <c r="U1106" s="19" t="str">
        <f aca="false">HYPERLINK("https://macaulaylibrary.org/asset/648831558","Open")</f>
        <v>Open</v>
      </c>
      <c r="V1106" s="19"/>
    </row>
    <row r="1107" customFormat="false" ht="15" hidden="false" customHeight="false" outlineLevel="0" collapsed="false">
      <c r="A1107" s="19" t="s">
        <v>4138</v>
      </c>
      <c r="B1107" s="19" t="s">
        <v>943</v>
      </c>
      <c r="C1107" s="19" t="s">
        <v>944</v>
      </c>
      <c r="D1107" s="19" t="s">
        <v>148</v>
      </c>
      <c r="E1107" s="19" t="s">
        <v>147</v>
      </c>
      <c r="F1107" s="19" t="s">
        <v>206</v>
      </c>
      <c r="G1107" s="19" t="n">
        <v>128</v>
      </c>
      <c r="H1107" s="19" t="s">
        <v>207</v>
      </c>
      <c r="I1107" s="20" t="n">
        <v>6.963</v>
      </c>
      <c r="J1107" s="19" t="n">
        <f aca="false">IF(I1107="","",MIN(Overview!$B$8,MAX(1,CEILING(I1107/Overview!$B$7,1))))</f>
        <v>2</v>
      </c>
      <c r="K1107" s="19" t="n">
        <v>1</v>
      </c>
      <c r="L1107" s="19"/>
      <c r="M1107" s="20"/>
      <c r="N1107" s="19"/>
      <c r="O1107" s="19" t="s">
        <v>360</v>
      </c>
      <c r="P1107" s="19" t="s">
        <v>2512</v>
      </c>
      <c r="Q1107" s="19" t="s">
        <v>1473</v>
      </c>
      <c r="R1107" s="21" t="n">
        <v>46036</v>
      </c>
      <c r="S1107" s="19" t="s">
        <v>1423</v>
      </c>
      <c r="T1107" s="19" t="s">
        <v>4139</v>
      </c>
      <c r="U1107" s="19" t="str">
        <f aca="false">HYPERLINK("https://macaulaylibrary.org/asset/649900007","Open")</f>
        <v>Open</v>
      </c>
      <c r="V1107" s="19"/>
    </row>
    <row r="1108" customFormat="false" ht="15" hidden="false" customHeight="false" outlineLevel="0" collapsed="false">
      <c r="A1108" s="19" t="s">
        <v>4140</v>
      </c>
      <c r="B1108" s="19" t="s">
        <v>943</v>
      </c>
      <c r="C1108" s="19" t="s">
        <v>944</v>
      </c>
      <c r="D1108" s="19" t="s">
        <v>148</v>
      </c>
      <c r="E1108" s="19" t="s">
        <v>147</v>
      </c>
      <c r="F1108" s="19" t="s">
        <v>206</v>
      </c>
      <c r="G1108" s="19" t="n">
        <v>128</v>
      </c>
      <c r="H1108" s="19" t="s">
        <v>207</v>
      </c>
      <c r="I1108" s="20" t="n">
        <v>2.079</v>
      </c>
      <c r="J1108" s="19" t="n">
        <f aca="false">IF(I1108="","",MIN(Overview!$B$8,MAX(1,CEILING(I1108/Overview!$B$7,1))))</f>
        <v>1</v>
      </c>
      <c r="K1108" s="19" t="n">
        <v>1</v>
      </c>
      <c r="L1108" s="19" t="s">
        <v>1048</v>
      </c>
      <c r="M1108" s="20" t="n">
        <v>2</v>
      </c>
      <c r="N1108" s="19"/>
      <c r="O1108" s="19"/>
      <c r="P1108" s="19" t="s">
        <v>4141</v>
      </c>
      <c r="Q1108" s="19" t="s">
        <v>4142</v>
      </c>
      <c r="R1108" s="21" t="n">
        <v>46095</v>
      </c>
      <c r="S1108" s="19" t="s">
        <v>1484</v>
      </c>
      <c r="T1108" s="19" t="s">
        <v>4143</v>
      </c>
      <c r="U1108" s="19" t="str">
        <f aca="false">HYPERLINK("https://macaulaylibrary.org/asset/655198760","Open")</f>
        <v>Open</v>
      </c>
      <c r="V1108" s="19"/>
    </row>
    <row r="1109" customFormat="false" ht="15" hidden="false" customHeight="false" outlineLevel="0" collapsed="false">
      <c r="A1109" s="19" t="s">
        <v>4144</v>
      </c>
      <c r="B1109" s="19" t="s">
        <v>943</v>
      </c>
      <c r="C1109" s="19" t="s">
        <v>944</v>
      </c>
      <c r="D1109" s="19" t="s">
        <v>148</v>
      </c>
      <c r="E1109" s="19" t="s">
        <v>147</v>
      </c>
      <c r="F1109" s="19" t="s">
        <v>206</v>
      </c>
      <c r="G1109" s="19" t="n">
        <v>128</v>
      </c>
      <c r="H1109" s="19" t="s">
        <v>207</v>
      </c>
      <c r="I1109" s="20" t="n">
        <v>768.841</v>
      </c>
      <c r="J1109" s="19" t="n">
        <f aca="false">IF(I1109="","",MIN(Overview!$B$8,MAX(1,CEILING(I1109/Overview!$B$7,1))))</f>
        <v>120</v>
      </c>
      <c r="K1109" s="19" t="n">
        <v>1</v>
      </c>
      <c r="L1109" s="19"/>
      <c r="M1109" s="20" t="n">
        <v>4.25</v>
      </c>
      <c r="N1109" s="19"/>
      <c r="O1109" s="19"/>
      <c r="P1109" s="19" t="s">
        <v>2285</v>
      </c>
      <c r="Q1109" s="19" t="s">
        <v>980</v>
      </c>
      <c r="R1109" s="21" t="n">
        <v>33298</v>
      </c>
      <c r="S1109" s="19" t="s">
        <v>4145</v>
      </c>
      <c r="T1109" s="19" t="s">
        <v>4146</v>
      </c>
      <c r="U1109" s="19" t="str">
        <f aca="false">HYPERLINK("https://macaulaylibrary.org/asset/72628","Open")</f>
        <v>Open</v>
      </c>
      <c r="V1109" s="19"/>
    </row>
    <row r="1110" customFormat="false" ht="15" hidden="false" customHeight="false" outlineLevel="0" collapsed="false">
      <c r="A1110" s="19" t="s">
        <v>4147</v>
      </c>
      <c r="B1110" s="19" t="s">
        <v>943</v>
      </c>
      <c r="C1110" s="19" t="s">
        <v>944</v>
      </c>
      <c r="D1110" s="19" t="s">
        <v>148</v>
      </c>
      <c r="E1110" s="19" t="s">
        <v>147</v>
      </c>
      <c r="F1110" s="19" t="s">
        <v>206</v>
      </c>
      <c r="G1110" s="19" t="n">
        <v>128</v>
      </c>
      <c r="H1110" s="19" t="s">
        <v>207</v>
      </c>
      <c r="I1110" s="20" t="n">
        <v>43.836</v>
      </c>
      <c r="J1110" s="19" t="n">
        <f aca="false">IF(I1110="","",MIN(Overview!$B$8,MAX(1,CEILING(I1110/Overview!$B$7,1))))</f>
        <v>9</v>
      </c>
      <c r="K1110" s="19" t="n">
        <v>1</v>
      </c>
      <c r="L1110" s="19"/>
      <c r="M1110" s="20" t="n">
        <v>4.14</v>
      </c>
      <c r="N1110" s="19"/>
      <c r="O1110" s="19"/>
      <c r="P1110" s="19" t="s">
        <v>1001</v>
      </c>
      <c r="Q1110" s="19" t="s">
        <v>980</v>
      </c>
      <c r="R1110" s="21" t="n">
        <v>33299</v>
      </c>
      <c r="S1110" s="19" t="s">
        <v>1002</v>
      </c>
      <c r="T1110" s="19" t="s">
        <v>4148</v>
      </c>
      <c r="U1110" s="19" t="str">
        <f aca="false">HYPERLINK("https://macaulaylibrary.org/asset/72644","Open")</f>
        <v>Open</v>
      </c>
      <c r="V1110" s="19"/>
    </row>
    <row r="1111" customFormat="false" ht="15" hidden="false" customHeight="false" outlineLevel="0" collapsed="false">
      <c r="A1111" s="19" t="s">
        <v>4149</v>
      </c>
      <c r="B1111" s="19" t="s">
        <v>943</v>
      </c>
      <c r="C1111" s="19" t="s">
        <v>944</v>
      </c>
      <c r="D1111" s="19" t="s">
        <v>148</v>
      </c>
      <c r="E1111" s="19" t="s">
        <v>147</v>
      </c>
      <c r="F1111" s="19" t="s">
        <v>206</v>
      </c>
      <c r="G1111" s="19" t="n">
        <v>128</v>
      </c>
      <c r="H1111" s="19" t="s">
        <v>207</v>
      </c>
      <c r="I1111" s="20" t="n">
        <v>75.048</v>
      </c>
      <c r="J1111" s="19" t="n">
        <f aca="false">IF(I1111="","",MIN(Overview!$B$8,MAX(1,CEILING(I1111/Overview!$B$7,1))))</f>
        <v>16</v>
      </c>
      <c r="K1111" s="19" t="n">
        <v>1</v>
      </c>
      <c r="L1111" s="19"/>
      <c r="M1111" s="20" t="n">
        <v>3.67</v>
      </c>
      <c r="N1111" s="19"/>
      <c r="O1111" s="19"/>
      <c r="P1111" s="19" t="s">
        <v>1742</v>
      </c>
      <c r="Q1111" s="19" t="s">
        <v>1021</v>
      </c>
      <c r="R1111" s="21" t="n">
        <v>35860</v>
      </c>
      <c r="S1111" s="19" t="s">
        <v>1743</v>
      </c>
      <c r="T1111" s="19" t="s">
        <v>4150</v>
      </c>
      <c r="U1111" s="19" t="str">
        <f aca="false">HYPERLINK("https://macaulaylibrary.org/asset/98489441","Open")</f>
        <v>Open</v>
      </c>
      <c r="V1111" s="19"/>
    </row>
    <row r="1112" customFormat="false" ht="15" hidden="false" customHeight="false" outlineLevel="0" collapsed="false">
      <c r="A1112" s="19" t="s">
        <v>4151</v>
      </c>
      <c r="B1112" s="19" t="s">
        <v>1005</v>
      </c>
      <c r="C1112" s="19" t="s">
        <v>944</v>
      </c>
      <c r="D1112" s="19" t="s">
        <v>647</v>
      </c>
      <c r="E1112" s="19" t="s">
        <v>147</v>
      </c>
      <c r="F1112" s="19" t="s">
        <v>206</v>
      </c>
      <c r="G1112" s="19" t="n">
        <v>128</v>
      </c>
      <c r="H1112" s="19" t="s">
        <v>207</v>
      </c>
      <c r="I1112" s="20" t="n">
        <v>43.128</v>
      </c>
      <c r="J1112" s="19" t="n">
        <f aca="false">IF(I1112="","",MIN(Overview!$B$8,MAX(1,CEILING(I1112/Overview!$B$7,1))))</f>
        <v>9</v>
      </c>
      <c r="K1112" s="19" t="n">
        <v>1</v>
      </c>
      <c r="L1112" s="19"/>
      <c r="M1112" s="20"/>
      <c r="N1112" s="19" t="s">
        <v>1718</v>
      </c>
      <c r="O1112" s="19"/>
      <c r="P1112" s="19" t="s">
        <v>1007</v>
      </c>
      <c r="Q1112" s="19" t="s">
        <v>1008</v>
      </c>
      <c r="R1112" s="21" t="n">
        <v>42577</v>
      </c>
      <c r="S1112" s="19" t="s">
        <v>1009</v>
      </c>
      <c r="T1112" s="19" t="s">
        <v>4152</v>
      </c>
      <c r="U1112" s="19" t="str">
        <f aca="false">HYPERLINK("https://xeno-canto.org/331372","Open")</f>
        <v>Open</v>
      </c>
      <c r="V1112" s="19" t="s">
        <v>1011</v>
      </c>
    </row>
    <row r="1113" customFormat="false" ht="15" hidden="false" customHeight="false" outlineLevel="0" collapsed="false">
      <c r="A1113" s="19" t="s">
        <v>4153</v>
      </c>
      <c r="B1113" s="19" t="s">
        <v>1005</v>
      </c>
      <c r="C1113" s="19" t="s">
        <v>944</v>
      </c>
      <c r="D1113" s="19" t="s">
        <v>647</v>
      </c>
      <c r="E1113" s="19" t="s">
        <v>147</v>
      </c>
      <c r="F1113" s="19" t="s">
        <v>206</v>
      </c>
      <c r="G1113" s="19" t="n">
        <v>128</v>
      </c>
      <c r="H1113" s="19" t="s">
        <v>207</v>
      </c>
      <c r="I1113" s="20" t="n">
        <v>25.368</v>
      </c>
      <c r="J1113" s="19" t="n">
        <f aca="false">IF(I1113="","",MIN(Overview!$B$8,MAX(1,CEILING(I1113/Overview!$B$7,1))))</f>
        <v>6</v>
      </c>
      <c r="K1113" s="19" t="n">
        <v>1</v>
      </c>
      <c r="L1113" s="19"/>
      <c r="M1113" s="20"/>
      <c r="N1113" s="19" t="s">
        <v>1718</v>
      </c>
      <c r="O1113" s="19"/>
      <c r="P1113" s="19" t="s">
        <v>4154</v>
      </c>
      <c r="Q1113" s="19" t="s">
        <v>1008</v>
      </c>
      <c r="R1113" s="21" t="n">
        <v>42578</v>
      </c>
      <c r="S1113" s="19" t="s">
        <v>1550</v>
      </c>
      <c r="T1113" s="19" t="s">
        <v>4155</v>
      </c>
      <c r="U1113" s="19" t="str">
        <f aca="false">HYPERLINK("https://xeno-canto.org/331640","Open")</f>
        <v>Open</v>
      </c>
      <c r="V1113" s="19" t="s">
        <v>1877</v>
      </c>
    </row>
    <row r="1114" customFormat="false" ht="15" hidden="false" customHeight="false" outlineLevel="0" collapsed="false">
      <c r="A1114" s="19" t="s">
        <v>4156</v>
      </c>
      <c r="B1114" s="19" t="s">
        <v>943</v>
      </c>
      <c r="C1114" s="19" t="s">
        <v>944</v>
      </c>
      <c r="D1114" s="19" t="s">
        <v>400</v>
      </c>
      <c r="E1114" s="19" t="s">
        <v>147</v>
      </c>
      <c r="F1114" s="19" t="s">
        <v>441</v>
      </c>
      <c r="G1114" s="19" t="n">
        <v>129</v>
      </c>
      <c r="H1114" s="19" t="s">
        <v>442</v>
      </c>
      <c r="I1114" s="20" t="n">
        <v>9.131</v>
      </c>
      <c r="J1114" s="19" t="n">
        <f aca="false">IF(I1114="","",MIN(Overview!$B$8,MAX(1,CEILING(I1114/Overview!$B$7,1))))</f>
        <v>2</v>
      </c>
      <c r="K1114" s="19" t="n">
        <v>1</v>
      </c>
      <c r="L1114" s="19"/>
      <c r="M1114" s="20" t="n">
        <v>3</v>
      </c>
      <c r="N1114" s="19"/>
      <c r="O1114" s="19"/>
      <c r="P1114" s="19" t="s">
        <v>4157</v>
      </c>
      <c r="Q1114" s="19" t="s">
        <v>965</v>
      </c>
      <c r="R1114" s="21" t="n">
        <v>43448</v>
      </c>
      <c r="S1114" s="19" t="s">
        <v>4158</v>
      </c>
      <c r="T1114" s="19" t="s">
        <v>4159</v>
      </c>
      <c r="U1114" s="19" t="str">
        <f aca="false">HYPERLINK("https://macaulaylibrary.org/asset/129416771","Open")</f>
        <v>Open</v>
      </c>
      <c r="V1114" s="19"/>
    </row>
    <row r="1115" customFormat="false" ht="15" hidden="false" customHeight="false" outlineLevel="0" collapsed="false">
      <c r="A1115" s="19" t="s">
        <v>4160</v>
      </c>
      <c r="B1115" s="19" t="s">
        <v>943</v>
      </c>
      <c r="C1115" s="19" t="s">
        <v>944</v>
      </c>
      <c r="D1115" s="19" t="s">
        <v>400</v>
      </c>
      <c r="E1115" s="19" t="s">
        <v>147</v>
      </c>
      <c r="F1115" s="19" t="s">
        <v>441</v>
      </c>
      <c r="G1115" s="19" t="n">
        <v>129</v>
      </c>
      <c r="H1115" s="19" t="s">
        <v>442</v>
      </c>
      <c r="I1115" s="20" t="n">
        <v>8.875</v>
      </c>
      <c r="J1115" s="19" t="n">
        <f aca="false">IF(I1115="","",MIN(Overview!$B$8,MAX(1,CEILING(I1115/Overview!$B$7,1))))</f>
        <v>2</v>
      </c>
      <c r="K1115" s="19" t="n">
        <v>1</v>
      </c>
      <c r="L1115" s="19"/>
      <c r="M1115" s="20"/>
      <c r="N1115" s="19"/>
      <c r="O1115" s="19"/>
      <c r="P1115" s="19" t="s">
        <v>4004</v>
      </c>
      <c r="Q1115" s="19" t="s">
        <v>965</v>
      </c>
      <c r="R1115" s="21" t="n">
        <v>43812</v>
      </c>
      <c r="S1115" s="19" t="s">
        <v>4005</v>
      </c>
      <c r="T1115" s="19" t="s">
        <v>4161</v>
      </c>
      <c r="U1115" s="19" t="str">
        <f aca="false">HYPERLINK("https://macaulaylibrary.org/asset/193415061","Open")</f>
        <v>Open</v>
      </c>
      <c r="V1115" s="19"/>
    </row>
    <row r="1116" customFormat="false" ht="15" hidden="false" customHeight="false" outlineLevel="0" collapsed="false">
      <c r="A1116" s="19" t="s">
        <v>4162</v>
      </c>
      <c r="B1116" s="19" t="s">
        <v>943</v>
      </c>
      <c r="C1116" s="19" t="s">
        <v>944</v>
      </c>
      <c r="D1116" s="19" t="s">
        <v>400</v>
      </c>
      <c r="E1116" s="19" t="s">
        <v>147</v>
      </c>
      <c r="F1116" s="19" t="s">
        <v>441</v>
      </c>
      <c r="G1116" s="19" t="n">
        <v>129</v>
      </c>
      <c r="H1116" s="19" t="s">
        <v>442</v>
      </c>
      <c r="I1116" s="20" t="n">
        <v>7</v>
      </c>
      <c r="J1116" s="19" t="n">
        <f aca="false">IF(I1116="","",MIN(Overview!$B$8,MAX(1,CEILING(I1116/Overview!$B$7,1))))</f>
        <v>2</v>
      </c>
      <c r="K1116" s="19" t="n">
        <v>1</v>
      </c>
      <c r="L1116" s="19"/>
      <c r="M1116" s="20" t="n">
        <v>2.67</v>
      </c>
      <c r="N1116" s="19"/>
      <c r="O1116" s="19"/>
      <c r="P1116" s="19" t="s">
        <v>1131</v>
      </c>
      <c r="Q1116" s="19" t="s">
        <v>1063</v>
      </c>
      <c r="R1116" s="21" t="n">
        <v>44086</v>
      </c>
      <c r="S1116" s="19" t="s">
        <v>1132</v>
      </c>
      <c r="T1116" s="19" t="s">
        <v>4163</v>
      </c>
      <c r="U1116" s="19" t="str">
        <f aca="false">HYPERLINK("https://macaulaylibrary.org/asset/266313911","Open")</f>
        <v>Open</v>
      </c>
      <c r="V1116" s="19"/>
    </row>
    <row r="1117" customFormat="false" ht="15" hidden="false" customHeight="false" outlineLevel="0" collapsed="false">
      <c r="A1117" s="19" t="s">
        <v>4164</v>
      </c>
      <c r="B1117" s="19" t="s">
        <v>943</v>
      </c>
      <c r="C1117" s="19" t="s">
        <v>944</v>
      </c>
      <c r="D1117" s="19" t="s">
        <v>400</v>
      </c>
      <c r="E1117" s="19" t="s">
        <v>147</v>
      </c>
      <c r="F1117" s="19" t="s">
        <v>441</v>
      </c>
      <c r="G1117" s="19" t="n">
        <v>129</v>
      </c>
      <c r="H1117" s="19" t="s">
        <v>442</v>
      </c>
      <c r="I1117" s="20" t="n">
        <v>20.085</v>
      </c>
      <c r="J1117" s="19" t="n">
        <f aca="false">IF(I1117="","",MIN(Overview!$B$8,MAX(1,CEILING(I1117/Overview!$B$7,1))))</f>
        <v>5</v>
      </c>
      <c r="K1117" s="19" t="n">
        <v>1</v>
      </c>
      <c r="L1117" s="19"/>
      <c r="M1117" s="20" t="n">
        <v>3</v>
      </c>
      <c r="N1117" s="19"/>
      <c r="O1117" s="19"/>
      <c r="P1117" s="19" t="s">
        <v>4165</v>
      </c>
      <c r="Q1117" s="19" t="s">
        <v>4166</v>
      </c>
      <c r="R1117" s="21" t="n">
        <v>45116</v>
      </c>
      <c r="S1117" s="19" t="s">
        <v>4167</v>
      </c>
      <c r="T1117" s="19" t="s">
        <v>4168</v>
      </c>
      <c r="U1117" s="19" t="str">
        <f aca="false">HYPERLINK("https://macaulaylibrary.org/asset/605851921","Open")</f>
        <v>Open</v>
      </c>
      <c r="V1117" s="19"/>
    </row>
    <row r="1118" customFormat="false" ht="15" hidden="false" customHeight="false" outlineLevel="0" collapsed="false">
      <c r="A1118" s="19" t="s">
        <v>4169</v>
      </c>
      <c r="B1118" s="19" t="s">
        <v>943</v>
      </c>
      <c r="C1118" s="19" t="s">
        <v>944</v>
      </c>
      <c r="D1118" s="19" t="s">
        <v>400</v>
      </c>
      <c r="E1118" s="19" t="s">
        <v>147</v>
      </c>
      <c r="F1118" s="19" t="s">
        <v>441</v>
      </c>
      <c r="G1118" s="19" t="n">
        <v>129</v>
      </c>
      <c r="H1118" s="19" t="s">
        <v>442</v>
      </c>
      <c r="I1118" s="20" t="n">
        <v>2.236</v>
      </c>
      <c r="J1118" s="19" t="n">
        <f aca="false">IF(I1118="","",MIN(Overview!$B$8,MAX(1,CEILING(I1118/Overview!$B$7,1))))</f>
        <v>1</v>
      </c>
      <c r="K1118" s="19" t="n">
        <v>1</v>
      </c>
      <c r="L1118" s="19" t="s">
        <v>1048</v>
      </c>
      <c r="M1118" s="20"/>
      <c r="N1118" s="19"/>
      <c r="O1118" s="19"/>
      <c r="P1118" s="19" t="s">
        <v>4170</v>
      </c>
      <c r="Q1118" s="19" t="s">
        <v>1478</v>
      </c>
      <c r="R1118" s="21" t="n">
        <v>45714</v>
      </c>
      <c r="S1118" s="19" t="s">
        <v>2298</v>
      </c>
      <c r="T1118" s="19" t="s">
        <v>4171</v>
      </c>
      <c r="U1118" s="19" t="str">
        <f aca="false">HYPERLINK("https://macaulaylibrary.org/asset/632692381","Open")</f>
        <v>Open</v>
      </c>
      <c r="V1118" s="19"/>
    </row>
    <row r="1119" customFormat="false" ht="15" hidden="false" customHeight="false" outlineLevel="0" collapsed="false">
      <c r="A1119" s="19" t="s">
        <v>4172</v>
      </c>
      <c r="B1119" s="19" t="s">
        <v>943</v>
      </c>
      <c r="C1119" s="19" t="s">
        <v>944</v>
      </c>
      <c r="D1119" s="19" t="s">
        <v>400</v>
      </c>
      <c r="E1119" s="19" t="s">
        <v>147</v>
      </c>
      <c r="F1119" s="19" t="s">
        <v>441</v>
      </c>
      <c r="G1119" s="19" t="n">
        <v>129</v>
      </c>
      <c r="H1119" s="19" t="s">
        <v>442</v>
      </c>
      <c r="I1119" s="20" t="n">
        <v>6.694</v>
      </c>
      <c r="J1119" s="19" t="n">
        <f aca="false">IF(I1119="","",MIN(Overview!$B$8,MAX(1,CEILING(I1119/Overview!$B$7,1))))</f>
        <v>2</v>
      </c>
      <c r="K1119" s="19" t="n">
        <v>1</v>
      </c>
      <c r="L1119" s="19"/>
      <c r="M1119" s="20"/>
      <c r="N1119" s="19"/>
      <c r="O1119" s="19"/>
      <c r="P1119" s="19" t="s">
        <v>4170</v>
      </c>
      <c r="Q1119" s="19" t="s">
        <v>1478</v>
      </c>
      <c r="R1119" s="21" t="n">
        <v>45714</v>
      </c>
      <c r="S1119" s="19" t="s">
        <v>2298</v>
      </c>
      <c r="T1119" s="19" t="s">
        <v>4173</v>
      </c>
      <c r="U1119" s="19" t="str">
        <f aca="false">HYPERLINK("https://macaulaylibrary.org/asset/632692382","Open")</f>
        <v>Open</v>
      </c>
      <c r="V1119" s="19"/>
    </row>
    <row r="1120" customFormat="false" ht="15" hidden="false" customHeight="false" outlineLevel="0" collapsed="false">
      <c r="A1120" s="19" t="s">
        <v>4174</v>
      </c>
      <c r="B1120" s="19" t="s">
        <v>943</v>
      </c>
      <c r="C1120" s="19" t="s">
        <v>944</v>
      </c>
      <c r="D1120" s="19" t="s">
        <v>400</v>
      </c>
      <c r="E1120" s="19" t="s">
        <v>147</v>
      </c>
      <c r="F1120" s="19" t="s">
        <v>441</v>
      </c>
      <c r="G1120" s="19" t="n">
        <v>129</v>
      </c>
      <c r="H1120" s="19" t="s">
        <v>442</v>
      </c>
      <c r="I1120" s="20" t="n">
        <v>18.391</v>
      </c>
      <c r="J1120" s="19" t="n">
        <f aca="false">IF(I1120="","",MIN(Overview!$B$8,MAX(1,CEILING(I1120/Overview!$B$7,1))))</f>
        <v>4</v>
      </c>
      <c r="K1120" s="19" t="n">
        <v>1</v>
      </c>
      <c r="L1120" s="19"/>
      <c r="M1120" s="20" t="n">
        <v>4</v>
      </c>
      <c r="N1120" s="19"/>
      <c r="O1120" s="19"/>
      <c r="P1120" s="19" t="s">
        <v>2326</v>
      </c>
      <c r="Q1120" s="19" t="s">
        <v>990</v>
      </c>
      <c r="R1120" s="21" t="n">
        <v>46011</v>
      </c>
      <c r="S1120" s="19" t="s">
        <v>2327</v>
      </c>
      <c r="T1120" s="19" t="s">
        <v>4175</v>
      </c>
      <c r="U1120" s="19" t="str">
        <f aca="false">HYPERLINK("https://macaulaylibrary.org/asset/647484175","Open")</f>
        <v>Open</v>
      </c>
      <c r="V1120" s="19"/>
    </row>
    <row r="1121" customFormat="false" ht="15" hidden="false" customHeight="false" outlineLevel="0" collapsed="false">
      <c r="A1121" s="19" t="s">
        <v>4176</v>
      </c>
      <c r="B1121" s="19" t="s">
        <v>943</v>
      </c>
      <c r="C1121" s="19" t="s">
        <v>944</v>
      </c>
      <c r="D1121" s="19" t="s">
        <v>400</v>
      </c>
      <c r="E1121" s="19" t="s">
        <v>147</v>
      </c>
      <c r="F1121" s="19" t="s">
        <v>441</v>
      </c>
      <c r="G1121" s="19" t="n">
        <v>129</v>
      </c>
      <c r="H1121" s="19" t="s">
        <v>442</v>
      </c>
      <c r="I1121" s="20" t="n">
        <v>178.715</v>
      </c>
      <c r="J1121" s="19" t="n">
        <f aca="false">IF(I1121="","",MIN(Overview!$B$8,MAX(1,CEILING(I1121/Overview!$B$7,1))))</f>
        <v>36</v>
      </c>
      <c r="K1121" s="19" t="n">
        <v>1</v>
      </c>
      <c r="L1121" s="19"/>
      <c r="M1121" s="20" t="n">
        <v>3</v>
      </c>
      <c r="N1121" s="19"/>
      <c r="O1121" s="19"/>
      <c r="P1121" s="19" t="s">
        <v>4177</v>
      </c>
      <c r="Q1121" s="19" t="s">
        <v>4178</v>
      </c>
      <c r="R1121" s="21" t="n">
        <v>43185</v>
      </c>
      <c r="S1121" s="19" t="s">
        <v>4179</v>
      </c>
      <c r="T1121" s="19" t="s">
        <v>4180</v>
      </c>
      <c r="U1121" s="19" t="str">
        <f aca="false">HYPERLINK("https://macaulaylibrary.org/asset/92238871","Open")</f>
        <v>Open</v>
      </c>
      <c r="V1121" s="19"/>
    </row>
    <row r="1122" customFormat="false" ht="15" hidden="false" customHeight="false" outlineLevel="0" collapsed="false">
      <c r="A1122" s="19" t="s">
        <v>4181</v>
      </c>
      <c r="B1122" s="19" t="s">
        <v>943</v>
      </c>
      <c r="C1122" s="19" t="s">
        <v>944</v>
      </c>
      <c r="D1122" s="19" t="s">
        <v>400</v>
      </c>
      <c r="E1122" s="19" t="s">
        <v>147</v>
      </c>
      <c r="F1122" s="19" t="s">
        <v>614</v>
      </c>
      <c r="G1122" s="19" t="n">
        <v>131</v>
      </c>
      <c r="H1122" s="19" t="s">
        <v>615</v>
      </c>
      <c r="I1122" s="20" t="n">
        <v>66.781</v>
      </c>
      <c r="J1122" s="19" t="n">
        <f aca="false">IF(I1122="","",MIN(Overview!$B$8,MAX(1,CEILING(I1122/Overview!$B$7,1))))</f>
        <v>14</v>
      </c>
      <c r="K1122" s="19" t="n">
        <v>1</v>
      </c>
      <c r="L1122" s="19"/>
      <c r="M1122" s="20" t="n">
        <v>3</v>
      </c>
      <c r="N1122" s="19"/>
      <c r="O1122" s="19"/>
      <c r="P1122" s="19" t="s">
        <v>3861</v>
      </c>
      <c r="Q1122" s="19" t="s">
        <v>1401</v>
      </c>
      <c r="R1122" s="21" t="n">
        <v>36228</v>
      </c>
      <c r="S1122" s="19" t="s">
        <v>1936</v>
      </c>
      <c r="T1122" s="19" t="s">
        <v>4182</v>
      </c>
      <c r="U1122" s="19" t="str">
        <f aca="false">HYPERLINK("https://macaulaylibrary.org/asset/133508971","Open")</f>
        <v>Open</v>
      </c>
      <c r="V1122" s="19"/>
    </row>
    <row r="1123" customFormat="false" ht="15" hidden="false" customHeight="false" outlineLevel="0" collapsed="false">
      <c r="A1123" s="19" t="s">
        <v>4183</v>
      </c>
      <c r="B1123" s="19" t="s">
        <v>943</v>
      </c>
      <c r="C1123" s="19" t="s">
        <v>944</v>
      </c>
      <c r="D1123" s="19" t="s">
        <v>400</v>
      </c>
      <c r="E1123" s="19" t="s">
        <v>147</v>
      </c>
      <c r="F1123" s="19" t="s">
        <v>614</v>
      </c>
      <c r="G1123" s="19" t="n">
        <v>131</v>
      </c>
      <c r="H1123" s="19" t="s">
        <v>615</v>
      </c>
      <c r="I1123" s="20" t="n">
        <v>160.791</v>
      </c>
      <c r="J1123" s="19" t="n">
        <f aca="false">IF(I1123="","",MIN(Overview!$B$8,MAX(1,CEILING(I1123/Overview!$B$7,1))))</f>
        <v>33</v>
      </c>
      <c r="K1123" s="19" t="n">
        <v>1</v>
      </c>
      <c r="L1123" s="19"/>
      <c r="M1123" s="20" t="n">
        <v>4</v>
      </c>
      <c r="N1123" s="19"/>
      <c r="O1123" s="19" t="s">
        <v>350</v>
      </c>
      <c r="P1123" s="19" t="s">
        <v>2278</v>
      </c>
      <c r="Q1123" s="19" t="s">
        <v>1408</v>
      </c>
      <c r="R1123" s="21" t="n">
        <v>32611</v>
      </c>
      <c r="S1123" s="19" t="s">
        <v>1009</v>
      </c>
      <c r="T1123" s="19" t="s">
        <v>4184</v>
      </c>
      <c r="U1123" s="19" t="str">
        <f aca="false">HYPERLINK("https://macaulaylibrary.org/asset/348067861","Open")</f>
        <v>Open</v>
      </c>
      <c r="V1123" s="19"/>
    </row>
    <row r="1124" customFormat="false" ht="15" hidden="false" customHeight="false" outlineLevel="0" collapsed="false">
      <c r="A1124" s="19" t="s">
        <v>4185</v>
      </c>
      <c r="B1124" s="19" t="s">
        <v>943</v>
      </c>
      <c r="C1124" s="19" t="s">
        <v>944</v>
      </c>
      <c r="D1124" s="19" t="s">
        <v>400</v>
      </c>
      <c r="E1124" s="19" t="s">
        <v>147</v>
      </c>
      <c r="F1124" s="19" t="s">
        <v>614</v>
      </c>
      <c r="G1124" s="19" t="n">
        <v>131</v>
      </c>
      <c r="H1124" s="19" t="s">
        <v>615</v>
      </c>
      <c r="I1124" s="20" t="n">
        <v>579.663</v>
      </c>
      <c r="J1124" s="19" t="n">
        <f aca="false">IF(I1124="","",MIN(Overview!$B$8,MAX(1,CEILING(I1124/Overview!$B$7,1))))</f>
        <v>116</v>
      </c>
      <c r="K1124" s="19" t="n">
        <v>1</v>
      </c>
      <c r="L1124" s="19"/>
      <c r="M1124" s="20" t="n">
        <v>3</v>
      </c>
      <c r="N1124" s="19"/>
      <c r="O1124" s="19"/>
      <c r="P1124" s="19" t="s">
        <v>2285</v>
      </c>
      <c r="Q1124" s="19" t="s">
        <v>980</v>
      </c>
      <c r="R1124" s="21" t="n">
        <v>33298</v>
      </c>
      <c r="S1124" s="19" t="s">
        <v>4186</v>
      </c>
      <c r="T1124" s="19" t="s">
        <v>4187</v>
      </c>
      <c r="U1124" s="19" t="str">
        <f aca="false">HYPERLINK("https://macaulaylibrary.org/asset/72634","Open")</f>
        <v>Open</v>
      </c>
      <c r="V1124" s="19"/>
    </row>
    <row r="1125" customFormat="false" ht="15" hidden="false" customHeight="false" outlineLevel="0" collapsed="false">
      <c r="A1125" s="19" t="s">
        <v>4188</v>
      </c>
      <c r="B1125" s="19" t="s">
        <v>943</v>
      </c>
      <c r="C1125" s="19" t="s">
        <v>944</v>
      </c>
      <c r="D1125" s="19" t="s">
        <v>400</v>
      </c>
      <c r="E1125" s="19" t="s">
        <v>147</v>
      </c>
      <c r="F1125" s="19" t="s">
        <v>508</v>
      </c>
      <c r="G1125" s="19" t="n">
        <v>132</v>
      </c>
      <c r="H1125" s="19" t="s">
        <v>509</v>
      </c>
      <c r="I1125" s="20" t="n">
        <v>308.903</v>
      </c>
      <c r="J1125" s="19" t="n">
        <f aca="false">IF(I1125="","",MIN(Overview!$B$8,MAX(1,CEILING(I1125/Overview!$B$7,1))))</f>
        <v>62</v>
      </c>
      <c r="K1125" s="19" t="n">
        <v>1</v>
      </c>
      <c r="L1125" s="19"/>
      <c r="M1125" s="20" t="n">
        <v>3.5</v>
      </c>
      <c r="N1125" s="19"/>
      <c r="O1125" s="19"/>
      <c r="P1125" s="19" t="s">
        <v>2271</v>
      </c>
      <c r="Q1125" s="19" t="s">
        <v>1021</v>
      </c>
      <c r="R1125" s="21" t="n">
        <v>35867</v>
      </c>
      <c r="S1125" s="19" t="s">
        <v>2272</v>
      </c>
      <c r="T1125" s="19" t="s">
        <v>4189</v>
      </c>
      <c r="U1125" s="19" t="str">
        <f aca="false">HYPERLINK("https://macaulaylibrary.org/asset/102739381","Open")</f>
        <v>Open</v>
      </c>
      <c r="V1125" s="19"/>
    </row>
    <row r="1126" customFormat="false" ht="15" hidden="false" customHeight="false" outlineLevel="0" collapsed="false">
      <c r="A1126" s="19" t="s">
        <v>4190</v>
      </c>
      <c r="B1126" s="19" t="s">
        <v>943</v>
      </c>
      <c r="C1126" s="19" t="s">
        <v>944</v>
      </c>
      <c r="D1126" s="19" t="s">
        <v>400</v>
      </c>
      <c r="E1126" s="19" t="s">
        <v>147</v>
      </c>
      <c r="F1126" s="19" t="s">
        <v>508</v>
      </c>
      <c r="G1126" s="19" t="n">
        <v>132</v>
      </c>
      <c r="H1126" s="19" t="s">
        <v>509</v>
      </c>
      <c r="I1126" s="20" t="n">
        <v>105.785</v>
      </c>
      <c r="J1126" s="19" t="n">
        <f aca="false">IF(I1126="","",MIN(Overview!$B$8,MAX(1,CEILING(I1126/Overview!$B$7,1))))</f>
        <v>22</v>
      </c>
      <c r="K1126" s="19" t="n">
        <v>1</v>
      </c>
      <c r="L1126" s="19"/>
      <c r="M1126" s="20" t="n">
        <v>4</v>
      </c>
      <c r="N1126" s="19"/>
      <c r="O1126" s="19"/>
      <c r="P1126" s="19" t="s">
        <v>4191</v>
      </c>
      <c r="Q1126" s="19" t="s">
        <v>1021</v>
      </c>
      <c r="R1126" s="21" t="n">
        <v>35868</v>
      </c>
      <c r="S1126" s="19" t="s">
        <v>2784</v>
      </c>
      <c r="T1126" s="19" t="s">
        <v>4192</v>
      </c>
      <c r="U1126" s="19" t="str">
        <f aca="false">HYPERLINK("https://macaulaylibrary.org/asset/103063651","Open")</f>
        <v>Open</v>
      </c>
      <c r="V1126" s="19"/>
    </row>
    <row r="1127" customFormat="false" ht="15" hidden="false" customHeight="false" outlineLevel="0" collapsed="false">
      <c r="A1127" s="19" t="s">
        <v>4193</v>
      </c>
      <c r="B1127" s="19" t="s">
        <v>943</v>
      </c>
      <c r="C1127" s="19" t="s">
        <v>944</v>
      </c>
      <c r="D1127" s="19" t="s">
        <v>400</v>
      </c>
      <c r="E1127" s="19" t="s">
        <v>147</v>
      </c>
      <c r="F1127" s="19" t="s">
        <v>508</v>
      </c>
      <c r="G1127" s="19" t="n">
        <v>132</v>
      </c>
      <c r="H1127" s="19" t="s">
        <v>509</v>
      </c>
      <c r="I1127" s="20" t="n">
        <v>284.425</v>
      </c>
      <c r="J1127" s="19" t="n">
        <f aca="false">IF(I1127="","",MIN(Overview!$B$8,MAX(1,CEILING(I1127/Overview!$B$7,1))))</f>
        <v>57</v>
      </c>
      <c r="K1127" s="19" t="n">
        <v>1</v>
      </c>
      <c r="L1127" s="19"/>
      <c r="M1127" s="20" t="n">
        <v>3</v>
      </c>
      <c r="N1127" s="19"/>
      <c r="O1127" s="19" t="s">
        <v>4194</v>
      </c>
      <c r="P1127" s="19" t="s">
        <v>1135</v>
      </c>
      <c r="Q1127" s="19" t="s">
        <v>1136</v>
      </c>
      <c r="R1127" s="21" t="n">
        <v>29735</v>
      </c>
      <c r="S1127" s="19" t="s">
        <v>1009</v>
      </c>
      <c r="T1127" s="19" t="s">
        <v>4195</v>
      </c>
      <c r="U1127" s="19" t="str">
        <f aca="false">HYPERLINK("https://macaulaylibrary.org/asset/28138","Open")</f>
        <v>Open</v>
      </c>
      <c r="V1127" s="19"/>
    </row>
    <row r="1128" customFormat="false" ht="15" hidden="false" customHeight="false" outlineLevel="0" collapsed="false">
      <c r="A1128" s="19" t="s">
        <v>4196</v>
      </c>
      <c r="B1128" s="19" t="s">
        <v>943</v>
      </c>
      <c r="C1128" s="19" t="s">
        <v>944</v>
      </c>
      <c r="D1128" s="19" t="s">
        <v>400</v>
      </c>
      <c r="E1128" s="19" t="s">
        <v>147</v>
      </c>
      <c r="F1128" s="19" t="s">
        <v>508</v>
      </c>
      <c r="G1128" s="19" t="n">
        <v>132</v>
      </c>
      <c r="H1128" s="19" t="s">
        <v>509</v>
      </c>
      <c r="I1128" s="20" t="n">
        <v>335.531</v>
      </c>
      <c r="J1128" s="19" t="n">
        <f aca="false">IF(I1128="","",MIN(Overview!$B$8,MAX(1,CEILING(I1128/Overview!$B$7,1))))</f>
        <v>68</v>
      </c>
      <c r="K1128" s="19" t="n">
        <v>1</v>
      </c>
      <c r="L1128" s="19"/>
      <c r="M1128" s="20" t="n">
        <v>5</v>
      </c>
      <c r="N1128" s="19"/>
      <c r="O1128" s="19"/>
      <c r="P1128" s="19" t="s">
        <v>1542</v>
      </c>
      <c r="Q1128" s="19" t="s">
        <v>1408</v>
      </c>
      <c r="R1128" s="21" t="n">
        <v>31806</v>
      </c>
      <c r="S1128" s="19" t="s">
        <v>1009</v>
      </c>
      <c r="T1128" s="19" t="s">
        <v>4197</v>
      </c>
      <c r="U1128" s="19" t="str">
        <f aca="false">HYPERLINK("https://macaulaylibrary.org/asset/336541631","Open")</f>
        <v>Open</v>
      </c>
      <c r="V1128" s="19"/>
    </row>
    <row r="1129" customFormat="false" ht="15" hidden="false" customHeight="false" outlineLevel="0" collapsed="false">
      <c r="A1129" s="19" t="s">
        <v>4198</v>
      </c>
      <c r="B1129" s="19" t="s">
        <v>1005</v>
      </c>
      <c r="C1129" s="19" t="s">
        <v>944</v>
      </c>
      <c r="D1129" s="19" t="s">
        <v>647</v>
      </c>
      <c r="E1129" s="19" t="s">
        <v>147</v>
      </c>
      <c r="F1129" s="19" t="s">
        <v>508</v>
      </c>
      <c r="G1129" s="19" t="n">
        <v>132</v>
      </c>
      <c r="H1129" s="19" t="s">
        <v>509</v>
      </c>
      <c r="I1129" s="20" t="n">
        <v>35.396</v>
      </c>
      <c r="J1129" s="19" t="n">
        <f aca="false">IF(I1129="","",MIN(Overview!$B$8,MAX(1,CEILING(I1129/Overview!$B$7,1))))</f>
        <v>8</v>
      </c>
      <c r="K1129" s="19" t="n">
        <v>1</v>
      </c>
      <c r="L1129" s="19"/>
      <c r="M1129" s="20"/>
      <c r="N1129" s="19" t="s">
        <v>1718</v>
      </c>
      <c r="O1129" s="19"/>
      <c r="P1129" s="19" t="s">
        <v>3999</v>
      </c>
      <c r="Q1129" s="19" t="s">
        <v>1008</v>
      </c>
      <c r="R1129" s="21" t="n">
        <v>42576</v>
      </c>
      <c r="S1129" s="19" t="s">
        <v>1017</v>
      </c>
      <c r="T1129" s="19" t="s">
        <v>4199</v>
      </c>
      <c r="U1129" s="19" t="str">
        <f aca="false">HYPERLINK("https://xeno-canto.org/331336","Open")</f>
        <v>Open</v>
      </c>
      <c r="V1129" s="19" t="s">
        <v>1011</v>
      </c>
    </row>
    <row r="1130" customFormat="false" ht="15" hidden="false" customHeight="false" outlineLevel="0" collapsed="false">
      <c r="A1130" s="19" t="s">
        <v>4200</v>
      </c>
      <c r="B1130" s="19" t="s">
        <v>1005</v>
      </c>
      <c r="C1130" s="19" t="s">
        <v>944</v>
      </c>
      <c r="D1130" s="19" t="s">
        <v>647</v>
      </c>
      <c r="E1130" s="19" t="s">
        <v>147</v>
      </c>
      <c r="F1130" s="19" t="s">
        <v>508</v>
      </c>
      <c r="G1130" s="19" t="n">
        <v>132</v>
      </c>
      <c r="H1130" s="19" t="s">
        <v>509</v>
      </c>
      <c r="I1130" s="20" t="n">
        <v>58.008</v>
      </c>
      <c r="J1130" s="19" t="n">
        <f aca="false">IF(I1130="","",MIN(Overview!$B$8,MAX(1,CEILING(I1130/Overview!$B$7,1))))</f>
        <v>12</v>
      </c>
      <c r="K1130" s="19" t="n">
        <v>1</v>
      </c>
      <c r="L1130" s="19"/>
      <c r="M1130" s="20"/>
      <c r="N1130" s="19" t="s">
        <v>1006</v>
      </c>
      <c r="O1130" s="19"/>
      <c r="P1130" s="19" t="s">
        <v>3999</v>
      </c>
      <c r="Q1130" s="19" t="s">
        <v>1008</v>
      </c>
      <c r="R1130" s="21" t="n">
        <v>42576</v>
      </c>
      <c r="S1130" s="19" t="s">
        <v>1211</v>
      </c>
      <c r="T1130" s="19" t="s">
        <v>4201</v>
      </c>
      <c r="U1130" s="19" t="str">
        <f aca="false">HYPERLINK("https://xeno-canto.org/331356","Open")</f>
        <v>Open</v>
      </c>
      <c r="V1130" s="19" t="s">
        <v>1011</v>
      </c>
    </row>
    <row r="1131" customFormat="false" ht="15" hidden="false" customHeight="false" outlineLevel="0" collapsed="false">
      <c r="A1131" s="19" t="s">
        <v>4202</v>
      </c>
      <c r="B1131" s="19" t="s">
        <v>943</v>
      </c>
      <c r="C1131" s="19" t="s">
        <v>944</v>
      </c>
      <c r="D1131" s="19" t="s">
        <v>148</v>
      </c>
      <c r="E1131" s="19" t="s">
        <v>147</v>
      </c>
      <c r="F1131" s="19" t="s">
        <v>292</v>
      </c>
      <c r="G1131" s="19" t="n">
        <v>133</v>
      </c>
      <c r="H1131" s="19" t="s">
        <v>293</v>
      </c>
      <c r="I1131" s="20" t="n">
        <v>30.229</v>
      </c>
      <c r="J1131" s="19" t="n">
        <f aca="false">IF(I1131="","",MIN(Overview!$B$8,MAX(1,CEILING(I1131/Overview!$B$7,1))))</f>
        <v>7</v>
      </c>
      <c r="K1131" s="19" t="n">
        <v>1</v>
      </c>
      <c r="L1131" s="19"/>
      <c r="M1131" s="20" t="n">
        <v>2</v>
      </c>
      <c r="N1131" s="19"/>
      <c r="O1131" s="19"/>
      <c r="P1131" s="19" t="s">
        <v>4203</v>
      </c>
      <c r="Q1131" s="19" t="s">
        <v>1847</v>
      </c>
      <c r="R1131" s="21" t="n">
        <v>43528</v>
      </c>
      <c r="S1131" s="19" t="s">
        <v>4204</v>
      </c>
      <c r="T1131" s="19" t="s">
        <v>4205</v>
      </c>
      <c r="U1131" s="19" t="str">
        <f aca="false">HYPERLINK("https://macaulaylibrary.org/asset/147183401","Open")</f>
        <v>Open</v>
      </c>
      <c r="V1131" s="19"/>
    </row>
    <row r="1132" customFormat="false" ht="15" hidden="false" customHeight="false" outlineLevel="0" collapsed="false">
      <c r="A1132" s="19" t="s">
        <v>4206</v>
      </c>
      <c r="B1132" s="19" t="s">
        <v>943</v>
      </c>
      <c r="C1132" s="19" t="s">
        <v>944</v>
      </c>
      <c r="D1132" s="19" t="s">
        <v>148</v>
      </c>
      <c r="E1132" s="19" t="s">
        <v>147</v>
      </c>
      <c r="F1132" s="19" t="s">
        <v>292</v>
      </c>
      <c r="G1132" s="19" t="n">
        <v>133</v>
      </c>
      <c r="H1132" s="19" t="s">
        <v>293</v>
      </c>
      <c r="I1132" s="20" t="n">
        <v>27.253</v>
      </c>
      <c r="J1132" s="19" t="n">
        <f aca="false">IF(I1132="","",MIN(Overview!$B$8,MAX(1,CEILING(I1132/Overview!$B$7,1))))</f>
        <v>6</v>
      </c>
      <c r="K1132" s="19" t="n">
        <v>1</v>
      </c>
      <c r="L1132" s="19"/>
      <c r="M1132" s="20" t="n">
        <v>2</v>
      </c>
      <c r="N1132" s="19"/>
      <c r="O1132" s="19"/>
      <c r="P1132" s="19" t="s">
        <v>1097</v>
      </c>
      <c r="Q1132" s="19" t="s">
        <v>980</v>
      </c>
      <c r="R1132" s="21" t="n">
        <v>32553</v>
      </c>
      <c r="S1132" s="19" t="s">
        <v>4105</v>
      </c>
      <c r="T1132" s="19" t="s">
        <v>4207</v>
      </c>
      <c r="U1132" s="19" t="str">
        <f aca="false">HYPERLINK("https://macaulaylibrary.org/asset/215333","Open")</f>
        <v>Open</v>
      </c>
      <c r="V1132" s="19"/>
    </row>
    <row r="1133" customFormat="false" ht="15" hidden="false" customHeight="false" outlineLevel="0" collapsed="false">
      <c r="A1133" s="19" t="s">
        <v>4208</v>
      </c>
      <c r="B1133" s="19" t="s">
        <v>943</v>
      </c>
      <c r="C1133" s="19" t="s">
        <v>944</v>
      </c>
      <c r="D1133" s="19" t="s">
        <v>148</v>
      </c>
      <c r="E1133" s="19" t="s">
        <v>147</v>
      </c>
      <c r="F1133" s="19" t="s">
        <v>292</v>
      </c>
      <c r="G1133" s="19" t="n">
        <v>133</v>
      </c>
      <c r="H1133" s="19" t="s">
        <v>293</v>
      </c>
      <c r="I1133" s="20" t="n">
        <v>203.946</v>
      </c>
      <c r="J1133" s="19" t="n">
        <f aca="false">IF(I1133="","",MIN(Overview!$B$8,MAX(1,CEILING(I1133/Overview!$B$7,1))))</f>
        <v>41</v>
      </c>
      <c r="K1133" s="19" t="n">
        <v>1</v>
      </c>
      <c r="L1133" s="19"/>
      <c r="M1133" s="20" t="n">
        <v>3</v>
      </c>
      <c r="N1133" s="19"/>
      <c r="O1133" s="19"/>
      <c r="P1133" s="19" t="s">
        <v>1730</v>
      </c>
      <c r="Q1133" s="19" t="s">
        <v>980</v>
      </c>
      <c r="R1133" s="21" t="n">
        <v>32558</v>
      </c>
      <c r="S1133" s="19"/>
      <c r="T1133" s="19" t="s">
        <v>4209</v>
      </c>
      <c r="U1133" s="19" t="str">
        <f aca="false">HYPERLINK("https://macaulaylibrary.org/asset/215425","Open")</f>
        <v>Open</v>
      </c>
      <c r="V1133" s="19"/>
    </row>
    <row r="1134" customFormat="false" ht="15" hidden="false" customHeight="false" outlineLevel="0" collapsed="false">
      <c r="A1134" s="19" t="s">
        <v>4210</v>
      </c>
      <c r="B1134" s="19" t="s">
        <v>943</v>
      </c>
      <c r="C1134" s="19" t="s">
        <v>944</v>
      </c>
      <c r="D1134" s="19" t="s">
        <v>148</v>
      </c>
      <c r="E1134" s="19" t="s">
        <v>147</v>
      </c>
      <c r="F1134" s="19" t="s">
        <v>292</v>
      </c>
      <c r="G1134" s="19" t="n">
        <v>133</v>
      </c>
      <c r="H1134" s="19" t="s">
        <v>293</v>
      </c>
      <c r="I1134" s="20" t="n">
        <v>8.843</v>
      </c>
      <c r="J1134" s="19" t="n">
        <f aca="false">IF(I1134="","",MIN(Overview!$B$8,MAX(1,CEILING(I1134/Overview!$B$7,1))))</f>
        <v>2</v>
      </c>
      <c r="K1134" s="19" t="n">
        <v>1</v>
      </c>
      <c r="L1134" s="19"/>
      <c r="M1134" s="20" t="n">
        <v>3.67</v>
      </c>
      <c r="N1134" s="19"/>
      <c r="O1134" s="19"/>
      <c r="P1134" s="19" t="s">
        <v>1131</v>
      </c>
      <c r="Q1134" s="19" t="s">
        <v>1063</v>
      </c>
      <c r="R1134" s="21" t="n">
        <v>44086</v>
      </c>
      <c r="S1134" s="19" t="s">
        <v>1132</v>
      </c>
      <c r="T1134" s="19" t="s">
        <v>4211</v>
      </c>
      <c r="U1134" s="19" t="str">
        <f aca="false">HYPERLINK("https://macaulaylibrary.org/asset/266313001","Open")</f>
        <v>Open</v>
      </c>
      <c r="V1134" s="19"/>
    </row>
    <row r="1135" customFormat="false" ht="15" hidden="false" customHeight="false" outlineLevel="0" collapsed="false">
      <c r="A1135" s="19" t="s">
        <v>4212</v>
      </c>
      <c r="B1135" s="19" t="s">
        <v>943</v>
      </c>
      <c r="C1135" s="19" t="s">
        <v>944</v>
      </c>
      <c r="D1135" s="19" t="s">
        <v>148</v>
      </c>
      <c r="E1135" s="19" t="s">
        <v>147</v>
      </c>
      <c r="F1135" s="19" t="s">
        <v>292</v>
      </c>
      <c r="G1135" s="19" t="n">
        <v>133</v>
      </c>
      <c r="H1135" s="19" t="s">
        <v>293</v>
      </c>
      <c r="I1135" s="20" t="n">
        <v>48.279</v>
      </c>
      <c r="J1135" s="19" t="n">
        <f aca="false">IF(I1135="","",MIN(Overview!$B$8,MAX(1,CEILING(I1135/Overview!$B$7,1))))</f>
        <v>10</v>
      </c>
      <c r="K1135" s="19" t="n">
        <v>1</v>
      </c>
      <c r="L1135" s="19"/>
      <c r="M1135" s="20" t="n">
        <v>4.25</v>
      </c>
      <c r="N1135" s="19"/>
      <c r="O1135" s="19"/>
      <c r="P1135" s="19" t="s">
        <v>2499</v>
      </c>
      <c r="Q1135" s="19" t="s">
        <v>1063</v>
      </c>
      <c r="R1135" s="21" t="n">
        <v>44087</v>
      </c>
      <c r="S1135" s="19" t="s">
        <v>2500</v>
      </c>
      <c r="T1135" s="19" t="s">
        <v>4213</v>
      </c>
      <c r="U1135" s="19" t="str">
        <f aca="false">HYPERLINK("https://macaulaylibrary.org/asset/267827471","Open")</f>
        <v>Open</v>
      </c>
      <c r="V1135" s="19"/>
    </row>
    <row r="1136" customFormat="false" ht="15" hidden="false" customHeight="false" outlineLevel="0" collapsed="false">
      <c r="A1136" s="19" t="s">
        <v>4214</v>
      </c>
      <c r="B1136" s="19" t="s">
        <v>943</v>
      </c>
      <c r="C1136" s="19" t="s">
        <v>944</v>
      </c>
      <c r="D1136" s="19" t="s">
        <v>148</v>
      </c>
      <c r="E1136" s="19" t="s">
        <v>147</v>
      </c>
      <c r="F1136" s="19" t="s">
        <v>292</v>
      </c>
      <c r="G1136" s="19" t="n">
        <v>133</v>
      </c>
      <c r="H1136" s="19" t="s">
        <v>293</v>
      </c>
      <c r="I1136" s="20" t="n">
        <v>51.487</v>
      </c>
      <c r="J1136" s="19" t="n">
        <f aca="false">IF(I1136="","",MIN(Overview!$B$8,MAX(1,CEILING(I1136/Overview!$B$7,1))))</f>
        <v>11</v>
      </c>
      <c r="K1136" s="19" t="n">
        <v>1</v>
      </c>
      <c r="L1136" s="19"/>
      <c r="M1136" s="20" t="n">
        <v>3</v>
      </c>
      <c r="N1136" s="19"/>
      <c r="O1136" s="19"/>
      <c r="P1136" s="19" t="s">
        <v>1135</v>
      </c>
      <c r="Q1136" s="19" t="s">
        <v>1136</v>
      </c>
      <c r="R1136" s="21" t="n">
        <v>29735</v>
      </c>
      <c r="S1136" s="19" t="s">
        <v>1092</v>
      </c>
      <c r="T1136" s="19" t="s">
        <v>4215</v>
      </c>
      <c r="U1136" s="19" t="str">
        <f aca="false">HYPERLINK("https://macaulaylibrary.org/asset/28135","Open")</f>
        <v>Open</v>
      </c>
      <c r="V1136" s="19"/>
    </row>
    <row r="1137" customFormat="false" ht="15" hidden="false" customHeight="false" outlineLevel="0" collapsed="false">
      <c r="A1137" s="19" t="s">
        <v>4216</v>
      </c>
      <c r="B1137" s="19" t="s">
        <v>943</v>
      </c>
      <c r="C1137" s="19" t="s">
        <v>944</v>
      </c>
      <c r="D1137" s="19" t="s">
        <v>148</v>
      </c>
      <c r="E1137" s="19" t="s">
        <v>147</v>
      </c>
      <c r="F1137" s="19" t="s">
        <v>292</v>
      </c>
      <c r="G1137" s="19" t="n">
        <v>133</v>
      </c>
      <c r="H1137" s="19" t="s">
        <v>293</v>
      </c>
      <c r="I1137" s="20" t="n">
        <v>65.047</v>
      </c>
      <c r="J1137" s="19" t="n">
        <f aca="false">IF(I1137="","",MIN(Overview!$B$8,MAX(1,CEILING(I1137/Overview!$B$7,1))))</f>
        <v>14</v>
      </c>
      <c r="K1137" s="19" t="n">
        <v>1</v>
      </c>
      <c r="L1137" s="19"/>
      <c r="M1137" s="20" t="n">
        <v>2</v>
      </c>
      <c r="N1137" s="19"/>
      <c r="O1137" s="19"/>
      <c r="P1137" s="19" t="s">
        <v>1135</v>
      </c>
      <c r="Q1137" s="19" t="s">
        <v>1136</v>
      </c>
      <c r="R1137" s="21" t="n">
        <v>29735</v>
      </c>
      <c r="S1137" s="19" t="s">
        <v>1036</v>
      </c>
      <c r="T1137" s="19" t="s">
        <v>4217</v>
      </c>
      <c r="U1137" s="19" t="str">
        <f aca="false">HYPERLINK("https://macaulaylibrary.org/asset/28136","Open")</f>
        <v>Open</v>
      </c>
      <c r="V1137" s="19"/>
    </row>
    <row r="1138" customFormat="false" ht="15" hidden="false" customHeight="false" outlineLevel="0" collapsed="false">
      <c r="A1138" s="19" t="s">
        <v>4218</v>
      </c>
      <c r="B1138" s="19" t="s">
        <v>943</v>
      </c>
      <c r="C1138" s="19" t="s">
        <v>944</v>
      </c>
      <c r="D1138" s="19" t="s">
        <v>148</v>
      </c>
      <c r="E1138" s="19" t="s">
        <v>147</v>
      </c>
      <c r="F1138" s="19" t="s">
        <v>292</v>
      </c>
      <c r="G1138" s="19" t="n">
        <v>133</v>
      </c>
      <c r="H1138" s="19" t="s">
        <v>293</v>
      </c>
      <c r="I1138" s="20" t="n">
        <v>36.992</v>
      </c>
      <c r="J1138" s="19" t="n">
        <f aca="false">IF(I1138="","",MIN(Overview!$B$8,MAX(1,CEILING(I1138/Overview!$B$7,1))))</f>
        <v>8</v>
      </c>
      <c r="K1138" s="19" t="n">
        <v>1</v>
      </c>
      <c r="L1138" s="19"/>
      <c r="M1138" s="20" t="n">
        <v>3</v>
      </c>
      <c r="N1138" s="19"/>
      <c r="O1138" s="19"/>
      <c r="P1138" s="19" t="s">
        <v>2677</v>
      </c>
      <c r="Q1138" s="19" t="s">
        <v>965</v>
      </c>
      <c r="R1138" s="21" t="n">
        <v>44183</v>
      </c>
      <c r="S1138" s="19" t="s">
        <v>1022</v>
      </c>
      <c r="T1138" s="19" t="s">
        <v>4219</v>
      </c>
      <c r="U1138" s="19" t="str">
        <f aca="false">HYPERLINK("https://macaulaylibrary.org/asset/289815651","Open")</f>
        <v>Open</v>
      </c>
      <c r="V1138" s="19"/>
    </row>
    <row r="1139" customFormat="false" ht="15" hidden="false" customHeight="false" outlineLevel="0" collapsed="false">
      <c r="A1139" s="19" t="s">
        <v>4220</v>
      </c>
      <c r="B1139" s="19" t="s">
        <v>943</v>
      </c>
      <c r="C1139" s="19" t="s">
        <v>944</v>
      </c>
      <c r="D1139" s="19" t="s">
        <v>148</v>
      </c>
      <c r="E1139" s="19" t="s">
        <v>147</v>
      </c>
      <c r="F1139" s="19" t="s">
        <v>292</v>
      </c>
      <c r="G1139" s="19" t="n">
        <v>133</v>
      </c>
      <c r="H1139" s="19" t="s">
        <v>293</v>
      </c>
      <c r="I1139" s="20" t="n">
        <v>3.65</v>
      </c>
      <c r="J1139" s="19" t="n">
        <f aca="false">IF(I1139="","",MIN(Overview!$B$8,MAX(1,CEILING(I1139/Overview!$B$7,1))))</f>
        <v>1</v>
      </c>
      <c r="K1139" s="19" t="n">
        <v>1</v>
      </c>
      <c r="L1139" s="19" t="s">
        <v>1048</v>
      </c>
      <c r="M1139" s="20"/>
      <c r="N1139" s="19"/>
      <c r="O1139" s="19"/>
      <c r="P1139" s="19" t="s">
        <v>1039</v>
      </c>
      <c r="Q1139" s="19" t="s">
        <v>1040</v>
      </c>
      <c r="R1139" s="21" t="n">
        <v>40901</v>
      </c>
      <c r="S1139" s="19" t="s">
        <v>1002</v>
      </c>
      <c r="T1139" s="19" t="s">
        <v>4221</v>
      </c>
      <c r="U1139" s="19" t="str">
        <f aca="false">HYPERLINK("https://macaulaylibrary.org/asset/609056530","Open")</f>
        <v>Open</v>
      </c>
      <c r="V1139" s="19"/>
    </row>
    <row r="1140" customFormat="false" ht="15" hidden="false" customHeight="false" outlineLevel="0" collapsed="false">
      <c r="A1140" s="19" t="s">
        <v>4222</v>
      </c>
      <c r="B1140" s="19" t="s">
        <v>943</v>
      </c>
      <c r="C1140" s="19" t="s">
        <v>944</v>
      </c>
      <c r="D1140" s="19" t="s">
        <v>148</v>
      </c>
      <c r="E1140" s="19" t="s">
        <v>147</v>
      </c>
      <c r="F1140" s="19" t="s">
        <v>292</v>
      </c>
      <c r="G1140" s="19" t="n">
        <v>133</v>
      </c>
      <c r="H1140" s="19" t="s">
        <v>293</v>
      </c>
      <c r="I1140" s="20" t="n">
        <v>18.406</v>
      </c>
      <c r="J1140" s="19" t="n">
        <f aca="false">IF(I1140="","",MIN(Overview!$B$8,MAX(1,CEILING(I1140/Overview!$B$7,1))))</f>
        <v>4</v>
      </c>
      <c r="K1140" s="19" t="n">
        <v>1</v>
      </c>
      <c r="L1140" s="19"/>
      <c r="M1140" s="20" t="n">
        <v>3</v>
      </c>
      <c r="N1140" s="19"/>
      <c r="O1140" s="19"/>
      <c r="P1140" s="19" t="s">
        <v>2610</v>
      </c>
      <c r="Q1140" s="19" t="s">
        <v>1040</v>
      </c>
      <c r="R1140" s="21" t="n">
        <v>41264</v>
      </c>
      <c r="S1140" s="19" t="s">
        <v>1002</v>
      </c>
      <c r="T1140" s="19" t="s">
        <v>4223</v>
      </c>
      <c r="U1140" s="19" t="str">
        <f aca="false">HYPERLINK("https://macaulaylibrary.org/asset/609059015","Open")</f>
        <v>Open</v>
      </c>
      <c r="V1140" s="19"/>
    </row>
    <row r="1141" customFormat="false" ht="15" hidden="false" customHeight="false" outlineLevel="0" collapsed="false">
      <c r="A1141" s="19" t="s">
        <v>4224</v>
      </c>
      <c r="B1141" s="19" t="s">
        <v>943</v>
      </c>
      <c r="C1141" s="19" t="s">
        <v>944</v>
      </c>
      <c r="D1141" s="19" t="s">
        <v>148</v>
      </c>
      <c r="E1141" s="19" t="s">
        <v>147</v>
      </c>
      <c r="F1141" s="19" t="s">
        <v>292</v>
      </c>
      <c r="G1141" s="19" t="n">
        <v>133</v>
      </c>
      <c r="H1141" s="19" t="s">
        <v>293</v>
      </c>
      <c r="I1141" s="20" t="n">
        <v>20.893</v>
      </c>
      <c r="J1141" s="19" t="n">
        <f aca="false">IF(I1141="","",MIN(Overview!$B$8,MAX(1,CEILING(I1141/Overview!$B$7,1))))</f>
        <v>5</v>
      </c>
      <c r="K1141" s="19" t="n">
        <v>1</v>
      </c>
      <c r="L1141" s="19"/>
      <c r="M1141" s="20" t="n">
        <v>3</v>
      </c>
      <c r="N1141" s="19"/>
      <c r="O1141" s="19" t="s">
        <v>155</v>
      </c>
      <c r="P1141" s="19" t="s">
        <v>4225</v>
      </c>
      <c r="Q1141" s="19" t="s">
        <v>1035</v>
      </c>
      <c r="R1141" s="21" t="n">
        <v>45230</v>
      </c>
      <c r="S1141" s="19" t="s">
        <v>1306</v>
      </c>
      <c r="T1141" s="19" t="s">
        <v>4226</v>
      </c>
      <c r="U1141" s="19" t="str">
        <f aca="false">HYPERLINK("https://macaulaylibrary.org/asset/615087863","Open")</f>
        <v>Open</v>
      </c>
      <c r="V1141" s="19" t="s">
        <v>4227</v>
      </c>
    </row>
    <row r="1142" customFormat="false" ht="15" hidden="false" customHeight="false" outlineLevel="0" collapsed="false">
      <c r="A1142" s="19" t="s">
        <v>4228</v>
      </c>
      <c r="B1142" s="19" t="s">
        <v>943</v>
      </c>
      <c r="C1142" s="19" t="s">
        <v>944</v>
      </c>
      <c r="D1142" s="19" t="s">
        <v>148</v>
      </c>
      <c r="E1142" s="19" t="s">
        <v>147</v>
      </c>
      <c r="F1142" s="19" t="s">
        <v>292</v>
      </c>
      <c r="G1142" s="19" t="n">
        <v>133</v>
      </c>
      <c r="H1142" s="19" t="s">
        <v>293</v>
      </c>
      <c r="I1142" s="20" t="n">
        <v>74.903</v>
      </c>
      <c r="J1142" s="19" t="n">
        <f aca="false">IF(I1142="","",MIN(Overview!$B$8,MAX(1,CEILING(I1142/Overview!$B$7,1))))</f>
        <v>15</v>
      </c>
      <c r="K1142" s="19" t="n">
        <v>1</v>
      </c>
      <c r="L1142" s="19"/>
      <c r="M1142" s="20" t="n">
        <v>3</v>
      </c>
      <c r="N1142" s="19"/>
      <c r="O1142" s="19" t="s">
        <v>4229</v>
      </c>
      <c r="P1142" s="19" t="s">
        <v>4230</v>
      </c>
      <c r="Q1142" s="19" t="s">
        <v>1191</v>
      </c>
      <c r="R1142" s="21" t="n">
        <v>45713</v>
      </c>
      <c r="S1142" s="19" t="s">
        <v>1081</v>
      </c>
      <c r="T1142" s="19" t="s">
        <v>4231</v>
      </c>
      <c r="U1142" s="19" t="str">
        <f aca="false">HYPERLINK("https://macaulaylibrary.org/asset/631387850","Open")</f>
        <v>Open</v>
      </c>
      <c r="V1142" s="19"/>
    </row>
    <row r="1143" customFormat="false" ht="15" hidden="false" customHeight="false" outlineLevel="0" collapsed="false">
      <c r="A1143" s="19" t="s">
        <v>4232</v>
      </c>
      <c r="B1143" s="19" t="s">
        <v>943</v>
      </c>
      <c r="C1143" s="19" t="s">
        <v>944</v>
      </c>
      <c r="D1143" s="19" t="s">
        <v>148</v>
      </c>
      <c r="E1143" s="19" t="s">
        <v>147</v>
      </c>
      <c r="F1143" s="19" t="s">
        <v>292</v>
      </c>
      <c r="G1143" s="19" t="n">
        <v>133</v>
      </c>
      <c r="H1143" s="19" t="s">
        <v>293</v>
      </c>
      <c r="I1143" s="20" t="n">
        <v>5.784</v>
      </c>
      <c r="J1143" s="19" t="n">
        <f aca="false">IF(I1143="","",MIN(Overview!$B$8,MAX(1,CEILING(I1143/Overview!$B$7,1))))</f>
        <v>2</v>
      </c>
      <c r="K1143" s="19" t="n">
        <v>1</v>
      </c>
      <c r="L1143" s="19"/>
      <c r="M1143" s="20" t="n">
        <v>1</v>
      </c>
      <c r="N1143" s="19"/>
      <c r="O1143" s="19" t="s">
        <v>4233</v>
      </c>
      <c r="P1143" s="19" t="s">
        <v>1631</v>
      </c>
      <c r="Q1143" s="19" t="s">
        <v>990</v>
      </c>
      <c r="R1143" s="21" t="n">
        <v>46012</v>
      </c>
      <c r="S1143" s="19" t="s">
        <v>1632</v>
      </c>
      <c r="T1143" s="19" t="s">
        <v>4234</v>
      </c>
      <c r="U1143" s="19" t="str">
        <f aca="false">HYPERLINK("https://macaulaylibrary.org/asset/647329971","Open")</f>
        <v>Open</v>
      </c>
      <c r="V1143" s="19"/>
    </row>
    <row r="1144" customFormat="false" ht="15" hidden="false" customHeight="false" outlineLevel="0" collapsed="false">
      <c r="A1144" s="19" t="s">
        <v>4235</v>
      </c>
      <c r="B1144" s="19" t="s">
        <v>943</v>
      </c>
      <c r="C1144" s="19" t="s">
        <v>944</v>
      </c>
      <c r="D1144" s="19" t="s">
        <v>148</v>
      </c>
      <c r="E1144" s="19" t="s">
        <v>147</v>
      </c>
      <c r="F1144" s="19" t="s">
        <v>292</v>
      </c>
      <c r="G1144" s="19" t="n">
        <v>133</v>
      </c>
      <c r="H1144" s="19" t="s">
        <v>293</v>
      </c>
      <c r="I1144" s="20" t="n">
        <v>31.936</v>
      </c>
      <c r="J1144" s="19" t="n">
        <f aca="false">IF(I1144="","",MIN(Overview!$B$8,MAX(1,CEILING(I1144/Overview!$B$7,1))))</f>
        <v>7</v>
      </c>
      <c r="K1144" s="19" t="n">
        <v>1</v>
      </c>
      <c r="L1144" s="19"/>
      <c r="M1144" s="20" t="n">
        <v>2</v>
      </c>
      <c r="N1144" s="19"/>
      <c r="O1144" s="19"/>
      <c r="P1144" s="19" t="s">
        <v>4236</v>
      </c>
      <c r="Q1144" s="19" t="s">
        <v>1397</v>
      </c>
      <c r="R1144" s="21" t="n">
        <v>46218</v>
      </c>
      <c r="S1144" s="19" t="s">
        <v>1419</v>
      </c>
      <c r="T1144" s="19" t="s">
        <v>4237</v>
      </c>
      <c r="U1144" s="19" t="str">
        <f aca="false">HYPERLINK("https://macaulaylibrary.org/asset/661712102","Open")</f>
        <v>Open</v>
      </c>
      <c r="V1144" s="19"/>
    </row>
    <row r="1145" customFormat="false" ht="15" hidden="false" customHeight="false" outlineLevel="0" collapsed="false">
      <c r="A1145" s="19" t="s">
        <v>4238</v>
      </c>
      <c r="B1145" s="19" t="s">
        <v>943</v>
      </c>
      <c r="C1145" s="19" t="s">
        <v>944</v>
      </c>
      <c r="D1145" s="19" t="s">
        <v>400</v>
      </c>
      <c r="E1145" s="19" t="s">
        <v>147</v>
      </c>
      <c r="F1145" s="19" t="s">
        <v>661</v>
      </c>
      <c r="G1145" s="19" t="n">
        <v>134</v>
      </c>
      <c r="H1145" s="19" t="s">
        <v>662</v>
      </c>
      <c r="I1145" s="20" t="n">
        <v>189.199</v>
      </c>
      <c r="J1145" s="19" t="n">
        <f aca="false">IF(I1145="","",MIN(Overview!$B$8,MAX(1,CEILING(I1145/Overview!$B$7,1))))</f>
        <v>38</v>
      </c>
      <c r="K1145" s="19" t="n">
        <v>1</v>
      </c>
      <c r="L1145" s="19"/>
      <c r="M1145" s="20" t="n">
        <v>2</v>
      </c>
      <c r="N1145" s="19"/>
      <c r="O1145" s="19" t="s">
        <v>419</v>
      </c>
      <c r="P1145" s="19" t="s">
        <v>2342</v>
      </c>
      <c r="Q1145" s="19" t="s">
        <v>2343</v>
      </c>
      <c r="R1145" s="21" t="n">
        <v>31506</v>
      </c>
      <c r="S1145" s="19" t="s">
        <v>1658</v>
      </c>
      <c r="T1145" s="19" t="s">
        <v>4239</v>
      </c>
      <c r="U1145" s="19" t="str">
        <f aca="false">HYPERLINK("https://macaulaylibrary.org/asset/249458","Open")</f>
        <v>Open</v>
      </c>
      <c r="V1145" s="19"/>
    </row>
    <row r="1146" customFormat="false" ht="15" hidden="false" customHeight="false" outlineLevel="0" collapsed="false">
      <c r="A1146" s="19" t="s">
        <v>4240</v>
      </c>
      <c r="B1146" s="19" t="s">
        <v>943</v>
      </c>
      <c r="C1146" s="19" t="s">
        <v>944</v>
      </c>
      <c r="D1146" s="19" t="s">
        <v>400</v>
      </c>
      <c r="E1146" s="19" t="s">
        <v>147</v>
      </c>
      <c r="F1146" s="19" t="s">
        <v>661</v>
      </c>
      <c r="G1146" s="19" t="n">
        <v>134</v>
      </c>
      <c r="H1146" s="19" t="s">
        <v>662</v>
      </c>
      <c r="I1146" s="20" t="n">
        <v>16.127</v>
      </c>
      <c r="J1146" s="19" t="n">
        <f aca="false">IF(I1146="","",MIN(Overview!$B$8,MAX(1,CEILING(I1146/Overview!$B$7,1))))</f>
        <v>4</v>
      </c>
      <c r="K1146" s="19" t="n">
        <v>1</v>
      </c>
      <c r="L1146" s="19"/>
      <c r="M1146" s="20" t="n">
        <v>1</v>
      </c>
      <c r="N1146" s="19"/>
      <c r="O1146" s="19"/>
      <c r="P1146" s="19" t="s">
        <v>1780</v>
      </c>
      <c r="Q1146" s="19" t="s">
        <v>1781</v>
      </c>
      <c r="R1146" s="21" t="n">
        <v>30405</v>
      </c>
      <c r="S1146" s="19" t="s">
        <v>1017</v>
      </c>
      <c r="T1146" s="19" t="s">
        <v>4241</v>
      </c>
      <c r="U1146" s="19" t="str">
        <f aca="false">HYPERLINK("https://macaulaylibrary.org/asset/31393","Open")</f>
        <v>Open</v>
      </c>
      <c r="V1146" s="19"/>
    </row>
    <row r="1147" customFormat="false" ht="15" hidden="false" customHeight="false" outlineLevel="0" collapsed="false">
      <c r="A1147" s="19" t="s">
        <v>4242</v>
      </c>
      <c r="B1147" s="19" t="s">
        <v>943</v>
      </c>
      <c r="C1147" s="19" t="s">
        <v>944</v>
      </c>
      <c r="D1147" s="19" t="s">
        <v>148</v>
      </c>
      <c r="E1147" s="19" t="s">
        <v>147</v>
      </c>
      <c r="F1147" s="19" t="s">
        <v>382</v>
      </c>
      <c r="G1147" s="19" t="n">
        <v>135</v>
      </c>
      <c r="H1147" s="19" t="s">
        <v>383</v>
      </c>
      <c r="I1147" s="20" t="n">
        <v>6.324</v>
      </c>
      <c r="J1147" s="19" t="n">
        <f aca="false">IF(I1147="","",MIN(Overview!$B$8,MAX(1,CEILING(I1147/Overview!$B$7,1))))</f>
        <v>2</v>
      </c>
      <c r="K1147" s="19" t="n">
        <v>1</v>
      </c>
      <c r="L1147" s="19"/>
      <c r="M1147" s="20" t="n">
        <v>3</v>
      </c>
      <c r="N1147" s="19"/>
      <c r="O1147" s="19"/>
      <c r="P1147" s="19" t="s">
        <v>1278</v>
      </c>
      <c r="Q1147" s="19" t="s">
        <v>1030</v>
      </c>
      <c r="R1147" s="21" t="n">
        <v>33597</v>
      </c>
      <c r="S1147" s="19" t="s">
        <v>1279</v>
      </c>
      <c r="T1147" s="19" t="s">
        <v>4243</v>
      </c>
      <c r="U1147" s="19" t="str">
        <f aca="false">HYPERLINK("https://macaulaylibrary.org/asset/285630","Open")</f>
        <v>Open</v>
      </c>
      <c r="V1147" s="19" t="s">
        <v>4244</v>
      </c>
    </row>
    <row r="1148" customFormat="false" ht="15" hidden="false" customHeight="false" outlineLevel="0" collapsed="false">
      <c r="A1148" s="19" t="s">
        <v>4245</v>
      </c>
      <c r="B1148" s="19" t="s">
        <v>943</v>
      </c>
      <c r="C1148" s="19" t="s">
        <v>944</v>
      </c>
      <c r="D1148" s="19" t="s">
        <v>148</v>
      </c>
      <c r="E1148" s="19" t="s">
        <v>147</v>
      </c>
      <c r="F1148" s="19" t="s">
        <v>382</v>
      </c>
      <c r="G1148" s="19" t="n">
        <v>135</v>
      </c>
      <c r="H1148" s="19" t="s">
        <v>383</v>
      </c>
      <c r="I1148" s="20" t="n">
        <v>60.526</v>
      </c>
      <c r="J1148" s="19" t="n">
        <f aca="false">IF(I1148="","",MIN(Overview!$B$8,MAX(1,CEILING(I1148/Overview!$B$7,1))))</f>
        <v>13</v>
      </c>
      <c r="K1148" s="19" t="n">
        <v>1</v>
      </c>
      <c r="L1148" s="19"/>
      <c r="M1148" s="20" t="n">
        <v>1</v>
      </c>
      <c r="N1148" s="19"/>
      <c r="O1148" s="19"/>
      <c r="P1148" s="19" t="s">
        <v>1140</v>
      </c>
      <c r="Q1148" s="19" t="s">
        <v>1030</v>
      </c>
      <c r="R1148" s="21" t="n">
        <v>40250</v>
      </c>
      <c r="S1148" s="19" t="s">
        <v>1279</v>
      </c>
      <c r="T1148" s="19" t="s">
        <v>4246</v>
      </c>
      <c r="U1148" s="19" t="str">
        <f aca="false">HYPERLINK("https://macaulaylibrary.org/asset/299554","Open")</f>
        <v>Open</v>
      </c>
      <c r="V1148" s="19" t="s">
        <v>4244</v>
      </c>
    </row>
    <row r="1149" customFormat="false" ht="15" hidden="false" customHeight="false" outlineLevel="0" collapsed="false">
      <c r="A1149" s="19" t="s">
        <v>4247</v>
      </c>
      <c r="B1149" s="19" t="s">
        <v>943</v>
      </c>
      <c r="C1149" s="19" t="s">
        <v>944</v>
      </c>
      <c r="D1149" s="19" t="s">
        <v>148</v>
      </c>
      <c r="E1149" s="19" t="s">
        <v>147</v>
      </c>
      <c r="F1149" s="19" t="s">
        <v>382</v>
      </c>
      <c r="G1149" s="19" t="n">
        <v>135</v>
      </c>
      <c r="H1149" s="19" t="s">
        <v>383</v>
      </c>
      <c r="I1149" s="20" t="n">
        <v>3.954</v>
      </c>
      <c r="J1149" s="19" t="n">
        <f aca="false">IF(I1149="","",MIN(Overview!$B$8,MAX(1,CEILING(I1149/Overview!$B$7,1))))</f>
        <v>1</v>
      </c>
      <c r="K1149" s="19" t="n">
        <v>1</v>
      </c>
      <c r="L1149" s="19" t="s">
        <v>1048</v>
      </c>
      <c r="M1149" s="20" t="n">
        <v>5</v>
      </c>
      <c r="N1149" s="19"/>
      <c r="O1149" s="19"/>
      <c r="P1149" s="19" t="s">
        <v>1140</v>
      </c>
      <c r="Q1149" s="19" t="s">
        <v>1030</v>
      </c>
      <c r="R1149" s="21" t="n">
        <v>40250</v>
      </c>
      <c r="S1149" s="19" t="s">
        <v>2971</v>
      </c>
      <c r="T1149" s="19" t="s">
        <v>4248</v>
      </c>
      <c r="U1149" s="19" t="str">
        <f aca="false">HYPERLINK("https://macaulaylibrary.org/asset/299556","Open")</f>
        <v>Open</v>
      </c>
      <c r="V1149" s="19" t="s">
        <v>4244</v>
      </c>
    </row>
    <row r="1150" customFormat="false" ht="15" hidden="false" customHeight="false" outlineLevel="0" collapsed="false">
      <c r="A1150" s="19" t="s">
        <v>4249</v>
      </c>
      <c r="B1150" s="19" t="s">
        <v>943</v>
      </c>
      <c r="C1150" s="19" t="s">
        <v>944</v>
      </c>
      <c r="D1150" s="19" t="s">
        <v>148</v>
      </c>
      <c r="E1150" s="19" t="s">
        <v>147</v>
      </c>
      <c r="F1150" s="19" t="s">
        <v>382</v>
      </c>
      <c r="G1150" s="19" t="n">
        <v>135</v>
      </c>
      <c r="H1150" s="19" t="s">
        <v>383</v>
      </c>
      <c r="I1150" s="20" t="n">
        <v>16.018</v>
      </c>
      <c r="J1150" s="19" t="n">
        <f aca="false">IF(I1150="","",MIN(Overview!$B$8,MAX(1,CEILING(I1150/Overview!$B$7,1))))</f>
        <v>4</v>
      </c>
      <c r="K1150" s="19" t="n">
        <v>1</v>
      </c>
      <c r="L1150" s="19"/>
      <c r="M1150" s="20" t="n">
        <v>4.5</v>
      </c>
      <c r="N1150" s="19"/>
      <c r="O1150" s="19"/>
      <c r="P1150" s="19" t="s">
        <v>1170</v>
      </c>
      <c r="Q1150" s="19" t="s">
        <v>1166</v>
      </c>
      <c r="R1150" s="21" t="n">
        <v>44900</v>
      </c>
      <c r="S1150" s="19" t="s">
        <v>1092</v>
      </c>
      <c r="T1150" s="19" t="s">
        <v>4250</v>
      </c>
      <c r="U1150" s="19" t="str">
        <f aca="false">HYPERLINK("https://macaulaylibrary.org/asset/597934341","Open")</f>
        <v>Open</v>
      </c>
      <c r="V1150" s="19" t="s">
        <v>4244</v>
      </c>
    </row>
    <row r="1151" customFormat="false" ht="15" hidden="false" customHeight="false" outlineLevel="0" collapsed="false">
      <c r="A1151" s="19" t="s">
        <v>4251</v>
      </c>
      <c r="B1151" s="19" t="s">
        <v>943</v>
      </c>
      <c r="C1151" s="19" t="s">
        <v>944</v>
      </c>
      <c r="D1151" s="19" t="s">
        <v>148</v>
      </c>
      <c r="E1151" s="19" t="s">
        <v>147</v>
      </c>
      <c r="F1151" s="19" t="s">
        <v>382</v>
      </c>
      <c r="G1151" s="19" t="n">
        <v>135</v>
      </c>
      <c r="H1151" s="19" t="s">
        <v>383</v>
      </c>
      <c r="I1151" s="20" t="n">
        <v>58.636</v>
      </c>
      <c r="J1151" s="19" t="n">
        <f aca="false">IF(I1151="","",MIN(Overview!$B$8,MAX(1,CEILING(I1151/Overview!$B$7,1))))</f>
        <v>12</v>
      </c>
      <c r="K1151" s="19" t="n">
        <v>1</v>
      </c>
      <c r="L1151" s="19"/>
      <c r="M1151" s="20" t="n">
        <v>3</v>
      </c>
      <c r="N1151" s="19"/>
      <c r="O1151" s="19"/>
      <c r="P1151" s="19" t="s">
        <v>2437</v>
      </c>
      <c r="Q1151" s="19" t="s">
        <v>1483</v>
      </c>
      <c r="R1151" s="21" t="n">
        <v>45292</v>
      </c>
      <c r="S1151" s="19" t="s">
        <v>2438</v>
      </c>
      <c r="T1151" s="19" t="s">
        <v>4252</v>
      </c>
      <c r="U1151" s="19" t="str">
        <f aca="false">HYPERLINK("https://macaulaylibrary.org/asset/638982498","Open")</f>
        <v>Open</v>
      </c>
      <c r="V1151" s="19"/>
    </row>
    <row r="1152" customFormat="false" ht="15" hidden="false" customHeight="false" outlineLevel="0" collapsed="false">
      <c r="A1152" s="19" t="s">
        <v>4253</v>
      </c>
      <c r="B1152" s="19" t="s">
        <v>943</v>
      </c>
      <c r="C1152" s="19" t="s">
        <v>944</v>
      </c>
      <c r="D1152" s="19" t="s">
        <v>148</v>
      </c>
      <c r="E1152" s="19" t="s">
        <v>147</v>
      </c>
      <c r="F1152" s="19" t="s">
        <v>382</v>
      </c>
      <c r="G1152" s="19" t="n">
        <v>135</v>
      </c>
      <c r="H1152" s="19" t="s">
        <v>383</v>
      </c>
      <c r="I1152" s="20" t="n">
        <v>33.12</v>
      </c>
      <c r="J1152" s="19" t="n">
        <f aca="false">IF(I1152="","",MIN(Overview!$B$8,MAX(1,CEILING(I1152/Overview!$B$7,1))))</f>
        <v>7</v>
      </c>
      <c r="K1152" s="19" t="n">
        <v>1</v>
      </c>
      <c r="L1152" s="19"/>
      <c r="M1152" s="20" t="n">
        <v>1</v>
      </c>
      <c r="N1152" s="19"/>
      <c r="O1152" s="19"/>
      <c r="P1152" s="19" t="s">
        <v>964</v>
      </c>
      <c r="Q1152" s="19" t="s">
        <v>965</v>
      </c>
      <c r="R1152" s="21" t="n">
        <v>46011</v>
      </c>
      <c r="S1152" s="19" t="s">
        <v>966</v>
      </c>
      <c r="T1152" s="19" t="s">
        <v>4254</v>
      </c>
      <c r="U1152" s="19" t="str">
        <f aca="false">HYPERLINK("https://macaulaylibrary.org/asset/647448045","Open")</f>
        <v>Open</v>
      </c>
      <c r="V1152" s="19"/>
    </row>
    <row r="1153" customFormat="false" ht="15" hidden="false" customHeight="false" outlineLevel="0" collapsed="false">
      <c r="A1153" s="19" t="s">
        <v>4255</v>
      </c>
      <c r="B1153" s="19" t="s">
        <v>943</v>
      </c>
      <c r="C1153" s="19" t="s">
        <v>944</v>
      </c>
      <c r="D1153" s="19" t="s">
        <v>148</v>
      </c>
      <c r="E1153" s="19" t="s">
        <v>147</v>
      </c>
      <c r="F1153" s="19" t="s">
        <v>382</v>
      </c>
      <c r="G1153" s="19" t="n">
        <v>135</v>
      </c>
      <c r="H1153" s="19" t="s">
        <v>383</v>
      </c>
      <c r="I1153" s="20" t="n">
        <v>11.828</v>
      </c>
      <c r="J1153" s="19" t="n">
        <f aca="false">IF(I1153="","",MIN(Overview!$B$8,MAX(1,CEILING(I1153/Overview!$B$7,1))))</f>
        <v>3</v>
      </c>
      <c r="K1153" s="19" t="n">
        <v>1</v>
      </c>
      <c r="L1153" s="19"/>
      <c r="M1153" s="20" t="n">
        <v>1</v>
      </c>
      <c r="N1153" s="19"/>
      <c r="O1153" s="19"/>
      <c r="P1153" s="19" t="s">
        <v>1335</v>
      </c>
      <c r="Q1153" s="19" t="s">
        <v>990</v>
      </c>
      <c r="R1153" s="21" t="n">
        <v>46011</v>
      </c>
      <c r="S1153" s="19" t="s">
        <v>966</v>
      </c>
      <c r="T1153" s="19" t="s">
        <v>4256</v>
      </c>
      <c r="U1153" s="19" t="str">
        <f aca="false">HYPERLINK("https://macaulaylibrary.org/asset/647568417","Open")</f>
        <v>Open</v>
      </c>
      <c r="V1153" s="19"/>
    </row>
    <row r="1154" customFormat="false" ht="15" hidden="false" customHeight="false" outlineLevel="0" collapsed="false">
      <c r="A1154" s="19" t="s">
        <v>4257</v>
      </c>
      <c r="B1154" s="19" t="s">
        <v>943</v>
      </c>
      <c r="C1154" s="19" t="s">
        <v>944</v>
      </c>
      <c r="D1154" s="19" t="s">
        <v>148</v>
      </c>
      <c r="E1154" s="19" t="s">
        <v>147</v>
      </c>
      <c r="F1154" s="19" t="s">
        <v>382</v>
      </c>
      <c r="G1154" s="19" t="n">
        <v>135</v>
      </c>
      <c r="H1154" s="19" t="s">
        <v>383</v>
      </c>
      <c r="I1154" s="20" t="n">
        <v>12.109</v>
      </c>
      <c r="J1154" s="19" t="n">
        <f aca="false">IF(I1154="","",MIN(Overview!$B$8,MAX(1,CEILING(I1154/Overview!$B$7,1))))</f>
        <v>3</v>
      </c>
      <c r="K1154" s="19" t="n">
        <v>1</v>
      </c>
      <c r="L1154" s="19"/>
      <c r="M1154" s="20"/>
      <c r="N1154" s="19"/>
      <c r="O1154" s="19"/>
      <c r="P1154" s="19" t="s">
        <v>4258</v>
      </c>
      <c r="Q1154" s="19" t="s">
        <v>1348</v>
      </c>
      <c r="R1154" s="21" t="n">
        <v>46100</v>
      </c>
      <c r="S1154" s="19" t="s">
        <v>4259</v>
      </c>
      <c r="T1154" s="19" t="s">
        <v>4260</v>
      </c>
      <c r="U1154" s="19" t="str">
        <f aca="false">HYPERLINK("https://macaulaylibrary.org/asset/654443078","Open")</f>
        <v>Open</v>
      </c>
      <c r="V1154" s="19"/>
    </row>
    <row r="1155" customFormat="false" ht="15" hidden="false" customHeight="false" outlineLevel="0" collapsed="false">
      <c r="A1155" s="19" t="s">
        <v>4261</v>
      </c>
      <c r="B1155" s="19" t="s">
        <v>943</v>
      </c>
      <c r="C1155" s="19" t="s">
        <v>944</v>
      </c>
      <c r="D1155" s="19" t="s">
        <v>400</v>
      </c>
      <c r="E1155" s="19" t="s">
        <v>147</v>
      </c>
      <c r="F1155" s="19" t="s">
        <v>571</v>
      </c>
      <c r="G1155" s="19" t="n">
        <v>136</v>
      </c>
      <c r="H1155" s="19" t="s">
        <v>572</v>
      </c>
      <c r="I1155" s="20" t="n">
        <v>22.065</v>
      </c>
      <c r="J1155" s="19" t="n">
        <f aca="false">IF(I1155="","",MIN(Overview!$B$8,MAX(1,CEILING(I1155/Overview!$B$7,1))))</f>
        <v>5</v>
      </c>
      <c r="K1155" s="19" t="n">
        <v>1</v>
      </c>
      <c r="L1155" s="19"/>
      <c r="M1155" s="20" t="n">
        <v>3</v>
      </c>
      <c r="N1155" s="19"/>
      <c r="O1155" s="19"/>
      <c r="P1155" s="19" t="s">
        <v>1855</v>
      </c>
      <c r="Q1155" s="19" t="s">
        <v>1401</v>
      </c>
      <c r="R1155" s="21" t="n">
        <v>35811</v>
      </c>
      <c r="S1155" s="19" t="s">
        <v>1002</v>
      </c>
      <c r="T1155" s="19" t="s">
        <v>4262</v>
      </c>
      <c r="U1155" s="19" t="str">
        <f aca="false">HYPERLINK("https://macaulaylibrary.org/asset/131395781","Open")</f>
        <v>Open</v>
      </c>
      <c r="V1155" s="19"/>
    </row>
    <row r="1156" customFormat="false" ht="15" hidden="false" customHeight="false" outlineLevel="0" collapsed="false">
      <c r="A1156" s="19" t="s">
        <v>4263</v>
      </c>
      <c r="B1156" s="19" t="s">
        <v>943</v>
      </c>
      <c r="C1156" s="19" t="s">
        <v>944</v>
      </c>
      <c r="D1156" s="19" t="s">
        <v>400</v>
      </c>
      <c r="E1156" s="19" t="s">
        <v>147</v>
      </c>
      <c r="F1156" s="19" t="s">
        <v>571</v>
      </c>
      <c r="G1156" s="19" t="n">
        <v>136</v>
      </c>
      <c r="H1156" s="19" t="s">
        <v>572</v>
      </c>
      <c r="I1156" s="20" t="n">
        <v>170.543</v>
      </c>
      <c r="J1156" s="19" t="n">
        <f aca="false">IF(I1156="","",MIN(Overview!$B$8,MAX(1,CEILING(I1156/Overview!$B$7,1))))</f>
        <v>35</v>
      </c>
      <c r="K1156" s="19" t="n">
        <v>1</v>
      </c>
      <c r="L1156" s="19"/>
      <c r="M1156" s="20" t="n">
        <v>3.67</v>
      </c>
      <c r="N1156" s="19"/>
      <c r="O1156" s="19"/>
      <c r="P1156" s="19" t="s">
        <v>1390</v>
      </c>
      <c r="Q1156" s="19" t="s">
        <v>1021</v>
      </c>
      <c r="R1156" s="21" t="n">
        <v>36596</v>
      </c>
      <c r="S1156" s="19" t="s">
        <v>1137</v>
      </c>
      <c r="T1156" s="19" t="s">
        <v>4264</v>
      </c>
      <c r="U1156" s="19" t="str">
        <f aca="false">HYPERLINK("https://macaulaylibrary.org/asset/144843581","Open")</f>
        <v>Open</v>
      </c>
      <c r="V1156" s="19"/>
    </row>
    <row r="1157" customFormat="false" ht="15" hidden="false" customHeight="false" outlineLevel="0" collapsed="false">
      <c r="A1157" s="19" t="s">
        <v>4265</v>
      </c>
      <c r="B1157" s="19" t="s">
        <v>943</v>
      </c>
      <c r="C1157" s="19" t="s">
        <v>944</v>
      </c>
      <c r="D1157" s="19" t="s">
        <v>400</v>
      </c>
      <c r="E1157" s="19" t="s">
        <v>147</v>
      </c>
      <c r="F1157" s="19" t="s">
        <v>571</v>
      </c>
      <c r="G1157" s="19" t="n">
        <v>136</v>
      </c>
      <c r="H1157" s="19" t="s">
        <v>572</v>
      </c>
      <c r="I1157" s="20" t="n">
        <v>135.296</v>
      </c>
      <c r="J1157" s="19" t="n">
        <f aca="false">IF(I1157="","",MIN(Overview!$B$8,MAX(1,CEILING(I1157/Overview!$B$7,1))))</f>
        <v>28</v>
      </c>
      <c r="K1157" s="19" t="n">
        <v>1</v>
      </c>
      <c r="L1157" s="19"/>
      <c r="M1157" s="20" t="n">
        <v>4.33</v>
      </c>
      <c r="N1157" s="19"/>
      <c r="O1157" s="19"/>
      <c r="P1157" s="19" t="s">
        <v>1390</v>
      </c>
      <c r="Q1157" s="19" t="s">
        <v>1021</v>
      </c>
      <c r="R1157" s="21" t="n">
        <v>36596</v>
      </c>
      <c r="S1157" s="19" t="s">
        <v>1137</v>
      </c>
      <c r="T1157" s="19" t="s">
        <v>4266</v>
      </c>
      <c r="U1157" s="19" t="str">
        <f aca="false">HYPERLINK("https://macaulaylibrary.org/asset/145174501","Open")</f>
        <v>Open</v>
      </c>
      <c r="V1157" s="19"/>
    </row>
    <row r="1158" customFormat="false" ht="15" hidden="false" customHeight="false" outlineLevel="0" collapsed="false">
      <c r="A1158" s="19" t="s">
        <v>4267</v>
      </c>
      <c r="B1158" s="19" t="s">
        <v>943</v>
      </c>
      <c r="C1158" s="19" t="s">
        <v>944</v>
      </c>
      <c r="D1158" s="19" t="s">
        <v>400</v>
      </c>
      <c r="E1158" s="19" t="s">
        <v>147</v>
      </c>
      <c r="F1158" s="19" t="s">
        <v>571</v>
      </c>
      <c r="G1158" s="19" t="n">
        <v>136</v>
      </c>
      <c r="H1158" s="19" t="s">
        <v>572</v>
      </c>
      <c r="I1158" s="20" t="n">
        <v>273.162</v>
      </c>
      <c r="J1158" s="19" t="n">
        <f aca="false">IF(I1158="","",MIN(Overview!$B$8,MAX(1,CEILING(I1158/Overview!$B$7,1))))</f>
        <v>55</v>
      </c>
      <c r="K1158" s="19" t="n">
        <v>1</v>
      </c>
      <c r="L1158" s="19"/>
      <c r="M1158" s="20" t="n">
        <v>3.4</v>
      </c>
      <c r="N1158" s="19"/>
      <c r="O1158" s="19"/>
      <c r="P1158" s="19" t="s">
        <v>2538</v>
      </c>
      <c r="Q1158" s="19" t="s">
        <v>980</v>
      </c>
      <c r="R1158" s="21" t="n">
        <v>35207</v>
      </c>
      <c r="S1158" s="19"/>
      <c r="T1158" s="19" t="s">
        <v>4268</v>
      </c>
      <c r="U1158" s="19" t="str">
        <f aca="false">HYPERLINK("https://macaulaylibrary.org/asset/184770","Open")</f>
        <v>Open</v>
      </c>
      <c r="V1158" s="19"/>
    </row>
    <row r="1159" customFormat="false" ht="15" hidden="false" customHeight="false" outlineLevel="0" collapsed="false">
      <c r="A1159" s="19" t="s">
        <v>4269</v>
      </c>
      <c r="B1159" s="19" t="s">
        <v>943</v>
      </c>
      <c r="C1159" s="19" t="s">
        <v>944</v>
      </c>
      <c r="D1159" s="19" t="s">
        <v>400</v>
      </c>
      <c r="E1159" s="19" t="s">
        <v>147</v>
      </c>
      <c r="F1159" s="19" t="s">
        <v>484</v>
      </c>
      <c r="G1159" s="19" t="n">
        <v>138</v>
      </c>
      <c r="H1159" s="19" t="s">
        <v>485</v>
      </c>
      <c r="I1159" s="20" t="n">
        <v>23.532</v>
      </c>
      <c r="J1159" s="19" t="n">
        <f aca="false">IF(I1159="","",MIN(Overview!$B$8,MAX(1,CEILING(I1159/Overview!$B$7,1))))</f>
        <v>5</v>
      </c>
      <c r="K1159" s="19" t="n">
        <v>1</v>
      </c>
      <c r="L1159" s="19"/>
      <c r="M1159" s="20" t="n">
        <v>2</v>
      </c>
      <c r="N1159" s="19"/>
      <c r="O1159" s="19"/>
      <c r="P1159" s="19" t="s">
        <v>3192</v>
      </c>
      <c r="Q1159" s="19" t="s">
        <v>1401</v>
      </c>
      <c r="R1159" s="21" t="n">
        <v>36954</v>
      </c>
      <c r="S1159" s="19" t="s">
        <v>1009</v>
      </c>
      <c r="T1159" s="19" t="s">
        <v>4270</v>
      </c>
      <c r="U1159" s="19" t="str">
        <f aca="false">HYPERLINK("https://macaulaylibrary.org/asset/130029311","Open")</f>
        <v>Open</v>
      </c>
      <c r="V1159" s="19"/>
    </row>
    <row r="1160" customFormat="false" ht="15" hidden="false" customHeight="false" outlineLevel="0" collapsed="false">
      <c r="A1160" s="19" t="s">
        <v>4271</v>
      </c>
      <c r="B1160" s="19" t="s">
        <v>943</v>
      </c>
      <c r="C1160" s="19" t="s">
        <v>944</v>
      </c>
      <c r="D1160" s="19" t="s">
        <v>400</v>
      </c>
      <c r="E1160" s="19" t="s">
        <v>147</v>
      </c>
      <c r="F1160" s="19" t="s">
        <v>484</v>
      </c>
      <c r="G1160" s="19" t="n">
        <v>138</v>
      </c>
      <c r="H1160" s="19" t="s">
        <v>485</v>
      </c>
      <c r="I1160" s="20" t="n">
        <v>96.342</v>
      </c>
      <c r="J1160" s="19" t="n">
        <f aca="false">IF(I1160="","",MIN(Overview!$B$8,MAX(1,CEILING(I1160/Overview!$B$7,1))))</f>
        <v>20</v>
      </c>
      <c r="K1160" s="19" t="n">
        <v>1</v>
      </c>
      <c r="L1160" s="19"/>
      <c r="M1160" s="20" t="n">
        <v>2</v>
      </c>
      <c r="N1160" s="19"/>
      <c r="O1160" s="19"/>
      <c r="P1160" s="19" t="s">
        <v>1581</v>
      </c>
      <c r="Q1160" s="19" t="s">
        <v>1021</v>
      </c>
      <c r="R1160" s="21" t="n">
        <v>36595</v>
      </c>
      <c r="S1160" s="19" t="s">
        <v>1459</v>
      </c>
      <c r="T1160" s="19" t="s">
        <v>4272</v>
      </c>
      <c r="U1160" s="19" t="str">
        <f aca="false">HYPERLINK("https://macaulaylibrary.org/asset/143859861","Open")</f>
        <v>Open</v>
      </c>
      <c r="V1160" s="19"/>
    </row>
    <row r="1161" customFormat="false" ht="15" hidden="false" customHeight="false" outlineLevel="0" collapsed="false">
      <c r="A1161" s="19" t="s">
        <v>4273</v>
      </c>
      <c r="B1161" s="19" t="s">
        <v>943</v>
      </c>
      <c r="C1161" s="19" t="s">
        <v>944</v>
      </c>
      <c r="D1161" s="19" t="s">
        <v>400</v>
      </c>
      <c r="E1161" s="19" t="s">
        <v>147</v>
      </c>
      <c r="F1161" s="19" t="s">
        <v>484</v>
      </c>
      <c r="G1161" s="19" t="n">
        <v>138</v>
      </c>
      <c r="H1161" s="19" t="s">
        <v>485</v>
      </c>
      <c r="I1161" s="20" t="n">
        <v>1700.932</v>
      </c>
      <c r="J1161" s="19" t="n">
        <f aca="false">IF(I1161="","",MIN(Overview!$B$8,MAX(1,CEILING(I1161/Overview!$B$7,1))))</f>
        <v>120</v>
      </c>
      <c r="K1161" s="19" t="n">
        <v>1</v>
      </c>
      <c r="L1161" s="19"/>
      <c r="M1161" s="20" t="n">
        <v>2</v>
      </c>
      <c r="N1161" s="19"/>
      <c r="O1161" s="19"/>
      <c r="P1161" s="19" t="s">
        <v>1125</v>
      </c>
      <c r="Q1161" s="19" t="s">
        <v>980</v>
      </c>
      <c r="R1161" s="21" t="n">
        <v>32557</v>
      </c>
      <c r="S1161" s="19" t="s">
        <v>2123</v>
      </c>
      <c r="T1161" s="19" t="s">
        <v>4274</v>
      </c>
      <c r="U1161" s="19" t="str">
        <f aca="false">HYPERLINK("https://macaulaylibrary.org/asset/215397","Open")</f>
        <v>Open</v>
      </c>
      <c r="V1161" s="19"/>
    </row>
    <row r="1162" customFormat="false" ht="15" hidden="false" customHeight="false" outlineLevel="0" collapsed="false">
      <c r="A1162" s="19" t="s">
        <v>4275</v>
      </c>
      <c r="B1162" s="19" t="s">
        <v>943</v>
      </c>
      <c r="C1162" s="19" t="s">
        <v>944</v>
      </c>
      <c r="D1162" s="19" t="s">
        <v>400</v>
      </c>
      <c r="E1162" s="19" t="s">
        <v>147</v>
      </c>
      <c r="F1162" s="19" t="s">
        <v>484</v>
      </c>
      <c r="G1162" s="19" t="n">
        <v>138</v>
      </c>
      <c r="H1162" s="19" t="s">
        <v>485</v>
      </c>
      <c r="I1162" s="20" t="n">
        <v>85.092</v>
      </c>
      <c r="J1162" s="19" t="n">
        <f aca="false">IF(I1162="","",MIN(Overview!$B$8,MAX(1,CEILING(I1162/Overview!$B$7,1))))</f>
        <v>18</v>
      </c>
      <c r="K1162" s="19" t="n">
        <v>1</v>
      </c>
      <c r="L1162" s="19"/>
      <c r="M1162" s="20" t="n">
        <v>2.6</v>
      </c>
      <c r="N1162" s="19"/>
      <c r="O1162" s="19"/>
      <c r="P1162" s="19" t="s">
        <v>1125</v>
      </c>
      <c r="Q1162" s="19" t="s">
        <v>980</v>
      </c>
      <c r="R1162" s="21" t="n">
        <v>32557</v>
      </c>
      <c r="S1162" s="19" t="s">
        <v>4276</v>
      </c>
      <c r="T1162" s="19" t="s">
        <v>4277</v>
      </c>
      <c r="U1162" s="19" t="str">
        <f aca="false">HYPERLINK("https://macaulaylibrary.org/asset/215400","Open")</f>
        <v>Open</v>
      </c>
      <c r="V1162" s="19"/>
    </row>
    <row r="1163" customFormat="false" ht="15" hidden="false" customHeight="false" outlineLevel="0" collapsed="false">
      <c r="A1163" s="19" t="s">
        <v>4278</v>
      </c>
      <c r="B1163" s="19" t="s">
        <v>943</v>
      </c>
      <c r="C1163" s="19" t="s">
        <v>944</v>
      </c>
      <c r="D1163" s="19" t="s">
        <v>400</v>
      </c>
      <c r="E1163" s="19" t="s">
        <v>147</v>
      </c>
      <c r="F1163" s="19" t="s">
        <v>484</v>
      </c>
      <c r="G1163" s="19" t="n">
        <v>138</v>
      </c>
      <c r="H1163" s="19" t="s">
        <v>485</v>
      </c>
      <c r="I1163" s="20" t="n">
        <v>19.698</v>
      </c>
      <c r="J1163" s="19" t="n">
        <f aca="false">IF(I1163="","",MIN(Overview!$B$8,MAX(1,CEILING(I1163/Overview!$B$7,1))))</f>
        <v>4</v>
      </c>
      <c r="K1163" s="19" t="n">
        <v>1</v>
      </c>
      <c r="L1163" s="19"/>
      <c r="M1163" s="20" t="n">
        <v>1</v>
      </c>
      <c r="N1163" s="19"/>
      <c r="O1163" s="19"/>
      <c r="P1163" s="19" t="s">
        <v>1591</v>
      </c>
      <c r="Q1163" s="19" t="s">
        <v>1592</v>
      </c>
      <c r="R1163" s="21" t="n">
        <v>30404</v>
      </c>
      <c r="S1163" s="19" t="s">
        <v>1002</v>
      </c>
      <c r="T1163" s="19" t="s">
        <v>4279</v>
      </c>
      <c r="U1163" s="19" t="str">
        <f aca="false">HYPERLINK("https://macaulaylibrary.org/asset/39224","Open")</f>
        <v>Open</v>
      </c>
      <c r="V1163" s="19"/>
    </row>
    <row r="1164" customFormat="false" ht="15" hidden="false" customHeight="false" outlineLevel="0" collapsed="false">
      <c r="A1164" s="19" t="s">
        <v>4280</v>
      </c>
      <c r="B1164" s="19" t="s">
        <v>943</v>
      </c>
      <c r="C1164" s="19" t="s">
        <v>944</v>
      </c>
      <c r="D1164" s="19" t="s">
        <v>400</v>
      </c>
      <c r="E1164" s="19" t="s">
        <v>147</v>
      </c>
      <c r="F1164" s="19" t="s">
        <v>484</v>
      </c>
      <c r="G1164" s="19" t="n">
        <v>138</v>
      </c>
      <c r="H1164" s="19" t="s">
        <v>485</v>
      </c>
      <c r="I1164" s="20" t="n">
        <v>75.255</v>
      </c>
      <c r="J1164" s="19" t="n">
        <f aca="false">IF(I1164="","",MIN(Overview!$B$8,MAX(1,CEILING(I1164/Overview!$B$7,1))))</f>
        <v>16</v>
      </c>
      <c r="K1164" s="19" t="n">
        <v>1</v>
      </c>
      <c r="L1164" s="19"/>
      <c r="M1164" s="20" t="n">
        <v>3</v>
      </c>
      <c r="N1164" s="19"/>
      <c r="O1164" s="19"/>
      <c r="P1164" s="19" t="s">
        <v>4281</v>
      </c>
      <c r="Q1164" s="19" t="s">
        <v>1473</v>
      </c>
      <c r="R1164" s="21" t="n">
        <v>46036</v>
      </c>
      <c r="S1164" s="19" t="s">
        <v>1132</v>
      </c>
      <c r="T1164" s="19" t="s">
        <v>4282</v>
      </c>
      <c r="U1164" s="19" t="str">
        <f aca="false">HYPERLINK("https://macaulaylibrary.org/asset/649882500","Open")</f>
        <v>Open</v>
      </c>
      <c r="V1164" s="19"/>
    </row>
    <row r="1165" customFormat="false" ht="15" hidden="false" customHeight="false" outlineLevel="0" collapsed="false">
      <c r="A1165" s="19" t="s">
        <v>4283</v>
      </c>
      <c r="B1165" s="19" t="s">
        <v>943</v>
      </c>
      <c r="C1165" s="19" t="s">
        <v>944</v>
      </c>
      <c r="D1165" s="19" t="s">
        <v>400</v>
      </c>
      <c r="E1165" s="19" t="s">
        <v>147</v>
      </c>
      <c r="F1165" s="19" t="s">
        <v>484</v>
      </c>
      <c r="G1165" s="19" t="n">
        <v>138</v>
      </c>
      <c r="H1165" s="19" t="s">
        <v>485</v>
      </c>
      <c r="I1165" s="20" t="n">
        <v>12.237</v>
      </c>
      <c r="J1165" s="19" t="n">
        <f aca="false">IF(I1165="","",MIN(Overview!$B$8,MAX(1,CEILING(I1165/Overview!$B$7,1))))</f>
        <v>3</v>
      </c>
      <c r="K1165" s="19" t="n">
        <v>1</v>
      </c>
      <c r="L1165" s="19"/>
      <c r="M1165" s="20"/>
      <c r="N1165" s="19"/>
      <c r="O1165" s="19"/>
      <c r="P1165" s="19" t="s">
        <v>2876</v>
      </c>
      <c r="Q1165" s="19" t="s">
        <v>2877</v>
      </c>
      <c r="R1165" s="21" t="n">
        <v>45679</v>
      </c>
      <c r="S1165" s="19" t="s">
        <v>2878</v>
      </c>
      <c r="T1165" s="19" t="s">
        <v>4284</v>
      </c>
      <c r="U1165" s="19" t="str">
        <f aca="false">HYPERLINK("https://macaulaylibrary.org/asset/663970282","Open")</f>
        <v>Open</v>
      </c>
      <c r="V1165" s="19"/>
    </row>
    <row r="1166" customFormat="false" ht="15" hidden="false" customHeight="false" outlineLevel="0" collapsed="false">
      <c r="A1166" s="19" t="s">
        <v>4285</v>
      </c>
      <c r="B1166" s="19" t="s">
        <v>943</v>
      </c>
      <c r="C1166" s="19" t="s">
        <v>944</v>
      </c>
      <c r="D1166" s="19" t="s">
        <v>148</v>
      </c>
      <c r="E1166" s="19" t="s">
        <v>147</v>
      </c>
      <c r="F1166" s="19" t="s">
        <v>228</v>
      </c>
      <c r="G1166" s="19" t="n">
        <v>139</v>
      </c>
      <c r="H1166" s="19" t="s">
        <v>229</v>
      </c>
      <c r="I1166" s="20" t="n">
        <v>159.725</v>
      </c>
      <c r="J1166" s="19" t="n">
        <f aca="false">IF(I1166="","",MIN(Overview!$B$8,MAX(1,CEILING(I1166/Overview!$B$7,1))))</f>
        <v>32</v>
      </c>
      <c r="K1166" s="19" t="n">
        <v>1</v>
      </c>
      <c r="L1166" s="19"/>
      <c r="M1166" s="20" t="n">
        <v>4</v>
      </c>
      <c r="N1166" s="19"/>
      <c r="O1166" s="19"/>
      <c r="P1166" s="19" t="s">
        <v>3831</v>
      </c>
      <c r="Q1166" s="19" t="s">
        <v>1021</v>
      </c>
      <c r="R1166" s="21" t="n">
        <v>35862</v>
      </c>
      <c r="S1166" s="19" t="s">
        <v>1036</v>
      </c>
      <c r="T1166" s="19" t="s">
        <v>4286</v>
      </c>
      <c r="U1166" s="19" t="str">
        <f aca="false">HYPERLINK("https://macaulaylibrary.org/asset/101390161","Open")</f>
        <v>Open</v>
      </c>
      <c r="V1166" s="19"/>
    </row>
    <row r="1167" customFormat="false" ht="15" hidden="false" customHeight="false" outlineLevel="0" collapsed="false">
      <c r="A1167" s="19" t="s">
        <v>4287</v>
      </c>
      <c r="B1167" s="19" t="s">
        <v>943</v>
      </c>
      <c r="C1167" s="19" t="s">
        <v>944</v>
      </c>
      <c r="D1167" s="19" t="s">
        <v>148</v>
      </c>
      <c r="E1167" s="19" t="s">
        <v>147</v>
      </c>
      <c r="F1167" s="19" t="s">
        <v>228</v>
      </c>
      <c r="G1167" s="19" t="n">
        <v>139</v>
      </c>
      <c r="H1167" s="19" t="s">
        <v>229</v>
      </c>
      <c r="I1167" s="20" t="n">
        <v>237.501</v>
      </c>
      <c r="J1167" s="19" t="n">
        <f aca="false">IF(I1167="","",MIN(Overview!$B$8,MAX(1,CEILING(I1167/Overview!$B$7,1))))</f>
        <v>48</v>
      </c>
      <c r="K1167" s="19" t="n">
        <v>1</v>
      </c>
      <c r="L1167" s="19"/>
      <c r="M1167" s="20" t="n">
        <v>3</v>
      </c>
      <c r="N1167" s="19"/>
      <c r="O1167" s="19"/>
      <c r="P1167" s="19" t="s">
        <v>4288</v>
      </c>
      <c r="Q1167" s="19" t="s">
        <v>1021</v>
      </c>
      <c r="R1167" s="21" t="n">
        <v>35864</v>
      </c>
      <c r="S1167" s="19" t="s">
        <v>1534</v>
      </c>
      <c r="T1167" s="19" t="s">
        <v>4289</v>
      </c>
      <c r="U1167" s="19" t="str">
        <f aca="false">HYPERLINK("https://macaulaylibrary.org/asset/102029661","Open")</f>
        <v>Open</v>
      </c>
      <c r="V1167" s="19"/>
    </row>
    <row r="1168" customFormat="false" ht="15" hidden="false" customHeight="false" outlineLevel="0" collapsed="false">
      <c r="A1168" s="19" t="s">
        <v>4290</v>
      </c>
      <c r="B1168" s="19" t="s">
        <v>943</v>
      </c>
      <c r="C1168" s="19" t="s">
        <v>944</v>
      </c>
      <c r="D1168" s="19" t="s">
        <v>148</v>
      </c>
      <c r="E1168" s="19" t="s">
        <v>147</v>
      </c>
      <c r="F1168" s="19" t="s">
        <v>228</v>
      </c>
      <c r="G1168" s="19" t="n">
        <v>139</v>
      </c>
      <c r="H1168" s="19" t="s">
        <v>229</v>
      </c>
      <c r="I1168" s="20" t="n">
        <v>80.851</v>
      </c>
      <c r="J1168" s="19" t="n">
        <f aca="false">IF(I1168="","",MIN(Overview!$B$8,MAX(1,CEILING(I1168/Overview!$B$7,1))))</f>
        <v>17</v>
      </c>
      <c r="K1168" s="19" t="n">
        <v>1</v>
      </c>
      <c r="L1168" s="19"/>
      <c r="M1168" s="20" t="n">
        <v>2.5</v>
      </c>
      <c r="N1168" s="19"/>
      <c r="O1168" s="19"/>
      <c r="P1168" s="19" t="s">
        <v>2271</v>
      </c>
      <c r="Q1168" s="19" t="s">
        <v>1021</v>
      </c>
      <c r="R1168" s="21" t="n">
        <v>35867</v>
      </c>
      <c r="S1168" s="19" t="s">
        <v>2272</v>
      </c>
      <c r="T1168" s="19" t="s">
        <v>4291</v>
      </c>
      <c r="U1168" s="19" t="str">
        <f aca="false">HYPERLINK("https://macaulaylibrary.org/asset/102867861","Open")</f>
        <v>Open</v>
      </c>
      <c r="V1168" s="19"/>
    </row>
    <row r="1169" customFormat="false" ht="15" hidden="false" customHeight="false" outlineLevel="0" collapsed="false">
      <c r="A1169" s="19" t="s">
        <v>4292</v>
      </c>
      <c r="B1169" s="19" t="s">
        <v>943</v>
      </c>
      <c r="C1169" s="19" t="s">
        <v>944</v>
      </c>
      <c r="D1169" s="19" t="s">
        <v>148</v>
      </c>
      <c r="E1169" s="19" t="s">
        <v>147</v>
      </c>
      <c r="F1169" s="19" t="s">
        <v>228</v>
      </c>
      <c r="G1169" s="19" t="n">
        <v>139</v>
      </c>
      <c r="H1169" s="19" t="s">
        <v>229</v>
      </c>
      <c r="I1169" s="20" t="n">
        <v>147.845</v>
      </c>
      <c r="J1169" s="19" t="n">
        <f aca="false">IF(I1169="","",MIN(Overview!$B$8,MAX(1,CEILING(I1169/Overview!$B$7,1))))</f>
        <v>30</v>
      </c>
      <c r="K1169" s="19" t="n">
        <v>1</v>
      </c>
      <c r="L1169" s="19"/>
      <c r="M1169" s="20" t="n">
        <v>4</v>
      </c>
      <c r="N1169" s="19"/>
      <c r="O1169" s="19"/>
      <c r="P1169" s="19" t="s">
        <v>4191</v>
      </c>
      <c r="Q1169" s="19" t="s">
        <v>1021</v>
      </c>
      <c r="R1169" s="21" t="n">
        <v>35868</v>
      </c>
      <c r="S1169" s="19" t="s">
        <v>2784</v>
      </c>
      <c r="T1169" s="19" t="s">
        <v>4293</v>
      </c>
      <c r="U1169" s="19" t="str">
        <f aca="false">HYPERLINK("https://macaulaylibrary.org/asset/103117491","Open")</f>
        <v>Open</v>
      </c>
      <c r="V1169" s="19"/>
    </row>
    <row r="1170" customFormat="false" ht="15" hidden="false" customHeight="false" outlineLevel="0" collapsed="false">
      <c r="A1170" s="19" t="s">
        <v>4294</v>
      </c>
      <c r="B1170" s="19" t="s">
        <v>943</v>
      </c>
      <c r="C1170" s="19" t="s">
        <v>944</v>
      </c>
      <c r="D1170" s="19" t="s">
        <v>148</v>
      </c>
      <c r="E1170" s="19" t="s">
        <v>147</v>
      </c>
      <c r="F1170" s="19" t="s">
        <v>228</v>
      </c>
      <c r="G1170" s="19" t="n">
        <v>139</v>
      </c>
      <c r="H1170" s="19" t="s">
        <v>229</v>
      </c>
      <c r="I1170" s="20" t="n">
        <v>26.339</v>
      </c>
      <c r="J1170" s="19" t="n">
        <f aca="false">IF(I1170="","",MIN(Overview!$B$8,MAX(1,CEILING(I1170/Overview!$B$7,1))))</f>
        <v>6</v>
      </c>
      <c r="K1170" s="19" t="n">
        <v>1</v>
      </c>
      <c r="L1170" s="19"/>
      <c r="M1170" s="20" t="n">
        <v>3</v>
      </c>
      <c r="N1170" s="19"/>
      <c r="O1170" s="19"/>
      <c r="P1170" s="19" t="s">
        <v>2916</v>
      </c>
      <c r="Q1170" s="19" t="s">
        <v>2235</v>
      </c>
      <c r="R1170" s="21" t="n">
        <v>43469</v>
      </c>
      <c r="S1170" s="19" t="s">
        <v>1484</v>
      </c>
      <c r="T1170" s="19" t="s">
        <v>4295</v>
      </c>
      <c r="U1170" s="19" t="str">
        <f aca="false">HYPERLINK("https://macaulaylibrary.org/asset/143077981","Open")</f>
        <v>Open</v>
      </c>
      <c r="V1170" s="19"/>
    </row>
    <row r="1171" customFormat="false" ht="15" hidden="false" customHeight="false" outlineLevel="0" collapsed="false">
      <c r="A1171" s="19" t="s">
        <v>4296</v>
      </c>
      <c r="B1171" s="19" t="s">
        <v>943</v>
      </c>
      <c r="C1171" s="19" t="s">
        <v>944</v>
      </c>
      <c r="D1171" s="19" t="s">
        <v>148</v>
      </c>
      <c r="E1171" s="19" t="s">
        <v>147</v>
      </c>
      <c r="F1171" s="19" t="s">
        <v>228</v>
      </c>
      <c r="G1171" s="19" t="n">
        <v>139</v>
      </c>
      <c r="H1171" s="19" t="s">
        <v>229</v>
      </c>
      <c r="I1171" s="20" t="n">
        <v>115.813</v>
      </c>
      <c r="J1171" s="19" t="n">
        <f aca="false">IF(I1171="","",MIN(Overview!$B$8,MAX(1,CEILING(I1171/Overview!$B$7,1))))</f>
        <v>24</v>
      </c>
      <c r="K1171" s="19" t="n">
        <v>1</v>
      </c>
      <c r="L1171" s="19"/>
      <c r="M1171" s="20" t="n">
        <v>4.5</v>
      </c>
      <c r="N1171" s="19"/>
      <c r="O1171" s="19"/>
      <c r="P1171" s="19" t="s">
        <v>1581</v>
      </c>
      <c r="Q1171" s="19" t="s">
        <v>1021</v>
      </c>
      <c r="R1171" s="21" t="n">
        <v>36595</v>
      </c>
      <c r="S1171" s="19" t="s">
        <v>1459</v>
      </c>
      <c r="T1171" s="19" t="s">
        <v>4297</v>
      </c>
      <c r="U1171" s="19" t="str">
        <f aca="false">HYPERLINK("https://macaulaylibrary.org/asset/143859101","Open")</f>
        <v>Open</v>
      </c>
      <c r="V1171" s="19"/>
    </row>
    <row r="1172" customFormat="false" ht="15" hidden="false" customHeight="false" outlineLevel="0" collapsed="false">
      <c r="A1172" s="19" t="s">
        <v>4298</v>
      </c>
      <c r="B1172" s="19" t="s">
        <v>943</v>
      </c>
      <c r="C1172" s="19" t="s">
        <v>944</v>
      </c>
      <c r="D1172" s="19" t="s">
        <v>148</v>
      </c>
      <c r="E1172" s="19" t="s">
        <v>147</v>
      </c>
      <c r="F1172" s="19" t="s">
        <v>228</v>
      </c>
      <c r="G1172" s="19" t="n">
        <v>139</v>
      </c>
      <c r="H1172" s="19" t="s">
        <v>229</v>
      </c>
      <c r="I1172" s="20" t="n">
        <v>46.634</v>
      </c>
      <c r="J1172" s="19" t="n">
        <f aca="false">IF(I1172="","",MIN(Overview!$B$8,MAX(1,CEILING(I1172/Overview!$B$7,1))))</f>
        <v>10</v>
      </c>
      <c r="K1172" s="19" t="n">
        <v>1</v>
      </c>
      <c r="L1172" s="19"/>
      <c r="M1172" s="20" t="n">
        <v>4.5</v>
      </c>
      <c r="N1172" s="19"/>
      <c r="O1172" s="19"/>
      <c r="P1172" s="19" t="s">
        <v>1390</v>
      </c>
      <c r="Q1172" s="19" t="s">
        <v>1021</v>
      </c>
      <c r="R1172" s="21" t="n">
        <v>36596</v>
      </c>
      <c r="S1172" s="19" t="s">
        <v>1137</v>
      </c>
      <c r="T1172" s="19" t="s">
        <v>4299</v>
      </c>
      <c r="U1172" s="19" t="str">
        <f aca="false">HYPERLINK("https://macaulaylibrary.org/asset/144151721","Open")</f>
        <v>Open</v>
      </c>
      <c r="V1172" s="19"/>
    </row>
    <row r="1173" customFormat="false" ht="15" hidden="false" customHeight="false" outlineLevel="0" collapsed="false">
      <c r="A1173" s="19" t="s">
        <v>4300</v>
      </c>
      <c r="B1173" s="19" t="s">
        <v>943</v>
      </c>
      <c r="C1173" s="19" t="s">
        <v>944</v>
      </c>
      <c r="D1173" s="19" t="s">
        <v>148</v>
      </c>
      <c r="E1173" s="19" t="s">
        <v>147</v>
      </c>
      <c r="F1173" s="19" t="s">
        <v>228</v>
      </c>
      <c r="G1173" s="19" t="n">
        <v>139</v>
      </c>
      <c r="H1173" s="19" t="s">
        <v>229</v>
      </c>
      <c r="I1173" s="20" t="n">
        <v>196.037</v>
      </c>
      <c r="J1173" s="19" t="n">
        <f aca="false">IF(I1173="","",MIN(Overview!$B$8,MAX(1,CEILING(I1173/Overview!$B$7,1))))</f>
        <v>40</v>
      </c>
      <c r="K1173" s="19" t="n">
        <v>1</v>
      </c>
      <c r="L1173" s="19"/>
      <c r="M1173" s="20" t="n">
        <v>3.5</v>
      </c>
      <c r="N1173" s="19"/>
      <c r="O1173" s="19"/>
      <c r="P1173" s="19" t="s">
        <v>1105</v>
      </c>
      <c r="Q1173" s="19" t="s">
        <v>1021</v>
      </c>
      <c r="R1173" s="21" t="n">
        <v>36597</v>
      </c>
      <c r="S1173" s="19" t="s">
        <v>1106</v>
      </c>
      <c r="T1173" s="19" t="s">
        <v>4301</v>
      </c>
      <c r="U1173" s="19" t="str">
        <f aca="false">HYPERLINK("https://macaulaylibrary.org/asset/147239181","Open")</f>
        <v>Open</v>
      </c>
      <c r="V1173" s="19"/>
    </row>
    <row r="1174" customFormat="false" ht="15" hidden="false" customHeight="false" outlineLevel="0" collapsed="false">
      <c r="A1174" s="19" t="s">
        <v>4302</v>
      </c>
      <c r="B1174" s="19" t="s">
        <v>943</v>
      </c>
      <c r="C1174" s="19" t="s">
        <v>944</v>
      </c>
      <c r="D1174" s="19" t="s">
        <v>148</v>
      </c>
      <c r="E1174" s="19" t="s">
        <v>147</v>
      </c>
      <c r="F1174" s="19" t="s">
        <v>228</v>
      </c>
      <c r="G1174" s="19" t="n">
        <v>139</v>
      </c>
      <c r="H1174" s="19" t="s">
        <v>229</v>
      </c>
      <c r="I1174" s="20" t="n">
        <v>69.922</v>
      </c>
      <c r="J1174" s="19" t="n">
        <f aca="false">IF(I1174="","",MIN(Overview!$B$8,MAX(1,CEILING(I1174/Overview!$B$7,1))))</f>
        <v>14</v>
      </c>
      <c r="K1174" s="19" t="n">
        <v>1</v>
      </c>
      <c r="L1174" s="19"/>
      <c r="M1174" s="20" t="n">
        <v>4.5</v>
      </c>
      <c r="N1174" s="19"/>
      <c r="O1174" s="19"/>
      <c r="P1174" s="19" t="s">
        <v>1080</v>
      </c>
      <c r="Q1174" s="19" t="s">
        <v>1021</v>
      </c>
      <c r="R1174" s="21" t="n">
        <v>36602</v>
      </c>
      <c r="S1174" s="19" t="s">
        <v>1081</v>
      </c>
      <c r="T1174" s="19" t="s">
        <v>4303</v>
      </c>
      <c r="U1174" s="19" t="str">
        <f aca="false">HYPERLINK("https://macaulaylibrary.org/asset/153389591","Open")</f>
        <v>Open</v>
      </c>
      <c r="V1174" s="19"/>
    </row>
    <row r="1175" customFormat="false" ht="15" hidden="false" customHeight="false" outlineLevel="0" collapsed="false">
      <c r="A1175" s="19" t="s">
        <v>4304</v>
      </c>
      <c r="B1175" s="19" t="s">
        <v>943</v>
      </c>
      <c r="C1175" s="19" t="s">
        <v>944</v>
      </c>
      <c r="D1175" s="19" t="s">
        <v>148</v>
      </c>
      <c r="E1175" s="19" t="s">
        <v>147</v>
      </c>
      <c r="F1175" s="19" t="s">
        <v>228</v>
      </c>
      <c r="G1175" s="19" t="n">
        <v>139</v>
      </c>
      <c r="H1175" s="19" t="s">
        <v>229</v>
      </c>
      <c r="I1175" s="20" t="n">
        <v>31.419</v>
      </c>
      <c r="J1175" s="19" t="n">
        <f aca="false">IF(I1175="","",MIN(Overview!$B$8,MAX(1,CEILING(I1175/Overview!$B$7,1))))</f>
        <v>7</v>
      </c>
      <c r="K1175" s="19" t="n">
        <v>1</v>
      </c>
      <c r="L1175" s="19"/>
      <c r="M1175" s="20" t="n">
        <v>3</v>
      </c>
      <c r="N1175" s="19"/>
      <c r="O1175" s="19"/>
      <c r="P1175" s="19" t="s">
        <v>1080</v>
      </c>
      <c r="Q1175" s="19" t="s">
        <v>1021</v>
      </c>
      <c r="R1175" s="21" t="n">
        <v>36602</v>
      </c>
      <c r="S1175" s="19" t="s">
        <v>1081</v>
      </c>
      <c r="T1175" s="19" t="s">
        <v>4305</v>
      </c>
      <c r="U1175" s="19" t="str">
        <f aca="false">HYPERLINK("https://macaulaylibrary.org/asset/153722071","Open")</f>
        <v>Open</v>
      </c>
      <c r="V1175" s="19"/>
    </row>
    <row r="1176" customFormat="false" ht="15" hidden="false" customHeight="false" outlineLevel="0" collapsed="false">
      <c r="A1176" s="19" t="s">
        <v>4306</v>
      </c>
      <c r="B1176" s="19" t="s">
        <v>943</v>
      </c>
      <c r="C1176" s="19" t="s">
        <v>944</v>
      </c>
      <c r="D1176" s="19" t="s">
        <v>148</v>
      </c>
      <c r="E1176" s="19" t="s">
        <v>147</v>
      </c>
      <c r="F1176" s="19" t="s">
        <v>228</v>
      </c>
      <c r="G1176" s="19" t="n">
        <v>139</v>
      </c>
      <c r="H1176" s="19" t="s">
        <v>229</v>
      </c>
      <c r="I1176" s="20" t="n">
        <v>37.294</v>
      </c>
      <c r="J1176" s="19" t="n">
        <f aca="false">IF(I1176="","",MIN(Overview!$B$8,MAX(1,CEILING(I1176/Overview!$B$7,1))))</f>
        <v>8</v>
      </c>
      <c r="K1176" s="19" t="n">
        <v>1</v>
      </c>
      <c r="L1176" s="19"/>
      <c r="M1176" s="20" t="n">
        <v>3</v>
      </c>
      <c r="N1176" s="19"/>
      <c r="O1176" s="19"/>
      <c r="P1176" s="19" t="s">
        <v>1964</v>
      </c>
      <c r="Q1176" s="19" t="s">
        <v>1021</v>
      </c>
      <c r="R1176" s="21" t="n">
        <v>36604</v>
      </c>
      <c r="S1176" s="19" t="s">
        <v>1081</v>
      </c>
      <c r="T1176" s="19" t="s">
        <v>4307</v>
      </c>
      <c r="U1176" s="19" t="str">
        <f aca="false">HYPERLINK("https://macaulaylibrary.org/asset/157036071","Open")</f>
        <v>Open</v>
      </c>
      <c r="V1176" s="19"/>
    </row>
    <row r="1177" customFormat="false" ht="15" hidden="false" customHeight="false" outlineLevel="0" collapsed="false">
      <c r="A1177" s="19" t="s">
        <v>4308</v>
      </c>
      <c r="B1177" s="19" t="s">
        <v>943</v>
      </c>
      <c r="C1177" s="19" t="s">
        <v>944</v>
      </c>
      <c r="D1177" s="19" t="s">
        <v>148</v>
      </c>
      <c r="E1177" s="19" t="s">
        <v>147</v>
      </c>
      <c r="F1177" s="19" t="s">
        <v>228</v>
      </c>
      <c r="G1177" s="19" t="n">
        <v>139</v>
      </c>
      <c r="H1177" s="19" t="s">
        <v>229</v>
      </c>
      <c r="I1177" s="20" t="n">
        <v>66.484</v>
      </c>
      <c r="J1177" s="19" t="n">
        <f aca="false">IF(I1177="","",MIN(Overview!$B$8,MAX(1,CEILING(I1177/Overview!$B$7,1))))</f>
        <v>14</v>
      </c>
      <c r="K1177" s="19" t="n">
        <v>1</v>
      </c>
      <c r="L1177" s="19"/>
      <c r="M1177" s="20" t="n">
        <v>1.5</v>
      </c>
      <c r="N1177" s="19"/>
      <c r="O1177" s="19"/>
      <c r="P1177" s="19" t="s">
        <v>4309</v>
      </c>
      <c r="Q1177" s="19" t="s">
        <v>1408</v>
      </c>
      <c r="R1177" s="21" t="n">
        <v>31808</v>
      </c>
      <c r="S1177" s="19" t="s">
        <v>1009</v>
      </c>
      <c r="T1177" s="19" t="s">
        <v>4310</v>
      </c>
      <c r="U1177" s="19" t="str">
        <f aca="false">HYPERLINK("https://macaulaylibrary.org/asset/306066291","Open")</f>
        <v>Open</v>
      </c>
      <c r="V1177" s="19"/>
    </row>
    <row r="1178" customFormat="false" ht="15" hidden="false" customHeight="false" outlineLevel="0" collapsed="false">
      <c r="A1178" s="19" t="s">
        <v>4311</v>
      </c>
      <c r="B1178" s="19" t="s">
        <v>943</v>
      </c>
      <c r="C1178" s="19" t="s">
        <v>944</v>
      </c>
      <c r="D1178" s="19" t="s">
        <v>148</v>
      </c>
      <c r="E1178" s="19" t="s">
        <v>147</v>
      </c>
      <c r="F1178" s="19" t="s">
        <v>228</v>
      </c>
      <c r="G1178" s="19" t="n">
        <v>139</v>
      </c>
      <c r="H1178" s="19" t="s">
        <v>229</v>
      </c>
      <c r="I1178" s="20" t="n">
        <v>10.653</v>
      </c>
      <c r="J1178" s="19" t="n">
        <f aca="false">IF(I1178="","",MIN(Overview!$B$8,MAX(1,CEILING(I1178/Overview!$B$7,1))))</f>
        <v>3</v>
      </c>
      <c r="K1178" s="19" t="n">
        <v>1</v>
      </c>
      <c r="L1178" s="19"/>
      <c r="M1178" s="20" t="n">
        <v>3.33</v>
      </c>
      <c r="N1178" s="19"/>
      <c r="O1178" s="19"/>
      <c r="P1178" s="19" t="s">
        <v>1887</v>
      </c>
      <c r="Q1178" s="19" t="s">
        <v>1888</v>
      </c>
      <c r="R1178" s="21" t="n">
        <v>44643</v>
      </c>
      <c r="S1178" s="19" t="s">
        <v>1889</v>
      </c>
      <c r="T1178" s="19" t="s">
        <v>4312</v>
      </c>
      <c r="U1178" s="19" t="str">
        <f aca="false">HYPERLINK("https://macaulaylibrary.org/asset/462750941","Open")</f>
        <v>Open</v>
      </c>
      <c r="V1178" s="19"/>
    </row>
    <row r="1179" customFormat="false" ht="15" hidden="false" customHeight="false" outlineLevel="0" collapsed="false">
      <c r="A1179" s="19" t="s">
        <v>4313</v>
      </c>
      <c r="B1179" s="19" t="s">
        <v>943</v>
      </c>
      <c r="C1179" s="19" t="s">
        <v>944</v>
      </c>
      <c r="D1179" s="19" t="s">
        <v>148</v>
      </c>
      <c r="E1179" s="19" t="s">
        <v>147</v>
      </c>
      <c r="F1179" s="19" t="s">
        <v>228</v>
      </c>
      <c r="G1179" s="19" t="n">
        <v>139</v>
      </c>
      <c r="H1179" s="19" t="s">
        <v>229</v>
      </c>
      <c r="I1179" s="20" t="n">
        <v>183.253</v>
      </c>
      <c r="J1179" s="19" t="n">
        <f aca="false">IF(I1179="","",MIN(Overview!$B$8,MAX(1,CEILING(I1179/Overview!$B$7,1))))</f>
        <v>37</v>
      </c>
      <c r="K1179" s="19" t="n">
        <v>1</v>
      </c>
      <c r="L1179" s="19"/>
      <c r="M1179" s="20" t="n">
        <v>1.4</v>
      </c>
      <c r="N1179" s="19"/>
      <c r="O1179" s="19" t="s">
        <v>4314</v>
      </c>
      <c r="P1179" s="19" t="s">
        <v>1601</v>
      </c>
      <c r="Q1179" s="19" t="s">
        <v>1071</v>
      </c>
      <c r="R1179" s="21" t="n">
        <v>32942</v>
      </c>
      <c r="S1179" s="19" t="s">
        <v>1031</v>
      </c>
      <c r="T1179" s="19" t="s">
        <v>4315</v>
      </c>
      <c r="U1179" s="19" t="str">
        <f aca="false">HYPERLINK("https://macaulaylibrary.org/asset/51739","Open")</f>
        <v>Open</v>
      </c>
      <c r="V1179" s="19"/>
    </row>
    <row r="1180" customFormat="false" ht="15" hidden="false" customHeight="false" outlineLevel="0" collapsed="false">
      <c r="A1180" s="19" t="s">
        <v>4316</v>
      </c>
      <c r="B1180" s="19" t="s">
        <v>943</v>
      </c>
      <c r="C1180" s="19" t="s">
        <v>944</v>
      </c>
      <c r="D1180" s="19" t="s">
        <v>148</v>
      </c>
      <c r="E1180" s="19" t="s">
        <v>147</v>
      </c>
      <c r="F1180" s="19" t="s">
        <v>228</v>
      </c>
      <c r="G1180" s="19" t="n">
        <v>139</v>
      </c>
      <c r="H1180" s="19" t="s">
        <v>229</v>
      </c>
      <c r="I1180" s="20" t="n">
        <v>57.296</v>
      </c>
      <c r="J1180" s="19" t="n">
        <f aca="false">IF(I1180="","",MIN(Overview!$B$8,MAX(1,CEILING(I1180/Overview!$B$7,1))))</f>
        <v>12</v>
      </c>
      <c r="K1180" s="19" t="n">
        <v>1</v>
      </c>
      <c r="L1180" s="19"/>
      <c r="M1180" s="20" t="n">
        <v>2</v>
      </c>
      <c r="N1180" s="19"/>
      <c r="O1180" s="19"/>
      <c r="P1180" s="19" t="s">
        <v>1039</v>
      </c>
      <c r="Q1180" s="19" t="s">
        <v>1040</v>
      </c>
      <c r="R1180" s="21" t="n">
        <v>40901</v>
      </c>
      <c r="S1180" s="19" t="s">
        <v>1002</v>
      </c>
      <c r="T1180" s="19" t="s">
        <v>4317</v>
      </c>
      <c r="U1180" s="19" t="str">
        <f aca="false">HYPERLINK("https://macaulaylibrary.org/asset/609056542","Open")</f>
        <v>Open</v>
      </c>
      <c r="V1180" s="19"/>
    </row>
    <row r="1181" customFormat="false" ht="15" hidden="false" customHeight="false" outlineLevel="0" collapsed="false">
      <c r="A1181" s="19" t="s">
        <v>4318</v>
      </c>
      <c r="B1181" s="19" t="s">
        <v>943</v>
      </c>
      <c r="C1181" s="19" t="s">
        <v>944</v>
      </c>
      <c r="D1181" s="19" t="s">
        <v>148</v>
      </c>
      <c r="E1181" s="19" t="s">
        <v>147</v>
      </c>
      <c r="F1181" s="19" t="s">
        <v>228</v>
      </c>
      <c r="G1181" s="19" t="n">
        <v>139</v>
      </c>
      <c r="H1181" s="19" t="s">
        <v>229</v>
      </c>
      <c r="I1181" s="20" t="n">
        <v>8</v>
      </c>
      <c r="J1181" s="19" t="n">
        <f aca="false">IF(I1181="","",MIN(Overview!$B$8,MAX(1,CEILING(I1181/Overview!$B$7,1))))</f>
        <v>2</v>
      </c>
      <c r="K1181" s="19" t="n">
        <v>1</v>
      </c>
      <c r="L1181" s="19"/>
      <c r="M1181" s="20" t="n">
        <v>3</v>
      </c>
      <c r="N1181" s="19"/>
      <c r="O1181" s="19"/>
      <c r="P1181" s="19" t="s">
        <v>1477</v>
      </c>
      <c r="Q1181" s="19" t="s">
        <v>1478</v>
      </c>
      <c r="R1181" s="21" t="n">
        <v>45715</v>
      </c>
      <c r="S1181" s="19" t="s">
        <v>1479</v>
      </c>
      <c r="T1181" s="19" t="s">
        <v>4319</v>
      </c>
      <c r="U1181" s="19" t="str">
        <f aca="false">HYPERLINK("https://macaulaylibrary.org/asset/632692671","Open")</f>
        <v>Open</v>
      </c>
      <c r="V1181" s="19"/>
    </row>
    <row r="1182" customFormat="false" ht="15" hidden="false" customHeight="false" outlineLevel="0" collapsed="false">
      <c r="A1182" s="19" t="s">
        <v>4320</v>
      </c>
      <c r="B1182" s="19" t="s">
        <v>943</v>
      </c>
      <c r="C1182" s="19" t="s">
        <v>944</v>
      </c>
      <c r="D1182" s="19" t="s">
        <v>148</v>
      </c>
      <c r="E1182" s="19" t="s">
        <v>147</v>
      </c>
      <c r="F1182" s="19" t="s">
        <v>228</v>
      </c>
      <c r="G1182" s="19" t="n">
        <v>139</v>
      </c>
      <c r="H1182" s="19" t="s">
        <v>229</v>
      </c>
      <c r="I1182" s="20" t="n">
        <v>118.427</v>
      </c>
      <c r="J1182" s="19" t="n">
        <f aca="false">IF(I1182="","",MIN(Overview!$B$8,MAX(1,CEILING(I1182/Overview!$B$7,1))))</f>
        <v>24</v>
      </c>
      <c r="K1182" s="19" t="n">
        <v>1</v>
      </c>
      <c r="L1182" s="19"/>
      <c r="M1182" s="20" t="n">
        <v>2</v>
      </c>
      <c r="N1182" s="19"/>
      <c r="O1182" s="19"/>
      <c r="P1182" s="19" t="s">
        <v>1217</v>
      </c>
      <c r="Q1182" s="19" t="s">
        <v>1218</v>
      </c>
      <c r="R1182" s="21" t="n">
        <v>33330</v>
      </c>
      <c r="S1182" s="19" t="s">
        <v>1081</v>
      </c>
      <c r="T1182" s="19" t="s">
        <v>4321</v>
      </c>
      <c r="U1182" s="19" t="str">
        <f aca="false">HYPERLINK("https://macaulaylibrary.org/asset/76616","Open")</f>
        <v>Open</v>
      </c>
      <c r="V1182" s="19"/>
    </row>
    <row r="1183" customFormat="false" ht="15" hidden="false" customHeight="false" outlineLevel="0" collapsed="false">
      <c r="A1183" s="19" t="s">
        <v>4322</v>
      </c>
      <c r="B1183" s="19" t="s">
        <v>943</v>
      </c>
      <c r="C1183" s="19" t="s">
        <v>944</v>
      </c>
      <c r="D1183" s="19" t="s">
        <v>148</v>
      </c>
      <c r="E1183" s="19" t="s">
        <v>147</v>
      </c>
      <c r="F1183" s="19" t="s">
        <v>228</v>
      </c>
      <c r="G1183" s="19" t="n">
        <v>139</v>
      </c>
      <c r="H1183" s="19" t="s">
        <v>229</v>
      </c>
      <c r="I1183" s="20" t="n">
        <v>34.899</v>
      </c>
      <c r="J1183" s="19" t="n">
        <f aca="false">IF(I1183="","",MIN(Overview!$B$8,MAX(1,CEILING(I1183/Overview!$B$7,1))))</f>
        <v>7</v>
      </c>
      <c r="K1183" s="19" t="n">
        <v>1</v>
      </c>
      <c r="L1183" s="19"/>
      <c r="M1183" s="20" t="n">
        <v>3</v>
      </c>
      <c r="N1183" s="19"/>
      <c r="O1183" s="19"/>
      <c r="P1183" s="19" t="s">
        <v>1217</v>
      </c>
      <c r="Q1183" s="19" t="s">
        <v>1218</v>
      </c>
      <c r="R1183" s="21" t="n">
        <v>33330</v>
      </c>
      <c r="S1183" s="19" t="s">
        <v>3598</v>
      </c>
      <c r="T1183" s="19" t="s">
        <v>4323</v>
      </c>
      <c r="U1183" s="19" t="str">
        <f aca="false">HYPERLINK("https://macaulaylibrary.org/asset/76617","Open")</f>
        <v>Open</v>
      </c>
      <c r="V1183" s="19"/>
    </row>
    <row r="1184" customFormat="false" ht="15" hidden="false" customHeight="false" outlineLevel="0" collapsed="false">
      <c r="A1184" s="19" t="s">
        <v>4324</v>
      </c>
      <c r="B1184" s="19" t="s">
        <v>943</v>
      </c>
      <c r="C1184" s="19" t="s">
        <v>944</v>
      </c>
      <c r="D1184" s="19" t="s">
        <v>148</v>
      </c>
      <c r="E1184" s="19" t="s">
        <v>147</v>
      </c>
      <c r="F1184" s="19" t="s">
        <v>228</v>
      </c>
      <c r="G1184" s="19" t="n">
        <v>139</v>
      </c>
      <c r="H1184" s="19" t="s">
        <v>229</v>
      </c>
      <c r="I1184" s="20" t="n">
        <v>126.841</v>
      </c>
      <c r="J1184" s="19" t="n">
        <f aca="false">IF(I1184="","",MIN(Overview!$B$8,MAX(1,CEILING(I1184/Overview!$B$7,1))))</f>
        <v>26</v>
      </c>
      <c r="K1184" s="19" t="n">
        <v>1</v>
      </c>
      <c r="L1184" s="19"/>
      <c r="M1184" s="20" t="n">
        <v>3</v>
      </c>
      <c r="N1184" s="19"/>
      <c r="O1184" s="19"/>
      <c r="P1184" s="19" t="s">
        <v>1217</v>
      </c>
      <c r="Q1184" s="19" t="s">
        <v>1218</v>
      </c>
      <c r="R1184" s="21" t="n">
        <v>33330</v>
      </c>
      <c r="S1184" s="19" t="s">
        <v>2566</v>
      </c>
      <c r="T1184" s="19" t="s">
        <v>4325</v>
      </c>
      <c r="U1184" s="19" t="str">
        <f aca="false">HYPERLINK("https://macaulaylibrary.org/asset/76619","Open")</f>
        <v>Open</v>
      </c>
      <c r="V1184" s="19"/>
    </row>
    <row r="1185" customFormat="false" ht="15" hidden="false" customHeight="false" outlineLevel="0" collapsed="false">
      <c r="A1185" s="19" t="s">
        <v>4326</v>
      </c>
      <c r="B1185" s="19" t="s">
        <v>943</v>
      </c>
      <c r="C1185" s="19" t="s">
        <v>944</v>
      </c>
      <c r="D1185" s="19" t="s">
        <v>148</v>
      </c>
      <c r="E1185" s="19" t="s">
        <v>147</v>
      </c>
      <c r="F1185" s="19" t="s">
        <v>228</v>
      </c>
      <c r="G1185" s="19" t="n">
        <v>139</v>
      </c>
      <c r="H1185" s="19" t="s">
        <v>229</v>
      </c>
      <c r="I1185" s="20" t="n">
        <v>17.067</v>
      </c>
      <c r="J1185" s="19" t="n">
        <f aca="false">IF(I1185="","",MIN(Overview!$B$8,MAX(1,CEILING(I1185/Overview!$B$7,1))))</f>
        <v>4</v>
      </c>
      <c r="K1185" s="19" t="n">
        <v>1</v>
      </c>
      <c r="L1185" s="19"/>
      <c r="M1185" s="20" t="n">
        <v>2.5</v>
      </c>
      <c r="N1185" s="19"/>
      <c r="O1185" s="19"/>
      <c r="P1185" s="19" t="s">
        <v>1871</v>
      </c>
      <c r="Q1185" s="19" t="s">
        <v>1847</v>
      </c>
      <c r="R1185" s="21" t="n">
        <v>43161</v>
      </c>
      <c r="S1185" s="19" t="s">
        <v>1872</v>
      </c>
      <c r="T1185" s="19" t="s">
        <v>4327</v>
      </c>
      <c r="U1185" s="19" t="str">
        <f aca="false">HYPERLINK("https://macaulaylibrary.org/asset/89665181","Open")</f>
        <v>Open</v>
      </c>
      <c r="V1185" s="19"/>
    </row>
    <row r="1186" customFormat="false" ht="15" hidden="false" customHeight="false" outlineLevel="0" collapsed="false">
      <c r="A1186" s="19" t="s">
        <v>4328</v>
      </c>
      <c r="B1186" s="19" t="s">
        <v>943</v>
      </c>
      <c r="C1186" s="19" t="s">
        <v>944</v>
      </c>
      <c r="D1186" s="19" t="s">
        <v>148</v>
      </c>
      <c r="E1186" s="19" t="s">
        <v>147</v>
      </c>
      <c r="F1186" s="19" t="s">
        <v>228</v>
      </c>
      <c r="G1186" s="19" t="n">
        <v>139</v>
      </c>
      <c r="H1186" s="19" t="s">
        <v>229</v>
      </c>
      <c r="I1186" s="20" t="n">
        <v>34.62</v>
      </c>
      <c r="J1186" s="19" t="n">
        <f aca="false">IF(I1186="","",MIN(Overview!$B$8,MAX(1,CEILING(I1186/Overview!$B$7,1))))</f>
        <v>7</v>
      </c>
      <c r="K1186" s="19" t="n">
        <v>1</v>
      </c>
      <c r="L1186" s="19"/>
      <c r="M1186" s="20" t="n">
        <v>3</v>
      </c>
      <c r="N1186" s="19"/>
      <c r="O1186" s="19"/>
      <c r="P1186" s="19" t="s">
        <v>4329</v>
      </c>
      <c r="Q1186" s="19" t="s">
        <v>4178</v>
      </c>
      <c r="R1186" s="21" t="n">
        <v>43185</v>
      </c>
      <c r="S1186" s="19" t="s">
        <v>4330</v>
      </c>
      <c r="T1186" s="19" t="s">
        <v>4331</v>
      </c>
      <c r="U1186" s="19" t="str">
        <f aca="false">HYPERLINK("https://macaulaylibrary.org/asset/92294651","Open")</f>
        <v>Open</v>
      </c>
      <c r="V1186" s="19"/>
    </row>
    <row r="1187" customFormat="false" ht="15" hidden="false" customHeight="false" outlineLevel="0" collapsed="false">
      <c r="A1187" s="19" t="s">
        <v>4332</v>
      </c>
      <c r="B1187" s="19" t="s">
        <v>943</v>
      </c>
      <c r="C1187" s="19" t="s">
        <v>944</v>
      </c>
      <c r="D1187" s="19" t="s">
        <v>148</v>
      </c>
      <c r="E1187" s="19" t="s">
        <v>147</v>
      </c>
      <c r="F1187" s="19" t="s">
        <v>228</v>
      </c>
      <c r="G1187" s="19" t="n">
        <v>139</v>
      </c>
      <c r="H1187" s="19" t="s">
        <v>229</v>
      </c>
      <c r="I1187" s="20" t="n">
        <v>82.427</v>
      </c>
      <c r="J1187" s="19" t="n">
        <f aca="false">IF(I1187="","",MIN(Overview!$B$8,MAX(1,CEILING(I1187/Overview!$B$7,1))))</f>
        <v>17</v>
      </c>
      <c r="K1187" s="19" t="n">
        <v>1</v>
      </c>
      <c r="L1187" s="19"/>
      <c r="M1187" s="20" t="n">
        <v>3</v>
      </c>
      <c r="N1187" s="19"/>
      <c r="O1187" s="19"/>
      <c r="P1187" s="19" t="s">
        <v>1742</v>
      </c>
      <c r="Q1187" s="19" t="s">
        <v>1021</v>
      </c>
      <c r="R1187" s="21" t="n">
        <v>35860</v>
      </c>
      <c r="S1187" s="19" t="s">
        <v>1743</v>
      </c>
      <c r="T1187" s="19" t="s">
        <v>4333</v>
      </c>
      <c r="U1187" s="19" t="str">
        <f aca="false">HYPERLINK("https://macaulaylibrary.org/asset/97878621","Open")</f>
        <v>Open</v>
      </c>
      <c r="V1187" s="19"/>
    </row>
    <row r="1188" customFormat="false" ht="15" hidden="false" customHeight="false" outlineLevel="0" collapsed="false">
      <c r="A1188" s="19" t="s">
        <v>4334</v>
      </c>
      <c r="B1188" s="19" t="s">
        <v>943</v>
      </c>
      <c r="C1188" s="19" t="s">
        <v>944</v>
      </c>
      <c r="D1188" s="19" t="s">
        <v>148</v>
      </c>
      <c r="E1188" s="19" t="s">
        <v>147</v>
      </c>
      <c r="F1188" s="19" t="s">
        <v>169</v>
      </c>
      <c r="G1188" s="19" t="n">
        <v>141</v>
      </c>
      <c r="H1188" s="19" t="s">
        <v>170</v>
      </c>
      <c r="I1188" s="20" t="n">
        <v>26.001</v>
      </c>
      <c r="J1188" s="19" t="n">
        <f aca="false">IF(I1188="","",MIN(Overview!$B$8,MAX(1,CEILING(I1188/Overview!$B$7,1))))</f>
        <v>6</v>
      </c>
      <c r="K1188" s="19" t="n">
        <v>1</v>
      </c>
      <c r="L1188" s="19"/>
      <c r="M1188" s="20" t="n">
        <v>2.5</v>
      </c>
      <c r="N1188" s="19"/>
      <c r="O1188" s="19"/>
      <c r="P1188" s="19" t="s">
        <v>2165</v>
      </c>
      <c r="Q1188" s="19" t="s">
        <v>1021</v>
      </c>
      <c r="R1188" s="21" t="n">
        <v>36598</v>
      </c>
      <c r="S1188" s="19" t="s">
        <v>1106</v>
      </c>
      <c r="T1188" s="19" t="s">
        <v>4335</v>
      </c>
      <c r="U1188" s="19" t="str">
        <f aca="false">HYPERLINK("https://macaulaylibrary.org/asset/148041911","Open")</f>
        <v>Open</v>
      </c>
      <c r="V1188" s="19"/>
    </row>
    <row r="1189" customFormat="false" ht="15" hidden="false" customHeight="false" outlineLevel="0" collapsed="false">
      <c r="A1189" s="19" t="s">
        <v>4336</v>
      </c>
      <c r="B1189" s="19" t="s">
        <v>943</v>
      </c>
      <c r="C1189" s="19" t="s">
        <v>944</v>
      </c>
      <c r="D1189" s="19" t="s">
        <v>148</v>
      </c>
      <c r="E1189" s="19" t="s">
        <v>147</v>
      </c>
      <c r="F1189" s="19" t="s">
        <v>169</v>
      </c>
      <c r="G1189" s="19" t="n">
        <v>141</v>
      </c>
      <c r="H1189" s="19" t="s">
        <v>170</v>
      </c>
      <c r="I1189" s="20" t="n">
        <v>431.309</v>
      </c>
      <c r="J1189" s="19" t="n">
        <f aca="false">IF(I1189="","",MIN(Overview!$B$8,MAX(1,CEILING(I1189/Overview!$B$7,1))))</f>
        <v>87</v>
      </c>
      <c r="K1189" s="19" t="n">
        <v>1</v>
      </c>
      <c r="L1189" s="19"/>
      <c r="M1189" s="20" t="n">
        <v>2</v>
      </c>
      <c r="N1189" s="19"/>
      <c r="O1189" s="19"/>
      <c r="P1189" s="19" t="s">
        <v>2177</v>
      </c>
      <c r="Q1189" s="19" t="s">
        <v>980</v>
      </c>
      <c r="R1189" s="21" t="n">
        <v>32554</v>
      </c>
      <c r="S1189" s="19" t="s">
        <v>4337</v>
      </c>
      <c r="T1189" s="19" t="s">
        <v>4338</v>
      </c>
      <c r="U1189" s="19" t="str">
        <f aca="false">HYPERLINK("https://macaulaylibrary.org/asset/215339","Open")</f>
        <v>Open</v>
      </c>
      <c r="V1189" s="19"/>
    </row>
    <row r="1190" customFormat="false" ht="15" hidden="false" customHeight="false" outlineLevel="0" collapsed="false">
      <c r="A1190" s="19" t="s">
        <v>4339</v>
      </c>
      <c r="B1190" s="19" t="s">
        <v>943</v>
      </c>
      <c r="C1190" s="19" t="s">
        <v>944</v>
      </c>
      <c r="D1190" s="19" t="s">
        <v>148</v>
      </c>
      <c r="E1190" s="19" t="s">
        <v>147</v>
      </c>
      <c r="F1190" s="19" t="s">
        <v>169</v>
      </c>
      <c r="G1190" s="19" t="n">
        <v>141</v>
      </c>
      <c r="H1190" s="19" t="s">
        <v>170</v>
      </c>
      <c r="I1190" s="20" t="n">
        <v>145.945</v>
      </c>
      <c r="J1190" s="19" t="n">
        <f aca="false">IF(I1190="","",MIN(Overview!$B$8,MAX(1,CEILING(I1190/Overview!$B$7,1))))</f>
        <v>30</v>
      </c>
      <c r="K1190" s="19" t="n">
        <v>1</v>
      </c>
      <c r="L1190" s="19"/>
      <c r="M1190" s="20" t="n">
        <v>3</v>
      </c>
      <c r="N1190" s="19"/>
      <c r="O1190" s="19"/>
      <c r="P1190" s="19" t="s">
        <v>1125</v>
      </c>
      <c r="Q1190" s="19" t="s">
        <v>980</v>
      </c>
      <c r="R1190" s="21" t="n">
        <v>32557</v>
      </c>
      <c r="S1190" s="19" t="s">
        <v>4340</v>
      </c>
      <c r="T1190" s="19" t="s">
        <v>4341</v>
      </c>
      <c r="U1190" s="19" t="str">
        <f aca="false">HYPERLINK("https://macaulaylibrary.org/asset/215393","Open")</f>
        <v>Open</v>
      </c>
      <c r="V1190" s="19"/>
    </row>
    <row r="1191" customFormat="false" ht="15" hidden="false" customHeight="false" outlineLevel="0" collapsed="false">
      <c r="A1191" s="19" t="s">
        <v>4342</v>
      </c>
      <c r="B1191" s="19" t="s">
        <v>943</v>
      </c>
      <c r="C1191" s="19" t="s">
        <v>944</v>
      </c>
      <c r="D1191" s="19" t="s">
        <v>148</v>
      </c>
      <c r="E1191" s="19" t="s">
        <v>147</v>
      </c>
      <c r="F1191" s="19" t="s">
        <v>169</v>
      </c>
      <c r="G1191" s="19" t="n">
        <v>141</v>
      </c>
      <c r="H1191" s="19" t="s">
        <v>170</v>
      </c>
      <c r="I1191" s="20" t="n">
        <v>19.477</v>
      </c>
      <c r="J1191" s="19" t="n">
        <f aca="false">IF(I1191="","",MIN(Overview!$B$8,MAX(1,CEILING(I1191/Overview!$B$7,1))))</f>
        <v>4</v>
      </c>
      <c r="K1191" s="19" t="n">
        <v>1</v>
      </c>
      <c r="L1191" s="19"/>
      <c r="M1191" s="20" t="n">
        <v>2.33</v>
      </c>
      <c r="N1191" s="19"/>
      <c r="O1191" s="19"/>
      <c r="P1191" s="19" t="s">
        <v>4343</v>
      </c>
      <c r="Q1191" s="19" t="s">
        <v>1148</v>
      </c>
      <c r="R1191" s="21" t="n">
        <v>44034</v>
      </c>
      <c r="S1191" s="19" t="s">
        <v>1986</v>
      </c>
      <c r="T1191" s="19" t="s">
        <v>4344</v>
      </c>
      <c r="U1191" s="19" t="str">
        <f aca="false">HYPERLINK("https://macaulaylibrary.org/asset/252739561","Open")</f>
        <v>Open</v>
      </c>
      <c r="V1191" s="19"/>
    </row>
    <row r="1192" customFormat="false" ht="15" hidden="false" customHeight="false" outlineLevel="0" collapsed="false">
      <c r="A1192" s="19" t="s">
        <v>4345</v>
      </c>
      <c r="B1192" s="19" t="s">
        <v>943</v>
      </c>
      <c r="C1192" s="19" t="s">
        <v>944</v>
      </c>
      <c r="D1192" s="19" t="s">
        <v>148</v>
      </c>
      <c r="E1192" s="19" t="s">
        <v>147</v>
      </c>
      <c r="F1192" s="19" t="s">
        <v>169</v>
      </c>
      <c r="G1192" s="19" t="n">
        <v>141</v>
      </c>
      <c r="H1192" s="19" t="s">
        <v>170</v>
      </c>
      <c r="I1192" s="20" t="n">
        <v>27.493</v>
      </c>
      <c r="J1192" s="19" t="n">
        <f aca="false">IF(I1192="","",MIN(Overview!$B$8,MAX(1,CEILING(I1192/Overview!$B$7,1))))</f>
        <v>6</v>
      </c>
      <c r="K1192" s="19" t="n">
        <v>1</v>
      </c>
      <c r="L1192" s="19"/>
      <c r="M1192" s="20" t="n">
        <v>5</v>
      </c>
      <c r="N1192" s="19"/>
      <c r="O1192" s="19"/>
      <c r="P1192" s="19" t="s">
        <v>1140</v>
      </c>
      <c r="Q1192" s="19" t="s">
        <v>1030</v>
      </c>
      <c r="R1192" s="21" t="n">
        <v>40250</v>
      </c>
      <c r="S1192" s="19" t="s">
        <v>4346</v>
      </c>
      <c r="T1192" s="19" t="s">
        <v>4347</v>
      </c>
      <c r="U1192" s="19" t="str">
        <f aca="false">HYPERLINK("https://macaulaylibrary.org/asset/299578","Open")</f>
        <v>Open</v>
      </c>
      <c r="V1192" s="19"/>
    </row>
    <row r="1193" customFormat="false" ht="15" hidden="false" customHeight="false" outlineLevel="0" collapsed="false">
      <c r="A1193" s="19" t="s">
        <v>4348</v>
      </c>
      <c r="B1193" s="19" t="s">
        <v>943</v>
      </c>
      <c r="C1193" s="19" t="s">
        <v>944</v>
      </c>
      <c r="D1193" s="19" t="s">
        <v>148</v>
      </c>
      <c r="E1193" s="19" t="s">
        <v>147</v>
      </c>
      <c r="F1193" s="19" t="s">
        <v>169</v>
      </c>
      <c r="G1193" s="19" t="n">
        <v>141</v>
      </c>
      <c r="H1193" s="19" t="s">
        <v>170</v>
      </c>
      <c r="I1193" s="20" t="n">
        <v>28.074</v>
      </c>
      <c r="J1193" s="19" t="n">
        <f aca="false">IF(I1193="","",MIN(Overview!$B$8,MAX(1,CEILING(I1193/Overview!$B$7,1))))</f>
        <v>6</v>
      </c>
      <c r="K1193" s="19" t="n">
        <v>1</v>
      </c>
      <c r="L1193" s="19"/>
      <c r="M1193" s="20" t="n">
        <v>4.67</v>
      </c>
      <c r="N1193" s="19"/>
      <c r="O1193" s="19"/>
      <c r="P1193" s="19" t="s">
        <v>1140</v>
      </c>
      <c r="Q1193" s="19" t="s">
        <v>1030</v>
      </c>
      <c r="R1193" s="21" t="n">
        <v>40250</v>
      </c>
      <c r="S1193" s="19" t="s">
        <v>1737</v>
      </c>
      <c r="T1193" s="19" t="s">
        <v>4349</v>
      </c>
      <c r="U1193" s="19" t="str">
        <f aca="false">HYPERLINK("https://macaulaylibrary.org/asset/299600","Open")</f>
        <v>Open</v>
      </c>
      <c r="V1193" s="19"/>
    </row>
    <row r="1194" customFormat="false" ht="15" hidden="false" customHeight="false" outlineLevel="0" collapsed="false">
      <c r="A1194" s="19" t="s">
        <v>4350</v>
      </c>
      <c r="B1194" s="19" t="s">
        <v>943</v>
      </c>
      <c r="C1194" s="19" t="s">
        <v>944</v>
      </c>
      <c r="D1194" s="19" t="s">
        <v>148</v>
      </c>
      <c r="E1194" s="19" t="s">
        <v>147</v>
      </c>
      <c r="F1194" s="19" t="s">
        <v>169</v>
      </c>
      <c r="G1194" s="19" t="n">
        <v>141</v>
      </c>
      <c r="H1194" s="19" t="s">
        <v>170</v>
      </c>
      <c r="I1194" s="20" t="n">
        <v>20.8</v>
      </c>
      <c r="J1194" s="19" t="n">
        <f aca="false">IF(I1194="","",MIN(Overview!$B$8,MAX(1,CEILING(I1194/Overview!$B$7,1))))</f>
        <v>5</v>
      </c>
      <c r="K1194" s="19" t="n">
        <v>1</v>
      </c>
      <c r="L1194" s="19"/>
      <c r="M1194" s="20" t="n">
        <v>4</v>
      </c>
      <c r="N1194" s="19"/>
      <c r="O1194" s="19"/>
      <c r="P1194" s="19" t="s">
        <v>4351</v>
      </c>
      <c r="Q1194" s="19" t="s">
        <v>4352</v>
      </c>
      <c r="R1194" s="21" t="n">
        <v>43431</v>
      </c>
      <c r="S1194" s="19" t="s">
        <v>2516</v>
      </c>
      <c r="T1194" s="19" t="s">
        <v>4353</v>
      </c>
      <c r="U1194" s="19" t="str">
        <f aca="false">HYPERLINK("https://macaulaylibrary.org/asset/315004171","Open")</f>
        <v>Open</v>
      </c>
      <c r="V1194" s="19"/>
    </row>
    <row r="1195" customFormat="false" ht="15" hidden="false" customHeight="false" outlineLevel="0" collapsed="false">
      <c r="A1195" s="19" t="s">
        <v>4354</v>
      </c>
      <c r="B1195" s="19" t="s">
        <v>943</v>
      </c>
      <c r="C1195" s="19" t="s">
        <v>944</v>
      </c>
      <c r="D1195" s="19" t="s">
        <v>148</v>
      </c>
      <c r="E1195" s="19" t="s">
        <v>147</v>
      </c>
      <c r="F1195" s="19" t="s">
        <v>169</v>
      </c>
      <c r="G1195" s="19" t="n">
        <v>141</v>
      </c>
      <c r="H1195" s="19" t="s">
        <v>170</v>
      </c>
      <c r="I1195" s="20" t="n">
        <v>17.972</v>
      </c>
      <c r="J1195" s="19" t="n">
        <f aca="false">IF(I1195="","",MIN(Overview!$B$8,MAX(1,CEILING(I1195/Overview!$B$7,1))))</f>
        <v>4</v>
      </c>
      <c r="K1195" s="19" t="n">
        <v>1</v>
      </c>
      <c r="L1195" s="19"/>
      <c r="M1195" s="20" t="n">
        <v>2.67</v>
      </c>
      <c r="N1195" s="19"/>
      <c r="O1195" s="19"/>
      <c r="P1195" s="19" t="s">
        <v>1034</v>
      </c>
      <c r="Q1195" s="19" t="s">
        <v>1035</v>
      </c>
      <c r="R1195" s="21" t="n">
        <v>43665</v>
      </c>
      <c r="S1195" s="19" t="s">
        <v>1036</v>
      </c>
      <c r="T1195" s="19" t="s">
        <v>4355</v>
      </c>
      <c r="U1195" s="19" t="str">
        <f aca="false">HYPERLINK("https://macaulaylibrary.org/asset/498004981","Open")</f>
        <v>Open</v>
      </c>
      <c r="V1195" s="19"/>
    </row>
    <row r="1196" customFormat="false" ht="15" hidden="false" customHeight="false" outlineLevel="0" collapsed="false">
      <c r="A1196" s="19" t="s">
        <v>4356</v>
      </c>
      <c r="B1196" s="19" t="s">
        <v>943</v>
      </c>
      <c r="C1196" s="19" t="s">
        <v>944</v>
      </c>
      <c r="D1196" s="19" t="s">
        <v>148</v>
      </c>
      <c r="E1196" s="19" t="s">
        <v>147</v>
      </c>
      <c r="F1196" s="19" t="s">
        <v>169</v>
      </c>
      <c r="G1196" s="19" t="n">
        <v>141</v>
      </c>
      <c r="H1196" s="19" t="s">
        <v>170</v>
      </c>
      <c r="I1196" s="20" t="n">
        <v>201.136</v>
      </c>
      <c r="J1196" s="19" t="n">
        <f aca="false">IF(I1196="","",MIN(Overview!$B$8,MAX(1,CEILING(I1196/Overview!$B$7,1))))</f>
        <v>41</v>
      </c>
      <c r="K1196" s="19" t="n">
        <v>1</v>
      </c>
      <c r="L1196" s="19"/>
      <c r="M1196" s="20" t="n">
        <v>3</v>
      </c>
      <c r="N1196" s="19"/>
      <c r="O1196" s="19"/>
      <c r="P1196" s="19" t="s">
        <v>1545</v>
      </c>
      <c r="Q1196" s="19" t="s">
        <v>1071</v>
      </c>
      <c r="R1196" s="21" t="n">
        <v>32821</v>
      </c>
      <c r="S1196" s="19" t="s">
        <v>4357</v>
      </c>
      <c r="T1196" s="19" t="s">
        <v>4358</v>
      </c>
      <c r="U1196" s="19" t="str">
        <f aca="false">HYPERLINK("https://macaulaylibrary.org/asset/51711","Open")</f>
        <v>Open</v>
      </c>
      <c r="V1196" s="19"/>
    </row>
    <row r="1197" customFormat="false" ht="15" hidden="false" customHeight="false" outlineLevel="0" collapsed="false">
      <c r="A1197" s="19" t="s">
        <v>4359</v>
      </c>
      <c r="B1197" s="19" t="s">
        <v>943</v>
      </c>
      <c r="C1197" s="19" t="s">
        <v>944</v>
      </c>
      <c r="D1197" s="19" t="s">
        <v>148</v>
      </c>
      <c r="E1197" s="19" t="s">
        <v>147</v>
      </c>
      <c r="F1197" s="19" t="s">
        <v>169</v>
      </c>
      <c r="G1197" s="19" t="n">
        <v>141</v>
      </c>
      <c r="H1197" s="19" t="s">
        <v>170</v>
      </c>
      <c r="I1197" s="20" t="n">
        <v>13.845</v>
      </c>
      <c r="J1197" s="19" t="n">
        <f aca="false">IF(I1197="","",MIN(Overview!$B$8,MAX(1,CEILING(I1197/Overview!$B$7,1))))</f>
        <v>3</v>
      </c>
      <c r="K1197" s="19" t="n">
        <v>1</v>
      </c>
      <c r="L1197" s="19"/>
      <c r="M1197" s="20" t="n">
        <v>3.5</v>
      </c>
      <c r="N1197" s="19"/>
      <c r="O1197" s="19"/>
      <c r="P1197" s="19" t="s">
        <v>2190</v>
      </c>
      <c r="Q1197" s="19" t="s">
        <v>1204</v>
      </c>
      <c r="R1197" s="21" t="n">
        <v>44612</v>
      </c>
      <c r="S1197" s="19" t="s">
        <v>1969</v>
      </c>
      <c r="T1197" s="19" t="s">
        <v>4360</v>
      </c>
      <c r="U1197" s="19" t="str">
        <f aca="false">HYPERLINK("https://macaulaylibrary.org/asset/531237471","Open")</f>
        <v>Open</v>
      </c>
      <c r="V1197" s="19"/>
    </row>
    <row r="1198" customFormat="false" ht="15" hidden="false" customHeight="false" outlineLevel="0" collapsed="false">
      <c r="A1198" s="19" t="s">
        <v>4361</v>
      </c>
      <c r="B1198" s="19" t="s">
        <v>943</v>
      </c>
      <c r="C1198" s="19" t="s">
        <v>944</v>
      </c>
      <c r="D1198" s="19" t="s">
        <v>148</v>
      </c>
      <c r="E1198" s="19" t="s">
        <v>147</v>
      </c>
      <c r="F1198" s="19" t="s">
        <v>169</v>
      </c>
      <c r="G1198" s="19" t="n">
        <v>141</v>
      </c>
      <c r="H1198" s="19" t="s">
        <v>170</v>
      </c>
      <c r="I1198" s="20" t="n">
        <v>15.089</v>
      </c>
      <c r="J1198" s="19" t="n">
        <f aca="false">IF(I1198="","",MIN(Overview!$B$8,MAX(1,CEILING(I1198/Overview!$B$7,1))))</f>
        <v>4</v>
      </c>
      <c r="K1198" s="19" t="n">
        <v>1</v>
      </c>
      <c r="L1198" s="19"/>
      <c r="M1198" s="20" t="n">
        <v>3</v>
      </c>
      <c r="N1198" s="19"/>
      <c r="O1198" s="19"/>
      <c r="P1198" s="19" t="s">
        <v>1170</v>
      </c>
      <c r="Q1198" s="19" t="s">
        <v>1166</v>
      </c>
      <c r="R1198" s="21" t="n">
        <v>44900</v>
      </c>
      <c r="S1198" s="19" t="s">
        <v>1092</v>
      </c>
      <c r="T1198" s="19" t="s">
        <v>4362</v>
      </c>
      <c r="U1198" s="19" t="str">
        <f aca="false">HYPERLINK("https://macaulaylibrary.org/asset/597933661","Open")</f>
        <v>Open</v>
      </c>
      <c r="V1198" s="19"/>
    </row>
    <row r="1199" customFormat="false" ht="15" hidden="false" customHeight="false" outlineLevel="0" collapsed="false">
      <c r="A1199" s="19" t="s">
        <v>4363</v>
      </c>
      <c r="B1199" s="19" t="s">
        <v>943</v>
      </c>
      <c r="C1199" s="19" t="s">
        <v>944</v>
      </c>
      <c r="D1199" s="19" t="s">
        <v>148</v>
      </c>
      <c r="E1199" s="19" t="s">
        <v>147</v>
      </c>
      <c r="F1199" s="19" t="s">
        <v>169</v>
      </c>
      <c r="G1199" s="19" t="n">
        <v>141</v>
      </c>
      <c r="H1199" s="19" t="s">
        <v>170</v>
      </c>
      <c r="I1199" s="20" t="n">
        <v>13.811</v>
      </c>
      <c r="J1199" s="19" t="n">
        <f aca="false">IF(I1199="","",MIN(Overview!$B$8,MAX(1,CEILING(I1199/Overview!$B$7,1))))</f>
        <v>3</v>
      </c>
      <c r="K1199" s="19" t="n">
        <v>1</v>
      </c>
      <c r="L1199" s="19"/>
      <c r="M1199" s="20" t="n">
        <v>2</v>
      </c>
      <c r="N1199" s="19"/>
      <c r="O1199" s="19"/>
      <c r="P1199" s="19" t="s">
        <v>1177</v>
      </c>
      <c r="Q1199" s="19" t="s">
        <v>1166</v>
      </c>
      <c r="R1199" s="21" t="n">
        <v>44902</v>
      </c>
      <c r="S1199" s="19" t="s">
        <v>1051</v>
      </c>
      <c r="T1199" s="19" t="s">
        <v>4364</v>
      </c>
      <c r="U1199" s="19" t="str">
        <f aca="false">HYPERLINK("https://macaulaylibrary.org/asset/599674191","Open")</f>
        <v>Open</v>
      </c>
      <c r="V1199" s="19"/>
    </row>
    <row r="1200" customFormat="false" ht="15" hidden="false" customHeight="false" outlineLevel="0" collapsed="false">
      <c r="A1200" s="19" t="s">
        <v>4365</v>
      </c>
      <c r="B1200" s="19" t="s">
        <v>943</v>
      </c>
      <c r="C1200" s="19" t="s">
        <v>944</v>
      </c>
      <c r="D1200" s="19" t="s">
        <v>148</v>
      </c>
      <c r="E1200" s="19" t="s">
        <v>147</v>
      </c>
      <c r="F1200" s="19" t="s">
        <v>169</v>
      </c>
      <c r="G1200" s="19" t="n">
        <v>141</v>
      </c>
      <c r="H1200" s="19" t="s">
        <v>170</v>
      </c>
      <c r="I1200" s="20" t="n">
        <v>13.237</v>
      </c>
      <c r="J1200" s="19" t="n">
        <f aca="false">IF(I1200="","",MIN(Overview!$B$8,MAX(1,CEILING(I1200/Overview!$B$7,1))))</f>
        <v>3</v>
      </c>
      <c r="K1200" s="19" t="n">
        <v>1</v>
      </c>
      <c r="L1200" s="19"/>
      <c r="M1200" s="20" t="n">
        <v>3</v>
      </c>
      <c r="N1200" s="19"/>
      <c r="O1200" s="19"/>
      <c r="P1200" s="19" t="s">
        <v>1039</v>
      </c>
      <c r="Q1200" s="19" t="s">
        <v>1040</v>
      </c>
      <c r="R1200" s="21" t="n">
        <v>40901</v>
      </c>
      <c r="S1200" s="19" t="s">
        <v>1002</v>
      </c>
      <c r="T1200" s="19" t="s">
        <v>4366</v>
      </c>
      <c r="U1200" s="19" t="str">
        <f aca="false">HYPERLINK("https://macaulaylibrary.org/asset/609056543","Open")</f>
        <v>Open</v>
      </c>
      <c r="V1200" s="19"/>
    </row>
    <row r="1201" customFormat="false" ht="15" hidden="false" customHeight="false" outlineLevel="0" collapsed="false">
      <c r="A1201" s="19" t="s">
        <v>4367</v>
      </c>
      <c r="B1201" s="19" t="s">
        <v>943</v>
      </c>
      <c r="C1201" s="19" t="s">
        <v>944</v>
      </c>
      <c r="D1201" s="19" t="s">
        <v>148</v>
      </c>
      <c r="E1201" s="19" t="s">
        <v>147</v>
      </c>
      <c r="F1201" s="19" t="s">
        <v>169</v>
      </c>
      <c r="G1201" s="19" t="n">
        <v>141</v>
      </c>
      <c r="H1201" s="19" t="s">
        <v>170</v>
      </c>
      <c r="I1201" s="20" t="n">
        <v>27.102</v>
      </c>
      <c r="J1201" s="19" t="n">
        <f aca="false">IF(I1201="","",MIN(Overview!$B$8,MAX(1,CEILING(I1201/Overview!$B$7,1))))</f>
        <v>6</v>
      </c>
      <c r="K1201" s="19" t="n">
        <v>1</v>
      </c>
      <c r="L1201" s="19"/>
      <c r="M1201" s="20" t="n">
        <v>2</v>
      </c>
      <c r="N1201" s="19"/>
      <c r="O1201" s="19"/>
      <c r="P1201" s="19" t="s">
        <v>1393</v>
      </c>
      <c r="Q1201" s="19" t="s">
        <v>1040</v>
      </c>
      <c r="R1201" s="21" t="n">
        <v>41265</v>
      </c>
      <c r="S1201" s="19" t="s">
        <v>1002</v>
      </c>
      <c r="T1201" s="19" t="s">
        <v>4368</v>
      </c>
      <c r="U1201" s="19" t="str">
        <f aca="false">HYPERLINK("https://macaulaylibrary.org/asset/609059018","Open")</f>
        <v>Open</v>
      </c>
      <c r="V1201" s="19"/>
    </row>
    <row r="1202" customFormat="false" ht="15" hidden="false" customHeight="false" outlineLevel="0" collapsed="false">
      <c r="A1202" s="19" t="s">
        <v>4369</v>
      </c>
      <c r="B1202" s="19" t="s">
        <v>943</v>
      </c>
      <c r="C1202" s="19" t="s">
        <v>944</v>
      </c>
      <c r="D1202" s="19" t="s">
        <v>148</v>
      </c>
      <c r="E1202" s="19" t="s">
        <v>147</v>
      </c>
      <c r="F1202" s="19" t="s">
        <v>169</v>
      </c>
      <c r="G1202" s="19" t="n">
        <v>141</v>
      </c>
      <c r="H1202" s="19" t="s">
        <v>170</v>
      </c>
      <c r="I1202" s="20" t="n">
        <v>14.13</v>
      </c>
      <c r="J1202" s="19" t="n">
        <f aca="false">IF(I1202="","",MIN(Overview!$B$8,MAX(1,CEILING(I1202/Overview!$B$7,1))))</f>
        <v>3</v>
      </c>
      <c r="K1202" s="19" t="n">
        <v>1</v>
      </c>
      <c r="L1202" s="19"/>
      <c r="M1202" s="20" t="n">
        <v>2</v>
      </c>
      <c r="N1202" s="19"/>
      <c r="O1202" s="19"/>
      <c r="P1202" s="19" t="s">
        <v>2528</v>
      </c>
      <c r="Q1202" s="19" t="s">
        <v>951</v>
      </c>
      <c r="R1202" s="21" t="n">
        <v>45222</v>
      </c>
      <c r="S1202" s="19" t="s">
        <v>2529</v>
      </c>
      <c r="T1202" s="19" t="s">
        <v>4370</v>
      </c>
      <c r="U1202" s="19" t="str">
        <f aca="false">HYPERLINK("https://macaulaylibrary.org/asset/610540481","Open")</f>
        <v>Open</v>
      </c>
      <c r="V1202" s="19"/>
    </row>
    <row r="1203" customFormat="false" ht="15" hidden="false" customHeight="false" outlineLevel="0" collapsed="false">
      <c r="A1203" s="19" t="s">
        <v>4371</v>
      </c>
      <c r="B1203" s="19" t="s">
        <v>943</v>
      </c>
      <c r="C1203" s="19" t="s">
        <v>944</v>
      </c>
      <c r="D1203" s="19" t="s">
        <v>148</v>
      </c>
      <c r="E1203" s="19" t="s">
        <v>147</v>
      </c>
      <c r="F1203" s="19" t="s">
        <v>169</v>
      </c>
      <c r="G1203" s="19" t="n">
        <v>141</v>
      </c>
      <c r="H1203" s="19" t="s">
        <v>170</v>
      </c>
      <c r="I1203" s="20" t="n">
        <v>15.819</v>
      </c>
      <c r="J1203" s="19" t="n">
        <f aca="false">IF(I1203="","",MIN(Overview!$B$8,MAX(1,CEILING(I1203/Overview!$B$7,1))))</f>
        <v>4</v>
      </c>
      <c r="K1203" s="19" t="n">
        <v>1</v>
      </c>
      <c r="L1203" s="19"/>
      <c r="M1203" s="20" t="n">
        <v>3</v>
      </c>
      <c r="N1203" s="19"/>
      <c r="O1203" s="19"/>
      <c r="P1203" s="19" t="s">
        <v>2398</v>
      </c>
      <c r="Q1203" s="19" t="s">
        <v>951</v>
      </c>
      <c r="R1203" s="21" t="n">
        <v>45222</v>
      </c>
      <c r="S1203" s="19" t="s">
        <v>1098</v>
      </c>
      <c r="T1203" s="19" t="s">
        <v>4372</v>
      </c>
      <c r="U1203" s="19" t="str">
        <f aca="false">HYPERLINK("https://macaulaylibrary.org/asset/610542492","Open")</f>
        <v>Open</v>
      </c>
      <c r="V1203" s="19"/>
    </row>
    <row r="1204" customFormat="false" ht="15" hidden="false" customHeight="false" outlineLevel="0" collapsed="false">
      <c r="A1204" s="19" t="s">
        <v>4373</v>
      </c>
      <c r="B1204" s="19" t="s">
        <v>943</v>
      </c>
      <c r="C1204" s="19" t="s">
        <v>944</v>
      </c>
      <c r="D1204" s="19" t="s">
        <v>148</v>
      </c>
      <c r="E1204" s="19" t="s">
        <v>147</v>
      </c>
      <c r="F1204" s="19" t="s">
        <v>169</v>
      </c>
      <c r="G1204" s="19" t="n">
        <v>141</v>
      </c>
      <c r="H1204" s="19" t="s">
        <v>170</v>
      </c>
      <c r="I1204" s="20" t="n">
        <v>10.78</v>
      </c>
      <c r="J1204" s="19" t="n">
        <f aca="false">IF(I1204="","",MIN(Overview!$B$8,MAX(1,CEILING(I1204/Overview!$B$7,1))))</f>
        <v>3</v>
      </c>
      <c r="K1204" s="19" t="n">
        <v>1</v>
      </c>
      <c r="L1204" s="19"/>
      <c r="M1204" s="20" t="n">
        <v>3.5</v>
      </c>
      <c r="N1204" s="19"/>
      <c r="O1204" s="19"/>
      <c r="P1204" s="19" t="s">
        <v>950</v>
      </c>
      <c r="Q1204" s="19" t="s">
        <v>951</v>
      </c>
      <c r="R1204" s="21" t="n">
        <v>45223</v>
      </c>
      <c r="S1204" s="19" t="s">
        <v>952</v>
      </c>
      <c r="T1204" s="19" t="s">
        <v>4374</v>
      </c>
      <c r="U1204" s="19" t="str">
        <f aca="false">HYPERLINK("https://macaulaylibrary.org/asset/610572699","Open")</f>
        <v>Open</v>
      </c>
      <c r="V1204" s="19"/>
    </row>
    <row r="1205" customFormat="false" ht="15" hidden="false" customHeight="false" outlineLevel="0" collapsed="false">
      <c r="A1205" s="19" t="s">
        <v>4375</v>
      </c>
      <c r="B1205" s="19" t="s">
        <v>943</v>
      </c>
      <c r="C1205" s="19" t="s">
        <v>944</v>
      </c>
      <c r="D1205" s="19" t="s">
        <v>148</v>
      </c>
      <c r="E1205" s="19" t="s">
        <v>147</v>
      </c>
      <c r="F1205" s="19" t="s">
        <v>169</v>
      </c>
      <c r="G1205" s="19" t="n">
        <v>141</v>
      </c>
      <c r="H1205" s="19" t="s">
        <v>170</v>
      </c>
      <c r="I1205" s="20" t="n">
        <v>57.491</v>
      </c>
      <c r="J1205" s="19" t="n">
        <f aca="false">IF(I1205="","",MIN(Overview!$B$8,MAX(1,CEILING(I1205/Overview!$B$7,1))))</f>
        <v>12</v>
      </c>
      <c r="K1205" s="19" t="n">
        <v>1</v>
      </c>
      <c r="L1205" s="19"/>
      <c r="M1205" s="20" t="n">
        <v>2</v>
      </c>
      <c r="N1205" s="19"/>
      <c r="O1205" s="19"/>
      <c r="P1205" s="19" t="s">
        <v>4376</v>
      </c>
      <c r="Q1205" s="19" t="s">
        <v>4377</v>
      </c>
      <c r="R1205" s="21" t="n">
        <v>45287</v>
      </c>
      <c r="S1205" s="19" t="s">
        <v>4378</v>
      </c>
      <c r="T1205" s="19" t="s">
        <v>4379</v>
      </c>
      <c r="U1205" s="19" t="str">
        <f aca="false">HYPERLINK("https://macaulaylibrary.org/asset/612710670","Open")</f>
        <v>Open</v>
      </c>
      <c r="V1205" s="19"/>
    </row>
    <row r="1206" customFormat="false" ht="15" hidden="false" customHeight="false" outlineLevel="0" collapsed="false">
      <c r="A1206" s="19" t="s">
        <v>4380</v>
      </c>
      <c r="B1206" s="19" t="s">
        <v>943</v>
      </c>
      <c r="C1206" s="19" t="s">
        <v>944</v>
      </c>
      <c r="D1206" s="19" t="s">
        <v>148</v>
      </c>
      <c r="E1206" s="19" t="s">
        <v>147</v>
      </c>
      <c r="F1206" s="19" t="s">
        <v>169</v>
      </c>
      <c r="G1206" s="19" t="n">
        <v>141</v>
      </c>
      <c r="H1206" s="19" t="s">
        <v>170</v>
      </c>
      <c r="I1206" s="20" t="n">
        <v>25.206</v>
      </c>
      <c r="J1206" s="19" t="n">
        <f aca="false">IF(I1206="","",MIN(Overview!$B$8,MAX(1,CEILING(I1206/Overview!$B$7,1))))</f>
        <v>6</v>
      </c>
      <c r="K1206" s="19" t="n">
        <v>1</v>
      </c>
      <c r="L1206" s="19"/>
      <c r="M1206" s="20" t="n">
        <v>2</v>
      </c>
      <c r="N1206" s="19"/>
      <c r="O1206" s="19" t="s">
        <v>194</v>
      </c>
      <c r="P1206" s="19" t="s">
        <v>1309</v>
      </c>
      <c r="Q1206" s="19" t="s">
        <v>1310</v>
      </c>
      <c r="R1206" s="21" t="n">
        <v>44937</v>
      </c>
      <c r="S1206" s="19" t="s">
        <v>1311</v>
      </c>
      <c r="T1206" s="19" t="s">
        <v>4381</v>
      </c>
      <c r="U1206" s="19" t="str">
        <f aca="false">HYPERLINK("https://macaulaylibrary.org/asset/612714205","Open")</f>
        <v>Open</v>
      </c>
      <c r="V1206" s="19"/>
    </row>
    <row r="1207" customFormat="false" ht="15" hidden="false" customHeight="false" outlineLevel="0" collapsed="false">
      <c r="A1207" s="19" t="s">
        <v>4382</v>
      </c>
      <c r="B1207" s="19" t="s">
        <v>943</v>
      </c>
      <c r="C1207" s="19" t="s">
        <v>944</v>
      </c>
      <c r="D1207" s="19" t="s">
        <v>148</v>
      </c>
      <c r="E1207" s="19" t="s">
        <v>147</v>
      </c>
      <c r="F1207" s="19" t="s">
        <v>169</v>
      </c>
      <c r="G1207" s="19" t="n">
        <v>141</v>
      </c>
      <c r="H1207" s="19" t="s">
        <v>170</v>
      </c>
      <c r="I1207" s="20" t="n">
        <v>39.828</v>
      </c>
      <c r="J1207" s="19" t="n">
        <f aca="false">IF(I1207="","",MIN(Overview!$B$8,MAX(1,CEILING(I1207/Overview!$B$7,1))))</f>
        <v>8</v>
      </c>
      <c r="K1207" s="19" t="n">
        <v>1</v>
      </c>
      <c r="L1207" s="19"/>
      <c r="M1207" s="20" t="n">
        <v>3</v>
      </c>
      <c r="N1207" s="19"/>
      <c r="O1207" s="19"/>
      <c r="P1207" s="19" t="s">
        <v>3219</v>
      </c>
      <c r="Q1207" s="19" t="s">
        <v>1086</v>
      </c>
      <c r="R1207" s="21" t="n">
        <v>45296</v>
      </c>
      <c r="S1207" s="19" t="s">
        <v>2319</v>
      </c>
      <c r="T1207" s="19" t="s">
        <v>4383</v>
      </c>
      <c r="U1207" s="19" t="str">
        <f aca="false">HYPERLINK("https://macaulaylibrary.org/asset/614019858","Open")</f>
        <v>Open</v>
      </c>
      <c r="V1207" s="19"/>
    </row>
    <row r="1208" customFormat="false" ht="15" hidden="false" customHeight="false" outlineLevel="0" collapsed="false">
      <c r="A1208" s="19" t="s">
        <v>4384</v>
      </c>
      <c r="B1208" s="19" t="s">
        <v>943</v>
      </c>
      <c r="C1208" s="19" t="s">
        <v>944</v>
      </c>
      <c r="D1208" s="19" t="s">
        <v>148</v>
      </c>
      <c r="E1208" s="19" t="s">
        <v>147</v>
      </c>
      <c r="F1208" s="19" t="s">
        <v>169</v>
      </c>
      <c r="G1208" s="19" t="n">
        <v>141</v>
      </c>
      <c r="H1208" s="19" t="s">
        <v>170</v>
      </c>
      <c r="I1208" s="20" t="n">
        <v>48.018</v>
      </c>
      <c r="J1208" s="19" t="n">
        <f aca="false">IF(I1208="","",MIN(Overview!$B$8,MAX(1,CEILING(I1208/Overview!$B$7,1))))</f>
        <v>10</v>
      </c>
      <c r="K1208" s="19" t="n">
        <v>1</v>
      </c>
      <c r="L1208" s="19"/>
      <c r="M1208" s="20" t="n">
        <v>4</v>
      </c>
      <c r="N1208" s="19"/>
      <c r="O1208" s="19"/>
      <c r="P1208" s="19" t="s">
        <v>1467</v>
      </c>
      <c r="Q1208" s="19" t="s">
        <v>1258</v>
      </c>
      <c r="R1208" s="21" t="n">
        <v>45230</v>
      </c>
      <c r="S1208" s="19" t="s">
        <v>1306</v>
      </c>
      <c r="T1208" s="19" t="s">
        <v>4385</v>
      </c>
      <c r="U1208" s="19" t="str">
        <f aca="false">HYPERLINK("https://macaulaylibrary.org/asset/621759993","Open")</f>
        <v>Open</v>
      </c>
      <c r="V1208" s="19"/>
    </row>
    <row r="1209" customFormat="false" ht="15" hidden="false" customHeight="false" outlineLevel="0" collapsed="false">
      <c r="A1209" s="19" t="s">
        <v>4386</v>
      </c>
      <c r="B1209" s="19" t="s">
        <v>943</v>
      </c>
      <c r="C1209" s="19" t="s">
        <v>944</v>
      </c>
      <c r="D1209" s="19" t="s">
        <v>148</v>
      </c>
      <c r="E1209" s="19" t="s">
        <v>147</v>
      </c>
      <c r="F1209" s="19" t="s">
        <v>169</v>
      </c>
      <c r="G1209" s="19" t="n">
        <v>141</v>
      </c>
      <c r="H1209" s="19" t="s">
        <v>170</v>
      </c>
      <c r="I1209" s="20" t="n">
        <v>28.734</v>
      </c>
      <c r="J1209" s="19" t="n">
        <f aca="false">IF(I1209="","",MIN(Overview!$B$8,MAX(1,CEILING(I1209/Overview!$B$7,1))))</f>
        <v>6</v>
      </c>
      <c r="K1209" s="19" t="n">
        <v>1</v>
      </c>
      <c r="L1209" s="19"/>
      <c r="M1209" s="20" t="n">
        <v>3</v>
      </c>
      <c r="N1209" s="19"/>
      <c r="O1209" s="19"/>
      <c r="P1209" s="19" t="s">
        <v>2613</v>
      </c>
      <c r="Q1209" s="19" t="s">
        <v>1368</v>
      </c>
      <c r="R1209" s="21" t="n">
        <v>45490</v>
      </c>
      <c r="S1209" s="19" t="s">
        <v>1137</v>
      </c>
      <c r="T1209" s="19" t="s">
        <v>4387</v>
      </c>
      <c r="U1209" s="19" t="str">
        <f aca="false">HYPERLINK("https://macaulaylibrary.org/asset/623042662","Open")</f>
        <v>Open</v>
      </c>
      <c r="V1209" s="19"/>
    </row>
    <row r="1210" customFormat="false" ht="15" hidden="false" customHeight="false" outlineLevel="0" collapsed="false">
      <c r="A1210" s="19" t="s">
        <v>4388</v>
      </c>
      <c r="B1210" s="19" t="s">
        <v>943</v>
      </c>
      <c r="C1210" s="19" t="s">
        <v>944</v>
      </c>
      <c r="D1210" s="19" t="s">
        <v>148</v>
      </c>
      <c r="E1210" s="19" t="s">
        <v>147</v>
      </c>
      <c r="F1210" s="19" t="s">
        <v>169</v>
      </c>
      <c r="G1210" s="19" t="n">
        <v>141</v>
      </c>
      <c r="H1210" s="19" t="s">
        <v>170</v>
      </c>
      <c r="I1210" s="20" t="n">
        <v>132.551</v>
      </c>
      <c r="J1210" s="19" t="n">
        <f aca="false">IF(I1210="","",MIN(Overview!$B$8,MAX(1,CEILING(I1210/Overview!$B$7,1))))</f>
        <v>27</v>
      </c>
      <c r="K1210" s="19" t="n">
        <v>1</v>
      </c>
      <c r="L1210" s="19"/>
      <c r="M1210" s="20" t="n">
        <v>5</v>
      </c>
      <c r="N1210" s="19"/>
      <c r="O1210" s="19" t="s">
        <v>4389</v>
      </c>
      <c r="P1210" s="19" t="s">
        <v>1613</v>
      </c>
      <c r="Q1210" s="19" t="s">
        <v>1191</v>
      </c>
      <c r="R1210" s="21" t="n">
        <v>45706</v>
      </c>
      <c r="S1210" s="19" t="s">
        <v>1614</v>
      </c>
      <c r="T1210" s="19" t="s">
        <v>4390</v>
      </c>
      <c r="U1210" s="19" t="str">
        <f aca="false">HYPERLINK("https://macaulaylibrary.org/asset/631021740","Open")</f>
        <v>Open</v>
      </c>
      <c r="V1210" s="19"/>
    </row>
    <row r="1211" customFormat="false" ht="15" hidden="false" customHeight="false" outlineLevel="0" collapsed="false">
      <c r="A1211" s="19" t="s">
        <v>4391</v>
      </c>
      <c r="B1211" s="19" t="s">
        <v>943</v>
      </c>
      <c r="C1211" s="19" t="s">
        <v>944</v>
      </c>
      <c r="D1211" s="19" t="s">
        <v>148</v>
      </c>
      <c r="E1211" s="19" t="s">
        <v>147</v>
      </c>
      <c r="F1211" s="19" t="s">
        <v>169</v>
      </c>
      <c r="G1211" s="19" t="n">
        <v>141</v>
      </c>
      <c r="H1211" s="19" t="s">
        <v>170</v>
      </c>
      <c r="I1211" s="20" t="n">
        <v>7.602</v>
      </c>
      <c r="J1211" s="19" t="n">
        <f aca="false">IF(I1211="","",MIN(Overview!$B$8,MAX(1,CEILING(I1211/Overview!$B$7,1))))</f>
        <v>2</v>
      </c>
      <c r="K1211" s="19" t="n">
        <v>1</v>
      </c>
      <c r="L1211" s="19"/>
      <c r="M1211" s="20"/>
      <c r="N1211" s="19"/>
      <c r="O1211" s="19"/>
      <c r="P1211" s="19" t="s">
        <v>1482</v>
      </c>
      <c r="Q1211" s="19" t="s">
        <v>1483</v>
      </c>
      <c r="R1211" s="21" t="n">
        <v>45293</v>
      </c>
      <c r="S1211" s="19" t="s">
        <v>1484</v>
      </c>
      <c r="T1211" s="19" t="s">
        <v>4392</v>
      </c>
      <c r="U1211" s="19" t="str">
        <f aca="false">HYPERLINK("https://macaulaylibrary.org/asset/639219132","Open")</f>
        <v>Open</v>
      </c>
      <c r="V1211" s="19"/>
    </row>
    <row r="1212" customFormat="false" ht="15" hidden="false" customHeight="false" outlineLevel="0" collapsed="false">
      <c r="A1212" s="19" t="s">
        <v>4393</v>
      </c>
      <c r="B1212" s="19" t="s">
        <v>943</v>
      </c>
      <c r="C1212" s="19" t="s">
        <v>944</v>
      </c>
      <c r="D1212" s="19" t="s">
        <v>148</v>
      </c>
      <c r="E1212" s="19" t="s">
        <v>147</v>
      </c>
      <c r="F1212" s="19" t="s">
        <v>169</v>
      </c>
      <c r="G1212" s="19" t="n">
        <v>141</v>
      </c>
      <c r="H1212" s="19" t="s">
        <v>170</v>
      </c>
      <c r="I1212" s="20" t="n">
        <v>79.46</v>
      </c>
      <c r="J1212" s="19" t="n">
        <f aca="false">IF(I1212="","",MIN(Overview!$B$8,MAX(1,CEILING(I1212/Overview!$B$7,1))))</f>
        <v>16</v>
      </c>
      <c r="K1212" s="19" t="n">
        <v>1</v>
      </c>
      <c r="L1212" s="19"/>
      <c r="M1212" s="20"/>
      <c r="N1212" s="19"/>
      <c r="O1212" s="19"/>
      <c r="P1212" s="19" t="s">
        <v>2901</v>
      </c>
      <c r="Q1212" s="19" t="s">
        <v>1368</v>
      </c>
      <c r="R1212" s="21" t="n">
        <v>45624</v>
      </c>
      <c r="S1212" s="19" t="s">
        <v>1036</v>
      </c>
      <c r="T1212" s="19" t="s">
        <v>4394</v>
      </c>
      <c r="U1212" s="19" t="str">
        <f aca="false">HYPERLINK("https://macaulaylibrary.org/asset/642914760","Open")</f>
        <v>Open</v>
      </c>
      <c r="V1212" s="19"/>
    </row>
    <row r="1213" customFormat="false" ht="15" hidden="false" customHeight="false" outlineLevel="0" collapsed="false">
      <c r="A1213" s="19" t="s">
        <v>4395</v>
      </c>
      <c r="B1213" s="19" t="s">
        <v>943</v>
      </c>
      <c r="C1213" s="19" t="s">
        <v>944</v>
      </c>
      <c r="D1213" s="19" t="s">
        <v>148</v>
      </c>
      <c r="E1213" s="19" t="s">
        <v>147</v>
      </c>
      <c r="F1213" s="19" t="s">
        <v>169</v>
      </c>
      <c r="G1213" s="19" t="n">
        <v>141</v>
      </c>
      <c r="H1213" s="19" t="s">
        <v>170</v>
      </c>
      <c r="I1213" s="20" t="n">
        <v>70.889</v>
      </c>
      <c r="J1213" s="19" t="n">
        <f aca="false">IF(I1213="","",MIN(Overview!$B$8,MAX(1,CEILING(I1213/Overview!$B$7,1))))</f>
        <v>15</v>
      </c>
      <c r="K1213" s="19" t="n">
        <v>1</v>
      </c>
      <c r="L1213" s="19"/>
      <c r="M1213" s="20" t="n">
        <v>3</v>
      </c>
      <c r="N1213" s="19"/>
      <c r="O1213" s="19"/>
      <c r="P1213" s="19" t="s">
        <v>2443</v>
      </c>
      <c r="Q1213" s="19" t="s">
        <v>1091</v>
      </c>
      <c r="R1213" s="21" t="n">
        <v>45843</v>
      </c>
      <c r="S1213" s="19" t="s">
        <v>2444</v>
      </c>
      <c r="T1213" s="19" t="s">
        <v>4396</v>
      </c>
      <c r="U1213" s="19" t="str">
        <f aca="false">HYPERLINK("https://macaulaylibrary.org/asset/643650573","Open")</f>
        <v>Open</v>
      </c>
      <c r="V1213" s="19"/>
    </row>
    <row r="1214" customFormat="false" ht="15" hidden="false" customHeight="false" outlineLevel="0" collapsed="false">
      <c r="A1214" s="19" t="s">
        <v>4397</v>
      </c>
      <c r="B1214" s="19" t="s">
        <v>943</v>
      </c>
      <c r="C1214" s="19" t="s">
        <v>944</v>
      </c>
      <c r="D1214" s="19" t="s">
        <v>148</v>
      </c>
      <c r="E1214" s="19" t="s">
        <v>147</v>
      </c>
      <c r="F1214" s="19" t="s">
        <v>169</v>
      </c>
      <c r="G1214" s="19" t="n">
        <v>141</v>
      </c>
      <c r="H1214" s="19" t="s">
        <v>170</v>
      </c>
      <c r="I1214" s="20" t="n">
        <v>12.897</v>
      </c>
      <c r="J1214" s="19" t="n">
        <f aca="false">IF(I1214="","",MIN(Overview!$B$8,MAX(1,CEILING(I1214/Overview!$B$7,1))))</f>
        <v>3</v>
      </c>
      <c r="K1214" s="19" t="n">
        <v>1</v>
      </c>
      <c r="L1214" s="19"/>
      <c r="M1214" s="20"/>
      <c r="N1214" s="19"/>
      <c r="O1214" s="19"/>
      <c r="P1214" s="19" t="s">
        <v>4398</v>
      </c>
      <c r="Q1214" s="19" t="s">
        <v>4399</v>
      </c>
      <c r="R1214" s="21" t="n">
        <v>45968</v>
      </c>
      <c r="S1214" s="19" t="s">
        <v>4400</v>
      </c>
      <c r="T1214" s="19" t="s">
        <v>4401</v>
      </c>
      <c r="U1214" s="19" t="str">
        <f aca="false">HYPERLINK("https://macaulaylibrary.org/asset/645279039","Open")</f>
        <v>Open</v>
      </c>
      <c r="V1214" s="19"/>
    </row>
    <row r="1215" customFormat="false" ht="15" hidden="false" customHeight="false" outlineLevel="0" collapsed="false">
      <c r="A1215" s="19" t="s">
        <v>4402</v>
      </c>
      <c r="B1215" s="19" t="s">
        <v>943</v>
      </c>
      <c r="C1215" s="19" t="s">
        <v>944</v>
      </c>
      <c r="D1215" s="19" t="s">
        <v>148</v>
      </c>
      <c r="E1215" s="19" t="s">
        <v>147</v>
      </c>
      <c r="F1215" s="19" t="s">
        <v>169</v>
      </c>
      <c r="G1215" s="19" t="n">
        <v>141</v>
      </c>
      <c r="H1215" s="19" t="s">
        <v>170</v>
      </c>
      <c r="I1215" s="20" t="n">
        <v>15.582</v>
      </c>
      <c r="J1215" s="19" t="n">
        <f aca="false">IF(I1215="","",MIN(Overview!$B$8,MAX(1,CEILING(I1215/Overview!$B$7,1))))</f>
        <v>4</v>
      </c>
      <c r="K1215" s="19" t="n">
        <v>1</v>
      </c>
      <c r="L1215" s="19"/>
      <c r="M1215" s="20" t="n">
        <v>4</v>
      </c>
      <c r="N1215" s="19"/>
      <c r="O1215" s="19"/>
      <c r="P1215" s="19" t="s">
        <v>1949</v>
      </c>
      <c r="Q1215" s="19" t="s">
        <v>1368</v>
      </c>
      <c r="R1215" s="21" t="n">
        <v>45983</v>
      </c>
      <c r="S1215" s="19" t="s">
        <v>1022</v>
      </c>
      <c r="T1215" s="19" t="s">
        <v>4403</v>
      </c>
      <c r="U1215" s="19" t="str">
        <f aca="false">HYPERLINK("https://macaulaylibrary.org/asset/646460580","Open")</f>
        <v>Open</v>
      </c>
      <c r="V1215" s="19"/>
    </row>
    <row r="1216" customFormat="false" ht="15" hidden="false" customHeight="false" outlineLevel="0" collapsed="false">
      <c r="A1216" s="19" t="s">
        <v>4404</v>
      </c>
      <c r="B1216" s="19" t="s">
        <v>943</v>
      </c>
      <c r="C1216" s="19" t="s">
        <v>944</v>
      </c>
      <c r="D1216" s="19" t="s">
        <v>148</v>
      </c>
      <c r="E1216" s="19" t="s">
        <v>147</v>
      </c>
      <c r="F1216" s="19" t="s">
        <v>169</v>
      </c>
      <c r="G1216" s="19" t="n">
        <v>141</v>
      </c>
      <c r="H1216" s="19" t="s">
        <v>170</v>
      </c>
      <c r="I1216" s="20" t="n">
        <v>45.28</v>
      </c>
      <c r="J1216" s="19" t="n">
        <f aca="false">IF(I1216="","",MIN(Overview!$B$8,MAX(1,CEILING(I1216/Overview!$B$7,1))))</f>
        <v>10</v>
      </c>
      <c r="K1216" s="19" t="n">
        <v>1</v>
      </c>
      <c r="L1216" s="19"/>
      <c r="M1216" s="20" t="n">
        <v>4</v>
      </c>
      <c r="N1216" s="19"/>
      <c r="O1216" s="19"/>
      <c r="P1216" s="19" t="s">
        <v>4405</v>
      </c>
      <c r="Q1216" s="19" t="s">
        <v>965</v>
      </c>
      <c r="R1216" s="21" t="n">
        <v>46012</v>
      </c>
      <c r="S1216" s="19" t="s">
        <v>1433</v>
      </c>
      <c r="T1216" s="19" t="s">
        <v>4406</v>
      </c>
      <c r="U1216" s="19" t="str">
        <f aca="false">HYPERLINK("https://macaulaylibrary.org/asset/647390070","Open")</f>
        <v>Open</v>
      </c>
      <c r="V1216" s="19"/>
    </row>
    <row r="1217" customFormat="false" ht="15" hidden="false" customHeight="false" outlineLevel="0" collapsed="false">
      <c r="A1217" s="19" t="s">
        <v>4407</v>
      </c>
      <c r="B1217" s="19" t="s">
        <v>943</v>
      </c>
      <c r="C1217" s="19" t="s">
        <v>944</v>
      </c>
      <c r="D1217" s="19" t="s">
        <v>148</v>
      </c>
      <c r="E1217" s="19" t="s">
        <v>147</v>
      </c>
      <c r="F1217" s="19" t="s">
        <v>169</v>
      </c>
      <c r="G1217" s="19" t="n">
        <v>141</v>
      </c>
      <c r="H1217" s="19" t="s">
        <v>170</v>
      </c>
      <c r="I1217" s="20" t="n">
        <v>30.4</v>
      </c>
      <c r="J1217" s="19" t="n">
        <f aca="false">IF(I1217="","",MIN(Overview!$B$8,MAX(1,CEILING(I1217/Overview!$B$7,1))))</f>
        <v>7</v>
      </c>
      <c r="K1217" s="19" t="n">
        <v>1</v>
      </c>
      <c r="L1217" s="19"/>
      <c r="M1217" s="20" t="n">
        <v>3</v>
      </c>
      <c r="N1217" s="19"/>
      <c r="O1217" s="19"/>
      <c r="P1217" s="19" t="s">
        <v>4408</v>
      </c>
      <c r="Q1217" s="19" t="s">
        <v>965</v>
      </c>
      <c r="R1217" s="21" t="n">
        <v>46012</v>
      </c>
      <c r="S1217" s="19" t="s">
        <v>4409</v>
      </c>
      <c r="T1217" s="19" t="s">
        <v>4410</v>
      </c>
      <c r="U1217" s="19" t="str">
        <f aca="false">HYPERLINK("https://macaulaylibrary.org/asset/647390469","Open")</f>
        <v>Open</v>
      </c>
      <c r="V1217" s="19"/>
    </row>
    <row r="1218" customFormat="false" ht="15" hidden="false" customHeight="false" outlineLevel="0" collapsed="false">
      <c r="A1218" s="19" t="s">
        <v>4411</v>
      </c>
      <c r="B1218" s="19" t="s">
        <v>943</v>
      </c>
      <c r="C1218" s="19" t="s">
        <v>944</v>
      </c>
      <c r="D1218" s="19" t="s">
        <v>148</v>
      </c>
      <c r="E1218" s="19" t="s">
        <v>147</v>
      </c>
      <c r="F1218" s="19" t="s">
        <v>169</v>
      </c>
      <c r="G1218" s="19" t="n">
        <v>141</v>
      </c>
      <c r="H1218" s="19" t="s">
        <v>170</v>
      </c>
      <c r="I1218" s="20" t="n">
        <v>11.875</v>
      </c>
      <c r="J1218" s="19" t="n">
        <f aca="false">IF(I1218="","",MIN(Overview!$B$8,MAX(1,CEILING(I1218/Overview!$B$7,1))))</f>
        <v>3</v>
      </c>
      <c r="K1218" s="19" t="n">
        <v>1</v>
      </c>
      <c r="L1218" s="19"/>
      <c r="M1218" s="20" t="n">
        <v>4</v>
      </c>
      <c r="N1218" s="19"/>
      <c r="O1218" s="19" t="s">
        <v>416</v>
      </c>
      <c r="P1218" s="19" t="s">
        <v>1335</v>
      </c>
      <c r="Q1218" s="19" t="s">
        <v>990</v>
      </c>
      <c r="R1218" s="21" t="n">
        <v>46011</v>
      </c>
      <c r="S1218" s="19" t="s">
        <v>966</v>
      </c>
      <c r="T1218" s="19" t="s">
        <v>4412</v>
      </c>
      <c r="U1218" s="19" t="str">
        <f aca="false">HYPERLINK("https://macaulaylibrary.org/asset/647568317","Open")</f>
        <v>Open</v>
      </c>
      <c r="V1218" s="19"/>
    </row>
    <row r="1219" customFormat="false" ht="15" hidden="false" customHeight="false" outlineLevel="0" collapsed="false">
      <c r="A1219" s="19" t="s">
        <v>4413</v>
      </c>
      <c r="B1219" s="19" t="s">
        <v>943</v>
      </c>
      <c r="C1219" s="19" t="s">
        <v>944</v>
      </c>
      <c r="D1219" s="19" t="s">
        <v>148</v>
      </c>
      <c r="E1219" s="19" t="s">
        <v>147</v>
      </c>
      <c r="F1219" s="19" t="s">
        <v>169</v>
      </c>
      <c r="G1219" s="19" t="n">
        <v>141</v>
      </c>
      <c r="H1219" s="19" t="s">
        <v>170</v>
      </c>
      <c r="I1219" s="20" t="n">
        <v>26.075</v>
      </c>
      <c r="J1219" s="19" t="n">
        <f aca="false">IF(I1219="","",MIN(Overview!$B$8,MAX(1,CEILING(I1219/Overview!$B$7,1))))</f>
        <v>6</v>
      </c>
      <c r="K1219" s="19" t="n">
        <v>1</v>
      </c>
      <c r="L1219" s="19"/>
      <c r="M1219" s="20" t="n">
        <v>1</v>
      </c>
      <c r="N1219" s="19"/>
      <c r="O1219" s="19" t="s">
        <v>4414</v>
      </c>
      <c r="P1219" s="19" t="s">
        <v>2035</v>
      </c>
      <c r="Q1219" s="19" t="s">
        <v>1502</v>
      </c>
      <c r="R1219" s="21" t="n">
        <v>45941</v>
      </c>
      <c r="S1219" s="19" t="s">
        <v>2036</v>
      </c>
      <c r="T1219" s="19" t="s">
        <v>4415</v>
      </c>
      <c r="U1219" s="19" t="str">
        <f aca="false">HYPERLINK("https://macaulaylibrary.org/asset/648832658","Open")</f>
        <v>Open</v>
      </c>
      <c r="V1219" s="19"/>
    </row>
    <row r="1220" customFormat="false" ht="15" hidden="false" customHeight="false" outlineLevel="0" collapsed="false">
      <c r="A1220" s="19" t="s">
        <v>4416</v>
      </c>
      <c r="B1220" s="19" t="s">
        <v>943</v>
      </c>
      <c r="C1220" s="19" t="s">
        <v>944</v>
      </c>
      <c r="D1220" s="19" t="s">
        <v>148</v>
      </c>
      <c r="E1220" s="19" t="s">
        <v>147</v>
      </c>
      <c r="F1220" s="19" t="s">
        <v>169</v>
      </c>
      <c r="G1220" s="19" t="n">
        <v>141</v>
      </c>
      <c r="H1220" s="19" t="s">
        <v>170</v>
      </c>
      <c r="I1220" s="20" t="n">
        <v>9.748</v>
      </c>
      <c r="J1220" s="19" t="n">
        <f aca="false">IF(I1220="","",MIN(Overview!$B$8,MAX(1,CEILING(I1220/Overview!$B$7,1))))</f>
        <v>2</v>
      </c>
      <c r="K1220" s="19" t="n">
        <v>1</v>
      </c>
      <c r="L1220" s="19"/>
      <c r="M1220" s="20"/>
      <c r="N1220" s="19"/>
      <c r="O1220" s="19"/>
      <c r="P1220" s="19" t="s">
        <v>4417</v>
      </c>
      <c r="Q1220" s="19" t="s">
        <v>1204</v>
      </c>
      <c r="R1220" s="21" t="n">
        <v>46048</v>
      </c>
      <c r="S1220" s="19" t="s">
        <v>1621</v>
      </c>
      <c r="T1220" s="19" t="s">
        <v>4418</v>
      </c>
      <c r="U1220" s="19" t="str">
        <f aca="false">HYPERLINK("https://macaulaylibrary.org/asset/653762233","Open")</f>
        <v>Open</v>
      </c>
      <c r="V1220" s="19"/>
    </row>
    <row r="1221" customFormat="false" ht="15" hidden="false" customHeight="false" outlineLevel="0" collapsed="false">
      <c r="A1221" s="19" t="s">
        <v>4419</v>
      </c>
      <c r="B1221" s="19" t="s">
        <v>943</v>
      </c>
      <c r="C1221" s="19" t="s">
        <v>944</v>
      </c>
      <c r="D1221" s="19" t="s">
        <v>148</v>
      </c>
      <c r="E1221" s="19" t="s">
        <v>147</v>
      </c>
      <c r="F1221" s="19" t="s">
        <v>169</v>
      </c>
      <c r="G1221" s="19" t="n">
        <v>141</v>
      </c>
      <c r="H1221" s="19" t="s">
        <v>170</v>
      </c>
      <c r="I1221" s="20" t="n">
        <v>20.176</v>
      </c>
      <c r="J1221" s="19" t="n">
        <f aca="false">IF(I1221="","",MIN(Overview!$B$8,MAX(1,CEILING(I1221/Overview!$B$7,1))))</f>
        <v>5</v>
      </c>
      <c r="K1221" s="19" t="n">
        <v>1</v>
      </c>
      <c r="L1221" s="19"/>
      <c r="M1221" s="20"/>
      <c r="N1221" s="19"/>
      <c r="O1221" s="19"/>
      <c r="P1221" s="19" t="s">
        <v>1347</v>
      </c>
      <c r="Q1221" s="19" t="s">
        <v>1348</v>
      </c>
      <c r="R1221" s="21" t="n">
        <v>46100</v>
      </c>
      <c r="S1221" s="19" t="s">
        <v>1106</v>
      </c>
      <c r="T1221" s="19" t="s">
        <v>4420</v>
      </c>
      <c r="U1221" s="19" t="str">
        <f aca="false">HYPERLINK("https://macaulaylibrary.org/asset/654444569","Open")</f>
        <v>Open</v>
      </c>
      <c r="V1221" s="19"/>
    </row>
    <row r="1222" customFormat="false" ht="15" hidden="false" customHeight="false" outlineLevel="0" collapsed="false">
      <c r="A1222" s="19" t="s">
        <v>4421</v>
      </c>
      <c r="B1222" s="19" t="s">
        <v>943</v>
      </c>
      <c r="C1222" s="19" t="s">
        <v>944</v>
      </c>
      <c r="D1222" s="19" t="s">
        <v>148</v>
      </c>
      <c r="E1222" s="19" t="s">
        <v>147</v>
      </c>
      <c r="F1222" s="19" t="s">
        <v>169</v>
      </c>
      <c r="G1222" s="19" t="n">
        <v>141</v>
      </c>
      <c r="H1222" s="19" t="s">
        <v>170</v>
      </c>
      <c r="I1222" s="20" t="n">
        <v>106.18</v>
      </c>
      <c r="J1222" s="19" t="n">
        <f aca="false">IF(I1222="","",MIN(Overview!$B$8,MAX(1,CEILING(I1222/Overview!$B$7,1))))</f>
        <v>22</v>
      </c>
      <c r="K1222" s="19" t="n">
        <v>1</v>
      </c>
      <c r="L1222" s="19"/>
      <c r="M1222" s="20" t="n">
        <v>1</v>
      </c>
      <c r="N1222" s="19"/>
      <c r="O1222" s="19"/>
      <c r="P1222" s="19" t="s">
        <v>4422</v>
      </c>
      <c r="Q1222" s="19" t="s">
        <v>4166</v>
      </c>
      <c r="R1222" s="21" t="n">
        <v>46093</v>
      </c>
      <c r="S1222" s="19" t="s">
        <v>4423</v>
      </c>
      <c r="T1222" s="19" t="s">
        <v>4424</v>
      </c>
      <c r="U1222" s="19" t="str">
        <f aca="false">HYPERLINK("https://macaulaylibrary.org/asset/656125116","Open")</f>
        <v>Open</v>
      </c>
      <c r="V1222" s="19"/>
    </row>
    <row r="1223" customFormat="false" ht="15" hidden="false" customHeight="false" outlineLevel="0" collapsed="false">
      <c r="A1223" s="19" t="s">
        <v>4425</v>
      </c>
      <c r="B1223" s="19" t="s">
        <v>943</v>
      </c>
      <c r="C1223" s="19" t="s">
        <v>944</v>
      </c>
      <c r="D1223" s="19" t="s">
        <v>148</v>
      </c>
      <c r="E1223" s="19" t="s">
        <v>147</v>
      </c>
      <c r="F1223" s="19" t="s">
        <v>169</v>
      </c>
      <c r="G1223" s="19" t="n">
        <v>141</v>
      </c>
      <c r="H1223" s="19" t="s">
        <v>170</v>
      </c>
      <c r="I1223" s="20" t="n">
        <v>75.278</v>
      </c>
      <c r="J1223" s="19" t="n">
        <f aca="false">IF(I1223="","",MIN(Overview!$B$8,MAX(1,CEILING(I1223/Overview!$B$7,1))))</f>
        <v>16</v>
      </c>
      <c r="K1223" s="19" t="n">
        <v>1</v>
      </c>
      <c r="L1223" s="19"/>
      <c r="M1223" s="20" t="n">
        <v>2</v>
      </c>
      <c r="N1223" s="19"/>
      <c r="O1223" s="19"/>
      <c r="P1223" s="19" t="s">
        <v>1217</v>
      </c>
      <c r="Q1223" s="19" t="s">
        <v>1218</v>
      </c>
      <c r="R1223" s="21" t="n">
        <v>33330</v>
      </c>
      <c r="S1223" s="19" t="s">
        <v>4426</v>
      </c>
      <c r="T1223" s="19" t="s">
        <v>4427</v>
      </c>
      <c r="U1223" s="19" t="str">
        <f aca="false">HYPERLINK("https://macaulaylibrary.org/asset/76628","Open")</f>
        <v>Open</v>
      </c>
      <c r="V1223" s="19"/>
    </row>
    <row r="1224" customFormat="false" ht="15" hidden="false" customHeight="false" outlineLevel="0" collapsed="false">
      <c r="A1224" s="19" t="s">
        <v>4428</v>
      </c>
      <c r="B1224" s="19" t="s">
        <v>943</v>
      </c>
      <c r="C1224" s="19" t="s">
        <v>944</v>
      </c>
      <c r="D1224" s="19" t="s">
        <v>148</v>
      </c>
      <c r="E1224" s="19" t="s">
        <v>147</v>
      </c>
      <c r="F1224" s="19" t="s">
        <v>169</v>
      </c>
      <c r="G1224" s="19" t="n">
        <v>141</v>
      </c>
      <c r="H1224" s="19" t="s">
        <v>170</v>
      </c>
      <c r="I1224" s="20" t="n">
        <v>454.374</v>
      </c>
      <c r="J1224" s="19" t="n">
        <f aca="false">IF(I1224="","",MIN(Overview!$B$8,MAX(1,CEILING(I1224/Overview!$B$7,1))))</f>
        <v>91</v>
      </c>
      <c r="K1224" s="19" t="n">
        <v>1</v>
      </c>
      <c r="L1224" s="19"/>
      <c r="M1224" s="20" t="n">
        <v>3.6</v>
      </c>
      <c r="N1224" s="19"/>
      <c r="O1224" s="19"/>
      <c r="P1224" s="19" t="s">
        <v>1573</v>
      </c>
      <c r="Q1224" s="19" t="s">
        <v>1021</v>
      </c>
      <c r="R1224" s="21" t="n">
        <v>35861</v>
      </c>
      <c r="S1224" s="19" t="s">
        <v>1574</v>
      </c>
      <c r="T1224" s="19" t="s">
        <v>4429</v>
      </c>
      <c r="U1224" s="19" t="str">
        <f aca="false">HYPERLINK("https://macaulaylibrary.org/asset/99581141","Open")</f>
        <v>Open</v>
      </c>
      <c r="V1224" s="19"/>
    </row>
    <row r="1225" customFormat="false" ht="15" hidden="false" customHeight="false" outlineLevel="0" collapsed="false">
      <c r="A1225" s="19" t="s">
        <v>4430</v>
      </c>
      <c r="B1225" s="19" t="s">
        <v>943</v>
      </c>
      <c r="C1225" s="19" t="s">
        <v>944</v>
      </c>
      <c r="D1225" s="19" t="s">
        <v>148</v>
      </c>
      <c r="E1225" s="19" t="s">
        <v>147</v>
      </c>
      <c r="F1225" s="19" t="s">
        <v>425</v>
      </c>
      <c r="G1225" s="19" t="n">
        <v>142</v>
      </c>
      <c r="H1225" s="19" t="s">
        <v>426</v>
      </c>
      <c r="I1225" s="20" t="n">
        <v>50.039</v>
      </c>
      <c r="J1225" s="19" t="n">
        <f aca="false">IF(I1225="","",MIN(Overview!$B$8,MAX(1,CEILING(I1225/Overview!$B$7,1))))</f>
        <v>11</v>
      </c>
      <c r="K1225" s="19" t="n">
        <v>1</v>
      </c>
      <c r="L1225" s="19"/>
      <c r="M1225" s="20" t="n">
        <v>2</v>
      </c>
      <c r="N1225" s="19"/>
      <c r="O1225" s="19"/>
      <c r="P1225" s="19" t="s">
        <v>4431</v>
      </c>
      <c r="Q1225" s="19" t="s">
        <v>1781</v>
      </c>
      <c r="R1225" s="21" t="n">
        <v>30406</v>
      </c>
      <c r="S1225" s="19" t="s">
        <v>4432</v>
      </c>
      <c r="T1225" s="19" t="s">
        <v>4433</v>
      </c>
      <c r="U1225" s="19" t="str">
        <f aca="false">HYPERLINK("https://macaulaylibrary.org/asset/31397","Open")</f>
        <v>Open</v>
      </c>
      <c r="V1225" s="19" t="s">
        <v>4434</v>
      </c>
    </row>
    <row r="1226" customFormat="false" ht="15" hidden="false" customHeight="false" outlineLevel="0" collapsed="false">
      <c r="A1226" s="19" t="s">
        <v>4435</v>
      </c>
      <c r="B1226" s="19" t="s">
        <v>943</v>
      </c>
      <c r="C1226" s="19" t="s">
        <v>944</v>
      </c>
      <c r="D1226" s="19" t="s">
        <v>148</v>
      </c>
      <c r="E1226" s="19" t="s">
        <v>147</v>
      </c>
      <c r="F1226" s="19" t="s">
        <v>425</v>
      </c>
      <c r="G1226" s="19" t="n">
        <v>142</v>
      </c>
      <c r="H1226" s="19" t="s">
        <v>426</v>
      </c>
      <c r="I1226" s="20" t="n">
        <v>29.907</v>
      </c>
      <c r="J1226" s="19" t="n">
        <f aca="false">IF(I1226="","",MIN(Overview!$B$8,MAX(1,CEILING(I1226/Overview!$B$7,1))))</f>
        <v>6</v>
      </c>
      <c r="K1226" s="19" t="n">
        <v>1</v>
      </c>
      <c r="L1226" s="19"/>
      <c r="M1226" s="20" t="n">
        <v>2.5</v>
      </c>
      <c r="N1226" s="19"/>
      <c r="O1226" s="19"/>
      <c r="P1226" s="19" t="s">
        <v>4436</v>
      </c>
      <c r="Q1226" s="19" t="s">
        <v>1289</v>
      </c>
      <c r="R1226" s="21" t="n">
        <v>42543</v>
      </c>
      <c r="S1226" s="19" t="s">
        <v>1009</v>
      </c>
      <c r="T1226" s="19" t="s">
        <v>4437</v>
      </c>
      <c r="U1226" s="19" t="str">
        <f aca="false">HYPERLINK("https://macaulaylibrary.org/asset/32600711","Open")</f>
        <v>Open</v>
      </c>
      <c r="V1226" s="19"/>
    </row>
    <row r="1227" customFormat="false" ht="15" hidden="false" customHeight="false" outlineLevel="0" collapsed="false">
      <c r="A1227" s="19" t="s">
        <v>4438</v>
      </c>
      <c r="B1227" s="19" t="s">
        <v>943</v>
      </c>
      <c r="C1227" s="19" t="s">
        <v>944</v>
      </c>
      <c r="D1227" s="19" t="s">
        <v>148</v>
      </c>
      <c r="E1227" s="19" t="s">
        <v>147</v>
      </c>
      <c r="F1227" s="19" t="s">
        <v>425</v>
      </c>
      <c r="G1227" s="19" t="n">
        <v>142</v>
      </c>
      <c r="H1227" s="19" t="s">
        <v>426</v>
      </c>
      <c r="I1227" s="20" t="n">
        <v>12.511</v>
      </c>
      <c r="J1227" s="19" t="n">
        <f aca="false">IF(I1227="","",MIN(Overview!$B$8,MAX(1,CEILING(I1227/Overview!$B$7,1))))</f>
        <v>3</v>
      </c>
      <c r="K1227" s="19" t="n">
        <v>1</v>
      </c>
      <c r="L1227" s="19"/>
      <c r="M1227" s="20" t="n">
        <v>3</v>
      </c>
      <c r="N1227" s="19"/>
      <c r="O1227" s="19"/>
      <c r="P1227" s="19" t="s">
        <v>2091</v>
      </c>
      <c r="Q1227" s="19" t="s">
        <v>2085</v>
      </c>
      <c r="R1227" s="21" t="n">
        <v>44548</v>
      </c>
      <c r="S1227" s="19" t="s">
        <v>1144</v>
      </c>
      <c r="T1227" s="19" t="s">
        <v>4439</v>
      </c>
      <c r="U1227" s="19" t="str">
        <f aca="false">HYPERLINK("https://macaulaylibrary.org/asset/403406751","Open")</f>
        <v>Open</v>
      </c>
      <c r="V1227" s="19"/>
    </row>
    <row r="1228" customFormat="false" ht="15" hidden="false" customHeight="false" outlineLevel="0" collapsed="false">
      <c r="A1228" s="19" t="s">
        <v>4440</v>
      </c>
      <c r="B1228" s="19" t="s">
        <v>943</v>
      </c>
      <c r="C1228" s="19" t="s">
        <v>944</v>
      </c>
      <c r="D1228" s="19" t="s">
        <v>148</v>
      </c>
      <c r="E1228" s="19" t="s">
        <v>147</v>
      </c>
      <c r="F1228" s="19" t="s">
        <v>425</v>
      </c>
      <c r="G1228" s="19" t="n">
        <v>142</v>
      </c>
      <c r="H1228" s="19" t="s">
        <v>426</v>
      </c>
      <c r="I1228" s="20" t="n">
        <v>16.8</v>
      </c>
      <c r="J1228" s="19" t="n">
        <f aca="false">IF(I1228="","",MIN(Overview!$B$8,MAX(1,CEILING(I1228/Overview!$B$7,1))))</f>
        <v>4</v>
      </c>
      <c r="K1228" s="19" t="n">
        <v>1</v>
      </c>
      <c r="L1228" s="19"/>
      <c r="M1228" s="20" t="n">
        <v>3</v>
      </c>
      <c r="N1228" s="19"/>
      <c r="O1228" s="19"/>
      <c r="P1228" s="19" t="s">
        <v>2528</v>
      </c>
      <c r="Q1228" s="19" t="s">
        <v>951</v>
      </c>
      <c r="R1228" s="21" t="n">
        <v>45222</v>
      </c>
      <c r="S1228" s="19" t="s">
        <v>2529</v>
      </c>
      <c r="T1228" s="19" t="s">
        <v>4441</v>
      </c>
      <c r="U1228" s="19" t="str">
        <f aca="false">HYPERLINK("https://macaulaylibrary.org/asset/610540376","Open")</f>
        <v>Open</v>
      </c>
      <c r="V1228" s="19"/>
    </row>
    <row r="1229" customFormat="false" ht="15" hidden="false" customHeight="false" outlineLevel="0" collapsed="false">
      <c r="A1229" s="19" t="s">
        <v>4442</v>
      </c>
      <c r="B1229" s="19" t="s">
        <v>943</v>
      </c>
      <c r="C1229" s="19" t="s">
        <v>944</v>
      </c>
      <c r="D1229" s="19" t="s">
        <v>148</v>
      </c>
      <c r="E1229" s="19" t="s">
        <v>147</v>
      </c>
      <c r="F1229" s="19" t="s">
        <v>425</v>
      </c>
      <c r="G1229" s="19" t="n">
        <v>142</v>
      </c>
      <c r="H1229" s="19" t="s">
        <v>426</v>
      </c>
      <c r="I1229" s="20" t="n">
        <v>17.976</v>
      </c>
      <c r="J1229" s="19" t="n">
        <f aca="false">IF(I1229="","",MIN(Overview!$B$8,MAX(1,CEILING(I1229/Overview!$B$7,1))))</f>
        <v>4</v>
      </c>
      <c r="K1229" s="19" t="n">
        <v>1</v>
      </c>
      <c r="L1229" s="19"/>
      <c r="M1229" s="20" t="n">
        <v>5</v>
      </c>
      <c r="N1229" s="19"/>
      <c r="O1229" s="19"/>
      <c r="P1229" s="19" t="s">
        <v>4443</v>
      </c>
      <c r="Q1229" s="19" t="s">
        <v>4444</v>
      </c>
      <c r="R1229" s="21" t="n">
        <v>45221</v>
      </c>
      <c r="S1229" s="19" t="s">
        <v>2323</v>
      </c>
      <c r="T1229" s="19" t="s">
        <v>4445</v>
      </c>
      <c r="U1229" s="19" t="str">
        <f aca="false">HYPERLINK("https://macaulaylibrary.org/asset/610907910","Open")</f>
        <v>Open</v>
      </c>
      <c r="V1229" s="19"/>
    </row>
    <row r="1230" customFormat="false" ht="15" hidden="false" customHeight="false" outlineLevel="0" collapsed="false">
      <c r="A1230" s="19" t="s">
        <v>4446</v>
      </c>
      <c r="B1230" s="19" t="s">
        <v>943</v>
      </c>
      <c r="C1230" s="19" t="s">
        <v>944</v>
      </c>
      <c r="D1230" s="19" t="s">
        <v>148</v>
      </c>
      <c r="E1230" s="19" t="s">
        <v>147</v>
      </c>
      <c r="F1230" s="19" t="s">
        <v>425</v>
      </c>
      <c r="G1230" s="19" t="n">
        <v>142</v>
      </c>
      <c r="H1230" s="19" t="s">
        <v>426</v>
      </c>
      <c r="I1230" s="20" t="n">
        <v>30.788</v>
      </c>
      <c r="J1230" s="19" t="n">
        <f aca="false">IF(I1230="","",MIN(Overview!$B$8,MAX(1,CEILING(I1230/Overview!$B$7,1))))</f>
        <v>7</v>
      </c>
      <c r="K1230" s="19" t="n">
        <v>1</v>
      </c>
      <c r="L1230" s="19"/>
      <c r="M1230" s="20" t="n">
        <v>3</v>
      </c>
      <c r="N1230" s="19"/>
      <c r="O1230" s="19" t="s">
        <v>4447</v>
      </c>
      <c r="P1230" s="19" t="s">
        <v>4448</v>
      </c>
      <c r="Q1230" s="19" t="s">
        <v>4449</v>
      </c>
      <c r="R1230" s="21" t="n">
        <v>46033</v>
      </c>
      <c r="S1230" s="19" t="s">
        <v>3737</v>
      </c>
      <c r="T1230" s="19" t="s">
        <v>4450</v>
      </c>
      <c r="U1230" s="19" t="str">
        <f aca="false">HYPERLINK("https://macaulaylibrary.org/asset/650078158","Open")</f>
        <v>Open</v>
      </c>
      <c r="V1230" s="19"/>
    </row>
    <row r="1231" customFormat="false" ht="15" hidden="false" customHeight="false" outlineLevel="0" collapsed="false">
      <c r="A1231" s="19" t="s">
        <v>4451</v>
      </c>
      <c r="B1231" s="19" t="s">
        <v>943</v>
      </c>
      <c r="C1231" s="19" t="s">
        <v>944</v>
      </c>
      <c r="D1231" s="19" t="s">
        <v>400</v>
      </c>
      <c r="E1231" s="19" t="s">
        <v>147</v>
      </c>
      <c r="F1231" s="19" t="s">
        <v>541</v>
      </c>
      <c r="G1231" s="19" t="n">
        <v>143</v>
      </c>
      <c r="H1231" s="19" t="s">
        <v>542</v>
      </c>
      <c r="I1231" s="20" t="n">
        <v>16.335</v>
      </c>
      <c r="J1231" s="19" t="n">
        <f aca="false">IF(I1231="","",MIN(Overview!$B$8,MAX(1,CEILING(I1231/Overview!$B$7,1))))</f>
        <v>4</v>
      </c>
      <c r="K1231" s="19" t="n">
        <v>1</v>
      </c>
      <c r="L1231" s="19"/>
      <c r="M1231" s="20" t="n">
        <v>3.67</v>
      </c>
      <c r="N1231" s="19"/>
      <c r="O1231" s="19"/>
      <c r="P1231" s="19" t="s">
        <v>3831</v>
      </c>
      <c r="Q1231" s="19" t="s">
        <v>1021</v>
      </c>
      <c r="R1231" s="21" t="n">
        <v>35862</v>
      </c>
      <c r="S1231" s="19" t="s">
        <v>1036</v>
      </c>
      <c r="T1231" s="19" t="s">
        <v>4452</v>
      </c>
      <c r="U1231" s="19" t="str">
        <f aca="false">HYPERLINK("https://macaulaylibrary.org/asset/177720191","Open")</f>
        <v>Open</v>
      </c>
      <c r="V1231" s="19"/>
    </row>
    <row r="1232" customFormat="false" ht="15" hidden="false" customHeight="false" outlineLevel="0" collapsed="false">
      <c r="A1232" s="19" t="s">
        <v>4453</v>
      </c>
      <c r="B1232" s="19" t="s">
        <v>943</v>
      </c>
      <c r="C1232" s="19" t="s">
        <v>944</v>
      </c>
      <c r="D1232" s="19" t="s">
        <v>400</v>
      </c>
      <c r="E1232" s="19" t="s">
        <v>147</v>
      </c>
      <c r="F1232" s="19" t="s">
        <v>541</v>
      </c>
      <c r="G1232" s="19" t="n">
        <v>143</v>
      </c>
      <c r="H1232" s="19" t="s">
        <v>542</v>
      </c>
      <c r="I1232" s="20" t="n">
        <v>23.818</v>
      </c>
      <c r="J1232" s="19" t="n">
        <f aca="false">IF(I1232="","",MIN(Overview!$B$8,MAX(1,CEILING(I1232/Overview!$B$7,1))))</f>
        <v>5</v>
      </c>
      <c r="K1232" s="19" t="n">
        <v>1</v>
      </c>
      <c r="L1232" s="19"/>
      <c r="M1232" s="20" t="n">
        <v>3</v>
      </c>
      <c r="N1232" s="19"/>
      <c r="O1232" s="19"/>
      <c r="P1232" s="19" t="s">
        <v>1274</v>
      </c>
      <c r="Q1232" s="19" t="s">
        <v>980</v>
      </c>
      <c r="R1232" s="21" t="n">
        <v>35209</v>
      </c>
      <c r="S1232" s="19" t="s">
        <v>4454</v>
      </c>
      <c r="T1232" s="19" t="s">
        <v>4455</v>
      </c>
      <c r="U1232" s="19" t="str">
        <f aca="false">HYPERLINK("https://macaulaylibrary.org/asset/185569","Open")</f>
        <v>Open</v>
      </c>
      <c r="V1232" s="19" t="s">
        <v>4456</v>
      </c>
    </row>
    <row r="1233" customFormat="false" ht="15" hidden="false" customHeight="false" outlineLevel="0" collapsed="false">
      <c r="A1233" s="19" t="s">
        <v>4457</v>
      </c>
      <c r="B1233" s="19" t="s">
        <v>943</v>
      </c>
      <c r="C1233" s="19" t="s">
        <v>944</v>
      </c>
      <c r="D1233" s="19" t="s">
        <v>400</v>
      </c>
      <c r="E1233" s="19" t="s">
        <v>147</v>
      </c>
      <c r="F1233" s="19" t="s">
        <v>541</v>
      </c>
      <c r="G1233" s="19" t="n">
        <v>143</v>
      </c>
      <c r="H1233" s="19" t="s">
        <v>542</v>
      </c>
      <c r="I1233" s="20" t="n">
        <v>249.068</v>
      </c>
      <c r="J1233" s="19" t="n">
        <f aca="false">IF(I1233="","",MIN(Overview!$B$8,MAX(1,CEILING(I1233/Overview!$B$7,1))))</f>
        <v>50</v>
      </c>
      <c r="K1233" s="19" t="n">
        <v>1</v>
      </c>
      <c r="L1233" s="19"/>
      <c r="M1233" s="20" t="n">
        <v>3</v>
      </c>
      <c r="N1233" s="19"/>
      <c r="O1233" s="19"/>
      <c r="P1233" s="19" t="s">
        <v>1001</v>
      </c>
      <c r="Q1233" s="19" t="s">
        <v>980</v>
      </c>
      <c r="R1233" s="21" t="n">
        <v>33299</v>
      </c>
      <c r="S1233" s="19" t="s">
        <v>4458</v>
      </c>
      <c r="T1233" s="19" t="s">
        <v>4459</v>
      </c>
      <c r="U1233" s="19" t="str">
        <f aca="false">HYPERLINK("https://macaulaylibrary.org/asset/72657","Open")</f>
        <v>Open</v>
      </c>
      <c r="V1233" s="19" t="s">
        <v>4456</v>
      </c>
    </row>
    <row r="1234" customFormat="false" ht="15" hidden="false" customHeight="false" outlineLevel="0" collapsed="false">
      <c r="A1234" s="19" t="s">
        <v>4460</v>
      </c>
      <c r="B1234" s="19" t="s">
        <v>943</v>
      </c>
      <c r="C1234" s="19" t="s">
        <v>944</v>
      </c>
      <c r="D1234" s="19" t="s">
        <v>400</v>
      </c>
      <c r="E1234" s="19" t="s">
        <v>147</v>
      </c>
      <c r="F1234" s="19" t="s">
        <v>541</v>
      </c>
      <c r="G1234" s="19" t="n">
        <v>143</v>
      </c>
      <c r="H1234" s="19" t="s">
        <v>542</v>
      </c>
      <c r="I1234" s="20" t="n">
        <v>21.934</v>
      </c>
      <c r="J1234" s="19" t="n">
        <f aca="false">IF(I1234="","",MIN(Overview!$B$8,MAX(1,CEILING(I1234/Overview!$B$7,1))))</f>
        <v>5</v>
      </c>
      <c r="K1234" s="19" t="n">
        <v>1</v>
      </c>
      <c r="L1234" s="19"/>
      <c r="M1234" s="20" t="n">
        <v>2</v>
      </c>
      <c r="N1234" s="19"/>
      <c r="O1234" s="19"/>
      <c r="P1234" s="19" t="s">
        <v>1001</v>
      </c>
      <c r="Q1234" s="19" t="s">
        <v>980</v>
      </c>
      <c r="R1234" s="21" t="n">
        <v>33299</v>
      </c>
      <c r="S1234" s="19" t="s">
        <v>1002</v>
      </c>
      <c r="T1234" s="19" t="s">
        <v>4461</v>
      </c>
      <c r="U1234" s="19" t="str">
        <f aca="false">HYPERLINK("https://macaulaylibrary.org/asset/72659","Open")</f>
        <v>Open</v>
      </c>
      <c r="V1234" s="19" t="s">
        <v>4456</v>
      </c>
    </row>
    <row r="1235" customFormat="false" ht="15" hidden="false" customHeight="false" outlineLevel="0" collapsed="false">
      <c r="A1235" s="19" t="s">
        <v>4462</v>
      </c>
      <c r="B1235" s="19" t="s">
        <v>943</v>
      </c>
      <c r="C1235" s="19" t="s">
        <v>944</v>
      </c>
      <c r="D1235" s="19" t="s">
        <v>400</v>
      </c>
      <c r="E1235" s="19" t="s">
        <v>147</v>
      </c>
      <c r="F1235" s="19" t="s">
        <v>541</v>
      </c>
      <c r="G1235" s="19" t="n">
        <v>143</v>
      </c>
      <c r="H1235" s="19" t="s">
        <v>542</v>
      </c>
      <c r="I1235" s="20" t="n">
        <v>27.576</v>
      </c>
      <c r="J1235" s="19" t="n">
        <f aca="false">IF(I1235="","",MIN(Overview!$B$8,MAX(1,CEILING(I1235/Overview!$B$7,1))))</f>
        <v>6</v>
      </c>
      <c r="K1235" s="19" t="n">
        <v>1</v>
      </c>
      <c r="L1235" s="19"/>
      <c r="M1235" s="20" t="n">
        <v>2</v>
      </c>
      <c r="N1235" s="19"/>
      <c r="O1235" s="19"/>
      <c r="P1235" s="19" t="s">
        <v>4463</v>
      </c>
      <c r="Q1235" s="19" t="s">
        <v>980</v>
      </c>
      <c r="R1235" s="21"/>
      <c r="S1235" s="19" t="s">
        <v>3250</v>
      </c>
      <c r="T1235" s="19" t="s">
        <v>4464</v>
      </c>
      <c r="U1235" s="19" t="str">
        <f aca="false">HYPERLINK("https://macaulaylibrary.org/asset/72662","Open")</f>
        <v>Open</v>
      </c>
      <c r="V1235" s="19" t="s">
        <v>4456</v>
      </c>
    </row>
    <row r="1236" customFormat="false" ht="15" hidden="false" customHeight="false" outlineLevel="0" collapsed="false">
      <c r="A1236" s="19" t="s">
        <v>4465</v>
      </c>
      <c r="B1236" s="19" t="s">
        <v>1005</v>
      </c>
      <c r="C1236" s="19" t="s">
        <v>944</v>
      </c>
      <c r="D1236" s="19" t="s">
        <v>647</v>
      </c>
      <c r="E1236" s="19" t="s">
        <v>147</v>
      </c>
      <c r="F1236" s="19" t="s">
        <v>664</v>
      </c>
      <c r="G1236" s="19" t="n">
        <v>144</v>
      </c>
      <c r="H1236" s="19" t="s">
        <v>665</v>
      </c>
      <c r="I1236" s="20" t="n">
        <v>34.44</v>
      </c>
      <c r="J1236" s="19" t="n">
        <f aca="false">IF(I1236="","",MIN(Overview!$B$8,MAX(1,CEILING(I1236/Overview!$B$7,1))))</f>
        <v>7</v>
      </c>
      <c r="K1236" s="19" t="n">
        <v>1</v>
      </c>
      <c r="L1236" s="19"/>
      <c r="M1236" s="20"/>
      <c r="N1236" s="19" t="s">
        <v>1006</v>
      </c>
      <c r="O1236" s="19"/>
      <c r="P1236" s="19" t="s">
        <v>2262</v>
      </c>
      <c r="Q1236" s="19" t="s">
        <v>1008</v>
      </c>
      <c r="R1236" s="21" t="n">
        <v>42579</v>
      </c>
      <c r="S1236" s="19" t="s">
        <v>1387</v>
      </c>
      <c r="T1236" s="19" t="s">
        <v>4466</v>
      </c>
      <c r="U1236" s="19" t="str">
        <f aca="false">HYPERLINK("https://xeno-canto.org/331646","Open")</f>
        <v>Open</v>
      </c>
      <c r="V1236" s="19" t="s">
        <v>2267</v>
      </c>
    </row>
    <row r="1237" customFormat="false" ht="15" hidden="false" customHeight="false" outlineLevel="0" collapsed="false">
      <c r="A1237" s="19" t="s">
        <v>4467</v>
      </c>
      <c r="B1237" s="19" t="s">
        <v>1005</v>
      </c>
      <c r="C1237" s="19" t="s">
        <v>944</v>
      </c>
      <c r="D1237" s="19" t="s">
        <v>647</v>
      </c>
      <c r="E1237" s="19" t="s">
        <v>147</v>
      </c>
      <c r="F1237" s="19" t="s">
        <v>664</v>
      </c>
      <c r="G1237" s="19" t="n">
        <v>144</v>
      </c>
      <c r="H1237" s="19" t="s">
        <v>665</v>
      </c>
      <c r="I1237" s="20" t="n">
        <v>66.534</v>
      </c>
      <c r="J1237" s="19" t="n">
        <f aca="false">IF(I1237="","",MIN(Overview!$B$8,MAX(1,CEILING(I1237/Overview!$B$7,1))))</f>
        <v>14</v>
      </c>
      <c r="K1237" s="19" t="n">
        <v>1</v>
      </c>
      <c r="L1237" s="19"/>
      <c r="M1237" s="20"/>
      <c r="N1237" s="19" t="s">
        <v>1006</v>
      </c>
      <c r="O1237" s="19"/>
      <c r="P1237" s="19" t="s">
        <v>3934</v>
      </c>
      <c r="Q1237" s="19" t="s">
        <v>1008</v>
      </c>
      <c r="R1237" s="21" t="n">
        <v>42582</v>
      </c>
      <c r="S1237" s="19" t="s">
        <v>1534</v>
      </c>
      <c r="T1237" s="19" t="s">
        <v>4468</v>
      </c>
      <c r="U1237" s="19" t="str">
        <f aca="false">HYPERLINK("https://xeno-canto.org/332568","Open")</f>
        <v>Open</v>
      </c>
      <c r="V1237" s="19" t="s">
        <v>4469</v>
      </c>
    </row>
    <row r="1238" customFormat="false" ht="15" hidden="false" customHeight="false" outlineLevel="0" collapsed="false">
      <c r="A1238" s="19" t="s">
        <v>4470</v>
      </c>
      <c r="B1238" s="19" t="s">
        <v>1005</v>
      </c>
      <c r="C1238" s="19" t="s">
        <v>944</v>
      </c>
      <c r="D1238" s="19" t="s">
        <v>647</v>
      </c>
      <c r="E1238" s="19" t="s">
        <v>147</v>
      </c>
      <c r="F1238" s="19" t="s">
        <v>664</v>
      </c>
      <c r="G1238" s="19" t="n">
        <v>144</v>
      </c>
      <c r="H1238" s="19" t="s">
        <v>665</v>
      </c>
      <c r="I1238" s="20" t="n">
        <v>27.063</v>
      </c>
      <c r="J1238" s="19" t="n">
        <f aca="false">IF(I1238="","",MIN(Overview!$B$8,MAX(1,CEILING(I1238/Overview!$B$7,1))))</f>
        <v>6</v>
      </c>
      <c r="K1238" s="19" t="n">
        <v>1</v>
      </c>
      <c r="L1238" s="19"/>
      <c r="M1238" s="20"/>
      <c r="N1238" s="19" t="s">
        <v>1006</v>
      </c>
      <c r="O1238" s="19"/>
      <c r="P1238" s="19" t="s">
        <v>3934</v>
      </c>
      <c r="Q1238" s="19" t="s">
        <v>1008</v>
      </c>
      <c r="R1238" s="21" t="n">
        <v>42582</v>
      </c>
      <c r="S1238" s="19" t="s">
        <v>1534</v>
      </c>
      <c r="T1238" s="19" t="s">
        <v>4471</v>
      </c>
      <c r="U1238" s="19" t="str">
        <f aca="false">HYPERLINK("https://xeno-canto.org/332569","Open")</f>
        <v>Open</v>
      </c>
      <c r="V1238" s="19" t="s">
        <v>4469</v>
      </c>
    </row>
    <row r="1239" customFormat="false" ht="15" hidden="false" customHeight="false" outlineLevel="0" collapsed="false">
      <c r="A1239" s="19" t="s">
        <v>4472</v>
      </c>
      <c r="B1239" s="19" t="s">
        <v>943</v>
      </c>
      <c r="C1239" s="19" t="s">
        <v>944</v>
      </c>
      <c r="D1239" s="19" t="s">
        <v>148</v>
      </c>
      <c r="E1239" s="19" t="s">
        <v>147</v>
      </c>
      <c r="F1239" s="19" t="s">
        <v>231</v>
      </c>
      <c r="G1239" s="19" t="n">
        <v>145</v>
      </c>
      <c r="H1239" s="19" t="s">
        <v>232</v>
      </c>
      <c r="I1239" s="20" t="n">
        <v>267.502</v>
      </c>
      <c r="J1239" s="19" t="n">
        <f aca="false">IF(I1239="","",MIN(Overview!$B$8,MAX(1,CEILING(I1239/Overview!$B$7,1))))</f>
        <v>54</v>
      </c>
      <c r="K1239" s="19" t="n">
        <v>1</v>
      </c>
      <c r="L1239" s="19"/>
      <c r="M1239" s="20" t="n">
        <v>2</v>
      </c>
      <c r="N1239" s="19"/>
      <c r="O1239" s="19" t="s">
        <v>4473</v>
      </c>
      <c r="P1239" s="19" t="s">
        <v>4474</v>
      </c>
      <c r="Q1239" s="19" t="s">
        <v>980</v>
      </c>
      <c r="R1239" s="21" t="n">
        <v>35210</v>
      </c>
      <c r="S1239" s="19"/>
      <c r="T1239" s="19" t="s">
        <v>4475</v>
      </c>
      <c r="U1239" s="19" t="str">
        <f aca="false">HYPERLINK("https://macaulaylibrary.org/asset/185576","Open")</f>
        <v>Open</v>
      </c>
      <c r="V1239" s="19" t="s">
        <v>4476</v>
      </c>
    </row>
    <row r="1240" customFormat="false" ht="15" hidden="false" customHeight="false" outlineLevel="0" collapsed="false">
      <c r="A1240" s="19" t="s">
        <v>4477</v>
      </c>
      <c r="B1240" s="19" t="s">
        <v>943</v>
      </c>
      <c r="C1240" s="19" t="s">
        <v>944</v>
      </c>
      <c r="D1240" s="19" t="s">
        <v>148</v>
      </c>
      <c r="E1240" s="19" t="s">
        <v>147</v>
      </c>
      <c r="F1240" s="19" t="s">
        <v>231</v>
      </c>
      <c r="G1240" s="19" t="n">
        <v>145</v>
      </c>
      <c r="H1240" s="19" t="s">
        <v>232</v>
      </c>
      <c r="I1240" s="20" t="n">
        <v>24.96</v>
      </c>
      <c r="J1240" s="19" t="n">
        <f aca="false">IF(I1240="","",MIN(Overview!$B$8,MAX(1,CEILING(I1240/Overview!$B$7,1))))</f>
        <v>5</v>
      </c>
      <c r="K1240" s="19" t="n">
        <v>1</v>
      </c>
      <c r="L1240" s="19"/>
      <c r="M1240" s="20" t="n">
        <v>2.5</v>
      </c>
      <c r="N1240" s="19"/>
      <c r="O1240" s="19"/>
      <c r="P1240" s="19" t="s">
        <v>3195</v>
      </c>
      <c r="Q1240" s="19" t="s">
        <v>965</v>
      </c>
      <c r="R1240" s="21" t="n">
        <v>43813</v>
      </c>
      <c r="S1240" s="19" t="s">
        <v>3196</v>
      </c>
      <c r="T1240" s="19" t="s">
        <v>4478</v>
      </c>
      <c r="U1240" s="19" t="str">
        <f aca="false">HYPERLINK("https://macaulaylibrary.org/asset/193417321","Open")</f>
        <v>Open</v>
      </c>
      <c r="V1240" s="19"/>
    </row>
    <row r="1241" customFormat="false" ht="15" hidden="false" customHeight="false" outlineLevel="0" collapsed="false">
      <c r="A1241" s="19" t="s">
        <v>4479</v>
      </c>
      <c r="B1241" s="19" t="s">
        <v>943</v>
      </c>
      <c r="C1241" s="19" t="s">
        <v>944</v>
      </c>
      <c r="D1241" s="19" t="s">
        <v>148</v>
      </c>
      <c r="E1241" s="19" t="s">
        <v>147</v>
      </c>
      <c r="F1241" s="19" t="s">
        <v>231</v>
      </c>
      <c r="G1241" s="19" t="n">
        <v>145</v>
      </c>
      <c r="H1241" s="19" t="s">
        <v>232</v>
      </c>
      <c r="I1241" s="20" t="n">
        <v>27.691</v>
      </c>
      <c r="J1241" s="19" t="n">
        <f aca="false">IF(I1241="","",MIN(Overview!$B$8,MAX(1,CEILING(I1241/Overview!$B$7,1))))</f>
        <v>6</v>
      </c>
      <c r="K1241" s="19" t="n">
        <v>1</v>
      </c>
      <c r="L1241" s="19"/>
      <c r="M1241" s="20" t="n">
        <v>5</v>
      </c>
      <c r="N1241" s="19"/>
      <c r="O1241" s="19"/>
      <c r="P1241" s="19" t="s">
        <v>3195</v>
      </c>
      <c r="Q1241" s="19" t="s">
        <v>965</v>
      </c>
      <c r="R1241" s="21" t="n">
        <v>43813</v>
      </c>
      <c r="S1241" s="19" t="s">
        <v>3196</v>
      </c>
      <c r="T1241" s="19" t="s">
        <v>4480</v>
      </c>
      <c r="U1241" s="19" t="str">
        <f aca="false">HYPERLINK("https://macaulaylibrary.org/asset/193417401","Open")</f>
        <v>Open</v>
      </c>
      <c r="V1241" s="19"/>
    </row>
    <row r="1242" customFormat="false" ht="15" hidden="false" customHeight="false" outlineLevel="0" collapsed="false">
      <c r="A1242" s="19" t="s">
        <v>4481</v>
      </c>
      <c r="B1242" s="19" t="s">
        <v>943</v>
      </c>
      <c r="C1242" s="19" t="s">
        <v>944</v>
      </c>
      <c r="D1242" s="19" t="s">
        <v>148</v>
      </c>
      <c r="E1242" s="19" t="s">
        <v>147</v>
      </c>
      <c r="F1242" s="19" t="s">
        <v>231</v>
      </c>
      <c r="G1242" s="19" t="n">
        <v>145</v>
      </c>
      <c r="H1242" s="19" t="s">
        <v>232</v>
      </c>
      <c r="I1242" s="20" t="n">
        <v>47.638</v>
      </c>
      <c r="J1242" s="19" t="n">
        <f aca="false">IF(I1242="","",MIN(Overview!$B$8,MAX(1,CEILING(I1242/Overview!$B$7,1))))</f>
        <v>10</v>
      </c>
      <c r="K1242" s="19" t="n">
        <v>1</v>
      </c>
      <c r="L1242" s="19"/>
      <c r="M1242" s="20" t="n">
        <v>4</v>
      </c>
      <c r="N1242" s="19"/>
      <c r="O1242" s="19"/>
      <c r="P1242" s="19" t="s">
        <v>1029</v>
      </c>
      <c r="Q1242" s="19" t="s">
        <v>1030</v>
      </c>
      <c r="R1242" s="21" t="n">
        <v>40251</v>
      </c>
      <c r="S1242" s="19" t="s">
        <v>1884</v>
      </c>
      <c r="T1242" s="19" t="s">
        <v>4482</v>
      </c>
      <c r="U1242" s="19" t="str">
        <f aca="false">HYPERLINK("https://macaulaylibrary.org/asset/299665","Open")</f>
        <v>Open</v>
      </c>
      <c r="V1242" s="19"/>
    </row>
    <row r="1243" customFormat="false" ht="15" hidden="false" customHeight="false" outlineLevel="0" collapsed="false">
      <c r="A1243" s="19" t="s">
        <v>4483</v>
      </c>
      <c r="B1243" s="19" t="s">
        <v>943</v>
      </c>
      <c r="C1243" s="19" t="s">
        <v>944</v>
      </c>
      <c r="D1243" s="19" t="s">
        <v>148</v>
      </c>
      <c r="E1243" s="19" t="s">
        <v>147</v>
      </c>
      <c r="F1243" s="19" t="s">
        <v>231</v>
      </c>
      <c r="G1243" s="19" t="n">
        <v>145</v>
      </c>
      <c r="H1243" s="19" t="s">
        <v>232</v>
      </c>
      <c r="I1243" s="20" t="n">
        <v>19.666</v>
      </c>
      <c r="J1243" s="19" t="n">
        <f aca="false">IF(I1243="","",MIN(Overview!$B$8,MAX(1,CEILING(I1243/Overview!$B$7,1))))</f>
        <v>4</v>
      </c>
      <c r="K1243" s="19" t="n">
        <v>1</v>
      </c>
      <c r="L1243" s="19"/>
      <c r="M1243" s="20" t="n">
        <v>4</v>
      </c>
      <c r="N1243" s="19"/>
      <c r="O1243" s="19"/>
      <c r="P1243" s="19" t="s">
        <v>2381</v>
      </c>
      <c r="Q1243" s="19" t="s">
        <v>1408</v>
      </c>
      <c r="R1243" s="21" t="n">
        <v>32098</v>
      </c>
      <c r="S1243" s="19" t="s">
        <v>1009</v>
      </c>
      <c r="T1243" s="19" t="s">
        <v>4484</v>
      </c>
      <c r="U1243" s="19" t="str">
        <f aca="false">HYPERLINK("https://macaulaylibrary.org/asset/338491121","Open")</f>
        <v>Open</v>
      </c>
      <c r="V1243" s="19"/>
    </row>
    <row r="1244" customFormat="false" ht="15" hidden="false" customHeight="false" outlineLevel="0" collapsed="false">
      <c r="A1244" s="19" t="s">
        <v>4485</v>
      </c>
      <c r="B1244" s="19" t="s">
        <v>943</v>
      </c>
      <c r="C1244" s="19" t="s">
        <v>944</v>
      </c>
      <c r="D1244" s="19" t="s">
        <v>148</v>
      </c>
      <c r="E1244" s="19" t="s">
        <v>147</v>
      </c>
      <c r="F1244" s="19" t="s">
        <v>231</v>
      </c>
      <c r="G1244" s="19" t="n">
        <v>145</v>
      </c>
      <c r="H1244" s="19" t="s">
        <v>232</v>
      </c>
      <c r="I1244" s="20" t="n">
        <v>16.527</v>
      </c>
      <c r="J1244" s="19" t="n">
        <f aca="false">IF(I1244="","",MIN(Overview!$B$8,MAX(1,CEILING(I1244/Overview!$B$7,1))))</f>
        <v>4</v>
      </c>
      <c r="K1244" s="19" t="n">
        <v>1</v>
      </c>
      <c r="L1244" s="19"/>
      <c r="M1244" s="20"/>
      <c r="N1244" s="19"/>
      <c r="O1244" s="19"/>
      <c r="P1244" s="19" t="s">
        <v>1887</v>
      </c>
      <c r="Q1244" s="19" t="s">
        <v>1888</v>
      </c>
      <c r="R1244" s="21" t="n">
        <v>44643</v>
      </c>
      <c r="S1244" s="19" t="s">
        <v>1889</v>
      </c>
      <c r="T1244" s="19" t="s">
        <v>4486</v>
      </c>
      <c r="U1244" s="19" t="str">
        <f aca="false">HYPERLINK("https://macaulaylibrary.org/asset/462750961","Open")</f>
        <v>Open</v>
      </c>
      <c r="V1244" s="19"/>
    </row>
    <row r="1245" customFormat="false" ht="15" hidden="false" customHeight="false" outlineLevel="0" collapsed="false">
      <c r="A1245" s="19" t="s">
        <v>4487</v>
      </c>
      <c r="B1245" s="19" t="s">
        <v>943</v>
      </c>
      <c r="C1245" s="19" t="s">
        <v>944</v>
      </c>
      <c r="D1245" s="19" t="s">
        <v>148</v>
      </c>
      <c r="E1245" s="19" t="s">
        <v>147</v>
      </c>
      <c r="F1245" s="19" t="s">
        <v>231</v>
      </c>
      <c r="G1245" s="19" t="n">
        <v>145</v>
      </c>
      <c r="H1245" s="19" t="s">
        <v>232</v>
      </c>
      <c r="I1245" s="20" t="n">
        <v>14.548</v>
      </c>
      <c r="J1245" s="19" t="n">
        <f aca="false">IF(I1245="","",MIN(Overview!$B$8,MAX(1,CEILING(I1245/Overview!$B$7,1))))</f>
        <v>3</v>
      </c>
      <c r="K1245" s="19" t="n">
        <v>1</v>
      </c>
      <c r="L1245" s="19"/>
      <c r="M1245" s="20"/>
      <c r="N1245" s="19"/>
      <c r="O1245" s="19"/>
      <c r="P1245" s="19" t="s">
        <v>1360</v>
      </c>
      <c r="Q1245" s="19" t="s">
        <v>1076</v>
      </c>
      <c r="R1245" s="21" t="n">
        <v>43399</v>
      </c>
      <c r="S1245" s="19" t="s">
        <v>1361</v>
      </c>
      <c r="T1245" s="19" t="s">
        <v>4488</v>
      </c>
      <c r="U1245" s="19" t="str">
        <f aca="false">HYPERLINK("https://macaulaylibrary.org/asset/471206741","Open")</f>
        <v>Open</v>
      </c>
      <c r="V1245" s="19"/>
    </row>
    <row r="1246" customFormat="false" ht="15" hidden="false" customHeight="false" outlineLevel="0" collapsed="false">
      <c r="A1246" s="19" t="s">
        <v>4489</v>
      </c>
      <c r="B1246" s="19" t="s">
        <v>943</v>
      </c>
      <c r="C1246" s="19" t="s">
        <v>944</v>
      </c>
      <c r="D1246" s="19" t="s">
        <v>148</v>
      </c>
      <c r="E1246" s="19" t="s">
        <v>147</v>
      </c>
      <c r="F1246" s="19" t="s">
        <v>231</v>
      </c>
      <c r="G1246" s="19" t="n">
        <v>145</v>
      </c>
      <c r="H1246" s="19" t="s">
        <v>232</v>
      </c>
      <c r="I1246" s="20" t="n">
        <v>7.957</v>
      </c>
      <c r="J1246" s="19" t="n">
        <f aca="false">IF(I1246="","",MIN(Overview!$B$8,MAX(1,CEILING(I1246/Overview!$B$7,1))))</f>
        <v>2</v>
      </c>
      <c r="K1246" s="19" t="n">
        <v>1</v>
      </c>
      <c r="L1246" s="19"/>
      <c r="M1246" s="20"/>
      <c r="N1246" s="19"/>
      <c r="O1246" s="19"/>
      <c r="P1246" s="19" t="s">
        <v>1360</v>
      </c>
      <c r="Q1246" s="19" t="s">
        <v>1076</v>
      </c>
      <c r="R1246" s="21" t="n">
        <v>43399</v>
      </c>
      <c r="S1246" s="19" t="s">
        <v>1361</v>
      </c>
      <c r="T1246" s="19" t="s">
        <v>4490</v>
      </c>
      <c r="U1246" s="19" t="str">
        <f aca="false">HYPERLINK("https://macaulaylibrary.org/asset/471206971","Open")</f>
        <v>Open</v>
      </c>
      <c r="V1246" s="19"/>
    </row>
    <row r="1247" customFormat="false" ht="15" hidden="false" customHeight="false" outlineLevel="0" collapsed="false">
      <c r="A1247" s="19" t="s">
        <v>4491</v>
      </c>
      <c r="B1247" s="19" t="s">
        <v>943</v>
      </c>
      <c r="C1247" s="19" t="s">
        <v>944</v>
      </c>
      <c r="D1247" s="19" t="s">
        <v>148</v>
      </c>
      <c r="E1247" s="19" t="s">
        <v>147</v>
      </c>
      <c r="F1247" s="19" t="s">
        <v>231</v>
      </c>
      <c r="G1247" s="19" t="n">
        <v>145</v>
      </c>
      <c r="H1247" s="19" t="s">
        <v>232</v>
      </c>
      <c r="I1247" s="20" t="n">
        <v>48.195</v>
      </c>
      <c r="J1247" s="19" t="n">
        <f aca="false">IF(I1247="","",MIN(Overview!$B$8,MAX(1,CEILING(I1247/Overview!$B$7,1))))</f>
        <v>10</v>
      </c>
      <c r="K1247" s="19" t="n">
        <v>1</v>
      </c>
      <c r="L1247" s="19"/>
      <c r="M1247" s="20" t="n">
        <v>2.2</v>
      </c>
      <c r="N1247" s="19"/>
      <c r="O1247" s="19"/>
      <c r="P1247" s="19" t="s">
        <v>1161</v>
      </c>
      <c r="Q1247" s="19" t="s">
        <v>980</v>
      </c>
      <c r="R1247" s="21" t="n">
        <v>33292</v>
      </c>
      <c r="S1247" s="19"/>
      <c r="T1247" s="19" t="s">
        <v>4492</v>
      </c>
      <c r="U1247" s="19" t="str">
        <f aca="false">HYPERLINK("https://macaulaylibrary.org/asset/57489","Open")</f>
        <v>Open</v>
      </c>
      <c r="V1247" s="19" t="s">
        <v>4476</v>
      </c>
    </row>
    <row r="1248" customFormat="false" ht="15" hidden="false" customHeight="false" outlineLevel="0" collapsed="false">
      <c r="A1248" s="19" t="s">
        <v>4493</v>
      </c>
      <c r="B1248" s="19" t="s">
        <v>943</v>
      </c>
      <c r="C1248" s="19" t="s">
        <v>944</v>
      </c>
      <c r="D1248" s="19" t="s">
        <v>148</v>
      </c>
      <c r="E1248" s="19" t="s">
        <v>147</v>
      </c>
      <c r="F1248" s="19" t="s">
        <v>231</v>
      </c>
      <c r="G1248" s="19" t="n">
        <v>145</v>
      </c>
      <c r="H1248" s="19" t="s">
        <v>232</v>
      </c>
      <c r="I1248" s="20" t="n">
        <v>12.381</v>
      </c>
      <c r="J1248" s="19" t="n">
        <f aca="false">IF(I1248="","",MIN(Overview!$B$8,MAX(1,CEILING(I1248/Overview!$B$7,1))))</f>
        <v>3</v>
      </c>
      <c r="K1248" s="19" t="n">
        <v>1</v>
      </c>
      <c r="L1248" s="19"/>
      <c r="M1248" s="20"/>
      <c r="N1248" s="19"/>
      <c r="O1248" s="19"/>
      <c r="P1248" s="19" t="s">
        <v>1170</v>
      </c>
      <c r="Q1248" s="19" t="s">
        <v>1166</v>
      </c>
      <c r="R1248" s="21" t="n">
        <v>44900</v>
      </c>
      <c r="S1248" s="19" t="s">
        <v>1092</v>
      </c>
      <c r="T1248" s="19" t="s">
        <v>4494</v>
      </c>
      <c r="U1248" s="19" t="str">
        <f aca="false">HYPERLINK("https://macaulaylibrary.org/asset/597934301","Open")</f>
        <v>Open</v>
      </c>
      <c r="V1248" s="19"/>
    </row>
    <row r="1249" customFormat="false" ht="15" hidden="false" customHeight="false" outlineLevel="0" collapsed="false">
      <c r="A1249" s="19" t="s">
        <v>4495</v>
      </c>
      <c r="B1249" s="19" t="s">
        <v>943</v>
      </c>
      <c r="C1249" s="19" t="s">
        <v>944</v>
      </c>
      <c r="D1249" s="19" t="s">
        <v>148</v>
      </c>
      <c r="E1249" s="19" t="s">
        <v>147</v>
      </c>
      <c r="F1249" s="19" t="s">
        <v>231</v>
      </c>
      <c r="G1249" s="19" t="n">
        <v>145</v>
      </c>
      <c r="H1249" s="19" t="s">
        <v>232</v>
      </c>
      <c r="I1249" s="20" t="n">
        <v>8.426</v>
      </c>
      <c r="J1249" s="19" t="n">
        <f aca="false">IF(I1249="","",MIN(Overview!$B$8,MAX(1,CEILING(I1249/Overview!$B$7,1))))</f>
        <v>2</v>
      </c>
      <c r="K1249" s="19" t="n">
        <v>1</v>
      </c>
      <c r="L1249" s="19"/>
      <c r="M1249" s="20"/>
      <c r="N1249" s="19"/>
      <c r="O1249" s="19"/>
      <c r="P1249" s="19" t="s">
        <v>1605</v>
      </c>
      <c r="Q1249" s="19" t="s">
        <v>1040</v>
      </c>
      <c r="R1249" s="21" t="n">
        <v>40902</v>
      </c>
      <c r="S1249" s="19" t="s">
        <v>1002</v>
      </c>
      <c r="T1249" s="19" t="s">
        <v>4496</v>
      </c>
      <c r="U1249" s="19" t="str">
        <f aca="false">HYPERLINK("https://macaulaylibrary.org/asset/609056549","Open")</f>
        <v>Open</v>
      </c>
      <c r="V1249" s="19" t="s">
        <v>4476</v>
      </c>
    </row>
    <row r="1250" customFormat="false" ht="15" hidden="false" customHeight="false" outlineLevel="0" collapsed="false">
      <c r="A1250" s="19" t="s">
        <v>4497</v>
      </c>
      <c r="B1250" s="19" t="s">
        <v>943</v>
      </c>
      <c r="C1250" s="19" t="s">
        <v>944</v>
      </c>
      <c r="D1250" s="19" t="s">
        <v>148</v>
      </c>
      <c r="E1250" s="19" t="s">
        <v>147</v>
      </c>
      <c r="F1250" s="19" t="s">
        <v>231</v>
      </c>
      <c r="G1250" s="19" t="n">
        <v>145</v>
      </c>
      <c r="H1250" s="19" t="s">
        <v>232</v>
      </c>
      <c r="I1250" s="20" t="n">
        <v>44.418</v>
      </c>
      <c r="J1250" s="19" t="n">
        <f aca="false">IF(I1250="","",MIN(Overview!$B$8,MAX(1,CEILING(I1250/Overview!$B$7,1))))</f>
        <v>9</v>
      </c>
      <c r="K1250" s="19" t="n">
        <v>1</v>
      </c>
      <c r="L1250" s="19"/>
      <c r="M1250" s="20" t="n">
        <v>3.5</v>
      </c>
      <c r="N1250" s="19"/>
      <c r="O1250" s="19"/>
      <c r="P1250" s="19" t="s">
        <v>3683</v>
      </c>
      <c r="Q1250" s="19" t="s">
        <v>2085</v>
      </c>
      <c r="R1250" s="21" t="n">
        <v>45276</v>
      </c>
      <c r="S1250" s="19" t="s">
        <v>1306</v>
      </c>
      <c r="T1250" s="19" t="s">
        <v>4498</v>
      </c>
      <c r="U1250" s="19" t="str">
        <f aca="false">HYPERLINK("https://macaulaylibrary.org/asset/612553627","Open")</f>
        <v>Open</v>
      </c>
      <c r="V1250" s="19"/>
    </row>
    <row r="1251" customFormat="false" ht="15" hidden="false" customHeight="false" outlineLevel="0" collapsed="false">
      <c r="A1251" s="19" t="s">
        <v>4499</v>
      </c>
      <c r="B1251" s="19" t="s">
        <v>943</v>
      </c>
      <c r="C1251" s="19" t="s">
        <v>944</v>
      </c>
      <c r="D1251" s="19" t="s">
        <v>148</v>
      </c>
      <c r="E1251" s="19" t="s">
        <v>147</v>
      </c>
      <c r="F1251" s="19" t="s">
        <v>231</v>
      </c>
      <c r="G1251" s="19" t="n">
        <v>145</v>
      </c>
      <c r="H1251" s="19" t="s">
        <v>232</v>
      </c>
      <c r="I1251" s="20" t="n">
        <v>27.357</v>
      </c>
      <c r="J1251" s="19" t="n">
        <f aca="false">IF(I1251="","",MIN(Overview!$B$8,MAX(1,CEILING(I1251/Overview!$B$7,1))))</f>
        <v>6</v>
      </c>
      <c r="K1251" s="19" t="n">
        <v>1</v>
      </c>
      <c r="L1251" s="19"/>
      <c r="M1251" s="20" t="n">
        <v>3</v>
      </c>
      <c r="N1251" s="19"/>
      <c r="O1251" s="19"/>
      <c r="P1251" s="19" t="s">
        <v>2532</v>
      </c>
      <c r="Q1251" s="19" t="s">
        <v>1258</v>
      </c>
      <c r="R1251" s="21" t="n">
        <v>45232</v>
      </c>
      <c r="S1251" s="19" t="s">
        <v>2533</v>
      </c>
      <c r="T1251" s="19" t="s">
        <v>4500</v>
      </c>
      <c r="U1251" s="19" t="str">
        <f aca="false">HYPERLINK("https://macaulaylibrary.org/asset/621760338","Open")</f>
        <v>Open</v>
      </c>
      <c r="V1251" s="19"/>
    </row>
    <row r="1252" customFormat="false" ht="15" hidden="false" customHeight="false" outlineLevel="0" collapsed="false">
      <c r="A1252" s="19" t="s">
        <v>4501</v>
      </c>
      <c r="B1252" s="19" t="s">
        <v>943</v>
      </c>
      <c r="C1252" s="19" t="s">
        <v>944</v>
      </c>
      <c r="D1252" s="19" t="s">
        <v>148</v>
      </c>
      <c r="E1252" s="19" t="s">
        <v>147</v>
      </c>
      <c r="F1252" s="19" t="s">
        <v>231</v>
      </c>
      <c r="G1252" s="19" t="n">
        <v>145</v>
      </c>
      <c r="H1252" s="19" t="s">
        <v>232</v>
      </c>
      <c r="I1252" s="20" t="n">
        <v>74.665</v>
      </c>
      <c r="J1252" s="19" t="n">
        <f aca="false">IF(I1252="","",MIN(Overview!$B$8,MAX(1,CEILING(I1252/Overview!$B$7,1))))</f>
        <v>15</v>
      </c>
      <c r="K1252" s="19" t="n">
        <v>1</v>
      </c>
      <c r="L1252" s="19"/>
      <c r="M1252" s="20" t="n">
        <v>3</v>
      </c>
      <c r="N1252" s="19"/>
      <c r="O1252" s="19"/>
      <c r="P1252" s="19" t="s">
        <v>2119</v>
      </c>
      <c r="Q1252" s="19" t="s">
        <v>1368</v>
      </c>
      <c r="R1252" s="21" t="n">
        <v>45489</v>
      </c>
      <c r="S1252" s="19" t="s">
        <v>1211</v>
      </c>
      <c r="T1252" s="19" t="s">
        <v>4502</v>
      </c>
      <c r="U1252" s="19" t="str">
        <f aca="false">HYPERLINK("https://macaulaylibrary.org/asset/623181373","Open")</f>
        <v>Open</v>
      </c>
      <c r="V1252" s="19"/>
    </row>
    <row r="1253" customFormat="false" ht="15" hidden="false" customHeight="false" outlineLevel="0" collapsed="false">
      <c r="A1253" s="19" t="s">
        <v>4503</v>
      </c>
      <c r="B1253" s="19" t="s">
        <v>943</v>
      </c>
      <c r="C1253" s="19" t="s">
        <v>944</v>
      </c>
      <c r="D1253" s="19" t="s">
        <v>148</v>
      </c>
      <c r="E1253" s="19" t="s">
        <v>147</v>
      </c>
      <c r="F1253" s="19" t="s">
        <v>231</v>
      </c>
      <c r="G1253" s="19" t="n">
        <v>145</v>
      </c>
      <c r="H1253" s="19" t="s">
        <v>232</v>
      </c>
      <c r="I1253" s="20" t="n">
        <v>69.021</v>
      </c>
      <c r="J1253" s="19" t="n">
        <f aca="false">IF(I1253="","",MIN(Overview!$B$8,MAX(1,CEILING(I1253/Overview!$B$7,1))))</f>
        <v>14</v>
      </c>
      <c r="K1253" s="19" t="n">
        <v>1</v>
      </c>
      <c r="L1253" s="19"/>
      <c r="M1253" s="20" t="n">
        <v>4.5</v>
      </c>
      <c r="N1253" s="19"/>
      <c r="O1253" s="19"/>
      <c r="P1253" s="19" t="s">
        <v>1367</v>
      </c>
      <c r="Q1253" s="19" t="s">
        <v>1368</v>
      </c>
      <c r="R1253" s="21" t="n">
        <v>45488</v>
      </c>
      <c r="S1253" s="19" t="s">
        <v>1369</v>
      </c>
      <c r="T1253" s="19" t="s">
        <v>4504</v>
      </c>
      <c r="U1253" s="19" t="str">
        <f aca="false">HYPERLINK("https://macaulaylibrary.org/asset/624891253","Open")</f>
        <v>Open</v>
      </c>
      <c r="V1253" s="19"/>
    </row>
    <row r="1254" customFormat="false" ht="15" hidden="false" customHeight="false" outlineLevel="0" collapsed="false">
      <c r="A1254" s="19" t="s">
        <v>4505</v>
      </c>
      <c r="B1254" s="19" t="s">
        <v>943</v>
      </c>
      <c r="C1254" s="19" t="s">
        <v>944</v>
      </c>
      <c r="D1254" s="19" t="s">
        <v>148</v>
      </c>
      <c r="E1254" s="19" t="s">
        <v>147</v>
      </c>
      <c r="F1254" s="19" t="s">
        <v>231</v>
      </c>
      <c r="G1254" s="19" t="n">
        <v>145</v>
      </c>
      <c r="H1254" s="19" t="s">
        <v>232</v>
      </c>
      <c r="I1254" s="20" t="n">
        <v>84.224</v>
      </c>
      <c r="J1254" s="19" t="n">
        <f aca="false">IF(I1254="","",MIN(Overview!$B$8,MAX(1,CEILING(I1254/Overview!$B$7,1))))</f>
        <v>17</v>
      </c>
      <c r="K1254" s="19" t="n">
        <v>1</v>
      </c>
      <c r="L1254" s="19"/>
      <c r="M1254" s="20" t="n">
        <v>3.5</v>
      </c>
      <c r="N1254" s="19"/>
      <c r="O1254" s="19"/>
      <c r="P1254" s="19" t="s">
        <v>1943</v>
      </c>
      <c r="Q1254" s="19" t="s">
        <v>1368</v>
      </c>
      <c r="R1254" s="21" t="n">
        <v>45488</v>
      </c>
      <c r="S1254" s="19" t="s">
        <v>1936</v>
      </c>
      <c r="T1254" s="19" t="s">
        <v>4506</v>
      </c>
      <c r="U1254" s="19" t="str">
        <f aca="false">HYPERLINK("https://macaulaylibrary.org/asset/628721212","Open")</f>
        <v>Open</v>
      </c>
      <c r="V1254" s="19"/>
    </row>
    <row r="1255" customFormat="false" ht="15" hidden="false" customHeight="false" outlineLevel="0" collapsed="false">
      <c r="A1255" s="19" t="s">
        <v>4507</v>
      </c>
      <c r="B1255" s="19" t="s">
        <v>943</v>
      </c>
      <c r="C1255" s="19" t="s">
        <v>944</v>
      </c>
      <c r="D1255" s="19" t="s">
        <v>148</v>
      </c>
      <c r="E1255" s="19" t="s">
        <v>147</v>
      </c>
      <c r="F1255" s="19" t="s">
        <v>231</v>
      </c>
      <c r="G1255" s="19" t="n">
        <v>145</v>
      </c>
      <c r="H1255" s="19" t="s">
        <v>232</v>
      </c>
      <c r="I1255" s="20" t="n">
        <v>31.518</v>
      </c>
      <c r="J1255" s="19" t="n">
        <f aca="false">IF(I1255="","",MIN(Overview!$B$8,MAX(1,CEILING(I1255/Overview!$B$7,1))))</f>
        <v>7</v>
      </c>
      <c r="K1255" s="19" t="n">
        <v>1</v>
      </c>
      <c r="L1255" s="19"/>
      <c r="M1255" s="20" t="n">
        <v>4.5</v>
      </c>
      <c r="N1255" s="19"/>
      <c r="O1255" s="19"/>
      <c r="P1255" s="19" t="s">
        <v>3188</v>
      </c>
      <c r="Q1255" s="19" t="s">
        <v>3189</v>
      </c>
      <c r="R1255" s="21" t="n">
        <v>45671</v>
      </c>
      <c r="S1255" s="19" t="s">
        <v>966</v>
      </c>
      <c r="T1255" s="19" t="s">
        <v>4508</v>
      </c>
      <c r="U1255" s="19" t="str">
        <f aca="false">HYPERLINK("https://macaulaylibrary.org/asset/631698954","Open")</f>
        <v>Open</v>
      </c>
      <c r="V1255" s="19"/>
    </row>
    <row r="1256" customFormat="false" ht="15" hidden="false" customHeight="false" outlineLevel="0" collapsed="false">
      <c r="A1256" s="19" t="s">
        <v>4509</v>
      </c>
      <c r="B1256" s="19" t="s">
        <v>943</v>
      </c>
      <c r="C1256" s="19" t="s">
        <v>944</v>
      </c>
      <c r="D1256" s="19" t="s">
        <v>148</v>
      </c>
      <c r="E1256" s="19" t="s">
        <v>147</v>
      </c>
      <c r="F1256" s="19" t="s">
        <v>231</v>
      </c>
      <c r="G1256" s="19" t="n">
        <v>145</v>
      </c>
      <c r="H1256" s="19" t="s">
        <v>232</v>
      </c>
      <c r="I1256" s="20" t="n">
        <v>22.174</v>
      </c>
      <c r="J1256" s="19" t="n">
        <f aca="false">IF(I1256="","",MIN(Overview!$B$8,MAX(1,CEILING(I1256/Overview!$B$7,1))))</f>
        <v>5</v>
      </c>
      <c r="K1256" s="19" t="n">
        <v>1</v>
      </c>
      <c r="L1256" s="19"/>
      <c r="M1256" s="20"/>
      <c r="N1256" s="19"/>
      <c r="O1256" s="19"/>
      <c r="P1256" s="19" t="s">
        <v>1674</v>
      </c>
      <c r="Q1256" s="19" t="s">
        <v>1091</v>
      </c>
      <c r="R1256" s="21" t="n">
        <v>45843</v>
      </c>
      <c r="S1256" s="19" t="s">
        <v>1009</v>
      </c>
      <c r="T1256" s="19" t="s">
        <v>4510</v>
      </c>
      <c r="U1256" s="19" t="str">
        <f aca="false">HYPERLINK("https://macaulaylibrary.org/asset/639164964","Open")</f>
        <v>Open</v>
      </c>
      <c r="V1256" s="19"/>
    </row>
    <row r="1257" customFormat="false" ht="15" hidden="false" customHeight="false" outlineLevel="0" collapsed="false">
      <c r="A1257" s="19" t="s">
        <v>4511</v>
      </c>
      <c r="B1257" s="19" t="s">
        <v>943</v>
      </c>
      <c r="C1257" s="19" t="s">
        <v>944</v>
      </c>
      <c r="D1257" s="19" t="s">
        <v>148</v>
      </c>
      <c r="E1257" s="19" t="s">
        <v>147</v>
      </c>
      <c r="F1257" s="19" t="s">
        <v>231</v>
      </c>
      <c r="G1257" s="19" t="n">
        <v>145</v>
      </c>
      <c r="H1257" s="19" t="s">
        <v>232</v>
      </c>
      <c r="I1257" s="20" t="n">
        <v>140.99</v>
      </c>
      <c r="J1257" s="19" t="n">
        <f aca="false">IF(I1257="","",MIN(Overview!$B$8,MAX(1,CEILING(I1257/Overview!$B$7,1))))</f>
        <v>29</v>
      </c>
      <c r="K1257" s="19" t="n">
        <v>1</v>
      </c>
      <c r="L1257" s="19"/>
      <c r="M1257" s="20"/>
      <c r="N1257" s="19"/>
      <c r="O1257" s="19"/>
      <c r="P1257" s="19" t="s">
        <v>2443</v>
      </c>
      <c r="Q1257" s="19" t="s">
        <v>1091</v>
      </c>
      <c r="R1257" s="21" t="n">
        <v>45843</v>
      </c>
      <c r="S1257" s="19" t="s">
        <v>2444</v>
      </c>
      <c r="T1257" s="19" t="s">
        <v>4512</v>
      </c>
      <c r="U1257" s="19" t="str">
        <f aca="false">HYPERLINK("https://macaulaylibrary.org/asset/639169362","Open")</f>
        <v>Open</v>
      </c>
      <c r="V1257" s="19"/>
    </row>
    <row r="1258" customFormat="false" ht="15" hidden="false" customHeight="false" outlineLevel="0" collapsed="false">
      <c r="A1258" s="19" t="s">
        <v>4513</v>
      </c>
      <c r="B1258" s="19" t="s">
        <v>943</v>
      </c>
      <c r="C1258" s="19" t="s">
        <v>944</v>
      </c>
      <c r="D1258" s="19" t="s">
        <v>148</v>
      </c>
      <c r="E1258" s="19" t="s">
        <v>147</v>
      </c>
      <c r="F1258" s="19" t="s">
        <v>231</v>
      </c>
      <c r="G1258" s="19" t="n">
        <v>145</v>
      </c>
      <c r="H1258" s="19" t="s">
        <v>232</v>
      </c>
      <c r="I1258" s="20" t="n">
        <v>41.794</v>
      </c>
      <c r="J1258" s="19" t="n">
        <f aca="false">IF(I1258="","",MIN(Overview!$B$8,MAX(1,CEILING(I1258/Overview!$B$7,1))))</f>
        <v>9</v>
      </c>
      <c r="K1258" s="19" t="n">
        <v>1</v>
      </c>
      <c r="L1258" s="19"/>
      <c r="M1258" s="20"/>
      <c r="N1258" s="19"/>
      <c r="O1258" s="19"/>
      <c r="P1258" s="19" t="s">
        <v>2443</v>
      </c>
      <c r="Q1258" s="19" t="s">
        <v>1091</v>
      </c>
      <c r="R1258" s="21" t="n">
        <v>45843</v>
      </c>
      <c r="S1258" s="19" t="s">
        <v>2444</v>
      </c>
      <c r="T1258" s="19" t="s">
        <v>4514</v>
      </c>
      <c r="U1258" s="19" t="str">
        <f aca="false">HYPERLINK("https://macaulaylibrary.org/asset/639170524","Open")</f>
        <v>Open</v>
      </c>
      <c r="V1258" s="19"/>
    </row>
    <row r="1259" customFormat="false" ht="15" hidden="false" customHeight="false" outlineLevel="0" collapsed="false">
      <c r="A1259" s="19" t="s">
        <v>4515</v>
      </c>
      <c r="B1259" s="19" t="s">
        <v>943</v>
      </c>
      <c r="C1259" s="19" t="s">
        <v>944</v>
      </c>
      <c r="D1259" s="19" t="s">
        <v>148</v>
      </c>
      <c r="E1259" s="19" t="s">
        <v>147</v>
      </c>
      <c r="F1259" s="19" t="s">
        <v>231</v>
      </c>
      <c r="G1259" s="19" t="n">
        <v>145</v>
      </c>
      <c r="H1259" s="19" t="s">
        <v>232</v>
      </c>
      <c r="I1259" s="20" t="n">
        <v>51.384</v>
      </c>
      <c r="J1259" s="19" t="n">
        <f aca="false">IF(I1259="","",MIN(Overview!$B$8,MAX(1,CEILING(I1259/Overview!$B$7,1))))</f>
        <v>11</v>
      </c>
      <c r="K1259" s="19" t="n">
        <v>1</v>
      </c>
      <c r="L1259" s="19"/>
      <c r="M1259" s="20" t="n">
        <v>3</v>
      </c>
      <c r="N1259" s="19"/>
      <c r="O1259" s="19"/>
      <c r="P1259" s="19" t="s">
        <v>2443</v>
      </c>
      <c r="Q1259" s="19" t="s">
        <v>1091</v>
      </c>
      <c r="R1259" s="21" t="n">
        <v>45843</v>
      </c>
      <c r="S1259" s="19" t="s">
        <v>2444</v>
      </c>
      <c r="T1259" s="19" t="s">
        <v>4516</v>
      </c>
      <c r="U1259" s="19" t="str">
        <f aca="false">HYPERLINK("https://macaulaylibrary.org/asset/639170640","Open")</f>
        <v>Open</v>
      </c>
      <c r="V1259" s="19"/>
    </row>
    <row r="1260" customFormat="false" ht="15" hidden="false" customHeight="false" outlineLevel="0" collapsed="false">
      <c r="A1260" s="19" t="s">
        <v>4517</v>
      </c>
      <c r="B1260" s="19" t="s">
        <v>943</v>
      </c>
      <c r="C1260" s="19" t="s">
        <v>944</v>
      </c>
      <c r="D1260" s="19" t="s">
        <v>148</v>
      </c>
      <c r="E1260" s="19" t="s">
        <v>147</v>
      </c>
      <c r="F1260" s="19" t="s">
        <v>231</v>
      </c>
      <c r="G1260" s="19" t="n">
        <v>145</v>
      </c>
      <c r="H1260" s="19" t="s">
        <v>232</v>
      </c>
      <c r="I1260" s="20" t="n">
        <v>24.533</v>
      </c>
      <c r="J1260" s="19" t="n">
        <f aca="false">IF(I1260="","",MIN(Overview!$B$8,MAX(1,CEILING(I1260/Overview!$B$7,1))))</f>
        <v>5</v>
      </c>
      <c r="K1260" s="19" t="n">
        <v>1</v>
      </c>
      <c r="L1260" s="19"/>
      <c r="M1260" s="20" t="n">
        <v>3</v>
      </c>
      <c r="N1260" s="19"/>
      <c r="O1260" s="19"/>
      <c r="P1260" s="19" t="s">
        <v>4236</v>
      </c>
      <c r="Q1260" s="19" t="s">
        <v>1397</v>
      </c>
      <c r="R1260" s="21" t="n">
        <v>46218</v>
      </c>
      <c r="S1260" s="19" t="s">
        <v>1419</v>
      </c>
      <c r="T1260" s="19" t="s">
        <v>4518</v>
      </c>
      <c r="U1260" s="19" t="str">
        <f aca="false">HYPERLINK("https://macaulaylibrary.org/asset/661712103","Open")</f>
        <v>Open</v>
      </c>
      <c r="V1260" s="19"/>
    </row>
    <row r="1261" customFormat="false" ht="15" hidden="false" customHeight="false" outlineLevel="0" collapsed="false">
      <c r="A1261" s="19" t="s">
        <v>4519</v>
      </c>
      <c r="B1261" s="19" t="s">
        <v>943</v>
      </c>
      <c r="C1261" s="19" t="s">
        <v>944</v>
      </c>
      <c r="D1261" s="19" t="s">
        <v>400</v>
      </c>
      <c r="E1261" s="19" t="s">
        <v>147</v>
      </c>
      <c r="F1261" s="19" t="s">
        <v>428</v>
      </c>
      <c r="G1261" s="19" t="n">
        <v>146</v>
      </c>
      <c r="H1261" s="19" t="s">
        <v>429</v>
      </c>
      <c r="I1261" s="20" t="n">
        <v>8.517</v>
      </c>
      <c r="J1261" s="19" t="n">
        <f aca="false">IF(I1261="","",MIN(Overview!$B$8,MAX(1,CEILING(I1261/Overview!$B$7,1))))</f>
        <v>2</v>
      </c>
      <c r="K1261" s="19" t="n">
        <v>1</v>
      </c>
      <c r="L1261" s="19"/>
      <c r="M1261" s="20" t="n">
        <v>3</v>
      </c>
      <c r="N1261" s="19"/>
      <c r="O1261" s="19"/>
      <c r="P1261" s="19" t="s">
        <v>2234</v>
      </c>
      <c r="Q1261" s="19" t="s">
        <v>2235</v>
      </c>
      <c r="R1261" s="21" t="n">
        <v>43467</v>
      </c>
      <c r="S1261" s="19" t="s">
        <v>1534</v>
      </c>
      <c r="T1261" s="19" t="s">
        <v>4520</v>
      </c>
      <c r="U1261" s="19" t="str">
        <f aca="false">HYPERLINK("https://macaulaylibrary.org/asset/143086471","Open")</f>
        <v>Open</v>
      </c>
      <c r="V1261" s="19"/>
    </row>
    <row r="1262" customFormat="false" ht="15" hidden="false" customHeight="false" outlineLevel="0" collapsed="false">
      <c r="A1262" s="19" t="s">
        <v>4521</v>
      </c>
      <c r="B1262" s="19" t="s">
        <v>943</v>
      </c>
      <c r="C1262" s="19" t="s">
        <v>944</v>
      </c>
      <c r="D1262" s="19" t="s">
        <v>400</v>
      </c>
      <c r="E1262" s="19" t="s">
        <v>147</v>
      </c>
      <c r="F1262" s="19" t="s">
        <v>428</v>
      </c>
      <c r="G1262" s="19" t="n">
        <v>146</v>
      </c>
      <c r="H1262" s="19" t="s">
        <v>429</v>
      </c>
      <c r="I1262" s="20" t="n">
        <v>14.517</v>
      </c>
      <c r="J1262" s="19" t="n">
        <f aca="false">IF(I1262="","",MIN(Overview!$B$8,MAX(1,CEILING(I1262/Overview!$B$7,1))))</f>
        <v>3</v>
      </c>
      <c r="K1262" s="19" t="n">
        <v>1</v>
      </c>
      <c r="L1262" s="19"/>
      <c r="M1262" s="20" t="n">
        <v>3</v>
      </c>
      <c r="N1262" s="19"/>
      <c r="O1262" s="19"/>
      <c r="P1262" s="19" t="s">
        <v>1131</v>
      </c>
      <c r="Q1262" s="19" t="s">
        <v>1063</v>
      </c>
      <c r="R1262" s="21" t="n">
        <v>44086</v>
      </c>
      <c r="S1262" s="19" t="s">
        <v>1132</v>
      </c>
      <c r="T1262" s="19" t="s">
        <v>4522</v>
      </c>
      <c r="U1262" s="19" t="str">
        <f aca="false">HYPERLINK("https://macaulaylibrary.org/asset/266309471","Open")</f>
        <v>Open</v>
      </c>
      <c r="V1262" s="19"/>
    </row>
    <row r="1263" customFormat="false" ht="15" hidden="false" customHeight="false" outlineLevel="0" collapsed="false">
      <c r="A1263" s="19" t="s">
        <v>4523</v>
      </c>
      <c r="B1263" s="19" t="s">
        <v>943</v>
      </c>
      <c r="C1263" s="19" t="s">
        <v>944</v>
      </c>
      <c r="D1263" s="19" t="s">
        <v>400</v>
      </c>
      <c r="E1263" s="19" t="s">
        <v>147</v>
      </c>
      <c r="F1263" s="19" t="s">
        <v>428</v>
      </c>
      <c r="G1263" s="19" t="n">
        <v>146</v>
      </c>
      <c r="H1263" s="19" t="s">
        <v>429</v>
      </c>
      <c r="I1263" s="20" t="n">
        <v>19.84</v>
      </c>
      <c r="J1263" s="19" t="n">
        <f aca="false">IF(I1263="","",MIN(Overview!$B$8,MAX(1,CEILING(I1263/Overview!$B$7,1))))</f>
        <v>4</v>
      </c>
      <c r="K1263" s="19" t="n">
        <v>1</v>
      </c>
      <c r="L1263" s="19"/>
      <c r="M1263" s="20" t="n">
        <v>1</v>
      </c>
      <c r="N1263" s="19"/>
      <c r="O1263" s="19"/>
      <c r="P1263" s="19" t="s">
        <v>4524</v>
      </c>
      <c r="Q1263" s="19" t="s">
        <v>1925</v>
      </c>
      <c r="R1263" s="21" t="n">
        <v>44750</v>
      </c>
      <c r="S1263" s="19" t="s">
        <v>4525</v>
      </c>
      <c r="T1263" s="19" t="s">
        <v>4526</v>
      </c>
      <c r="U1263" s="19" t="str">
        <f aca="false">HYPERLINK("https://macaulaylibrary.org/asset/465953801","Open")</f>
        <v>Open</v>
      </c>
      <c r="V1263" s="19"/>
    </row>
    <row r="1264" customFormat="false" ht="15" hidden="false" customHeight="false" outlineLevel="0" collapsed="false">
      <c r="A1264" s="19" t="s">
        <v>4527</v>
      </c>
      <c r="B1264" s="19" t="s">
        <v>943</v>
      </c>
      <c r="C1264" s="19" t="s">
        <v>944</v>
      </c>
      <c r="D1264" s="19" t="s">
        <v>400</v>
      </c>
      <c r="E1264" s="19" t="s">
        <v>147</v>
      </c>
      <c r="F1264" s="19" t="s">
        <v>428</v>
      </c>
      <c r="G1264" s="19" t="n">
        <v>146</v>
      </c>
      <c r="H1264" s="19" t="s">
        <v>429</v>
      </c>
      <c r="I1264" s="20" t="n">
        <v>8.285</v>
      </c>
      <c r="J1264" s="19" t="n">
        <f aca="false">IF(I1264="","",MIN(Overview!$B$8,MAX(1,CEILING(I1264/Overview!$B$7,1))))</f>
        <v>2</v>
      </c>
      <c r="K1264" s="19" t="n">
        <v>1</v>
      </c>
      <c r="L1264" s="19"/>
      <c r="M1264" s="20" t="n">
        <v>3</v>
      </c>
      <c r="N1264" s="19"/>
      <c r="O1264" s="19"/>
      <c r="P1264" s="19" t="s">
        <v>4528</v>
      </c>
      <c r="Q1264" s="19" t="s">
        <v>1158</v>
      </c>
      <c r="R1264" s="21" t="n">
        <v>44942</v>
      </c>
      <c r="S1264" s="19" t="s">
        <v>4529</v>
      </c>
      <c r="T1264" s="19" t="s">
        <v>4530</v>
      </c>
      <c r="U1264" s="19" t="str">
        <f aca="false">HYPERLINK("https://macaulaylibrary.org/asset/543399411","Open")</f>
        <v>Open</v>
      </c>
      <c r="V1264" s="19"/>
    </row>
    <row r="1265" customFormat="false" ht="15" hidden="false" customHeight="false" outlineLevel="0" collapsed="false">
      <c r="A1265" s="19" t="s">
        <v>4531</v>
      </c>
      <c r="B1265" s="19" t="s">
        <v>943</v>
      </c>
      <c r="C1265" s="19" t="s">
        <v>944</v>
      </c>
      <c r="D1265" s="19" t="s">
        <v>400</v>
      </c>
      <c r="E1265" s="19" t="s">
        <v>147</v>
      </c>
      <c r="F1265" s="19" t="s">
        <v>428</v>
      </c>
      <c r="G1265" s="19" t="n">
        <v>146</v>
      </c>
      <c r="H1265" s="19" t="s">
        <v>429</v>
      </c>
      <c r="I1265" s="20" t="n">
        <v>7.201</v>
      </c>
      <c r="J1265" s="19" t="n">
        <f aca="false">IF(I1265="","",MIN(Overview!$B$8,MAX(1,CEILING(I1265/Overview!$B$7,1))))</f>
        <v>2</v>
      </c>
      <c r="K1265" s="19" t="n">
        <v>1</v>
      </c>
      <c r="L1265" s="19"/>
      <c r="M1265" s="20"/>
      <c r="N1265" s="19"/>
      <c r="O1265" s="19"/>
      <c r="P1265" s="19" t="s">
        <v>1605</v>
      </c>
      <c r="Q1265" s="19" t="s">
        <v>1040</v>
      </c>
      <c r="R1265" s="21" t="n">
        <v>40902</v>
      </c>
      <c r="S1265" s="19" t="s">
        <v>1002</v>
      </c>
      <c r="T1265" s="19" t="s">
        <v>4532</v>
      </c>
      <c r="U1265" s="19" t="str">
        <f aca="false">HYPERLINK("https://macaulaylibrary.org/asset/609056548","Open")</f>
        <v>Open</v>
      </c>
      <c r="V1265" s="19"/>
    </row>
    <row r="1266" customFormat="false" ht="15" hidden="false" customHeight="false" outlineLevel="0" collapsed="false">
      <c r="A1266" s="19" t="s">
        <v>4533</v>
      </c>
      <c r="B1266" s="19" t="s">
        <v>943</v>
      </c>
      <c r="C1266" s="19" t="s">
        <v>944</v>
      </c>
      <c r="D1266" s="19" t="s">
        <v>400</v>
      </c>
      <c r="E1266" s="19" t="s">
        <v>147</v>
      </c>
      <c r="F1266" s="19" t="s">
        <v>428</v>
      </c>
      <c r="G1266" s="19" t="n">
        <v>146</v>
      </c>
      <c r="H1266" s="19" t="s">
        <v>429</v>
      </c>
      <c r="I1266" s="20" t="n">
        <v>25.378</v>
      </c>
      <c r="J1266" s="19" t="n">
        <f aca="false">IF(I1266="","",MIN(Overview!$B$8,MAX(1,CEILING(I1266/Overview!$B$7,1))))</f>
        <v>6</v>
      </c>
      <c r="K1266" s="19" t="n">
        <v>1</v>
      </c>
      <c r="L1266" s="19"/>
      <c r="M1266" s="20" t="n">
        <v>4</v>
      </c>
      <c r="N1266" s="19"/>
      <c r="O1266" s="19"/>
      <c r="P1266" s="19" t="s">
        <v>4376</v>
      </c>
      <c r="Q1266" s="19" t="s">
        <v>4377</v>
      </c>
      <c r="R1266" s="21" t="n">
        <v>45287</v>
      </c>
      <c r="S1266" s="19" t="s">
        <v>4378</v>
      </c>
      <c r="T1266" s="19" t="s">
        <v>4534</v>
      </c>
      <c r="U1266" s="19" t="str">
        <f aca="false">HYPERLINK("https://macaulaylibrary.org/asset/612710643","Open")</f>
        <v>Open</v>
      </c>
      <c r="V1266" s="19"/>
    </row>
    <row r="1267" customFormat="false" ht="15" hidden="false" customHeight="false" outlineLevel="0" collapsed="false">
      <c r="A1267" s="19" t="s">
        <v>4535</v>
      </c>
      <c r="B1267" s="19" t="s">
        <v>943</v>
      </c>
      <c r="C1267" s="19" t="s">
        <v>944</v>
      </c>
      <c r="D1267" s="19" t="s">
        <v>400</v>
      </c>
      <c r="E1267" s="19" t="s">
        <v>147</v>
      </c>
      <c r="F1267" s="19" t="s">
        <v>428</v>
      </c>
      <c r="G1267" s="19" t="n">
        <v>146</v>
      </c>
      <c r="H1267" s="19" t="s">
        <v>429</v>
      </c>
      <c r="I1267" s="20" t="n">
        <v>8.776</v>
      </c>
      <c r="J1267" s="19" t="n">
        <f aca="false">IF(I1267="","",MIN(Overview!$B$8,MAX(1,CEILING(I1267/Overview!$B$7,1))))</f>
        <v>2</v>
      </c>
      <c r="K1267" s="19" t="n">
        <v>1</v>
      </c>
      <c r="L1267" s="19"/>
      <c r="M1267" s="20"/>
      <c r="N1267" s="19"/>
      <c r="O1267" s="19"/>
      <c r="P1267" s="19" t="s">
        <v>1946</v>
      </c>
      <c r="Q1267" s="19" t="s">
        <v>1091</v>
      </c>
      <c r="R1267" s="21" t="n">
        <v>45844</v>
      </c>
      <c r="S1267" s="19" t="s">
        <v>1013</v>
      </c>
      <c r="T1267" s="19" t="s">
        <v>4536</v>
      </c>
      <c r="U1267" s="19" t="str">
        <f aca="false">HYPERLINK("https://macaulaylibrary.org/asset/643642620","Open")</f>
        <v>Open</v>
      </c>
      <c r="V1267" s="19"/>
    </row>
    <row r="1268" customFormat="false" ht="15" hidden="false" customHeight="false" outlineLevel="0" collapsed="false">
      <c r="A1268" s="19" t="s">
        <v>4537</v>
      </c>
      <c r="B1268" s="19" t="s">
        <v>943</v>
      </c>
      <c r="C1268" s="19" t="s">
        <v>944</v>
      </c>
      <c r="D1268" s="19" t="s">
        <v>400</v>
      </c>
      <c r="E1268" s="19" t="s">
        <v>147</v>
      </c>
      <c r="F1268" s="19" t="s">
        <v>428</v>
      </c>
      <c r="G1268" s="19" t="n">
        <v>146</v>
      </c>
      <c r="H1268" s="19" t="s">
        <v>429</v>
      </c>
      <c r="I1268" s="20" t="n">
        <v>40.319</v>
      </c>
      <c r="J1268" s="19" t="n">
        <f aca="false">IF(I1268="","",MIN(Overview!$B$8,MAX(1,CEILING(I1268/Overview!$B$7,1))))</f>
        <v>9</v>
      </c>
      <c r="K1268" s="19" t="n">
        <v>1</v>
      </c>
      <c r="L1268" s="19"/>
      <c r="M1268" s="20" t="n">
        <v>4</v>
      </c>
      <c r="N1268" s="19"/>
      <c r="O1268" s="19" t="s">
        <v>209</v>
      </c>
      <c r="P1268" s="19" t="s">
        <v>1501</v>
      </c>
      <c r="Q1268" s="19" t="s">
        <v>1502</v>
      </c>
      <c r="R1268" s="21" t="n">
        <v>45939</v>
      </c>
      <c r="S1268" s="19" t="s">
        <v>1503</v>
      </c>
      <c r="T1268" s="19" t="s">
        <v>4538</v>
      </c>
      <c r="U1268" s="19" t="str">
        <f aca="false">HYPERLINK("https://macaulaylibrary.org/asset/648704544","Open")</f>
        <v>Open</v>
      </c>
      <c r="V1268" s="19"/>
    </row>
    <row r="1269" customFormat="false" ht="15" hidden="false" customHeight="false" outlineLevel="0" collapsed="false">
      <c r="A1269" s="19" t="s">
        <v>4539</v>
      </c>
      <c r="B1269" s="19" t="s">
        <v>1005</v>
      </c>
      <c r="C1269" s="19" t="s">
        <v>944</v>
      </c>
      <c r="D1269" s="19" t="s">
        <v>647</v>
      </c>
      <c r="E1269" s="19" t="s">
        <v>147</v>
      </c>
      <c r="F1269" s="19" t="s">
        <v>428</v>
      </c>
      <c r="G1269" s="19" t="n">
        <v>146</v>
      </c>
      <c r="H1269" s="19" t="s">
        <v>429</v>
      </c>
      <c r="I1269" s="20" t="n">
        <v>56.52</v>
      </c>
      <c r="J1269" s="19" t="n">
        <f aca="false">IF(I1269="","",MIN(Overview!$B$8,MAX(1,CEILING(I1269/Overview!$B$7,1))))</f>
        <v>12</v>
      </c>
      <c r="K1269" s="19" t="n">
        <v>1</v>
      </c>
      <c r="L1269" s="19"/>
      <c r="M1269" s="20"/>
      <c r="N1269" s="19" t="s">
        <v>1006</v>
      </c>
      <c r="O1269" s="19"/>
      <c r="P1269" s="19" t="s">
        <v>3999</v>
      </c>
      <c r="Q1269" s="19" t="s">
        <v>1008</v>
      </c>
      <c r="R1269" s="21" t="n">
        <v>42576</v>
      </c>
      <c r="S1269" s="19" t="s">
        <v>1715</v>
      </c>
      <c r="T1269" s="19" t="s">
        <v>4540</v>
      </c>
      <c r="U1269" s="19" t="str">
        <f aca="false">HYPERLINK("https://xeno-canto.org/331362","Open")</f>
        <v>Open</v>
      </c>
      <c r="V1269" s="19" t="s">
        <v>1720</v>
      </c>
    </row>
    <row r="1270" customFormat="false" ht="15" hidden="false" customHeight="false" outlineLevel="0" collapsed="false">
      <c r="A1270" s="19" t="s">
        <v>4541</v>
      </c>
      <c r="B1270" s="19" t="s">
        <v>943</v>
      </c>
      <c r="C1270" s="19" t="s">
        <v>944</v>
      </c>
      <c r="D1270" s="19" t="s">
        <v>148</v>
      </c>
      <c r="E1270" s="19" t="s">
        <v>147</v>
      </c>
      <c r="F1270" s="19" t="s">
        <v>256</v>
      </c>
      <c r="G1270" s="19" t="n">
        <v>148</v>
      </c>
      <c r="H1270" s="19" t="s">
        <v>257</v>
      </c>
      <c r="I1270" s="20" t="n">
        <v>17.515</v>
      </c>
      <c r="J1270" s="19" t="n">
        <f aca="false">IF(I1270="","",MIN(Overview!$B$8,MAX(1,CEILING(I1270/Overview!$B$7,1))))</f>
        <v>4</v>
      </c>
      <c r="K1270" s="19" t="n">
        <v>1</v>
      </c>
      <c r="L1270" s="19"/>
      <c r="M1270" s="20" t="n">
        <v>2.67</v>
      </c>
      <c r="N1270" s="19"/>
      <c r="O1270" s="19"/>
      <c r="P1270" s="19" t="s">
        <v>3195</v>
      </c>
      <c r="Q1270" s="19" t="s">
        <v>965</v>
      </c>
      <c r="R1270" s="21" t="n">
        <v>43813</v>
      </c>
      <c r="S1270" s="19" t="s">
        <v>3196</v>
      </c>
      <c r="T1270" s="19" t="s">
        <v>4542</v>
      </c>
      <c r="U1270" s="19" t="str">
        <f aca="false">HYPERLINK("https://macaulaylibrary.org/asset/193419411","Open")</f>
        <v>Open</v>
      </c>
      <c r="V1270" s="19"/>
    </row>
    <row r="1271" customFormat="false" ht="15" hidden="false" customHeight="false" outlineLevel="0" collapsed="false">
      <c r="A1271" s="19" t="s">
        <v>4543</v>
      </c>
      <c r="B1271" s="19" t="s">
        <v>943</v>
      </c>
      <c r="C1271" s="19" t="s">
        <v>944</v>
      </c>
      <c r="D1271" s="19" t="s">
        <v>148</v>
      </c>
      <c r="E1271" s="19" t="s">
        <v>147</v>
      </c>
      <c r="F1271" s="19" t="s">
        <v>256</v>
      </c>
      <c r="G1271" s="19" t="n">
        <v>148</v>
      </c>
      <c r="H1271" s="19" t="s">
        <v>257</v>
      </c>
      <c r="I1271" s="20" t="n">
        <v>16.96</v>
      </c>
      <c r="J1271" s="19" t="n">
        <f aca="false">IF(I1271="","",MIN(Overview!$B$8,MAX(1,CEILING(I1271/Overview!$B$7,1))))</f>
        <v>4</v>
      </c>
      <c r="K1271" s="19" t="n">
        <v>1</v>
      </c>
      <c r="L1271" s="19"/>
      <c r="M1271" s="20" t="n">
        <v>2.67</v>
      </c>
      <c r="N1271" s="19"/>
      <c r="O1271" s="19"/>
      <c r="P1271" s="19" t="s">
        <v>4544</v>
      </c>
      <c r="Q1271" s="19" t="s">
        <v>1148</v>
      </c>
      <c r="R1271" s="21" t="n">
        <v>44598</v>
      </c>
      <c r="S1271" s="19" t="s">
        <v>4545</v>
      </c>
      <c r="T1271" s="19" t="s">
        <v>4546</v>
      </c>
      <c r="U1271" s="19" t="str">
        <f aca="false">HYPERLINK("https://macaulaylibrary.org/asset/417108941","Open")</f>
        <v>Open</v>
      </c>
      <c r="V1271" s="19"/>
    </row>
    <row r="1272" customFormat="false" ht="15" hidden="false" customHeight="false" outlineLevel="0" collapsed="false">
      <c r="A1272" s="19" t="s">
        <v>4547</v>
      </c>
      <c r="B1272" s="19" t="s">
        <v>943</v>
      </c>
      <c r="C1272" s="19" t="s">
        <v>944</v>
      </c>
      <c r="D1272" s="19" t="s">
        <v>148</v>
      </c>
      <c r="E1272" s="19" t="s">
        <v>147</v>
      </c>
      <c r="F1272" s="19" t="s">
        <v>256</v>
      </c>
      <c r="G1272" s="19" t="n">
        <v>148</v>
      </c>
      <c r="H1272" s="19" t="s">
        <v>257</v>
      </c>
      <c r="I1272" s="20" t="n">
        <v>2.304</v>
      </c>
      <c r="J1272" s="19" t="n">
        <f aca="false">IF(I1272="","",MIN(Overview!$B$8,MAX(1,CEILING(I1272/Overview!$B$7,1))))</f>
        <v>1</v>
      </c>
      <c r="K1272" s="19" t="n">
        <v>1</v>
      </c>
      <c r="L1272" s="19" t="s">
        <v>1048</v>
      </c>
      <c r="M1272" s="20" t="n">
        <v>2</v>
      </c>
      <c r="N1272" s="19"/>
      <c r="O1272" s="19"/>
      <c r="P1272" s="19" t="s">
        <v>4548</v>
      </c>
      <c r="Q1272" s="19" t="s">
        <v>1888</v>
      </c>
      <c r="R1272" s="21" t="n">
        <v>44642</v>
      </c>
      <c r="S1272" s="19" t="s">
        <v>4549</v>
      </c>
      <c r="T1272" s="19" t="s">
        <v>4550</v>
      </c>
      <c r="U1272" s="19" t="str">
        <f aca="false">HYPERLINK("https://macaulaylibrary.org/asset/462753791","Open")</f>
        <v>Open</v>
      </c>
      <c r="V1272" s="19"/>
    </row>
    <row r="1273" customFormat="false" ht="15" hidden="false" customHeight="false" outlineLevel="0" collapsed="false">
      <c r="A1273" s="19" t="s">
        <v>4551</v>
      </c>
      <c r="B1273" s="19" t="s">
        <v>943</v>
      </c>
      <c r="C1273" s="19" t="s">
        <v>944</v>
      </c>
      <c r="D1273" s="19" t="s">
        <v>148</v>
      </c>
      <c r="E1273" s="19" t="s">
        <v>147</v>
      </c>
      <c r="F1273" s="19" t="s">
        <v>256</v>
      </c>
      <c r="G1273" s="19" t="n">
        <v>148</v>
      </c>
      <c r="H1273" s="19" t="s">
        <v>257</v>
      </c>
      <c r="I1273" s="20" t="n">
        <v>11.01</v>
      </c>
      <c r="J1273" s="19" t="n">
        <f aca="false">IF(I1273="","",MIN(Overview!$B$8,MAX(1,CEILING(I1273/Overview!$B$7,1))))</f>
        <v>3</v>
      </c>
      <c r="K1273" s="19" t="n">
        <v>1</v>
      </c>
      <c r="L1273" s="19"/>
      <c r="M1273" s="20" t="n">
        <v>2.5</v>
      </c>
      <c r="N1273" s="19"/>
      <c r="O1273" s="19"/>
      <c r="P1273" s="19" t="s">
        <v>2190</v>
      </c>
      <c r="Q1273" s="19" t="s">
        <v>1204</v>
      </c>
      <c r="R1273" s="21" t="n">
        <v>44612</v>
      </c>
      <c r="S1273" s="19" t="s">
        <v>1969</v>
      </c>
      <c r="T1273" s="19" t="s">
        <v>4552</v>
      </c>
      <c r="U1273" s="19" t="str">
        <f aca="false">HYPERLINK("https://macaulaylibrary.org/asset/531237791","Open")</f>
        <v>Open</v>
      </c>
      <c r="V1273" s="19"/>
    </row>
    <row r="1274" customFormat="false" ht="15" hidden="false" customHeight="false" outlineLevel="0" collapsed="false">
      <c r="A1274" s="19" t="s">
        <v>4553</v>
      </c>
      <c r="B1274" s="19" t="s">
        <v>943</v>
      </c>
      <c r="C1274" s="19" t="s">
        <v>944</v>
      </c>
      <c r="D1274" s="19" t="s">
        <v>148</v>
      </c>
      <c r="E1274" s="19" t="s">
        <v>147</v>
      </c>
      <c r="F1274" s="19" t="s">
        <v>256</v>
      </c>
      <c r="G1274" s="19" t="n">
        <v>148</v>
      </c>
      <c r="H1274" s="19" t="s">
        <v>257</v>
      </c>
      <c r="I1274" s="20" t="n">
        <v>12.9</v>
      </c>
      <c r="J1274" s="19" t="n">
        <f aca="false">IF(I1274="","",MIN(Overview!$B$8,MAX(1,CEILING(I1274/Overview!$B$7,1))))</f>
        <v>3</v>
      </c>
      <c r="K1274" s="19" t="n">
        <v>1</v>
      </c>
      <c r="L1274" s="19"/>
      <c r="M1274" s="20" t="n">
        <v>3.5</v>
      </c>
      <c r="N1274" s="19"/>
      <c r="O1274" s="19"/>
      <c r="P1274" s="19" t="s">
        <v>1170</v>
      </c>
      <c r="Q1274" s="19" t="s">
        <v>1166</v>
      </c>
      <c r="R1274" s="21" t="n">
        <v>44900</v>
      </c>
      <c r="S1274" s="19" t="s">
        <v>1092</v>
      </c>
      <c r="T1274" s="19" t="s">
        <v>4554</v>
      </c>
      <c r="U1274" s="19" t="str">
        <f aca="false">HYPERLINK("https://macaulaylibrary.org/asset/597934151","Open")</f>
        <v>Open</v>
      </c>
      <c r="V1274" s="19"/>
    </row>
    <row r="1275" customFormat="false" ht="15" hidden="false" customHeight="false" outlineLevel="0" collapsed="false">
      <c r="A1275" s="19" t="s">
        <v>4555</v>
      </c>
      <c r="B1275" s="19" t="s">
        <v>943</v>
      </c>
      <c r="C1275" s="19" t="s">
        <v>944</v>
      </c>
      <c r="D1275" s="19" t="s">
        <v>148</v>
      </c>
      <c r="E1275" s="19" t="s">
        <v>147</v>
      </c>
      <c r="F1275" s="19" t="s">
        <v>256</v>
      </c>
      <c r="G1275" s="19" t="n">
        <v>148</v>
      </c>
      <c r="H1275" s="19" t="s">
        <v>257</v>
      </c>
      <c r="I1275" s="20" t="n">
        <v>20.544</v>
      </c>
      <c r="J1275" s="19" t="n">
        <f aca="false">IF(I1275="","",MIN(Overview!$B$8,MAX(1,CEILING(I1275/Overview!$B$7,1))))</f>
        <v>5</v>
      </c>
      <c r="K1275" s="19" t="n">
        <v>1</v>
      </c>
      <c r="L1275" s="19"/>
      <c r="M1275" s="20" t="n">
        <v>4.67</v>
      </c>
      <c r="N1275" s="19"/>
      <c r="O1275" s="19"/>
      <c r="P1275" s="19" t="s">
        <v>1170</v>
      </c>
      <c r="Q1275" s="19" t="s">
        <v>1166</v>
      </c>
      <c r="R1275" s="21" t="n">
        <v>44900</v>
      </c>
      <c r="S1275" s="19" t="s">
        <v>1092</v>
      </c>
      <c r="T1275" s="19" t="s">
        <v>4556</v>
      </c>
      <c r="U1275" s="19" t="str">
        <f aca="false">HYPERLINK("https://macaulaylibrary.org/asset/597934161","Open")</f>
        <v>Open</v>
      </c>
      <c r="V1275" s="19"/>
    </row>
    <row r="1276" customFormat="false" ht="15" hidden="false" customHeight="false" outlineLevel="0" collapsed="false">
      <c r="A1276" s="19" t="s">
        <v>4557</v>
      </c>
      <c r="B1276" s="19" t="s">
        <v>943</v>
      </c>
      <c r="C1276" s="19" t="s">
        <v>944</v>
      </c>
      <c r="D1276" s="19" t="s">
        <v>148</v>
      </c>
      <c r="E1276" s="19" t="s">
        <v>147</v>
      </c>
      <c r="F1276" s="19" t="s">
        <v>256</v>
      </c>
      <c r="G1276" s="19" t="n">
        <v>148</v>
      </c>
      <c r="H1276" s="19" t="s">
        <v>257</v>
      </c>
      <c r="I1276" s="20" t="n">
        <v>16.427</v>
      </c>
      <c r="J1276" s="19" t="n">
        <f aca="false">IF(I1276="","",MIN(Overview!$B$8,MAX(1,CEILING(I1276/Overview!$B$7,1))))</f>
        <v>4</v>
      </c>
      <c r="K1276" s="19" t="n">
        <v>1</v>
      </c>
      <c r="L1276" s="19"/>
      <c r="M1276" s="20" t="n">
        <v>3</v>
      </c>
      <c r="N1276" s="19"/>
      <c r="O1276" s="19"/>
      <c r="P1276" s="19" t="s">
        <v>3683</v>
      </c>
      <c r="Q1276" s="19" t="s">
        <v>2085</v>
      </c>
      <c r="R1276" s="21" t="n">
        <v>45276</v>
      </c>
      <c r="S1276" s="19" t="s">
        <v>1306</v>
      </c>
      <c r="T1276" s="19" t="s">
        <v>4558</v>
      </c>
      <c r="U1276" s="19" t="str">
        <f aca="false">HYPERLINK("https://macaulaylibrary.org/asset/612553609","Open")</f>
        <v>Open</v>
      </c>
      <c r="V1276" s="19"/>
    </row>
    <row r="1277" customFormat="false" ht="15" hidden="false" customHeight="false" outlineLevel="0" collapsed="false">
      <c r="A1277" s="19" t="s">
        <v>4559</v>
      </c>
      <c r="B1277" s="19" t="s">
        <v>943</v>
      </c>
      <c r="C1277" s="19" t="s">
        <v>944</v>
      </c>
      <c r="D1277" s="19" t="s">
        <v>148</v>
      </c>
      <c r="E1277" s="19" t="s">
        <v>147</v>
      </c>
      <c r="F1277" s="19" t="s">
        <v>256</v>
      </c>
      <c r="G1277" s="19" t="n">
        <v>148</v>
      </c>
      <c r="H1277" s="19" t="s">
        <v>257</v>
      </c>
      <c r="I1277" s="20" t="n">
        <v>1.336</v>
      </c>
      <c r="J1277" s="19" t="n">
        <f aca="false">IF(I1277="","",MIN(Overview!$B$8,MAX(1,CEILING(I1277/Overview!$B$7,1))))</f>
        <v>1</v>
      </c>
      <c r="K1277" s="19" t="n">
        <v>1</v>
      </c>
      <c r="L1277" s="19" t="s">
        <v>1048</v>
      </c>
      <c r="M1277" s="20" t="n">
        <v>3</v>
      </c>
      <c r="N1277" s="19"/>
      <c r="O1277" s="19"/>
      <c r="P1277" s="19" t="s">
        <v>1085</v>
      </c>
      <c r="Q1277" s="19" t="s">
        <v>1086</v>
      </c>
      <c r="R1277" s="21" t="n">
        <v>45298</v>
      </c>
      <c r="S1277" s="19" t="s">
        <v>1087</v>
      </c>
      <c r="T1277" s="19" t="s">
        <v>4560</v>
      </c>
      <c r="U1277" s="19" t="str">
        <f aca="false">HYPERLINK("https://macaulaylibrary.org/asset/614027561","Open")</f>
        <v>Open</v>
      </c>
      <c r="V1277" s="19"/>
    </row>
    <row r="1278" customFormat="false" ht="15" hidden="false" customHeight="false" outlineLevel="0" collapsed="false">
      <c r="A1278" s="19" t="s">
        <v>4561</v>
      </c>
      <c r="B1278" s="19" t="s">
        <v>943</v>
      </c>
      <c r="C1278" s="19" t="s">
        <v>944</v>
      </c>
      <c r="D1278" s="19" t="s">
        <v>148</v>
      </c>
      <c r="E1278" s="19" t="s">
        <v>147</v>
      </c>
      <c r="F1278" s="19" t="s">
        <v>256</v>
      </c>
      <c r="G1278" s="19" t="n">
        <v>148</v>
      </c>
      <c r="H1278" s="19" t="s">
        <v>257</v>
      </c>
      <c r="I1278" s="20" t="n">
        <v>12</v>
      </c>
      <c r="J1278" s="19" t="n">
        <f aca="false">IF(I1278="","",MIN(Overview!$B$8,MAX(1,CEILING(I1278/Overview!$B$7,1))))</f>
        <v>3</v>
      </c>
      <c r="K1278" s="19" t="n">
        <v>1</v>
      </c>
      <c r="L1278" s="19"/>
      <c r="M1278" s="20" t="n">
        <v>2</v>
      </c>
      <c r="N1278" s="19"/>
      <c r="O1278" s="19"/>
      <c r="P1278" s="19" t="s">
        <v>1257</v>
      </c>
      <c r="Q1278" s="19" t="s">
        <v>1258</v>
      </c>
      <c r="R1278" s="21" t="n">
        <v>45231</v>
      </c>
      <c r="S1278" s="19" t="s">
        <v>1259</v>
      </c>
      <c r="T1278" s="19" t="s">
        <v>4562</v>
      </c>
      <c r="U1278" s="19" t="str">
        <f aca="false">HYPERLINK("https://macaulaylibrary.org/asset/621760291","Open")</f>
        <v>Open</v>
      </c>
      <c r="V1278" s="19"/>
    </row>
    <row r="1279" customFormat="false" ht="15" hidden="false" customHeight="false" outlineLevel="0" collapsed="false">
      <c r="A1279" s="19" t="s">
        <v>4563</v>
      </c>
      <c r="B1279" s="19" t="s">
        <v>943</v>
      </c>
      <c r="C1279" s="19" t="s">
        <v>944</v>
      </c>
      <c r="D1279" s="19" t="s">
        <v>148</v>
      </c>
      <c r="E1279" s="19" t="s">
        <v>147</v>
      </c>
      <c r="F1279" s="19" t="s">
        <v>256</v>
      </c>
      <c r="G1279" s="19" t="n">
        <v>148</v>
      </c>
      <c r="H1279" s="19" t="s">
        <v>257</v>
      </c>
      <c r="I1279" s="20" t="n">
        <v>2.935</v>
      </c>
      <c r="J1279" s="19" t="n">
        <f aca="false">IF(I1279="","",MIN(Overview!$B$8,MAX(1,CEILING(I1279/Overview!$B$7,1))))</f>
        <v>1</v>
      </c>
      <c r="K1279" s="19" t="n">
        <v>1</v>
      </c>
      <c r="L1279" s="19" t="s">
        <v>1048</v>
      </c>
      <c r="M1279" s="20" t="n">
        <v>4</v>
      </c>
      <c r="N1279" s="19"/>
      <c r="O1279" s="19"/>
      <c r="P1279" s="19" t="s">
        <v>4564</v>
      </c>
      <c r="Q1279" s="19" t="s">
        <v>3109</v>
      </c>
      <c r="R1279" s="21" t="n">
        <v>45542</v>
      </c>
      <c r="S1279" s="19" t="s">
        <v>4565</v>
      </c>
      <c r="T1279" s="19" t="s">
        <v>4566</v>
      </c>
      <c r="U1279" s="19" t="str">
        <f aca="false">HYPERLINK("https://macaulaylibrary.org/asset/623468375","Open")</f>
        <v>Open</v>
      </c>
      <c r="V1279" s="19"/>
    </row>
    <row r="1280" customFormat="false" ht="15" hidden="false" customHeight="false" outlineLevel="0" collapsed="false">
      <c r="A1280" s="19" t="s">
        <v>4567</v>
      </c>
      <c r="B1280" s="19" t="s">
        <v>943</v>
      </c>
      <c r="C1280" s="19" t="s">
        <v>944</v>
      </c>
      <c r="D1280" s="19" t="s">
        <v>148</v>
      </c>
      <c r="E1280" s="19" t="s">
        <v>147</v>
      </c>
      <c r="F1280" s="19" t="s">
        <v>256</v>
      </c>
      <c r="G1280" s="19" t="n">
        <v>148</v>
      </c>
      <c r="H1280" s="19" t="s">
        <v>257</v>
      </c>
      <c r="I1280" s="20" t="n">
        <v>17.76</v>
      </c>
      <c r="J1280" s="19" t="n">
        <f aca="false">IF(I1280="","",MIN(Overview!$B$8,MAX(1,CEILING(I1280/Overview!$B$7,1))))</f>
        <v>4</v>
      </c>
      <c r="K1280" s="19" t="n">
        <v>1</v>
      </c>
      <c r="L1280" s="19"/>
      <c r="M1280" s="20" t="n">
        <v>3</v>
      </c>
      <c r="N1280" s="19"/>
      <c r="O1280" s="19"/>
      <c r="P1280" s="19" t="s">
        <v>2507</v>
      </c>
      <c r="Q1280" s="19" t="s">
        <v>965</v>
      </c>
      <c r="R1280" s="21" t="n">
        <v>45640</v>
      </c>
      <c r="S1280" s="19" t="s">
        <v>2065</v>
      </c>
      <c r="T1280" s="19" t="s">
        <v>4568</v>
      </c>
      <c r="U1280" s="19" t="str">
        <f aca="false">HYPERLINK("https://macaulaylibrary.org/asset/627957367","Open")</f>
        <v>Open</v>
      </c>
      <c r="V1280" s="19"/>
    </row>
    <row r="1281" customFormat="false" ht="15" hidden="false" customHeight="false" outlineLevel="0" collapsed="false">
      <c r="A1281" s="19" t="s">
        <v>4569</v>
      </c>
      <c r="B1281" s="19" t="s">
        <v>943</v>
      </c>
      <c r="C1281" s="19" t="s">
        <v>944</v>
      </c>
      <c r="D1281" s="19" t="s">
        <v>148</v>
      </c>
      <c r="E1281" s="19" t="s">
        <v>147</v>
      </c>
      <c r="F1281" s="19" t="s">
        <v>256</v>
      </c>
      <c r="G1281" s="19" t="n">
        <v>148</v>
      </c>
      <c r="H1281" s="19" t="s">
        <v>257</v>
      </c>
      <c r="I1281" s="20" t="n">
        <v>8.783</v>
      </c>
      <c r="J1281" s="19" t="n">
        <f aca="false">IF(I1281="","",MIN(Overview!$B$8,MAX(1,CEILING(I1281/Overview!$B$7,1))))</f>
        <v>2</v>
      </c>
      <c r="K1281" s="19" t="n">
        <v>1</v>
      </c>
      <c r="L1281" s="19"/>
      <c r="M1281" s="20"/>
      <c r="N1281" s="19"/>
      <c r="O1281" s="19"/>
      <c r="P1281" s="19" t="s">
        <v>2210</v>
      </c>
      <c r="Q1281" s="19" t="s">
        <v>1158</v>
      </c>
      <c r="R1281" s="21" t="n">
        <v>45658</v>
      </c>
      <c r="S1281" s="19" t="s">
        <v>1969</v>
      </c>
      <c r="T1281" s="19" t="s">
        <v>4570</v>
      </c>
      <c r="U1281" s="19" t="str">
        <f aca="false">HYPERLINK("https://macaulaylibrary.org/asset/630087468","Open")</f>
        <v>Open</v>
      </c>
      <c r="V1281" s="19"/>
    </row>
    <row r="1282" customFormat="false" ht="15" hidden="false" customHeight="false" outlineLevel="0" collapsed="false">
      <c r="A1282" s="19" t="s">
        <v>4571</v>
      </c>
      <c r="B1282" s="19" t="s">
        <v>943</v>
      </c>
      <c r="C1282" s="19" t="s">
        <v>944</v>
      </c>
      <c r="D1282" s="19" t="s">
        <v>148</v>
      </c>
      <c r="E1282" s="19" t="s">
        <v>147</v>
      </c>
      <c r="F1282" s="19" t="s">
        <v>256</v>
      </c>
      <c r="G1282" s="19" t="n">
        <v>148</v>
      </c>
      <c r="H1282" s="19" t="s">
        <v>257</v>
      </c>
      <c r="I1282" s="20" t="n">
        <v>6.154</v>
      </c>
      <c r="J1282" s="19" t="n">
        <f aca="false">IF(I1282="","",MIN(Overview!$B$8,MAX(1,CEILING(I1282/Overview!$B$7,1))))</f>
        <v>2</v>
      </c>
      <c r="K1282" s="19" t="n">
        <v>1</v>
      </c>
      <c r="L1282" s="19"/>
      <c r="M1282" s="20" t="n">
        <v>4</v>
      </c>
      <c r="N1282" s="19"/>
      <c r="O1282" s="19"/>
      <c r="P1282" s="19" t="s">
        <v>4572</v>
      </c>
      <c r="Q1282" s="19" t="s">
        <v>2085</v>
      </c>
      <c r="R1282" s="21" t="n">
        <v>45640</v>
      </c>
      <c r="S1282" s="19" t="s">
        <v>2065</v>
      </c>
      <c r="T1282" s="19" t="s">
        <v>4573</v>
      </c>
      <c r="U1282" s="19" t="str">
        <f aca="false">HYPERLINK("https://macaulaylibrary.org/asset/632348747","Open")</f>
        <v>Open</v>
      </c>
      <c r="V1282" s="19"/>
    </row>
    <row r="1283" customFormat="false" ht="15" hidden="false" customHeight="false" outlineLevel="0" collapsed="false">
      <c r="A1283" s="19" t="s">
        <v>4574</v>
      </c>
      <c r="B1283" s="19" t="s">
        <v>943</v>
      </c>
      <c r="C1283" s="19" t="s">
        <v>944</v>
      </c>
      <c r="D1283" s="19" t="s">
        <v>148</v>
      </c>
      <c r="E1283" s="19" t="s">
        <v>147</v>
      </c>
      <c r="F1283" s="19" t="s">
        <v>256</v>
      </c>
      <c r="G1283" s="19" t="n">
        <v>148</v>
      </c>
      <c r="H1283" s="19" t="s">
        <v>257</v>
      </c>
      <c r="I1283" s="20" t="n">
        <v>27.189</v>
      </c>
      <c r="J1283" s="19" t="n">
        <f aca="false">IF(I1283="","",MIN(Overview!$B$8,MAX(1,CEILING(I1283/Overview!$B$7,1))))</f>
        <v>6</v>
      </c>
      <c r="K1283" s="19" t="n">
        <v>1</v>
      </c>
      <c r="L1283" s="19"/>
      <c r="M1283" s="20" t="n">
        <v>3</v>
      </c>
      <c r="N1283" s="19"/>
      <c r="O1283" s="19"/>
      <c r="P1283" s="19" t="s">
        <v>4575</v>
      </c>
      <c r="Q1283" s="19" t="s">
        <v>2408</v>
      </c>
      <c r="R1283" s="21" t="n">
        <v>45253</v>
      </c>
      <c r="S1283" s="19" t="s">
        <v>4576</v>
      </c>
      <c r="T1283" s="19" t="s">
        <v>4577</v>
      </c>
      <c r="U1283" s="19" t="str">
        <f aca="false">HYPERLINK("https://macaulaylibrary.org/asset/638119577","Open")</f>
        <v>Open</v>
      </c>
      <c r="V1283" s="19"/>
    </row>
    <row r="1284" customFormat="false" ht="15" hidden="false" customHeight="false" outlineLevel="0" collapsed="false">
      <c r="A1284" s="19" t="s">
        <v>4578</v>
      </c>
      <c r="B1284" s="19" t="s">
        <v>943</v>
      </c>
      <c r="C1284" s="19" t="s">
        <v>944</v>
      </c>
      <c r="D1284" s="19" t="s">
        <v>148</v>
      </c>
      <c r="E1284" s="19" t="s">
        <v>147</v>
      </c>
      <c r="F1284" s="19" t="s">
        <v>256</v>
      </c>
      <c r="G1284" s="19" t="n">
        <v>148</v>
      </c>
      <c r="H1284" s="19" t="s">
        <v>257</v>
      </c>
      <c r="I1284" s="20" t="n">
        <v>7.822</v>
      </c>
      <c r="J1284" s="19" t="n">
        <f aca="false">IF(I1284="","",MIN(Overview!$B$8,MAX(1,CEILING(I1284/Overview!$B$7,1))))</f>
        <v>2</v>
      </c>
      <c r="K1284" s="19" t="n">
        <v>1</v>
      </c>
      <c r="L1284" s="19"/>
      <c r="M1284" s="20" t="n">
        <v>5</v>
      </c>
      <c r="N1284" s="19"/>
      <c r="O1284" s="19"/>
      <c r="P1284" s="19" t="s">
        <v>4579</v>
      </c>
      <c r="Q1284" s="19" t="s">
        <v>1483</v>
      </c>
      <c r="R1284" s="21" t="n">
        <v>45291</v>
      </c>
      <c r="S1284" s="19" t="s">
        <v>2159</v>
      </c>
      <c r="T1284" s="19" t="s">
        <v>4580</v>
      </c>
      <c r="U1284" s="19" t="str">
        <f aca="false">HYPERLINK("https://macaulaylibrary.org/asset/638982415","Open")</f>
        <v>Open</v>
      </c>
      <c r="V1284" s="19"/>
    </row>
    <row r="1285" customFormat="false" ht="15" hidden="false" customHeight="false" outlineLevel="0" collapsed="false">
      <c r="A1285" s="19" t="s">
        <v>4581</v>
      </c>
      <c r="B1285" s="19" t="s">
        <v>943</v>
      </c>
      <c r="C1285" s="19" t="s">
        <v>944</v>
      </c>
      <c r="D1285" s="19" t="s">
        <v>148</v>
      </c>
      <c r="E1285" s="19" t="s">
        <v>147</v>
      </c>
      <c r="F1285" s="19" t="s">
        <v>256</v>
      </c>
      <c r="G1285" s="19" t="n">
        <v>148</v>
      </c>
      <c r="H1285" s="19" t="s">
        <v>257</v>
      </c>
      <c r="I1285" s="20" t="n">
        <v>192.675</v>
      </c>
      <c r="J1285" s="19" t="n">
        <f aca="false">IF(I1285="","",MIN(Overview!$B$8,MAX(1,CEILING(I1285/Overview!$B$7,1))))</f>
        <v>39</v>
      </c>
      <c r="K1285" s="19" t="n">
        <v>1</v>
      </c>
      <c r="L1285" s="19"/>
      <c r="M1285" s="20" t="n">
        <v>3.67</v>
      </c>
      <c r="N1285" s="19"/>
      <c r="O1285" s="19"/>
      <c r="P1285" s="19" t="s">
        <v>1573</v>
      </c>
      <c r="Q1285" s="19" t="s">
        <v>1021</v>
      </c>
      <c r="R1285" s="21" t="n">
        <v>35861</v>
      </c>
      <c r="S1285" s="19" t="s">
        <v>1574</v>
      </c>
      <c r="T1285" s="19" t="s">
        <v>4582</v>
      </c>
      <c r="U1285" s="19" t="str">
        <f aca="false">HYPERLINK("https://macaulaylibrary.org/asset/99569061","Open")</f>
        <v>Open</v>
      </c>
      <c r="V1285" s="19"/>
    </row>
    <row r="1286" customFormat="false" ht="15" hidden="false" customHeight="false" outlineLevel="0" collapsed="false">
      <c r="A1286" s="19" t="s">
        <v>4583</v>
      </c>
      <c r="B1286" s="19" t="s">
        <v>943</v>
      </c>
      <c r="C1286" s="19" t="s">
        <v>944</v>
      </c>
      <c r="D1286" s="19" t="s">
        <v>400</v>
      </c>
      <c r="E1286" s="19" t="s">
        <v>147</v>
      </c>
      <c r="F1286" s="19" t="s">
        <v>444</v>
      </c>
      <c r="G1286" s="19" t="n">
        <v>149</v>
      </c>
      <c r="H1286" s="19" t="s">
        <v>445</v>
      </c>
      <c r="I1286" s="20" t="n">
        <v>14.18</v>
      </c>
      <c r="J1286" s="19" t="n">
        <f aca="false">IF(I1286="","",MIN(Overview!$B$8,MAX(1,CEILING(I1286/Overview!$B$7,1))))</f>
        <v>3</v>
      </c>
      <c r="K1286" s="19" t="n">
        <v>1</v>
      </c>
      <c r="L1286" s="19"/>
      <c r="M1286" s="20" t="n">
        <v>3.25</v>
      </c>
      <c r="N1286" s="19"/>
      <c r="O1286" s="19"/>
      <c r="P1286" s="19" t="s">
        <v>1131</v>
      </c>
      <c r="Q1286" s="19" t="s">
        <v>1063</v>
      </c>
      <c r="R1286" s="21" t="n">
        <v>44086</v>
      </c>
      <c r="S1286" s="19" t="s">
        <v>1132</v>
      </c>
      <c r="T1286" s="19" t="s">
        <v>4584</v>
      </c>
      <c r="U1286" s="19" t="str">
        <f aca="false">HYPERLINK("https://macaulaylibrary.org/asset/266312131","Open")</f>
        <v>Open</v>
      </c>
      <c r="V1286" s="19"/>
    </row>
    <row r="1287" customFormat="false" ht="15" hidden="false" customHeight="false" outlineLevel="0" collapsed="false">
      <c r="A1287" s="19" t="s">
        <v>4585</v>
      </c>
      <c r="B1287" s="19" t="s">
        <v>943</v>
      </c>
      <c r="C1287" s="19" t="s">
        <v>944</v>
      </c>
      <c r="D1287" s="19" t="s">
        <v>400</v>
      </c>
      <c r="E1287" s="19" t="s">
        <v>147</v>
      </c>
      <c r="F1287" s="19" t="s">
        <v>444</v>
      </c>
      <c r="G1287" s="19" t="n">
        <v>149</v>
      </c>
      <c r="H1287" s="19" t="s">
        <v>445</v>
      </c>
      <c r="I1287" s="20" t="n">
        <v>18.929</v>
      </c>
      <c r="J1287" s="19" t="n">
        <f aca="false">IF(I1287="","",MIN(Overview!$B$8,MAX(1,CEILING(I1287/Overview!$B$7,1))))</f>
        <v>4</v>
      </c>
      <c r="K1287" s="19" t="n">
        <v>1</v>
      </c>
      <c r="L1287" s="19"/>
      <c r="M1287" s="20" t="n">
        <v>3.67</v>
      </c>
      <c r="N1287" s="19"/>
      <c r="O1287" s="19"/>
      <c r="P1287" s="19" t="s">
        <v>2528</v>
      </c>
      <c r="Q1287" s="19" t="s">
        <v>951</v>
      </c>
      <c r="R1287" s="21" t="n">
        <v>45222</v>
      </c>
      <c r="S1287" s="19" t="s">
        <v>2529</v>
      </c>
      <c r="T1287" s="19" t="s">
        <v>4586</v>
      </c>
      <c r="U1287" s="19" t="str">
        <f aca="false">HYPERLINK("https://macaulaylibrary.org/asset/610540341","Open")</f>
        <v>Open</v>
      </c>
      <c r="V1287" s="19"/>
    </row>
    <row r="1288" customFormat="false" ht="15" hidden="false" customHeight="false" outlineLevel="0" collapsed="false">
      <c r="A1288" s="19" t="s">
        <v>4587</v>
      </c>
      <c r="B1288" s="19" t="s">
        <v>943</v>
      </c>
      <c r="C1288" s="19" t="s">
        <v>944</v>
      </c>
      <c r="D1288" s="19" t="s">
        <v>400</v>
      </c>
      <c r="E1288" s="19" t="s">
        <v>147</v>
      </c>
      <c r="F1288" s="19" t="s">
        <v>444</v>
      </c>
      <c r="G1288" s="19" t="n">
        <v>149</v>
      </c>
      <c r="H1288" s="19" t="s">
        <v>445</v>
      </c>
      <c r="I1288" s="20" t="n">
        <v>12.877</v>
      </c>
      <c r="J1288" s="19" t="n">
        <f aca="false">IF(I1288="","",MIN(Overview!$B$8,MAX(1,CEILING(I1288/Overview!$B$7,1))))</f>
        <v>3</v>
      </c>
      <c r="K1288" s="19" t="n">
        <v>1</v>
      </c>
      <c r="L1288" s="19"/>
      <c r="M1288" s="20" t="n">
        <v>3</v>
      </c>
      <c r="N1288" s="19"/>
      <c r="O1288" s="19"/>
      <c r="P1288" s="19" t="s">
        <v>2528</v>
      </c>
      <c r="Q1288" s="19" t="s">
        <v>951</v>
      </c>
      <c r="R1288" s="21" t="n">
        <v>45222</v>
      </c>
      <c r="S1288" s="19" t="s">
        <v>2529</v>
      </c>
      <c r="T1288" s="19" t="s">
        <v>4588</v>
      </c>
      <c r="U1288" s="19" t="str">
        <f aca="false">HYPERLINK("https://macaulaylibrary.org/asset/610540645","Open")</f>
        <v>Open</v>
      </c>
      <c r="V1288" s="19"/>
    </row>
    <row r="1289" customFormat="false" ht="15" hidden="false" customHeight="false" outlineLevel="0" collapsed="false">
      <c r="A1289" s="19" t="s">
        <v>4589</v>
      </c>
      <c r="B1289" s="19" t="s">
        <v>943</v>
      </c>
      <c r="C1289" s="19" t="s">
        <v>944</v>
      </c>
      <c r="D1289" s="19" t="s">
        <v>400</v>
      </c>
      <c r="E1289" s="19" t="s">
        <v>147</v>
      </c>
      <c r="F1289" s="19" t="s">
        <v>444</v>
      </c>
      <c r="G1289" s="19" t="n">
        <v>149</v>
      </c>
      <c r="H1289" s="19" t="s">
        <v>445</v>
      </c>
      <c r="I1289" s="20" t="n">
        <v>28.146</v>
      </c>
      <c r="J1289" s="19" t="n">
        <f aca="false">IF(I1289="","",MIN(Overview!$B$8,MAX(1,CEILING(I1289/Overview!$B$7,1))))</f>
        <v>6</v>
      </c>
      <c r="K1289" s="19" t="n">
        <v>1</v>
      </c>
      <c r="L1289" s="19"/>
      <c r="M1289" s="20" t="n">
        <v>3.33</v>
      </c>
      <c r="N1289" s="19"/>
      <c r="O1289" s="19"/>
      <c r="P1289" s="19" t="s">
        <v>2528</v>
      </c>
      <c r="Q1289" s="19" t="s">
        <v>951</v>
      </c>
      <c r="R1289" s="21" t="n">
        <v>45222</v>
      </c>
      <c r="S1289" s="19" t="s">
        <v>2529</v>
      </c>
      <c r="T1289" s="19" t="s">
        <v>4590</v>
      </c>
      <c r="U1289" s="19" t="str">
        <f aca="false">HYPERLINK("https://macaulaylibrary.org/asset/610540775","Open")</f>
        <v>Open</v>
      </c>
      <c r="V1289" s="19"/>
    </row>
    <row r="1290" customFormat="false" ht="15" hidden="false" customHeight="false" outlineLevel="0" collapsed="false">
      <c r="A1290" s="19" t="s">
        <v>4591</v>
      </c>
      <c r="B1290" s="19" t="s">
        <v>943</v>
      </c>
      <c r="C1290" s="19" t="s">
        <v>944</v>
      </c>
      <c r="D1290" s="19" t="s">
        <v>400</v>
      </c>
      <c r="E1290" s="19" t="s">
        <v>147</v>
      </c>
      <c r="F1290" s="19" t="s">
        <v>444</v>
      </c>
      <c r="G1290" s="19" t="n">
        <v>149</v>
      </c>
      <c r="H1290" s="19" t="s">
        <v>445</v>
      </c>
      <c r="I1290" s="20" t="n">
        <v>26.681</v>
      </c>
      <c r="J1290" s="19" t="n">
        <f aca="false">IF(I1290="","",MIN(Overview!$B$8,MAX(1,CEILING(I1290/Overview!$B$7,1))))</f>
        <v>6</v>
      </c>
      <c r="K1290" s="19" t="n">
        <v>1</v>
      </c>
      <c r="L1290" s="19"/>
      <c r="M1290" s="20" t="n">
        <v>2</v>
      </c>
      <c r="N1290" s="19"/>
      <c r="O1290" s="19"/>
      <c r="P1290" s="19" t="s">
        <v>2210</v>
      </c>
      <c r="Q1290" s="19" t="s">
        <v>1158</v>
      </c>
      <c r="R1290" s="21" t="n">
        <v>45658</v>
      </c>
      <c r="S1290" s="19" t="s">
        <v>1969</v>
      </c>
      <c r="T1290" s="19" t="s">
        <v>4592</v>
      </c>
      <c r="U1290" s="19" t="str">
        <f aca="false">HYPERLINK("https://macaulaylibrary.org/asset/630218446","Open")</f>
        <v>Open</v>
      </c>
      <c r="V1290" s="19"/>
    </row>
    <row r="1291" customFormat="false" ht="15" hidden="false" customHeight="false" outlineLevel="0" collapsed="false">
      <c r="A1291" s="19" t="s">
        <v>4593</v>
      </c>
      <c r="B1291" s="19" t="s">
        <v>943</v>
      </c>
      <c r="C1291" s="19" t="s">
        <v>944</v>
      </c>
      <c r="D1291" s="19" t="s">
        <v>400</v>
      </c>
      <c r="E1291" s="19" t="s">
        <v>147</v>
      </c>
      <c r="F1291" s="19" t="s">
        <v>444</v>
      </c>
      <c r="G1291" s="19" t="n">
        <v>149</v>
      </c>
      <c r="H1291" s="19" t="s">
        <v>445</v>
      </c>
      <c r="I1291" s="20" t="n">
        <v>2.667</v>
      </c>
      <c r="J1291" s="19" t="n">
        <f aca="false">IF(I1291="","",MIN(Overview!$B$8,MAX(1,CEILING(I1291/Overview!$B$7,1))))</f>
        <v>1</v>
      </c>
      <c r="K1291" s="19" t="n">
        <v>1</v>
      </c>
      <c r="L1291" s="19" t="s">
        <v>1048</v>
      </c>
      <c r="M1291" s="20" t="n">
        <v>3</v>
      </c>
      <c r="N1291" s="19"/>
      <c r="O1291" s="19"/>
      <c r="P1291" s="19" t="s">
        <v>1477</v>
      </c>
      <c r="Q1291" s="19" t="s">
        <v>1478</v>
      </c>
      <c r="R1291" s="21" t="n">
        <v>45715</v>
      </c>
      <c r="S1291" s="19" t="s">
        <v>1479</v>
      </c>
      <c r="T1291" s="19" t="s">
        <v>4594</v>
      </c>
      <c r="U1291" s="19" t="str">
        <f aca="false">HYPERLINK("https://macaulaylibrary.org/asset/632692411","Open")</f>
        <v>Open</v>
      </c>
      <c r="V1291" s="19"/>
    </row>
    <row r="1292" customFormat="false" ht="15" hidden="false" customHeight="false" outlineLevel="0" collapsed="false">
      <c r="A1292" s="19" t="s">
        <v>4595</v>
      </c>
      <c r="B1292" s="19" t="s">
        <v>943</v>
      </c>
      <c r="C1292" s="19" t="s">
        <v>944</v>
      </c>
      <c r="D1292" s="19" t="s">
        <v>400</v>
      </c>
      <c r="E1292" s="19" t="s">
        <v>147</v>
      </c>
      <c r="F1292" s="19" t="s">
        <v>444</v>
      </c>
      <c r="G1292" s="19" t="n">
        <v>149</v>
      </c>
      <c r="H1292" s="19" t="s">
        <v>445</v>
      </c>
      <c r="I1292" s="20" t="n">
        <v>24.774</v>
      </c>
      <c r="J1292" s="19" t="n">
        <f aca="false">IF(I1292="","",MIN(Overview!$B$8,MAX(1,CEILING(I1292/Overview!$B$7,1))))</f>
        <v>5</v>
      </c>
      <c r="K1292" s="19" t="n">
        <v>1</v>
      </c>
      <c r="L1292" s="19"/>
      <c r="M1292" s="20" t="n">
        <v>1</v>
      </c>
      <c r="N1292" s="19"/>
      <c r="O1292" s="19"/>
      <c r="P1292" s="19" t="s">
        <v>2026</v>
      </c>
      <c r="Q1292" s="19" t="s">
        <v>1091</v>
      </c>
      <c r="R1292" s="21" t="n">
        <v>45844</v>
      </c>
      <c r="S1292" s="19" t="s">
        <v>2027</v>
      </c>
      <c r="T1292" s="19" t="s">
        <v>4596</v>
      </c>
      <c r="U1292" s="19" t="str">
        <f aca="false">HYPERLINK("https://macaulaylibrary.org/asset/643641221","Open")</f>
        <v>Open</v>
      </c>
      <c r="V1292" s="19"/>
    </row>
    <row r="1293" customFormat="false" ht="15" hidden="false" customHeight="false" outlineLevel="0" collapsed="false">
      <c r="A1293" s="19" t="s">
        <v>4597</v>
      </c>
      <c r="B1293" s="19" t="s">
        <v>943</v>
      </c>
      <c r="C1293" s="19" t="s">
        <v>944</v>
      </c>
      <c r="D1293" s="19" t="s">
        <v>400</v>
      </c>
      <c r="E1293" s="19" t="s">
        <v>147</v>
      </c>
      <c r="F1293" s="19" t="s">
        <v>447</v>
      </c>
      <c r="G1293" s="19" t="n">
        <v>151</v>
      </c>
      <c r="H1293" s="19" t="s">
        <v>448</v>
      </c>
      <c r="I1293" s="20" t="n">
        <v>47.862</v>
      </c>
      <c r="J1293" s="19" t="n">
        <f aca="false">IF(I1293="","",MIN(Overview!$B$8,MAX(1,CEILING(I1293/Overview!$B$7,1))))</f>
        <v>10</v>
      </c>
      <c r="K1293" s="19" t="n">
        <v>1</v>
      </c>
      <c r="L1293" s="19"/>
      <c r="M1293" s="20" t="n">
        <v>4.5</v>
      </c>
      <c r="N1293" s="19"/>
      <c r="O1293" s="19"/>
      <c r="P1293" s="19" t="s">
        <v>1390</v>
      </c>
      <c r="Q1293" s="19" t="s">
        <v>1021</v>
      </c>
      <c r="R1293" s="21" t="n">
        <v>36596</v>
      </c>
      <c r="S1293" s="19" t="s">
        <v>1137</v>
      </c>
      <c r="T1293" s="19" t="s">
        <v>4598</v>
      </c>
      <c r="U1293" s="19" t="str">
        <f aca="false">HYPERLINK("https://macaulaylibrary.org/asset/144842341","Open")</f>
        <v>Open</v>
      </c>
      <c r="V1293" s="19"/>
    </row>
    <row r="1294" customFormat="false" ht="15" hidden="false" customHeight="false" outlineLevel="0" collapsed="false">
      <c r="A1294" s="19" t="s">
        <v>4599</v>
      </c>
      <c r="B1294" s="19" t="s">
        <v>943</v>
      </c>
      <c r="C1294" s="19" t="s">
        <v>944</v>
      </c>
      <c r="D1294" s="19" t="s">
        <v>400</v>
      </c>
      <c r="E1294" s="19" t="s">
        <v>147</v>
      </c>
      <c r="F1294" s="19" t="s">
        <v>447</v>
      </c>
      <c r="G1294" s="19" t="n">
        <v>151</v>
      </c>
      <c r="H1294" s="19" t="s">
        <v>448</v>
      </c>
      <c r="I1294" s="20" t="n">
        <v>81.177</v>
      </c>
      <c r="J1294" s="19" t="n">
        <f aca="false">IF(I1294="","",MIN(Overview!$B$8,MAX(1,CEILING(I1294/Overview!$B$7,1))))</f>
        <v>17</v>
      </c>
      <c r="K1294" s="19" t="n">
        <v>1</v>
      </c>
      <c r="L1294" s="19"/>
      <c r="M1294" s="20" t="n">
        <v>4</v>
      </c>
      <c r="N1294" s="19"/>
      <c r="O1294" s="19"/>
      <c r="P1294" s="19" t="s">
        <v>1698</v>
      </c>
      <c r="Q1294" s="19" t="s">
        <v>1021</v>
      </c>
      <c r="R1294" s="21" t="n">
        <v>36599</v>
      </c>
      <c r="S1294" s="19" t="s">
        <v>1036</v>
      </c>
      <c r="T1294" s="19" t="s">
        <v>4600</v>
      </c>
      <c r="U1294" s="19" t="str">
        <f aca="false">HYPERLINK("https://macaulaylibrary.org/asset/148847641","Open")</f>
        <v>Open</v>
      </c>
      <c r="V1294" s="19"/>
    </row>
    <row r="1295" customFormat="false" ht="15" hidden="false" customHeight="false" outlineLevel="0" collapsed="false">
      <c r="A1295" s="19" t="s">
        <v>4601</v>
      </c>
      <c r="B1295" s="19" t="s">
        <v>943</v>
      </c>
      <c r="C1295" s="19" t="s">
        <v>944</v>
      </c>
      <c r="D1295" s="19" t="s">
        <v>400</v>
      </c>
      <c r="E1295" s="19" t="s">
        <v>147</v>
      </c>
      <c r="F1295" s="19" t="s">
        <v>447</v>
      </c>
      <c r="G1295" s="19" t="n">
        <v>151</v>
      </c>
      <c r="H1295" s="19" t="s">
        <v>448</v>
      </c>
      <c r="I1295" s="20" t="n">
        <v>178.626</v>
      </c>
      <c r="J1295" s="19" t="n">
        <f aca="false">IF(I1295="","",MIN(Overview!$B$8,MAX(1,CEILING(I1295/Overview!$B$7,1))))</f>
        <v>36</v>
      </c>
      <c r="K1295" s="19" t="n">
        <v>1</v>
      </c>
      <c r="L1295" s="19"/>
      <c r="M1295" s="20" t="n">
        <v>3</v>
      </c>
      <c r="N1295" s="19"/>
      <c r="O1295" s="19"/>
      <c r="P1295" s="19" t="s">
        <v>1703</v>
      </c>
      <c r="Q1295" s="19" t="s">
        <v>1021</v>
      </c>
      <c r="R1295" s="21" t="n">
        <v>36601</v>
      </c>
      <c r="S1295" s="19" t="s">
        <v>1036</v>
      </c>
      <c r="T1295" s="19" t="s">
        <v>4602</v>
      </c>
      <c r="U1295" s="19" t="str">
        <f aca="false">HYPERLINK("https://macaulaylibrary.org/asset/153396041","Open")</f>
        <v>Open</v>
      </c>
      <c r="V1295" s="19"/>
    </row>
    <row r="1296" customFormat="false" ht="15" hidden="false" customHeight="false" outlineLevel="0" collapsed="false">
      <c r="A1296" s="19" t="s">
        <v>4603</v>
      </c>
      <c r="B1296" s="19" t="s">
        <v>943</v>
      </c>
      <c r="C1296" s="19" t="s">
        <v>944</v>
      </c>
      <c r="D1296" s="19" t="s">
        <v>400</v>
      </c>
      <c r="E1296" s="19" t="s">
        <v>147</v>
      </c>
      <c r="F1296" s="19" t="s">
        <v>447</v>
      </c>
      <c r="G1296" s="19" t="n">
        <v>151</v>
      </c>
      <c r="H1296" s="19" t="s">
        <v>448</v>
      </c>
      <c r="I1296" s="20" t="n">
        <v>90.123</v>
      </c>
      <c r="J1296" s="19" t="n">
        <f aca="false">IF(I1296="","",MIN(Overview!$B$8,MAX(1,CEILING(I1296/Overview!$B$7,1))))</f>
        <v>19</v>
      </c>
      <c r="K1296" s="19" t="n">
        <v>1</v>
      </c>
      <c r="L1296" s="19"/>
      <c r="M1296" s="20" t="n">
        <v>3.5</v>
      </c>
      <c r="N1296" s="19"/>
      <c r="O1296" s="19"/>
      <c r="P1296" s="19" t="s">
        <v>1356</v>
      </c>
      <c r="Q1296" s="19" t="s">
        <v>1021</v>
      </c>
      <c r="R1296" s="21" t="n">
        <v>36603</v>
      </c>
      <c r="S1296" s="19" t="s">
        <v>1357</v>
      </c>
      <c r="T1296" s="19" t="s">
        <v>4604</v>
      </c>
      <c r="U1296" s="19" t="str">
        <f aca="false">HYPERLINK("https://macaulaylibrary.org/asset/154661181","Open")</f>
        <v>Open</v>
      </c>
      <c r="V1296" s="19"/>
    </row>
    <row r="1297" customFormat="false" ht="15" hidden="false" customHeight="false" outlineLevel="0" collapsed="false">
      <c r="A1297" s="19" t="s">
        <v>4605</v>
      </c>
      <c r="B1297" s="19" t="s">
        <v>943</v>
      </c>
      <c r="C1297" s="19" t="s">
        <v>944</v>
      </c>
      <c r="D1297" s="19" t="s">
        <v>400</v>
      </c>
      <c r="E1297" s="19" t="s">
        <v>147</v>
      </c>
      <c r="F1297" s="19" t="s">
        <v>447</v>
      </c>
      <c r="G1297" s="19" t="n">
        <v>151</v>
      </c>
      <c r="H1297" s="19" t="s">
        <v>448</v>
      </c>
      <c r="I1297" s="20" t="n">
        <v>225.809</v>
      </c>
      <c r="J1297" s="19" t="n">
        <f aca="false">IF(I1297="","",MIN(Overview!$B$8,MAX(1,CEILING(I1297/Overview!$B$7,1))))</f>
        <v>46</v>
      </c>
      <c r="K1297" s="19" t="n">
        <v>1</v>
      </c>
      <c r="L1297" s="19"/>
      <c r="M1297" s="20" t="n">
        <v>4</v>
      </c>
      <c r="N1297" s="19"/>
      <c r="O1297" s="19"/>
      <c r="P1297" s="19" t="s">
        <v>1356</v>
      </c>
      <c r="Q1297" s="19" t="s">
        <v>1021</v>
      </c>
      <c r="R1297" s="21" t="n">
        <v>36603</v>
      </c>
      <c r="S1297" s="19" t="s">
        <v>1357</v>
      </c>
      <c r="T1297" s="19" t="s">
        <v>4606</v>
      </c>
      <c r="U1297" s="19" t="str">
        <f aca="false">HYPERLINK("https://macaulaylibrary.org/asset/155577251","Open")</f>
        <v>Open</v>
      </c>
      <c r="V1297" s="19"/>
    </row>
    <row r="1298" customFormat="false" ht="15" hidden="false" customHeight="false" outlineLevel="0" collapsed="false">
      <c r="A1298" s="19" t="s">
        <v>4607</v>
      </c>
      <c r="B1298" s="19" t="s">
        <v>943</v>
      </c>
      <c r="C1298" s="19" t="s">
        <v>944</v>
      </c>
      <c r="D1298" s="19" t="s">
        <v>400</v>
      </c>
      <c r="E1298" s="19" t="s">
        <v>147</v>
      </c>
      <c r="F1298" s="19" t="s">
        <v>447</v>
      </c>
      <c r="G1298" s="19" t="n">
        <v>151</v>
      </c>
      <c r="H1298" s="19" t="s">
        <v>448</v>
      </c>
      <c r="I1298" s="20" t="n">
        <v>25.68</v>
      </c>
      <c r="J1298" s="19" t="n">
        <f aca="false">IF(I1298="","",MIN(Overview!$B$8,MAX(1,CEILING(I1298/Overview!$B$7,1))))</f>
        <v>6</v>
      </c>
      <c r="K1298" s="19" t="n">
        <v>1</v>
      </c>
      <c r="L1298" s="19"/>
      <c r="M1298" s="20"/>
      <c r="N1298" s="19"/>
      <c r="O1298" s="19"/>
      <c r="P1298" s="19" t="s">
        <v>4608</v>
      </c>
      <c r="Q1298" s="19" t="s">
        <v>1091</v>
      </c>
      <c r="R1298" s="21" t="n">
        <v>45844</v>
      </c>
      <c r="S1298" s="19" t="s">
        <v>4609</v>
      </c>
      <c r="T1298" s="19" t="s">
        <v>4610</v>
      </c>
      <c r="U1298" s="19" t="str">
        <f aca="false">HYPERLINK("https://macaulaylibrary.org/asset/643641858","Open")</f>
        <v>Open</v>
      </c>
      <c r="V1298" s="19"/>
    </row>
    <row r="1299" customFormat="false" ht="15" hidden="false" customHeight="false" outlineLevel="0" collapsed="false">
      <c r="A1299" s="19" t="s">
        <v>4611</v>
      </c>
      <c r="B1299" s="19" t="s">
        <v>943</v>
      </c>
      <c r="C1299" s="19" t="s">
        <v>944</v>
      </c>
      <c r="D1299" s="19" t="s">
        <v>400</v>
      </c>
      <c r="E1299" s="19" t="s">
        <v>147</v>
      </c>
      <c r="F1299" s="19" t="s">
        <v>447</v>
      </c>
      <c r="G1299" s="19" t="n">
        <v>151</v>
      </c>
      <c r="H1299" s="19" t="s">
        <v>448</v>
      </c>
      <c r="I1299" s="20" t="n">
        <v>62.865</v>
      </c>
      <c r="J1299" s="19" t="n">
        <f aca="false">IF(I1299="","",MIN(Overview!$B$8,MAX(1,CEILING(I1299/Overview!$B$7,1))))</f>
        <v>13</v>
      </c>
      <c r="K1299" s="19" t="n">
        <v>1</v>
      </c>
      <c r="L1299" s="19"/>
      <c r="M1299" s="20" t="n">
        <v>3</v>
      </c>
      <c r="N1299" s="19"/>
      <c r="O1299" s="19"/>
      <c r="P1299" s="19" t="s">
        <v>2750</v>
      </c>
      <c r="Q1299" s="19" t="s">
        <v>1021</v>
      </c>
      <c r="R1299" s="21" t="n">
        <v>35859</v>
      </c>
      <c r="S1299" s="19" t="s">
        <v>1658</v>
      </c>
      <c r="T1299" s="19" t="s">
        <v>4612</v>
      </c>
      <c r="U1299" s="19" t="str">
        <f aca="false">HYPERLINK("https://macaulaylibrary.org/asset/98011571","Open")</f>
        <v>Open</v>
      </c>
      <c r="V1299" s="19"/>
    </row>
    <row r="1300" customFormat="false" ht="15" hidden="false" customHeight="false" outlineLevel="0" collapsed="false">
      <c r="A1300" s="19" t="s">
        <v>4613</v>
      </c>
      <c r="B1300" s="19" t="s">
        <v>943</v>
      </c>
      <c r="C1300" s="19" t="s">
        <v>944</v>
      </c>
      <c r="D1300" s="19" t="s">
        <v>400</v>
      </c>
      <c r="E1300" s="19" t="s">
        <v>147</v>
      </c>
      <c r="F1300" s="19" t="s">
        <v>447</v>
      </c>
      <c r="G1300" s="19" t="n">
        <v>151</v>
      </c>
      <c r="H1300" s="19" t="s">
        <v>448</v>
      </c>
      <c r="I1300" s="20" t="n">
        <v>27.775</v>
      </c>
      <c r="J1300" s="19" t="n">
        <f aca="false">IF(I1300="","",MIN(Overview!$B$8,MAX(1,CEILING(I1300/Overview!$B$7,1))))</f>
        <v>6</v>
      </c>
      <c r="K1300" s="19" t="n">
        <v>1</v>
      </c>
      <c r="L1300" s="19"/>
      <c r="M1300" s="20" t="n">
        <v>3.5</v>
      </c>
      <c r="N1300" s="19"/>
      <c r="O1300" s="19"/>
      <c r="P1300" s="19" t="s">
        <v>1742</v>
      </c>
      <c r="Q1300" s="19" t="s">
        <v>1021</v>
      </c>
      <c r="R1300" s="21" t="n">
        <v>35860</v>
      </c>
      <c r="S1300" s="19" t="s">
        <v>1743</v>
      </c>
      <c r="T1300" s="19" t="s">
        <v>4614</v>
      </c>
      <c r="U1300" s="19" t="str">
        <f aca="false">HYPERLINK("https://macaulaylibrary.org/asset/98012551","Open")</f>
        <v>Open</v>
      </c>
      <c r="V1300" s="19"/>
    </row>
    <row r="1301" customFormat="false" ht="15" hidden="false" customHeight="false" outlineLevel="0" collapsed="false">
      <c r="A1301" s="19" t="s">
        <v>4615</v>
      </c>
      <c r="B1301" s="19" t="s">
        <v>943</v>
      </c>
      <c r="C1301" s="19" t="s">
        <v>944</v>
      </c>
      <c r="D1301" s="19" t="s">
        <v>148</v>
      </c>
      <c r="E1301" s="19" t="s">
        <v>147</v>
      </c>
      <c r="F1301" s="19" t="s">
        <v>385</v>
      </c>
      <c r="G1301" s="19" t="n">
        <v>152</v>
      </c>
      <c r="H1301" s="19" t="s">
        <v>386</v>
      </c>
      <c r="I1301" s="20" t="n">
        <v>20.206</v>
      </c>
      <c r="J1301" s="19" t="n">
        <f aca="false">IF(I1301="","",MIN(Overview!$B$8,MAX(1,CEILING(I1301/Overview!$B$7,1))))</f>
        <v>5</v>
      </c>
      <c r="K1301" s="19" t="n">
        <v>1</v>
      </c>
      <c r="L1301" s="19"/>
      <c r="M1301" s="20"/>
      <c r="N1301" s="19"/>
      <c r="O1301" s="19"/>
      <c r="P1301" s="19" t="s">
        <v>1029</v>
      </c>
      <c r="Q1301" s="19" t="s">
        <v>1030</v>
      </c>
      <c r="R1301" s="21" t="n">
        <v>40251</v>
      </c>
      <c r="S1301" s="19" t="s">
        <v>1137</v>
      </c>
      <c r="T1301" s="19" t="s">
        <v>4616</v>
      </c>
      <c r="U1301" s="19" t="str">
        <f aca="false">HYPERLINK("https://macaulaylibrary.org/asset/299613","Open")</f>
        <v>Open</v>
      </c>
      <c r="V1301" s="19"/>
    </row>
    <row r="1302" customFormat="false" ht="15" hidden="false" customHeight="false" outlineLevel="0" collapsed="false">
      <c r="A1302" s="19" t="s">
        <v>4617</v>
      </c>
      <c r="B1302" s="19" t="s">
        <v>943</v>
      </c>
      <c r="C1302" s="19" t="s">
        <v>944</v>
      </c>
      <c r="D1302" s="19" t="s">
        <v>148</v>
      </c>
      <c r="E1302" s="19" t="s">
        <v>147</v>
      </c>
      <c r="F1302" s="19" t="s">
        <v>385</v>
      </c>
      <c r="G1302" s="19" t="n">
        <v>152</v>
      </c>
      <c r="H1302" s="19" t="s">
        <v>386</v>
      </c>
      <c r="I1302" s="20" t="n">
        <v>28.838</v>
      </c>
      <c r="J1302" s="19" t="n">
        <f aca="false">IF(I1302="","",MIN(Overview!$B$8,MAX(1,CEILING(I1302/Overview!$B$7,1))))</f>
        <v>6</v>
      </c>
      <c r="K1302" s="19" t="n">
        <v>1</v>
      </c>
      <c r="L1302" s="19"/>
      <c r="M1302" s="20" t="n">
        <v>1.5</v>
      </c>
      <c r="N1302" s="19"/>
      <c r="O1302" s="19"/>
      <c r="P1302" s="19" t="s">
        <v>4618</v>
      </c>
      <c r="Q1302" s="19" t="s">
        <v>1289</v>
      </c>
      <c r="R1302" s="21" t="n">
        <v>42546</v>
      </c>
      <c r="S1302" s="19" t="s">
        <v>4619</v>
      </c>
      <c r="T1302" s="19" t="s">
        <v>4620</v>
      </c>
      <c r="U1302" s="19" t="str">
        <f aca="false">HYPERLINK("https://macaulaylibrary.org/asset/32600911","Open")</f>
        <v>Open</v>
      </c>
      <c r="V1302" s="19"/>
    </row>
    <row r="1303" customFormat="false" ht="15" hidden="false" customHeight="false" outlineLevel="0" collapsed="false">
      <c r="A1303" s="19" t="s">
        <v>4621</v>
      </c>
      <c r="B1303" s="19" t="s">
        <v>943</v>
      </c>
      <c r="C1303" s="19" t="s">
        <v>944</v>
      </c>
      <c r="D1303" s="19" t="s">
        <v>148</v>
      </c>
      <c r="E1303" s="19" t="s">
        <v>147</v>
      </c>
      <c r="F1303" s="19" t="s">
        <v>385</v>
      </c>
      <c r="G1303" s="19" t="n">
        <v>152</v>
      </c>
      <c r="H1303" s="19" t="s">
        <v>386</v>
      </c>
      <c r="I1303" s="20" t="n">
        <v>19.371</v>
      </c>
      <c r="J1303" s="19" t="n">
        <f aca="false">IF(I1303="","",MIN(Overview!$B$8,MAX(1,CEILING(I1303/Overview!$B$7,1))))</f>
        <v>4</v>
      </c>
      <c r="K1303" s="19" t="n">
        <v>1</v>
      </c>
      <c r="L1303" s="19"/>
      <c r="M1303" s="20" t="n">
        <v>2</v>
      </c>
      <c r="N1303" s="19"/>
      <c r="O1303" s="19"/>
      <c r="P1303" s="19" t="s">
        <v>4622</v>
      </c>
      <c r="Q1303" s="19" t="s">
        <v>1893</v>
      </c>
      <c r="R1303" s="21" t="n">
        <v>45556</v>
      </c>
      <c r="S1303" s="19" t="s">
        <v>4623</v>
      </c>
      <c r="T1303" s="19" t="s">
        <v>4624</v>
      </c>
      <c r="U1303" s="19" t="str">
        <f aca="false">HYPERLINK("https://macaulaylibrary.org/asset/624011479","Open")</f>
        <v>Open</v>
      </c>
      <c r="V1303" s="19"/>
    </row>
    <row r="1304" customFormat="false" ht="15" hidden="false" customHeight="false" outlineLevel="0" collapsed="false">
      <c r="A1304" s="19" t="s">
        <v>4625</v>
      </c>
      <c r="B1304" s="19" t="s">
        <v>943</v>
      </c>
      <c r="C1304" s="19" t="s">
        <v>944</v>
      </c>
      <c r="D1304" s="19" t="s">
        <v>148</v>
      </c>
      <c r="E1304" s="19" t="s">
        <v>147</v>
      </c>
      <c r="F1304" s="19" t="s">
        <v>385</v>
      </c>
      <c r="G1304" s="19" t="n">
        <v>152</v>
      </c>
      <c r="H1304" s="19" t="s">
        <v>386</v>
      </c>
      <c r="I1304" s="20" t="n">
        <v>218.173</v>
      </c>
      <c r="J1304" s="19" t="n">
        <f aca="false">IF(I1304="","",MIN(Overview!$B$8,MAX(1,CEILING(I1304/Overview!$B$7,1))))</f>
        <v>44</v>
      </c>
      <c r="K1304" s="19" t="n">
        <v>1</v>
      </c>
      <c r="L1304" s="19"/>
      <c r="M1304" s="20"/>
      <c r="N1304" s="19"/>
      <c r="O1304" s="19"/>
      <c r="P1304" s="19" t="s">
        <v>1674</v>
      </c>
      <c r="Q1304" s="19" t="s">
        <v>1091</v>
      </c>
      <c r="R1304" s="21" t="n">
        <v>45843</v>
      </c>
      <c r="S1304" s="19" t="s">
        <v>1009</v>
      </c>
      <c r="T1304" s="19" t="s">
        <v>4626</v>
      </c>
      <c r="U1304" s="19" t="str">
        <f aca="false">HYPERLINK("https://macaulaylibrary.org/asset/639164597","Open")</f>
        <v>Open</v>
      </c>
      <c r="V1304" s="19"/>
    </row>
    <row r="1305" customFormat="false" ht="15" hidden="false" customHeight="false" outlineLevel="0" collapsed="false">
      <c r="A1305" s="19" t="s">
        <v>4627</v>
      </c>
      <c r="B1305" s="19" t="s">
        <v>943</v>
      </c>
      <c r="C1305" s="19" t="s">
        <v>944</v>
      </c>
      <c r="D1305" s="19" t="s">
        <v>148</v>
      </c>
      <c r="E1305" s="19" t="s">
        <v>147</v>
      </c>
      <c r="F1305" s="19" t="s">
        <v>385</v>
      </c>
      <c r="G1305" s="19" t="n">
        <v>152</v>
      </c>
      <c r="H1305" s="19" t="s">
        <v>386</v>
      </c>
      <c r="I1305" s="20" t="n">
        <v>21.394</v>
      </c>
      <c r="J1305" s="19" t="n">
        <f aca="false">IF(I1305="","",MIN(Overview!$B$8,MAX(1,CEILING(I1305/Overview!$B$7,1))))</f>
        <v>5</v>
      </c>
      <c r="K1305" s="19" t="n">
        <v>1</v>
      </c>
      <c r="L1305" s="19"/>
      <c r="M1305" s="20" t="n">
        <v>1</v>
      </c>
      <c r="N1305" s="19"/>
      <c r="O1305" s="19" t="s">
        <v>289</v>
      </c>
      <c r="P1305" s="19" t="s">
        <v>1335</v>
      </c>
      <c r="Q1305" s="19" t="s">
        <v>990</v>
      </c>
      <c r="R1305" s="21" t="n">
        <v>46011</v>
      </c>
      <c r="S1305" s="19" t="s">
        <v>966</v>
      </c>
      <c r="T1305" s="19" t="s">
        <v>4628</v>
      </c>
      <c r="U1305" s="19" t="str">
        <f aca="false">HYPERLINK("https://macaulaylibrary.org/asset/647483264","Open")</f>
        <v>Open</v>
      </c>
      <c r="V1305" s="19"/>
    </row>
    <row r="1306" customFormat="false" ht="15" hidden="false" customHeight="false" outlineLevel="0" collapsed="false">
      <c r="A1306" s="19" t="s">
        <v>4629</v>
      </c>
      <c r="B1306" s="19" t="s">
        <v>943</v>
      </c>
      <c r="C1306" s="19" t="s">
        <v>944</v>
      </c>
      <c r="D1306" s="19" t="s">
        <v>148</v>
      </c>
      <c r="E1306" s="19" t="s">
        <v>147</v>
      </c>
      <c r="F1306" s="19" t="s">
        <v>385</v>
      </c>
      <c r="G1306" s="19" t="n">
        <v>152</v>
      </c>
      <c r="H1306" s="19" t="s">
        <v>386</v>
      </c>
      <c r="I1306" s="20" t="n">
        <v>10.299</v>
      </c>
      <c r="J1306" s="19" t="n">
        <f aca="false">IF(I1306="","",MIN(Overview!$B$8,MAX(1,CEILING(I1306/Overview!$B$7,1))))</f>
        <v>3</v>
      </c>
      <c r="K1306" s="19" t="n">
        <v>1</v>
      </c>
      <c r="L1306" s="19"/>
      <c r="M1306" s="20" t="n">
        <v>1</v>
      </c>
      <c r="N1306" s="19"/>
      <c r="O1306" s="19" t="s">
        <v>4630</v>
      </c>
      <c r="P1306" s="19" t="s">
        <v>1631</v>
      </c>
      <c r="Q1306" s="19" t="s">
        <v>990</v>
      </c>
      <c r="R1306" s="21" t="n">
        <v>46012</v>
      </c>
      <c r="S1306" s="19" t="s">
        <v>1632</v>
      </c>
      <c r="T1306" s="19" t="s">
        <v>4631</v>
      </c>
      <c r="U1306" s="19" t="str">
        <f aca="false">HYPERLINK("https://macaulaylibrary.org/asset/647483640","Open")</f>
        <v>Open</v>
      </c>
      <c r="V1306" s="19"/>
    </row>
    <row r="1307" customFormat="false" ht="15" hidden="false" customHeight="false" outlineLevel="0" collapsed="false">
      <c r="A1307" s="19" t="s">
        <v>4632</v>
      </c>
      <c r="B1307" s="19" t="s">
        <v>943</v>
      </c>
      <c r="C1307" s="19" t="s">
        <v>944</v>
      </c>
      <c r="D1307" s="19" t="s">
        <v>148</v>
      </c>
      <c r="E1307" s="19" t="s">
        <v>147</v>
      </c>
      <c r="F1307" s="19" t="s">
        <v>385</v>
      </c>
      <c r="G1307" s="19" t="n">
        <v>152</v>
      </c>
      <c r="H1307" s="19" t="s">
        <v>386</v>
      </c>
      <c r="I1307" s="20" t="n">
        <v>29.213</v>
      </c>
      <c r="J1307" s="19" t="n">
        <f aca="false">IF(I1307="","",MIN(Overview!$B$8,MAX(1,CEILING(I1307/Overview!$B$7,1))))</f>
        <v>6</v>
      </c>
      <c r="K1307" s="19" t="n">
        <v>1</v>
      </c>
      <c r="L1307" s="19"/>
      <c r="M1307" s="20" t="n">
        <v>1</v>
      </c>
      <c r="N1307" s="19"/>
      <c r="O1307" s="19"/>
      <c r="P1307" s="19" t="s">
        <v>1217</v>
      </c>
      <c r="Q1307" s="19" t="s">
        <v>1218</v>
      </c>
      <c r="R1307" s="21" t="n">
        <v>33330</v>
      </c>
      <c r="S1307" s="19" t="s">
        <v>3598</v>
      </c>
      <c r="T1307" s="19" t="s">
        <v>4633</v>
      </c>
      <c r="U1307" s="19" t="str">
        <f aca="false">HYPERLINK("https://macaulaylibrary.org/asset/76618","Open")</f>
        <v>Open</v>
      </c>
      <c r="V1307" s="19" t="s">
        <v>4634</v>
      </c>
    </row>
    <row r="1308" customFormat="false" ht="15" hidden="false" customHeight="false" outlineLevel="0" collapsed="false">
      <c r="A1308" s="19" t="s">
        <v>4635</v>
      </c>
      <c r="B1308" s="19" t="s">
        <v>943</v>
      </c>
      <c r="C1308" s="19" t="s">
        <v>944</v>
      </c>
      <c r="D1308" s="19" t="s">
        <v>148</v>
      </c>
      <c r="E1308" s="19" t="s">
        <v>147</v>
      </c>
      <c r="F1308" s="19" t="s">
        <v>385</v>
      </c>
      <c r="G1308" s="19" t="n">
        <v>152</v>
      </c>
      <c r="H1308" s="19" t="s">
        <v>386</v>
      </c>
      <c r="I1308" s="20" t="n">
        <v>152.186</v>
      </c>
      <c r="J1308" s="19" t="n">
        <f aca="false">IF(I1308="","",MIN(Overview!$B$8,MAX(1,CEILING(I1308/Overview!$B$7,1))))</f>
        <v>31</v>
      </c>
      <c r="K1308" s="19" t="n">
        <v>1</v>
      </c>
      <c r="L1308" s="19"/>
      <c r="M1308" s="20" t="n">
        <v>3.2</v>
      </c>
      <c r="N1308" s="19"/>
      <c r="O1308" s="19"/>
      <c r="P1308" s="19" t="s">
        <v>1217</v>
      </c>
      <c r="Q1308" s="19" t="s">
        <v>1218</v>
      </c>
      <c r="R1308" s="21" t="n">
        <v>33330</v>
      </c>
      <c r="S1308" s="19" t="s">
        <v>1299</v>
      </c>
      <c r="T1308" s="19" t="s">
        <v>4636</v>
      </c>
      <c r="U1308" s="19" t="str">
        <f aca="false">HYPERLINK("https://macaulaylibrary.org/asset/76620","Open")</f>
        <v>Open</v>
      </c>
      <c r="V1308" s="19" t="s">
        <v>4634</v>
      </c>
    </row>
    <row r="1309" customFormat="false" ht="15" hidden="false" customHeight="false" outlineLevel="0" collapsed="false">
      <c r="A1309" s="19" t="s">
        <v>4637</v>
      </c>
      <c r="B1309" s="19" t="s">
        <v>943</v>
      </c>
      <c r="C1309" s="19" t="s">
        <v>944</v>
      </c>
      <c r="D1309" s="19" t="s">
        <v>400</v>
      </c>
      <c r="E1309" s="19" t="s">
        <v>147</v>
      </c>
      <c r="F1309" s="19" t="s">
        <v>666</v>
      </c>
      <c r="G1309" s="19" t="n">
        <v>153</v>
      </c>
      <c r="H1309" s="19" t="s">
        <v>667</v>
      </c>
      <c r="I1309" s="20" t="n">
        <v>79.138</v>
      </c>
      <c r="J1309" s="19" t="n">
        <f aca="false">IF(I1309="","",MIN(Overview!$B$8,MAX(1,CEILING(I1309/Overview!$B$7,1))))</f>
        <v>16</v>
      </c>
      <c r="K1309" s="19" t="n">
        <v>1</v>
      </c>
      <c r="L1309" s="19"/>
      <c r="M1309" s="20" t="n">
        <v>2</v>
      </c>
      <c r="N1309" s="19"/>
      <c r="O1309" s="19" t="s">
        <v>4638</v>
      </c>
      <c r="P1309" s="19" t="s">
        <v>4639</v>
      </c>
      <c r="Q1309" s="19" t="s">
        <v>1218</v>
      </c>
      <c r="R1309" s="21" t="n">
        <v>34799</v>
      </c>
      <c r="S1309" s="19" t="s">
        <v>4640</v>
      </c>
      <c r="T1309" s="19" t="s">
        <v>4641</v>
      </c>
      <c r="U1309" s="19" t="str">
        <f aca="false">HYPERLINK("https://macaulaylibrary.org/asset/184135","Open")</f>
        <v>Open</v>
      </c>
      <c r="V1309" s="19"/>
    </row>
    <row r="1310" customFormat="false" ht="15" hidden="false" customHeight="false" outlineLevel="0" collapsed="false">
      <c r="A1310" s="19" t="s">
        <v>4642</v>
      </c>
      <c r="B1310" s="19" t="s">
        <v>943</v>
      </c>
      <c r="C1310" s="19" t="s">
        <v>944</v>
      </c>
      <c r="D1310" s="19" t="s">
        <v>400</v>
      </c>
      <c r="E1310" s="19" t="s">
        <v>147</v>
      </c>
      <c r="F1310" s="19" t="s">
        <v>666</v>
      </c>
      <c r="G1310" s="19" t="n">
        <v>153</v>
      </c>
      <c r="H1310" s="19" t="s">
        <v>667</v>
      </c>
      <c r="I1310" s="20" t="n">
        <v>36.016</v>
      </c>
      <c r="J1310" s="19" t="n">
        <f aca="false">IF(I1310="","",MIN(Overview!$B$8,MAX(1,CEILING(I1310/Overview!$B$7,1))))</f>
        <v>8</v>
      </c>
      <c r="K1310" s="19" t="n">
        <v>1</v>
      </c>
      <c r="L1310" s="19"/>
      <c r="M1310" s="20" t="n">
        <v>1.4</v>
      </c>
      <c r="N1310" s="19"/>
      <c r="O1310" s="19"/>
      <c r="P1310" s="19" t="s">
        <v>2523</v>
      </c>
      <c r="Q1310" s="19" t="s">
        <v>1592</v>
      </c>
      <c r="R1310" s="21" t="n">
        <v>30405</v>
      </c>
      <c r="S1310" s="19" t="s">
        <v>1002</v>
      </c>
      <c r="T1310" s="19" t="s">
        <v>4643</v>
      </c>
      <c r="U1310" s="19" t="str">
        <f aca="false">HYPERLINK("https://macaulaylibrary.org/asset/39237","Open")</f>
        <v>Open</v>
      </c>
      <c r="V1310" s="19"/>
    </row>
    <row r="1311" customFormat="false" ht="15" hidden="false" customHeight="false" outlineLevel="0" collapsed="false">
      <c r="A1311" s="19" t="s">
        <v>4644</v>
      </c>
      <c r="B1311" s="19" t="s">
        <v>943</v>
      </c>
      <c r="C1311" s="19" t="s">
        <v>944</v>
      </c>
      <c r="D1311" s="19" t="s">
        <v>148</v>
      </c>
      <c r="E1311" s="19" t="s">
        <v>147</v>
      </c>
      <c r="F1311" s="19" t="s">
        <v>360</v>
      </c>
      <c r="G1311" s="19" t="n">
        <v>155</v>
      </c>
      <c r="H1311" s="19" t="s">
        <v>361</v>
      </c>
      <c r="I1311" s="20" t="n">
        <v>146.664</v>
      </c>
      <c r="J1311" s="19" t="n">
        <f aca="false">IF(I1311="","",MIN(Overview!$B$8,MAX(1,CEILING(I1311/Overview!$B$7,1))))</f>
        <v>30</v>
      </c>
      <c r="K1311" s="19" t="n">
        <v>1</v>
      </c>
      <c r="L1311" s="19"/>
      <c r="M1311" s="20" t="n">
        <v>1.2</v>
      </c>
      <c r="N1311" s="19"/>
      <c r="O1311" s="19"/>
      <c r="P1311" s="19" t="s">
        <v>1109</v>
      </c>
      <c r="Q1311" s="19" t="s">
        <v>1110</v>
      </c>
      <c r="R1311" s="21" t="n">
        <v>36969</v>
      </c>
      <c r="S1311" s="19" t="s">
        <v>4645</v>
      </c>
      <c r="T1311" s="19" t="s">
        <v>4646</v>
      </c>
      <c r="U1311" s="19" t="str">
        <f aca="false">HYPERLINK("https://macaulaylibrary.org/asset/185753","Open")</f>
        <v>Open</v>
      </c>
      <c r="V1311" s="19"/>
    </row>
    <row r="1312" customFormat="false" ht="15" hidden="false" customHeight="false" outlineLevel="0" collapsed="false">
      <c r="A1312" s="19" t="s">
        <v>4647</v>
      </c>
      <c r="B1312" s="19" t="s">
        <v>943</v>
      </c>
      <c r="C1312" s="19" t="s">
        <v>944</v>
      </c>
      <c r="D1312" s="19" t="s">
        <v>148</v>
      </c>
      <c r="E1312" s="19" t="s">
        <v>147</v>
      </c>
      <c r="F1312" s="19" t="s">
        <v>360</v>
      </c>
      <c r="G1312" s="19" t="n">
        <v>155</v>
      </c>
      <c r="H1312" s="19" t="s">
        <v>361</v>
      </c>
      <c r="I1312" s="20" t="n">
        <v>10.933</v>
      </c>
      <c r="J1312" s="19" t="n">
        <f aca="false">IF(I1312="","",MIN(Overview!$B$8,MAX(1,CEILING(I1312/Overview!$B$7,1))))</f>
        <v>3</v>
      </c>
      <c r="K1312" s="19" t="n">
        <v>1</v>
      </c>
      <c r="L1312" s="19"/>
      <c r="M1312" s="20" t="n">
        <v>4</v>
      </c>
      <c r="N1312" s="19"/>
      <c r="O1312" s="19"/>
      <c r="P1312" s="19" t="s">
        <v>1278</v>
      </c>
      <c r="Q1312" s="19" t="s">
        <v>1030</v>
      </c>
      <c r="R1312" s="21" t="n">
        <v>33597</v>
      </c>
      <c r="S1312" s="19" t="s">
        <v>1279</v>
      </c>
      <c r="T1312" s="19" t="s">
        <v>4648</v>
      </c>
      <c r="U1312" s="19" t="str">
        <f aca="false">HYPERLINK("https://macaulaylibrary.org/asset/285637","Open")</f>
        <v>Open</v>
      </c>
      <c r="V1312" s="19"/>
    </row>
    <row r="1313" customFormat="false" ht="15" hidden="false" customHeight="false" outlineLevel="0" collapsed="false">
      <c r="A1313" s="19" t="s">
        <v>4649</v>
      </c>
      <c r="B1313" s="19" t="s">
        <v>943</v>
      </c>
      <c r="C1313" s="19" t="s">
        <v>944</v>
      </c>
      <c r="D1313" s="19" t="s">
        <v>148</v>
      </c>
      <c r="E1313" s="19" t="s">
        <v>147</v>
      </c>
      <c r="F1313" s="19" t="s">
        <v>360</v>
      </c>
      <c r="G1313" s="19" t="n">
        <v>155</v>
      </c>
      <c r="H1313" s="19" t="s">
        <v>361</v>
      </c>
      <c r="I1313" s="20" t="n">
        <v>17.08</v>
      </c>
      <c r="J1313" s="19" t="n">
        <f aca="false">IF(I1313="","",MIN(Overview!$B$8,MAX(1,CEILING(I1313/Overview!$B$7,1))))</f>
        <v>4</v>
      </c>
      <c r="K1313" s="19" t="n">
        <v>1</v>
      </c>
      <c r="L1313" s="19"/>
      <c r="M1313" s="20"/>
      <c r="N1313" s="19"/>
      <c r="O1313" s="19"/>
      <c r="P1313" s="19" t="s">
        <v>1140</v>
      </c>
      <c r="Q1313" s="19" t="s">
        <v>1030</v>
      </c>
      <c r="R1313" s="21" t="n">
        <v>40250</v>
      </c>
      <c r="S1313" s="19" t="s">
        <v>1387</v>
      </c>
      <c r="T1313" s="19" t="s">
        <v>4650</v>
      </c>
      <c r="U1313" s="19" t="str">
        <f aca="false">HYPERLINK("https://macaulaylibrary.org/asset/299574","Open")</f>
        <v>Open</v>
      </c>
      <c r="V1313" s="19"/>
    </row>
    <row r="1314" customFormat="false" ht="15" hidden="false" customHeight="false" outlineLevel="0" collapsed="false">
      <c r="A1314" s="19" t="s">
        <v>4651</v>
      </c>
      <c r="B1314" s="19" t="s">
        <v>943</v>
      </c>
      <c r="C1314" s="19" t="s">
        <v>944</v>
      </c>
      <c r="D1314" s="19" t="s">
        <v>148</v>
      </c>
      <c r="E1314" s="19" t="s">
        <v>147</v>
      </c>
      <c r="F1314" s="19" t="s">
        <v>360</v>
      </c>
      <c r="G1314" s="19" t="n">
        <v>155</v>
      </c>
      <c r="H1314" s="19" t="s">
        <v>361</v>
      </c>
      <c r="I1314" s="20" t="n">
        <v>20.915</v>
      </c>
      <c r="J1314" s="19" t="n">
        <f aca="false">IF(I1314="","",MIN(Overview!$B$8,MAX(1,CEILING(I1314/Overview!$B$7,1))))</f>
        <v>5</v>
      </c>
      <c r="K1314" s="19" t="n">
        <v>1</v>
      </c>
      <c r="L1314" s="19"/>
      <c r="M1314" s="20" t="n">
        <v>3</v>
      </c>
      <c r="N1314" s="19"/>
      <c r="O1314" s="19"/>
      <c r="P1314" s="19" t="s">
        <v>1932</v>
      </c>
      <c r="Q1314" s="19" t="s">
        <v>1158</v>
      </c>
      <c r="R1314" s="21" t="n">
        <v>44941</v>
      </c>
      <c r="S1314" s="19" t="s">
        <v>1387</v>
      </c>
      <c r="T1314" s="19" t="s">
        <v>4652</v>
      </c>
      <c r="U1314" s="19" t="str">
        <f aca="false">HYPERLINK("https://macaulaylibrary.org/asset/539026011","Open")</f>
        <v>Open</v>
      </c>
      <c r="V1314" s="19"/>
    </row>
    <row r="1315" customFormat="false" ht="15" hidden="false" customHeight="false" outlineLevel="0" collapsed="false">
      <c r="A1315" s="19" t="s">
        <v>4653</v>
      </c>
      <c r="B1315" s="19" t="s">
        <v>943</v>
      </c>
      <c r="C1315" s="19" t="s">
        <v>944</v>
      </c>
      <c r="D1315" s="19" t="s">
        <v>148</v>
      </c>
      <c r="E1315" s="19" t="s">
        <v>147</v>
      </c>
      <c r="F1315" s="19" t="s">
        <v>360</v>
      </c>
      <c r="G1315" s="19" t="n">
        <v>155</v>
      </c>
      <c r="H1315" s="19" t="s">
        <v>361</v>
      </c>
      <c r="I1315" s="20" t="n">
        <v>40.847</v>
      </c>
      <c r="J1315" s="19" t="n">
        <f aca="false">IF(I1315="","",MIN(Overview!$B$8,MAX(1,CEILING(I1315/Overview!$B$7,1))))</f>
        <v>9</v>
      </c>
      <c r="K1315" s="19" t="n">
        <v>1</v>
      </c>
      <c r="L1315" s="19"/>
      <c r="M1315" s="20"/>
      <c r="N1315" s="19"/>
      <c r="O1315" s="19"/>
      <c r="P1315" s="19" t="s">
        <v>1482</v>
      </c>
      <c r="Q1315" s="19" t="s">
        <v>1483</v>
      </c>
      <c r="R1315" s="21" t="n">
        <v>45293</v>
      </c>
      <c r="S1315" s="19" t="s">
        <v>1484</v>
      </c>
      <c r="T1315" s="19" t="s">
        <v>4654</v>
      </c>
      <c r="U1315" s="19" t="str">
        <f aca="false">HYPERLINK("https://macaulaylibrary.org/asset/639219066","Open")</f>
        <v>Open</v>
      </c>
      <c r="V1315" s="19"/>
    </row>
    <row r="1316" customFormat="false" ht="15" hidden="false" customHeight="false" outlineLevel="0" collapsed="false">
      <c r="A1316" s="19" t="s">
        <v>4655</v>
      </c>
      <c r="B1316" s="19" t="s">
        <v>943</v>
      </c>
      <c r="C1316" s="19" t="s">
        <v>944</v>
      </c>
      <c r="D1316" s="19" t="s">
        <v>148</v>
      </c>
      <c r="E1316" s="19" t="s">
        <v>147</v>
      </c>
      <c r="F1316" s="19" t="s">
        <v>360</v>
      </c>
      <c r="G1316" s="19" t="n">
        <v>155</v>
      </c>
      <c r="H1316" s="19" t="s">
        <v>361</v>
      </c>
      <c r="I1316" s="20" t="n">
        <v>12.981</v>
      </c>
      <c r="J1316" s="19" t="n">
        <f aca="false">IF(I1316="","",MIN(Overview!$B$8,MAX(1,CEILING(I1316/Overview!$B$7,1))))</f>
        <v>3</v>
      </c>
      <c r="K1316" s="19" t="n">
        <v>1</v>
      </c>
      <c r="L1316" s="19"/>
      <c r="M1316" s="20" t="n">
        <v>1</v>
      </c>
      <c r="N1316" s="19"/>
      <c r="O1316" s="19"/>
      <c r="P1316" s="19" t="s">
        <v>1501</v>
      </c>
      <c r="Q1316" s="19" t="s">
        <v>1502</v>
      </c>
      <c r="R1316" s="21" t="n">
        <v>45939</v>
      </c>
      <c r="S1316" s="19" t="s">
        <v>1503</v>
      </c>
      <c r="T1316" s="19" t="s">
        <v>4656</v>
      </c>
      <c r="U1316" s="19" t="str">
        <f aca="false">HYPERLINK("https://macaulaylibrary.org/asset/648704685","Open")</f>
        <v>Open</v>
      </c>
      <c r="V1316" s="19"/>
    </row>
    <row r="1317" customFormat="false" ht="15" hidden="false" customHeight="false" outlineLevel="0" collapsed="false">
      <c r="A1317" s="19" t="s">
        <v>4657</v>
      </c>
      <c r="B1317" s="19" t="s">
        <v>943</v>
      </c>
      <c r="C1317" s="19" t="s">
        <v>944</v>
      </c>
      <c r="D1317" s="19" t="s">
        <v>148</v>
      </c>
      <c r="E1317" s="19" t="s">
        <v>147</v>
      </c>
      <c r="F1317" s="19" t="s">
        <v>360</v>
      </c>
      <c r="G1317" s="19" t="n">
        <v>155</v>
      </c>
      <c r="H1317" s="19" t="s">
        <v>361</v>
      </c>
      <c r="I1317" s="20" t="n">
        <v>40.784</v>
      </c>
      <c r="J1317" s="19" t="n">
        <f aca="false">IF(I1317="","",MIN(Overview!$B$8,MAX(1,CEILING(I1317/Overview!$B$7,1))))</f>
        <v>9</v>
      </c>
      <c r="K1317" s="19" t="n">
        <v>1</v>
      </c>
      <c r="L1317" s="19"/>
      <c r="M1317" s="20" t="n">
        <v>3</v>
      </c>
      <c r="N1317" s="19"/>
      <c r="O1317" s="19"/>
      <c r="P1317" s="19" t="s">
        <v>1501</v>
      </c>
      <c r="Q1317" s="19" t="s">
        <v>1502</v>
      </c>
      <c r="R1317" s="21" t="n">
        <v>45939</v>
      </c>
      <c r="S1317" s="19" t="s">
        <v>1503</v>
      </c>
      <c r="T1317" s="19" t="s">
        <v>4658</v>
      </c>
      <c r="U1317" s="19" t="str">
        <f aca="false">HYPERLINK("https://macaulaylibrary.org/asset/648704686","Open")</f>
        <v>Open</v>
      </c>
      <c r="V1317" s="19"/>
    </row>
    <row r="1318" customFormat="false" ht="15" hidden="false" customHeight="false" outlineLevel="0" collapsed="false">
      <c r="A1318" s="19" t="s">
        <v>4659</v>
      </c>
      <c r="B1318" s="19" t="s">
        <v>943</v>
      </c>
      <c r="C1318" s="19" t="s">
        <v>944</v>
      </c>
      <c r="D1318" s="19" t="s">
        <v>148</v>
      </c>
      <c r="E1318" s="19" t="s">
        <v>147</v>
      </c>
      <c r="F1318" s="19" t="s">
        <v>360</v>
      </c>
      <c r="G1318" s="19" t="n">
        <v>155</v>
      </c>
      <c r="H1318" s="19" t="s">
        <v>361</v>
      </c>
      <c r="I1318" s="20" t="n">
        <v>34.731</v>
      </c>
      <c r="J1318" s="19" t="n">
        <f aca="false">IF(I1318="","",MIN(Overview!$B$8,MAX(1,CEILING(I1318/Overview!$B$7,1))))</f>
        <v>7</v>
      </c>
      <c r="K1318" s="19" t="n">
        <v>1</v>
      </c>
      <c r="L1318" s="19"/>
      <c r="M1318" s="20"/>
      <c r="N1318" s="19"/>
      <c r="O1318" s="19"/>
      <c r="P1318" s="19" t="s">
        <v>4660</v>
      </c>
      <c r="Q1318" s="19" t="s">
        <v>4661</v>
      </c>
      <c r="R1318" s="21" t="n">
        <v>46171</v>
      </c>
      <c r="S1318" s="19" t="s">
        <v>4662</v>
      </c>
      <c r="T1318" s="19" t="s">
        <v>4663</v>
      </c>
      <c r="U1318" s="19" t="str">
        <f aca="false">HYPERLINK("https://macaulaylibrary.org/asset/658758966","Open")</f>
        <v>Open</v>
      </c>
      <c r="V1318" s="19"/>
    </row>
    <row r="1319" customFormat="false" ht="15" hidden="false" customHeight="false" outlineLevel="0" collapsed="false">
      <c r="A1319" s="19" t="s">
        <v>4664</v>
      </c>
      <c r="B1319" s="19" t="s">
        <v>943</v>
      </c>
      <c r="C1319" s="19" t="s">
        <v>944</v>
      </c>
      <c r="D1319" s="19" t="s">
        <v>148</v>
      </c>
      <c r="E1319" s="19" t="s">
        <v>147</v>
      </c>
      <c r="F1319" s="19" t="s">
        <v>360</v>
      </c>
      <c r="G1319" s="19" t="n">
        <v>155</v>
      </c>
      <c r="H1319" s="19" t="s">
        <v>361</v>
      </c>
      <c r="I1319" s="20" t="n">
        <v>7.638</v>
      </c>
      <c r="J1319" s="19" t="n">
        <f aca="false">IF(I1319="","",MIN(Overview!$B$8,MAX(1,CEILING(I1319/Overview!$B$7,1))))</f>
        <v>2</v>
      </c>
      <c r="K1319" s="19" t="n">
        <v>1</v>
      </c>
      <c r="L1319" s="19"/>
      <c r="M1319" s="20" t="n">
        <v>2</v>
      </c>
      <c r="N1319" s="19"/>
      <c r="O1319" s="19"/>
      <c r="P1319" s="19" t="s">
        <v>4665</v>
      </c>
      <c r="Q1319" s="19" t="s">
        <v>1397</v>
      </c>
      <c r="R1319" s="21" t="n">
        <v>46217</v>
      </c>
      <c r="S1319" s="19" t="s">
        <v>3750</v>
      </c>
      <c r="T1319" s="19" t="s">
        <v>4666</v>
      </c>
      <c r="U1319" s="19" t="str">
        <f aca="false">HYPERLINK("https://macaulaylibrary.org/asset/661734558","Open")</f>
        <v>Open</v>
      </c>
      <c r="V1319" s="19"/>
    </row>
    <row r="1320" customFormat="false" ht="15" hidden="false" customHeight="false" outlineLevel="0" collapsed="false">
      <c r="A1320" s="19" t="s">
        <v>4667</v>
      </c>
      <c r="B1320" s="19" t="s">
        <v>943</v>
      </c>
      <c r="C1320" s="19" t="s">
        <v>944</v>
      </c>
      <c r="D1320" s="19" t="s">
        <v>148</v>
      </c>
      <c r="E1320" s="19" t="s">
        <v>147</v>
      </c>
      <c r="F1320" s="19" t="s">
        <v>295</v>
      </c>
      <c r="G1320" s="19" t="n">
        <v>157</v>
      </c>
      <c r="H1320" s="19" t="s">
        <v>296</v>
      </c>
      <c r="I1320" s="20" t="n">
        <v>55.776</v>
      </c>
      <c r="J1320" s="19" t="n">
        <f aca="false">IF(I1320="","",MIN(Overview!$B$8,MAX(1,CEILING(I1320/Overview!$B$7,1))))</f>
        <v>12</v>
      </c>
      <c r="K1320" s="19" t="n">
        <v>1</v>
      </c>
      <c r="L1320" s="19"/>
      <c r="M1320" s="20" t="n">
        <v>3</v>
      </c>
      <c r="N1320" s="19"/>
      <c r="O1320" s="19"/>
      <c r="P1320" s="19" t="s">
        <v>3831</v>
      </c>
      <c r="Q1320" s="19" t="s">
        <v>1021</v>
      </c>
      <c r="R1320" s="21" t="n">
        <v>35862</v>
      </c>
      <c r="S1320" s="19" t="s">
        <v>1036</v>
      </c>
      <c r="T1320" s="19" t="s">
        <v>4668</v>
      </c>
      <c r="U1320" s="19" t="str">
        <f aca="false">HYPERLINK("https://macaulaylibrary.org/asset/100771121","Open")</f>
        <v>Open</v>
      </c>
      <c r="V1320" s="19"/>
    </row>
    <row r="1321" customFormat="false" ht="15" hidden="false" customHeight="false" outlineLevel="0" collapsed="false">
      <c r="A1321" s="19" t="s">
        <v>4669</v>
      </c>
      <c r="B1321" s="19" t="s">
        <v>943</v>
      </c>
      <c r="C1321" s="19" t="s">
        <v>944</v>
      </c>
      <c r="D1321" s="19" t="s">
        <v>148</v>
      </c>
      <c r="E1321" s="19" t="s">
        <v>147</v>
      </c>
      <c r="F1321" s="19" t="s">
        <v>295</v>
      </c>
      <c r="G1321" s="19" t="n">
        <v>157</v>
      </c>
      <c r="H1321" s="19" t="s">
        <v>296</v>
      </c>
      <c r="I1321" s="20" t="n">
        <v>18.196</v>
      </c>
      <c r="J1321" s="19" t="n">
        <f aca="false">IF(I1321="","",MIN(Overview!$B$8,MAX(1,CEILING(I1321/Overview!$B$7,1))))</f>
        <v>4</v>
      </c>
      <c r="K1321" s="19" t="n">
        <v>1</v>
      </c>
      <c r="L1321" s="19"/>
      <c r="M1321" s="20" t="n">
        <v>3.67</v>
      </c>
      <c r="N1321" s="19"/>
      <c r="O1321" s="19"/>
      <c r="P1321" s="19" t="s">
        <v>1698</v>
      </c>
      <c r="Q1321" s="19" t="s">
        <v>1021</v>
      </c>
      <c r="R1321" s="21" t="n">
        <v>36599</v>
      </c>
      <c r="S1321" s="19" t="s">
        <v>1036</v>
      </c>
      <c r="T1321" s="19" t="s">
        <v>4670</v>
      </c>
      <c r="U1321" s="19" t="str">
        <f aca="false">HYPERLINK("https://macaulaylibrary.org/asset/150958101","Open")</f>
        <v>Open</v>
      </c>
      <c r="V1321" s="19"/>
    </row>
    <row r="1322" customFormat="false" ht="15" hidden="false" customHeight="false" outlineLevel="0" collapsed="false">
      <c r="A1322" s="19" t="s">
        <v>4671</v>
      </c>
      <c r="B1322" s="19" t="s">
        <v>943</v>
      </c>
      <c r="C1322" s="19" t="s">
        <v>944</v>
      </c>
      <c r="D1322" s="19" t="s">
        <v>148</v>
      </c>
      <c r="E1322" s="19" t="s">
        <v>147</v>
      </c>
      <c r="F1322" s="19" t="s">
        <v>295</v>
      </c>
      <c r="G1322" s="19" t="n">
        <v>157</v>
      </c>
      <c r="H1322" s="19" t="s">
        <v>296</v>
      </c>
      <c r="I1322" s="20" t="n">
        <v>293.733</v>
      </c>
      <c r="J1322" s="19" t="n">
        <f aca="false">IF(I1322="","",MIN(Overview!$B$8,MAX(1,CEILING(I1322/Overview!$B$7,1))))</f>
        <v>59</v>
      </c>
      <c r="K1322" s="19" t="n">
        <v>1</v>
      </c>
      <c r="L1322" s="19"/>
      <c r="M1322" s="20" t="n">
        <v>2</v>
      </c>
      <c r="N1322" s="19"/>
      <c r="O1322" s="19"/>
      <c r="P1322" s="19" t="s">
        <v>4672</v>
      </c>
      <c r="Q1322" s="19" t="s">
        <v>1218</v>
      </c>
      <c r="R1322" s="21" t="n">
        <v>34806</v>
      </c>
      <c r="S1322" s="19" t="s">
        <v>1404</v>
      </c>
      <c r="T1322" s="19" t="s">
        <v>4673</v>
      </c>
      <c r="U1322" s="19" t="str">
        <f aca="false">HYPERLINK("https://macaulaylibrary.org/asset/184210","Open")</f>
        <v>Open</v>
      </c>
      <c r="V1322" s="19"/>
    </row>
    <row r="1323" customFormat="false" ht="15" hidden="false" customHeight="false" outlineLevel="0" collapsed="false">
      <c r="A1323" s="19" t="s">
        <v>4674</v>
      </c>
      <c r="B1323" s="19" t="s">
        <v>943</v>
      </c>
      <c r="C1323" s="19" t="s">
        <v>944</v>
      </c>
      <c r="D1323" s="19" t="s">
        <v>148</v>
      </c>
      <c r="E1323" s="19" t="s">
        <v>147</v>
      </c>
      <c r="F1323" s="19" t="s">
        <v>295</v>
      </c>
      <c r="G1323" s="19" t="n">
        <v>157</v>
      </c>
      <c r="H1323" s="19" t="s">
        <v>296</v>
      </c>
      <c r="I1323" s="20" t="n">
        <v>75.933</v>
      </c>
      <c r="J1323" s="19" t="n">
        <f aca="false">IF(I1323="","",MIN(Overview!$B$8,MAX(1,CEILING(I1323/Overview!$B$7,1))))</f>
        <v>16</v>
      </c>
      <c r="K1323" s="19" t="n">
        <v>1</v>
      </c>
      <c r="L1323" s="19"/>
      <c r="M1323" s="20" t="n">
        <v>2</v>
      </c>
      <c r="N1323" s="19"/>
      <c r="O1323" s="19" t="s">
        <v>4675</v>
      </c>
      <c r="P1323" s="19" t="s">
        <v>4676</v>
      </c>
      <c r="Q1323" s="19" t="s">
        <v>1218</v>
      </c>
      <c r="R1323" s="21" t="n">
        <v>34814</v>
      </c>
      <c r="S1323" s="19" t="s">
        <v>4677</v>
      </c>
      <c r="T1323" s="19" t="s">
        <v>4678</v>
      </c>
      <c r="U1323" s="19" t="str">
        <f aca="false">HYPERLINK("https://macaulaylibrary.org/asset/184277","Open")</f>
        <v>Open</v>
      </c>
      <c r="V1323" s="19"/>
    </row>
    <row r="1324" customFormat="false" ht="15" hidden="false" customHeight="false" outlineLevel="0" collapsed="false">
      <c r="A1324" s="19" t="s">
        <v>4679</v>
      </c>
      <c r="B1324" s="19" t="s">
        <v>943</v>
      </c>
      <c r="C1324" s="19" t="s">
        <v>944</v>
      </c>
      <c r="D1324" s="19" t="s">
        <v>148</v>
      </c>
      <c r="E1324" s="19" t="s">
        <v>147</v>
      </c>
      <c r="F1324" s="19" t="s">
        <v>295</v>
      </c>
      <c r="G1324" s="19" t="n">
        <v>157</v>
      </c>
      <c r="H1324" s="19" t="s">
        <v>296</v>
      </c>
      <c r="I1324" s="20" t="n">
        <v>169.013</v>
      </c>
      <c r="J1324" s="19" t="n">
        <f aca="false">IF(I1324="","",MIN(Overview!$B$8,MAX(1,CEILING(I1324/Overview!$B$7,1))))</f>
        <v>34</v>
      </c>
      <c r="K1324" s="19" t="n">
        <v>1</v>
      </c>
      <c r="L1324" s="19"/>
      <c r="M1324" s="20" t="n">
        <v>3</v>
      </c>
      <c r="N1324" s="19"/>
      <c r="O1324" s="19" t="s">
        <v>4680</v>
      </c>
      <c r="P1324" s="19" t="s">
        <v>4676</v>
      </c>
      <c r="Q1324" s="19" t="s">
        <v>1218</v>
      </c>
      <c r="R1324" s="21" t="n">
        <v>34814</v>
      </c>
      <c r="S1324" s="19" t="s">
        <v>2137</v>
      </c>
      <c r="T1324" s="19" t="s">
        <v>4681</v>
      </c>
      <c r="U1324" s="19" t="str">
        <f aca="false">HYPERLINK("https://macaulaylibrary.org/asset/184279","Open")</f>
        <v>Open</v>
      </c>
      <c r="V1324" s="19"/>
    </row>
    <row r="1325" customFormat="false" ht="15" hidden="false" customHeight="false" outlineLevel="0" collapsed="false">
      <c r="A1325" s="19" t="s">
        <v>4682</v>
      </c>
      <c r="B1325" s="19" t="s">
        <v>943</v>
      </c>
      <c r="C1325" s="19" t="s">
        <v>944</v>
      </c>
      <c r="D1325" s="19" t="s">
        <v>148</v>
      </c>
      <c r="E1325" s="19" t="s">
        <v>147</v>
      </c>
      <c r="F1325" s="19" t="s">
        <v>295</v>
      </c>
      <c r="G1325" s="19" t="n">
        <v>157</v>
      </c>
      <c r="H1325" s="19" t="s">
        <v>296</v>
      </c>
      <c r="I1325" s="20" t="n">
        <v>924.243</v>
      </c>
      <c r="J1325" s="19" t="n">
        <f aca="false">IF(I1325="","",MIN(Overview!$B$8,MAX(1,CEILING(I1325/Overview!$B$7,1))))</f>
        <v>120</v>
      </c>
      <c r="K1325" s="19" t="n">
        <v>1</v>
      </c>
      <c r="L1325" s="19"/>
      <c r="M1325" s="20" t="n">
        <v>2.2</v>
      </c>
      <c r="N1325" s="19"/>
      <c r="O1325" s="19" t="s">
        <v>434</v>
      </c>
      <c r="P1325" s="19" t="s">
        <v>1533</v>
      </c>
      <c r="Q1325" s="19" t="s">
        <v>1110</v>
      </c>
      <c r="R1325" s="21" t="n">
        <v>36968</v>
      </c>
      <c r="S1325" s="19" t="s">
        <v>1387</v>
      </c>
      <c r="T1325" s="19" t="s">
        <v>4683</v>
      </c>
      <c r="U1325" s="19" t="str">
        <f aca="false">HYPERLINK("https://macaulaylibrary.org/asset/185744","Open")</f>
        <v>Open</v>
      </c>
      <c r="V1325" s="19"/>
    </row>
    <row r="1326" customFormat="false" ht="15" hidden="false" customHeight="false" outlineLevel="0" collapsed="false">
      <c r="A1326" s="19" t="s">
        <v>4684</v>
      </c>
      <c r="B1326" s="19" t="s">
        <v>943</v>
      </c>
      <c r="C1326" s="19" t="s">
        <v>944</v>
      </c>
      <c r="D1326" s="19" t="s">
        <v>148</v>
      </c>
      <c r="E1326" s="19" t="s">
        <v>147</v>
      </c>
      <c r="F1326" s="19" t="s">
        <v>295</v>
      </c>
      <c r="G1326" s="19" t="n">
        <v>157</v>
      </c>
      <c r="H1326" s="19" t="s">
        <v>296</v>
      </c>
      <c r="I1326" s="20" t="n">
        <v>89.017</v>
      </c>
      <c r="J1326" s="19" t="n">
        <f aca="false">IF(I1326="","",MIN(Overview!$B$8,MAX(1,CEILING(I1326/Overview!$B$7,1))))</f>
        <v>18</v>
      </c>
      <c r="K1326" s="19" t="n">
        <v>1</v>
      </c>
      <c r="L1326" s="19"/>
      <c r="M1326" s="20" t="n">
        <v>3</v>
      </c>
      <c r="N1326" s="19"/>
      <c r="O1326" s="19"/>
      <c r="P1326" s="19" t="s">
        <v>1730</v>
      </c>
      <c r="Q1326" s="19" t="s">
        <v>980</v>
      </c>
      <c r="R1326" s="21" t="n">
        <v>32558</v>
      </c>
      <c r="S1326" s="19" t="s">
        <v>4685</v>
      </c>
      <c r="T1326" s="19" t="s">
        <v>4686</v>
      </c>
      <c r="U1326" s="19" t="str">
        <f aca="false">HYPERLINK("https://macaulaylibrary.org/asset/215415","Open")</f>
        <v>Open</v>
      </c>
      <c r="V1326" s="19"/>
    </row>
    <row r="1327" customFormat="false" ht="15" hidden="false" customHeight="false" outlineLevel="0" collapsed="false">
      <c r="A1327" s="19" t="s">
        <v>4687</v>
      </c>
      <c r="B1327" s="19" t="s">
        <v>943</v>
      </c>
      <c r="C1327" s="19" t="s">
        <v>944</v>
      </c>
      <c r="D1327" s="19" t="s">
        <v>148</v>
      </c>
      <c r="E1327" s="19" t="s">
        <v>147</v>
      </c>
      <c r="F1327" s="19" t="s">
        <v>295</v>
      </c>
      <c r="G1327" s="19" t="n">
        <v>157</v>
      </c>
      <c r="H1327" s="19" t="s">
        <v>296</v>
      </c>
      <c r="I1327" s="20" t="n">
        <v>22.825</v>
      </c>
      <c r="J1327" s="19" t="n">
        <f aca="false">IF(I1327="","",MIN(Overview!$B$8,MAX(1,CEILING(I1327/Overview!$B$7,1))))</f>
        <v>5</v>
      </c>
      <c r="K1327" s="19" t="n">
        <v>1</v>
      </c>
      <c r="L1327" s="19"/>
      <c r="M1327" s="20" t="n">
        <v>2.67</v>
      </c>
      <c r="N1327" s="19"/>
      <c r="O1327" s="19"/>
      <c r="P1327" s="19" t="s">
        <v>2190</v>
      </c>
      <c r="Q1327" s="19" t="s">
        <v>1204</v>
      </c>
      <c r="R1327" s="21" t="n">
        <v>44612</v>
      </c>
      <c r="S1327" s="19" t="s">
        <v>1969</v>
      </c>
      <c r="T1327" s="19" t="s">
        <v>4688</v>
      </c>
      <c r="U1327" s="19" t="str">
        <f aca="false">HYPERLINK("https://macaulaylibrary.org/asset/531236911","Open")</f>
        <v>Open</v>
      </c>
      <c r="V1327" s="19"/>
    </row>
    <row r="1328" customFormat="false" ht="15" hidden="false" customHeight="false" outlineLevel="0" collapsed="false">
      <c r="A1328" s="19" t="s">
        <v>4689</v>
      </c>
      <c r="B1328" s="19" t="s">
        <v>943</v>
      </c>
      <c r="C1328" s="19" t="s">
        <v>944</v>
      </c>
      <c r="D1328" s="19" t="s">
        <v>148</v>
      </c>
      <c r="E1328" s="19" t="s">
        <v>147</v>
      </c>
      <c r="F1328" s="19" t="s">
        <v>295</v>
      </c>
      <c r="G1328" s="19" t="n">
        <v>157</v>
      </c>
      <c r="H1328" s="19" t="s">
        <v>296</v>
      </c>
      <c r="I1328" s="20" t="n">
        <v>7.266</v>
      </c>
      <c r="J1328" s="19" t="n">
        <f aca="false">IF(I1328="","",MIN(Overview!$B$8,MAX(1,CEILING(I1328/Overview!$B$7,1))))</f>
        <v>2</v>
      </c>
      <c r="K1328" s="19" t="n">
        <v>1</v>
      </c>
      <c r="L1328" s="19"/>
      <c r="M1328" s="20" t="n">
        <v>3</v>
      </c>
      <c r="N1328" s="19"/>
      <c r="O1328" s="19"/>
      <c r="P1328" s="19" t="s">
        <v>1429</v>
      </c>
      <c r="Q1328" s="19" t="s">
        <v>1158</v>
      </c>
      <c r="R1328" s="21" t="n">
        <v>44942</v>
      </c>
      <c r="S1328" s="19" t="s">
        <v>1279</v>
      </c>
      <c r="T1328" s="19" t="s">
        <v>4690</v>
      </c>
      <c r="U1328" s="19" t="str">
        <f aca="false">HYPERLINK("https://macaulaylibrary.org/asset/543398801","Open")</f>
        <v>Open</v>
      </c>
      <c r="V1328" s="19"/>
    </row>
    <row r="1329" customFormat="false" ht="15" hidden="false" customHeight="false" outlineLevel="0" collapsed="false">
      <c r="A1329" s="19" t="s">
        <v>4691</v>
      </c>
      <c r="B1329" s="19" t="s">
        <v>943</v>
      </c>
      <c r="C1329" s="19" t="s">
        <v>944</v>
      </c>
      <c r="D1329" s="19" t="s">
        <v>148</v>
      </c>
      <c r="E1329" s="19" t="s">
        <v>147</v>
      </c>
      <c r="F1329" s="19" t="s">
        <v>295</v>
      </c>
      <c r="G1329" s="19" t="n">
        <v>157</v>
      </c>
      <c r="H1329" s="19" t="s">
        <v>296</v>
      </c>
      <c r="I1329" s="20" t="n">
        <v>168.334</v>
      </c>
      <c r="J1329" s="19" t="n">
        <f aca="false">IF(I1329="","",MIN(Overview!$B$8,MAX(1,CEILING(I1329/Overview!$B$7,1))))</f>
        <v>34</v>
      </c>
      <c r="K1329" s="19" t="n">
        <v>1</v>
      </c>
      <c r="L1329" s="19"/>
      <c r="M1329" s="20" t="n">
        <v>3</v>
      </c>
      <c r="N1329" s="19"/>
      <c r="O1329" s="19"/>
      <c r="P1329" s="19" t="s">
        <v>1257</v>
      </c>
      <c r="Q1329" s="19" t="s">
        <v>1258</v>
      </c>
      <c r="R1329" s="21" t="n">
        <v>45231</v>
      </c>
      <c r="S1329" s="19" t="s">
        <v>1259</v>
      </c>
      <c r="T1329" s="19" t="s">
        <v>4692</v>
      </c>
      <c r="U1329" s="19" t="str">
        <f aca="false">HYPERLINK("https://macaulaylibrary.org/asset/621760298","Open")</f>
        <v>Open</v>
      </c>
      <c r="V1329" s="19"/>
    </row>
    <row r="1330" customFormat="false" ht="15" hidden="false" customHeight="false" outlineLevel="0" collapsed="false">
      <c r="A1330" s="19" t="s">
        <v>4693</v>
      </c>
      <c r="B1330" s="19" t="s">
        <v>943</v>
      </c>
      <c r="C1330" s="19" t="s">
        <v>944</v>
      </c>
      <c r="D1330" s="19" t="s">
        <v>148</v>
      </c>
      <c r="E1330" s="19" t="s">
        <v>147</v>
      </c>
      <c r="F1330" s="19" t="s">
        <v>295</v>
      </c>
      <c r="G1330" s="19" t="n">
        <v>157</v>
      </c>
      <c r="H1330" s="19" t="s">
        <v>296</v>
      </c>
      <c r="I1330" s="20" t="n">
        <v>7.38</v>
      </c>
      <c r="J1330" s="19" t="n">
        <f aca="false">IF(I1330="","",MIN(Overview!$B$8,MAX(1,CEILING(I1330/Overview!$B$7,1))))</f>
        <v>2</v>
      </c>
      <c r="K1330" s="19" t="n">
        <v>1</v>
      </c>
      <c r="L1330" s="19"/>
      <c r="M1330" s="20" t="n">
        <v>2</v>
      </c>
      <c r="N1330" s="19"/>
      <c r="O1330" s="19"/>
      <c r="P1330" s="19" t="s">
        <v>2119</v>
      </c>
      <c r="Q1330" s="19" t="s">
        <v>1368</v>
      </c>
      <c r="R1330" s="21" t="n">
        <v>45489</v>
      </c>
      <c r="S1330" s="19" t="s">
        <v>1211</v>
      </c>
      <c r="T1330" s="19" t="s">
        <v>4694</v>
      </c>
      <c r="U1330" s="19" t="str">
        <f aca="false">HYPERLINK("https://macaulaylibrary.org/asset/631664545","Open")</f>
        <v>Open</v>
      </c>
      <c r="V1330" s="19"/>
    </row>
    <row r="1331" customFormat="false" ht="15" hidden="false" customHeight="false" outlineLevel="0" collapsed="false">
      <c r="A1331" s="19" t="s">
        <v>4695</v>
      </c>
      <c r="B1331" s="19" t="s">
        <v>943</v>
      </c>
      <c r="C1331" s="19" t="s">
        <v>944</v>
      </c>
      <c r="D1331" s="19" t="s">
        <v>148</v>
      </c>
      <c r="E1331" s="19" t="s">
        <v>147</v>
      </c>
      <c r="F1331" s="19" t="s">
        <v>295</v>
      </c>
      <c r="G1331" s="19" t="n">
        <v>157</v>
      </c>
      <c r="H1331" s="19" t="s">
        <v>296</v>
      </c>
      <c r="I1331" s="20" t="n">
        <v>3.092</v>
      </c>
      <c r="J1331" s="19" t="n">
        <f aca="false">IF(I1331="","",MIN(Overview!$B$8,MAX(1,CEILING(I1331/Overview!$B$7,1))))</f>
        <v>1</v>
      </c>
      <c r="K1331" s="19" t="n">
        <v>1</v>
      </c>
      <c r="L1331" s="19" t="s">
        <v>1048</v>
      </c>
      <c r="M1331" s="20"/>
      <c r="N1331" s="19"/>
      <c r="O1331" s="19"/>
      <c r="P1331" s="19" t="s">
        <v>4417</v>
      </c>
      <c r="Q1331" s="19" t="s">
        <v>1204</v>
      </c>
      <c r="R1331" s="21" t="n">
        <v>46048</v>
      </c>
      <c r="S1331" s="19" t="s">
        <v>1621</v>
      </c>
      <c r="T1331" s="19" t="s">
        <v>4696</v>
      </c>
      <c r="U1331" s="19" t="str">
        <f aca="false">HYPERLINK("https://macaulaylibrary.org/asset/653762239","Open")</f>
        <v>Open</v>
      </c>
      <c r="V1331" s="19"/>
    </row>
    <row r="1332" customFormat="false" ht="15" hidden="false" customHeight="false" outlineLevel="0" collapsed="false">
      <c r="A1332" s="19" t="s">
        <v>4697</v>
      </c>
      <c r="B1332" s="19" t="s">
        <v>943</v>
      </c>
      <c r="C1332" s="19" t="s">
        <v>944</v>
      </c>
      <c r="D1332" s="19" t="s">
        <v>148</v>
      </c>
      <c r="E1332" s="19" t="s">
        <v>147</v>
      </c>
      <c r="F1332" s="19" t="s">
        <v>295</v>
      </c>
      <c r="G1332" s="19" t="n">
        <v>157</v>
      </c>
      <c r="H1332" s="19" t="s">
        <v>296</v>
      </c>
      <c r="I1332" s="20" t="n">
        <v>22.717</v>
      </c>
      <c r="J1332" s="19" t="n">
        <f aca="false">IF(I1332="","",MIN(Overview!$B$8,MAX(1,CEILING(I1332/Overview!$B$7,1))))</f>
        <v>5</v>
      </c>
      <c r="K1332" s="19" t="n">
        <v>1</v>
      </c>
      <c r="L1332" s="19"/>
      <c r="M1332" s="20" t="n">
        <v>3</v>
      </c>
      <c r="N1332" s="19"/>
      <c r="O1332" s="19"/>
      <c r="P1332" s="19" t="s">
        <v>1650</v>
      </c>
      <c r="Q1332" s="19" t="s">
        <v>1382</v>
      </c>
      <c r="R1332" s="21" t="n">
        <v>46104</v>
      </c>
      <c r="S1332" s="19" t="s">
        <v>1651</v>
      </c>
      <c r="T1332" s="19" t="s">
        <v>4698</v>
      </c>
      <c r="U1332" s="19" t="str">
        <f aca="false">HYPERLINK("https://macaulaylibrary.org/asset/654657445","Open")</f>
        <v>Open</v>
      </c>
      <c r="V1332" s="19"/>
    </row>
    <row r="1333" customFormat="false" ht="15" hidden="false" customHeight="false" outlineLevel="0" collapsed="false">
      <c r="A1333" s="19" t="s">
        <v>4699</v>
      </c>
      <c r="B1333" s="19" t="s">
        <v>943</v>
      </c>
      <c r="C1333" s="19" t="s">
        <v>944</v>
      </c>
      <c r="D1333" s="19" t="s">
        <v>148</v>
      </c>
      <c r="E1333" s="19" t="s">
        <v>147</v>
      </c>
      <c r="F1333" s="19" t="s">
        <v>295</v>
      </c>
      <c r="G1333" s="19" t="n">
        <v>157</v>
      </c>
      <c r="H1333" s="19" t="s">
        <v>296</v>
      </c>
      <c r="I1333" s="20" t="n">
        <v>1336.952</v>
      </c>
      <c r="J1333" s="19" t="n">
        <f aca="false">IF(I1333="","",MIN(Overview!$B$8,MAX(1,CEILING(I1333/Overview!$B$7,1))))</f>
        <v>120</v>
      </c>
      <c r="K1333" s="19" t="n">
        <v>1</v>
      </c>
      <c r="L1333" s="19"/>
      <c r="M1333" s="20" t="n">
        <v>2</v>
      </c>
      <c r="N1333" s="19"/>
      <c r="O1333" s="19"/>
      <c r="P1333" s="19" t="s">
        <v>3382</v>
      </c>
      <c r="Q1333" s="19" t="s">
        <v>980</v>
      </c>
      <c r="R1333" s="21" t="n">
        <v>32229</v>
      </c>
      <c r="S1333" s="19" t="s">
        <v>4700</v>
      </c>
      <c r="T1333" s="19" t="s">
        <v>4701</v>
      </c>
      <c r="U1333" s="19" t="str">
        <f aca="false">HYPERLINK("https://macaulaylibrary.org/asset/74215","Open")</f>
        <v>Open</v>
      </c>
      <c r="V1333" s="19"/>
    </row>
    <row r="1334" customFormat="false" ht="15" hidden="false" customHeight="false" outlineLevel="0" collapsed="false">
      <c r="A1334" s="19" t="s">
        <v>4702</v>
      </c>
      <c r="B1334" s="19" t="s">
        <v>943</v>
      </c>
      <c r="C1334" s="19" t="s">
        <v>944</v>
      </c>
      <c r="D1334" s="19" t="s">
        <v>148</v>
      </c>
      <c r="E1334" s="19" t="s">
        <v>147</v>
      </c>
      <c r="F1334" s="19" t="s">
        <v>221</v>
      </c>
      <c r="G1334" s="19" t="n">
        <v>159</v>
      </c>
      <c r="H1334" s="19" t="s">
        <v>222</v>
      </c>
      <c r="I1334" s="20" t="n">
        <v>38.424</v>
      </c>
      <c r="J1334" s="19" t="n">
        <f aca="false">IF(I1334="","",MIN(Overview!$B$8,MAX(1,CEILING(I1334/Overview!$B$7,1))))</f>
        <v>8</v>
      </c>
      <c r="K1334" s="19" t="n">
        <v>1</v>
      </c>
      <c r="L1334" s="19"/>
      <c r="M1334" s="20" t="n">
        <v>3.33</v>
      </c>
      <c r="N1334" s="19"/>
      <c r="O1334" s="19"/>
      <c r="P1334" s="19" t="s">
        <v>1020</v>
      </c>
      <c r="Q1334" s="19" t="s">
        <v>1021</v>
      </c>
      <c r="R1334" s="21" t="n">
        <v>35863</v>
      </c>
      <c r="S1334" s="19" t="s">
        <v>1022</v>
      </c>
      <c r="T1334" s="19" t="s">
        <v>4703</v>
      </c>
      <c r="U1334" s="19" t="str">
        <f aca="false">HYPERLINK("https://macaulaylibrary.org/asset/101754391","Open")</f>
        <v>Open</v>
      </c>
      <c r="V1334" s="19"/>
    </row>
    <row r="1335" customFormat="false" ht="15" hidden="false" customHeight="false" outlineLevel="0" collapsed="false">
      <c r="A1335" s="19" t="s">
        <v>4704</v>
      </c>
      <c r="B1335" s="19" t="s">
        <v>943</v>
      </c>
      <c r="C1335" s="19" t="s">
        <v>944</v>
      </c>
      <c r="D1335" s="19" t="s">
        <v>148</v>
      </c>
      <c r="E1335" s="19" t="s">
        <v>147</v>
      </c>
      <c r="F1335" s="19" t="s">
        <v>221</v>
      </c>
      <c r="G1335" s="19" t="n">
        <v>159</v>
      </c>
      <c r="H1335" s="19" t="s">
        <v>222</v>
      </c>
      <c r="I1335" s="20" t="n">
        <v>16.02</v>
      </c>
      <c r="J1335" s="19" t="n">
        <f aca="false">IF(I1335="","",MIN(Overview!$B$8,MAX(1,CEILING(I1335/Overview!$B$7,1))))</f>
        <v>4</v>
      </c>
      <c r="K1335" s="19" t="n">
        <v>1</v>
      </c>
      <c r="L1335" s="19"/>
      <c r="M1335" s="20" t="n">
        <v>4</v>
      </c>
      <c r="N1335" s="19"/>
      <c r="O1335" s="19"/>
      <c r="P1335" s="19" t="s">
        <v>3040</v>
      </c>
      <c r="Q1335" s="19" t="s">
        <v>3041</v>
      </c>
      <c r="R1335" s="21" t="n">
        <v>43406</v>
      </c>
      <c r="S1335" s="19" t="s">
        <v>3042</v>
      </c>
      <c r="T1335" s="19" t="s">
        <v>4705</v>
      </c>
      <c r="U1335" s="19" t="str">
        <f aca="false">HYPERLINK("https://macaulaylibrary.org/asset/123825761","Open")</f>
        <v>Open</v>
      </c>
      <c r="V1335" s="19"/>
    </row>
    <row r="1336" customFormat="false" ht="15" hidden="false" customHeight="false" outlineLevel="0" collapsed="false">
      <c r="A1336" s="19" t="s">
        <v>4706</v>
      </c>
      <c r="B1336" s="19" t="s">
        <v>943</v>
      </c>
      <c r="C1336" s="19" t="s">
        <v>944</v>
      </c>
      <c r="D1336" s="19" t="s">
        <v>148</v>
      </c>
      <c r="E1336" s="19" t="s">
        <v>147</v>
      </c>
      <c r="F1336" s="19" t="s">
        <v>221</v>
      </c>
      <c r="G1336" s="19" t="n">
        <v>159</v>
      </c>
      <c r="H1336" s="19" t="s">
        <v>222</v>
      </c>
      <c r="I1336" s="20" t="n">
        <v>56.02</v>
      </c>
      <c r="J1336" s="19" t="n">
        <f aca="false">IF(I1336="","",MIN(Overview!$B$8,MAX(1,CEILING(I1336/Overview!$B$7,1))))</f>
        <v>12</v>
      </c>
      <c r="K1336" s="19" t="n">
        <v>1</v>
      </c>
      <c r="L1336" s="19"/>
      <c r="M1336" s="20" t="n">
        <v>2</v>
      </c>
      <c r="N1336" s="19"/>
      <c r="O1336" s="19"/>
      <c r="P1336" s="19" t="s">
        <v>3040</v>
      </c>
      <c r="Q1336" s="19" t="s">
        <v>3041</v>
      </c>
      <c r="R1336" s="21" t="n">
        <v>43406</v>
      </c>
      <c r="S1336" s="19" t="s">
        <v>3042</v>
      </c>
      <c r="T1336" s="19" t="s">
        <v>4707</v>
      </c>
      <c r="U1336" s="19" t="str">
        <f aca="false">HYPERLINK("https://macaulaylibrary.org/asset/123825781","Open")</f>
        <v>Open</v>
      </c>
      <c r="V1336" s="19"/>
    </row>
    <row r="1337" customFormat="false" ht="15" hidden="false" customHeight="false" outlineLevel="0" collapsed="false">
      <c r="A1337" s="19" t="s">
        <v>4708</v>
      </c>
      <c r="B1337" s="19" t="s">
        <v>943</v>
      </c>
      <c r="C1337" s="19" t="s">
        <v>944</v>
      </c>
      <c r="D1337" s="19" t="s">
        <v>148</v>
      </c>
      <c r="E1337" s="19" t="s">
        <v>147</v>
      </c>
      <c r="F1337" s="19" t="s">
        <v>221</v>
      </c>
      <c r="G1337" s="19" t="n">
        <v>159</v>
      </c>
      <c r="H1337" s="19" t="s">
        <v>222</v>
      </c>
      <c r="I1337" s="20" t="n">
        <v>31.425</v>
      </c>
      <c r="J1337" s="19" t="n">
        <f aca="false">IF(I1337="","",MIN(Overview!$B$8,MAX(1,CEILING(I1337/Overview!$B$7,1))))</f>
        <v>7</v>
      </c>
      <c r="K1337" s="19" t="n">
        <v>1</v>
      </c>
      <c r="L1337" s="19"/>
      <c r="M1337" s="20" t="n">
        <v>3</v>
      </c>
      <c r="N1337" s="19"/>
      <c r="O1337" s="19"/>
      <c r="P1337" s="19" t="s">
        <v>974</v>
      </c>
      <c r="Q1337" s="19" t="s">
        <v>975</v>
      </c>
      <c r="R1337" s="21" t="n">
        <v>43666</v>
      </c>
      <c r="S1337" s="19" t="s">
        <v>976</v>
      </c>
      <c r="T1337" s="19" t="s">
        <v>4709</v>
      </c>
      <c r="U1337" s="19" t="str">
        <f aca="false">HYPERLINK("https://macaulaylibrary.org/asset/179452831","Open")</f>
        <v>Open</v>
      </c>
      <c r="V1337" s="19"/>
    </row>
    <row r="1338" customFormat="false" ht="15" hidden="false" customHeight="false" outlineLevel="0" collapsed="false">
      <c r="A1338" s="19" t="s">
        <v>4710</v>
      </c>
      <c r="B1338" s="19" t="s">
        <v>943</v>
      </c>
      <c r="C1338" s="19" t="s">
        <v>944</v>
      </c>
      <c r="D1338" s="19" t="s">
        <v>148</v>
      </c>
      <c r="E1338" s="19" t="s">
        <v>147</v>
      </c>
      <c r="F1338" s="19" t="s">
        <v>221</v>
      </c>
      <c r="G1338" s="19" t="n">
        <v>159</v>
      </c>
      <c r="H1338" s="19" t="s">
        <v>222</v>
      </c>
      <c r="I1338" s="20" t="n">
        <v>299.551</v>
      </c>
      <c r="J1338" s="19" t="n">
        <f aca="false">IF(I1338="","",MIN(Overview!$B$8,MAX(1,CEILING(I1338/Overview!$B$7,1))))</f>
        <v>60</v>
      </c>
      <c r="K1338" s="19" t="n">
        <v>1</v>
      </c>
      <c r="L1338" s="19"/>
      <c r="M1338" s="20" t="n">
        <v>3.6</v>
      </c>
      <c r="N1338" s="19"/>
      <c r="O1338" s="19" t="s">
        <v>586</v>
      </c>
      <c r="P1338" s="19" t="s">
        <v>2600</v>
      </c>
      <c r="Q1338" s="19" t="s">
        <v>980</v>
      </c>
      <c r="R1338" s="21" t="n">
        <v>34124</v>
      </c>
      <c r="S1338" s="19" t="s">
        <v>4711</v>
      </c>
      <c r="T1338" s="19" t="s">
        <v>4712</v>
      </c>
      <c r="U1338" s="19" t="str">
        <f aca="false">HYPERLINK("https://macaulaylibrary.org/asset/209470","Open")</f>
        <v>Open</v>
      </c>
      <c r="V1338" s="19" t="s">
        <v>4713</v>
      </c>
    </row>
    <row r="1339" customFormat="false" ht="15" hidden="false" customHeight="false" outlineLevel="0" collapsed="false">
      <c r="A1339" s="19" t="s">
        <v>4714</v>
      </c>
      <c r="B1339" s="19" t="s">
        <v>943</v>
      </c>
      <c r="C1339" s="19" t="s">
        <v>944</v>
      </c>
      <c r="D1339" s="19" t="s">
        <v>148</v>
      </c>
      <c r="E1339" s="19" t="s">
        <v>147</v>
      </c>
      <c r="F1339" s="19" t="s">
        <v>221</v>
      </c>
      <c r="G1339" s="19" t="n">
        <v>159</v>
      </c>
      <c r="H1339" s="19" t="s">
        <v>222</v>
      </c>
      <c r="I1339" s="20" t="n">
        <v>31.867</v>
      </c>
      <c r="J1339" s="19" t="n">
        <f aca="false">IF(I1339="","",MIN(Overview!$B$8,MAX(1,CEILING(I1339/Overview!$B$7,1))))</f>
        <v>7</v>
      </c>
      <c r="K1339" s="19" t="n">
        <v>1</v>
      </c>
      <c r="L1339" s="19"/>
      <c r="M1339" s="20" t="n">
        <v>3</v>
      </c>
      <c r="N1339" s="19"/>
      <c r="O1339" s="19"/>
      <c r="P1339" s="19" t="s">
        <v>1097</v>
      </c>
      <c r="Q1339" s="19" t="s">
        <v>980</v>
      </c>
      <c r="R1339" s="21" t="n">
        <v>32553</v>
      </c>
      <c r="S1339" s="19" t="s">
        <v>4715</v>
      </c>
      <c r="T1339" s="19" t="s">
        <v>4716</v>
      </c>
      <c r="U1339" s="19" t="str">
        <f aca="false">HYPERLINK("https://macaulaylibrary.org/asset/215322","Open")</f>
        <v>Open</v>
      </c>
      <c r="V1339" s="19" t="s">
        <v>4713</v>
      </c>
    </row>
    <row r="1340" customFormat="false" ht="15" hidden="false" customHeight="false" outlineLevel="0" collapsed="false">
      <c r="A1340" s="19" t="s">
        <v>4717</v>
      </c>
      <c r="B1340" s="19" t="s">
        <v>943</v>
      </c>
      <c r="C1340" s="19" t="s">
        <v>944</v>
      </c>
      <c r="D1340" s="19" t="s">
        <v>148</v>
      </c>
      <c r="E1340" s="19" t="s">
        <v>147</v>
      </c>
      <c r="F1340" s="19" t="s">
        <v>221</v>
      </c>
      <c r="G1340" s="19" t="n">
        <v>159</v>
      </c>
      <c r="H1340" s="19" t="s">
        <v>222</v>
      </c>
      <c r="I1340" s="20" t="n">
        <v>27.488</v>
      </c>
      <c r="J1340" s="19" t="n">
        <f aca="false">IF(I1340="","",MIN(Overview!$B$8,MAX(1,CEILING(I1340/Overview!$B$7,1))))</f>
        <v>6</v>
      </c>
      <c r="K1340" s="19" t="n">
        <v>1</v>
      </c>
      <c r="L1340" s="19"/>
      <c r="M1340" s="20" t="n">
        <v>3.33</v>
      </c>
      <c r="N1340" s="19"/>
      <c r="O1340" s="19"/>
      <c r="P1340" s="19" t="s">
        <v>3476</v>
      </c>
      <c r="Q1340" s="19" t="s">
        <v>1063</v>
      </c>
      <c r="R1340" s="21" t="n">
        <v>44086</v>
      </c>
      <c r="S1340" s="19" t="s">
        <v>1092</v>
      </c>
      <c r="T1340" s="19" t="s">
        <v>4718</v>
      </c>
      <c r="U1340" s="19" t="str">
        <f aca="false">HYPERLINK("https://macaulaylibrary.org/asset/266218521","Open")</f>
        <v>Open</v>
      </c>
      <c r="V1340" s="19"/>
    </row>
    <row r="1341" customFormat="false" ht="15" hidden="false" customHeight="false" outlineLevel="0" collapsed="false">
      <c r="A1341" s="19" t="s">
        <v>4719</v>
      </c>
      <c r="B1341" s="19" t="s">
        <v>943</v>
      </c>
      <c r="C1341" s="19" t="s">
        <v>944</v>
      </c>
      <c r="D1341" s="19" t="s">
        <v>148</v>
      </c>
      <c r="E1341" s="19" t="s">
        <v>147</v>
      </c>
      <c r="F1341" s="19" t="s">
        <v>221</v>
      </c>
      <c r="G1341" s="19" t="n">
        <v>159</v>
      </c>
      <c r="H1341" s="19" t="s">
        <v>222</v>
      </c>
      <c r="I1341" s="20" t="n">
        <v>40.894</v>
      </c>
      <c r="J1341" s="19" t="n">
        <f aca="false">IF(I1341="","",MIN(Overview!$B$8,MAX(1,CEILING(I1341/Overview!$B$7,1))))</f>
        <v>9</v>
      </c>
      <c r="K1341" s="19" t="n">
        <v>1</v>
      </c>
      <c r="L1341" s="19"/>
      <c r="M1341" s="20" t="n">
        <v>4</v>
      </c>
      <c r="N1341" s="19"/>
      <c r="O1341" s="19" t="s">
        <v>256</v>
      </c>
      <c r="P1341" s="19" t="s">
        <v>3476</v>
      </c>
      <c r="Q1341" s="19" t="s">
        <v>1063</v>
      </c>
      <c r="R1341" s="21" t="n">
        <v>44086</v>
      </c>
      <c r="S1341" s="19" t="s">
        <v>1092</v>
      </c>
      <c r="T1341" s="19" t="s">
        <v>4720</v>
      </c>
      <c r="U1341" s="19" t="str">
        <f aca="false">HYPERLINK("https://macaulaylibrary.org/asset/266218531","Open")</f>
        <v>Open</v>
      </c>
      <c r="V1341" s="19"/>
    </row>
    <row r="1342" customFormat="false" ht="15" hidden="false" customHeight="false" outlineLevel="0" collapsed="false">
      <c r="A1342" s="19" t="s">
        <v>4721</v>
      </c>
      <c r="B1342" s="19" t="s">
        <v>943</v>
      </c>
      <c r="C1342" s="19" t="s">
        <v>944</v>
      </c>
      <c r="D1342" s="19" t="s">
        <v>148</v>
      </c>
      <c r="E1342" s="19" t="s">
        <v>147</v>
      </c>
      <c r="F1342" s="19" t="s">
        <v>221</v>
      </c>
      <c r="G1342" s="19" t="n">
        <v>159</v>
      </c>
      <c r="H1342" s="19" t="s">
        <v>222</v>
      </c>
      <c r="I1342" s="20" t="n">
        <v>13.897</v>
      </c>
      <c r="J1342" s="19" t="n">
        <f aca="false">IF(I1342="","",MIN(Overview!$B$8,MAX(1,CEILING(I1342/Overview!$B$7,1))))</f>
        <v>3</v>
      </c>
      <c r="K1342" s="19" t="n">
        <v>1</v>
      </c>
      <c r="L1342" s="19"/>
      <c r="M1342" s="20" t="n">
        <v>4.5</v>
      </c>
      <c r="N1342" s="19"/>
      <c r="O1342" s="19"/>
      <c r="P1342" s="19" t="s">
        <v>1029</v>
      </c>
      <c r="Q1342" s="19" t="s">
        <v>1030</v>
      </c>
      <c r="R1342" s="21" t="n">
        <v>40251</v>
      </c>
      <c r="S1342" s="19" t="s">
        <v>1009</v>
      </c>
      <c r="T1342" s="19" t="s">
        <v>4722</v>
      </c>
      <c r="U1342" s="19" t="str">
        <f aca="false">HYPERLINK("https://macaulaylibrary.org/asset/299616","Open")</f>
        <v>Open</v>
      </c>
      <c r="V1342" s="19"/>
    </row>
    <row r="1343" customFormat="false" ht="15" hidden="false" customHeight="false" outlineLevel="0" collapsed="false">
      <c r="A1343" s="19" t="s">
        <v>4723</v>
      </c>
      <c r="B1343" s="19" t="s">
        <v>943</v>
      </c>
      <c r="C1343" s="19" t="s">
        <v>944</v>
      </c>
      <c r="D1343" s="19" t="s">
        <v>148</v>
      </c>
      <c r="E1343" s="19" t="s">
        <v>147</v>
      </c>
      <c r="F1343" s="19" t="s">
        <v>221</v>
      </c>
      <c r="G1343" s="19" t="n">
        <v>159</v>
      </c>
      <c r="H1343" s="19" t="s">
        <v>222</v>
      </c>
      <c r="I1343" s="20" t="n">
        <v>10.879</v>
      </c>
      <c r="J1343" s="19" t="n">
        <f aca="false">IF(I1343="","",MIN(Overview!$B$8,MAX(1,CEILING(I1343/Overview!$B$7,1))))</f>
        <v>3</v>
      </c>
      <c r="K1343" s="19" t="n">
        <v>1</v>
      </c>
      <c r="L1343" s="19"/>
      <c r="M1343" s="20" t="n">
        <v>3</v>
      </c>
      <c r="N1343" s="19"/>
      <c r="O1343" s="19"/>
      <c r="P1343" s="19" t="s">
        <v>2780</v>
      </c>
      <c r="Q1343" s="19" t="s">
        <v>1040</v>
      </c>
      <c r="R1343" s="21" t="n">
        <v>42736</v>
      </c>
      <c r="S1343" s="19" t="s">
        <v>1884</v>
      </c>
      <c r="T1343" s="19" t="s">
        <v>4724</v>
      </c>
      <c r="U1343" s="19" t="str">
        <f aca="false">HYPERLINK("https://macaulaylibrary.org/asset/45567141","Open")</f>
        <v>Open</v>
      </c>
      <c r="V1343" s="19"/>
    </row>
    <row r="1344" customFormat="false" ht="15" hidden="false" customHeight="false" outlineLevel="0" collapsed="false">
      <c r="A1344" s="19" t="s">
        <v>4725</v>
      </c>
      <c r="B1344" s="19" t="s">
        <v>943</v>
      </c>
      <c r="C1344" s="19" t="s">
        <v>944</v>
      </c>
      <c r="D1344" s="19" t="s">
        <v>148</v>
      </c>
      <c r="E1344" s="19" t="s">
        <v>147</v>
      </c>
      <c r="F1344" s="19" t="s">
        <v>221</v>
      </c>
      <c r="G1344" s="19" t="n">
        <v>159</v>
      </c>
      <c r="H1344" s="19" t="s">
        <v>222</v>
      </c>
      <c r="I1344" s="20" t="n">
        <v>47.168</v>
      </c>
      <c r="J1344" s="19" t="n">
        <f aca="false">IF(I1344="","",MIN(Overview!$B$8,MAX(1,CEILING(I1344/Overview!$B$7,1))))</f>
        <v>10</v>
      </c>
      <c r="K1344" s="19" t="n">
        <v>1</v>
      </c>
      <c r="L1344" s="19"/>
      <c r="M1344" s="20" t="n">
        <v>2.5</v>
      </c>
      <c r="N1344" s="19"/>
      <c r="O1344" s="19"/>
      <c r="P1344" s="19" t="s">
        <v>4524</v>
      </c>
      <c r="Q1344" s="19" t="s">
        <v>1925</v>
      </c>
      <c r="R1344" s="21" t="n">
        <v>44750</v>
      </c>
      <c r="S1344" s="19" t="s">
        <v>4525</v>
      </c>
      <c r="T1344" s="19" t="s">
        <v>4726</v>
      </c>
      <c r="U1344" s="19" t="str">
        <f aca="false">HYPERLINK("https://macaulaylibrary.org/asset/465954401","Open")</f>
        <v>Open</v>
      </c>
      <c r="V1344" s="19" t="s">
        <v>4713</v>
      </c>
    </row>
    <row r="1345" customFormat="false" ht="15" hidden="false" customHeight="false" outlineLevel="0" collapsed="false">
      <c r="A1345" s="19" t="s">
        <v>4727</v>
      </c>
      <c r="B1345" s="19" t="s">
        <v>943</v>
      </c>
      <c r="C1345" s="19" t="s">
        <v>944</v>
      </c>
      <c r="D1345" s="19" t="s">
        <v>148</v>
      </c>
      <c r="E1345" s="19" t="s">
        <v>147</v>
      </c>
      <c r="F1345" s="19" t="s">
        <v>221</v>
      </c>
      <c r="G1345" s="19" t="n">
        <v>159</v>
      </c>
      <c r="H1345" s="19" t="s">
        <v>222</v>
      </c>
      <c r="I1345" s="20" t="n">
        <v>12.475</v>
      </c>
      <c r="J1345" s="19" t="n">
        <f aca="false">IF(I1345="","",MIN(Overview!$B$8,MAX(1,CEILING(I1345/Overview!$B$7,1))))</f>
        <v>3</v>
      </c>
      <c r="K1345" s="19" t="n">
        <v>1</v>
      </c>
      <c r="L1345" s="19"/>
      <c r="M1345" s="20" t="n">
        <v>5</v>
      </c>
      <c r="N1345" s="19"/>
      <c r="O1345" s="19"/>
      <c r="P1345" s="19" t="s">
        <v>1935</v>
      </c>
      <c r="Q1345" s="19" t="s">
        <v>1158</v>
      </c>
      <c r="R1345" s="21" t="n">
        <v>44942</v>
      </c>
      <c r="S1345" s="19" t="s">
        <v>1936</v>
      </c>
      <c r="T1345" s="19" t="s">
        <v>4728</v>
      </c>
      <c r="U1345" s="19" t="str">
        <f aca="false">HYPERLINK("https://macaulaylibrary.org/asset/543400951","Open")</f>
        <v>Open</v>
      </c>
      <c r="V1345" s="19" t="s">
        <v>4713</v>
      </c>
    </row>
    <row r="1346" customFormat="false" ht="15" hidden="false" customHeight="false" outlineLevel="0" collapsed="false">
      <c r="A1346" s="19" t="s">
        <v>4729</v>
      </c>
      <c r="B1346" s="19" t="s">
        <v>943</v>
      </c>
      <c r="C1346" s="19" t="s">
        <v>944</v>
      </c>
      <c r="D1346" s="19" t="s">
        <v>148</v>
      </c>
      <c r="E1346" s="19" t="s">
        <v>147</v>
      </c>
      <c r="F1346" s="19" t="s">
        <v>221</v>
      </c>
      <c r="G1346" s="19" t="n">
        <v>159</v>
      </c>
      <c r="H1346" s="19" t="s">
        <v>222</v>
      </c>
      <c r="I1346" s="20" t="n">
        <v>21.121</v>
      </c>
      <c r="J1346" s="19" t="n">
        <f aca="false">IF(I1346="","",MIN(Overview!$B$8,MAX(1,CEILING(I1346/Overview!$B$7,1))))</f>
        <v>5</v>
      </c>
      <c r="K1346" s="19" t="n">
        <v>1</v>
      </c>
      <c r="L1346" s="19"/>
      <c r="M1346" s="20" t="n">
        <v>2</v>
      </c>
      <c r="N1346" s="19"/>
      <c r="O1346" s="19"/>
      <c r="P1346" s="19" t="s">
        <v>1867</v>
      </c>
      <c r="Q1346" s="19" t="s">
        <v>1086</v>
      </c>
      <c r="R1346" s="21" t="n">
        <v>45297</v>
      </c>
      <c r="S1346" s="19" t="s">
        <v>1868</v>
      </c>
      <c r="T1346" s="19" t="s">
        <v>4730</v>
      </c>
      <c r="U1346" s="19" t="str">
        <f aca="false">HYPERLINK("https://macaulaylibrary.org/asset/614020300","Open")</f>
        <v>Open</v>
      </c>
      <c r="V1346" s="19"/>
    </row>
    <row r="1347" customFormat="false" ht="15" hidden="false" customHeight="false" outlineLevel="0" collapsed="false">
      <c r="A1347" s="19" t="s">
        <v>4731</v>
      </c>
      <c r="B1347" s="19" t="s">
        <v>943</v>
      </c>
      <c r="C1347" s="19" t="s">
        <v>944</v>
      </c>
      <c r="D1347" s="19" t="s">
        <v>148</v>
      </c>
      <c r="E1347" s="19" t="s">
        <v>147</v>
      </c>
      <c r="F1347" s="19" t="s">
        <v>221</v>
      </c>
      <c r="G1347" s="19" t="n">
        <v>159</v>
      </c>
      <c r="H1347" s="19" t="s">
        <v>222</v>
      </c>
      <c r="I1347" s="20" t="n">
        <v>17.752</v>
      </c>
      <c r="J1347" s="19" t="n">
        <f aca="false">IF(I1347="","",MIN(Overview!$B$8,MAX(1,CEILING(I1347/Overview!$B$7,1))))</f>
        <v>4</v>
      </c>
      <c r="K1347" s="19" t="n">
        <v>1</v>
      </c>
      <c r="L1347" s="19"/>
      <c r="M1347" s="20" t="n">
        <v>4.5</v>
      </c>
      <c r="N1347" s="19"/>
      <c r="O1347" s="19"/>
      <c r="P1347" s="19" t="s">
        <v>1467</v>
      </c>
      <c r="Q1347" s="19" t="s">
        <v>1258</v>
      </c>
      <c r="R1347" s="21" t="n">
        <v>45230</v>
      </c>
      <c r="S1347" s="19" t="s">
        <v>1306</v>
      </c>
      <c r="T1347" s="19" t="s">
        <v>4732</v>
      </c>
      <c r="U1347" s="19" t="str">
        <f aca="false">HYPERLINK("https://macaulaylibrary.org/asset/621759522","Open")</f>
        <v>Open</v>
      </c>
      <c r="V1347" s="19" t="s">
        <v>4713</v>
      </c>
    </row>
    <row r="1348" customFormat="false" ht="15" hidden="false" customHeight="false" outlineLevel="0" collapsed="false">
      <c r="A1348" s="19" t="s">
        <v>4733</v>
      </c>
      <c r="B1348" s="19" t="s">
        <v>943</v>
      </c>
      <c r="C1348" s="19" t="s">
        <v>944</v>
      </c>
      <c r="D1348" s="19" t="s">
        <v>148</v>
      </c>
      <c r="E1348" s="19" t="s">
        <v>147</v>
      </c>
      <c r="F1348" s="19" t="s">
        <v>221</v>
      </c>
      <c r="G1348" s="19" t="n">
        <v>159</v>
      </c>
      <c r="H1348" s="19" t="s">
        <v>222</v>
      </c>
      <c r="I1348" s="20" t="n">
        <v>23.302</v>
      </c>
      <c r="J1348" s="19" t="n">
        <f aca="false">IF(I1348="","",MIN(Overview!$B$8,MAX(1,CEILING(I1348/Overview!$B$7,1))))</f>
        <v>5</v>
      </c>
      <c r="K1348" s="19" t="n">
        <v>1</v>
      </c>
      <c r="L1348" s="19"/>
      <c r="M1348" s="20" t="n">
        <v>3</v>
      </c>
      <c r="N1348" s="19"/>
      <c r="O1348" s="19"/>
      <c r="P1348" s="19" t="s">
        <v>1467</v>
      </c>
      <c r="Q1348" s="19" t="s">
        <v>1258</v>
      </c>
      <c r="R1348" s="21" t="n">
        <v>45230</v>
      </c>
      <c r="S1348" s="19" t="s">
        <v>1306</v>
      </c>
      <c r="T1348" s="19" t="s">
        <v>4734</v>
      </c>
      <c r="U1348" s="19" t="str">
        <f aca="false">HYPERLINK("https://macaulaylibrary.org/asset/621759523","Open")</f>
        <v>Open</v>
      </c>
      <c r="V1348" s="19" t="s">
        <v>4713</v>
      </c>
    </row>
    <row r="1349" customFormat="false" ht="15" hidden="false" customHeight="false" outlineLevel="0" collapsed="false">
      <c r="A1349" s="19" t="s">
        <v>4735</v>
      </c>
      <c r="B1349" s="19" t="s">
        <v>943</v>
      </c>
      <c r="C1349" s="19" t="s">
        <v>944</v>
      </c>
      <c r="D1349" s="19" t="s">
        <v>148</v>
      </c>
      <c r="E1349" s="19" t="s">
        <v>147</v>
      </c>
      <c r="F1349" s="19" t="s">
        <v>221</v>
      </c>
      <c r="G1349" s="19" t="n">
        <v>159</v>
      </c>
      <c r="H1349" s="19" t="s">
        <v>222</v>
      </c>
      <c r="I1349" s="20" t="n">
        <v>67.636</v>
      </c>
      <c r="J1349" s="19" t="n">
        <f aca="false">IF(I1349="","",MIN(Overview!$B$8,MAX(1,CEILING(I1349/Overview!$B$7,1))))</f>
        <v>14</v>
      </c>
      <c r="K1349" s="19" t="n">
        <v>1</v>
      </c>
      <c r="L1349" s="19"/>
      <c r="M1349" s="20" t="n">
        <v>4.33</v>
      </c>
      <c r="N1349" s="19"/>
      <c r="O1349" s="19"/>
      <c r="P1349" s="19" t="s">
        <v>1467</v>
      </c>
      <c r="Q1349" s="19" t="s">
        <v>1258</v>
      </c>
      <c r="R1349" s="21" t="n">
        <v>45230</v>
      </c>
      <c r="S1349" s="19" t="s">
        <v>1306</v>
      </c>
      <c r="T1349" s="19" t="s">
        <v>4736</v>
      </c>
      <c r="U1349" s="19" t="str">
        <f aca="false">HYPERLINK("https://macaulaylibrary.org/asset/621759987","Open")</f>
        <v>Open</v>
      </c>
      <c r="V1349" s="19"/>
    </row>
    <row r="1350" customFormat="false" ht="15" hidden="false" customHeight="false" outlineLevel="0" collapsed="false">
      <c r="A1350" s="19" t="s">
        <v>4737</v>
      </c>
      <c r="B1350" s="19" t="s">
        <v>943</v>
      </c>
      <c r="C1350" s="19" t="s">
        <v>944</v>
      </c>
      <c r="D1350" s="19" t="s">
        <v>148</v>
      </c>
      <c r="E1350" s="19" t="s">
        <v>147</v>
      </c>
      <c r="F1350" s="19" t="s">
        <v>221</v>
      </c>
      <c r="G1350" s="19" t="n">
        <v>159</v>
      </c>
      <c r="H1350" s="19" t="s">
        <v>222</v>
      </c>
      <c r="I1350" s="20" t="n">
        <v>14.699</v>
      </c>
      <c r="J1350" s="19" t="n">
        <f aca="false">IF(I1350="","",MIN(Overview!$B$8,MAX(1,CEILING(I1350/Overview!$B$7,1))))</f>
        <v>3</v>
      </c>
      <c r="K1350" s="19" t="n">
        <v>1</v>
      </c>
      <c r="L1350" s="19"/>
      <c r="M1350" s="20" t="n">
        <v>3.5</v>
      </c>
      <c r="N1350" s="19"/>
      <c r="O1350" s="19"/>
      <c r="P1350" s="19" t="s">
        <v>1811</v>
      </c>
      <c r="Q1350" s="19" t="s">
        <v>1368</v>
      </c>
      <c r="R1350" s="21" t="n">
        <v>45489</v>
      </c>
      <c r="S1350" s="19" t="s">
        <v>1081</v>
      </c>
      <c r="T1350" s="19" t="s">
        <v>4738</v>
      </c>
      <c r="U1350" s="19" t="str">
        <f aca="false">HYPERLINK("https://macaulaylibrary.org/asset/623072484","Open")</f>
        <v>Open</v>
      </c>
      <c r="V1350" s="19" t="s">
        <v>4713</v>
      </c>
    </row>
    <row r="1351" customFormat="false" ht="15" hidden="false" customHeight="false" outlineLevel="0" collapsed="false">
      <c r="A1351" s="19" t="s">
        <v>4739</v>
      </c>
      <c r="B1351" s="19" t="s">
        <v>943</v>
      </c>
      <c r="C1351" s="19" t="s">
        <v>944</v>
      </c>
      <c r="D1351" s="19" t="s">
        <v>148</v>
      </c>
      <c r="E1351" s="19" t="s">
        <v>147</v>
      </c>
      <c r="F1351" s="19" t="s">
        <v>221</v>
      </c>
      <c r="G1351" s="19" t="n">
        <v>159</v>
      </c>
      <c r="H1351" s="19" t="s">
        <v>222</v>
      </c>
      <c r="I1351" s="20" t="n">
        <v>18.51</v>
      </c>
      <c r="J1351" s="19" t="n">
        <f aca="false">IF(I1351="","",MIN(Overview!$B$8,MAX(1,CEILING(I1351/Overview!$B$7,1))))</f>
        <v>4</v>
      </c>
      <c r="K1351" s="19" t="n">
        <v>1</v>
      </c>
      <c r="L1351" s="19"/>
      <c r="M1351" s="20" t="n">
        <v>2</v>
      </c>
      <c r="N1351" s="19"/>
      <c r="O1351" s="19"/>
      <c r="P1351" s="19" t="s">
        <v>1811</v>
      </c>
      <c r="Q1351" s="19" t="s">
        <v>1368</v>
      </c>
      <c r="R1351" s="21" t="n">
        <v>45489</v>
      </c>
      <c r="S1351" s="19" t="s">
        <v>1081</v>
      </c>
      <c r="T1351" s="19" t="s">
        <v>4740</v>
      </c>
      <c r="U1351" s="19" t="str">
        <f aca="false">HYPERLINK("https://macaulaylibrary.org/asset/628653635","Open")</f>
        <v>Open</v>
      </c>
      <c r="V1351" s="19" t="s">
        <v>4713</v>
      </c>
    </row>
    <row r="1352" customFormat="false" ht="15" hidden="false" customHeight="false" outlineLevel="0" collapsed="false">
      <c r="A1352" s="19" t="s">
        <v>4741</v>
      </c>
      <c r="B1352" s="19" t="s">
        <v>943</v>
      </c>
      <c r="C1352" s="19" t="s">
        <v>944</v>
      </c>
      <c r="D1352" s="19" t="s">
        <v>148</v>
      </c>
      <c r="E1352" s="19" t="s">
        <v>147</v>
      </c>
      <c r="F1352" s="19" t="s">
        <v>221</v>
      </c>
      <c r="G1352" s="19" t="n">
        <v>159</v>
      </c>
      <c r="H1352" s="19" t="s">
        <v>222</v>
      </c>
      <c r="I1352" s="20" t="n">
        <v>21.362</v>
      </c>
      <c r="J1352" s="19" t="n">
        <f aca="false">IF(I1352="","",MIN(Overview!$B$8,MAX(1,CEILING(I1352/Overview!$B$7,1))))</f>
        <v>5</v>
      </c>
      <c r="K1352" s="19" t="n">
        <v>1</v>
      </c>
      <c r="L1352" s="19"/>
      <c r="M1352" s="20" t="n">
        <v>4</v>
      </c>
      <c r="N1352" s="19"/>
      <c r="O1352" s="19"/>
      <c r="P1352" s="19" t="s">
        <v>1512</v>
      </c>
      <c r="Q1352" s="19" t="s">
        <v>1513</v>
      </c>
      <c r="R1352" s="21" t="n">
        <v>45760</v>
      </c>
      <c r="S1352" s="19" t="s">
        <v>1036</v>
      </c>
      <c r="T1352" s="19" t="s">
        <v>4742</v>
      </c>
      <c r="U1352" s="19" t="str">
        <f aca="false">HYPERLINK("https://macaulaylibrary.org/asset/640139428","Open")</f>
        <v>Open</v>
      </c>
      <c r="V1352" s="19"/>
    </row>
    <row r="1353" customFormat="false" ht="15" hidden="false" customHeight="false" outlineLevel="0" collapsed="false">
      <c r="A1353" s="19" t="s">
        <v>4743</v>
      </c>
      <c r="B1353" s="19" t="s">
        <v>943</v>
      </c>
      <c r="C1353" s="19" t="s">
        <v>944</v>
      </c>
      <c r="D1353" s="19" t="s">
        <v>148</v>
      </c>
      <c r="E1353" s="19" t="s">
        <v>147</v>
      </c>
      <c r="F1353" s="19" t="s">
        <v>221</v>
      </c>
      <c r="G1353" s="19" t="n">
        <v>159</v>
      </c>
      <c r="H1353" s="19" t="s">
        <v>222</v>
      </c>
      <c r="I1353" s="20" t="n">
        <v>6.817</v>
      </c>
      <c r="J1353" s="19" t="n">
        <f aca="false">IF(I1353="","",MIN(Overview!$B$8,MAX(1,CEILING(I1353/Overview!$B$7,1))))</f>
        <v>2</v>
      </c>
      <c r="K1353" s="19" t="n">
        <v>1</v>
      </c>
      <c r="L1353" s="19"/>
      <c r="M1353" s="20" t="n">
        <v>2</v>
      </c>
      <c r="N1353" s="19"/>
      <c r="O1353" s="19" t="s">
        <v>289</v>
      </c>
      <c r="P1353" s="19" t="s">
        <v>1373</v>
      </c>
      <c r="Q1353" s="19" t="s">
        <v>990</v>
      </c>
      <c r="R1353" s="21" t="n">
        <v>46012</v>
      </c>
      <c r="S1353" s="19" t="s">
        <v>1009</v>
      </c>
      <c r="T1353" s="19" t="s">
        <v>4744</v>
      </c>
      <c r="U1353" s="19" t="str">
        <f aca="false">HYPERLINK("https://macaulaylibrary.org/asset/647328864","Open")</f>
        <v>Open</v>
      </c>
      <c r="V1353" s="19"/>
    </row>
    <row r="1354" customFormat="false" ht="15" hidden="false" customHeight="false" outlineLevel="0" collapsed="false">
      <c r="A1354" s="19" t="s">
        <v>4745</v>
      </c>
      <c r="B1354" s="19" t="s">
        <v>943</v>
      </c>
      <c r="C1354" s="19" t="s">
        <v>944</v>
      </c>
      <c r="D1354" s="19" t="s">
        <v>148</v>
      </c>
      <c r="E1354" s="19" t="s">
        <v>147</v>
      </c>
      <c r="F1354" s="19" t="s">
        <v>221</v>
      </c>
      <c r="G1354" s="19" t="n">
        <v>159</v>
      </c>
      <c r="H1354" s="19" t="s">
        <v>222</v>
      </c>
      <c r="I1354" s="20" t="n">
        <v>47.36</v>
      </c>
      <c r="J1354" s="19" t="n">
        <f aca="false">IF(I1354="","",MIN(Overview!$B$8,MAX(1,CEILING(I1354/Overview!$B$7,1))))</f>
        <v>10</v>
      </c>
      <c r="K1354" s="19" t="n">
        <v>1</v>
      </c>
      <c r="L1354" s="19"/>
      <c r="M1354" s="20" t="n">
        <v>3</v>
      </c>
      <c r="N1354" s="19"/>
      <c r="O1354" s="19"/>
      <c r="P1354" s="19" t="s">
        <v>4408</v>
      </c>
      <c r="Q1354" s="19" t="s">
        <v>965</v>
      </c>
      <c r="R1354" s="21" t="n">
        <v>46012</v>
      </c>
      <c r="S1354" s="19" t="s">
        <v>4409</v>
      </c>
      <c r="T1354" s="19" t="s">
        <v>4746</v>
      </c>
      <c r="U1354" s="19" t="str">
        <f aca="false">HYPERLINK("https://macaulaylibrary.org/asset/647390508","Open")</f>
        <v>Open</v>
      </c>
      <c r="V1354" s="19"/>
    </row>
    <row r="1355" customFormat="false" ht="15" hidden="false" customHeight="false" outlineLevel="0" collapsed="false">
      <c r="A1355" s="19" t="s">
        <v>4747</v>
      </c>
      <c r="B1355" s="19" t="s">
        <v>943</v>
      </c>
      <c r="C1355" s="19" t="s">
        <v>944</v>
      </c>
      <c r="D1355" s="19" t="s">
        <v>148</v>
      </c>
      <c r="E1355" s="19" t="s">
        <v>147</v>
      </c>
      <c r="F1355" s="19" t="s">
        <v>221</v>
      </c>
      <c r="G1355" s="19" t="n">
        <v>159</v>
      </c>
      <c r="H1355" s="19" t="s">
        <v>222</v>
      </c>
      <c r="I1355" s="20" t="n">
        <v>75.186</v>
      </c>
      <c r="J1355" s="19" t="n">
        <f aca="false">IF(I1355="","",MIN(Overview!$B$8,MAX(1,CEILING(I1355/Overview!$B$7,1))))</f>
        <v>16</v>
      </c>
      <c r="K1355" s="19" t="n">
        <v>1</v>
      </c>
      <c r="L1355" s="19"/>
      <c r="M1355" s="20" t="n">
        <v>2</v>
      </c>
      <c r="N1355" s="19"/>
      <c r="O1355" s="19" t="s">
        <v>649</v>
      </c>
      <c r="P1355" s="19" t="s">
        <v>1824</v>
      </c>
      <c r="Q1355" s="19" t="s">
        <v>1502</v>
      </c>
      <c r="R1355" s="21" t="n">
        <v>45938</v>
      </c>
      <c r="S1355" s="19" t="s">
        <v>1825</v>
      </c>
      <c r="T1355" s="19" t="s">
        <v>4748</v>
      </c>
      <c r="U1355" s="19" t="str">
        <f aca="false">HYPERLINK("https://macaulaylibrary.org/asset/648628565","Open")</f>
        <v>Open</v>
      </c>
      <c r="V1355" s="19"/>
    </row>
    <row r="1356" customFormat="false" ht="15" hidden="false" customHeight="false" outlineLevel="0" collapsed="false">
      <c r="A1356" s="19" t="s">
        <v>4749</v>
      </c>
      <c r="B1356" s="19" t="s">
        <v>1005</v>
      </c>
      <c r="C1356" s="19" t="s">
        <v>944</v>
      </c>
      <c r="D1356" s="19" t="s">
        <v>647</v>
      </c>
      <c r="E1356" s="19" t="s">
        <v>147</v>
      </c>
      <c r="F1356" s="19" t="s">
        <v>221</v>
      </c>
      <c r="G1356" s="19" t="n">
        <v>159</v>
      </c>
      <c r="H1356" s="19" t="s">
        <v>222</v>
      </c>
      <c r="I1356" s="20" t="n">
        <v>56.952</v>
      </c>
      <c r="J1356" s="19" t="n">
        <f aca="false">IF(I1356="","",MIN(Overview!$B$8,MAX(1,CEILING(I1356/Overview!$B$7,1))))</f>
        <v>12</v>
      </c>
      <c r="K1356" s="19" t="n">
        <v>1</v>
      </c>
      <c r="L1356" s="19"/>
      <c r="M1356" s="20"/>
      <c r="N1356" s="19" t="s">
        <v>1006</v>
      </c>
      <c r="O1356" s="19"/>
      <c r="P1356" s="19" t="s">
        <v>4154</v>
      </c>
      <c r="Q1356" s="19" t="s">
        <v>1008</v>
      </c>
      <c r="R1356" s="21" t="n">
        <v>42578</v>
      </c>
      <c r="S1356" s="19" t="s">
        <v>1550</v>
      </c>
      <c r="T1356" s="19" t="s">
        <v>4750</v>
      </c>
      <c r="U1356" s="19" t="str">
        <f aca="false">HYPERLINK("https://xeno-canto.org/331641","Open")</f>
        <v>Open</v>
      </c>
      <c r="V1356" s="19" t="s">
        <v>4751</v>
      </c>
    </row>
    <row r="1357" customFormat="false" ht="15" hidden="false" customHeight="false" outlineLevel="0" collapsed="false">
      <c r="A1357" s="19" t="s">
        <v>4752</v>
      </c>
      <c r="B1357" s="19" t="s">
        <v>943</v>
      </c>
      <c r="C1357" s="19" t="s">
        <v>944</v>
      </c>
      <c r="D1357" s="19" t="s">
        <v>148</v>
      </c>
      <c r="E1357" s="19" t="s">
        <v>147</v>
      </c>
      <c r="F1357" s="19" t="s">
        <v>191</v>
      </c>
      <c r="G1357" s="19" t="n">
        <v>160</v>
      </c>
      <c r="H1357" s="19" t="s">
        <v>192</v>
      </c>
      <c r="I1357" s="20" t="n">
        <v>116.474</v>
      </c>
      <c r="J1357" s="19" t="n">
        <f aca="false">IF(I1357="","",MIN(Overview!$B$8,MAX(1,CEILING(I1357/Overview!$B$7,1))))</f>
        <v>24</v>
      </c>
      <c r="K1357" s="19" t="n">
        <v>1</v>
      </c>
      <c r="L1357" s="19"/>
      <c r="M1357" s="20" t="n">
        <v>4</v>
      </c>
      <c r="N1357" s="19"/>
      <c r="O1357" s="19"/>
      <c r="P1357" s="19" t="s">
        <v>2271</v>
      </c>
      <c r="Q1357" s="19" t="s">
        <v>1021</v>
      </c>
      <c r="R1357" s="21" t="n">
        <v>35867</v>
      </c>
      <c r="S1357" s="19" t="s">
        <v>2272</v>
      </c>
      <c r="T1357" s="19" t="s">
        <v>4753</v>
      </c>
      <c r="U1357" s="19" t="str">
        <f aca="false">HYPERLINK("https://macaulaylibrary.org/asset/102872601","Open")</f>
        <v>Open</v>
      </c>
      <c r="V1357" s="19"/>
    </row>
    <row r="1358" customFormat="false" ht="15" hidden="false" customHeight="false" outlineLevel="0" collapsed="false">
      <c r="A1358" s="19" t="s">
        <v>4754</v>
      </c>
      <c r="B1358" s="19" t="s">
        <v>943</v>
      </c>
      <c r="C1358" s="19" t="s">
        <v>944</v>
      </c>
      <c r="D1358" s="19" t="s">
        <v>148</v>
      </c>
      <c r="E1358" s="19" t="s">
        <v>147</v>
      </c>
      <c r="F1358" s="19" t="s">
        <v>191</v>
      </c>
      <c r="G1358" s="19" t="n">
        <v>160</v>
      </c>
      <c r="H1358" s="19" t="s">
        <v>192</v>
      </c>
      <c r="I1358" s="20" t="n">
        <v>152.192</v>
      </c>
      <c r="J1358" s="19" t="n">
        <f aca="false">IF(I1358="","",MIN(Overview!$B$8,MAX(1,CEILING(I1358/Overview!$B$7,1))))</f>
        <v>31</v>
      </c>
      <c r="K1358" s="19" t="n">
        <v>1</v>
      </c>
      <c r="L1358" s="19"/>
      <c r="M1358" s="20" t="n">
        <v>3.5</v>
      </c>
      <c r="N1358" s="19"/>
      <c r="O1358" s="19"/>
      <c r="P1358" s="19" t="s">
        <v>4191</v>
      </c>
      <c r="Q1358" s="19" t="s">
        <v>1021</v>
      </c>
      <c r="R1358" s="21" t="n">
        <v>35868</v>
      </c>
      <c r="S1358" s="19" t="s">
        <v>2784</v>
      </c>
      <c r="T1358" s="19" t="s">
        <v>4755</v>
      </c>
      <c r="U1358" s="19" t="str">
        <f aca="false">HYPERLINK("https://macaulaylibrary.org/asset/103120051","Open")</f>
        <v>Open</v>
      </c>
      <c r="V1358" s="19"/>
    </row>
    <row r="1359" customFormat="false" ht="15" hidden="false" customHeight="false" outlineLevel="0" collapsed="false">
      <c r="A1359" s="19" t="s">
        <v>4756</v>
      </c>
      <c r="B1359" s="19" t="s">
        <v>943</v>
      </c>
      <c r="C1359" s="19" t="s">
        <v>944</v>
      </c>
      <c r="D1359" s="19" t="s">
        <v>148</v>
      </c>
      <c r="E1359" s="19" t="s">
        <v>147</v>
      </c>
      <c r="F1359" s="19" t="s">
        <v>191</v>
      </c>
      <c r="G1359" s="19" t="n">
        <v>160</v>
      </c>
      <c r="H1359" s="19" t="s">
        <v>192</v>
      </c>
      <c r="I1359" s="20" t="n">
        <v>50.835</v>
      </c>
      <c r="J1359" s="19" t="n">
        <f aca="false">IF(I1359="","",MIN(Overview!$B$8,MAX(1,CEILING(I1359/Overview!$B$7,1))))</f>
        <v>11</v>
      </c>
      <c r="K1359" s="19" t="n">
        <v>1</v>
      </c>
      <c r="L1359" s="19"/>
      <c r="M1359" s="20" t="n">
        <v>4</v>
      </c>
      <c r="N1359" s="19"/>
      <c r="O1359" s="19"/>
      <c r="P1359" s="19" t="s">
        <v>3473</v>
      </c>
      <c r="Q1359" s="19" t="s">
        <v>1401</v>
      </c>
      <c r="R1359" s="21" t="n">
        <v>35880</v>
      </c>
      <c r="S1359" s="19" t="s">
        <v>1002</v>
      </c>
      <c r="T1359" s="19" t="s">
        <v>4757</v>
      </c>
      <c r="U1359" s="19" t="str">
        <f aca="false">HYPERLINK("https://macaulaylibrary.org/asset/129443171","Open")</f>
        <v>Open</v>
      </c>
      <c r="V1359" s="19"/>
    </row>
    <row r="1360" customFormat="false" ht="15" hidden="false" customHeight="false" outlineLevel="0" collapsed="false">
      <c r="A1360" s="19" t="s">
        <v>4758</v>
      </c>
      <c r="B1360" s="19" t="s">
        <v>943</v>
      </c>
      <c r="C1360" s="19" t="s">
        <v>944</v>
      </c>
      <c r="D1360" s="19" t="s">
        <v>148</v>
      </c>
      <c r="E1360" s="19" t="s">
        <v>147</v>
      </c>
      <c r="F1360" s="19" t="s">
        <v>191</v>
      </c>
      <c r="G1360" s="19" t="n">
        <v>160</v>
      </c>
      <c r="H1360" s="19" t="s">
        <v>192</v>
      </c>
      <c r="I1360" s="20" t="n">
        <v>7.382</v>
      </c>
      <c r="J1360" s="19" t="n">
        <f aca="false">IF(I1360="","",MIN(Overview!$B$8,MAX(1,CEILING(I1360/Overview!$B$7,1))))</f>
        <v>2</v>
      </c>
      <c r="K1360" s="19" t="n">
        <v>1</v>
      </c>
      <c r="L1360" s="19"/>
      <c r="M1360" s="20" t="n">
        <v>2</v>
      </c>
      <c r="N1360" s="19"/>
      <c r="O1360" s="19"/>
      <c r="P1360" s="19" t="s">
        <v>2916</v>
      </c>
      <c r="Q1360" s="19" t="s">
        <v>2235</v>
      </c>
      <c r="R1360" s="21" t="n">
        <v>43469</v>
      </c>
      <c r="S1360" s="19" t="s">
        <v>1484</v>
      </c>
      <c r="T1360" s="19" t="s">
        <v>4759</v>
      </c>
      <c r="U1360" s="19" t="str">
        <f aca="false">HYPERLINK("https://macaulaylibrary.org/asset/137864231","Open")</f>
        <v>Open</v>
      </c>
      <c r="V1360" s="19"/>
    </row>
    <row r="1361" customFormat="false" ht="15" hidden="false" customHeight="false" outlineLevel="0" collapsed="false">
      <c r="A1361" s="19" t="s">
        <v>4760</v>
      </c>
      <c r="B1361" s="19" t="s">
        <v>943</v>
      </c>
      <c r="C1361" s="19" t="s">
        <v>944</v>
      </c>
      <c r="D1361" s="19" t="s">
        <v>148</v>
      </c>
      <c r="E1361" s="19" t="s">
        <v>147</v>
      </c>
      <c r="F1361" s="19" t="s">
        <v>191</v>
      </c>
      <c r="G1361" s="19" t="n">
        <v>160</v>
      </c>
      <c r="H1361" s="19" t="s">
        <v>192</v>
      </c>
      <c r="I1361" s="20" t="n">
        <v>120.942</v>
      </c>
      <c r="J1361" s="19" t="n">
        <f aca="false">IF(I1361="","",MIN(Overview!$B$8,MAX(1,CEILING(I1361/Overview!$B$7,1))))</f>
        <v>25</v>
      </c>
      <c r="K1361" s="19" t="n">
        <v>1</v>
      </c>
      <c r="L1361" s="19"/>
      <c r="M1361" s="20" t="n">
        <v>3</v>
      </c>
      <c r="N1361" s="19"/>
      <c r="O1361" s="19"/>
      <c r="P1361" s="19" t="s">
        <v>4288</v>
      </c>
      <c r="Q1361" s="19" t="s">
        <v>1021</v>
      </c>
      <c r="R1361" s="21" t="n">
        <v>35864</v>
      </c>
      <c r="S1361" s="19" t="s">
        <v>1534</v>
      </c>
      <c r="T1361" s="19" t="s">
        <v>4761</v>
      </c>
      <c r="U1361" s="19" t="str">
        <f aca="false">HYPERLINK("https://macaulaylibrary.org/asset/177875821","Open")</f>
        <v>Open</v>
      </c>
      <c r="V1361" s="19"/>
    </row>
    <row r="1362" customFormat="false" ht="15" hidden="false" customHeight="false" outlineLevel="0" collapsed="false">
      <c r="A1362" s="19" t="s">
        <v>4762</v>
      </c>
      <c r="B1362" s="19" t="s">
        <v>943</v>
      </c>
      <c r="C1362" s="19" t="s">
        <v>944</v>
      </c>
      <c r="D1362" s="19" t="s">
        <v>148</v>
      </c>
      <c r="E1362" s="19" t="s">
        <v>147</v>
      </c>
      <c r="F1362" s="19" t="s">
        <v>191</v>
      </c>
      <c r="G1362" s="19" t="n">
        <v>160</v>
      </c>
      <c r="H1362" s="19" t="s">
        <v>192</v>
      </c>
      <c r="I1362" s="20" t="n">
        <v>35.997</v>
      </c>
      <c r="J1362" s="19" t="n">
        <f aca="false">IF(I1362="","",MIN(Overview!$B$8,MAX(1,CEILING(I1362/Overview!$B$7,1))))</f>
        <v>8</v>
      </c>
      <c r="K1362" s="19" t="n">
        <v>1</v>
      </c>
      <c r="L1362" s="19"/>
      <c r="M1362" s="20" t="n">
        <v>3</v>
      </c>
      <c r="N1362" s="19"/>
      <c r="O1362" s="19"/>
      <c r="P1362" s="19" t="s">
        <v>4763</v>
      </c>
      <c r="Q1362" s="19" t="s">
        <v>4764</v>
      </c>
      <c r="R1362" s="21" t="n">
        <v>38422</v>
      </c>
      <c r="S1362" s="19" t="s">
        <v>1002</v>
      </c>
      <c r="T1362" s="19" t="s">
        <v>4765</v>
      </c>
      <c r="U1362" s="19" t="str">
        <f aca="false">HYPERLINK("https://macaulaylibrary.org/asset/228671631","Open")</f>
        <v>Open</v>
      </c>
      <c r="V1362" s="19"/>
    </row>
    <row r="1363" customFormat="false" ht="15" hidden="false" customHeight="false" outlineLevel="0" collapsed="false">
      <c r="A1363" s="19" t="s">
        <v>4766</v>
      </c>
      <c r="B1363" s="19" t="s">
        <v>943</v>
      </c>
      <c r="C1363" s="19" t="s">
        <v>944</v>
      </c>
      <c r="D1363" s="19" t="s">
        <v>148</v>
      </c>
      <c r="E1363" s="19" t="s">
        <v>147</v>
      </c>
      <c r="F1363" s="19" t="s">
        <v>191</v>
      </c>
      <c r="G1363" s="19" t="n">
        <v>160</v>
      </c>
      <c r="H1363" s="19" t="s">
        <v>192</v>
      </c>
      <c r="I1363" s="20" t="n">
        <v>24.976</v>
      </c>
      <c r="J1363" s="19" t="n">
        <f aca="false">IF(I1363="","",MIN(Overview!$B$8,MAX(1,CEILING(I1363/Overview!$B$7,1))))</f>
        <v>5</v>
      </c>
      <c r="K1363" s="19" t="n">
        <v>1</v>
      </c>
      <c r="L1363" s="19"/>
      <c r="M1363" s="20" t="n">
        <v>5</v>
      </c>
      <c r="N1363" s="19"/>
      <c r="O1363" s="19"/>
      <c r="P1363" s="19" t="s">
        <v>1140</v>
      </c>
      <c r="Q1363" s="19" t="s">
        <v>1030</v>
      </c>
      <c r="R1363" s="21" t="n">
        <v>40250</v>
      </c>
      <c r="S1363" s="19" t="s">
        <v>3255</v>
      </c>
      <c r="T1363" s="19" t="s">
        <v>4767</v>
      </c>
      <c r="U1363" s="19" t="str">
        <f aca="false">HYPERLINK("https://macaulaylibrary.org/asset/299551","Open")</f>
        <v>Open</v>
      </c>
      <c r="V1363" s="19"/>
    </row>
    <row r="1364" customFormat="false" ht="15" hidden="false" customHeight="false" outlineLevel="0" collapsed="false">
      <c r="A1364" s="19" t="s">
        <v>4768</v>
      </c>
      <c r="B1364" s="19" t="s">
        <v>943</v>
      </c>
      <c r="C1364" s="19" t="s">
        <v>944</v>
      </c>
      <c r="D1364" s="19" t="s">
        <v>148</v>
      </c>
      <c r="E1364" s="19" t="s">
        <v>147</v>
      </c>
      <c r="F1364" s="19" t="s">
        <v>191</v>
      </c>
      <c r="G1364" s="19" t="n">
        <v>160</v>
      </c>
      <c r="H1364" s="19" t="s">
        <v>192</v>
      </c>
      <c r="I1364" s="20" t="n">
        <v>15.185</v>
      </c>
      <c r="J1364" s="19" t="n">
        <f aca="false">IF(I1364="","",MIN(Overview!$B$8,MAX(1,CEILING(I1364/Overview!$B$7,1))))</f>
        <v>4</v>
      </c>
      <c r="K1364" s="19" t="n">
        <v>1</v>
      </c>
      <c r="L1364" s="19"/>
      <c r="M1364" s="20" t="n">
        <v>5</v>
      </c>
      <c r="N1364" s="19"/>
      <c r="O1364" s="19"/>
      <c r="P1364" s="19" t="s">
        <v>4769</v>
      </c>
      <c r="Q1364" s="19" t="s">
        <v>1030</v>
      </c>
      <c r="R1364" s="21" t="n">
        <v>40252</v>
      </c>
      <c r="S1364" s="19" t="s">
        <v>1419</v>
      </c>
      <c r="T1364" s="19" t="s">
        <v>4770</v>
      </c>
      <c r="U1364" s="19" t="str">
        <f aca="false">HYPERLINK("https://macaulaylibrary.org/asset/299669","Open")</f>
        <v>Open</v>
      </c>
      <c r="V1364" s="19"/>
    </row>
    <row r="1365" customFormat="false" ht="15" hidden="false" customHeight="false" outlineLevel="0" collapsed="false">
      <c r="A1365" s="19" t="s">
        <v>4771</v>
      </c>
      <c r="B1365" s="19" t="s">
        <v>943</v>
      </c>
      <c r="C1365" s="19" t="s">
        <v>944</v>
      </c>
      <c r="D1365" s="19" t="s">
        <v>148</v>
      </c>
      <c r="E1365" s="19" t="s">
        <v>147</v>
      </c>
      <c r="F1365" s="19" t="s">
        <v>191</v>
      </c>
      <c r="G1365" s="19" t="n">
        <v>160</v>
      </c>
      <c r="H1365" s="19" t="s">
        <v>192</v>
      </c>
      <c r="I1365" s="20" t="n">
        <v>97.956</v>
      </c>
      <c r="J1365" s="19" t="n">
        <f aca="false">IF(I1365="","",MIN(Overview!$B$8,MAX(1,CEILING(I1365/Overview!$B$7,1))))</f>
        <v>20</v>
      </c>
      <c r="K1365" s="19" t="n">
        <v>1</v>
      </c>
      <c r="L1365" s="19"/>
      <c r="M1365" s="20" t="n">
        <v>3.5</v>
      </c>
      <c r="N1365" s="19"/>
      <c r="O1365" s="19"/>
      <c r="P1365" s="19" t="s">
        <v>4772</v>
      </c>
      <c r="Q1365" s="19" t="s">
        <v>4773</v>
      </c>
      <c r="R1365" s="21" t="n">
        <v>44702</v>
      </c>
      <c r="S1365" s="19" t="s">
        <v>4774</v>
      </c>
      <c r="T1365" s="19" t="s">
        <v>4775</v>
      </c>
      <c r="U1365" s="19" t="str">
        <f aca="false">HYPERLINK("https://macaulaylibrary.org/asset/455552761","Open")</f>
        <v>Open</v>
      </c>
      <c r="V1365" s="19"/>
    </row>
    <row r="1366" customFormat="false" ht="15" hidden="false" customHeight="false" outlineLevel="0" collapsed="false">
      <c r="A1366" s="19" t="s">
        <v>4776</v>
      </c>
      <c r="B1366" s="19" t="s">
        <v>943</v>
      </c>
      <c r="C1366" s="19" t="s">
        <v>944</v>
      </c>
      <c r="D1366" s="19" t="s">
        <v>148</v>
      </c>
      <c r="E1366" s="19" t="s">
        <v>147</v>
      </c>
      <c r="F1366" s="19" t="s">
        <v>191</v>
      </c>
      <c r="G1366" s="19" t="n">
        <v>160</v>
      </c>
      <c r="H1366" s="19" t="s">
        <v>192</v>
      </c>
      <c r="I1366" s="20" t="n">
        <v>8.256</v>
      </c>
      <c r="J1366" s="19" t="n">
        <f aca="false">IF(I1366="","",MIN(Overview!$B$8,MAX(1,CEILING(I1366/Overview!$B$7,1))))</f>
        <v>2</v>
      </c>
      <c r="K1366" s="19" t="n">
        <v>1</v>
      </c>
      <c r="L1366" s="19"/>
      <c r="M1366" s="20" t="n">
        <v>4</v>
      </c>
      <c r="N1366" s="19"/>
      <c r="O1366" s="19"/>
      <c r="P1366" s="19" t="s">
        <v>4108</v>
      </c>
      <c r="Q1366" s="19" t="s">
        <v>1596</v>
      </c>
      <c r="R1366" s="21" t="n">
        <v>44701</v>
      </c>
      <c r="S1366" s="19" t="s">
        <v>4109</v>
      </c>
      <c r="T1366" s="19" t="s">
        <v>4777</v>
      </c>
      <c r="U1366" s="19" t="str">
        <f aca="false">HYPERLINK("https://macaulaylibrary.org/asset/457850981","Open")</f>
        <v>Open</v>
      </c>
      <c r="V1366" s="19"/>
    </row>
    <row r="1367" customFormat="false" ht="15" hidden="false" customHeight="false" outlineLevel="0" collapsed="false">
      <c r="A1367" s="19" t="s">
        <v>4778</v>
      </c>
      <c r="B1367" s="19" t="s">
        <v>943</v>
      </c>
      <c r="C1367" s="19" t="s">
        <v>944</v>
      </c>
      <c r="D1367" s="19" t="s">
        <v>148</v>
      </c>
      <c r="E1367" s="19" t="s">
        <v>147</v>
      </c>
      <c r="F1367" s="19" t="s">
        <v>191</v>
      </c>
      <c r="G1367" s="19" t="n">
        <v>160</v>
      </c>
      <c r="H1367" s="19" t="s">
        <v>192</v>
      </c>
      <c r="I1367" s="20" t="n">
        <v>22.735</v>
      </c>
      <c r="J1367" s="19" t="n">
        <f aca="false">IF(I1367="","",MIN(Overview!$B$8,MAX(1,CEILING(I1367/Overview!$B$7,1))))</f>
        <v>5</v>
      </c>
      <c r="K1367" s="19" t="n">
        <v>1</v>
      </c>
      <c r="L1367" s="19"/>
      <c r="M1367" s="20" t="n">
        <v>3</v>
      </c>
      <c r="N1367" s="19"/>
      <c r="O1367" s="19"/>
      <c r="P1367" s="19" t="s">
        <v>1887</v>
      </c>
      <c r="Q1367" s="19" t="s">
        <v>1888</v>
      </c>
      <c r="R1367" s="21" t="n">
        <v>44643</v>
      </c>
      <c r="S1367" s="19" t="s">
        <v>1889</v>
      </c>
      <c r="T1367" s="19" t="s">
        <v>4779</v>
      </c>
      <c r="U1367" s="19" t="str">
        <f aca="false">HYPERLINK("https://macaulaylibrary.org/asset/462751461","Open")</f>
        <v>Open</v>
      </c>
      <c r="V1367" s="19"/>
    </row>
    <row r="1368" customFormat="false" ht="15" hidden="false" customHeight="false" outlineLevel="0" collapsed="false">
      <c r="A1368" s="19" t="s">
        <v>4780</v>
      </c>
      <c r="B1368" s="19" t="s">
        <v>943</v>
      </c>
      <c r="C1368" s="19" t="s">
        <v>944</v>
      </c>
      <c r="D1368" s="19" t="s">
        <v>148</v>
      </c>
      <c r="E1368" s="19" t="s">
        <v>147</v>
      </c>
      <c r="F1368" s="19" t="s">
        <v>191</v>
      </c>
      <c r="G1368" s="19" t="n">
        <v>160</v>
      </c>
      <c r="H1368" s="19" t="s">
        <v>192</v>
      </c>
      <c r="I1368" s="20" t="n">
        <v>36.686</v>
      </c>
      <c r="J1368" s="19" t="n">
        <f aca="false">IF(I1368="","",MIN(Overview!$B$8,MAX(1,CEILING(I1368/Overview!$B$7,1))))</f>
        <v>8</v>
      </c>
      <c r="K1368" s="19" t="n">
        <v>1</v>
      </c>
      <c r="L1368" s="19"/>
      <c r="M1368" s="20" t="n">
        <v>3</v>
      </c>
      <c r="N1368" s="19"/>
      <c r="O1368" s="19"/>
      <c r="P1368" s="19" t="s">
        <v>1297</v>
      </c>
      <c r="Q1368" s="19" t="s">
        <v>1298</v>
      </c>
      <c r="R1368" s="21" t="n">
        <v>44994</v>
      </c>
      <c r="S1368" s="19" t="s">
        <v>1299</v>
      </c>
      <c r="T1368" s="19" t="s">
        <v>4781</v>
      </c>
      <c r="U1368" s="19" t="str">
        <f aca="false">HYPERLINK("https://macaulaylibrary.org/asset/543764741","Open")</f>
        <v>Open</v>
      </c>
      <c r="V1368" s="19"/>
    </row>
    <row r="1369" customFormat="false" ht="15" hidden="false" customHeight="false" outlineLevel="0" collapsed="false">
      <c r="A1369" s="19" t="s">
        <v>4782</v>
      </c>
      <c r="B1369" s="19" t="s">
        <v>943</v>
      </c>
      <c r="C1369" s="19" t="s">
        <v>944</v>
      </c>
      <c r="D1369" s="19" t="s">
        <v>148</v>
      </c>
      <c r="E1369" s="19" t="s">
        <v>147</v>
      </c>
      <c r="F1369" s="19" t="s">
        <v>191</v>
      </c>
      <c r="G1369" s="19" t="n">
        <v>160</v>
      </c>
      <c r="H1369" s="19" t="s">
        <v>192</v>
      </c>
      <c r="I1369" s="20" t="n">
        <v>50.177</v>
      </c>
      <c r="J1369" s="19" t="n">
        <f aca="false">IF(I1369="","",MIN(Overview!$B$8,MAX(1,CEILING(I1369/Overview!$B$7,1))))</f>
        <v>11</v>
      </c>
      <c r="K1369" s="19" t="n">
        <v>1</v>
      </c>
      <c r="L1369" s="19"/>
      <c r="M1369" s="20" t="n">
        <v>4</v>
      </c>
      <c r="N1369" s="19"/>
      <c r="O1369" s="19" t="s">
        <v>155</v>
      </c>
      <c r="P1369" s="19" t="s">
        <v>1297</v>
      </c>
      <c r="Q1369" s="19" t="s">
        <v>1298</v>
      </c>
      <c r="R1369" s="21" t="n">
        <v>44994</v>
      </c>
      <c r="S1369" s="19" t="s">
        <v>1299</v>
      </c>
      <c r="T1369" s="19" t="s">
        <v>4783</v>
      </c>
      <c r="U1369" s="19" t="str">
        <f aca="false">HYPERLINK("https://macaulaylibrary.org/asset/543764751","Open")</f>
        <v>Open</v>
      </c>
      <c r="V1369" s="19"/>
    </row>
    <row r="1370" customFormat="false" ht="15" hidden="false" customHeight="false" outlineLevel="0" collapsed="false">
      <c r="A1370" s="19" t="s">
        <v>4784</v>
      </c>
      <c r="B1370" s="19" t="s">
        <v>943</v>
      </c>
      <c r="C1370" s="19" t="s">
        <v>944</v>
      </c>
      <c r="D1370" s="19" t="s">
        <v>148</v>
      </c>
      <c r="E1370" s="19" t="s">
        <v>147</v>
      </c>
      <c r="F1370" s="19" t="s">
        <v>191</v>
      </c>
      <c r="G1370" s="19" t="n">
        <v>160</v>
      </c>
      <c r="H1370" s="19" t="s">
        <v>192</v>
      </c>
      <c r="I1370" s="20" t="n">
        <v>129.473</v>
      </c>
      <c r="J1370" s="19" t="n">
        <f aca="false">IF(I1370="","",MIN(Overview!$B$8,MAX(1,CEILING(I1370/Overview!$B$7,1))))</f>
        <v>26</v>
      </c>
      <c r="K1370" s="19" t="n">
        <v>1</v>
      </c>
      <c r="L1370" s="19"/>
      <c r="M1370" s="20" t="n">
        <v>3.5</v>
      </c>
      <c r="N1370" s="19"/>
      <c r="O1370" s="19"/>
      <c r="P1370" s="19" t="s">
        <v>1297</v>
      </c>
      <c r="Q1370" s="19" t="s">
        <v>1298</v>
      </c>
      <c r="R1370" s="21" t="n">
        <v>44994</v>
      </c>
      <c r="S1370" s="19" t="s">
        <v>1299</v>
      </c>
      <c r="T1370" s="19" t="s">
        <v>4785</v>
      </c>
      <c r="U1370" s="19" t="str">
        <f aca="false">HYPERLINK("https://macaulaylibrary.org/asset/543764761","Open")</f>
        <v>Open</v>
      </c>
      <c r="V1370" s="19"/>
    </row>
    <row r="1371" customFormat="false" ht="15" hidden="false" customHeight="false" outlineLevel="0" collapsed="false">
      <c r="A1371" s="19" t="s">
        <v>4786</v>
      </c>
      <c r="B1371" s="19" t="s">
        <v>943</v>
      </c>
      <c r="C1371" s="19" t="s">
        <v>944</v>
      </c>
      <c r="D1371" s="19" t="s">
        <v>148</v>
      </c>
      <c r="E1371" s="19" t="s">
        <v>147</v>
      </c>
      <c r="F1371" s="19" t="s">
        <v>191</v>
      </c>
      <c r="G1371" s="19" t="n">
        <v>160</v>
      </c>
      <c r="H1371" s="19" t="s">
        <v>192</v>
      </c>
      <c r="I1371" s="20" t="n">
        <v>153.181</v>
      </c>
      <c r="J1371" s="19" t="n">
        <f aca="false">IF(I1371="","",MIN(Overview!$B$8,MAX(1,CEILING(I1371/Overview!$B$7,1))))</f>
        <v>31</v>
      </c>
      <c r="K1371" s="19" t="n">
        <v>1</v>
      </c>
      <c r="L1371" s="19"/>
      <c r="M1371" s="20" t="n">
        <v>3</v>
      </c>
      <c r="N1371" s="19"/>
      <c r="O1371" s="19"/>
      <c r="P1371" s="19" t="s">
        <v>1297</v>
      </c>
      <c r="Q1371" s="19" t="s">
        <v>1298</v>
      </c>
      <c r="R1371" s="21" t="n">
        <v>44994</v>
      </c>
      <c r="S1371" s="19" t="s">
        <v>1299</v>
      </c>
      <c r="T1371" s="19" t="s">
        <v>4787</v>
      </c>
      <c r="U1371" s="19" t="str">
        <f aca="false">HYPERLINK("https://macaulaylibrary.org/asset/543764771","Open")</f>
        <v>Open</v>
      </c>
      <c r="V1371" s="19"/>
    </row>
    <row r="1372" customFormat="false" ht="15" hidden="false" customHeight="false" outlineLevel="0" collapsed="false">
      <c r="A1372" s="19" t="s">
        <v>4788</v>
      </c>
      <c r="B1372" s="19" t="s">
        <v>943</v>
      </c>
      <c r="C1372" s="19" t="s">
        <v>944</v>
      </c>
      <c r="D1372" s="19" t="s">
        <v>148</v>
      </c>
      <c r="E1372" s="19" t="s">
        <v>147</v>
      </c>
      <c r="F1372" s="19" t="s">
        <v>191</v>
      </c>
      <c r="G1372" s="19" t="n">
        <v>160</v>
      </c>
      <c r="H1372" s="19" t="s">
        <v>192</v>
      </c>
      <c r="I1372" s="20" t="n">
        <v>57.62</v>
      </c>
      <c r="J1372" s="19" t="n">
        <f aca="false">IF(I1372="","",MIN(Overview!$B$8,MAX(1,CEILING(I1372/Overview!$B$7,1))))</f>
        <v>12</v>
      </c>
      <c r="K1372" s="19" t="n">
        <v>1</v>
      </c>
      <c r="L1372" s="19"/>
      <c r="M1372" s="20" t="n">
        <v>3.5</v>
      </c>
      <c r="N1372" s="19"/>
      <c r="O1372" s="19"/>
      <c r="P1372" s="19" t="s">
        <v>4789</v>
      </c>
      <c r="Q1372" s="19" t="s">
        <v>4790</v>
      </c>
      <c r="R1372" s="21" t="n">
        <v>45022</v>
      </c>
      <c r="S1372" s="19" t="s">
        <v>4791</v>
      </c>
      <c r="T1372" s="19" t="s">
        <v>4792</v>
      </c>
      <c r="U1372" s="19" t="str">
        <f aca="false">HYPERLINK("https://macaulaylibrary.org/asset/557647481","Open")</f>
        <v>Open</v>
      </c>
      <c r="V1372" s="19"/>
    </row>
    <row r="1373" customFormat="false" ht="15" hidden="false" customHeight="false" outlineLevel="0" collapsed="false">
      <c r="A1373" s="19" t="s">
        <v>4793</v>
      </c>
      <c r="B1373" s="19" t="s">
        <v>943</v>
      </c>
      <c r="C1373" s="19" t="s">
        <v>944</v>
      </c>
      <c r="D1373" s="19" t="s">
        <v>148</v>
      </c>
      <c r="E1373" s="19" t="s">
        <v>147</v>
      </c>
      <c r="F1373" s="19" t="s">
        <v>191</v>
      </c>
      <c r="G1373" s="19" t="n">
        <v>160</v>
      </c>
      <c r="H1373" s="19" t="s">
        <v>192</v>
      </c>
      <c r="I1373" s="20" t="n">
        <v>2.386</v>
      </c>
      <c r="J1373" s="19" t="n">
        <f aca="false">IF(I1373="","",MIN(Overview!$B$8,MAX(1,CEILING(I1373/Overview!$B$7,1))))</f>
        <v>1</v>
      </c>
      <c r="K1373" s="19" t="n">
        <v>1</v>
      </c>
      <c r="L1373" s="19" t="s">
        <v>1048</v>
      </c>
      <c r="M1373" s="20"/>
      <c r="N1373" s="19"/>
      <c r="O1373" s="19"/>
      <c r="P1373" s="19" t="s">
        <v>1170</v>
      </c>
      <c r="Q1373" s="19" t="s">
        <v>1166</v>
      </c>
      <c r="R1373" s="21" t="n">
        <v>44900</v>
      </c>
      <c r="S1373" s="19" t="s">
        <v>1092</v>
      </c>
      <c r="T1373" s="19" t="s">
        <v>4794</v>
      </c>
      <c r="U1373" s="19" t="str">
        <f aca="false">HYPERLINK("https://macaulaylibrary.org/asset/597934431","Open")</f>
        <v>Open</v>
      </c>
      <c r="V1373" s="19"/>
    </row>
    <row r="1374" customFormat="false" ht="15" hidden="false" customHeight="false" outlineLevel="0" collapsed="false">
      <c r="A1374" s="19" t="s">
        <v>4795</v>
      </c>
      <c r="B1374" s="19" t="s">
        <v>943</v>
      </c>
      <c r="C1374" s="19" t="s">
        <v>944</v>
      </c>
      <c r="D1374" s="19" t="s">
        <v>148</v>
      </c>
      <c r="E1374" s="19" t="s">
        <v>147</v>
      </c>
      <c r="F1374" s="19" t="s">
        <v>191</v>
      </c>
      <c r="G1374" s="19" t="n">
        <v>160</v>
      </c>
      <c r="H1374" s="19" t="s">
        <v>192</v>
      </c>
      <c r="I1374" s="20" t="n">
        <v>15.213</v>
      </c>
      <c r="J1374" s="19" t="n">
        <f aca="false">IF(I1374="","",MIN(Overview!$B$8,MAX(1,CEILING(I1374/Overview!$B$7,1))))</f>
        <v>4</v>
      </c>
      <c r="K1374" s="19" t="n">
        <v>1</v>
      </c>
      <c r="L1374" s="19"/>
      <c r="M1374" s="20"/>
      <c r="N1374" s="19"/>
      <c r="O1374" s="19"/>
      <c r="P1374" s="19" t="s">
        <v>1170</v>
      </c>
      <c r="Q1374" s="19" t="s">
        <v>1166</v>
      </c>
      <c r="R1374" s="21" t="n">
        <v>44900</v>
      </c>
      <c r="S1374" s="19" t="s">
        <v>1092</v>
      </c>
      <c r="T1374" s="19" t="s">
        <v>4796</v>
      </c>
      <c r="U1374" s="19" t="str">
        <f aca="false">HYPERLINK("https://macaulaylibrary.org/asset/597934451","Open")</f>
        <v>Open</v>
      </c>
      <c r="V1374" s="19"/>
    </row>
    <row r="1375" customFormat="false" ht="15" hidden="false" customHeight="false" outlineLevel="0" collapsed="false">
      <c r="A1375" s="19" t="s">
        <v>4797</v>
      </c>
      <c r="B1375" s="19" t="s">
        <v>943</v>
      </c>
      <c r="C1375" s="19" t="s">
        <v>944</v>
      </c>
      <c r="D1375" s="19" t="s">
        <v>148</v>
      </c>
      <c r="E1375" s="19" t="s">
        <v>147</v>
      </c>
      <c r="F1375" s="19" t="s">
        <v>191</v>
      </c>
      <c r="G1375" s="19" t="n">
        <v>160</v>
      </c>
      <c r="H1375" s="19" t="s">
        <v>192</v>
      </c>
      <c r="I1375" s="20" t="n">
        <v>16.524</v>
      </c>
      <c r="J1375" s="19" t="n">
        <f aca="false">IF(I1375="","",MIN(Overview!$B$8,MAX(1,CEILING(I1375/Overview!$B$7,1))))</f>
        <v>4</v>
      </c>
      <c r="K1375" s="19" t="n">
        <v>1</v>
      </c>
      <c r="L1375" s="19"/>
      <c r="M1375" s="20"/>
      <c r="N1375" s="19"/>
      <c r="O1375" s="19"/>
      <c r="P1375" s="19" t="s">
        <v>1045</v>
      </c>
      <c r="Q1375" s="19" t="s">
        <v>1040</v>
      </c>
      <c r="R1375" s="21" t="n">
        <v>40903</v>
      </c>
      <c r="S1375" s="19" t="s">
        <v>1002</v>
      </c>
      <c r="T1375" s="19" t="s">
        <v>4798</v>
      </c>
      <c r="U1375" s="19" t="str">
        <f aca="false">HYPERLINK("https://macaulaylibrary.org/asset/609056527","Open")</f>
        <v>Open</v>
      </c>
      <c r="V1375" s="19" t="s">
        <v>4799</v>
      </c>
    </row>
    <row r="1376" customFormat="false" ht="15" hidden="false" customHeight="false" outlineLevel="0" collapsed="false">
      <c r="A1376" s="19" t="s">
        <v>4800</v>
      </c>
      <c r="B1376" s="19" t="s">
        <v>943</v>
      </c>
      <c r="C1376" s="19" t="s">
        <v>944</v>
      </c>
      <c r="D1376" s="19" t="s">
        <v>148</v>
      </c>
      <c r="E1376" s="19" t="s">
        <v>147</v>
      </c>
      <c r="F1376" s="19" t="s">
        <v>191</v>
      </c>
      <c r="G1376" s="19" t="n">
        <v>160</v>
      </c>
      <c r="H1376" s="19" t="s">
        <v>192</v>
      </c>
      <c r="I1376" s="20" t="n">
        <v>1.972</v>
      </c>
      <c r="J1376" s="19" t="n">
        <f aca="false">IF(I1376="","",MIN(Overview!$B$8,MAX(1,CEILING(I1376/Overview!$B$7,1))))</f>
        <v>1</v>
      </c>
      <c r="K1376" s="19" t="n">
        <v>1</v>
      </c>
      <c r="L1376" s="19" t="s">
        <v>1048</v>
      </c>
      <c r="M1376" s="20"/>
      <c r="N1376" s="19"/>
      <c r="O1376" s="19"/>
      <c r="P1376" s="19" t="s">
        <v>1045</v>
      </c>
      <c r="Q1376" s="19" t="s">
        <v>1040</v>
      </c>
      <c r="R1376" s="21" t="n">
        <v>40903</v>
      </c>
      <c r="S1376" s="19" t="s">
        <v>1002</v>
      </c>
      <c r="T1376" s="19" t="s">
        <v>4801</v>
      </c>
      <c r="U1376" s="19" t="str">
        <f aca="false">HYPERLINK("https://macaulaylibrary.org/asset/609056528","Open")</f>
        <v>Open</v>
      </c>
      <c r="V1376" s="19" t="s">
        <v>4799</v>
      </c>
    </row>
    <row r="1377" customFormat="false" ht="15" hidden="false" customHeight="false" outlineLevel="0" collapsed="false">
      <c r="A1377" s="19" t="s">
        <v>4802</v>
      </c>
      <c r="B1377" s="19" t="s">
        <v>943</v>
      </c>
      <c r="C1377" s="19" t="s">
        <v>944</v>
      </c>
      <c r="D1377" s="19" t="s">
        <v>148</v>
      </c>
      <c r="E1377" s="19" t="s">
        <v>147</v>
      </c>
      <c r="F1377" s="19" t="s">
        <v>191</v>
      </c>
      <c r="G1377" s="19" t="n">
        <v>160</v>
      </c>
      <c r="H1377" s="19" t="s">
        <v>192</v>
      </c>
      <c r="I1377" s="20" t="n">
        <v>13.088</v>
      </c>
      <c r="J1377" s="19" t="n">
        <f aca="false">IF(I1377="","",MIN(Overview!$B$8,MAX(1,CEILING(I1377/Overview!$B$7,1))))</f>
        <v>3</v>
      </c>
      <c r="K1377" s="19" t="n">
        <v>1</v>
      </c>
      <c r="L1377" s="19"/>
      <c r="M1377" s="20"/>
      <c r="N1377" s="19"/>
      <c r="O1377" s="19"/>
      <c r="P1377" s="19" t="s">
        <v>1605</v>
      </c>
      <c r="Q1377" s="19" t="s">
        <v>1040</v>
      </c>
      <c r="R1377" s="21" t="n">
        <v>40902</v>
      </c>
      <c r="S1377" s="19" t="s">
        <v>1002</v>
      </c>
      <c r="T1377" s="19" t="s">
        <v>4803</v>
      </c>
      <c r="U1377" s="19" t="str">
        <f aca="false">HYPERLINK("https://macaulaylibrary.org/asset/609056568","Open")</f>
        <v>Open</v>
      </c>
      <c r="V1377" s="19" t="s">
        <v>4799</v>
      </c>
    </row>
    <row r="1378" customFormat="false" ht="15" hidden="false" customHeight="false" outlineLevel="0" collapsed="false">
      <c r="A1378" s="19" t="s">
        <v>4804</v>
      </c>
      <c r="B1378" s="19" t="s">
        <v>943</v>
      </c>
      <c r="C1378" s="19" t="s">
        <v>944</v>
      </c>
      <c r="D1378" s="19" t="s">
        <v>148</v>
      </c>
      <c r="E1378" s="19" t="s">
        <v>147</v>
      </c>
      <c r="F1378" s="19" t="s">
        <v>191</v>
      </c>
      <c r="G1378" s="19" t="n">
        <v>160</v>
      </c>
      <c r="H1378" s="19" t="s">
        <v>192</v>
      </c>
      <c r="I1378" s="20" t="n">
        <v>17.928</v>
      </c>
      <c r="J1378" s="19" t="n">
        <f aca="false">IF(I1378="","",MIN(Overview!$B$8,MAX(1,CEILING(I1378/Overview!$B$7,1))))</f>
        <v>4</v>
      </c>
      <c r="K1378" s="19" t="n">
        <v>1</v>
      </c>
      <c r="L1378" s="19"/>
      <c r="M1378" s="20"/>
      <c r="N1378" s="19"/>
      <c r="O1378" s="19"/>
      <c r="P1378" s="19" t="s">
        <v>1605</v>
      </c>
      <c r="Q1378" s="19" t="s">
        <v>1040</v>
      </c>
      <c r="R1378" s="21" t="n">
        <v>40902</v>
      </c>
      <c r="S1378" s="19" t="s">
        <v>1002</v>
      </c>
      <c r="T1378" s="19" t="s">
        <v>4805</v>
      </c>
      <c r="U1378" s="19" t="str">
        <f aca="false">HYPERLINK("https://macaulaylibrary.org/asset/609056575","Open")</f>
        <v>Open</v>
      </c>
      <c r="V1378" s="19" t="s">
        <v>4799</v>
      </c>
    </row>
    <row r="1379" customFormat="false" ht="15" hidden="false" customHeight="false" outlineLevel="0" collapsed="false">
      <c r="A1379" s="19" t="s">
        <v>4806</v>
      </c>
      <c r="B1379" s="19" t="s">
        <v>943</v>
      </c>
      <c r="C1379" s="19" t="s">
        <v>944</v>
      </c>
      <c r="D1379" s="19" t="s">
        <v>148</v>
      </c>
      <c r="E1379" s="19" t="s">
        <v>147</v>
      </c>
      <c r="F1379" s="19" t="s">
        <v>191</v>
      </c>
      <c r="G1379" s="19" t="n">
        <v>160</v>
      </c>
      <c r="H1379" s="19" t="s">
        <v>192</v>
      </c>
      <c r="I1379" s="20" t="n">
        <v>5.308</v>
      </c>
      <c r="J1379" s="19" t="n">
        <f aca="false">IF(I1379="","",MIN(Overview!$B$8,MAX(1,CEILING(I1379/Overview!$B$7,1))))</f>
        <v>2</v>
      </c>
      <c r="K1379" s="19" t="n">
        <v>1</v>
      </c>
      <c r="L1379" s="19"/>
      <c r="M1379" s="20" t="n">
        <v>3</v>
      </c>
      <c r="N1379" s="19"/>
      <c r="O1379" s="19"/>
      <c r="P1379" s="19" t="s">
        <v>950</v>
      </c>
      <c r="Q1379" s="19" t="s">
        <v>951</v>
      </c>
      <c r="R1379" s="21" t="n">
        <v>45223</v>
      </c>
      <c r="S1379" s="19" t="s">
        <v>952</v>
      </c>
      <c r="T1379" s="19" t="s">
        <v>4807</v>
      </c>
      <c r="U1379" s="19" t="str">
        <f aca="false">HYPERLINK("https://macaulaylibrary.org/asset/610572563","Open")</f>
        <v>Open</v>
      </c>
      <c r="V1379" s="19"/>
    </row>
    <row r="1380" customFormat="false" ht="15" hidden="false" customHeight="false" outlineLevel="0" collapsed="false">
      <c r="A1380" s="19" t="s">
        <v>4808</v>
      </c>
      <c r="B1380" s="19" t="s">
        <v>943</v>
      </c>
      <c r="C1380" s="19" t="s">
        <v>944</v>
      </c>
      <c r="D1380" s="19" t="s">
        <v>148</v>
      </c>
      <c r="E1380" s="19" t="s">
        <v>147</v>
      </c>
      <c r="F1380" s="19" t="s">
        <v>191</v>
      </c>
      <c r="G1380" s="19" t="n">
        <v>160</v>
      </c>
      <c r="H1380" s="19" t="s">
        <v>192</v>
      </c>
      <c r="I1380" s="20" t="n">
        <v>15.092</v>
      </c>
      <c r="J1380" s="19" t="n">
        <f aca="false">IF(I1380="","",MIN(Overview!$B$8,MAX(1,CEILING(I1380/Overview!$B$7,1))))</f>
        <v>4</v>
      </c>
      <c r="K1380" s="19" t="n">
        <v>1</v>
      </c>
      <c r="L1380" s="19"/>
      <c r="M1380" s="20"/>
      <c r="N1380" s="19"/>
      <c r="O1380" s="19" t="s">
        <v>203</v>
      </c>
      <c r="P1380" s="19" t="s">
        <v>3605</v>
      </c>
      <c r="Q1380" s="19" t="s">
        <v>1319</v>
      </c>
      <c r="R1380" s="21" t="n">
        <v>44679</v>
      </c>
      <c r="S1380" s="19" t="s">
        <v>3606</v>
      </c>
      <c r="T1380" s="19" t="s">
        <v>4809</v>
      </c>
      <c r="U1380" s="19" t="str">
        <f aca="false">HYPERLINK("https://macaulaylibrary.org/asset/614213693","Open")</f>
        <v>Open</v>
      </c>
      <c r="V1380" s="19"/>
    </row>
    <row r="1381" customFormat="false" ht="15" hidden="false" customHeight="false" outlineLevel="0" collapsed="false">
      <c r="A1381" s="19" t="s">
        <v>4810</v>
      </c>
      <c r="B1381" s="19" t="s">
        <v>943</v>
      </c>
      <c r="C1381" s="19" t="s">
        <v>944</v>
      </c>
      <c r="D1381" s="19" t="s">
        <v>148</v>
      </c>
      <c r="E1381" s="19" t="s">
        <v>147</v>
      </c>
      <c r="F1381" s="19" t="s">
        <v>191</v>
      </c>
      <c r="G1381" s="19" t="n">
        <v>160</v>
      </c>
      <c r="H1381" s="19" t="s">
        <v>192</v>
      </c>
      <c r="I1381" s="20" t="n">
        <v>48.18</v>
      </c>
      <c r="J1381" s="19" t="n">
        <f aca="false">IF(I1381="","",MIN(Overview!$B$8,MAX(1,CEILING(I1381/Overview!$B$7,1))))</f>
        <v>10</v>
      </c>
      <c r="K1381" s="19" t="n">
        <v>1</v>
      </c>
      <c r="L1381" s="19"/>
      <c r="M1381" s="20"/>
      <c r="N1381" s="19"/>
      <c r="O1381" s="19"/>
      <c r="P1381" s="19" t="s">
        <v>2443</v>
      </c>
      <c r="Q1381" s="19" t="s">
        <v>1091</v>
      </c>
      <c r="R1381" s="21" t="n">
        <v>45843</v>
      </c>
      <c r="S1381" s="19" t="s">
        <v>2444</v>
      </c>
      <c r="T1381" s="19" t="s">
        <v>4811</v>
      </c>
      <c r="U1381" s="19" t="str">
        <f aca="false">HYPERLINK("https://macaulaylibrary.org/asset/639170969","Open")</f>
        <v>Open</v>
      </c>
      <c r="V1381" s="19"/>
    </row>
    <row r="1382" customFormat="false" ht="15" hidden="false" customHeight="false" outlineLevel="0" collapsed="false">
      <c r="A1382" s="19" t="s">
        <v>4812</v>
      </c>
      <c r="B1382" s="19" t="s">
        <v>943</v>
      </c>
      <c r="C1382" s="19" t="s">
        <v>944</v>
      </c>
      <c r="D1382" s="19" t="s">
        <v>148</v>
      </c>
      <c r="E1382" s="19" t="s">
        <v>147</v>
      </c>
      <c r="F1382" s="19" t="s">
        <v>191</v>
      </c>
      <c r="G1382" s="19" t="n">
        <v>160</v>
      </c>
      <c r="H1382" s="19" t="s">
        <v>192</v>
      </c>
      <c r="I1382" s="20" t="n">
        <v>38.88</v>
      </c>
      <c r="J1382" s="19" t="n">
        <f aca="false">IF(I1382="","",MIN(Overview!$B$8,MAX(1,CEILING(I1382/Overview!$B$7,1))))</f>
        <v>8</v>
      </c>
      <c r="K1382" s="19" t="n">
        <v>1</v>
      </c>
      <c r="L1382" s="19"/>
      <c r="M1382" s="20" t="n">
        <v>5</v>
      </c>
      <c r="N1382" s="19"/>
      <c r="O1382" s="19"/>
      <c r="P1382" s="19" t="s">
        <v>964</v>
      </c>
      <c r="Q1382" s="19" t="s">
        <v>965</v>
      </c>
      <c r="R1382" s="21" t="n">
        <v>46011</v>
      </c>
      <c r="S1382" s="19" t="s">
        <v>966</v>
      </c>
      <c r="T1382" s="19" t="s">
        <v>4813</v>
      </c>
      <c r="U1382" s="19" t="str">
        <f aca="false">HYPERLINK("https://macaulaylibrary.org/asset/647391428","Open")</f>
        <v>Open</v>
      </c>
      <c r="V1382" s="19"/>
    </row>
    <row r="1383" customFormat="false" ht="15" hidden="false" customHeight="false" outlineLevel="0" collapsed="false">
      <c r="A1383" s="19" t="s">
        <v>4814</v>
      </c>
      <c r="B1383" s="19" t="s">
        <v>943</v>
      </c>
      <c r="C1383" s="19" t="s">
        <v>944</v>
      </c>
      <c r="D1383" s="19" t="s">
        <v>148</v>
      </c>
      <c r="E1383" s="19" t="s">
        <v>147</v>
      </c>
      <c r="F1383" s="19" t="s">
        <v>191</v>
      </c>
      <c r="G1383" s="19" t="n">
        <v>160</v>
      </c>
      <c r="H1383" s="19" t="s">
        <v>192</v>
      </c>
      <c r="I1383" s="20" t="n">
        <v>3.942</v>
      </c>
      <c r="J1383" s="19" t="n">
        <f aca="false">IF(I1383="","",MIN(Overview!$B$8,MAX(1,CEILING(I1383/Overview!$B$7,1))))</f>
        <v>1</v>
      </c>
      <c r="K1383" s="19" t="n">
        <v>1</v>
      </c>
      <c r="L1383" s="19" t="s">
        <v>1048</v>
      </c>
      <c r="M1383" s="20"/>
      <c r="N1383" s="19"/>
      <c r="O1383" s="19"/>
      <c r="P1383" s="19" t="s">
        <v>4815</v>
      </c>
      <c r="Q1383" s="19" t="s">
        <v>4816</v>
      </c>
      <c r="R1383" s="21" t="n">
        <v>46021</v>
      </c>
      <c r="S1383" s="19" t="s">
        <v>3175</v>
      </c>
      <c r="T1383" s="19" t="s">
        <v>4817</v>
      </c>
      <c r="U1383" s="19" t="str">
        <f aca="false">HYPERLINK("https://macaulaylibrary.org/asset/647848180","Open")</f>
        <v>Open</v>
      </c>
      <c r="V1383" s="19"/>
    </row>
    <row r="1384" customFormat="false" ht="15" hidden="false" customHeight="false" outlineLevel="0" collapsed="false">
      <c r="A1384" s="19" t="s">
        <v>4818</v>
      </c>
      <c r="B1384" s="19" t="s">
        <v>943</v>
      </c>
      <c r="C1384" s="19" t="s">
        <v>944</v>
      </c>
      <c r="D1384" s="19" t="s">
        <v>148</v>
      </c>
      <c r="E1384" s="19" t="s">
        <v>147</v>
      </c>
      <c r="F1384" s="19" t="s">
        <v>191</v>
      </c>
      <c r="G1384" s="19" t="n">
        <v>160</v>
      </c>
      <c r="H1384" s="19" t="s">
        <v>192</v>
      </c>
      <c r="I1384" s="20" t="n">
        <v>12.214</v>
      </c>
      <c r="J1384" s="19" t="n">
        <f aca="false">IF(I1384="","",MIN(Overview!$B$8,MAX(1,CEILING(I1384/Overview!$B$7,1))))</f>
        <v>3</v>
      </c>
      <c r="K1384" s="19" t="n">
        <v>1</v>
      </c>
      <c r="L1384" s="19"/>
      <c r="M1384" s="20"/>
      <c r="N1384" s="19"/>
      <c r="O1384" s="19"/>
      <c r="P1384" s="19" t="s">
        <v>1386</v>
      </c>
      <c r="Q1384" s="19" t="s">
        <v>1382</v>
      </c>
      <c r="R1384" s="21" t="n">
        <v>46103</v>
      </c>
      <c r="S1384" s="19" t="s">
        <v>1387</v>
      </c>
      <c r="T1384" s="19" t="s">
        <v>4819</v>
      </c>
      <c r="U1384" s="19" t="str">
        <f aca="false">HYPERLINK("https://macaulaylibrary.org/asset/654318446","Open")</f>
        <v>Open</v>
      </c>
      <c r="V1384" s="19"/>
    </row>
    <row r="1385" customFormat="false" ht="15" hidden="false" customHeight="false" outlineLevel="0" collapsed="false">
      <c r="A1385" s="19" t="s">
        <v>4820</v>
      </c>
      <c r="B1385" s="19" t="s">
        <v>943</v>
      </c>
      <c r="C1385" s="19" t="s">
        <v>944</v>
      </c>
      <c r="D1385" s="19" t="s">
        <v>148</v>
      </c>
      <c r="E1385" s="19" t="s">
        <v>147</v>
      </c>
      <c r="F1385" s="19" t="s">
        <v>191</v>
      </c>
      <c r="G1385" s="19" t="n">
        <v>160</v>
      </c>
      <c r="H1385" s="19" t="s">
        <v>192</v>
      </c>
      <c r="I1385" s="20" t="n">
        <v>11.58</v>
      </c>
      <c r="J1385" s="19" t="n">
        <f aca="false">IF(I1385="","",MIN(Overview!$B$8,MAX(1,CEILING(I1385/Overview!$B$7,1))))</f>
        <v>3</v>
      </c>
      <c r="K1385" s="19" t="n">
        <v>1</v>
      </c>
      <c r="L1385" s="19"/>
      <c r="M1385" s="20"/>
      <c r="N1385" s="19"/>
      <c r="O1385" s="19"/>
      <c r="P1385" s="19" t="s">
        <v>4821</v>
      </c>
      <c r="Q1385" s="19" t="s">
        <v>1517</v>
      </c>
      <c r="R1385" s="21" t="n">
        <v>46106</v>
      </c>
      <c r="S1385" s="19" t="s">
        <v>4822</v>
      </c>
      <c r="T1385" s="19" t="s">
        <v>4823</v>
      </c>
      <c r="U1385" s="19" t="str">
        <f aca="false">HYPERLINK("https://macaulaylibrary.org/asset/654361338","Open")</f>
        <v>Open</v>
      </c>
      <c r="V1385" s="19"/>
    </row>
    <row r="1386" customFormat="false" ht="15" hidden="false" customHeight="false" outlineLevel="0" collapsed="false">
      <c r="A1386" s="19" t="s">
        <v>4824</v>
      </c>
      <c r="B1386" s="19" t="s">
        <v>943</v>
      </c>
      <c r="C1386" s="19" t="s">
        <v>944</v>
      </c>
      <c r="D1386" s="19" t="s">
        <v>148</v>
      </c>
      <c r="E1386" s="19" t="s">
        <v>147</v>
      </c>
      <c r="F1386" s="19" t="s">
        <v>191</v>
      </c>
      <c r="G1386" s="19" t="n">
        <v>160</v>
      </c>
      <c r="H1386" s="19" t="s">
        <v>192</v>
      </c>
      <c r="I1386" s="20" t="n">
        <v>10.812</v>
      </c>
      <c r="J1386" s="19" t="n">
        <f aca="false">IF(I1386="","",MIN(Overview!$B$8,MAX(1,CEILING(I1386/Overview!$B$7,1))))</f>
        <v>3</v>
      </c>
      <c r="K1386" s="19" t="n">
        <v>1</v>
      </c>
      <c r="L1386" s="19"/>
      <c r="M1386" s="20"/>
      <c r="N1386" s="19"/>
      <c r="O1386" s="19"/>
      <c r="P1386" s="19" t="s">
        <v>4821</v>
      </c>
      <c r="Q1386" s="19" t="s">
        <v>1517</v>
      </c>
      <c r="R1386" s="21" t="n">
        <v>46106</v>
      </c>
      <c r="S1386" s="19" t="s">
        <v>4822</v>
      </c>
      <c r="T1386" s="19" t="s">
        <v>4825</v>
      </c>
      <c r="U1386" s="19" t="str">
        <f aca="false">HYPERLINK("https://macaulaylibrary.org/asset/654361339","Open")</f>
        <v>Open</v>
      </c>
      <c r="V1386" s="19"/>
    </row>
    <row r="1387" customFormat="false" ht="15" hidden="false" customHeight="false" outlineLevel="0" collapsed="false">
      <c r="A1387" s="19" t="s">
        <v>4826</v>
      </c>
      <c r="B1387" s="19" t="s">
        <v>1005</v>
      </c>
      <c r="C1387" s="19" t="s">
        <v>944</v>
      </c>
      <c r="D1387" s="19" t="s">
        <v>647</v>
      </c>
      <c r="E1387" s="19" t="s">
        <v>147</v>
      </c>
      <c r="F1387" s="19" t="s">
        <v>850</v>
      </c>
      <c r="G1387" s="19" t="n">
        <v>162</v>
      </c>
      <c r="H1387" s="19" t="s">
        <v>851</v>
      </c>
      <c r="I1387" s="20" t="n">
        <v>84.24</v>
      </c>
      <c r="J1387" s="19" t="n">
        <f aca="false">IF(I1387="","",MIN(Overview!$B$8,MAX(1,CEILING(I1387/Overview!$B$7,1))))</f>
        <v>17</v>
      </c>
      <c r="K1387" s="19" t="n">
        <v>1</v>
      </c>
      <c r="L1387" s="19"/>
      <c r="M1387" s="20"/>
      <c r="N1387" s="19" t="s">
        <v>1006</v>
      </c>
      <c r="O1387" s="19"/>
      <c r="P1387" s="19" t="s">
        <v>2911</v>
      </c>
      <c r="Q1387" s="19" t="s">
        <v>1008</v>
      </c>
      <c r="R1387" s="21" t="n">
        <v>42580</v>
      </c>
      <c r="S1387" s="19" t="s">
        <v>1858</v>
      </c>
      <c r="T1387" s="19" t="s">
        <v>4827</v>
      </c>
      <c r="U1387" s="19" t="str">
        <f aca="false">HYPERLINK("https://xeno-canto.org/332262","Open")</f>
        <v>Open</v>
      </c>
      <c r="V1387" s="19" t="s">
        <v>4828</v>
      </c>
    </row>
    <row r="1388" customFormat="false" ht="15" hidden="false" customHeight="false" outlineLevel="0" collapsed="false">
      <c r="A1388" s="19" t="s">
        <v>4829</v>
      </c>
      <c r="B1388" s="19" t="s">
        <v>943</v>
      </c>
      <c r="C1388" s="19" t="s">
        <v>944</v>
      </c>
      <c r="D1388" s="19" t="s">
        <v>400</v>
      </c>
      <c r="E1388" s="19" t="s">
        <v>147</v>
      </c>
      <c r="F1388" s="19" t="s">
        <v>617</v>
      </c>
      <c r="G1388" s="19" t="n">
        <v>163</v>
      </c>
      <c r="H1388" s="19" t="s">
        <v>618</v>
      </c>
      <c r="I1388" s="20" t="n">
        <v>26.376</v>
      </c>
      <c r="J1388" s="19" t="n">
        <f aca="false">IF(I1388="","",MIN(Overview!$B$8,MAX(1,CEILING(I1388/Overview!$B$7,1))))</f>
        <v>6</v>
      </c>
      <c r="K1388" s="19" t="n">
        <v>1</v>
      </c>
      <c r="L1388" s="19"/>
      <c r="M1388" s="20" t="n">
        <v>3</v>
      </c>
      <c r="N1388" s="19"/>
      <c r="O1388" s="19"/>
      <c r="P1388" s="19" t="s">
        <v>1674</v>
      </c>
      <c r="Q1388" s="19" t="s">
        <v>1091</v>
      </c>
      <c r="R1388" s="21" t="n">
        <v>45843</v>
      </c>
      <c r="S1388" s="19" t="s">
        <v>1009</v>
      </c>
      <c r="T1388" s="19" t="s">
        <v>4830</v>
      </c>
      <c r="U1388" s="19" t="str">
        <f aca="false">HYPERLINK("https://macaulaylibrary.org/asset/639165049","Open")</f>
        <v>Open</v>
      </c>
      <c r="V1388" s="19"/>
    </row>
    <row r="1389" customFormat="false" ht="15" hidden="false" customHeight="false" outlineLevel="0" collapsed="false">
      <c r="A1389" s="19" t="s">
        <v>4831</v>
      </c>
      <c r="B1389" s="19" t="s">
        <v>943</v>
      </c>
      <c r="C1389" s="19" t="s">
        <v>944</v>
      </c>
      <c r="D1389" s="19" t="s">
        <v>400</v>
      </c>
      <c r="E1389" s="19" t="s">
        <v>147</v>
      </c>
      <c r="F1389" s="19" t="s">
        <v>617</v>
      </c>
      <c r="G1389" s="19" t="n">
        <v>163</v>
      </c>
      <c r="H1389" s="19" t="s">
        <v>618</v>
      </c>
      <c r="I1389" s="20" t="n">
        <v>23.381</v>
      </c>
      <c r="J1389" s="19" t="n">
        <f aca="false">IF(I1389="","",MIN(Overview!$B$8,MAX(1,CEILING(I1389/Overview!$B$7,1))))</f>
        <v>5</v>
      </c>
      <c r="K1389" s="19" t="n">
        <v>1</v>
      </c>
      <c r="L1389" s="19"/>
      <c r="M1389" s="20" t="n">
        <v>3</v>
      </c>
      <c r="N1389" s="19"/>
      <c r="O1389" s="19"/>
      <c r="P1389" s="19" t="s">
        <v>1674</v>
      </c>
      <c r="Q1389" s="19" t="s">
        <v>1091</v>
      </c>
      <c r="R1389" s="21" t="n">
        <v>45843</v>
      </c>
      <c r="S1389" s="19" t="s">
        <v>1009</v>
      </c>
      <c r="T1389" s="19" t="s">
        <v>4832</v>
      </c>
      <c r="U1389" s="19" t="str">
        <f aca="false">HYPERLINK("https://macaulaylibrary.org/asset/643660879","Open")</f>
        <v>Open</v>
      </c>
      <c r="V1389" s="19"/>
    </row>
    <row r="1390" customFormat="false" ht="15" hidden="false" customHeight="false" outlineLevel="0" collapsed="false">
      <c r="A1390" s="19" t="s">
        <v>4833</v>
      </c>
      <c r="B1390" s="19" t="s">
        <v>943</v>
      </c>
      <c r="C1390" s="19" t="s">
        <v>944</v>
      </c>
      <c r="D1390" s="19" t="s">
        <v>400</v>
      </c>
      <c r="E1390" s="19" t="s">
        <v>147</v>
      </c>
      <c r="F1390" s="19" t="s">
        <v>617</v>
      </c>
      <c r="G1390" s="19" t="n">
        <v>163</v>
      </c>
      <c r="H1390" s="19" t="s">
        <v>618</v>
      </c>
      <c r="I1390" s="20" t="n">
        <v>20.703</v>
      </c>
      <c r="J1390" s="19" t="n">
        <f aca="false">IF(I1390="","",MIN(Overview!$B$8,MAX(1,CEILING(I1390/Overview!$B$7,1))))</f>
        <v>5</v>
      </c>
      <c r="K1390" s="19" t="n">
        <v>1</v>
      </c>
      <c r="L1390" s="19"/>
      <c r="M1390" s="20" t="n">
        <v>4</v>
      </c>
      <c r="N1390" s="19"/>
      <c r="O1390" s="19"/>
      <c r="P1390" s="19" t="s">
        <v>3310</v>
      </c>
      <c r="Q1390" s="19" t="s">
        <v>990</v>
      </c>
      <c r="R1390" s="21" t="n">
        <v>46011</v>
      </c>
      <c r="S1390" s="19" t="s">
        <v>3311</v>
      </c>
      <c r="T1390" s="19" t="s">
        <v>4834</v>
      </c>
      <c r="U1390" s="19" t="str">
        <f aca="false">HYPERLINK("https://macaulaylibrary.org/asset/647571356","Open")</f>
        <v>Open</v>
      </c>
      <c r="V1390" s="19"/>
    </row>
    <row r="1391" customFormat="false" ht="15" hidden="false" customHeight="false" outlineLevel="0" collapsed="false">
      <c r="A1391" s="19" t="s">
        <v>4835</v>
      </c>
      <c r="B1391" s="19" t="s">
        <v>943</v>
      </c>
      <c r="C1391" s="19" t="s">
        <v>944</v>
      </c>
      <c r="D1391" s="19" t="s">
        <v>400</v>
      </c>
      <c r="E1391" s="19" t="s">
        <v>147</v>
      </c>
      <c r="F1391" s="19" t="s">
        <v>725</v>
      </c>
      <c r="G1391" s="19" t="n">
        <v>164</v>
      </c>
      <c r="H1391" s="19" t="s">
        <v>726</v>
      </c>
      <c r="I1391" s="20" t="n">
        <v>130.836</v>
      </c>
      <c r="J1391" s="19" t="n">
        <f aca="false">IF(I1391="","",MIN(Overview!$B$8,MAX(1,CEILING(I1391/Overview!$B$7,1))))</f>
        <v>27</v>
      </c>
      <c r="K1391" s="19" t="n">
        <v>1</v>
      </c>
      <c r="L1391" s="19"/>
      <c r="M1391" s="20" t="n">
        <v>2</v>
      </c>
      <c r="N1391" s="19"/>
      <c r="O1391" s="19"/>
      <c r="P1391" s="19" t="s">
        <v>2600</v>
      </c>
      <c r="Q1391" s="19" t="s">
        <v>980</v>
      </c>
      <c r="R1391" s="21" t="n">
        <v>34124</v>
      </c>
      <c r="S1391" s="19" t="s">
        <v>986</v>
      </c>
      <c r="T1391" s="19" t="s">
        <v>4836</v>
      </c>
      <c r="U1391" s="19" t="str">
        <f aca="false">HYPERLINK("https://macaulaylibrary.org/asset/209473","Open")</f>
        <v>Open</v>
      </c>
      <c r="V1391" s="19"/>
    </row>
    <row r="1392" customFormat="false" ht="15" hidden="false" customHeight="false" outlineLevel="0" collapsed="false">
      <c r="A1392" s="19" t="s">
        <v>4837</v>
      </c>
      <c r="B1392" s="19" t="s">
        <v>943</v>
      </c>
      <c r="C1392" s="19" t="s">
        <v>944</v>
      </c>
      <c r="D1392" s="19" t="s">
        <v>148</v>
      </c>
      <c r="E1392" s="19" t="s">
        <v>147</v>
      </c>
      <c r="F1392" s="19" t="s">
        <v>162</v>
      </c>
      <c r="G1392" s="19" t="n">
        <v>165</v>
      </c>
      <c r="H1392" s="19" t="s">
        <v>163</v>
      </c>
      <c r="I1392" s="20" t="n">
        <v>125.782</v>
      </c>
      <c r="J1392" s="19" t="n">
        <f aca="false">IF(I1392="","",MIN(Overview!$B$8,MAX(1,CEILING(I1392/Overview!$B$7,1))))</f>
        <v>26</v>
      </c>
      <c r="K1392" s="19" t="n">
        <v>1</v>
      </c>
      <c r="L1392" s="19"/>
      <c r="M1392" s="20" t="n">
        <v>3</v>
      </c>
      <c r="N1392" s="19"/>
      <c r="O1392" s="19"/>
      <c r="P1392" s="19" t="s">
        <v>4288</v>
      </c>
      <c r="Q1392" s="19" t="s">
        <v>1021</v>
      </c>
      <c r="R1392" s="21" t="n">
        <v>35864</v>
      </c>
      <c r="S1392" s="19" t="s">
        <v>1534</v>
      </c>
      <c r="T1392" s="19" t="s">
        <v>4838</v>
      </c>
      <c r="U1392" s="19" t="str">
        <f aca="false">HYPERLINK("https://macaulaylibrary.org/asset/102310921","Open")</f>
        <v>Open</v>
      </c>
      <c r="V1392" s="19"/>
    </row>
    <row r="1393" customFormat="false" ht="15" hidden="false" customHeight="false" outlineLevel="0" collapsed="false">
      <c r="A1393" s="19" t="s">
        <v>4839</v>
      </c>
      <c r="B1393" s="19" t="s">
        <v>943</v>
      </c>
      <c r="C1393" s="19" t="s">
        <v>944</v>
      </c>
      <c r="D1393" s="19" t="s">
        <v>148</v>
      </c>
      <c r="E1393" s="19" t="s">
        <v>147</v>
      </c>
      <c r="F1393" s="19" t="s">
        <v>162</v>
      </c>
      <c r="G1393" s="19" t="n">
        <v>165</v>
      </c>
      <c r="H1393" s="19" t="s">
        <v>163</v>
      </c>
      <c r="I1393" s="20" t="n">
        <v>11.064</v>
      </c>
      <c r="J1393" s="19" t="n">
        <f aca="false">IF(I1393="","",MIN(Overview!$B$8,MAX(1,CEILING(I1393/Overview!$B$7,1))))</f>
        <v>3</v>
      </c>
      <c r="K1393" s="19" t="n">
        <v>1</v>
      </c>
      <c r="L1393" s="19"/>
      <c r="M1393" s="20" t="n">
        <v>1.5</v>
      </c>
      <c r="N1393" s="19"/>
      <c r="O1393" s="19"/>
      <c r="P1393" s="19" t="s">
        <v>2916</v>
      </c>
      <c r="Q1393" s="19" t="s">
        <v>2235</v>
      </c>
      <c r="R1393" s="21" t="n">
        <v>43469</v>
      </c>
      <c r="S1393" s="19" t="s">
        <v>1484</v>
      </c>
      <c r="T1393" s="19" t="s">
        <v>4840</v>
      </c>
      <c r="U1393" s="19" t="str">
        <f aca="false">HYPERLINK("https://macaulaylibrary.org/asset/143072471","Open")</f>
        <v>Open</v>
      </c>
      <c r="V1393" s="19"/>
    </row>
    <row r="1394" customFormat="false" ht="15" hidden="false" customHeight="false" outlineLevel="0" collapsed="false">
      <c r="A1394" s="19" t="s">
        <v>4841</v>
      </c>
      <c r="B1394" s="19" t="s">
        <v>943</v>
      </c>
      <c r="C1394" s="19" t="s">
        <v>944</v>
      </c>
      <c r="D1394" s="19" t="s">
        <v>148</v>
      </c>
      <c r="E1394" s="19" t="s">
        <v>147</v>
      </c>
      <c r="F1394" s="19" t="s">
        <v>162</v>
      </c>
      <c r="G1394" s="19" t="n">
        <v>165</v>
      </c>
      <c r="H1394" s="19" t="s">
        <v>163</v>
      </c>
      <c r="I1394" s="20" t="n">
        <v>16</v>
      </c>
      <c r="J1394" s="19" t="n">
        <f aca="false">IF(I1394="","",MIN(Overview!$B$8,MAX(1,CEILING(I1394/Overview!$B$7,1))))</f>
        <v>4</v>
      </c>
      <c r="K1394" s="19" t="n">
        <v>1</v>
      </c>
      <c r="L1394" s="19"/>
      <c r="M1394" s="20" t="n">
        <v>2</v>
      </c>
      <c r="N1394" s="19"/>
      <c r="O1394" s="19"/>
      <c r="P1394" s="19" t="s">
        <v>974</v>
      </c>
      <c r="Q1394" s="19" t="s">
        <v>975</v>
      </c>
      <c r="R1394" s="21" t="n">
        <v>43666</v>
      </c>
      <c r="S1394" s="19" t="s">
        <v>976</v>
      </c>
      <c r="T1394" s="19" t="s">
        <v>4842</v>
      </c>
      <c r="U1394" s="19" t="str">
        <f aca="false">HYPERLINK("https://macaulaylibrary.org/asset/179452581","Open")</f>
        <v>Open</v>
      </c>
      <c r="V1394" s="19"/>
    </row>
    <row r="1395" customFormat="false" ht="15" hidden="false" customHeight="false" outlineLevel="0" collapsed="false">
      <c r="A1395" s="19" t="s">
        <v>4843</v>
      </c>
      <c r="B1395" s="19" t="s">
        <v>943</v>
      </c>
      <c r="C1395" s="19" t="s">
        <v>944</v>
      </c>
      <c r="D1395" s="19" t="s">
        <v>148</v>
      </c>
      <c r="E1395" s="19" t="s">
        <v>147</v>
      </c>
      <c r="F1395" s="19" t="s">
        <v>162</v>
      </c>
      <c r="G1395" s="19" t="n">
        <v>165</v>
      </c>
      <c r="H1395" s="19" t="s">
        <v>163</v>
      </c>
      <c r="I1395" s="20" t="n">
        <v>23.403</v>
      </c>
      <c r="J1395" s="19" t="n">
        <f aca="false">IF(I1395="","",MIN(Overview!$B$8,MAX(1,CEILING(I1395/Overview!$B$7,1))))</f>
        <v>5</v>
      </c>
      <c r="K1395" s="19" t="n">
        <v>1</v>
      </c>
      <c r="L1395" s="19"/>
      <c r="M1395" s="20" t="n">
        <v>2</v>
      </c>
      <c r="N1395" s="19"/>
      <c r="O1395" s="19"/>
      <c r="P1395" s="19" t="s">
        <v>3195</v>
      </c>
      <c r="Q1395" s="19" t="s">
        <v>965</v>
      </c>
      <c r="R1395" s="21" t="n">
        <v>43813</v>
      </c>
      <c r="S1395" s="19" t="s">
        <v>3196</v>
      </c>
      <c r="T1395" s="19" t="s">
        <v>4844</v>
      </c>
      <c r="U1395" s="19" t="str">
        <f aca="false">HYPERLINK("https://macaulaylibrary.org/asset/193418581","Open")</f>
        <v>Open</v>
      </c>
      <c r="V1395" s="19"/>
    </row>
    <row r="1396" customFormat="false" ht="15" hidden="false" customHeight="false" outlineLevel="0" collapsed="false">
      <c r="A1396" s="19" t="s">
        <v>4845</v>
      </c>
      <c r="B1396" s="19" t="s">
        <v>943</v>
      </c>
      <c r="C1396" s="19" t="s">
        <v>944</v>
      </c>
      <c r="D1396" s="19" t="s">
        <v>148</v>
      </c>
      <c r="E1396" s="19" t="s">
        <v>147</v>
      </c>
      <c r="F1396" s="19" t="s">
        <v>162</v>
      </c>
      <c r="G1396" s="19" t="n">
        <v>165</v>
      </c>
      <c r="H1396" s="19" t="s">
        <v>163</v>
      </c>
      <c r="I1396" s="20" t="n">
        <v>24.619</v>
      </c>
      <c r="J1396" s="19" t="n">
        <f aca="false">IF(I1396="","",MIN(Overview!$B$8,MAX(1,CEILING(I1396/Overview!$B$7,1))))</f>
        <v>5</v>
      </c>
      <c r="K1396" s="19" t="n">
        <v>1</v>
      </c>
      <c r="L1396" s="19"/>
      <c r="M1396" s="20" t="n">
        <v>3</v>
      </c>
      <c r="N1396" s="19"/>
      <c r="O1396" s="19"/>
      <c r="P1396" s="19" t="s">
        <v>3195</v>
      </c>
      <c r="Q1396" s="19" t="s">
        <v>965</v>
      </c>
      <c r="R1396" s="21" t="n">
        <v>43813</v>
      </c>
      <c r="S1396" s="19" t="s">
        <v>3196</v>
      </c>
      <c r="T1396" s="19" t="s">
        <v>4846</v>
      </c>
      <c r="U1396" s="19" t="str">
        <f aca="false">HYPERLINK("https://macaulaylibrary.org/asset/193418641","Open")</f>
        <v>Open</v>
      </c>
      <c r="V1396" s="19"/>
    </row>
    <row r="1397" customFormat="false" ht="15" hidden="false" customHeight="false" outlineLevel="0" collapsed="false">
      <c r="A1397" s="19" t="s">
        <v>4847</v>
      </c>
      <c r="B1397" s="19" t="s">
        <v>943</v>
      </c>
      <c r="C1397" s="19" t="s">
        <v>944</v>
      </c>
      <c r="D1397" s="19" t="s">
        <v>148</v>
      </c>
      <c r="E1397" s="19" t="s">
        <v>147</v>
      </c>
      <c r="F1397" s="19" t="s">
        <v>162</v>
      </c>
      <c r="G1397" s="19" t="n">
        <v>165</v>
      </c>
      <c r="H1397" s="19" t="s">
        <v>163</v>
      </c>
      <c r="I1397" s="20" t="n">
        <v>248.126</v>
      </c>
      <c r="J1397" s="19" t="n">
        <f aca="false">IF(I1397="","",MIN(Overview!$B$8,MAX(1,CEILING(I1397/Overview!$B$7,1))))</f>
        <v>50</v>
      </c>
      <c r="K1397" s="19" t="n">
        <v>1</v>
      </c>
      <c r="L1397" s="19"/>
      <c r="M1397" s="20" t="n">
        <v>2</v>
      </c>
      <c r="N1397" s="19"/>
      <c r="O1397" s="19" t="s">
        <v>184</v>
      </c>
      <c r="P1397" s="19" t="s">
        <v>1730</v>
      </c>
      <c r="Q1397" s="19" t="s">
        <v>980</v>
      </c>
      <c r="R1397" s="21" t="n">
        <v>32558</v>
      </c>
      <c r="S1397" s="19" t="s">
        <v>1036</v>
      </c>
      <c r="T1397" s="19" t="s">
        <v>4848</v>
      </c>
      <c r="U1397" s="19" t="str">
        <f aca="false">HYPERLINK("https://macaulaylibrary.org/asset/215408","Open")</f>
        <v>Open</v>
      </c>
      <c r="V1397" s="19"/>
    </row>
    <row r="1398" customFormat="false" ht="15" hidden="false" customHeight="false" outlineLevel="0" collapsed="false">
      <c r="A1398" s="19" t="s">
        <v>4849</v>
      </c>
      <c r="B1398" s="19" t="s">
        <v>943</v>
      </c>
      <c r="C1398" s="19" t="s">
        <v>944</v>
      </c>
      <c r="D1398" s="19" t="s">
        <v>148</v>
      </c>
      <c r="E1398" s="19" t="s">
        <v>147</v>
      </c>
      <c r="F1398" s="19" t="s">
        <v>162</v>
      </c>
      <c r="G1398" s="19" t="n">
        <v>165</v>
      </c>
      <c r="H1398" s="19" t="s">
        <v>163</v>
      </c>
      <c r="I1398" s="20" t="n">
        <v>1476.388</v>
      </c>
      <c r="J1398" s="19" t="n">
        <f aca="false">IF(I1398="","",MIN(Overview!$B$8,MAX(1,CEILING(I1398/Overview!$B$7,1))))</f>
        <v>120</v>
      </c>
      <c r="K1398" s="19" t="n">
        <v>1</v>
      </c>
      <c r="L1398" s="19"/>
      <c r="M1398" s="20" t="n">
        <v>2</v>
      </c>
      <c r="N1398" s="19"/>
      <c r="O1398" s="19" t="s">
        <v>4850</v>
      </c>
      <c r="P1398" s="19" t="s">
        <v>1730</v>
      </c>
      <c r="Q1398" s="19" t="s">
        <v>980</v>
      </c>
      <c r="R1398" s="21" t="n">
        <v>32558</v>
      </c>
      <c r="S1398" s="19" t="s">
        <v>3175</v>
      </c>
      <c r="T1398" s="19" t="s">
        <v>4851</v>
      </c>
      <c r="U1398" s="19" t="str">
        <f aca="false">HYPERLINK("https://macaulaylibrary.org/asset/215409","Open")</f>
        <v>Open</v>
      </c>
      <c r="V1398" s="19"/>
    </row>
    <row r="1399" customFormat="false" ht="15" hidden="false" customHeight="false" outlineLevel="0" collapsed="false">
      <c r="A1399" s="19" t="s">
        <v>4852</v>
      </c>
      <c r="B1399" s="19" t="s">
        <v>943</v>
      </c>
      <c r="C1399" s="19" t="s">
        <v>944</v>
      </c>
      <c r="D1399" s="19" t="s">
        <v>148</v>
      </c>
      <c r="E1399" s="19" t="s">
        <v>147</v>
      </c>
      <c r="F1399" s="19" t="s">
        <v>162</v>
      </c>
      <c r="G1399" s="19" t="n">
        <v>165</v>
      </c>
      <c r="H1399" s="19" t="s">
        <v>163</v>
      </c>
      <c r="I1399" s="20" t="n">
        <v>409.631</v>
      </c>
      <c r="J1399" s="19" t="n">
        <f aca="false">IF(I1399="","",MIN(Overview!$B$8,MAX(1,CEILING(I1399/Overview!$B$7,1))))</f>
        <v>82</v>
      </c>
      <c r="K1399" s="19" t="n">
        <v>1</v>
      </c>
      <c r="L1399" s="19"/>
      <c r="M1399" s="20" t="n">
        <v>2</v>
      </c>
      <c r="N1399" s="19"/>
      <c r="O1399" s="19"/>
      <c r="P1399" s="19" t="s">
        <v>1549</v>
      </c>
      <c r="Q1399" s="19" t="s">
        <v>980</v>
      </c>
      <c r="R1399" s="21" t="n">
        <v>32559</v>
      </c>
      <c r="S1399" s="19" t="s">
        <v>1137</v>
      </c>
      <c r="T1399" s="19" t="s">
        <v>4853</v>
      </c>
      <c r="U1399" s="19" t="str">
        <f aca="false">HYPERLINK("https://macaulaylibrary.org/asset/215436","Open")</f>
        <v>Open</v>
      </c>
      <c r="V1399" s="19"/>
    </row>
    <row r="1400" customFormat="false" ht="15" hidden="false" customHeight="false" outlineLevel="0" collapsed="false">
      <c r="A1400" s="19" t="s">
        <v>4854</v>
      </c>
      <c r="B1400" s="19" t="s">
        <v>943</v>
      </c>
      <c r="C1400" s="19" t="s">
        <v>944</v>
      </c>
      <c r="D1400" s="19" t="s">
        <v>148</v>
      </c>
      <c r="E1400" s="19" t="s">
        <v>147</v>
      </c>
      <c r="F1400" s="19" t="s">
        <v>162</v>
      </c>
      <c r="G1400" s="19" t="n">
        <v>165</v>
      </c>
      <c r="H1400" s="19" t="s">
        <v>163</v>
      </c>
      <c r="I1400" s="20" t="n">
        <v>42.873</v>
      </c>
      <c r="J1400" s="19" t="n">
        <f aca="false">IF(I1400="","",MIN(Overview!$B$8,MAX(1,CEILING(I1400/Overview!$B$7,1))))</f>
        <v>9</v>
      </c>
      <c r="K1400" s="19" t="n">
        <v>1</v>
      </c>
      <c r="L1400" s="19"/>
      <c r="M1400" s="20" t="n">
        <v>2</v>
      </c>
      <c r="N1400" s="19"/>
      <c r="O1400" s="19"/>
      <c r="P1400" s="19" t="s">
        <v>1587</v>
      </c>
      <c r="Q1400" s="19" t="s">
        <v>1136</v>
      </c>
      <c r="R1400" s="21" t="n">
        <v>29733</v>
      </c>
      <c r="S1400" s="19" t="s">
        <v>2088</v>
      </c>
      <c r="T1400" s="19" t="s">
        <v>4855</v>
      </c>
      <c r="U1400" s="19" t="str">
        <f aca="false">HYPERLINK("https://macaulaylibrary.org/asset/28123","Open")</f>
        <v>Open</v>
      </c>
      <c r="V1400" s="19"/>
    </row>
    <row r="1401" customFormat="false" ht="15" hidden="false" customHeight="false" outlineLevel="0" collapsed="false">
      <c r="A1401" s="19" t="s">
        <v>4856</v>
      </c>
      <c r="B1401" s="19" t="s">
        <v>943</v>
      </c>
      <c r="C1401" s="19" t="s">
        <v>944</v>
      </c>
      <c r="D1401" s="19" t="s">
        <v>148</v>
      </c>
      <c r="E1401" s="19" t="s">
        <v>147</v>
      </c>
      <c r="F1401" s="19" t="s">
        <v>162</v>
      </c>
      <c r="G1401" s="19" t="n">
        <v>165</v>
      </c>
      <c r="H1401" s="19" t="s">
        <v>163</v>
      </c>
      <c r="I1401" s="20" t="n">
        <v>43.458</v>
      </c>
      <c r="J1401" s="19" t="n">
        <f aca="false">IF(I1401="","",MIN(Overview!$B$8,MAX(1,CEILING(I1401/Overview!$B$7,1))))</f>
        <v>9</v>
      </c>
      <c r="K1401" s="19" t="n">
        <v>1</v>
      </c>
      <c r="L1401" s="19"/>
      <c r="M1401" s="20" t="n">
        <v>2</v>
      </c>
      <c r="N1401" s="19"/>
      <c r="O1401" s="19" t="s">
        <v>243</v>
      </c>
      <c r="P1401" s="19" t="s">
        <v>1883</v>
      </c>
      <c r="Q1401" s="19" t="s">
        <v>1136</v>
      </c>
      <c r="R1401" s="21" t="n">
        <v>29734</v>
      </c>
      <c r="S1401" s="19" t="s">
        <v>1009</v>
      </c>
      <c r="T1401" s="19" t="s">
        <v>4857</v>
      </c>
      <c r="U1401" s="19" t="str">
        <f aca="false">HYPERLINK("https://macaulaylibrary.org/asset/28124","Open")</f>
        <v>Open</v>
      </c>
      <c r="V1401" s="19"/>
    </row>
    <row r="1402" customFormat="false" ht="15" hidden="false" customHeight="false" outlineLevel="0" collapsed="false">
      <c r="A1402" s="19" t="s">
        <v>4858</v>
      </c>
      <c r="B1402" s="19" t="s">
        <v>943</v>
      </c>
      <c r="C1402" s="19" t="s">
        <v>944</v>
      </c>
      <c r="D1402" s="19" t="s">
        <v>148</v>
      </c>
      <c r="E1402" s="19" t="s">
        <v>147</v>
      </c>
      <c r="F1402" s="19" t="s">
        <v>162</v>
      </c>
      <c r="G1402" s="19" t="n">
        <v>165</v>
      </c>
      <c r="H1402" s="19" t="s">
        <v>163</v>
      </c>
      <c r="I1402" s="20" t="n">
        <v>28.131</v>
      </c>
      <c r="J1402" s="19" t="n">
        <f aca="false">IF(I1402="","",MIN(Overview!$B$8,MAX(1,CEILING(I1402/Overview!$B$7,1))))</f>
        <v>6</v>
      </c>
      <c r="K1402" s="19" t="n">
        <v>1</v>
      </c>
      <c r="L1402" s="19"/>
      <c r="M1402" s="20" t="n">
        <v>3.5</v>
      </c>
      <c r="N1402" s="19"/>
      <c r="O1402" s="19"/>
      <c r="P1402" s="19" t="s">
        <v>4859</v>
      </c>
      <c r="Q1402" s="19" t="s">
        <v>1408</v>
      </c>
      <c r="R1402" s="21" t="n">
        <v>31807</v>
      </c>
      <c r="S1402" s="19" t="s">
        <v>1009</v>
      </c>
      <c r="T1402" s="19" t="s">
        <v>4860</v>
      </c>
      <c r="U1402" s="19" t="str">
        <f aca="false">HYPERLINK("https://macaulaylibrary.org/asset/336563291","Open")</f>
        <v>Open</v>
      </c>
      <c r="V1402" s="19"/>
    </row>
    <row r="1403" customFormat="false" ht="15" hidden="false" customHeight="false" outlineLevel="0" collapsed="false">
      <c r="A1403" s="19" t="s">
        <v>4861</v>
      </c>
      <c r="B1403" s="19" t="s">
        <v>943</v>
      </c>
      <c r="C1403" s="19" t="s">
        <v>944</v>
      </c>
      <c r="D1403" s="19" t="s">
        <v>148</v>
      </c>
      <c r="E1403" s="19" t="s">
        <v>147</v>
      </c>
      <c r="F1403" s="19" t="s">
        <v>162</v>
      </c>
      <c r="G1403" s="19" t="n">
        <v>165</v>
      </c>
      <c r="H1403" s="19" t="s">
        <v>163</v>
      </c>
      <c r="I1403" s="20" t="n">
        <v>24.149</v>
      </c>
      <c r="J1403" s="19" t="n">
        <f aca="false">IF(I1403="","",MIN(Overview!$B$8,MAX(1,CEILING(I1403/Overview!$B$7,1))))</f>
        <v>5</v>
      </c>
      <c r="K1403" s="19" t="n">
        <v>1</v>
      </c>
      <c r="L1403" s="19"/>
      <c r="M1403" s="20" t="n">
        <v>1</v>
      </c>
      <c r="N1403" s="19"/>
      <c r="O1403" s="19"/>
      <c r="P1403" s="19" t="s">
        <v>4862</v>
      </c>
      <c r="Q1403" s="19" t="s">
        <v>1148</v>
      </c>
      <c r="R1403" s="21" t="n">
        <v>44598</v>
      </c>
      <c r="S1403" s="19" t="s">
        <v>4863</v>
      </c>
      <c r="T1403" s="19" t="s">
        <v>4864</v>
      </c>
      <c r="U1403" s="19" t="str">
        <f aca="false">HYPERLINK("https://macaulaylibrary.org/asset/417110801","Open")</f>
        <v>Open</v>
      </c>
      <c r="V1403" s="19"/>
    </row>
    <row r="1404" customFormat="false" ht="15" hidden="false" customHeight="false" outlineLevel="0" collapsed="false">
      <c r="A1404" s="19" t="s">
        <v>4865</v>
      </c>
      <c r="B1404" s="19" t="s">
        <v>943</v>
      </c>
      <c r="C1404" s="19" t="s">
        <v>944</v>
      </c>
      <c r="D1404" s="19" t="s">
        <v>148</v>
      </c>
      <c r="E1404" s="19" t="s">
        <v>147</v>
      </c>
      <c r="F1404" s="19" t="s">
        <v>162</v>
      </c>
      <c r="G1404" s="19" t="n">
        <v>165</v>
      </c>
      <c r="H1404" s="19" t="s">
        <v>163</v>
      </c>
      <c r="I1404" s="20" t="n">
        <v>20.332</v>
      </c>
      <c r="J1404" s="19" t="n">
        <f aca="false">IF(I1404="","",MIN(Overview!$B$8,MAX(1,CEILING(I1404/Overview!$B$7,1))))</f>
        <v>5</v>
      </c>
      <c r="K1404" s="19" t="n">
        <v>1</v>
      </c>
      <c r="L1404" s="19"/>
      <c r="M1404" s="20" t="n">
        <v>3</v>
      </c>
      <c r="N1404" s="19"/>
      <c r="O1404" s="19"/>
      <c r="P1404" s="19" t="s">
        <v>4866</v>
      </c>
      <c r="Q1404" s="19" t="s">
        <v>4773</v>
      </c>
      <c r="R1404" s="21" t="n">
        <v>44701</v>
      </c>
      <c r="S1404" s="19" t="s">
        <v>1051</v>
      </c>
      <c r="T1404" s="19" t="s">
        <v>4867</v>
      </c>
      <c r="U1404" s="19" t="str">
        <f aca="false">HYPERLINK("https://macaulaylibrary.org/asset/455551011","Open")</f>
        <v>Open</v>
      </c>
      <c r="V1404" s="19"/>
    </row>
    <row r="1405" customFormat="false" ht="15" hidden="false" customHeight="false" outlineLevel="0" collapsed="false">
      <c r="A1405" s="19" t="s">
        <v>4868</v>
      </c>
      <c r="B1405" s="19" t="s">
        <v>943</v>
      </c>
      <c r="C1405" s="19" t="s">
        <v>944</v>
      </c>
      <c r="D1405" s="19" t="s">
        <v>148</v>
      </c>
      <c r="E1405" s="19" t="s">
        <v>147</v>
      </c>
      <c r="F1405" s="19" t="s">
        <v>162</v>
      </c>
      <c r="G1405" s="19" t="n">
        <v>165</v>
      </c>
      <c r="H1405" s="19" t="s">
        <v>163</v>
      </c>
      <c r="I1405" s="20" t="n">
        <v>15.398</v>
      </c>
      <c r="J1405" s="19" t="n">
        <f aca="false">IF(I1405="","",MIN(Overview!$B$8,MAX(1,CEILING(I1405/Overview!$B$7,1))))</f>
        <v>4</v>
      </c>
      <c r="K1405" s="19" t="n">
        <v>1</v>
      </c>
      <c r="L1405" s="19"/>
      <c r="M1405" s="20"/>
      <c r="N1405" s="19"/>
      <c r="O1405" s="19"/>
      <c r="P1405" s="19" t="s">
        <v>1887</v>
      </c>
      <c r="Q1405" s="19" t="s">
        <v>1888</v>
      </c>
      <c r="R1405" s="21" t="n">
        <v>44643</v>
      </c>
      <c r="S1405" s="19" t="s">
        <v>1889</v>
      </c>
      <c r="T1405" s="19" t="s">
        <v>4869</v>
      </c>
      <c r="U1405" s="19" t="str">
        <f aca="false">HYPERLINK("https://macaulaylibrary.org/asset/462751491","Open")</f>
        <v>Open</v>
      </c>
      <c r="V1405" s="19"/>
    </row>
    <row r="1406" customFormat="false" ht="15" hidden="false" customHeight="false" outlineLevel="0" collapsed="false">
      <c r="A1406" s="19" t="s">
        <v>4870</v>
      </c>
      <c r="B1406" s="19" t="s">
        <v>943</v>
      </c>
      <c r="C1406" s="19" t="s">
        <v>944</v>
      </c>
      <c r="D1406" s="19" t="s">
        <v>148</v>
      </c>
      <c r="E1406" s="19" t="s">
        <v>147</v>
      </c>
      <c r="F1406" s="19" t="s">
        <v>162</v>
      </c>
      <c r="G1406" s="19" t="n">
        <v>165</v>
      </c>
      <c r="H1406" s="19" t="s">
        <v>163</v>
      </c>
      <c r="I1406" s="20" t="n">
        <v>14.802</v>
      </c>
      <c r="J1406" s="19" t="n">
        <f aca="false">IF(I1406="","",MIN(Overview!$B$8,MAX(1,CEILING(I1406/Overview!$B$7,1))))</f>
        <v>3</v>
      </c>
      <c r="K1406" s="19" t="n">
        <v>1</v>
      </c>
      <c r="L1406" s="19"/>
      <c r="M1406" s="20"/>
      <c r="N1406" s="19"/>
      <c r="O1406" s="19"/>
      <c r="P1406" s="19" t="s">
        <v>1426</v>
      </c>
      <c r="Q1406" s="19" t="s">
        <v>1204</v>
      </c>
      <c r="R1406" s="21" t="n">
        <v>44611</v>
      </c>
      <c r="S1406" s="19" t="s">
        <v>1259</v>
      </c>
      <c r="T1406" s="19" t="s">
        <v>4871</v>
      </c>
      <c r="U1406" s="19" t="str">
        <f aca="false">HYPERLINK("https://macaulaylibrary.org/asset/531228861","Open")</f>
        <v>Open</v>
      </c>
      <c r="V1406" s="19"/>
    </row>
    <row r="1407" customFormat="false" ht="15" hidden="false" customHeight="false" outlineLevel="0" collapsed="false">
      <c r="A1407" s="19" t="s">
        <v>4872</v>
      </c>
      <c r="B1407" s="19" t="s">
        <v>943</v>
      </c>
      <c r="C1407" s="19" t="s">
        <v>944</v>
      </c>
      <c r="D1407" s="19" t="s">
        <v>148</v>
      </c>
      <c r="E1407" s="19" t="s">
        <v>147</v>
      </c>
      <c r="F1407" s="19" t="s">
        <v>162</v>
      </c>
      <c r="G1407" s="19" t="n">
        <v>165</v>
      </c>
      <c r="H1407" s="19" t="s">
        <v>163</v>
      </c>
      <c r="I1407" s="20" t="n">
        <v>26.935</v>
      </c>
      <c r="J1407" s="19" t="n">
        <f aca="false">IF(I1407="","",MIN(Overview!$B$8,MAX(1,CEILING(I1407/Overview!$B$7,1))))</f>
        <v>6</v>
      </c>
      <c r="K1407" s="19" t="n">
        <v>1</v>
      </c>
      <c r="L1407" s="19"/>
      <c r="M1407" s="20" t="n">
        <v>3</v>
      </c>
      <c r="N1407" s="19"/>
      <c r="O1407" s="19"/>
      <c r="P1407" s="19" t="s">
        <v>1984</v>
      </c>
      <c r="Q1407" s="19" t="s">
        <v>1985</v>
      </c>
      <c r="R1407" s="21" t="n">
        <v>44874</v>
      </c>
      <c r="S1407" s="19" t="s">
        <v>1986</v>
      </c>
      <c r="T1407" s="19" t="s">
        <v>4873</v>
      </c>
      <c r="U1407" s="19" t="str">
        <f aca="false">HYPERLINK("https://macaulaylibrary.org/asset/540259751","Open")</f>
        <v>Open</v>
      </c>
      <c r="V1407" s="19"/>
    </row>
    <row r="1408" customFormat="false" ht="15" hidden="false" customHeight="false" outlineLevel="0" collapsed="false">
      <c r="A1408" s="19" t="s">
        <v>4874</v>
      </c>
      <c r="B1408" s="19" t="s">
        <v>943</v>
      </c>
      <c r="C1408" s="19" t="s">
        <v>944</v>
      </c>
      <c r="D1408" s="19" t="s">
        <v>148</v>
      </c>
      <c r="E1408" s="19" t="s">
        <v>147</v>
      </c>
      <c r="F1408" s="19" t="s">
        <v>162</v>
      </c>
      <c r="G1408" s="19" t="n">
        <v>165</v>
      </c>
      <c r="H1408" s="19" t="s">
        <v>163</v>
      </c>
      <c r="I1408" s="20" t="n">
        <v>39.456</v>
      </c>
      <c r="J1408" s="19" t="n">
        <f aca="false">IF(I1408="","",MIN(Overview!$B$8,MAX(1,CEILING(I1408/Overview!$B$7,1))))</f>
        <v>8</v>
      </c>
      <c r="K1408" s="19" t="n">
        <v>1</v>
      </c>
      <c r="L1408" s="19"/>
      <c r="M1408" s="20" t="n">
        <v>3</v>
      </c>
      <c r="N1408" s="19"/>
      <c r="O1408" s="19"/>
      <c r="P1408" s="19" t="s">
        <v>4875</v>
      </c>
      <c r="Q1408" s="19" t="s">
        <v>1990</v>
      </c>
      <c r="R1408" s="21" t="n">
        <v>44999</v>
      </c>
      <c r="S1408" s="19" t="s">
        <v>4876</v>
      </c>
      <c r="T1408" s="19" t="s">
        <v>4877</v>
      </c>
      <c r="U1408" s="19" t="str">
        <f aca="false">HYPERLINK("https://macaulaylibrary.org/asset/552846171","Open")</f>
        <v>Open</v>
      </c>
      <c r="V1408" s="19"/>
    </row>
    <row r="1409" customFormat="false" ht="15" hidden="false" customHeight="false" outlineLevel="0" collapsed="false">
      <c r="A1409" s="19" t="s">
        <v>4878</v>
      </c>
      <c r="B1409" s="19" t="s">
        <v>943</v>
      </c>
      <c r="C1409" s="19" t="s">
        <v>944</v>
      </c>
      <c r="D1409" s="19" t="s">
        <v>148</v>
      </c>
      <c r="E1409" s="19" t="s">
        <v>147</v>
      </c>
      <c r="F1409" s="19" t="s">
        <v>162</v>
      </c>
      <c r="G1409" s="19" t="n">
        <v>165</v>
      </c>
      <c r="H1409" s="19" t="s">
        <v>163</v>
      </c>
      <c r="I1409" s="20" t="n">
        <v>9.651</v>
      </c>
      <c r="J1409" s="19" t="n">
        <f aca="false">IF(I1409="","",MIN(Overview!$B$8,MAX(1,CEILING(I1409/Overview!$B$7,1))))</f>
        <v>2</v>
      </c>
      <c r="K1409" s="19" t="n">
        <v>1</v>
      </c>
      <c r="L1409" s="19"/>
      <c r="M1409" s="20" t="n">
        <v>2</v>
      </c>
      <c r="N1409" s="19"/>
      <c r="O1409" s="19"/>
      <c r="P1409" s="19" t="s">
        <v>1170</v>
      </c>
      <c r="Q1409" s="19" t="s">
        <v>1166</v>
      </c>
      <c r="R1409" s="21" t="n">
        <v>44900</v>
      </c>
      <c r="S1409" s="19" t="s">
        <v>1092</v>
      </c>
      <c r="T1409" s="19" t="s">
        <v>4879</v>
      </c>
      <c r="U1409" s="19" t="str">
        <f aca="false">HYPERLINK("https://macaulaylibrary.org/asset/597933301","Open")</f>
        <v>Open</v>
      </c>
      <c r="V1409" s="19"/>
    </row>
    <row r="1410" customFormat="false" ht="15" hidden="false" customHeight="false" outlineLevel="0" collapsed="false">
      <c r="A1410" s="19" t="s">
        <v>4880</v>
      </c>
      <c r="B1410" s="19" t="s">
        <v>943</v>
      </c>
      <c r="C1410" s="19" t="s">
        <v>944</v>
      </c>
      <c r="D1410" s="19" t="s">
        <v>148</v>
      </c>
      <c r="E1410" s="19" t="s">
        <v>147</v>
      </c>
      <c r="F1410" s="19" t="s">
        <v>162</v>
      </c>
      <c r="G1410" s="19" t="n">
        <v>165</v>
      </c>
      <c r="H1410" s="19" t="s">
        <v>163</v>
      </c>
      <c r="I1410" s="20" t="n">
        <v>23.456</v>
      </c>
      <c r="J1410" s="19" t="n">
        <f aca="false">IF(I1410="","",MIN(Overview!$B$8,MAX(1,CEILING(I1410/Overview!$B$7,1))))</f>
        <v>5</v>
      </c>
      <c r="K1410" s="19" t="n">
        <v>1</v>
      </c>
      <c r="L1410" s="19"/>
      <c r="M1410" s="20"/>
      <c r="N1410" s="19"/>
      <c r="O1410" s="19"/>
      <c r="P1410" s="19" t="s">
        <v>1039</v>
      </c>
      <c r="Q1410" s="19" t="s">
        <v>1040</v>
      </c>
      <c r="R1410" s="21" t="n">
        <v>40901</v>
      </c>
      <c r="S1410" s="19" t="s">
        <v>1002</v>
      </c>
      <c r="T1410" s="19" t="s">
        <v>4881</v>
      </c>
      <c r="U1410" s="19" t="str">
        <f aca="false">HYPERLINK("https://macaulaylibrary.org/asset/609056509","Open")</f>
        <v>Open</v>
      </c>
      <c r="V1410" s="19"/>
    </row>
    <row r="1411" customFormat="false" ht="15" hidden="false" customHeight="false" outlineLevel="0" collapsed="false">
      <c r="A1411" s="19" t="s">
        <v>4882</v>
      </c>
      <c r="B1411" s="19" t="s">
        <v>943</v>
      </c>
      <c r="C1411" s="19" t="s">
        <v>944</v>
      </c>
      <c r="D1411" s="19" t="s">
        <v>148</v>
      </c>
      <c r="E1411" s="19" t="s">
        <v>147</v>
      </c>
      <c r="F1411" s="19" t="s">
        <v>162</v>
      </c>
      <c r="G1411" s="19" t="n">
        <v>165</v>
      </c>
      <c r="H1411" s="19" t="s">
        <v>163</v>
      </c>
      <c r="I1411" s="20" t="n">
        <v>12.221</v>
      </c>
      <c r="J1411" s="19" t="n">
        <f aca="false">IF(I1411="","",MIN(Overview!$B$8,MAX(1,CEILING(I1411/Overview!$B$7,1))))</f>
        <v>3</v>
      </c>
      <c r="K1411" s="19" t="n">
        <v>1</v>
      </c>
      <c r="L1411" s="19"/>
      <c r="M1411" s="20"/>
      <c r="N1411" s="19"/>
      <c r="O1411" s="19"/>
      <c r="P1411" s="19" t="s">
        <v>1364</v>
      </c>
      <c r="Q1411" s="19" t="s">
        <v>1040</v>
      </c>
      <c r="R1411" s="21" t="n">
        <v>41630</v>
      </c>
      <c r="S1411" s="19" t="s">
        <v>1002</v>
      </c>
      <c r="T1411" s="19" t="s">
        <v>4883</v>
      </c>
      <c r="U1411" s="19" t="str">
        <f aca="false">HYPERLINK("https://macaulaylibrary.org/asset/609061866","Open")</f>
        <v>Open</v>
      </c>
      <c r="V1411" s="19"/>
    </row>
    <row r="1412" customFormat="false" ht="15" hidden="false" customHeight="false" outlineLevel="0" collapsed="false">
      <c r="A1412" s="19" t="s">
        <v>4884</v>
      </c>
      <c r="B1412" s="19" t="s">
        <v>943</v>
      </c>
      <c r="C1412" s="19" t="s">
        <v>944</v>
      </c>
      <c r="D1412" s="19" t="s">
        <v>148</v>
      </c>
      <c r="E1412" s="19" t="s">
        <v>147</v>
      </c>
      <c r="F1412" s="19" t="s">
        <v>162</v>
      </c>
      <c r="G1412" s="19" t="n">
        <v>165</v>
      </c>
      <c r="H1412" s="19" t="s">
        <v>163</v>
      </c>
      <c r="I1412" s="20" t="n">
        <v>39.078</v>
      </c>
      <c r="J1412" s="19" t="n">
        <f aca="false">IF(I1412="","",MIN(Overview!$B$8,MAX(1,CEILING(I1412/Overview!$B$7,1))))</f>
        <v>8</v>
      </c>
      <c r="K1412" s="19" t="n">
        <v>1</v>
      </c>
      <c r="L1412" s="19"/>
      <c r="M1412" s="20"/>
      <c r="N1412" s="19"/>
      <c r="O1412" s="19"/>
      <c r="P1412" s="19" t="s">
        <v>2783</v>
      </c>
      <c r="Q1412" s="19" t="s">
        <v>2408</v>
      </c>
      <c r="R1412" s="21" t="n">
        <v>45254</v>
      </c>
      <c r="S1412" s="19" t="s">
        <v>2784</v>
      </c>
      <c r="T1412" s="19" t="s">
        <v>4885</v>
      </c>
      <c r="U1412" s="19" t="str">
        <f aca="false">HYPERLINK("https://macaulaylibrary.org/asset/611872030","Open")</f>
        <v>Open</v>
      </c>
      <c r="V1412" s="19"/>
    </row>
    <row r="1413" customFormat="false" ht="15" hidden="false" customHeight="false" outlineLevel="0" collapsed="false">
      <c r="A1413" s="19" t="s">
        <v>4886</v>
      </c>
      <c r="B1413" s="19" t="s">
        <v>943</v>
      </c>
      <c r="C1413" s="19" t="s">
        <v>944</v>
      </c>
      <c r="D1413" s="19" t="s">
        <v>148</v>
      </c>
      <c r="E1413" s="19" t="s">
        <v>147</v>
      </c>
      <c r="F1413" s="19" t="s">
        <v>162</v>
      </c>
      <c r="G1413" s="19" t="n">
        <v>165</v>
      </c>
      <c r="H1413" s="19" t="s">
        <v>163</v>
      </c>
      <c r="I1413" s="20" t="n">
        <v>29.929</v>
      </c>
      <c r="J1413" s="19" t="n">
        <f aca="false">IF(I1413="","",MIN(Overview!$B$8,MAX(1,CEILING(I1413/Overview!$B$7,1))))</f>
        <v>6</v>
      </c>
      <c r="K1413" s="19" t="n">
        <v>1</v>
      </c>
      <c r="L1413" s="19"/>
      <c r="M1413" s="20"/>
      <c r="N1413" s="19"/>
      <c r="O1413" s="19"/>
      <c r="P1413" s="19" t="s">
        <v>4887</v>
      </c>
      <c r="Q1413" s="19" t="s">
        <v>2408</v>
      </c>
      <c r="R1413" s="21" t="n">
        <v>45253</v>
      </c>
      <c r="S1413" s="19" t="s">
        <v>1026</v>
      </c>
      <c r="T1413" s="19" t="s">
        <v>4888</v>
      </c>
      <c r="U1413" s="19" t="str">
        <f aca="false">HYPERLINK("https://macaulaylibrary.org/asset/612177320","Open")</f>
        <v>Open</v>
      </c>
      <c r="V1413" s="19"/>
    </row>
    <row r="1414" customFormat="false" ht="15" hidden="false" customHeight="false" outlineLevel="0" collapsed="false">
      <c r="A1414" s="19" t="s">
        <v>4889</v>
      </c>
      <c r="B1414" s="19" t="s">
        <v>943</v>
      </c>
      <c r="C1414" s="19" t="s">
        <v>944</v>
      </c>
      <c r="D1414" s="19" t="s">
        <v>148</v>
      </c>
      <c r="E1414" s="19" t="s">
        <v>147</v>
      </c>
      <c r="F1414" s="19" t="s">
        <v>162</v>
      </c>
      <c r="G1414" s="19" t="n">
        <v>165</v>
      </c>
      <c r="H1414" s="19" t="s">
        <v>163</v>
      </c>
      <c r="I1414" s="20" t="n">
        <v>28.489</v>
      </c>
      <c r="J1414" s="19" t="n">
        <f aca="false">IF(I1414="","",MIN(Overview!$B$8,MAX(1,CEILING(I1414/Overview!$B$7,1))))</f>
        <v>6</v>
      </c>
      <c r="K1414" s="19" t="n">
        <v>1</v>
      </c>
      <c r="L1414" s="19"/>
      <c r="M1414" s="20" t="n">
        <v>3</v>
      </c>
      <c r="N1414" s="19"/>
      <c r="O1414" s="19"/>
      <c r="P1414" s="19" t="s">
        <v>2002</v>
      </c>
      <c r="Q1414" s="19" t="s">
        <v>2003</v>
      </c>
      <c r="R1414" s="21" t="n">
        <v>45324</v>
      </c>
      <c r="S1414" s="19" t="s">
        <v>1144</v>
      </c>
      <c r="T1414" s="19" t="s">
        <v>4890</v>
      </c>
      <c r="U1414" s="19" t="str">
        <f aca="false">HYPERLINK("https://macaulaylibrary.org/asset/615004972","Open")</f>
        <v>Open</v>
      </c>
      <c r="V1414" s="19"/>
    </row>
    <row r="1415" customFormat="false" ht="15" hidden="false" customHeight="false" outlineLevel="0" collapsed="false">
      <c r="A1415" s="19" t="s">
        <v>4891</v>
      </c>
      <c r="B1415" s="19" t="s">
        <v>943</v>
      </c>
      <c r="C1415" s="19" t="s">
        <v>944</v>
      </c>
      <c r="D1415" s="19" t="s">
        <v>148</v>
      </c>
      <c r="E1415" s="19" t="s">
        <v>147</v>
      </c>
      <c r="F1415" s="19" t="s">
        <v>162</v>
      </c>
      <c r="G1415" s="19" t="n">
        <v>165</v>
      </c>
      <c r="H1415" s="19" t="s">
        <v>163</v>
      </c>
      <c r="I1415" s="20" t="n">
        <v>11.328</v>
      </c>
      <c r="J1415" s="19" t="n">
        <f aca="false">IF(I1415="","",MIN(Overview!$B$8,MAX(1,CEILING(I1415/Overview!$B$7,1))))</f>
        <v>3</v>
      </c>
      <c r="K1415" s="19" t="n">
        <v>1</v>
      </c>
      <c r="L1415" s="19"/>
      <c r="M1415" s="20"/>
      <c r="N1415" s="19"/>
      <c r="O1415" s="19"/>
      <c r="P1415" s="19" t="s">
        <v>4892</v>
      </c>
      <c r="Q1415" s="19" t="s">
        <v>4893</v>
      </c>
      <c r="R1415" s="21" t="n">
        <v>45651</v>
      </c>
      <c r="S1415" s="19" t="s">
        <v>1523</v>
      </c>
      <c r="T1415" s="19" t="s">
        <v>4894</v>
      </c>
      <c r="U1415" s="19" t="str">
        <f aca="false">HYPERLINK("https://macaulaylibrary.org/asset/628080790","Open")</f>
        <v>Open</v>
      </c>
      <c r="V1415" s="19"/>
    </row>
    <row r="1416" customFormat="false" ht="15" hidden="false" customHeight="false" outlineLevel="0" collapsed="false">
      <c r="A1416" s="19" t="s">
        <v>4895</v>
      </c>
      <c r="B1416" s="19" t="s">
        <v>943</v>
      </c>
      <c r="C1416" s="19" t="s">
        <v>944</v>
      </c>
      <c r="D1416" s="19" t="s">
        <v>148</v>
      </c>
      <c r="E1416" s="19" t="s">
        <v>147</v>
      </c>
      <c r="F1416" s="19" t="s">
        <v>162</v>
      </c>
      <c r="G1416" s="19" t="n">
        <v>165</v>
      </c>
      <c r="H1416" s="19" t="s">
        <v>163</v>
      </c>
      <c r="I1416" s="20" t="n">
        <v>22.498</v>
      </c>
      <c r="J1416" s="19" t="n">
        <f aca="false">IF(I1416="","",MIN(Overview!$B$8,MAX(1,CEILING(I1416/Overview!$B$7,1))))</f>
        <v>5</v>
      </c>
      <c r="K1416" s="19" t="n">
        <v>1</v>
      </c>
      <c r="L1416" s="19"/>
      <c r="M1416" s="20" t="n">
        <v>1</v>
      </c>
      <c r="N1416" s="19"/>
      <c r="O1416" s="19"/>
      <c r="P1416" s="19" t="s">
        <v>2210</v>
      </c>
      <c r="Q1416" s="19" t="s">
        <v>1158</v>
      </c>
      <c r="R1416" s="21" t="n">
        <v>45658</v>
      </c>
      <c r="S1416" s="19" t="s">
        <v>1969</v>
      </c>
      <c r="T1416" s="19" t="s">
        <v>4896</v>
      </c>
      <c r="U1416" s="19" t="str">
        <f aca="false">HYPERLINK("https://macaulaylibrary.org/asset/630101127","Open")</f>
        <v>Open</v>
      </c>
      <c r="V1416" s="19"/>
    </row>
    <row r="1417" customFormat="false" ht="15" hidden="false" customHeight="false" outlineLevel="0" collapsed="false">
      <c r="A1417" s="19" t="s">
        <v>4897</v>
      </c>
      <c r="B1417" s="19" t="s">
        <v>943</v>
      </c>
      <c r="C1417" s="19" t="s">
        <v>944</v>
      </c>
      <c r="D1417" s="19" t="s">
        <v>148</v>
      </c>
      <c r="E1417" s="19" t="s">
        <v>147</v>
      </c>
      <c r="F1417" s="19" t="s">
        <v>162</v>
      </c>
      <c r="G1417" s="19" t="n">
        <v>165</v>
      </c>
      <c r="H1417" s="19" t="s">
        <v>163</v>
      </c>
      <c r="I1417" s="20" t="n">
        <v>24.877</v>
      </c>
      <c r="J1417" s="19" t="n">
        <f aca="false">IF(I1417="","",MIN(Overview!$B$8,MAX(1,CEILING(I1417/Overview!$B$7,1))))</f>
        <v>5</v>
      </c>
      <c r="K1417" s="19" t="n">
        <v>1</v>
      </c>
      <c r="L1417" s="19"/>
      <c r="M1417" s="20" t="n">
        <v>3</v>
      </c>
      <c r="N1417" s="19"/>
      <c r="O1417" s="19"/>
      <c r="P1417" s="19" t="s">
        <v>3188</v>
      </c>
      <c r="Q1417" s="19" t="s">
        <v>3189</v>
      </c>
      <c r="R1417" s="21" t="n">
        <v>45671</v>
      </c>
      <c r="S1417" s="19" t="s">
        <v>966</v>
      </c>
      <c r="T1417" s="19" t="s">
        <v>4898</v>
      </c>
      <c r="U1417" s="19" t="str">
        <f aca="false">HYPERLINK("https://macaulaylibrary.org/asset/631698426","Open")</f>
        <v>Open</v>
      </c>
      <c r="V1417" s="19"/>
    </row>
    <row r="1418" customFormat="false" ht="15" hidden="false" customHeight="false" outlineLevel="0" collapsed="false">
      <c r="A1418" s="19" t="s">
        <v>4899</v>
      </c>
      <c r="B1418" s="19" t="s">
        <v>943</v>
      </c>
      <c r="C1418" s="19" t="s">
        <v>944</v>
      </c>
      <c r="D1418" s="19" t="s">
        <v>148</v>
      </c>
      <c r="E1418" s="19" t="s">
        <v>147</v>
      </c>
      <c r="F1418" s="19" t="s">
        <v>162</v>
      </c>
      <c r="G1418" s="19" t="n">
        <v>165</v>
      </c>
      <c r="H1418" s="19" t="s">
        <v>163</v>
      </c>
      <c r="I1418" s="20" t="n">
        <v>7.877</v>
      </c>
      <c r="J1418" s="19" t="n">
        <f aca="false">IF(I1418="","",MIN(Overview!$B$8,MAX(1,CEILING(I1418/Overview!$B$7,1))))</f>
        <v>2</v>
      </c>
      <c r="K1418" s="19" t="n">
        <v>1</v>
      </c>
      <c r="L1418" s="19"/>
      <c r="M1418" s="20" t="n">
        <v>3</v>
      </c>
      <c r="N1418" s="19"/>
      <c r="O1418" s="19"/>
      <c r="P1418" s="19" t="s">
        <v>4572</v>
      </c>
      <c r="Q1418" s="19" t="s">
        <v>2085</v>
      </c>
      <c r="R1418" s="21" t="n">
        <v>45640</v>
      </c>
      <c r="S1418" s="19" t="s">
        <v>2065</v>
      </c>
      <c r="T1418" s="19" t="s">
        <v>4900</v>
      </c>
      <c r="U1418" s="19" t="str">
        <f aca="false">HYPERLINK("https://macaulaylibrary.org/asset/632348730","Open")</f>
        <v>Open</v>
      </c>
      <c r="V1418" s="19"/>
    </row>
    <row r="1419" customFormat="false" ht="15" hidden="false" customHeight="false" outlineLevel="0" collapsed="false">
      <c r="A1419" s="19" t="s">
        <v>4901</v>
      </c>
      <c r="B1419" s="19" t="s">
        <v>943</v>
      </c>
      <c r="C1419" s="19" t="s">
        <v>944</v>
      </c>
      <c r="D1419" s="19" t="s">
        <v>148</v>
      </c>
      <c r="E1419" s="19" t="s">
        <v>147</v>
      </c>
      <c r="F1419" s="19" t="s">
        <v>162</v>
      </c>
      <c r="G1419" s="19" t="n">
        <v>165</v>
      </c>
      <c r="H1419" s="19" t="s">
        <v>163</v>
      </c>
      <c r="I1419" s="20" t="n">
        <v>27.073</v>
      </c>
      <c r="J1419" s="19" t="n">
        <f aca="false">IF(I1419="","",MIN(Overview!$B$8,MAX(1,CEILING(I1419/Overview!$B$7,1))))</f>
        <v>6</v>
      </c>
      <c r="K1419" s="19" t="n">
        <v>1</v>
      </c>
      <c r="L1419" s="19"/>
      <c r="M1419" s="20" t="n">
        <v>3</v>
      </c>
      <c r="N1419" s="19"/>
      <c r="O1419" s="19"/>
      <c r="P1419" s="19" t="s">
        <v>1946</v>
      </c>
      <c r="Q1419" s="19" t="s">
        <v>1091</v>
      </c>
      <c r="R1419" s="21" t="n">
        <v>45844</v>
      </c>
      <c r="S1419" s="19" t="s">
        <v>1013</v>
      </c>
      <c r="T1419" s="19" t="s">
        <v>4902</v>
      </c>
      <c r="U1419" s="19" t="str">
        <f aca="false">HYPERLINK("https://macaulaylibrary.org/asset/643642578","Open")</f>
        <v>Open</v>
      </c>
      <c r="V1419" s="19"/>
    </row>
    <row r="1420" customFormat="false" ht="15" hidden="false" customHeight="false" outlineLevel="0" collapsed="false">
      <c r="A1420" s="19" t="s">
        <v>4903</v>
      </c>
      <c r="B1420" s="19" t="s">
        <v>943</v>
      </c>
      <c r="C1420" s="19" t="s">
        <v>944</v>
      </c>
      <c r="D1420" s="19" t="s">
        <v>148</v>
      </c>
      <c r="E1420" s="19" t="s">
        <v>147</v>
      </c>
      <c r="F1420" s="19" t="s">
        <v>162</v>
      </c>
      <c r="G1420" s="19" t="n">
        <v>165</v>
      </c>
      <c r="H1420" s="19" t="s">
        <v>163</v>
      </c>
      <c r="I1420" s="20" t="n">
        <v>18.351</v>
      </c>
      <c r="J1420" s="19" t="n">
        <f aca="false">IF(I1420="","",MIN(Overview!$B$8,MAX(1,CEILING(I1420/Overview!$B$7,1))))</f>
        <v>4</v>
      </c>
      <c r="K1420" s="19" t="n">
        <v>1</v>
      </c>
      <c r="L1420" s="19"/>
      <c r="M1420" s="20" t="n">
        <v>3</v>
      </c>
      <c r="N1420" s="19"/>
      <c r="O1420" s="19"/>
      <c r="P1420" s="19" t="s">
        <v>1512</v>
      </c>
      <c r="Q1420" s="19" t="s">
        <v>1513</v>
      </c>
      <c r="R1420" s="21" t="n">
        <v>45760</v>
      </c>
      <c r="S1420" s="19" t="s">
        <v>1036</v>
      </c>
      <c r="T1420" s="19" t="s">
        <v>4904</v>
      </c>
      <c r="U1420" s="19" t="str">
        <f aca="false">HYPERLINK("https://macaulaylibrary.org/asset/646478016","Open")</f>
        <v>Open</v>
      </c>
      <c r="V1420" s="19"/>
    </row>
    <row r="1421" customFormat="false" ht="15" hidden="false" customHeight="false" outlineLevel="0" collapsed="false">
      <c r="A1421" s="19" t="s">
        <v>4905</v>
      </c>
      <c r="B1421" s="19" t="s">
        <v>943</v>
      </c>
      <c r="C1421" s="19" t="s">
        <v>944</v>
      </c>
      <c r="D1421" s="19" t="s">
        <v>148</v>
      </c>
      <c r="E1421" s="19" t="s">
        <v>147</v>
      </c>
      <c r="F1421" s="19" t="s">
        <v>162</v>
      </c>
      <c r="G1421" s="19" t="n">
        <v>165</v>
      </c>
      <c r="H1421" s="19" t="s">
        <v>163</v>
      </c>
      <c r="I1421" s="20" t="n">
        <v>13.409</v>
      </c>
      <c r="J1421" s="19" t="n">
        <f aca="false">IF(I1421="","",MIN(Overview!$B$8,MAX(1,CEILING(I1421/Overview!$B$7,1))))</f>
        <v>3</v>
      </c>
      <c r="K1421" s="19" t="n">
        <v>1</v>
      </c>
      <c r="L1421" s="19"/>
      <c r="M1421" s="20" t="n">
        <v>4</v>
      </c>
      <c r="N1421" s="19"/>
      <c r="O1421" s="19" t="s">
        <v>184</v>
      </c>
      <c r="P1421" s="19" t="s">
        <v>1335</v>
      </c>
      <c r="Q1421" s="19" t="s">
        <v>990</v>
      </c>
      <c r="R1421" s="21" t="n">
        <v>46011</v>
      </c>
      <c r="S1421" s="19" t="s">
        <v>966</v>
      </c>
      <c r="T1421" s="19" t="s">
        <v>4906</v>
      </c>
      <c r="U1421" s="19" t="str">
        <f aca="false">HYPERLINK("https://macaulaylibrary.org/asset/647568746","Open")</f>
        <v>Open</v>
      </c>
      <c r="V1421" s="19"/>
    </row>
    <row r="1422" customFormat="false" ht="15" hidden="false" customHeight="false" outlineLevel="0" collapsed="false">
      <c r="A1422" s="19" t="s">
        <v>4907</v>
      </c>
      <c r="B1422" s="19" t="s">
        <v>943</v>
      </c>
      <c r="C1422" s="19" t="s">
        <v>944</v>
      </c>
      <c r="D1422" s="19" t="s">
        <v>148</v>
      </c>
      <c r="E1422" s="19" t="s">
        <v>147</v>
      </c>
      <c r="F1422" s="19" t="s">
        <v>162</v>
      </c>
      <c r="G1422" s="19" t="n">
        <v>165</v>
      </c>
      <c r="H1422" s="19" t="s">
        <v>163</v>
      </c>
      <c r="I1422" s="20" t="n">
        <v>12.448</v>
      </c>
      <c r="J1422" s="19" t="n">
        <f aca="false">IF(I1422="","",MIN(Overview!$B$8,MAX(1,CEILING(I1422/Overview!$B$7,1))))</f>
        <v>3</v>
      </c>
      <c r="K1422" s="19" t="n">
        <v>1</v>
      </c>
      <c r="L1422" s="19"/>
      <c r="M1422" s="20" t="n">
        <v>4</v>
      </c>
      <c r="N1422" s="19"/>
      <c r="O1422" s="19" t="s">
        <v>4908</v>
      </c>
      <c r="P1422" s="19" t="s">
        <v>1335</v>
      </c>
      <c r="Q1422" s="19" t="s">
        <v>990</v>
      </c>
      <c r="R1422" s="21" t="n">
        <v>46011</v>
      </c>
      <c r="S1422" s="19" t="s">
        <v>966</v>
      </c>
      <c r="T1422" s="19" t="s">
        <v>4909</v>
      </c>
      <c r="U1422" s="19" t="str">
        <f aca="false">HYPERLINK("https://macaulaylibrary.org/asset/647568751","Open")</f>
        <v>Open</v>
      </c>
      <c r="V1422" s="19"/>
    </row>
    <row r="1423" customFormat="false" ht="15" hidden="false" customHeight="false" outlineLevel="0" collapsed="false">
      <c r="A1423" s="19" t="s">
        <v>4910</v>
      </c>
      <c r="B1423" s="19" t="s">
        <v>943</v>
      </c>
      <c r="C1423" s="19" t="s">
        <v>944</v>
      </c>
      <c r="D1423" s="19" t="s">
        <v>148</v>
      </c>
      <c r="E1423" s="19" t="s">
        <v>147</v>
      </c>
      <c r="F1423" s="19" t="s">
        <v>162</v>
      </c>
      <c r="G1423" s="19" t="n">
        <v>165</v>
      </c>
      <c r="H1423" s="19" t="s">
        <v>163</v>
      </c>
      <c r="I1423" s="20" t="n">
        <v>19.034</v>
      </c>
      <c r="J1423" s="19" t="n">
        <f aca="false">IF(I1423="","",MIN(Overview!$B$8,MAX(1,CEILING(I1423/Overview!$B$7,1))))</f>
        <v>4</v>
      </c>
      <c r="K1423" s="19" t="n">
        <v>1</v>
      </c>
      <c r="L1423" s="19"/>
      <c r="M1423" s="20" t="n">
        <v>3</v>
      </c>
      <c r="N1423" s="19"/>
      <c r="O1423" s="19" t="s">
        <v>209</v>
      </c>
      <c r="P1423" s="19" t="s">
        <v>1335</v>
      </c>
      <c r="Q1423" s="19" t="s">
        <v>990</v>
      </c>
      <c r="R1423" s="21" t="n">
        <v>46011</v>
      </c>
      <c r="S1423" s="19" t="s">
        <v>966</v>
      </c>
      <c r="T1423" s="19" t="s">
        <v>4911</v>
      </c>
      <c r="U1423" s="19" t="str">
        <f aca="false">HYPERLINK("https://macaulaylibrary.org/asset/647568757","Open")</f>
        <v>Open</v>
      </c>
      <c r="V1423" s="19"/>
    </row>
    <row r="1424" customFormat="false" ht="15" hidden="false" customHeight="false" outlineLevel="0" collapsed="false">
      <c r="A1424" s="19" t="s">
        <v>4912</v>
      </c>
      <c r="B1424" s="19" t="s">
        <v>943</v>
      </c>
      <c r="C1424" s="19" t="s">
        <v>944</v>
      </c>
      <c r="D1424" s="19" t="s">
        <v>148</v>
      </c>
      <c r="E1424" s="19" t="s">
        <v>147</v>
      </c>
      <c r="F1424" s="19" t="s">
        <v>162</v>
      </c>
      <c r="G1424" s="19" t="n">
        <v>165</v>
      </c>
      <c r="H1424" s="19" t="s">
        <v>163</v>
      </c>
      <c r="I1424" s="20" t="n">
        <v>31.663</v>
      </c>
      <c r="J1424" s="19" t="n">
        <f aca="false">IF(I1424="","",MIN(Overview!$B$8,MAX(1,CEILING(I1424/Overview!$B$7,1))))</f>
        <v>7</v>
      </c>
      <c r="K1424" s="19" t="n">
        <v>1</v>
      </c>
      <c r="L1424" s="19"/>
      <c r="M1424" s="20" t="n">
        <v>3</v>
      </c>
      <c r="N1424" s="19"/>
      <c r="O1424" s="19" t="s">
        <v>4913</v>
      </c>
      <c r="P1424" s="19" t="s">
        <v>3050</v>
      </c>
      <c r="Q1424" s="19" t="s">
        <v>1502</v>
      </c>
      <c r="R1424" s="21" t="n">
        <v>45940</v>
      </c>
      <c r="S1424" s="19" t="s">
        <v>1643</v>
      </c>
      <c r="T1424" s="19" t="s">
        <v>4914</v>
      </c>
      <c r="U1424" s="19" t="str">
        <f aca="false">HYPERLINK("https://macaulaylibrary.org/asset/648780679","Open")</f>
        <v>Open</v>
      </c>
      <c r="V1424" s="19"/>
    </row>
    <row r="1425" customFormat="false" ht="15" hidden="false" customHeight="false" outlineLevel="0" collapsed="false">
      <c r="A1425" s="19" t="s">
        <v>4915</v>
      </c>
      <c r="B1425" s="19" t="s">
        <v>943</v>
      </c>
      <c r="C1425" s="19" t="s">
        <v>944</v>
      </c>
      <c r="D1425" s="19" t="s">
        <v>148</v>
      </c>
      <c r="E1425" s="19" t="s">
        <v>147</v>
      </c>
      <c r="F1425" s="19" t="s">
        <v>162</v>
      </c>
      <c r="G1425" s="19" t="n">
        <v>165</v>
      </c>
      <c r="H1425" s="19" t="s">
        <v>163</v>
      </c>
      <c r="I1425" s="20" t="n">
        <v>25.793</v>
      </c>
      <c r="J1425" s="19" t="n">
        <f aca="false">IF(I1425="","",MIN(Overview!$B$8,MAX(1,CEILING(I1425/Overview!$B$7,1))))</f>
        <v>6</v>
      </c>
      <c r="K1425" s="19" t="n">
        <v>1</v>
      </c>
      <c r="L1425" s="19"/>
      <c r="M1425" s="20" t="n">
        <v>3</v>
      </c>
      <c r="N1425" s="19"/>
      <c r="O1425" s="19" t="s">
        <v>184</v>
      </c>
      <c r="P1425" s="19" t="s">
        <v>3425</v>
      </c>
      <c r="Q1425" s="19" t="s">
        <v>2085</v>
      </c>
      <c r="R1425" s="21" t="n">
        <v>46011</v>
      </c>
      <c r="S1425" s="19" t="s">
        <v>966</v>
      </c>
      <c r="T1425" s="19" t="s">
        <v>4916</v>
      </c>
      <c r="U1425" s="19" t="str">
        <f aca="false">HYPERLINK("https://macaulaylibrary.org/asset/652037543","Open")</f>
        <v>Open</v>
      </c>
      <c r="V1425" s="19"/>
    </row>
    <row r="1426" customFormat="false" ht="15" hidden="false" customHeight="false" outlineLevel="0" collapsed="false">
      <c r="A1426" s="19" t="s">
        <v>4917</v>
      </c>
      <c r="B1426" s="19" t="s">
        <v>943</v>
      </c>
      <c r="C1426" s="19" t="s">
        <v>944</v>
      </c>
      <c r="D1426" s="19" t="s">
        <v>148</v>
      </c>
      <c r="E1426" s="19" t="s">
        <v>147</v>
      </c>
      <c r="F1426" s="19" t="s">
        <v>162</v>
      </c>
      <c r="G1426" s="19" t="n">
        <v>165</v>
      </c>
      <c r="H1426" s="19" t="s">
        <v>163</v>
      </c>
      <c r="I1426" s="20" t="n">
        <v>49.914</v>
      </c>
      <c r="J1426" s="19" t="n">
        <f aca="false">IF(I1426="","",MIN(Overview!$B$8,MAX(1,CEILING(I1426/Overview!$B$7,1))))</f>
        <v>10</v>
      </c>
      <c r="K1426" s="19" t="n">
        <v>1</v>
      </c>
      <c r="L1426" s="19"/>
      <c r="M1426" s="20" t="n">
        <v>2</v>
      </c>
      <c r="N1426" s="19"/>
      <c r="O1426" s="19"/>
      <c r="P1426" s="19" t="s">
        <v>1225</v>
      </c>
      <c r="Q1426" s="19" t="s">
        <v>1226</v>
      </c>
      <c r="R1426" s="21" t="n">
        <v>21274</v>
      </c>
      <c r="S1426" s="19" t="s">
        <v>1092</v>
      </c>
      <c r="T1426" s="19" t="s">
        <v>4918</v>
      </c>
      <c r="U1426" s="19" t="str">
        <f aca="false">HYPERLINK("https://macaulaylibrary.org/asset/6615","Open")</f>
        <v>Open</v>
      </c>
      <c r="V1426" s="19"/>
    </row>
    <row r="1427" customFormat="false" ht="15" hidden="false" customHeight="false" outlineLevel="0" collapsed="false">
      <c r="A1427" s="19" t="s">
        <v>4919</v>
      </c>
      <c r="B1427" s="19" t="s">
        <v>943</v>
      </c>
      <c r="C1427" s="19" t="s">
        <v>944</v>
      </c>
      <c r="D1427" s="19" t="s">
        <v>148</v>
      </c>
      <c r="E1427" s="19" t="s">
        <v>147</v>
      </c>
      <c r="F1427" s="19" t="s">
        <v>162</v>
      </c>
      <c r="G1427" s="19" t="n">
        <v>165</v>
      </c>
      <c r="H1427" s="19" t="s">
        <v>163</v>
      </c>
      <c r="I1427" s="20" t="n">
        <v>19.804</v>
      </c>
      <c r="J1427" s="19" t="n">
        <f aca="false">IF(I1427="","",MIN(Overview!$B$8,MAX(1,CEILING(I1427/Overview!$B$7,1))))</f>
        <v>4</v>
      </c>
      <c r="K1427" s="19" t="n">
        <v>1</v>
      </c>
      <c r="L1427" s="19"/>
      <c r="M1427" s="20" t="n">
        <v>2</v>
      </c>
      <c r="N1427" s="19"/>
      <c r="O1427" s="19"/>
      <c r="P1427" s="19" t="s">
        <v>2229</v>
      </c>
      <c r="Q1427" s="19" t="s">
        <v>1397</v>
      </c>
      <c r="R1427" s="21" t="n">
        <v>46218</v>
      </c>
      <c r="S1427" s="19" t="s">
        <v>1353</v>
      </c>
      <c r="T1427" s="19" t="s">
        <v>4920</v>
      </c>
      <c r="U1427" s="19" t="str">
        <f aca="false">HYPERLINK("https://macaulaylibrary.org/asset/661712323","Open")</f>
        <v>Open</v>
      </c>
      <c r="V1427" s="19"/>
    </row>
    <row r="1428" customFormat="false" ht="15" hidden="false" customHeight="false" outlineLevel="0" collapsed="false">
      <c r="A1428" s="19" t="s">
        <v>4921</v>
      </c>
      <c r="B1428" s="19" t="s">
        <v>943</v>
      </c>
      <c r="C1428" s="19" t="s">
        <v>944</v>
      </c>
      <c r="D1428" s="19" t="s">
        <v>148</v>
      </c>
      <c r="E1428" s="19" t="s">
        <v>147</v>
      </c>
      <c r="F1428" s="19" t="s">
        <v>162</v>
      </c>
      <c r="G1428" s="19" t="n">
        <v>165</v>
      </c>
      <c r="H1428" s="19" t="s">
        <v>163</v>
      </c>
      <c r="I1428" s="20" t="n">
        <v>276.165</v>
      </c>
      <c r="J1428" s="19" t="n">
        <f aca="false">IF(I1428="","",MIN(Overview!$B$8,MAX(1,CEILING(I1428/Overview!$B$7,1))))</f>
        <v>56</v>
      </c>
      <c r="K1428" s="19" t="n">
        <v>1</v>
      </c>
      <c r="L1428" s="19"/>
      <c r="M1428" s="20" t="n">
        <v>2</v>
      </c>
      <c r="N1428" s="19"/>
      <c r="O1428" s="19"/>
      <c r="P1428" s="19" t="s">
        <v>1570</v>
      </c>
      <c r="Q1428" s="19" t="s">
        <v>980</v>
      </c>
      <c r="R1428" s="21" t="n">
        <v>33295</v>
      </c>
      <c r="S1428" s="19" t="s">
        <v>1002</v>
      </c>
      <c r="T1428" s="19" t="s">
        <v>4922</v>
      </c>
      <c r="U1428" s="19" t="str">
        <f aca="false">HYPERLINK("https://macaulaylibrary.org/asset/72603","Open")</f>
        <v>Open</v>
      </c>
      <c r="V1428" s="19"/>
    </row>
    <row r="1429" customFormat="false" ht="15" hidden="false" customHeight="false" outlineLevel="0" collapsed="false">
      <c r="A1429" s="19" t="s">
        <v>4923</v>
      </c>
      <c r="B1429" s="19" t="s">
        <v>943</v>
      </c>
      <c r="C1429" s="19" t="s">
        <v>944</v>
      </c>
      <c r="D1429" s="19" t="s">
        <v>148</v>
      </c>
      <c r="E1429" s="19" t="s">
        <v>147</v>
      </c>
      <c r="F1429" s="19" t="s">
        <v>162</v>
      </c>
      <c r="G1429" s="19" t="n">
        <v>165</v>
      </c>
      <c r="H1429" s="19" t="s">
        <v>163</v>
      </c>
      <c r="I1429" s="20" t="n">
        <v>54.421</v>
      </c>
      <c r="J1429" s="19" t="n">
        <f aca="false">IF(I1429="","",MIN(Overview!$B$8,MAX(1,CEILING(I1429/Overview!$B$7,1))))</f>
        <v>11</v>
      </c>
      <c r="K1429" s="19" t="n">
        <v>1</v>
      </c>
      <c r="L1429" s="19"/>
      <c r="M1429" s="20" t="n">
        <v>1.4</v>
      </c>
      <c r="N1429" s="19"/>
      <c r="O1429" s="19"/>
      <c r="P1429" s="19" t="s">
        <v>2152</v>
      </c>
      <c r="Q1429" s="19" t="s">
        <v>1218</v>
      </c>
      <c r="R1429" s="21" t="n">
        <v>33329</v>
      </c>
      <c r="S1429" s="19" t="s">
        <v>1833</v>
      </c>
      <c r="T1429" s="19" t="s">
        <v>4924</v>
      </c>
      <c r="U1429" s="19" t="str">
        <f aca="false">HYPERLINK("https://macaulaylibrary.org/asset/76611","Open")</f>
        <v>Open</v>
      </c>
      <c r="V1429" s="19"/>
    </row>
    <row r="1430" customFormat="false" ht="15" hidden="false" customHeight="false" outlineLevel="0" collapsed="false">
      <c r="A1430" s="19" t="s">
        <v>4925</v>
      </c>
      <c r="B1430" s="19" t="s">
        <v>943</v>
      </c>
      <c r="C1430" s="19" t="s">
        <v>944</v>
      </c>
      <c r="D1430" s="19" t="s">
        <v>148</v>
      </c>
      <c r="E1430" s="19" t="s">
        <v>147</v>
      </c>
      <c r="F1430" s="19" t="s">
        <v>162</v>
      </c>
      <c r="G1430" s="19" t="n">
        <v>165</v>
      </c>
      <c r="H1430" s="19" t="s">
        <v>163</v>
      </c>
      <c r="I1430" s="20" t="n">
        <v>87.523</v>
      </c>
      <c r="J1430" s="19" t="n">
        <f aca="false">IF(I1430="","",MIN(Overview!$B$8,MAX(1,CEILING(I1430/Overview!$B$7,1))))</f>
        <v>18</v>
      </c>
      <c r="K1430" s="19" t="n">
        <v>1</v>
      </c>
      <c r="L1430" s="19"/>
      <c r="M1430" s="20" t="n">
        <v>1</v>
      </c>
      <c r="N1430" s="19"/>
      <c r="O1430" s="19"/>
      <c r="P1430" s="19" t="s">
        <v>1710</v>
      </c>
      <c r="Q1430" s="19" t="s">
        <v>1218</v>
      </c>
      <c r="R1430" s="21" t="n">
        <v>33331</v>
      </c>
      <c r="S1430" s="19" t="s">
        <v>1353</v>
      </c>
      <c r="T1430" s="19" t="s">
        <v>4926</v>
      </c>
      <c r="U1430" s="19" t="str">
        <f aca="false">HYPERLINK("https://macaulaylibrary.org/asset/76636","Open")</f>
        <v>Open</v>
      </c>
      <c r="V1430" s="19"/>
    </row>
    <row r="1431" customFormat="false" ht="15" hidden="false" customHeight="false" outlineLevel="0" collapsed="false">
      <c r="A1431" s="19" t="s">
        <v>4927</v>
      </c>
      <c r="B1431" s="19" t="s">
        <v>943</v>
      </c>
      <c r="C1431" s="19" t="s">
        <v>944</v>
      </c>
      <c r="D1431" s="19" t="s">
        <v>148</v>
      </c>
      <c r="E1431" s="19" t="s">
        <v>147</v>
      </c>
      <c r="F1431" s="19" t="s">
        <v>363</v>
      </c>
      <c r="G1431" s="19" t="n">
        <v>166</v>
      </c>
      <c r="H1431" s="19" t="s">
        <v>364</v>
      </c>
      <c r="I1431" s="20" t="n">
        <v>15.403</v>
      </c>
      <c r="J1431" s="19" t="n">
        <f aca="false">IF(I1431="","",MIN(Overview!$B$8,MAX(1,CEILING(I1431/Overview!$B$7,1))))</f>
        <v>4</v>
      </c>
      <c r="K1431" s="19" t="n">
        <v>1</v>
      </c>
      <c r="L1431" s="19"/>
      <c r="M1431" s="20" t="n">
        <v>1.5</v>
      </c>
      <c r="N1431" s="19"/>
      <c r="O1431" s="19"/>
      <c r="P1431" s="19" t="s">
        <v>2078</v>
      </c>
      <c r="Q1431" s="19" t="s">
        <v>2079</v>
      </c>
      <c r="R1431" s="21" t="n">
        <v>43511</v>
      </c>
      <c r="S1431" s="19" t="s">
        <v>2056</v>
      </c>
      <c r="T1431" s="19" t="s">
        <v>4928</v>
      </c>
      <c r="U1431" s="19" t="str">
        <f aca="false">HYPERLINK("https://macaulaylibrary.org/asset/246391641","Open")</f>
        <v>Open</v>
      </c>
      <c r="V1431" s="19"/>
    </row>
    <row r="1432" customFormat="false" ht="15" hidden="false" customHeight="false" outlineLevel="0" collapsed="false">
      <c r="A1432" s="19" t="s">
        <v>4929</v>
      </c>
      <c r="B1432" s="19" t="s">
        <v>943</v>
      </c>
      <c r="C1432" s="19" t="s">
        <v>944</v>
      </c>
      <c r="D1432" s="19" t="s">
        <v>148</v>
      </c>
      <c r="E1432" s="19" t="s">
        <v>147</v>
      </c>
      <c r="F1432" s="19" t="s">
        <v>363</v>
      </c>
      <c r="G1432" s="19" t="n">
        <v>166</v>
      </c>
      <c r="H1432" s="19" t="s">
        <v>364</v>
      </c>
      <c r="I1432" s="20" t="n">
        <v>84.482</v>
      </c>
      <c r="J1432" s="19" t="n">
        <f aca="false">IF(I1432="","",MIN(Overview!$B$8,MAX(1,CEILING(I1432/Overview!$B$7,1))))</f>
        <v>17</v>
      </c>
      <c r="K1432" s="19" t="n">
        <v>1</v>
      </c>
      <c r="L1432" s="19"/>
      <c r="M1432" s="20" t="n">
        <v>2.5</v>
      </c>
      <c r="N1432" s="19"/>
      <c r="O1432" s="19"/>
      <c r="P1432" s="19" t="s">
        <v>1029</v>
      </c>
      <c r="Q1432" s="19" t="s">
        <v>1030</v>
      </c>
      <c r="R1432" s="21" t="n">
        <v>40251</v>
      </c>
      <c r="S1432" s="19" t="s">
        <v>1137</v>
      </c>
      <c r="T1432" s="19" t="s">
        <v>4930</v>
      </c>
      <c r="U1432" s="19" t="str">
        <f aca="false">HYPERLINK("https://macaulaylibrary.org/asset/299614","Open")</f>
        <v>Open</v>
      </c>
      <c r="V1432" s="19"/>
    </row>
    <row r="1433" customFormat="false" ht="15" hidden="false" customHeight="false" outlineLevel="0" collapsed="false">
      <c r="A1433" s="19" t="s">
        <v>4931</v>
      </c>
      <c r="B1433" s="19" t="s">
        <v>943</v>
      </c>
      <c r="C1433" s="19" t="s">
        <v>944</v>
      </c>
      <c r="D1433" s="19" t="s">
        <v>148</v>
      </c>
      <c r="E1433" s="19" t="s">
        <v>147</v>
      </c>
      <c r="F1433" s="19" t="s">
        <v>363</v>
      </c>
      <c r="G1433" s="19" t="n">
        <v>166</v>
      </c>
      <c r="H1433" s="19" t="s">
        <v>364</v>
      </c>
      <c r="I1433" s="20" t="n">
        <v>27.372</v>
      </c>
      <c r="J1433" s="19" t="n">
        <f aca="false">IF(I1433="","",MIN(Overview!$B$8,MAX(1,CEILING(I1433/Overview!$B$7,1))))</f>
        <v>6</v>
      </c>
      <c r="K1433" s="19" t="n">
        <v>1</v>
      </c>
      <c r="L1433" s="19"/>
      <c r="M1433" s="20" t="n">
        <v>3.75</v>
      </c>
      <c r="N1433" s="19"/>
      <c r="O1433" s="19"/>
      <c r="P1433" s="19" t="s">
        <v>1787</v>
      </c>
      <c r="Q1433" s="19" t="s">
        <v>1408</v>
      </c>
      <c r="R1433" s="21" t="n">
        <v>32588</v>
      </c>
      <c r="S1433" s="19" t="s">
        <v>1369</v>
      </c>
      <c r="T1433" s="19" t="s">
        <v>4932</v>
      </c>
      <c r="U1433" s="19" t="str">
        <f aca="false">HYPERLINK("https://macaulaylibrary.org/asset/348004861","Open")</f>
        <v>Open</v>
      </c>
      <c r="V1433" s="19"/>
    </row>
    <row r="1434" customFormat="false" ht="15" hidden="false" customHeight="false" outlineLevel="0" collapsed="false">
      <c r="A1434" s="19" t="s">
        <v>4933</v>
      </c>
      <c r="B1434" s="19" t="s">
        <v>943</v>
      </c>
      <c r="C1434" s="19" t="s">
        <v>944</v>
      </c>
      <c r="D1434" s="19" t="s">
        <v>148</v>
      </c>
      <c r="E1434" s="19" t="s">
        <v>147</v>
      </c>
      <c r="F1434" s="19" t="s">
        <v>363</v>
      </c>
      <c r="G1434" s="19" t="n">
        <v>166</v>
      </c>
      <c r="H1434" s="19" t="s">
        <v>364</v>
      </c>
      <c r="I1434" s="20" t="n">
        <v>2.347</v>
      </c>
      <c r="J1434" s="19" t="n">
        <f aca="false">IF(I1434="","",MIN(Overview!$B$8,MAX(1,CEILING(I1434/Overview!$B$7,1))))</f>
        <v>1</v>
      </c>
      <c r="K1434" s="19" t="n">
        <v>1</v>
      </c>
      <c r="L1434" s="19" t="s">
        <v>1048</v>
      </c>
      <c r="M1434" s="20" t="n">
        <v>1.5</v>
      </c>
      <c r="N1434" s="19"/>
      <c r="O1434" s="19"/>
      <c r="P1434" s="19" t="s">
        <v>1418</v>
      </c>
      <c r="Q1434" s="19" t="s">
        <v>1204</v>
      </c>
      <c r="R1434" s="21" t="n">
        <v>44609</v>
      </c>
      <c r="S1434" s="19" t="s">
        <v>1419</v>
      </c>
      <c r="T1434" s="19" t="s">
        <v>4934</v>
      </c>
      <c r="U1434" s="19" t="str">
        <f aca="false">HYPERLINK("https://macaulaylibrary.org/asset/531240421","Open")</f>
        <v>Open</v>
      </c>
      <c r="V1434" s="19"/>
    </row>
    <row r="1435" customFormat="false" ht="15" hidden="false" customHeight="false" outlineLevel="0" collapsed="false">
      <c r="A1435" s="19" t="s">
        <v>4935</v>
      </c>
      <c r="B1435" s="19" t="s">
        <v>943</v>
      </c>
      <c r="C1435" s="19" t="s">
        <v>944</v>
      </c>
      <c r="D1435" s="19" t="s">
        <v>148</v>
      </c>
      <c r="E1435" s="19" t="s">
        <v>147</v>
      </c>
      <c r="F1435" s="19" t="s">
        <v>363</v>
      </c>
      <c r="G1435" s="19" t="n">
        <v>166</v>
      </c>
      <c r="H1435" s="19" t="s">
        <v>364</v>
      </c>
      <c r="I1435" s="20" t="n">
        <v>11.564</v>
      </c>
      <c r="J1435" s="19" t="n">
        <f aca="false">IF(I1435="","",MIN(Overview!$B$8,MAX(1,CEILING(I1435/Overview!$B$7,1))))</f>
        <v>3</v>
      </c>
      <c r="K1435" s="19" t="n">
        <v>1</v>
      </c>
      <c r="L1435" s="19"/>
      <c r="M1435" s="20" t="n">
        <v>1.5</v>
      </c>
      <c r="N1435" s="19"/>
      <c r="O1435" s="19"/>
      <c r="P1435" s="19" t="s">
        <v>1364</v>
      </c>
      <c r="Q1435" s="19" t="s">
        <v>1040</v>
      </c>
      <c r="R1435" s="21" t="n">
        <v>41630</v>
      </c>
      <c r="S1435" s="19" t="s">
        <v>1002</v>
      </c>
      <c r="T1435" s="19" t="s">
        <v>4936</v>
      </c>
      <c r="U1435" s="19" t="str">
        <f aca="false">HYPERLINK("https://macaulaylibrary.org/asset/609061869","Open")</f>
        <v>Open</v>
      </c>
      <c r="V1435" s="19"/>
    </row>
    <row r="1436" customFormat="false" ht="15" hidden="false" customHeight="false" outlineLevel="0" collapsed="false">
      <c r="A1436" s="19" t="s">
        <v>4937</v>
      </c>
      <c r="B1436" s="19" t="s">
        <v>943</v>
      </c>
      <c r="C1436" s="19" t="s">
        <v>944</v>
      </c>
      <c r="D1436" s="19" t="s">
        <v>148</v>
      </c>
      <c r="E1436" s="19" t="s">
        <v>147</v>
      </c>
      <c r="F1436" s="19" t="s">
        <v>363</v>
      </c>
      <c r="G1436" s="19" t="n">
        <v>166</v>
      </c>
      <c r="H1436" s="19" t="s">
        <v>364</v>
      </c>
      <c r="I1436" s="20" t="n">
        <v>10.398</v>
      </c>
      <c r="J1436" s="19" t="n">
        <f aca="false">IF(I1436="","",MIN(Overview!$B$8,MAX(1,CEILING(I1436/Overview!$B$7,1))))</f>
        <v>3</v>
      </c>
      <c r="K1436" s="19" t="n">
        <v>1</v>
      </c>
      <c r="L1436" s="19"/>
      <c r="M1436" s="20" t="n">
        <v>1.67</v>
      </c>
      <c r="N1436" s="19"/>
      <c r="O1436" s="19"/>
      <c r="P1436" s="19" t="s">
        <v>1364</v>
      </c>
      <c r="Q1436" s="19" t="s">
        <v>1040</v>
      </c>
      <c r="R1436" s="21" t="n">
        <v>41630</v>
      </c>
      <c r="S1436" s="19" t="s">
        <v>1002</v>
      </c>
      <c r="T1436" s="19" t="s">
        <v>4938</v>
      </c>
      <c r="U1436" s="19" t="str">
        <f aca="false">HYPERLINK("https://macaulaylibrary.org/asset/609061870","Open")</f>
        <v>Open</v>
      </c>
      <c r="V1436" s="19"/>
    </row>
    <row r="1437" customFormat="false" ht="15" hidden="false" customHeight="false" outlineLevel="0" collapsed="false">
      <c r="A1437" s="19" t="s">
        <v>4939</v>
      </c>
      <c r="B1437" s="19" t="s">
        <v>943</v>
      </c>
      <c r="C1437" s="19" t="s">
        <v>944</v>
      </c>
      <c r="D1437" s="19" t="s">
        <v>148</v>
      </c>
      <c r="E1437" s="19" t="s">
        <v>147</v>
      </c>
      <c r="F1437" s="19" t="s">
        <v>363</v>
      </c>
      <c r="G1437" s="19" t="n">
        <v>166</v>
      </c>
      <c r="H1437" s="19" t="s">
        <v>364</v>
      </c>
      <c r="I1437" s="20" t="n">
        <v>3.197</v>
      </c>
      <c r="J1437" s="19" t="n">
        <f aca="false">IF(I1437="","",MIN(Overview!$B$8,MAX(1,CEILING(I1437/Overview!$B$7,1))))</f>
        <v>1</v>
      </c>
      <c r="K1437" s="19" t="n">
        <v>1</v>
      </c>
      <c r="L1437" s="19" t="s">
        <v>1048</v>
      </c>
      <c r="M1437" s="20" t="n">
        <v>4.67</v>
      </c>
      <c r="N1437" s="19"/>
      <c r="O1437" s="19"/>
      <c r="P1437" s="19" t="s">
        <v>1364</v>
      </c>
      <c r="Q1437" s="19" t="s">
        <v>1040</v>
      </c>
      <c r="R1437" s="21" t="n">
        <v>41630</v>
      </c>
      <c r="S1437" s="19" t="s">
        <v>1002</v>
      </c>
      <c r="T1437" s="19" t="s">
        <v>4940</v>
      </c>
      <c r="U1437" s="19" t="str">
        <f aca="false">HYPERLINK("https://macaulaylibrary.org/asset/609061871","Open")</f>
        <v>Open</v>
      </c>
      <c r="V1437" s="19"/>
    </row>
    <row r="1438" customFormat="false" ht="15" hidden="false" customHeight="false" outlineLevel="0" collapsed="false">
      <c r="A1438" s="19" t="s">
        <v>4941</v>
      </c>
      <c r="B1438" s="19" t="s">
        <v>943</v>
      </c>
      <c r="C1438" s="19" t="s">
        <v>944</v>
      </c>
      <c r="D1438" s="19" t="s">
        <v>148</v>
      </c>
      <c r="E1438" s="19" t="s">
        <v>147</v>
      </c>
      <c r="F1438" s="19" t="s">
        <v>363</v>
      </c>
      <c r="G1438" s="19" t="n">
        <v>166</v>
      </c>
      <c r="H1438" s="19" t="s">
        <v>364</v>
      </c>
      <c r="I1438" s="20" t="n">
        <v>9.296</v>
      </c>
      <c r="J1438" s="19" t="n">
        <f aca="false">IF(I1438="","",MIN(Overview!$B$8,MAX(1,CEILING(I1438/Overview!$B$7,1))))</f>
        <v>2</v>
      </c>
      <c r="K1438" s="19" t="n">
        <v>1</v>
      </c>
      <c r="L1438" s="19"/>
      <c r="M1438" s="20" t="n">
        <v>1</v>
      </c>
      <c r="N1438" s="19"/>
      <c r="O1438" s="19" t="s">
        <v>4942</v>
      </c>
      <c r="P1438" s="19" t="s">
        <v>1373</v>
      </c>
      <c r="Q1438" s="19" t="s">
        <v>990</v>
      </c>
      <c r="R1438" s="21" t="n">
        <v>46012</v>
      </c>
      <c r="S1438" s="19" t="s">
        <v>1009</v>
      </c>
      <c r="T1438" s="19" t="s">
        <v>4943</v>
      </c>
      <c r="U1438" s="19" t="str">
        <f aca="false">HYPERLINK("https://macaulaylibrary.org/asset/647328965","Open")</f>
        <v>Open</v>
      </c>
      <c r="V1438" s="19"/>
    </row>
    <row r="1439" customFormat="false" ht="15" hidden="false" customHeight="false" outlineLevel="0" collapsed="false">
      <c r="A1439" s="19" t="s">
        <v>4944</v>
      </c>
      <c r="B1439" s="19" t="s">
        <v>943</v>
      </c>
      <c r="C1439" s="19" t="s">
        <v>944</v>
      </c>
      <c r="D1439" s="19" t="s">
        <v>148</v>
      </c>
      <c r="E1439" s="19" t="s">
        <v>147</v>
      </c>
      <c r="F1439" s="19" t="s">
        <v>363</v>
      </c>
      <c r="G1439" s="19" t="n">
        <v>166</v>
      </c>
      <c r="H1439" s="19" t="s">
        <v>364</v>
      </c>
      <c r="I1439" s="20" t="n">
        <v>4.777</v>
      </c>
      <c r="J1439" s="19" t="n">
        <f aca="false">IF(I1439="","",MIN(Overview!$B$8,MAX(1,CEILING(I1439/Overview!$B$7,1))))</f>
        <v>1</v>
      </c>
      <c r="K1439" s="19" t="n">
        <v>1</v>
      </c>
      <c r="L1439" s="19" t="s">
        <v>1048</v>
      </c>
      <c r="M1439" s="20"/>
      <c r="N1439" s="19"/>
      <c r="O1439" s="19"/>
      <c r="P1439" s="19" t="s">
        <v>4945</v>
      </c>
      <c r="Q1439" s="19" t="s">
        <v>1382</v>
      </c>
      <c r="R1439" s="21" t="n">
        <v>46105</v>
      </c>
      <c r="S1439" s="19" t="s">
        <v>3865</v>
      </c>
      <c r="T1439" s="19" t="s">
        <v>4946</v>
      </c>
      <c r="U1439" s="19" t="str">
        <f aca="false">HYPERLINK("https://macaulaylibrary.org/asset/654740934","Open")</f>
        <v>Open</v>
      </c>
      <c r="V1439" s="19"/>
    </row>
    <row r="1440" customFormat="false" ht="15" hidden="false" customHeight="false" outlineLevel="0" collapsed="false">
      <c r="A1440" s="19" t="s">
        <v>4947</v>
      </c>
      <c r="B1440" s="19" t="s">
        <v>943</v>
      </c>
      <c r="C1440" s="19" t="s">
        <v>944</v>
      </c>
      <c r="D1440" s="19" t="s">
        <v>400</v>
      </c>
      <c r="E1440" s="19" t="s">
        <v>147</v>
      </c>
      <c r="F1440" s="19" t="s">
        <v>574</v>
      </c>
      <c r="G1440" s="19" t="n">
        <v>167</v>
      </c>
      <c r="H1440" s="19" t="s">
        <v>575</v>
      </c>
      <c r="I1440" s="20" t="n">
        <v>252.197</v>
      </c>
      <c r="J1440" s="19" t="n">
        <f aca="false">IF(I1440="","",MIN(Overview!$B$8,MAX(1,CEILING(I1440/Overview!$B$7,1))))</f>
        <v>51</v>
      </c>
      <c r="K1440" s="19" t="n">
        <v>1</v>
      </c>
      <c r="L1440" s="19"/>
      <c r="M1440" s="20" t="n">
        <v>4</v>
      </c>
      <c r="N1440" s="19"/>
      <c r="O1440" s="19"/>
      <c r="P1440" s="19" t="s">
        <v>1390</v>
      </c>
      <c r="Q1440" s="19" t="s">
        <v>1021</v>
      </c>
      <c r="R1440" s="21" t="n">
        <v>36596</v>
      </c>
      <c r="S1440" s="19" t="s">
        <v>1137</v>
      </c>
      <c r="T1440" s="19" t="s">
        <v>4948</v>
      </c>
      <c r="U1440" s="19" t="str">
        <f aca="false">HYPERLINK("https://macaulaylibrary.org/asset/144153781","Open")</f>
        <v>Open</v>
      </c>
      <c r="V1440" s="19"/>
    </row>
    <row r="1441" customFormat="false" ht="15" hidden="false" customHeight="false" outlineLevel="0" collapsed="false">
      <c r="A1441" s="19" t="s">
        <v>4949</v>
      </c>
      <c r="B1441" s="19" t="s">
        <v>943</v>
      </c>
      <c r="C1441" s="19" t="s">
        <v>944</v>
      </c>
      <c r="D1441" s="19" t="s">
        <v>400</v>
      </c>
      <c r="E1441" s="19" t="s">
        <v>147</v>
      </c>
      <c r="F1441" s="19" t="s">
        <v>574</v>
      </c>
      <c r="G1441" s="19" t="n">
        <v>167</v>
      </c>
      <c r="H1441" s="19" t="s">
        <v>575</v>
      </c>
      <c r="I1441" s="20" t="n">
        <v>138.286</v>
      </c>
      <c r="J1441" s="19" t="n">
        <f aca="false">IF(I1441="","",MIN(Overview!$B$8,MAX(1,CEILING(I1441/Overview!$B$7,1))))</f>
        <v>28</v>
      </c>
      <c r="K1441" s="19" t="n">
        <v>1</v>
      </c>
      <c r="L1441" s="19"/>
      <c r="M1441" s="20" t="n">
        <v>3.5</v>
      </c>
      <c r="N1441" s="19"/>
      <c r="O1441" s="19"/>
      <c r="P1441" s="19" t="s">
        <v>1390</v>
      </c>
      <c r="Q1441" s="19" t="s">
        <v>1021</v>
      </c>
      <c r="R1441" s="21" t="n">
        <v>36596</v>
      </c>
      <c r="S1441" s="19" t="s">
        <v>1137</v>
      </c>
      <c r="T1441" s="19" t="s">
        <v>4950</v>
      </c>
      <c r="U1441" s="19" t="str">
        <f aca="false">HYPERLINK("https://macaulaylibrary.org/asset/144450141","Open")</f>
        <v>Open</v>
      </c>
      <c r="V1441" s="19"/>
    </row>
    <row r="1442" customFormat="false" ht="15" hidden="false" customHeight="false" outlineLevel="0" collapsed="false">
      <c r="A1442" s="19" t="s">
        <v>4951</v>
      </c>
      <c r="B1442" s="19" t="s">
        <v>943</v>
      </c>
      <c r="C1442" s="19" t="s">
        <v>944</v>
      </c>
      <c r="D1442" s="19" t="s">
        <v>400</v>
      </c>
      <c r="E1442" s="19" t="s">
        <v>147</v>
      </c>
      <c r="F1442" s="19" t="s">
        <v>574</v>
      </c>
      <c r="G1442" s="19" t="n">
        <v>167</v>
      </c>
      <c r="H1442" s="19" t="s">
        <v>575</v>
      </c>
      <c r="I1442" s="20" t="n">
        <v>149.793</v>
      </c>
      <c r="J1442" s="19" t="n">
        <f aca="false">IF(I1442="","",MIN(Overview!$B$8,MAX(1,CEILING(I1442/Overview!$B$7,1))))</f>
        <v>30</v>
      </c>
      <c r="K1442" s="19" t="n">
        <v>1</v>
      </c>
      <c r="L1442" s="19"/>
      <c r="M1442" s="20" t="n">
        <v>4</v>
      </c>
      <c r="N1442" s="19"/>
      <c r="O1442" s="19"/>
      <c r="P1442" s="19" t="s">
        <v>1390</v>
      </c>
      <c r="Q1442" s="19" t="s">
        <v>1021</v>
      </c>
      <c r="R1442" s="21" t="n">
        <v>36596</v>
      </c>
      <c r="S1442" s="19" t="s">
        <v>1137</v>
      </c>
      <c r="T1442" s="19" t="s">
        <v>4952</v>
      </c>
      <c r="U1442" s="19" t="str">
        <f aca="false">HYPERLINK("https://macaulaylibrary.org/asset/144452571","Open")</f>
        <v>Open</v>
      </c>
      <c r="V1442" s="19"/>
    </row>
    <row r="1443" customFormat="false" ht="15" hidden="false" customHeight="false" outlineLevel="0" collapsed="false">
      <c r="A1443" s="19" t="s">
        <v>4953</v>
      </c>
      <c r="B1443" s="19" t="s">
        <v>943</v>
      </c>
      <c r="C1443" s="19" t="s">
        <v>944</v>
      </c>
      <c r="D1443" s="19" t="s">
        <v>400</v>
      </c>
      <c r="E1443" s="19" t="s">
        <v>147</v>
      </c>
      <c r="F1443" s="19" t="s">
        <v>574</v>
      </c>
      <c r="G1443" s="19" t="n">
        <v>167</v>
      </c>
      <c r="H1443" s="19" t="s">
        <v>575</v>
      </c>
      <c r="I1443" s="20" t="n">
        <v>23.952</v>
      </c>
      <c r="J1443" s="19" t="n">
        <f aca="false">IF(I1443="","",MIN(Overview!$B$8,MAX(1,CEILING(I1443/Overview!$B$7,1))))</f>
        <v>5</v>
      </c>
      <c r="K1443" s="19" t="n">
        <v>1</v>
      </c>
      <c r="L1443" s="19"/>
      <c r="M1443" s="20" t="n">
        <v>2</v>
      </c>
      <c r="N1443" s="19"/>
      <c r="O1443" s="19"/>
      <c r="P1443" s="19" t="s">
        <v>3717</v>
      </c>
      <c r="Q1443" s="19" t="s">
        <v>2343</v>
      </c>
      <c r="R1443" s="21" t="n">
        <v>31505</v>
      </c>
      <c r="S1443" s="19" t="s">
        <v>1031</v>
      </c>
      <c r="T1443" s="19" t="s">
        <v>4954</v>
      </c>
      <c r="U1443" s="19" t="str">
        <f aca="false">HYPERLINK("https://macaulaylibrary.org/asset/249441","Open")</f>
        <v>Open</v>
      </c>
      <c r="V1443" s="19"/>
    </row>
    <row r="1444" customFormat="false" ht="15" hidden="false" customHeight="false" outlineLevel="0" collapsed="false">
      <c r="A1444" s="19" t="s">
        <v>4955</v>
      </c>
      <c r="B1444" s="19" t="s">
        <v>1005</v>
      </c>
      <c r="C1444" s="19" t="s">
        <v>944</v>
      </c>
      <c r="D1444" s="19" t="s">
        <v>647</v>
      </c>
      <c r="E1444" s="19" t="s">
        <v>147</v>
      </c>
      <c r="F1444" s="19" t="s">
        <v>669</v>
      </c>
      <c r="G1444" s="19" t="n">
        <v>168</v>
      </c>
      <c r="H1444" s="19" t="s">
        <v>670</v>
      </c>
      <c r="I1444" s="20" t="n">
        <v>32.856</v>
      </c>
      <c r="J1444" s="19" t="n">
        <f aca="false">IF(I1444="","",MIN(Overview!$B$8,MAX(1,CEILING(I1444/Overview!$B$7,1))))</f>
        <v>7</v>
      </c>
      <c r="K1444" s="19" t="n">
        <v>1</v>
      </c>
      <c r="L1444" s="19"/>
      <c r="M1444" s="20"/>
      <c r="N1444" s="19" t="s">
        <v>2910</v>
      </c>
      <c r="O1444" s="19"/>
      <c r="P1444" s="19" t="s">
        <v>2262</v>
      </c>
      <c r="Q1444" s="19" t="s">
        <v>1008</v>
      </c>
      <c r="R1444" s="21" t="n">
        <v>42579</v>
      </c>
      <c r="S1444" s="19" t="s">
        <v>2804</v>
      </c>
      <c r="T1444" s="19" t="s">
        <v>4956</v>
      </c>
      <c r="U1444" s="19" t="str">
        <f aca="false">HYPERLINK("https://xeno-canto.org/332163","Open")</f>
        <v>Open</v>
      </c>
      <c r="V1444" s="19" t="s">
        <v>2267</v>
      </c>
    </row>
    <row r="1445" customFormat="false" ht="15" hidden="false" customHeight="false" outlineLevel="0" collapsed="false">
      <c r="A1445" s="19" t="s">
        <v>4957</v>
      </c>
      <c r="B1445" s="19" t="s">
        <v>1005</v>
      </c>
      <c r="C1445" s="19" t="s">
        <v>944</v>
      </c>
      <c r="D1445" s="19" t="s">
        <v>647</v>
      </c>
      <c r="E1445" s="19" t="s">
        <v>147</v>
      </c>
      <c r="F1445" s="19" t="s">
        <v>669</v>
      </c>
      <c r="G1445" s="19" t="n">
        <v>168</v>
      </c>
      <c r="H1445" s="19" t="s">
        <v>670</v>
      </c>
      <c r="I1445" s="20" t="n">
        <v>11.544</v>
      </c>
      <c r="J1445" s="19" t="n">
        <f aca="false">IF(I1445="","",MIN(Overview!$B$8,MAX(1,CEILING(I1445/Overview!$B$7,1))))</f>
        <v>3</v>
      </c>
      <c r="K1445" s="19" t="n">
        <v>1</v>
      </c>
      <c r="L1445" s="19"/>
      <c r="M1445" s="20"/>
      <c r="N1445" s="19" t="s">
        <v>1006</v>
      </c>
      <c r="O1445" s="19"/>
      <c r="P1445" s="19" t="s">
        <v>2265</v>
      </c>
      <c r="Q1445" s="19" t="s">
        <v>1008</v>
      </c>
      <c r="R1445" s="21" t="n">
        <v>42580</v>
      </c>
      <c r="S1445" s="19" t="s">
        <v>1534</v>
      </c>
      <c r="T1445" s="19" t="s">
        <v>4958</v>
      </c>
      <c r="U1445" s="19" t="str">
        <f aca="false">HYPERLINK("https://xeno-canto.org/332164","Open")</f>
        <v>Open</v>
      </c>
      <c r="V1445" s="19" t="s">
        <v>4959</v>
      </c>
    </row>
    <row r="1446" customFormat="false" ht="15" hidden="false" customHeight="false" outlineLevel="0" collapsed="false">
      <c r="A1446" s="19" t="s">
        <v>4960</v>
      </c>
      <c r="B1446" s="19" t="s">
        <v>1005</v>
      </c>
      <c r="C1446" s="19" t="s">
        <v>944</v>
      </c>
      <c r="D1446" s="19" t="s">
        <v>647</v>
      </c>
      <c r="E1446" s="19" t="s">
        <v>147</v>
      </c>
      <c r="F1446" s="19" t="s">
        <v>669</v>
      </c>
      <c r="G1446" s="19" t="n">
        <v>168</v>
      </c>
      <c r="H1446" s="19" t="s">
        <v>670</v>
      </c>
      <c r="I1446" s="20" t="n">
        <v>7.056</v>
      </c>
      <c r="J1446" s="19" t="n">
        <f aca="false">IF(I1446="","",MIN(Overview!$B$8,MAX(1,CEILING(I1446/Overview!$B$7,1))))</f>
        <v>2</v>
      </c>
      <c r="K1446" s="19" t="n">
        <v>1</v>
      </c>
      <c r="L1446" s="19"/>
      <c r="M1446" s="20"/>
      <c r="N1446" s="19" t="s">
        <v>1718</v>
      </c>
      <c r="O1446" s="19"/>
      <c r="P1446" s="19" t="s">
        <v>2911</v>
      </c>
      <c r="Q1446" s="19" t="s">
        <v>1008</v>
      </c>
      <c r="R1446" s="21" t="n">
        <v>42580</v>
      </c>
      <c r="S1446" s="19" t="s">
        <v>1279</v>
      </c>
      <c r="T1446" s="19" t="s">
        <v>4961</v>
      </c>
      <c r="U1446" s="19" t="str">
        <f aca="false">HYPERLINK("https://xeno-canto.org/332567","Open")</f>
        <v>Open</v>
      </c>
      <c r="V1446" s="19" t="s">
        <v>1660</v>
      </c>
    </row>
    <row r="1447" customFormat="false" ht="15" hidden="false" customHeight="false" outlineLevel="0" collapsed="false">
      <c r="A1447" s="19" t="s">
        <v>4962</v>
      </c>
      <c r="B1447" s="19" t="s">
        <v>943</v>
      </c>
      <c r="C1447" s="19" t="s">
        <v>944</v>
      </c>
      <c r="D1447" s="19" t="s">
        <v>148</v>
      </c>
      <c r="E1447" s="19" t="s">
        <v>147</v>
      </c>
      <c r="F1447" s="19" t="s">
        <v>407</v>
      </c>
      <c r="G1447" s="19" t="n">
        <v>169</v>
      </c>
      <c r="H1447" s="19" t="s">
        <v>408</v>
      </c>
      <c r="I1447" s="20" t="n">
        <v>65.682</v>
      </c>
      <c r="J1447" s="19" t="n">
        <f aca="false">IF(I1447="","",MIN(Overview!$B$8,MAX(1,CEILING(I1447/Overview!$B$7,1))))</f>
        <v>14</v>
      </c>
      <c r="K1447" s="19" t="n">
        <v>1</v>
      </c>
      <c r="L1447" s="19"/>
      <c r="M1447" s="20" t="n">
        <v>3</v>
      </c>
      <c r="N1447" s="19"/>
      <c r="O1447" s="19"/>
      <c r="P1447" s="19" t="s">
        <v>3831</v>
      </c>
      <c r="Q1447" s="19" t="s">
        <v>1021</v>
      </c>
      <c r="R1447" s="21" t="n">
        <v>35862</v>
      </c>
      <c r="S1447" s="19" t="s">
        <v>1036</v>
      </c>
      <c r="T1447" s="19" t="s">
        <v>4963</v>
      </c>
      <c r="U1447" s="19" t="str">
        <f aca="false">HYPERLINK("https://macaulaylibrary.org/asset/100358671","Open")</f>
        <v>Open</v>
      </c>
      <c r="V1447" s="19"/>
    </row>
    <row r="1448" customFormat="false" ht="15" hidden="false" customHeight="false" outlineLevel="0" collapsed="false">
      <c r="A1448" s="19" t="s">
        <v>4964</v>
      </c>
      <c r="B1448" s="19" t="s">
        <v>943</v>
      </c>
      <c r="C1448" s="19" t="s">
        <v>944</v>
      </c>
      <c r="D1448" s="19" t="s">
        <v>148</v>
      </c>
      <c r="E1448" s="19" t="s">
        <v>147</v>
      </c>
      <c r="F1448" s="19" t="s">
        <v>407</v>
      </c>
      <c r="G1448" s="19" t="n">
        <v>169</v>
      </c>
      <c r="H1448" s="19" t="s">
        <v>408</v>
      </c>
      <c r="I1448" s="20" t="n">
        <v>53.588</v>
      </c>
      <c r="J1448" s="19" t="n">
        <f aca="false">IF(I1448="","",MIN(Overview!$B$8,MAX(1,CEILING(I1448/Overview!$B$7,1))))</f>
        <v>11</v>
      </c>
      <c r="K1448" s="19" t="n">
        <v>1</v>
      </c>
      <c r="L1448" s="19"/>
      <c r="M1448" s="20" t="n">
        <v>3</v>
      </c>
      <c r="N1448" s="19"/>
      <c r="O1448" s="19"/>
      <c r="P1448" s="19" t="s">
        <v>3831</v>
      </c>
      <c r="Q1448" s="19" t="s">
        <v>1021</v>
      </c>
      <c r="R1448" s="21" t="n">
        <v>35862</v>
      </c>
      <c r="S1448" s="19" t="s">
        <v>1036</v>
      </c>
      <c r="T1448" s="19" t="s">
        <v>4965</v>
      </c>
      <c r="U1448" s="19" t="str">
        <f aca="false">HYPERLINK("https://macaulaylibrary.org/asset/100359471","Open")</f>
        <v>Open</v>
      </c>
      <c r="V1448" s="19"/>
    </row>
    <row r="1449" customFormat="false" ht="15" hidden="false" customHeight="false" outlineLevel="0" collapsed="false">
      <c r="A1449" s="19" t="s">
        <v>4966</v>
      </c>
      <c r="B1449" s="19" t="s">
        <v>943</v>
      </c>
      <c r="C1449" s="19" t="s">
        <v>944</v>
      </c>
      <c r="D1449" s="19" t="s">
        <v>148</v>
      </c>
      <c r="E1449" s="19" t="s">
        <v>147</v>
      </c>
      <c r="F1449" s="19" t="s">
        <v>407</v>
      </c>
      <c r="G1449" s="19" t="n">
        <v>169</v>
      </c>
      <c r="H1449" s="19" t="s">
        <v>408</v>
      </c>
      <c r="I1449" s="20" t="n">
        <v>14.94</v>
      </c>
      <c r="J1449" s="19" t="n">
        <f aca="false">IF(I1449="","",MIN(Overview!$B$8,MAX(1,CEILING(I1449/Overview!$B$7,1))))</f>
        <v>3</v>
      </c>
      <c r="K1449" s="19" t="n">
        <v>1</v>
      </c>
      <c r="L1449" s="19"/>
      <c r="M1449" s="20" t="n">
        <v>2.5</v>
      </c>
      <c r="N1449" s="19"/>
      <c r="O1449" s="19"/>
      <c r="P1449" s="19" t="s">
        <v>1039</v>
      </c>
      <c r="Q1449" s="19" t="s">
        <v>1040</v>
      </c>
      <c r="R1449" s="21" t="n">
        <v>40901</v>
      </c>
      <c r="S1449" s="19" t="s">
        <v>1002</v>
      </c>
      <c r="T1449" s="19" t="s">
        <v>4967</v>
      </c>
      <c r="U1449" s="19" t="str">
        <f aca="false">HYPERLINK("https://macaulaylibrary.org/asset/609056544","Open")</f>
        <v>Open</v>
      </c>
      <c r="V1449" s="19"/>
    </row>
    <row r="1450" customFormat="false" ht="15" hidden="false" customHeight="false" outlineLevel="0" collapsed="false">
      <c r="A1450" s="19" t="s">
        <v>4968</v>
      </c>
      <c r="B1450" s="19" t="s">
        <v>943</v>
      </c>
      <c r="C1450" s="19" t="s">
        <v>944</v>
      </c>
      <c r="D1450" s="19" t="s">
        <v>148</v>
      </c>
      <c r="E1450" s="19" t="s">
        <v>147</v>
      </c>
      <c r="F1450" s="19" t="s">
        <v>407</v>
      </c>
      <c r="G1450" s="19" t="n">
        <v>169</v>
      </c>
      <c r="H1450" s="19" t="s">
        <v>408</v>
      </c>
      <c r="I1450" s="20" t="n">
        <v>4.432</v>
      </c>
      <c r="J1450" s="19" t="n">
        <f aca="false">IF(I1450="","",MIN(Overview!$B$8,MAX(1,CEILING(I1450/Overview!$B$7,1))))</f>
        <v>1</v>
      </c>
      <c r="K1450" s="19" t="n">
        <v>1</v>
      </c>
      <c r="L1450" s="19" t="s">
        <v>1048</v>
      </c>
      <c r="M1450" s="20" t="n">
        <v>2</v>
      </c>
      <c r="N1450" s="19"/>
      <c r="O1450" s="19"/>
      <c r="P1450" s="19" t="s">
        <v>4969</v>
      </c>
      <c r="Q1450" s="19" t="s">
        <v>1050</v>
      </c>
      <c r="R1450" s="21" t="n">
        <v>43407</v>
      </c>
      <c r="S1450" s="19" t="s">
        <v>4970</v>
      </c>
      <c r="T1450" s="19" t="s">
        <v>4971</v>
      </c>
      <c r="U1450" s="19" t="str">
        <f aca="false">HYPERLINK("https://macaulaylibrary.org/asset/642601108","Open")</f>
        <v>Open</v>
      </c>
      <c r="V1450" s="19"/>
    </row>
    <row r="1451" customFormat="false" ht="15" hidden="false" customHeight="false" outlineLevel="0" collapsed="false">
      <c r="A1451" s="19" t="s">
        <v>4972</v>
      </c>
      <c r="B1451" s="19" t="s">
        <v>943</v>
      </c>
      <c r="C1451" s="19" t="s">
        <v>944</v>
      </c>
      <c r="D1451" s="19" t="s">
        <v>148</v>
      </c>
      <c r="E1451" s="19" t="s">
        <v>147</v>
      </c>
      <c r="F1451" s="19" t="s">
        <v>407</v>
      </c>
      <c r="G1451" s="19" t="n">
        <v>169</v>
      </c>
      <c r="H1451" s="19" t="s">
        <v>408</v>
      </c>
      <c r="I1451" s="20" t="n">
        <v>9.73</v>
      </c>
      <c r="J1451" s="19" t="n">
        <f aca="false">IF(I1451="","",MIN(Overview!$B$8,MAX(1,CEILING(I1451/Overview!$B$7,1))))</f>
        <v>2</v>
      </c>
      <c r="K1451" s="19" t="n">
        <v>1</v>
      </c>
      <c r="L1451" s="19"/>
      <c r="M1451" s="20" t="n">
        <v>4</v>
      </c>
      <c r="N1451" s="19"/>
      <c r="O1451" s="19"/>
      <c r="P1451" s="19" t="s">
        <v>2901</v>
      </c>
      <c r="Q1451" s="19" t="s">
        <v>1368</v>
      </c>
      <c r="R1451" s="21" t="n">
        <v>45624</v>
      </c>
      <c r="S1451" s="19" t="s">
        <v>1036</v>
      </c>
      <c r="T1451" s="19" t="s">
        <v>4973</v>
      </c>
      <c r="U1451" s="19" t="str">
        <f aca="false">HYPERLINK("https://macaulaylibrary.org/asset/642913274","Open")</f>
        <v>Open</v>
      </c>
      <c r="V1451" s="19"/>
    </row>
    <row r="1452" customFormat="false" ht="15" hidden="false" customHeight="false" outlineLevel="0" collapsed="false">
      <c r="A1452" s="19" t="s">
        <v>4974</v>
      </c>
      <c r="B1452" s="19" t="s">
        <v>943</v>
      </c>
      <c r="C1452" s="19" t="s">
        <v>944</v>
      </c>
      <c r="D1452" s="19" t="s">
        <v>148</v>
      </c>
      <c r="E1452" s="19" t="s">
        <v>147</v>
      </c>
      <c r="F1452" s="19" t="s">
        <v>407</v>
      </c>
      <c r="G1452" s="19" t="n">
        <v>169</v>
      </c>
      <c r="H1452" s="19" t="s">
        <v>408</v>
      </c>
      <c r="I1452" s="20" t="n">
        <v>22.684</v>
      </c>
      <c r="J1452" s="19" t="n">
        <f aca="false">IF(I1452="","",MIN(Overview!$B$8,MAX(1,CEILING(I1452/Overview!$B$7,1))))</f>
        <v>5</v>
      </c>
      <c r="K1452" s="19" t="n">
        <v>1</v>
      </c>
      <c r="L1452" s="19"/>
      <c r="M1452" s="20" t="n">
        <v>1</v>
      </c>
      <c r="N1452" s="19"/>
      <c r="O1452" s="19"/>
      <c r="P1452" s="19" t="s">
        <v>4975</v>
      </c>
      <c r="Q1452" s="19" t="s">
        <v>1091</v>
      </c>
      <c r="R1452" s="21" t="n">
        <v>45845</v>
      </c>
      <c r="S1452" s="19" t="s">
        <v>1530</v>
      </c>
      <c r="T1452" s="19" t="s">
        <v>4976</v>
      </c>
      <c r="U1452" s="19" t="str">
        <f aca="false">HYPERLINK("https://macaulaylibrary.org/asset/643526536","Open")</f>
        <v>Open</v>
      </c>
      <c r="V1452" s="19"/>
    </row>
    <row r="1453" customFormat="false" ht="15" hidden="false" customHeight="false" outlineLevel="0" collapsed="false">
      <c r="A1453" s="19" t="s">
        <v>4977</v>
      </c>
      <c r="B1453" s="19" t="s">
        <v>1005</v>
      </c>
      <c r="C1453" s="19" t="s">
        <v>944</v>
      </c>
      <c r="D1453" s="19" t="s">
        <v>647</v>
      </c>
      <c r="E1453" s="19" t="s">
        <v>147</v>
      </c>
      <c r="F1453" s="19" t="s">
        <v>407</v>
      </c>
      <c r="G1453" s="19" t="n">
        <v>169</v>
      </c>
      <c r="H1453" s="19" t="s">
        <v>408</v>
      </c>
      <c r="I1453" s="20" t="n">
        <v>22.008</v>
      </c>
      <c r="J1453" s="19" t="n">
        <f aca="false">IF(I1453="","",MIN(Overview!$B$8,MAX(1,CEILING(I1453/Overview!$B$7,1))))</f>
        <v>5</v>
      </c>
      <c r="K1453" s="19" t="n">
        <v>1</v>
      </c>
      <c r="L1453" s="19"/>
      <c r="M1453" s="20"/>
      <c r="N1453" s="19" t="s">
        <v>1718</v>
      </c>
      <c r="O1453" s="19"/>
      <c r="P1453" s="19" t="s">
        <v>1952</v>
      </c>
      <c r="Q1453" s="19" t="s">
        <v>1008</v>
      </c>
      <c r="R1453" s="21" t="n">
        <v>42581</v>
      </c>
      <c r="S1453" s="19" t="s">
        <v>1009</v>
      </c>
      <c r="T1453" s="19" t="s">
        <v>4978</v>
      </c>
      <c r="U1453" s="19" t="str">
        <f aca="false">HYPERLINK("https://xeno-canto.org/332268","Open")</f>
        <v>Open</v>
      </c>
      <c r="V1453" s="19" t="s">
        <v>2267</v>
      </c>
    </row>
    <row r="1454" customFormat="false" ht="15" hidden="false" customHeight="false" outlineLevel="0" collapsed="false">
      <c r="A1454" s="19" t="s">
        <v>4979</v>
      </c>
      <c r="B1454" s="19" t="s">
        <v>943</v>
      </c>
      <c r="C1454" s="19" t="s">
        <v>944</v>
      </c>
      <c r="D1454" s="19" t="s">
        <v>148</v>
      </c>
      <c r="E1454" s="19" t="s">
        <v>147</v>
      </c>
      <c r="F1454" s="19" t="s">
        <v>215</v>
      </c>
      <c r="G1454" s="19" t="n">
        <v>170</v>
      </c>
      <c r="H1454" s="19" t="s">
        <v>216</v>
      </c>
      <c r="I1454" s="20" t="n">
        <v>45.509</v>
      </c>
      <c r="J1454" s="19" t="n">
        <f aca="false">IF(I1454="","",MIN(Overview!$B$8,MAX(1,CEILING(I1454/Overview!$B$7,1))))</f>
        <v>10</v>
      </c>
      <c r="K1454" s="19" t="n">
        <v>1</v>
      </c>
      <c r="L1454" s="19"/>
      <c r="M1454" s="20" t="n">
        <v>4</v>
      </c>
      <c r="N1454" s="19"/>
      <c r="O1454" s="19"/>
      <c r="P1454" s="19" t="s">
        <v>3861</v>
      </c>
      <c r="Q1454" s="19" t="s">
        <v>1401</v>
      </c>
      <c r="R1454" s="21" t="n">
        <v>36228</v>
      </c>
      <c r="S1454" s="19" t="s">
        <v>1936</v>
      </c>
      <c r="T1454" s="19" t="s">
        <v>4980</v>
      </c>
      <c r="U1454" s="19" t="str">
        <f aca="false">HYPERLINK("https://macaulaylibrary.org/asset/134272631","Open")</f>
        <v>Open</v>
      </c>
      <c r="V1454" s="19"/>
    </row>
    <row r="1455" customFormat="false" ht="15" hidden="false" customHeight="false" outlineLevel="0" collapsed="false">
      <c r="A1455" s="19" t="s">
        <v>4981</v>
      </c>
      <c r="B1455" s="19" t="s">
        <v>943</v>
      </c>
      <c r="C1455" s="19" t="s">
        <v>944</v>
      </c>
      <c r="D1455" s="19" t="s">
        <v>148</v>
      </c>
      <c r="E1455" s="19" t="s">
        <v>147</v>
      </c>
      <c r="F1455" s="19" t="s">
        <v>215</v>
      </c>
      <c r="G1455" s="19" t="n">
        <v>170</v>
      </c>
      <c r="H1455" s="19" t="s">
        <v>216</v>
      </c>
      <c r="I1455" s="20" t="n">
        <v>11.477</v>
      </c>
      <c r="J1455" s="19" t="n">
        <f aca="false">IF(I1455="","",MIN(Overview!$B$8,MAX(1,CEILING(I1455/Overview!$B$7,1))))</f>
        <v>3</v>
      </c>
      <c r="K1455" s="19" t="n">
        <v>1</v>
      </c>
      <c r="L1455" s="19"/>
      <c r="M1455" s="20" t="n">
        <v>3</v>
      </c>
      <c r="N1455" s="19"/>
      <c r="O1455" s="19"/>
      <c r="P1455" s="19" t="s">
        <v>1067</v>
      </c>
      <c r="Q1455" s="19" t="s">
        <v>965</v>
      </c>
      <c r="R1455" s="21" t="n">
        <v>44185</v>
      </c>
      <c r="S1455" s="19" t="s">
        <v>1022</v>
      </c>
      <c r="T1455" s="19" t="s">
        <v>4982</v>
      </c>
      <c r="U1455" s="19" t="str">
        <f aca="false">HYPERLINK("https://macaulaylibrary.org/asset/289834051","Open")</f>
        <v>Open</v>
      </c>
      <c r="V1455" s="19"/>
    </row>
    <row r="1456" customFormat="false" ht="15" hidden="false" customHeight="false" outlineLevel="0" collapsed="false">
      <c r="A1456" s="19" t="s">
        <v>4983</v>
      </c>
      <c r="B1456" s="19" t="s">
        <v>943</v>
      </c>
      <c r="C1456" s="19" t="s">
        <v>944</v>
      </c>
      <c r="D1456" s="19" t="s">
        <v>148</v>
      </c>
      <c r="E1456" s="19" t="s">
        <v>147</v>
      </c>
      <c r="F1456" s="19" t="s">
        <v>215</v>
      </c>
      <c r="G1456" s="19" t="n">
        <v>170</v>
      </c>
      <c r="H1456" s="19" t="s">
        <v>216</v>
      </c>
      <c r="I1456" s="20" t="n">
        <v>30.08</v>
      </c>
      <c r="J1456" s="19" t="n">
        <f aca="false">IF(I1456="","",MIN(Overview!$B$8,MAX(1,CEILING(I1456/Overview!$B$7,1))))</f>
        <v>7</v>
      </c>
      <c r="K1456" s="19" t="n">
        <v>1</v>
      </c>
      <c r="L1456" s="19"/>
      <c r="M1456" s="20" t="n">
        <v>3</v>
      </c>
      <c r="N1456" s="19"/>
      <c r="O1456" s="19"/>
      <c r="P1456" s="19" t="s">
        <v>3027</v>
      </c>
      <c r="Q1456" s="19" t="s">
        <v>965</v>
      </c>
      <c r="R1456" s="21" t="n">
        <v>44912</v>
      </c>
      <c r="S1456" s="19" t="s">
        <v>957</v>
      </c>
      <c r="T1456" s="19" t="s">
        <v>4984</v>
      </c>
      <c r="U1456" s="19" t="str">
        <f aca="false">HYPERLINK("https://macaulaylibrary.org/asset/514041981","Open")</f>
        <v>Open</v>
      </c>
      <c r="V1456" s="19"/>
    </row>
    <row r="1457" customFormat="false" ht="15" hidden="false" customHeight="false" outlineLevel="0" collapsed="false">
      <c r="A1457" s="19" t="s">
        <v>4985</v>
      </c>
      <c r="B1457" s="19" t="s">
        <v>943</v>
      </c>
      <c r="C1457" s="19" t="s">
        <v>944</v>
      </c>
      <c r="D1457" s="19" t="s">
        <v>148</v>
      </c>
      <c r="E1457" s="19" t="s">
        <v>147</v>
      </c>
      <c r="F1457" s="19" t="s">
        <v>215</v>
      </c>
      <c r="G1457" s="19" t="n">
        <v>170</v>
      </c>
      <c r="H1457" s="19" t="s">
        <v>216</v>
      </c>
      <c r="I1457" s="20" t="n">
        <v>8.818</v>
      </c>
      <c r="J1457" s="19" t="n">
        <f aca="false">IF(I1457="","",MIN(Overview!$B$8,MAX(1,CEILING(I1457/Overview!$B$7,1))))</f>
        <v>2</v>
      </c>
      <c r="K1457" s="19" t="n">
        <v>1</v>
      </c>
      <c r="L1457" s="19"/>
      <c r="M1457" s="20"/>
      <c r="N1457" s="19"/>
      <c r="O1457" s="19"/>
      <c r="P1457" s="19" t="s">
        <v>4986</v>
      </c>
      <c r="Q1457" s="19" t="s">
        <v>2245</v>
      </c>
      <c r="R1457" s="21" t="n">
        <v>44970</v>
      </c>
      <c r="S1457" s="19" t="s">
        <v>4987</v>
      </c>
      <c r="T1457" s="19" t="s">
        <v>4988</v>
      </c>
      <c r="U1457" s="19" t="str">
        <f aca="false">HYPERLINK("https://macaulaylibrary.org/asset/542528561","Open")</f>
        <v>Open</v>
      </c>
      <c r="V1457" s="19"/>
    </row>
    <row r="1458" customFormat="false" ht="15" hidden="false" customHeight="false" outlineLevel="0" collapsed="false">
      <c r="A1458" s="19" t="s">
        <v>4989</v>
      </c>
      <c r="B1458" s="19" t="s">
        <v>943</v>
      </c>
      <c r="C1458" s="19" t="s">
        <v>944</v>
      </c>
      <c r="D1458" s="19" t="s">
        <v>148</v>
      </c>
      <c r="E1458" s="19" t="s">
        <v>147</v>
      </c>
      <c r="F1458" s="19" t="s">
        <v>215</v>
      </c>
      <c r="G1458" s="19" t="n">
        <v>170</v>
      </c>
      <c r="H1458" s="19" t="s">
        <v>216</v>
      </c>
      <c r="I1458" s="20" t="n">
        <v>8.176</v>
      </c>
      <c r="J1458" s="19" t="n">
        <f aca="false">IF(I1458="","",MIN(Overview!$B$8,MAX(1,CEILING(I1458/Overview!$B$7,1))))</f>
        <v>2</v>
      </c>
      <c r="K1458" s="19" t="n">
        <v>1</v>
      </c>
      <c r="L1458" s="19"/>
      <c r="M1458" s="20"/>
      <c r="N1458" s="19"/>
      <c r="O1458" s="19"/>
      <c r="P1458" s="19" t="s">
        <v>1157</v>
      </c>
      <c r="Q1458" s="19" t="s">
        <v>1158</v>
      </c>
      <c r="R1458" s="21" t="n">
        <v>44942</v>
      </c>
      <c r="S1458" s="19" t="s">
        <v>1009</v>
      </c>
      <c r="T1458" s="19" t="s">
        <v>4990</v>
      </c>
      <c r="U1458" s="19" t="str">
        <f aca="false">HYPERLINK("https://macaulaylibrary.org/asset/543397691","Open")</f>
        <v>Open</v>
      </c>
      <c r="V1458" s="19"/>
    </row>
    <row r="1459" customFormat="false" ht="15" hidden="false" customHeight="false" outlineLevel="0" collapsed="false">
      <c r="A1459" s="19" t="s">
        <v>4991</v>
      </c>
      <c r="B1459" s="19" t="s">
        <v>943</v>
      </c>
      <c r="C1459" s="19" t="s">
        <v>944</v>
      </c>
      <c r="D1459" s="19" t="s">
        <v>148</v>
      </c>
      <c r="E1459" s="19" t="s">
        <v>147</v>
      </c>
      <c r="F1459" s="19" t="s">
        <v>215</v>
      </c>
      <c r="G1459" s="19" t="n">
        <v>170</v>
      </c>
      <c r="H1459" s="19" t="s">
        <v>216</v>
      </c>
      <c r="I1459" s="20" t="n">
        <v>6.918</v>
      </c>
      <c r="J1459" s="19" t="n">
        <f aca="false">IF(I1459="","",MIN(Overview!$B$8,MAX(1,CEILING(I1459/Overview!$B$7,1))))</f>
        <v>2</v>
      </c>
      <c r="K1459" s="19" t="n">
        <v>1</v>
      </c>
      <c r="L1459" s="19"/>
      <c r="M1459" s="20" t="n">
        <v>2</v>
      </c>
      <c r="N1459" s="19"/>
      <c r="O1459" s="19"/>
      <c r="P1459" s="19" t="s">
        <v>4528</v>
      </c>
      <c r="Q1459" s="19" t="s">
        <v>1158</v>
      </c>
      <c r="R1459" s="21" t="n">
        <v>44942</v>
      </c>
      <c r="S1459" s="19" t="s">
        <v>4529</v>
      </c>
      <c r="T1459" s="19" t="s">
        <v>4992</v>
      </c>
      <c r="U1459" s="19" t="str">
        <f aca="false">HYPERLINK("https://macaulaylibrary.org/asset/543399621","Open")</f>
        <v>Open</v>
      </c>
      <c r="V1459" s="19"/>
    </row>
    <row r="1460" customFormat="false" ht="15" hidden="false" customHeight="false" outlineLevel="0" collapsed="false">
      <c r="A1460" s="19" t="s">
        <v>4993</v>
      </c>
      <c r="B1460" s="19" t="s">
        <v>943</v>
      </c>
      <c r="C1460" s="19" t="s">
        <v>944</v>
      </c>
      <c r="D1460" s="19" t="s">
        <v>148</v>
      </c>
      <c r="E1460" s="19" t="s">
        <v>147</v>
      </c>
      <c r="F1460" s="19" t="s">
        <v>215</v>
      </c>
      <c r="G1460" s="19" t="n">
        <v>170</v>
      </c>
      <c r="H1460" s="19" t="s">
        <v>216</v>
      </c>
      <c r="I1460" s="20" t="n">
        <v>3.642</v>
      </c>
      <c r="J1460" s="19" t="n">
        <f aca="false">IF(I1460="","",MIN(Overview!$B$8,MAX(1,CEILING(I1460/Overview!$B$7,1))))</f>
        <v>1</v>
      </c>
      <c r="K1460" s="19" t="n">
        <v>1</v>
      </c>
      <c r="L1460" s="19" t="s">
        <v>1048</v>
      </c>
      <c r="M1460" s="20"/>
      <c r="N1460" s="19"/>
      <c r="O1460" s="19"/>
      <c r="P1460" s="19" t="s">
        <v>1165</v>
      </c>
      <c r="Q1460" s="19" t="s">
        <v>1166</v>
      </c>
      <c r="R1460" s="21" t="n">
        <v>44899</v>
      </c>
      <c r="S1460" s="19" t="s">
        <v>1167</v>
      </c>
      <c r="T1460" s="19" t="s">
        <v>4994</v>
      </c>
      <c r="U1460" s="19" t="str">
        <f aca="false">HYPERLINK("https://macaulaylibrary.org/asset/597713161","Open")</f>
        <v>Open</v>
      </c>
      <c r="V1460" s="19"/>
    </row>
    <row r="1461" customFormat="false" ht="15" hidden="false" customHeight="false" outlineLevel="0" collapsed="false">
      <c r="A1461" s="19" t="s">
        <v>4995</v>
      </c>
      <c r="B1461" s="19" t="s">
        <v>943</v>
      </c>
      <c r="C1461" s="19" t="s">
        <v>944</v>
      </c>
      <c r="D1461" s="19" t="s">
        <v>148</v>
      </c>
      <c r="E1461" s="19" t="s">
        <v>147</v>
      </c>
      <c r="F1461" s="19" t="s">
        <v>215</v>
      </c>
      <c r="G1461" s="19" t="n">
        <v>170</v>
      </c>
      <c r="H1461" s="19" t="s">
        <v>216</v>
      </c>
      <c r="I1461" s="20" t="n">
        <v>7.775</v>
      </c>
      <c r="J1461" s="19" t="n">
        <f aca="false">IF(I1461="","",MIN(Overview!$B$8,MAX(1,CEILING(I1461/Overview!$B$7,1))))</f>
        <v>2</v>
      </c>
      <c r="K1461" s="19" t="n">
        <v>1</v>
      </c>
      <c r="L1461" s="19"/>
      <c r="M1461" s="20"/>
      <c r="N1461" s="19"/>
      <c r="O1461" s="19"/>
      <c r="P1461" s="19" t="s">
        <v>1605</v>
      </c>
      <c r="Q1461" s="19" t="s">
        <v>1040</v>
      </c>
      <c r="R1461" s="21" t="n">
        <v>40902</v>
      </c>
      <c r="S1461" s="19" t="s">
        <v>1002</v>
      </c>
      <c r="T1461" s="19" t="s">
        <v>4996</v>
      </c>
      <c r="U1461" s="19" t="str">
        <f aca="false">HYPERLINK("https://macaulaylibrary.org/asset/609056564","Open")</f>
        <v>Open</v>
      </c>
      <c r="V1461" s="19" t="s">
        <v>4997</v>
      </c>
    </row>
    <row r="1462" customFormat="false" ht="15" hidden="false" customHeight="false" outlineLevel="0" collapsed="false">
      <c r="A1462" s="19" t="s">
        <v>4998</v>
      </c>
      <c r="B1462" s="19" t="s">
        <v>943</v>
      </c>
      <c r="C1462" s="19" t="s">
        <v>944</v>
      </c>
      <c r="D1462" s="19" t="s">
        <v>148</v>
      </c>
      <c r="E1462" s="19" t="s">
        <v>147</v>
      </c>
      <c r="F1462" s="19" t="s">
        <v>215</v>
      </c>
      <c r="G1462" s="19" t="n">
        <v>170</v>
      </c>
      <c r="H1462" s="19" t="s">
        <v>216</v>
      </c>
      <c r="I1462" s="20" t="n">
        <v>33.944</v>
      </c>
      <c r="J1462" s="19" t="n">
        <f aca="false">IF(I1462="","",MIN(Overview!$B$8,MAX(1,CEILING(I1462/Overview!$B$7,1))))</f>
        <v>7</v>
      </c>
      <c r="K1462" s="19" t="n">
        <v>1</v>
      </c>
      <c r="L1462" s="19"/>
      <c r="M1462" s="20"/>
      <c r="N1462" s="19"/>
      <c r="O1462" s="19"/>
      <c r="P1462" s="19" t="s">
        <v>1605</v>
      </c>
      <c r="Q1462" s="19" t="s">
        <v>1040</v>
      </c>
      <c r="R1462" s="21" t="n">
        <v>40902</v>
      </c>
      <c r="S1462" s="19" t="s">
        <v>1002</v>
      </c>
      <c r="T1462" s="19" t="s">
        <v>4999</v>
      </c>
      <c r="U1462" s="19" t="str">
        <f aca="false">HYPERLINK("https://macaulaylibrary.org/asset/609056565","Open")</f>
        <v>Open</v>
      </c>
      <c r="V1462" s="19" t="s">
        <v>4997</v>
      </c>
    </row>
    <row r="1463" customFormat="false" ht="15" hidden="false" customHeight="false" outlineLevel="0" collapsed="false">
      <c r="A1463" s="19" t="s">
        <v>5000</v>
      </c>
      <c r="B1463" s="19" t="s">
        <v>943</v>
      </c>
      <c r="C1463" s="19" t="s">
        <v>944</v>
      </c>
      <c r="D1463" s="19" t="s">
        <v>148</v>
      </c>
      <c r="E1463" s="19" t="s">
        <v>147</v>
      </c>
      <c r="F1463" s="19" t="s">
        <v>215</v>
      </c>
      <c r="G1463" s="19" t="n">
        <v>170</v>
      </c>
      <c r="H1463" s="19" t="s">
        <v>216</v>
      </c>
      <c r="I1463" s="20" t="n">
        <v>16.793</v>
      </c>
      <c r="J1463" s="19" t="n">
        <f aca="false">IF(I1463="","",MIN(Overview!$B$8,MAX(1,CEILING(I1463/Overview!$B$7,1))))</f>
        <v>4</v>
      </c>
      <c r="K1463" s="19" t="n">
        <v>1</v>
      </c>
      <c r="L1463" s="19"/>
      <c r="M1463" s="20"/>
      <c r="N1463" s="19"/>
      <c r="O1463" s="19"/>
      <c r="P1463" s="19" t="s">
        <v>1605</v>
      </c>
      <c r="Q1463" s="19" t="s">
        <v>1040</v>
      </c>
      <c r="R1463" s="21" t="n">
        <v>40902</v>
      </c>
      <c r="S1463" s="19" t="s">
        <v>1002</v>
      </c>
      <c r="T1463" s="19" t="s">
        <v>5001</v>
      </c>
      <c r="U1463" s="19" t="str">
        <f aca="false">HYPERLINK("https://macaulaylibrary.org/asset/609056570","Open")</f>
        <v>Open</v>
      </c>
      <c r="V1463" s="19" t="s">
        <v>4997</v>
      </c>
    </row>
    <row r="1464" customFormat="false" ht="15" hidden="false" customHeight="false" outlineLevel="0" collapsed="false">
      <c r="A1464" s="19" t="s">
        <v>5002</v>
      </c>
      <c r="B1464" s="19" t="s">
        <v>943</v>
      </c>
      <c r="C1464" s="19" t="s">
        <v>944</v>
      </c>
      <c r="D1464" s="19" t="s">
        <v>148</v>
      </c>
      <c r="E1464" s="19" t="s">
        <v>147</v>
      </c>
      <c r="F1464" s="19" t="s">
        <v>215</v>
      </c>
      <c r="G1464" s="19" t="n">
        <v>170</v>
      </c>
      <c r="H1464" s="19" t="s">
        <v>216</v>
      </c>
      <c r="I1464" s="20" t="n">
        <v>79.165</v>
      </c>
      <c r="J1464" s="19" t="n">
        <f aca="false">IF(I1464="","",MIN(Overview!$B$8,MAX(1,CEILING(I1464/Overview!$B$7,1))))</f>
        <v>16</v>
      </c>
      <c r="K1464" s="19" t="n">
        <v>1</v>
      </c>
      <c r="L1464" s="19"/>
      <c r="M1464" s="20"/>
      <c r="N1464" s="19"/>
      <c r="O1464" s="19"/>
      <c r="P1464" s="19" t="s">
        <v>1438</v>
      </c>
      <c r="Q1464" s="19" t="s">
        <v>1040</v>
      </c>
      <c r="R1464" s="21" t="n">
        <v>41267</v>
      </c>
      <c r="S1464" s="19" t="s">
        <v>1002</v>
      </c>
      <c r="T1464" s="19" t="s">
        <v>5003</v>
      </c>
      <c r="U1464" s="19" t="str">
        <f aca="false">HYPERLINK("https://macaulaylibrary.org/asset/609059105","Open")</f>
        <v>Open</v>
      </c>
      <c r="V1464" s="19" t="s">
        <v>4997</v>
      </c>
    </row>
    <row r="1465" customFormat="false" ht="15" hidden="false" customHeight="false" outlineLevel="0" collapsed="false">
      <c r="A1465" s="19" t="s">
        <v>5004</v>
      </c>
      <c r="B1465" s="19" t="s">
        <v>943</v>
      </c>
      <c r="C1465" s="19" t="s">
        <v>944</v>
      </c>
      <c r="D1465" s="19" t="s">
        <v>148</v>
      </c>
      <c r="E1465" s="19" t="s">
        <v>147</v>
      </c>
      <c r="F1465" s="19" t="s">
        <v>215</v>
      </c>
      <c r="G1465" s="19" t="n">
        <v>170</v>
      </c>
      <c r="H1465" s="19" t="s">
        <v>216</v>
      </c>
      <c r="I1465" s="20" t="n">
        <v>9.935</v>
      </c>
      <c r="J1465" s="19" t="n">
        <f aca="false">IF(I1465="","",MIN(Overview!$B$8,MAX(1,CEILING(I1465/Overview!$B$7,1))))</f>
        <v>2</v>
      </c>
      <c r="K1465" s="19" t="n">
        <v>1</v>
      </c>
      <c r="L1465" s="19"/>
      <c r="M1465" s="20"/>
      <c r="N1465" s="19"/>
      <c r="O1465" s="19"/>
      <c r="P1465" s="19" t="s">
        <v>5005</v>
      </c>
      <c r="Q1465" s="19" t="s">
        <v>5006</v>
      </c>
      <c r="R1465" s="21" t="n">
        <v>45329</v>
      </c>
      <c r="S1465" s="19" t="s">
        <v>1013</v>
      </c>
      <c r="T1465" s="19" t="s">
        <v>5007</v>
      </c>
      <c r="U1465" s="19" t="str">
        <f aca="false">HYPERLINK("https://macaulaylibrary.org/asset/614896562","Open")</f>
        <v>Open</v>
      </c>
      <c r="V1465" s="19"/>
    </row>
    <row r="1466" customFormat="false" ht="15" hidden="false" customHeight="false" outlineLevel="0" collapsed="false">
      <c r="A1466" s="19" t="s">
        <v>5008</v>
      </c>
      <c r="B1466" s="19" t="s">
        <v>943</v>
      </c>
      <c r="C1466" s="19" t="s">
        <v>944</v>
      </c>
      <c r="D1466" s="19" t="s">
        <v>148</v>
      </c>
      <c r="E1466" s="19" t="s">
        <v>147</v>
      </c>
      <c r="F1466" s="19" t="s">
        <v>215</v>
      </c>
      <c r="G1466" s="19" t="n">
        <v>170</v>
      </c>
      <c r="H1466" s="19" t="s">
        <v>216</v>
      </c>
      <c r="I1466" s="20" t="n">
        <v>58.856</v>
      </c>
      <c r="J1466" s="19" t="n">
        <f aca="false">IF(I1466="","",MIN(Overview!$B$8,MAX(1,CEILING(I1466/Overview!$B$7,1))))</f>
        <v>12</v>
      </c>
      <c r="K1466" s="19" t="n">
        <v>1</v>
      </c>
      <c r="L1466" s="19"/>
      <c r="M1466" s="20" t="n">
        <v>4</v>
      </c>
      <c r="N1466" s="19"/>
      <c r="O1466" s="19"/>
      <c r="P1466" s="19" t="s">
        <v>2532</v>
      </c>
      <c r="Q1466" s="19" t="s">
        <v>1258</v>
      </c>
      <c r="R1466" s="21" t="n">
        <v>45232</v>
      </c>
      <c r="S1466" s="19" t="s">
        <v>2533</v>
      </c>
      <c r="T1466" s="19" t="s">
        <v>5009</v>
      </c>
      <c r="U1466" s="19" t="str">
        <f aca="false">HYPERLINK("https://macaulaylibrary.org/asset/621760351","Open")</f>
        <v>Open</v>
      </c>
      <c r="V1466" s="19" t="s">
        <v>4997</v>
      </c>
    </row>
    <row r="1467" customFormat="false" ht="15" hidden="false" customHeight="false" outlineLevel="0" collapsed="false">
      <c r="A1467" s="19" t="s">
        <v>5010</v>
      </c>
      <c r="B1467" s="19" t="s">
        <v>943</v>
      </c>
      <c r="C1467" s="19" t="s">
        <v>944</v>
      </c>
      <c r="D1467" s="19" t="s">
        <v>148</v>
      </c>
      <c r="E1467" s="19" t="s">
        <v>147</v>
      </c>
      <c r="F1467" s="19" t="s">
        <v>215</v>
      </c>
      <c r="G1467" s="19" t="n">
        <v>170</v>
      </c>
      <c r="H1467" s="19" t="s">
        <v>216</v>
      </c>
      <c r="I1467" s="20" t="n">
        <v>88.64</v>
      </c>
      <c r="J1467" s="19" t="n">
        <f aca="false">IF(I1467="","",MIN(Overview!$B$8,MAX(1,CEILING(I1467/Overview!$B$7,1))))</f>
        <v>18</v>
      </c>
      <c r="K1467" s="19" t="n">
        <v>1</v>
      </c>
      <c r="L1467" s="19"/>
      <c r="M1467" s="20" t="n">
        <v>5</v>
      </c>
      <c r="N1467" s="19"/>
      <c r="O1467" s="19"/>
      <c r="P1467" s="19" t="s">
        <v>2507</v>
      </c>
      <c r="Q1467" s="19" t="s">
        <v>965</v>
      </c>
      <c r="R1467" s="21" t="n">
        <v>45640</v>
      </c>
      <c r="S1467" s="19" t="s">
        <v>2065</v>
      </c>
      <c r="T1467" s="19" t="s">
        <v>5011</v>
      </c>
      <c r="U1467" s="19" t="str">
        <f aca="false">HYPERLINK("https://macaulaylibrary.org/asset/627957459","Open")</f>
        <v>Open</v>
      </c>
      <c r="V1467" s="19"/>
    </row>
    <row r="1468" customFormat="false" ht="15" hidden="false" customHeight="false" outlineLevel="0" collapsed="false">
      <c r="A1468" s="19" t="s">
        <v>5012</v>
      </c>
      <c r="B1468" s="19" t="s">
        <v>943</v>
      </c>
      <c r="C1468" s="19" t="s">
        <v>944</v>
      </c>
      <c r="D1468" s="19" t="s">
        <v>148</v>
      </c>
      <c r="E1468" s="19" t="s">
        <v>147</v>
      </c>
      <c r="F1468" s="19" t="s">
        <v>215</v>
      </c>
      <c r="G1468" s="19" t="n">
        <v>170</v>
      </c>
      <c r="H1468" s="19" t="s">
        <v>216</v>
      </c>
      <c r="I1468" s="20" t="n">
        <v>7.753</v>
      </c>
      <c r="J1468" s="19" t="n">
        <f aca="false">IF(I1468="","",MIN(Overview!$B$8,MAX(1,CEILING(I1468/Overview!$B$7,1))))</f>
        <v>2</v>
      </c>
      <c r="K1468" s="19" t="n">
        <v>1</v>
      </c>
      <c r="L1468" s="19"/>
      <c r="M1468" s="20" t="n">
        <v>4</v>
      </c>
      <c r="N1468" s="19"/>
      <c r="O1468" s="19"/>
      <c r="P1468" s="19" t="s">
        <v>1943</v>
      </c>
      <c r="Q1468" s="19" t="s">
        <v>1368</v>
      </c>
      <c r="R1468" s="21" t="n">
        <v>45488</v>
      </c>
      <c r="S1468" s="19" t="s">
        <v>1936</v>
      </c>
      <c r="T1468" s="19" t="s">
        <v>5013</v>
      </c>
      <c r="U1468" s="19" t="str">
        <f aca="false">HYPERLINK("https://macaulaylibrary.org/asset/628721210","Open")</f>
        <v>Open</v>
      </c>
      <c r="V1468" s="19"/>
    </row>
    <row r="1469" customFormat="false" ht="15" hidden="false" customHeight="false" outlineLevel="0" collapsed="false">
      <c r="A1469" s="19" t="s">
        <v>5014</v>
      </c>
      <c r="B1469" s="19" t="s">
        <v>943</v>
      </c>
      <c r="C1469" s="19" t="s">
        <v>944</v>
      </c>
      <c r="D1469" s="19" t="s">
        <v>148</v>
      </c>
      <c r="E1469" s="19" t="s">
        <v>147</v>
      </c>
      <c r="F1469" s="19" t="s">
        <v>215</v>
      </c>
      <c r="G1469" s="19" t="n">
        <v>170</v>
      </c>
      <c r="H1469" s="19" t="s">
        <v>216</v>
      </c>
      <c r="I1469" s="20" t="n">
        <v>13.084</v>
      </c>
      <c r="J1469" s="19" t="n">
        <f aca="false">IF(I1469="","",MIN(Overview!$B$8,MAX(1,CEILING(I1469/Overview!$B$7,1))))</f>
        <v>3</v>
      </c>
      <c r="K1469" s="19" t="n">
        <v>1</v>
      </c>
      <c r="L1469" s="19"/>
      <c r="M1469" s="20" t="n">
        <v>3</v>
      </c>
      <c r="N1469" s="19"/>
      <c r="O1469" s="19"/>
      <c r="P1469" s="19" t="s">
        <v>4572</v>
      </c>
      <c r="Q1469" s="19" t="s">
        <v>2085</v>
      </c>
      <c r="R1469" s="21" t="n">
        <v>45640</v>
      </c>
      <c r="S1469" s="19" t="s">
        <v>2065</v>
      </c>
      <c r="T1469" s="19" t="s">
        <v>5015</v>
      </c>
      <c r="U1469" s="19" t="str">
        <f aca="false">HYPERLINK("https://macaulaylibrary.org/asset/632348735","Open")</f>
        <v>Open</v>
      </c>
      <c r="V1469" s="19"/>
    </row>
    <row r="1470" customFormat="false" ht="15" hidden="false" customHeight="false" outlineLevel="0" collapsed="false">
      <c r="A1470" s="19" t="s">
        <v>5016</v>
      </c>
      <c r="B1470" s="19" t="s">
        <v>943</v>
      </c>
      <c r="C1470" s="19" t="s">
        <v>944</v>
      </c>
      <c r="D1470" s="19" t="s">
        <v>148</v>
      </c>
      <c r="E1470" s="19" t="s">
        <v>147</v>
      </c>
      <c r="F1470" s="19" t="s">
        <v>215</v>
      </c>
      <c r="G1470" s="19" t="n">
        <v>170</v>
      </c>
      <c r="H1470" s="19" t="s">
        <v>216</v>
      </c>
      <c r="I1470" s="20" t="n">
        <v>41.895</v>
      </c>
      <c r="J1470" s="19" t="n">
        <f aca="false">IF(I1470="","",MIN(Overview!$B$8,MAX(1,CEILING(I1470/Overview!$B$7,1))))</f>
        <v>9</v>
      </c>
      <c r="K1470" s="19" t="n">
        <v>1</v>
      </c>
      <c r="L1470" s="19"/>
      <c r="M1470" s="20"/>
      <c r="N1470" s="19"/>
      <c r="O1470" s="19"/>
      <c r="P1470" s="19" t="s">
        <v>2437</v>
      </c>
      <c r="Q1470" s="19" t="s">
        <v>1483</v>
      </c>
      <c r="R1470" s="21" t="n">
        <v>45292</v>
      </c>
      <c r="S1470" s="19" t="s">
        <v>2438</v>
      </c>
      <c r="T1470" s="19" t="s">
        <v>5017</v>
      </c>
      <c r="U1470" s="19" t="str">
        <f aca="false">HYPERLINK("https://macaulaylibrary.org/asset/638982471","Open")</f>
        <v>Open</v>
      </c>
      <c r="V1470" s="19"/>
    </row>
    <row r="1471" customFormat="false" ht="15" hidden="false" customHeight="false" outlineLevel="0" collapsed="false">
      <c r="A1471" s="19" t="s">
        <v>5018</v>
      </c>
      <c r="B1471" s="19" t="s">
        <v>943</v>
      </c>
      <c r="C1471" s="19" t="s">
        <v>944</v>
      </c>
      <c r="D1471" s="19" t="s">
        <v>148</v>
      </c>
      <c r="E1471" s="19" t="s">
        <v>147</v>
      </c>
      <c r="F1471" s="19" t="s">
        <v>215</v>
      </c>
      <c r="G1471" s="19" t="n">
        <v>170</v>
      </c>
      <c r="H1471" s="19" t="s">
        <v>216</v>
      </c>
      <c r="I1471" s="20" t="n">
        <v>24.472</v>
      </c>
      <c r="J1471" s="19" t="n">
        <f aca="false">IF(I1471="","",MIN(Overview!$B$8,MAX(1,CEILING(I1471/Overview!$B$7,1))))</f>
        <v>5</v>
      </c>
      <c r="K1471" s="19" t="n">
        <v>1</v>
      </c>
      <c r="L1471" s="19"/>
      <c r="M1471" s="20" t="n">
        <v>3</v>
      </c>
      <c r="N1471" s="19"/>
      <c r="O1471" s="19"/>
      <c r="P1471" s="19" t="s">
        <v>1674</v>
      </c>
      <c r="Q1471" s="19" t="s">
        <v>1091</v>
      </c>
      <c r="R1471" s="21" t="n">
        <v>45843</v>
      </c>
      <c r="S1471" s="19" t="s">
        <v>1009</v>
      </c>
      <c r="T1471" s="19" t="s">
        <v>5019</v>
      </c>
      <c r="U1471" s="19" t="str">
        <f aca="false">HYPERLINK("https://macaulaylibrary.org/asset/639162245","Open")</f>
        <v>Open</v>
      </c>
      <c r="V1471" s="19"/>
    </row>
    <row r="1472" customFormat="false" ht="15" hidden="false" customHeight="false" outlineLevel="0" collapsed="false">
      <c r="A1472" s="19" t="s">
        <v>5020</v>
      </c>
      <c r="B1472" s="19" t="s">
        <v>943</v>
      </c>
      <c r="C1472" s="19" t="s">
        <v>944</v>
      </c>
      <c r="D1472" s="19" t="s">
        <v>148</v>
      </c>
      <c r="E1472" s="19" t="s">
        <v>147</v>
      </c>
      <c r="F1472" s="19" t="s">
        <v>215</v>
      </c>
      <c r="G1472" s="19" t="n">
        <v>170</v>
      </c>
      <c r="H1472" s="19" t="s">
        <v>216</v>
      </c>
      <c r="I1472" s="20" t="n">
        <v>17.267</v>
      </c>
      <c r="J1472" s="19" t="n">
        <f aca="false">IF(I1472="","",MIN(Overview!$B$8,MAX(1,CEILING(I1472/Overview!$B$7,1))))</f>
        <v>4</v>
      </c>
      <c r="K1472" s="19" t="n">
        <v>1</v>
      </c>
      <c r="L1472" s="19"/>
      <c r="M1472" s="20" t="n">
        <v>4</v>
      </c>
      <c r="N1472" s="19"/>
      <c r="O1472" s="19"/>
      <c r="P1472" s="19" t="s">
        <v>1949</v>
      </c>
      <c r="Q1472" s="19" t="s">
        <v>1368</v>
      </c>
      <c r="R1472" s="21" t="n">
        <v>45983</v>
      </c>
      <c r="S1472" s="19" t="s">
        <v>1022</v>
      </c>
      <c r="T1472" s="19" t="s">
        <v>5021</v>
      </c>
      <c r="U1472" s="19" t="str">
        <f aca="false">HYPERLINK("https://macaulaylibrary.org/asset/646522173","Open")</f>
        <v>Open</v>
      </c>
      <c r="V1472" s="19"/>
    </row>
    <row r="1473" customFormat="false" ht="15" hidden="false" customHeight="false" outlineLevel="0" collapsed="false">
      <c r="A1473" s="19" t="s">
        <v>5022</v>
      </c>
      <c r="B1473" s="19" t="s">
        <v>943</v>
      </c>
      <c r="C1473" s="19" t="s">
        <v>944</v>
      </c>
      <c r="D1473" s="19" t="s">
        <v>148</v>
      </c>
      <c r="E1473" s="19" t="s">
        <v>147</v>
      </c>
      <c r="F1473" s="19" t="s">
        <v>215</v>
      </c>
      <c r="G1473" s="19" t="n">
        <v>170</v>
      </c>
      <c r="H1473" s="19" t="s">
        <v>216</v>
      </c>
      <c r="I1473" s="20" t="n">
        <v>25.76</v>
      </c>
      <c r="J1473" s="19" t="n">
        <f aca="false">IF(I1473="","",MIN(Overview!$B$8,MAX(1,CEILING(I1473/Overview!$B$7,1))))</f>
        <v>6</v>
      </c>
      <c r="K1473" s="19" t="n">
        <v>1</v>
      </c>
      <c r="L1473" s="19"/>
      <c r="M1473" s="20" t="n">
        <v>5</v>
      </c>
      <c r="N1473" s="19"/>
      <c r="O1473" s="19"/>
      <c r="P1473" s="19" t="s">
        <v>4408</v>
      </c>
      <c r="Q1473" s="19" t="s">
        <v>965</v>
      </c>
      <c r="R1473" s="21" t="n">
        <v>46012</v>
      </c>
      <c r="S1473" s="19" t="s">
        <v>4409</v>
      </c>
      <c r="T1473" s="19" t="s">
        <v>5023</v>
      </c>
      <c r="U1473" s="19" t="str">
        <f aca="false">HYPERLINK("https://macaulaylibrary.org/asset/647390213","Open")</f>
        <v>Open</v>
      </c>
      <c r="V1473" s="19"/>
    </row>
    <row r="1474" customFormat="false" ht="15" hidden="false" customHeight="false" outlineLevel="0" collapsed="false">
      <c r="A1474" s="19" t="s">
        <v>5024</v>
      </c>
      <c r="B1474" s="19" t="s">
        <v>943</v>
      </c>
      <c r="C1474" s="19" t="s">
        <v>944</v>
      </c>
      <c r="D1474" s="19" t="s">
        <v>148</v>
      </c>
      <c r="E1474" s="19" t="s">
        <v>147</v>
      </c>
      <c r="F1474" s="19" t="s">
        <v>215</v>
      </c>
      <c r="G1474" s="19" t="n">
        <v>170</v>
      </c>
      <c r="H1474" s="19" t="s">
        <v>216</v>
      </c>
      <c r="I1474" s="20" t="n">
        <v>10.165</v>
      </c>
      <c r="J1474" s="19" t="n">
        <f aca="false">IF(I1474="","",MIN(Overview!$B$8,MAX(1,CEILING(I1474/Overview!$B$7,1))))</f>
        <v>3</v>
      </c>
      <c r="K1474" s="19" t="n">
        <v>1</v>
      </c>
      <c r="L1474" s="19"/>
      <c r="M1474" s="20" t="n">
        <v>4</v>
      </c>
      <c r="N1474" s="19"/>
      <c r="O1474" s="19"/>
      <c r="P1474" s="19" t="s">
        <v>964</v>
      </c>
      <c r="Q1474" s="19" t="s">
        <v>965</v>
      </c>
      <c r="R1474" s="21" t="n">
        <v>46011</v>
      </c>
      <c r="S1474" s="19" t="s">
        <v>966</v>
      </c>
      <c r="T1474" s="19" t="s">
        <v>5025</v>
      </c>
      <c r="U1474" s="19" t="str">
        <f aca="false">HYPERLINK("https://macaulaylibrary.org/asset/647443201","Open")</f>
        <v>Open</v>
      </c>
      <c r="V1474" s="19"/>
    </row>
    <row r="1475" customFormat="false" ht="15" hidden="false" customHeight="false" outlineLevel="0" collapsed="false">
      <c r="A1475" s="19" t="s">
        <v>5026</v>
      </c>
      <c r="B1475" s="19" t="s">
        <v>943</v>
      </c>
      <c r="C1475" s="19" t="s">
        <v>944</v>
      </c>
      <c r="D1475" s="19" t="s">
        <v>148</v>
      </c>
      <c r="E1475" s="19" t="s">
        <v>147</v>
      </c>
      <c r="F1475" s="19" t="s">
        <v>215</v>
      </c>
      <c r="G1475" s="19" t="n">
        <v>170</v>
      </c>
      <c r="H1475" s="19" t="s">
        <v>216</v>
      </c>
      <c r="I1475" s="20" t="n">
        <v>107.826</v>
      </c>
      <c r="J1475" s="19" t="n">
        <f aca="false">IF(I1475="","",MIN(Overview!$B$8,MAX(1,CEILING(I1475/Overview!$B$7,1))))</f>
        <v>22</v>
      </c>
      <c r="K1475" s="19" t="n">
        <v>1</v>
      </c>
      <c r="L1475" s="19"/>
      <c r="M1475" s="20" t="n">
        <v>4</v>
      </c>
      <c r="N1475" s="19"/>
      <c r="O1475" s="19" t="s">
        <v>274</v>
      </c>
      <c r="P1475" s="19" t="s">
        <v>5027</v>
      </c>
      <c r="Q1475" s="19" t="s">
        <v>1502</v>
      </c>
      <c r="R1475" s="21" t="n">
        <v>45938</v>
      </c>
      <c r="S1475" s="19" t="s">
        <v>5028</v>
      </c>
      <c r="T1475" s="19" t="s">
        <v>5029</v>
      </c>
      <c r="U1475" s="19" t="str">
        <f aca="false">HYPERLINK("https://macaulaylibrary.org/asset/648628021","Open")</f>
        <v>Open</v>
      </c>
      <c r="V1475" s="19"/>
    </row>
    <row r="1476" customFormat="false" ht="15" hidden="false" customHeight="false" outlineLevel="0" collapsed="false">
      <c r="A1476" s="19" t="s">
        <v>5030</v>
      </c>
      <c r="B1476" s="19" t="s">
        <v>943</v>
      </c>
      <c r="C1476" s="19" t="s">
        <v>944</v>
      </c>
      <c r="D1476" s="19" t="s">
        <v>148</v>
      </c>
      <c r="E1476" s="19" t="s">
        <v>147</v>
      </c>
      <c r="F1476" s="19" t="s">
        <v>215</v>
      </c>
      <c r="G1476" s="19" t="n">
        <v>170</v>
      </c>
      <c r="H1476" s="19" t="s">
        <v>216</v>
      </c>
      <c r="I1476" s="20" t="n">
        <v>37.863</v>
      </c>
      <c r="J1476" s="19" t="n">
        <f aca="false">IF(I1476="","",MIN(Overview!$B$8,MAX(1,CEILING(I1476/Overview!$B$7,1))))</f>
        <v>8</v>
      </c>
      <c r="K1476" s="19" t="n">
        <v>1</v>
      </c>
      <c r="L1476" s="19"/>
      <c r="M1476" s="20" t="n">
        <v>4</v>
      </c>
      <c r="N1476" s="19"/>
      <c r="O1476" s="19"/>
      <c r="P1476" s="19" t="s">
        <v>1824</v>
      </c>
      <c r="Q1476" s="19" t="s">
        <v>1502</v>
      </c>
      <c r="R1476" s="21" t="n">
        <v>45938</v>
      </c>
      <c r="S1476" s="19" t="s">
        <v>1825</v>
      </c>
      <c r="T1476" s="19" t="s">
        <v>5031</v>
      </c>
      <c r="U1476" s="19" t="str">
        <f aca="false">HYPERLINK("https://macaulaylibrary.org/asset/648628597","Open")</f>
        <v>Open</v>
      </c>
      <c r="V1476" s="19"/>
    </row>
    <row r="1477" customFormat="false" ht="15" hidden="false" customHeight="false" outlineLevel="0" collapsed="false">
      <c r="A1477" s="19" t="s">
        <v>5032</v>
      </c>
      <c r="B1477" s="19" t="s">
        <v>943</v>
      </c>
      <c r="C1477" s="19" t="s">
        <v>944</v>
      </c>
      <c r="D1477" s="19" t="s">
        <v>148</v>
      </c>
      <c r="E1477" s="19" t="s">
        <v>147</v>
      </c>
      <c r="F1477" s="19" t="s">
        <v>215</v>
      </c>
      <c r="G1477" s="19" t="n">
        <v>170</v>
      </c>
      <c r="H1477" s="19" t="s">
        <v>216</v>
      </c>
      <c r="I1477" s="20" t="n">
        <v>10.674</v>
      </c>
      <c r="J1477" s="19" t="n">
        <f aca="false">IF(I1477="","",MIN(Overview!$B$8,MAX(1,CEILING(I1477/Overview!$B$7,1))))</f>
        <v>3</v>
      </c>
      <c r="K1477" s="19" t="n">
        <v>1</v>
      </c>
      <c r="L1477" s="19"/>
      <c r="M1477" s="20"/>
      <c r="N1477" s="19"/>
      <c r="O1477" s="19"/>
      <c r="P1477" s="19" t="s">
        <v>2515</v>
      </c>
      <c r="Q1477" s="19" t="s">
        <v>1382</v>
      </c>
      <c r="R1477" s="21" t="n">
        <v>46105</v>
      </c>
      <c r="S1477" s="19" t="s">
        <v>2516</v>
      </c>
      <c r="T1477" s="19" t="s">
        <v>5033</v>
      </c>
      <c r="U1477" s="19" t="str">
        <f aca="false">HYPERLINK("https://macaulaylibrary.org/asset/654747839","Open")</f>
        <v>Open</v>
      </c>
      <c r="V1477" s="19"/>
    </row>
    <row r="1478" customFormat="false" ht="15" hidden="false" customHeight="false" outlineLevel="0" collapsed="false">
      <c r="A1478" s="19" t="s">
        <v>5034</v>
      </c>
      <c r="B1478" s="19" t="s">
        <v>943</v>
      </c>
      <c r="C1478" s="19" t="s">
        <v>944</v>
      </c>
      <c r="D1478" s="19" t="s">
        <v>400</v>
      </c>
      <c r="E1478" s="19" t="s">
        <v>147</v>
      </c>
      <c r="F1478" s="19" t="s">
        <v>620</v>
      </c>
      <c r="G1478" s="19" t="n">
        <v>171</v>
      </c>
      <c r="H1478" s="19" t="s">
        <v>621</v>
      </c>
      <c r="I1478" s="20" t="n">
        <v>470.642</v>
      </c>
      <c r="J1478" s="19" t="n">
        <f aca="false">IF(I1478="","",MIN(Overview!$B$8,MAX(1,CEILING(I1478/Overview!$B$7,1))))</f>
        <v>95</v>
      </c>
      <c r="K1478" s="19" t="n">
        <v>1</v>
      </c>
      <c r="L1478" s="19"/>
      <c r="M1478" s="20" t="n">
        <v>2.33</v>
      </c>
      <c r="N1478" s="19"/>
      <c r="O1478" s="19"/>
      <c r="P1478" s="19" t="s">
        <v>1780</v>
      </c>
      <c r="Q1478" s="19" t="s">
        <v>1781</v>
      </c>
      <c r="R1478" s="21" t="n">
        <v>30405</v>
      </c>
      <c r="S1478" s="19" t="s">
        <v>2159</v>
      </c>
      <c r="T1478" s="19" t="s">
        <v>5035</v>
      </c>
      <c r="U1478" s="19" t="str">
        <f aca="false">HYPERLINK("https://macaulaylibrary.org/asset/31395","Open")</f>
        <v>Open</v>
      </c>
      <c r="V1478" s="19"/>
    </row>
    <row r="1479" customFormat="false" ht="15" hidden="false" customHeight="false" outlineLevel="0" collapsed="false">
      <c r="A1479" s="19" t="s">
        <v>5036</v>
      </c>
      <c r="B1479" s="19" t="s">
        <v>943</v>
      </c>
      <c r="C1479" s="19" t="s">
        <v>944</v>
      </c>
      <c r="D1479" s="19" t="s">
        <v>400</v>
      </c>
      <c r="E1479" s="19" t="s">
        <v>147</v>
      </c>
      <c r="F1479" s="19" t="s">
        <v>620</v>
      </c>
      <c r="G1479" s="19" t="n">
        <v>171</v>
      </c>
      <c r="H1479" s="19" t="s">
        <v>621</v>
      </c>
      <c r="I1479" s="20" t="n">
        <v>352.634</v>
      </c>
      <c r="J1479" s="19" t="n">
        <f aca="false">IF(I1479="","",MIN(Overview!$B$8,MAX(1,CEILING(I1479/Overview!$B$7,1))))</f>
        <v>71</v>
      </c>
      <c r="K1479" s="19" t="n">
        <v>1</v>
      </c>
      <c r="L1479" s="19"/>
      <c r="M1479" s="20" t="n">
        <v>2.17</v>
      </c>
      <c r="N1479" s="19"/>
      <c r="O1479" s="19"/>
      <c r="P1479" s="19" t="s">
        <v>2523</v>
      </c>
      <c r="Q1479" s="19" t="s">
        <v>1592</v>
      </c>
      <c r="R1479" s="21" t="n">
        <v>30405</v>
      </c>
      <c r="S1479" s="19" t="s">
        <v>1002</v>
      </c>
      <c r="T1479" s="19" t="s">
        <v>5037</v>
      </c>
      <c r="U1479" s="19" t="str">
        <f aca="false">HYPERLINK("https://macaulaylibrary.org/asset/39239","Open")</f>
        <v>Open</v>
      </c>
      <c r="V1479" s="19"/>
    </row>
    <row r="1480" customFormat="false" ht="15" hidden="false" customHeight="false" outlineLevel="0" collapsed="false">
      <c r="A1480" s="19" t="s">
        <v>5038</v>
      </c>
      <c r="B1480" s="19" t="s">
        <v>943</v>
      </c>
      <c r="C1480" s="19" t="s">
        <v>944</v>
      </c>
      <c r="D1480" s="19" t="s">
        <v>400</v>
      </c>
      <c r="E1480" s="19" t="s">
        <v>147</v>
      </c>
      <c r="F1480" s="19" t="s">
        <v>620</v>
      </c>
      <c r="G1480" s="19" t="n">
        <v>171</v>
      </c>
      <c r="H1480" s="19" t="s">
        <v>621</v>
      </c>
      <c r="I1480" s="20" t="n">
        <v>8.256</v>
      </c>
      <c r="J1480" s="19" t="n">
        <f aca="false">IF(I1480="","",MIN(Overview!$B$8,MAX(1,CEILING(I1480/Overview!$B$7,1))))</f>
        <v>2</v>
      </c>
      <c r="K1480" s="19" t="n">
        <v>1</v>
      </c>
      <c r="L1480" s="19"/>
      <c r="M1480" s="20" t="n">
        <v>3.33</v>
      </c>
      <c r="N1480" s="19"/>
      <c r="O1480" s="19"/>
      <c r="P1480" s="19" t="s">
        <v>5039</v>
      </c>
      <c r="Q1480" s="19" t="s">
        <v>5040</v>
      </c>
      <c r="R1480" s="21" t="n">
        <v>44955</v>
      </c>
      <c r="S1480" s="19" t="s">
        <v>5041</v>
      </c>
      <c r="T1480" s="19" t="s">
        <v>5042</v>
      </c>
      <c r="U1480" s="19" t="str">
        <f aca="false">HYPERLINK("https://macaulaylibrary.org/asset/533478191","Open")</f>
        <v>Open</v>
      </c>
      <c r="V1480" s="19"/>
    </row>
    <row r="1481" customFormat="false" ht="15" hidden="false" customHeight="false" outlineLevel="0" collapsed="false">
      <c r="A1481" s="19" t="s">
        <v>5043</v>
      </c>
      <c r="B1481" s="19" t="s">
        <v>943</v>
      </c>
      <c r="C1481" s="19" t="s">
        <v>944</v>
      </c>
      <c r="D1481" s="19" t="s">
        <v>400</v>
      </c>
      <c r="E1481" s="19" t="s">
        <v>147</v>
      </c>
      <c r="F1481" s="19" t="s">
        <v>577</v>
      </c>
      <c r="G1481" s="19" t="n">
        <v>173</v>
      </c>
      <c r="H1481" s="19" t="s">
        <v>578</v>
      </c>
      <c r="I1481" s="20" t="n">
        <v>13.456</v>
      </c>
      <c r="J1481" s="19" t="n">
        <f aca="false">IF(I1481="","",MIN(Overview!$B$8,MAX(1,CEILING(I1481/Overview!$B$7,1))))</f>
        <v>3</v>
      </c>
      <c r="K1481" s="19" t="n">
        <v>1</v>
      </c>
      <c r="L1481" s="19"/>
      <c r="M1481" s="20" t="n">
        <v>1</v>
      </c>
      <c r="N1481" s="19"/>
      <c r="O1481" s="19" t="s">
        <v>5044</v>
      </c>
      <c r="P1481" s="19" t="s">
        <v>1373</v>
      </c>
      <c r="Q1481" s="19" t="s">
        <v>990</v>
      </c>
      <c r="R1481" s="21" t="n">
        <v>46012</v>
      </c>
      <c r="S1481" s="19" t="s">
        <v>1009</v>
      </c>
      <c r="T1481" s="19" t="s">
        <v>5045</v>
      </c>
      <c r="U1481" s="19" t="str">
        <f aca="false">HYPERLINK("https://macaulaylibrary.org/asset/647497058","Open")</f>
        <v>Open</v>
      </c>
      <c r="V1481" s="19"/>
    </row>
    <row r="1482" customFormat="false" ht="15" hidden="false" customHeight="false" outlineLevel="0" collapsed="false">
      <c r="A1482" s="19" t="s">
        <v>5046</v>
      </c>
      <c r="B1482" s="19" t="s">
        <v>943</v>
      </c>
      <c r="C1482" s="19" t="s">
        <v>944</v>
      </c>
      <c r="D1482" s="19" t="s">
        <v>400</v>
      </c>
      <c r="E1482" s="19" t="s">
        <v>147</v>
      </c>
      <c r="F1482" s="19" t="s">
        <v>577</v>
      </c>
      <c r="G1482" s="19" t="n">
        <v>173</v>
      </c>
      <c r="H1482" s="19" t="s">
        <v>578</v>
      </c>
      <c r="I1482" s="20" t="n">
        <v>10.532</v>
      </c>
      <c r="J1482" s="19" t="n">
        <f aca="false">IF(I1482="","",MIN(Overview!$B$8,MAX(1,CEILING(I1482/Overview!$B$7,1))))</f>
        <v>3</v>
      </c>
      <c r="K1482" s="19" t="n">
        <v>1</v>
      </c>
      <c r="L1482" s="19"/>
      <c r="M1482" s="20" t="n">
        <v>1</v>
      </c>
      <c r="N1482" s="19"/>
      <c r="O1482" s="19" t="s">
        <v>5047</v>
      </c>
      <c r="P1482" s="19" t="s">
        <v>1373</v>
      </c>
      <c r="Q1482" s="19" t="s">
        <v>990</v>
      </c>
      <c r="R1482" s="21" t="n">
        <v>46012</v>
      </c>
      <c r="S1482" s="19" t="s">
        <v>1009</v>
      </c>
      <c r="T1482" s="19" t="s">
        <v>5048</v>
      </c>
      <c r="U1482" s="19" t="str">
        <f aca="false">HYPERLINK("https://macaulaylibrary.org/asset/647497061","Open")</f>
        <v>Open</v>
      </c>
      <c r="V1482" s="19"/>
    </row>
    <row r="1483" customFormat="false" ht="15" hidden="false" customHeight="false" outlineLevel="0" collapsed="false">
      <c r="A1483" s="19" t="s">
        <v>5049</v>
      </c>
      <c r="B1483" s="19" t="s">
        <v>943</v>
      </c>
      <c r="C1483" s="19" t="s">
        <v>944</v>
      </c>
      <c r="D1483" s="19" t="s">
        <v>400</v>
      </c>
      <c r="E1483" s="19" t="s">
        <v>147</v>
      </c>
      <c r="F1483" s="19" t="s">
        <v>577</v>
      </c>
      <c r="G1483" s="19" t="n">
        <v>173</v>
      </c>
      <c r="H1483" s="19" t="s">
        <v>578</v>
      </c>
      <c r="I1483" s="20" t="n">
        <v>4.506</v>
      </c>
      <c r="J1483" s="19" t="n">
        <f aca="false">IF(I1483="","",MIN(Overview!$B$8,MAX(1,CEILING(I1483/Overview!$B$7,1))))</f>
        <v>1</v>
      </c>
      <c r="K1483" s="19" t="n">
        <v>1</v>
      </c>
      <c r="L1483" s="19" t="s">
        <v>1048</v>
      </c>
      <c r="M1483" s="20" t="n">
        <v>2</v>
      </c>
      <c r="N1483" s="19"/>
      <c r="O1483" s="19"/>
      <c r="P1483" s="19" t="s">
        <v>2587</v>
      </c>
      <c r="Q1483" s="19" t="s">
        <v>1236</v>
      </c>
      <c r="R1483" s="21" t="n">
        <v>46074</v>
      </c>
      <c r="S1483" s="19" t="s">
        <v>1299</v>
      </c>
      <c r="T1483" s="19" t="s">
        <v>5050</v>
      </c>
      <c r="U1483" s="19" t="str">
        <f aca="false">HYPERLINK("https://macaulaylibrary.org/asset/652627094","Open")</f>
        <v>Open</v>
      </c>
      <c r="V1483" s="19"/>
    </row>
    <row r="1484" customFormat="false" ht="15" hidden="false" customHeight="false" outlineLevel="0" collapsed="false">
      <c r="A1484" s="19" t="s">
        <v>5051</v>
      </c>
      <c r="B1484" s="19" t="s">
        <v>943</v>
      </c>
      <c r="C1484" s="19" t="s">
        <v>944</v>
      </c>
      <c r="D1484" s="19" t="s">
        <v>400</v>
      </c>
      <c r="E1484" s="19" t="s">
        <v>147</v>
      </c>
      <c r="F1484" s="19" t="s">
        <v>577</v>
      </c>
      <c r="G1484" s="19" t="n">
        <v>173</v>
      </c>
      <c r="H1484" s="19" t="s">
        <v>578</v>
      </c>
      <c r="I1484" s="20" t="n">
        <v>9.787</v>
      </c>
      <c r="J1484" s="19" t="n">
        <f aca="false">IF(I1484="","",MIN(Overview!$B$8,MAX(1,CEILING(I1484/Overview!$B$7,1))))</f>
        <v>2</v>
      </c>
      <c r="K1484" s="19" t="n">
        <v>1</v>
      </c>
      <c r="L1484" s="19"/>
      <c r="M1484" s="20"/>
      <c r="N1484" s="19"/>
      <c r="O1484" s="19"/>
      <c r="P1484" s="19" t="s">
        <v>1381</v>
      </c>
      <c r="Q1484" s="19" t="s">
        <v>1382</v>
      </c>
      <c r="R1484" s="21" t="n">
        <v>46103</v>
      </c>
      <c r="S1484" s="19" t="s">
        <v>1383</v>
      </c>
      <c r="T1484" s="19" t="s">
        <v>5052</v>
      </c>
      <c r="U1484" s="19" t="str">
        <f aca="false">HYPERLINK("https://macaulaylibrary.org/asset/654113078","Open")</f>
        <v>Open</v>
      </c>
      <c r="V1484" s="19"/>
    </row>
    <row r="1485" customFormat="false" ht="15" hidden="false" customHeight="false" outlineLevel="0" collapsed="false">
      <c r="A1485" s="19" t="s">
        <v>5053</v>
      </c>
      <c r="B1485" s="19" t="s">
        <v>1005</v>
      </c>
      <c r="C1485" s="19" t="s">
        <v>944</v>
      </c>
      <c r="D1485" s="19" t="s">
        <v>647</v>
      </c>
      <c r="E1485" s="19" t="s">
        <v>147</v>
      </c>
      <c r="F1485" s="19" t="s">
        <v>671</v>
      </c>
      <c r="G1485" s="19" t="n">
        <v>174</v>
      </c>
      <c r="H1485" s="19" t="s">
        <v>672</v>
      </c>
      <c r="I1485" s="20" t="n">
        <v>37.538</v>
      </c>
      <c r="J1485" s="19" t="n">
        <f aca="false">IF(I1485="","",MIN(Overview!$B$8,MAX(1,CEILING(I1485/Overview!$B$7,1))))</f>
        <v>8</v>
      </c>
      <c r="K1485" s="19" t="n">
        <v>1</v>
      </c>
      <c r="L1485" s="19"/>
      <c r="M1485" s="20"/>
      <c r="N1485" s="19" t="s">
        <v>1718</v>
      </c>
      <c r="O1485" s="19"/>
      <c r="P1485" s="19" t="s">
        <v>2155</v>
      </c>
      <c r="Q1485" s="19" t="s">
        <v>1008</v>
      </c>
      <c r="R1485" s="21" t="n">
        <v>42575</v>
      </c>
      <c r="S1485" s="19" t="s">
        <v>1550</v>
      </c>
      <c r="T1485" s="19" t="s">
        <v>5054</v>
      </c>
      <c r="U1485" s="19" t="str">
        <f aca="false">HYPERLINK("https://xeno-canto.org/331334","Open")</f>
        <v>Open</v>
      </c>
      <c r="V1485" s="19" t="s">
        <v>1011</v>
      </c>
    </row>
    <row r="1486" customFormat="false" ht="15" hidden="false" customHeight="false" outlineLevel="0" collapsed="false">
      <c r="A1486" s="19" t="s">
        <v>5055</v>
      </c>
      <c r="B1486" s="19" t="s">
        <v>1005</v>
      </c>
      <c r="C1486" s="19" t="s">
        <v>944</v>
      </c>
      <c r="D1486" s="19" t="s">
        <v>647</v>
      </c>
      <c r="E1486" s="19" t="s">
        <v>147</v>
      </c>
      <c r="F1486" s="19" t="s">
        <v>671</v>
      </c>
      <c r="G1486" s="19" t="n">
        <v>174</v>
      </c>
      <c r="H1486" s="19" t="s">
        <v>672</v>
      </c>
      <c r="I1486" s="20" t="n">
        <v>39.768</v>
      </c>
      <c r="J1486" s="19" t="n">
        <f aca="false">IF(I1486="","",MIN(Overview!$B$8,MAX(1,CEILING(I1486/Overview!$B$7,1))))</f>
        <v>8</v>
      </c>
      <c r="K1486" s="19" t="n">
        <v>1</v>
      </c>
      <c r="L1486" s="19"/>
      <c r="M1486" s="20"/>
      <c r="N1486" s="19" t="s">
        <v>1656</v>
      </c>
      <c r="O1486" s="19"/>
      <c r="P1486" s="19" t="s">
        <v>1007</v>
      </c>
      <c r="Q1486" s="19" t="s">
        <v>1008</v>
      </c>
      <c r="R1486" s="21" t="n">
        <v>42577</v>
      </c>
      <c r="S1486" s="19" t="s">
        <v>1884</v>
      </c>
      <c r="T1486" s="19" t="s">
        <v>5056</v>
      </c>
      <c r="U1486" s="19" t="str">
        <f aca="false">HYPERLINK("https://xeno-canto.org/331436","Open")</f>
        <v>Open</v>
      </c>
      <c r="V1486" s="19" t="s">
        <v>1011</v>
      </c>
    </row>
    <row r="1487" customFormat="false" ht="15" hidden="false" customHeight="false" outlineLevel="0" collapsed="false">
      <c r="A1487" s="19" t="s">
        <v>5057</v>
      </c>
      <c r="B1487" s="19" t="s">
        <v>943</v>
      </c>
      <c r="C1487" s="19" t="s">
        <v>944</v>
      </c>
      <c r="D1487" s="19" t="s">
        <v>400</v>
      </c>
      <c r="E1487" s="19" t="s">
        <v>147</v>
      </c>
      <c r="F1487" s="19" t="s">
        <v>623</v>
      </c>
      <c r="G1487" s="19" t="n">
        <v>175</v>
      </c>
      <c r="H1487" s="19" t="s">
        <v>624</v>
      </c>
      <c r="I1487" s="20" t="n">
        <v>13.188</v>
      </c>
      <c r="J1487" s="19" t="n">
        <f aca="false">IF(I1487="","",MIN(Overview!$B$8,MAX(1,CEILING(I1487/Overview!$B$7,1))))</f>
        <v>3</v>
      </c>
      <c r="K1487" s="19" t="n">
        <v>1</v>
      </c>
      <c r="L1487" s="19"/>
      <c r="M1487" s="20" t="n">
        <v>3</v>
      </c>
      <c r="N1487" s="19"/>
      <c r="O1487" s="19"/>
      <c r="P1487" s="19" t="s">
        <v>4975</v>
      </c>
      <c r="Q1487" s="19" t="s">
        <v>1091</v>
      </c>
      <c r="R1487" s="21" t="n">
        <v>45845</v>
      </c>
      <c r="S1487" s="19" t="s">
        <v>1530</v>
      </c>
      <c r="T1487" s="19" t="s">
        <v>5058</v>
      </c>
      <c r="U1487" s="19" t="str">
        <f aca="false">HYPERLINK("https://macaulaylibrary.org/asset/643526505","Open")</f>
        <v>Open</v>
      </c>
      <c r="V1487" s="19"/>
    </row>
    <row r="1488" customFormat="false" ht="15" hidden="false" customHeight="false" outlineLevel="0" collapsed="false">
      <c r="A1488" s="19" t="s">
        <v>5059</v>
      </c>
      <c r="B1488" s="19" t="s">
        <v>943</v>
      </c>
      <c r="C1488" s="19" t="s">
        <v>944</v>
      </c>
      <c r="D1488" s="19" t="s">
        <v>400</v>
      </c>
      <c r="E1488" s="19" t="s">
        <v>147</v>
      </c>
      <c r="F1488" s="19" t="s">
        <v>623</v>
      </c>
      <c r="G1488" s="19" t="n">
        <v>175</v>
      </c>
      <c r="H1488" s="19" t="s">
        <v>624</v>
      </c>
      <c r="I1488" s="20" t="n">
        <v>47.88</v>
      </c>
      <c r="J1488" s="19" t="n">
        <f aca="false">IF(I1488="","",MIN(Overview!$B$8,MAX(1,CEILING(I1488/Overview!$B$7,1))))</f>
        <v>10</v>
      </c>
      <c r="K1488" s="19" t="n">
        <v>1</v>
      </c>
      <c r="L1488" s="19"/>
      <c r="M1488" s="20" t="n">
        <v>3</v>
      </c>
      <c r="N1488" s="19"/>
      <c r="O1488" s="19" t="s">
        <v>197</v>
      </c>
      <c r="P1488" s="19" t="s">
        <v>1824</v>
      </c>
      <c r="Q1488" s="19" t="s">
        <v>1502</v>
      </c>
      <c r="R1488" s="21" t="n">
        <v>45938</v>
      </c>
      <c r="S1488" s="19" t="s">
        <v>1825</v>
      </c>
      <c r="T1488" s="19" t="s">
        <v>5060</v>
      </c>
      <c r="U1488" s="19" t="str">
        <f aca="false">HYPERLINK("https://macaulaylibrary.org/asset/648628542","Open")</f>
        <v>Open</v>
      </c>
      <c r="V1488" s="19"/>
    </row>
    <row r="1489" customFormat="false" ht="15" hidden="false" customHeight="false" outlineLevel="0" collapsed="false">
      <c r="A1489" s="19" t="s">
        <v>5061</v>
      </c>
      <c r="B1489" s="19" t="s">
        <v>943</v>
      </c>
      <c r="C1489" s="19" t="s">
        <v>944</v>
      </c>
      <c r="D1489" s="19" t="s">
        <v>400</v>
      </c>
      <c r="E1489" s="19" t="s">
        <v>147</v>
      </c>
      <c r="F1489" s="19" t="s">
        <v>623</v>
      </c>
      <c r="G1489" s="19" t="n">
        <v>175</v>
      </c>
      <c r="H1489" s="19" t="s">
        <v>624</v>
      </c>
      <c r="I1489" s="20" t="n">
        <v>70.881</v>
      </c>
      <c r="J1489" s="19" t="n">
        <f aca="false">IF(I1489="","",MIN(Overview!$B$8,MAX(1,CEILING(I1489/Overview!$B$7,1))))</f>
        <v>15</v>
      </c>
      <c r="K1489" s="19" t="n">
        <v>1</v>
      </c>
      <c r="L1489" s="19"/>
      <c r="M1489" s="20" t="n">
        <v>4</v>
      </c>
      <c r="N1489" s="19"/>
      <c r="O1489" s="19"/>
      <c r="P1489" s="19" t="s">
        <v>1824</v>
      </c>
      <c r="Q1489" s="19" t="s">
        <v>1502</v>
      </c>
      <c r="R1489" s="21" t="n">
        <v>45938</v>
      </c>
      <c r="S1489" s="19" t="s">
        <v>1825</v>
      </c>
      <c r="T1489" s="19" t="s">
        <v>5062</v>
      </c>
      <c r="U1489" s="19" t="str">
        <f aca="false">HYPERLINK("https://macaulaylibrary.org/asset/648628543","Open")</f>
        <v>Open</v>
      </c>
      <c r="V1489" s="19"/>
    </row>
    <row r="1490" customFormat="false" ht="15" hidden="false" customHeight="false" outlineLevel="0" collapsed="false">
      <c r="A1490" s="19" t="s">
        <v>5063</v>
      </c>
      <c r="B1490" s="19" t="s">
        <v>943</v>
      </c>
      <c r="C1490" s="19" t="s">
        <v>944</v>
      </c>
      <c r="D1490" s="19" t="s">
        <v>148</v>
      </c>
      <c r="E1490" s="19" t="s">
        <v>147</v>
      </c>
      <c r="F1490" s="19" t="s">
        <v>209</v>
      </c>
      <c r="G1490" s="19" t="n">
        <v>176</v>
      </c>
      <c r="H1490" s="19" t="s">
        <v>210</v>
      </c>
      <c r="I1490" s="20" t="n">
        <v>63.999</v>
      </c>
      <c r="J1490" s="19" t="n">
        <f aca="false">IF(I1490="","",MIN(Overview!$B$8,MAX(1,CEILING(I1490/Overview!$B$7,1))))</f>
        <v>13</v>
      </c>
      <c r="K1490" s="19" t="n">
        <v>1</v>
      </c>
      <c r="L1490" s="19"/>
      <c r="M1490" s="20" t="n">
        <v>2</v>
      </c>
      <c r="N1490" s="19"/>
      <c r="O1490" s="19"/>
      <c r="P1490" s="19" t="s">
        <v>1225</v>
      </c>
      <c r="Q1490" s="19" t="s">
        <v>1226</v>
      </c>
      <c r="R1490" s="21" t="n">
        <v>21274</v>
      </c>
      <c r="S1490" s="19" t="s">
        <v>1002</v>
      </c>
      <c r="T1490" s="19" t="s">
        <v>5064</v>
      </c>
      <c r="U1490" s="19" t="str">
        <f aca="false">HYPERLINK("https://macaulaylibrary.org/asset/12402","Open")</f>
        <v>Open</v>
      </c>
      <c r="V1490" s="19" t="s">
        <v>5065</v>
      </c>
    </row>
    <row r="1491" customFormat="false" ht="15" hidden="false" customHeight="false" outlineLevel="0" collapsed="false">
      <c r="A1491" s="19" t="s">
        <v>5066</v>
      </c>
      <c r="B1491" s="19" t="s">
        <v>943</v>
      </c>
      <c r="C1491" s="19" t="s">
        <v>944</v>
      </c>
      <c r="D1491" s="19" t="s">
        <v>148</v>
      </c>
      <c r="E1491" s="19" t="s">
        <v>147</v>
      </c>
      <c r="F1491" s="19" t="s">
        <v>209</v>
      </c>
      <c r="G1491" s="19" t="n">
        <v>176</v>
      </c>
      <c r="H1491" s="19" t="s">
        <v>210</v>
      </c>
      <c r="I1491" s="20" t="n">
        <v>49.687</v>
      </c>
      <c r="J1491" s="19" t="n">
        <f aca="false">IF(I1491="","",MIN(Overview!$B$8,MAX(1,CEILING(I1491/Overview!$B$7,1))))</f>
        <v>10</v>
      </c>
      <c r="K1491" s="19" t="n">
        <v>1</v>
      </c>
      <c r="L1491" s="19"/>
      <c r="M1491" s="20" t="n">
        <v>3</v>
      </c>
      <c r="N1491" s="19"/>
      <c r="O1491" s="19"/>
      <c r="P1491" s="19" t="s">
        <v>1855</v>
      </c>
      <c r="Q1491" s="19" t="s">
        <v>1401</v>
      </c>
      <c r="R1491" s="21" t="n">
        <v>35811</v>
      </c>
      <c r="S1491" s="19" t="s">
        <v>1002</v>
      </c>
      <c r="T1491" s="19" t="s">
        <v>5067</v>
      </c>
      <c r="U1491" s="19" t="str">
        <f aca="false">HYPERLINK("https://macaulaylibrary.org/asset/129459021","Open")</f>
        <v>Open</v>
      </c>
      <c r="V1491" s="19"/>
    </row>
    <row r="1492" customFormat="false" ht="15" hidden="false" customHeight="false" outlineLevel="0" collapsed="false">
      <c r="A1492" s="19" t="s">
        <v>5068</v>
      </c>
      <c r="B1492" s="19" t="s">
        <v>943</v>
      </c>
      <c r="C1492" s="19" t="s">
        <v>944</v>
      </c>
      <c r="D1492" s="19" t="s">
        <v>148</v>
      </c>
      <c r="E1492" s="19" t="s">
        <v>147</v>
      </c>
      <c r="F1492" s="19" t="s">
        <v>209</v>
      </c>
      <c r="G1492" s="19" t="n">
        <v>176</v>
      </c>
      <c r="H1492" s="19" t="s">
        <v>210</v>
      </c>
      <c r="I1492" s="20" t="n">
        <v>50.51</v>
      </c>
      <c r="J1492" s="19" t="n">
        <f aca="false">IF(I1492="","",MIN(Overview!$B$8,MAX(1,CEILING(I1492/Overview!$B$7,1))))</f>
        <v>11</v>
      </c>
      <c r="K1492" s="19" t="n">
        <v>1</v>
      </c>
      <c r="L1492" s="19"/>
      <c r="M1492" s="20" t="n">
        <v>3.33</v>
      </c>
      <c r="N1492" s="19"/>
      <c r="O1492" s="19"/>
      <c r="P1492" s="19" t="s">
        <v>1105</v>
      </c>
      <c r="Q1492" s="19" t="s">
        <v>1021</v>
      </c>
      <c r="R1492" s="21" t="n">
        <v>36597</v>
      </c>
      <c r="S1492" s="19" t="s">
        <v>1106</v>
      </c>
      <c r="T1492" s="19" t="s">
        <v>5069</v>
      </c>
      <c r="U1492" s="19" t="str">
        <f aca="false">HYPERLINK("https://macaulaylibrary.org/asset/147243351","Open")</f>
        <v>Open</v>
      </c>
      <c r="V1492" s="19"/>
    </row>
    <row r="1493" customFormat="false" ht="15" hidden="false" customHeight="false" outlineLevel="0" collapsed="false">
      <c r="A1493" s="19" t="s">
        <v>5070</v>
      </c>
      <c r="B1493" s="19" t="s">
        <v>943</v>
      </c>
      <c r="C1493" s="19" t="s">
        <v>944</v>
      </c>
      <c r="D1493" s="19" t="s">
        <v>148</v>
      </c>
      <c r="E1493" s="19" t="s">
        <v>147</v>
      </c>
      <c r="F1493" s="19" t="s">
        <v>209</v>
      </c>
      <c r="G1493" s="19" t="n">
        <v>176</v>
      </c>
      <c r="H1493" s="19" t="s">
        <v>210</v>
      </c>
      <c r="I1493" s="20" t="n">
        <v>48.067</v>
      </c>
      <c r="J1493" s="19" t="n">
        <f aca="false">IF(I1493="","",MIN(Overview!$B$8,MAX(1,CEILING(I1493/Overview!$B$7,1))))</f>
        <v>10</v>
      </c>
      <c r="K1493" s="19" t="n">
        <v>1</v>
      </c>
      <c r="L1493" s="19"/>
      <c r="M1493" s="20" t="n">
        <v>2.2</v>
      </c>
      <c r="N1493" s="19"/>
      <c r="O1493" s="19"/>
      <c r="P1493" s="19" t="s">
        <v>1533</v>
      </c>
      <c r="Q1493" s="19" t="s">
        <v>1110</v>
      </c>
      <c r="R1493" s="21" t="n">
        <v>36968</v>
      </c>
      <c r="S1493" s="19" t="s">
        <v>5071</v>
      </c>
      <c r="T1493" s="19" t="s">
        <v>5072</v>
      </c>
      <c r="U1493" s="19" t="str">
        <f aca="false">HYPERLINK("https://macaulaylibrary.org/asset/185743","Open")</f>
        <v>Open</v>
      </c>
      <c r="V1493" s="19" t="s">
        <v>5065</v>
      </c>
    </row>
    <row r="1494" customFormat="false" ht="15" hidden="false" customHeight="false" outlineLevel="0" collapsed="false">
      <c r="A1494" s="19" t="s">
        <v>5073</v>
      </c>
      <c r="B1494" s="19" t="s">
        <v>943</v>
      </c>
      <c r="C1494" s="19" t="s">
        <v>944</v>
      </c>
      <c r="D1494" s="19" t="s">
        <v>148</v>
      </c>
      <c r="E1494" s="19" t="s">
        <v>147</v>
      </c>
      <c r="F1494" s="19" t="s">
        <v>209</v>
      </c>
      <c r="G1494" s="19" t="n">
        <v>176</v>
      </c>
      <c r="H1494" s="19" t="s">
        <v>210</v>
      </c>
      <c r="I1494" s="20" t="n">
        <v>120.087</v>
      </c>
      <c r="J1494" s="19" t="n">
        <f aca="false">IF(I1494="","",MIN(Overview!$B$8,MAX(1,CEILING(I1494/Overview!$B$7,1))))</f>
        <v>25</v>
      </c>
      <c r="K1494" s="19" t="n">
        <v>1</v>
      </c>
      <c r="L1494" s="19"/>
      <c r="M1494" s="20" t="n">
        <v>3</v>
      </c>
      <c r="N1494" s="19"/>
      <c r="O1494" s="19" t="s">
        <v>206</v>
      </c>
      <c r="P1494" s="19" t="s">
        <v>1097</v>
      </c>
      <c r="Q1494" s="19" t="s">
        <v>980</v>
      </c>
      <c r="R1494" s="21" t="n">
        <v>32553</v>
      </c>
      <c r="S1494" s="19" t="s">
        <v>4105</v>
      </c>
      <c r="T1494" s="19" t="s">
        <v>5074</v>
      </c>
      <c r="U1494" s="19" t="str">
        <f aca="false">HYPERLINK("https://macaulaylibrary.org/asset/215332","Open")</f>
        <v>Open</v>
      </c>
      <c r="V1494" s="19" t="s">
        <v>5065</v>
      </c>
    </row>
    <row r="1495" customFormat="false" ht="15" hidden="false" customHeight="false" outlineLevel="0" collapsed="false">
      <c r="A1495" s="19" t="s">
        <v>5075</v>
      </c>
      <c r="B1495" s="19" t="s">
        <v>943</v>
      </c>
      <c r="C1495" s="19" t="s">
        <v>944</v>
      </c>
      <c r="D1495" s="19" t="s">
        <v>148</v>
      </c>
      <c r="E1495" s="19" t="s">
        <v>147</v>
      </c>
      <c r="F1495" s="19" t="s">
        <v>209</v>
      </c>
      <c r="G1495" s="19" t="n">
        <v>176</v>
      </c>
      <c r="H1495" s="19" t="s">
        <v>210</v>
      </c>
      <c r="I1495" s="20" t="n">
        <v>98.988</v>
      </c>
      <c r="J1495" s="19" t="n">
        <f aca="false">IF(I1495="","",MIN(Overview!$B$8,MAX(1,CEILING(I1495/Overview!$B$7,1))))</f>
        <v>20</v>
      </c>
      <c r="K1495" s="19" t="n">
        <v>1</v>
      </c>
      <c r="L1495" s="19"/>
      <c r="M1495" s="20" t="n">
        <v>2.2</v>
      </c>
      <c r="N1495" s="19"/>
      <c r="O1495" s="19" t="s">
        <v>401</v>
      </c>
      <c r="P1495" s="19" t="s">
        <v>1733</v>
      </c>
      <c r="Q1495" s="19" t="s">
        <v>1136</v>
      </c>
      <c r="R1495" s="21" t="n">
        <v>29732</v>
      </c>
      <c r="S1495" s="19" t="s">
        <v>5076</v>
      </c>
      <c r="T1495" s="19" t="s">
        <v>5077</v>
      </c>
      <c r="U1495" s="19" t="str">
        <f aca="false">HYPERLINK("https://macaulaylibrary.org/asset/28148","Open")</f>
        <v>Open</v>
      </c>
      <c r="V1495" s="19" t="s">
        <v>5065</v>
      </c>
    </row>
    <row r="1496" customFormat="false" ht="15" hidden="false" customHeight="false" outlineLevel="0" collapsed="false">
      <c r="A1496" s="19" t="s">
        <v>5078</v>
      </c>
      <c r="B1496" s="19" t="s">
        <v>943</v>
      </c>
      <c r="C1496" s="19" t="s">
        <v>944</v>
      </c>
      <c r="D1496" s="19" t="s">
        <v>148</v>
      </c>
      <c r="E1496" s="19" t="s">
        <v>147</v>
      </c>
      <c r="F1496" s="19" t="s">
        <v>209</v>
      </c>
      <c r="G1496" s="19" t="n">
        <v>176</v>
      </c>
      <c r="H1496" s="19" t="s">
        <v>210</v>
      </c>
      <c r="I1496" s="20" t="n">
        <v>146.824</v>
      </c>
      <c r="J1496" s="19" t="n">
        <f aca="false">IF(I1496="","",MIN(Overview!$B$8,MAX(1,CEILING(I1496/Overview!$B$7,1))))</f>
        <v>30</v>
      </c>
      <c r="K1496" s="19" t="n">
        <v>1</v>
      </c>
      <c r="L1496" s="19"/>
      <c r="M1496" s="20"/>
      <c r="N1496" s="19"/>
      <c r="O1496" s="19"/>
      <c r="P1496" s="19" t="s">
        <v>1029</v>
      </c>
      <c r="Q1496" s="19" t="s">
        <v>1030</v>
      </c>
      <c r="R1496" s="21" t="n">
        <v>40251</v>
      </c>
      <c r="S1496" s="19" t="s">
        <v>5079</v>
      </c>
      <c r="T1496" s="19" t="s">
        <v>5080</v>
      </c>
      <c r="U1496" s="19" t="str">
        <f aca="false">HYPERLINK("https://macaulaylibrary.org/asset/299644","Open")</f>
        <v>Open</v>
      </c>
      <c r="V1496" s="19" t="s">
        <v>5081</v>
      </c>
    </row>
    <row r="1497" customFormat="false" ht="15" hidden="false" customHeight="false" outlineLevel="0" collapsed="false">
      <c r="A1497" s="19" t="s">
        <v>5082</v>
      </c>
      <c r="B1497" s="19" t="s">
        <v>943</v>
      </c>
      <c r="C1497" s="19" t="s">
        <v>944</v>
      </c>
      <c r="D1497" s="19" t="s">
        <v>148</v>
      </c>
      <c r="E1497" s="19" t="s">
        <v>147</v>
      </c>
      <c r="F1497" s="19" t="s">
        <v>209</v>
      </c>
      <c r="G1497" s="19" t="n">
        <v>176</v>
      </c>
      <c r="H1497" s="19" t="s">
        <v>210</v>
      </c>
      <c r="I1497" s="20" t="n">
        <v>33.462</v>
      </c>
      <c r="J1497" s="19" t="n">
        <f aca="false">IF(I1497="","",MIN(Overview!$B$8,MAX(1,CEILING(I1497/Overview!$B$7,1))))</f>
        <v>7</v>
      </c>
      <c r="K1497" s="19" t="n">
        <v>1</v>
      </c>
      <c r="L1497" s="19"/>
      <c r="M1497" s="20"/>
      <c r="N1497" s="19"/>
      <c r="O1497" s="19"/>
      <c r="P1497" s="19" t="s">
        <v>1029</v>
      </c>
      <c r="Q1497" s="19" t="s">
        <v>1030</v>
      </c>
      <c r="R1497" s="21" t="n">
        <v>40251</v>
      </c>
      <c r="S1497" s="19" t="s">
        <v>1072</v>
      </c>
      <c r="T1497" s="19" t="s">
        <v>5083</v>
      </c>
      <c r="U1497" s="19" t="str">
        <f aca="false">HYPERLINK("https://macaulaylibrary.org/asset/299664","Open")</f>
        <v>Open</v>
      </c>
      <c r="V1497" s="19" t="s">
        <v>5081</v>
      </c>
    </row>
    <row r="1498" customFormat="false" ht="15" hidden="false" customHeight="false" outlineLevel="0" collapsed="false">
      <c r="A1498" s="19" t="s">
        <v>5084</v>
      </c>
      <c r="B1498" s="19" t="s">
        <v>943</v>
      </c>
      <c r="C1498" s="19" t="s">
        <v>944</v>
      </c>
      <c r="D1498" s="19" t="s">
        <v>148</v>
      </c>
      <c r="E1498" s="19" t="s">
        <v>147</v>
      </c>
      <c r="F1498" s="19" t="s">
        <v>209</v>
      </c>
      <c r="G1498" s="19" t="n">
        <v>176</v>
      </c>
      <c r="H1498" s="19" t="s">
        <v>210</v>
      </c>
      <c r="I1498" s="20" t="n">
        <v>40.343</v>
      </c>
      <c r="J1498" s="19" t="n">
        <f aca="false">IF(I1498="","",MIN(Overview!$B$8,MAX(1,CEILING(I1498/Overview!$B$7,1))))</f>
        <v>9</v>
      </c>
      <c r="K1498" s="19" t="n">
        <v>1</v>
      </c>
      <c r="L1498" s="19"/>
      <c r="M1498" s="20" t="n">
        <v>4</v>
      </c>
      <c r="N1498" s="19"/>
      <c r="O1498" s="19"/>
      <c r="P1498" s="19" t="s">
        <v>1029</v>
      </c>
      <c r="Q1498" s="19" t="s">
        <v>1030</v>
      </c>
      <c r="R1498" s="21" t="n">
        <v>40251</v>
      </c>
      <c r="S1498" s="19" t="s">
        <v>2047</v>
      </c>
      <c r="T1498" s="19" t="s">
        <v>5085</v>
      </c>
      <c r="U1498" s="19" t="str">
        <f aca="false">HYPERLINK("https://macaulaylibrary.org/asset/299666","Open")</f>
        <v>Open</v>
      </c>
      <c r="V1498" s="19" t="s">
        <v>5081</v>
      </c>
    </row>
    <row r="1499" customFormat="false" ht="15" hidden="false" customHeight="false" outlineLevel="0" collapsed="false">
      <c r="A1499" s="19" t="s">
        <v>5086</v>
      </c>
      <c r="B1499" s="19" t="s">
        <v>943</v>
      </c>
      <c r="C1499" s="19" t="s">
        <v>944</v>
      </c>
      <c r="D1499" s="19" t="s">
        <v>148</v>
      </c>
      <c r="E1499" s="19" t="s">
        <v>147</v>
      </c>
      <c r="F1499" s="19" t="s">
        <v>209</v>
      </c>
      <c r="G1499" s="19" t="n">
        <v>176</v>
      </c>
      <c r="H1499" s="19" t="s">
        <v>210</v>
      </c>
      <c r="I1499" s="20" t="n">
        <v>81.41</v>
      </c>
      <c r="J1499" s="19" t="n">
        <f aca="false">IF(I1499="","",MIN(Overview!$B$8,MAX(1,CEILING(I1499/Overview!$B$7,1))))</f>
        <v>17</v>
      </c>
      <c r="K1499" s="19" t="n">
        <v>1</v>
      </c>
      <c r="L1499" s="19"/>
      <c r="M1499" s="20" t="n">
        <v>3</v>
      </c>
      <c r="N1499" s="19"/>
      <c r="O1499" s="19"/>
      <c r="P1499" s="19" t="s">
        <v>4309</v>
      </c>
      <c r="Q1499" s="19" t="s">
        <v>1408</v>
      </c>
      <c r="R1499" s="21" t="n">
        <v>31808</v>
      </c>
      <c r="S1499" s="19" t="s">
        <v>1009</v>
      </c>
      <c r="T1499" s="19" t="s">
        <v>5087</v>
      </c>
      <c r="U1499" s="19" t="str">
        <f aca="false">HYPERLINK("https://macaulaylibrary.org/asset/306063651","Open")</f>
        <v>Open</v>
      </c>
      <c r="V1499" s="19"/>
    </row>
    <row r="1500" customFormat="false" ht="15" hidden="false" customHeight="false" outlineLevel="0" collapsed="false">
      <c r="A1500" s="19" t="s">
        <v>5088</v>
      </c>
      <c r="B1500" s="19" t="s">
        <v>943</v>
      </c>
      <c r="C1500" s="19" t="s">
        <v>944</v>
      </c>
      <c r="D1500" s="19" t="s">
        <v>148</v>
      </c>
      <c r="E1500" s="19" t="s">
        <v>147</v>
      </c>
      <c r="F1500" s="19" t="s">
        <v>209</v>
      </c>
      <c r="G1500" s="19" t="n">
        <v>176</v>
      </c>
      <c r="H1500" s="19" t="s">
        <v>210</v>
      </c>
      <c r="I1500" s="20" t="n">
        <v>81.472</v>
      </c>
      <c r="J1500" s="19" t="n">
        <f aca="false">IF(I1500="","",MIN(Overview!$B$8,MAX(1,CEILING(I1500/Overview!$B$7,1))))</f>
        <v>17</v>
      </c>
      <c r="K1500" s="19" t="n">
        <v>1</v>
      </c>
      <c r="L1500" s="19"/>
      <c r="M1500" s="20" t="n">
        <v>1.4</v>
      </c>
      <c r="N1500" s="19"/>
      <c r="O1500" s="19" t="s">
        <v>5089</v>
      </c>
      <c r="P1500" s="19" t="s">
        <v>1545</v>
      </c>
      <c r="Q1500" s="19" t="s">
        <v>1071</v>
      </c>
      <c r="R1500" s="21" t="n">
        <v>32821</v>
      </c>
      <c r="S1500" s="19" t="s">
        <v>1002</v>
      </c>
      <c r="T1500" s="19" t="s">
        <v>5090</v>
      </c>
      <c r="U1500" s="19" t="str">
        <f aca="false">HYPERLINK("https://macaulaylibrary.org/asset/51723","Open")</f>
        <v>Open</v>
      </c>
      <c r="V1500" s="19" t="s">
        <v>5065</v>
      </c>
    </row>
    <row r="1501" customFormat="false" ht="15" hidden="false" customHeight="false" outlineLevel="0" collapsed="false">
      <c r="A1501" s="19" t="s">
        <v>5091</v>
      </c>
      <c r="B1501" s="19" t="s">
        <v>943</v>
      </c>
      <c r="C1501" s="19" t="s">
        <v>944</v>
      </c>
      <c r="D1501" s="19" t="s">
        <v>148</v>
      </c>
      <c r="E1501" s="19" t="s">
        <v>147</v>
      </c>
      <c r="F1501" s="19" t="s">
        <v>209</v>
      </c>
      <c r="G1501" s="19" t="n">
        <v>176</v>
      </c>
      <c r="H1501" s="19" t="s">
        <v>210</v>
      </c>
      <c r="I1501" s="20" t="n">
        <v>34.602</v>
      </c>
      <c r="J1501" s="19" t="n">
        <f aca="false">IF(I1501="","",MIN(Overview!$B$8,MAX(1,CEILING(I1501/Overview!$B$7,1))))</f>
        <v>7</v>
      </c>
      <c r="K1501" s="19" t="n">
        <v>1</v>
      </c>
      <c r="L1501" s="19"/>
      <c r="M1501" s="20" t="n">
        <v>4</v>
      </c>
      <c r="N1501" s="19"/>
      <c r="O1501" s="19"/>
      <c r="P1501" s="19" t="s">
        <v>2692</v>
      </c>
      <c r="Q1501" s="19" t="s">
        <v>1148</v>
      </c>
      <c r="R1501" s="21" t="n">
        <v>45017</v>
      </c>
      <c r="S1501" s="19" t="s">
        <v>2693</v>
      </c>
      <c r="T1501" s="19" t="s">
        <v>5092</v>
      </c>
      <c r="U1501" s="19" t="str">
        <f aca="false">HYPERLINK("https://macaulaylibrary.org/asset/553696491","Open")</f>
        <v>Open</v>
      </c>
      <c r="V1501" s="19"/>
    </row>
    <row r="1502" customFormat="false" ht="15" hidden="false" customHeight="false" outlineLevel="0" collapsed="false">
      <c r="A1502" s="19" t="s">
        <v>5093</v>
      </c>
      <c r="B1502" s="19" t="s">
        <v>943</v>
      </c>
      <c r="C1502" s="19" t="s">
        <v>944</v>
      </c>
      <c r="D1502" s="19" t="s">
        <v>148</v>
      </c>
      <c r="E1502" s="19" t="s">
        <v>147</v>
      </c>
      <c r="F1502" s="19" t="s">
        <v>209</v>
      </c>
      <c r="G1502" s="19" t="n">
        <v>176</v>
      </c>
      <c r="H1502" s="19" t="s">
        <v>210</v>
      </c>
      <c r="I1502" s="20" t="n">
        <v>21.36</v>
      </c>
      <c r="J1502" s="19" t="n">
        <f aca="false">IF(I1502="","",MIN(Overview!$B$8,MAX(1,CEILING(I1502/Overview!$B$7,1))))</f>
        <v>5</v>
      </c>
      <c r="K1502" s="19" t="n">
        <v>1</v>
      </c>
      <c r="L1502" s="19"/>
      <c r="M1502" s="20" t="n">
        <v>3</v>
      </c>
      <c r="N1502" s="19"/>
      <c r="O1502" s="19"/>
      <c r="P1502" s="19" t="s">
        <v>1085</v>
      </c>
      <c r="Q1502" s="19" t="s">
        <v>1086</v>
      </c>
      <c r="R1502" s="21" t="n">
        <v>45298</v>
      </c>
      <c r="S1502" s="19" t="s">
        <v>1087</v>
      </c>
      <c r="T1502" s="19" t="s">
        <v>5094</v>
      </c>
      <c r="U1502" s="19" t="str">
        <f aca="false">HYPERLINK("https://macaulaylibrary.org/asset/614027344","Open")</f>
        <v>Open</v>
      </c>
      <c r="V1502" s="19"/>
    </row>
    <row r="1503" customFormat="false" ht="15" hidden="false" customHeight="false" outlineLevel="0" collapsed="false">
      <c r="A1503" s="19" t="s">
        <v>5095</v>
      </c>
      <c r="B1503" s="19" t="s">
        <v>943</v>
      </c>
      <c r="C1503" s="19" t="s">
        <v>944</v>
      </c>
      <c r="D1503" s="19" t="s">
        <v>148</v>
      </c>
      <c r="E1503" s="19" t="s">
        <v>147</v>
      </c>
      <c r="F1503" s="19" t="s">
        <v>209</v>
      </c>
      <c r="G1503" s="19" t="n">
        <v>176</v>
      </c>
      <c r="H1503" s="19" t="s">
        <v>210</v>
      </c>
      <c r="I1503" s="20" t="n">
        <v>2.509</v>
      </c>
      <c r="J1503" s="19" t="n">
        <f aca="false">IF(I1503="","",MIN(Overview!$B$8,MAX(1,CEILING(I1503/Overview!$B$7,1))))</f>
        <v>1</v>
      </c>
      <c r="K1503" s="19" t="n">
        <v>1</v>
      </c>
      <c r="L1503" s="19" t="s">
        <v>1048</v>
      </c>
      <c r="M1503" s="20" t="n">
        <v>5</v>
      </c>
      <c r="N1503" s="19"/>
      <c r="O1503" s="19"/>
      <c r="P1503" s="19" t="s">
        <v>1943</v>
      </c>
      <c r="Q1503" s="19" t="s">
        <v>1368</v>
      </c>
      <c r="R1503" s="21" t="n">
        <v>45488</v>
      </c>
      <c r="S1503" s="19" t="s">
        <v>1936</v>
      </c>
      <c r="T1503" s="19" t="s">
        <v>5096</v>
      </c>
      <c r="U1503" s="19" t="str">
        <f aca="false">HYPERLINK("https://macaulaylibrary.org/asset/628598626","Open")</f>
        <v>Open</v>
      </c>
      <c r="V1503" s="19"/>
    </row>
    <row r="1504" customFormat="false" ht="15" hidden="false" customHeight="false" outlineLevel="0" collapsed="false">
      <c r="A1504" s="19" t="s">
        <v>5097</v>
      </c>
      <c r="B1504" s="19" t="s">
        <v>943</v>
      </c>
      <c r="C1504" s="19" t="s">
        <v>944</v>
      </c>
      <c r="D1504" s="19" t="s">
        <v>148</v>
      </c>
      <c r="E1504" s="19" t="s">
        <v>147</v>
      </c>
      <c r="F1504" s="19" t="s">
        <v>209</v>
      </c>
      <c r="G1504" s="19" t="n">
        <v>176</v>
      </c>
      <c r="H1504" s="19" t="s">
        <v>210</v>
      </c>
      <c r="I1504" s="20" t="n">
        <v>17.918</v>
      </c>
      <c r="J1504" s="19" t="n">
        <f aca="false">IF(I1504="","",MIN(Overview!$B$8,MAX(1,CEILING(I1504/Overview!$B$7,1))))</f>
        <v>4</v>
      </c>
      <c r="K1504" s="19" t="n">
        <v>1</v>
      </c>
      <c r="L1504" s="19"/>
      <c r="M1504" s="20" t="n">
        <v>4</v>
      </c>
      <c r="N1504" s="19"/>
      <c r="O1504" s="19" t="s">
        <v>206</v>
      </c>
      <c r="P1504" s="19" t="s">
        <v>1335</v>
      </c>
      <c r="Q1504" s="19" t="s">
        <v>990</v>
      </c>
      <c r="R1504" s="21" t="n">
        <v>46011</v>
      </c>
      <c r="S1504" s="19" t="s">
        <v>966</v>
      </c>
      <c r="T1504" s="19" t="s">
        <v>5098</v>
      </c>
      <c r="U1504" s="19" t="str">
        <f aca="false">HYPERLINK("https://macaulaylibrary.org/asset/647330916","Open")</f>
        <v>Open</v>
      </c>
      <c r="V1504" s="19"/>
    </row>
    <row r="1505" customFormat="false" ht="15" hidden="false" customHeight="false" outlineLevel="0" collapsed="false">
      <c r="A1505" s="19" t="s">
        <v>5099</v>
      </c>
      <c r="B1505" s="19" t="s">
        <v>943</v>
      </c>
      <c r="C1505" s="19" t="s">
        <v>944</v>
      </c>
      <c r="D1505" s="19" t="s">
        <v>148</v>
      </c>
      <c r="E1505" s="19" t="s">
        <v>147</v>
      </c>
      <c r="F1505" s="19" t="s">
        <v>209</v>
      </c>
      <c r="G1505" s="19" t="n">
        <v>176</v>
      </c>
      <c r="H1505" s="19" t="s">
        <v>210</v>
      </c>
      <c r="I1505" s="20" t="n">
        <v>32.16</v>
      </c>
      <c r="J1505" s="19" t="n">
        <f aca="false">IF(I1505="","",MIN(Overview!$B$8,MAX(1,CEILING(I1505/Overview!$B$7,1))))</f>
        <v>7</v>
      </c>
      <c r="K1505" s="19" t="n">
        <v>1</v>
      </c>
      <c r="L1505" s="19"/>
      <c r="M1505" s="20" t="n">
        <v>3</v>
      </c>
      <c r="N1505" s="19"/>
      <c r="O1505" s="19"/>
      <c r="P1505" s="19" t="s">
        <v>4405</v>
      </c>
      <c r="Q1505" s="19" t="s">
        <v>965</v>
      </c>
      <c r="R1505" s="21" t="n">
        <v>46012</v>
      </c>
      <c r="S1505" s="19" t="s">
        <v>1433</v>
      </c>
      <c r="T1505" s="19" t="s">
        <v>5100</v>
      </c>
      <c r="U1505" s="19" t="str">
        <f aca="false">HYPERLINK("https://macaulaylibrary.org/asset/647390085","Open")</f>
        <v>Open</v>
      </c>
      <c r="V1505" s="19"/>
    </row>
    <row r="1506" customFormat="false" ht="15" hidden="false" customHeight="false" outlineLevel="0" collapsed="false">
      <c r="A1506" s="19" t="s">
        <v>5101</v>
      </c>
      <c r="B1506" s="19" t="s">
        <v>943</v>
      </c>
      <c r="C1506" s="19" t="s">
        <v>944</v>
      </c>
      <c r="D1506" s="19" t="s">
        <v>148</v>
      </c>
      <c r="E1506" s="19" t="s">
        <v>147</v>
      </c>
      <c r="F1506" s="19" t="s">
        <v>209</v>
      </c>
      <c r="G1506" s="19" t="n">
        <v>176</v>
      </c>
      <c r="H1506" s="19" t="s">
        <v>210</v>
      </c>
      <c r="I1506" s="20" t="n">
        <v>41.12</v>
      </c>
      <c r="J1506" s="19" t="n">
        <f aca="false">IF(I1506="","",MIN(Overview!$B$8,MAX(1,CEILING(I1506/Overview!$B$7,1))))</f>
        <v>9</v>
      </c>
      <c r="K1506" s="19" t="n">
        <v>1</v>
      </c>
      <c r="L1506" s="19"/>
      <c r="M1506" s="20" t="n">
        <v>4</v>
      </c>
      <c r="N1506" s="19"/>
      <c r="O1506" s="19"/>
      <c r="P1506" s="19" t="s">
        <v>964</v>
      </c>
      <c r="Q1506" s="19" t="s">
        <v>965</v>
      </c>
      <c r="R1506" s="21" t="n">
        <v>46011</v>
      </c>
      <c r="S1506" s="19" t="s">
        <v>966</v>
      </c>
      <c r="T1506" s="19" t="s">
        <v>5102</v>
      </c>
      <c r="U1506" s="19" t="str">
        <f aca="false">HYPERLINK("https://macaulaylibrary.org/asset/647447979","Open")</f>
        <v>Open</v>
      </c>
      <c r="V1506" s="19"/>
    </row>
    <row r="1507" customFormat="false" ht="15" hidden="false" customHeight="false" outlineLevel="0" collapsed="false">
      <c r="A1507" s="19" t="s">
        <v>5103</v>
      </c>
      <c r="B1507" s="19" t="s">
        <v>943</v>
      </c>
      <c r="C1507" s="19" t="s">
        <v>944</v>
      </c>
      <c r="D1507" s="19" t="s">
        <v>148</v>
      </c>
      <c r="E1507" s="19" t="s">
        <v>147</v>
      </c>
      <c r="F1507" s="19" t="s">
        <v>209</v>
      </c>
      <c r="G1507" s="19" t="n">
        <v>176</v>
      </c>
      <c r="H1507" s="19" t="s">
        <v>210</v>
      </c>
      <c r="I1507" s="20" t="n">
        <v>12.64</v>
      </c>
      <c r="J1507" s="19" t="n">
        <f aca="false">IF(I1507="","",MIN(Overview!$B$8,MAX(1,CEILING(I1507/Overview!$B$7,1))))</f>
        <v>3</v>
      </c>
      <c r="K1507" s="19" t="n">
        <v>1</v>
      </c>
      <c r="L1507" s="19"/>
      <c r="M1507" s="20" t="n">
        <v>3</v>
      </c>
      <c r="N1507" s="19"/>
      <c r="O1507" s="19"/>
      <c r="P1507" s="19" t="s">
        <v>5104</v>
      </c>
      <c r="Q1507" s="19" t="s">
        <v>965</v>
      </c>
      <c r="R1507" s="21" t="n">
        <v>46010</v>
      </c>
      <c r="S1507" s="19" t="s">
        <v>5105</v>
      </c>
      <c r="T1507" s="19" t="s">
        <v>5106</v>
      </c>
      <c r="U1507" s="19" t="str">
        <f aca="false">HYPERLINK("https://macaulaylibrary.org/asset/647489479","Open")</f>
        <v>Open</v>
      </c>
      <c r="V1507" s="19"/>
    </row>
    <row r="1508" customFormat="false" ht="15" hidden="false" customHeight="false" outlineLevel="0" collapsed="false">
      <c r="A1508" s="19" t="s">
        <v>5107</v>
      </c>
      <c r="B1508" s="19" t="s">
        <v>943</v>
      </c>
      <c r="C1508" s="19" t="s">
        <v>944</v>
      </c>
      <c r="D1508" s="19" t="s">
        <v>148</v>
      </c>
      <c r="E1508" s="19" t="s">
        <v>147</v>
      </c>
      <c r="F1508" s="19" t="s">
        <v>209</v>
      </c>
      <c r="G1508" s="19" t="n">
        <v>176</v>
      </c>
      <c r="H1508" s="19" t="s">
        <v>210</v>
      </c>
      <c r="I1508" s="20" t="n">
        <v>13.409</v>
      </c>
      <c r="J1508" s="19" t="n">
        <f aca="false">IF(I1508="","",MIN(Overview!$B$8,MAX(1,CEILING(I1508/Overview!$B$7,1))))</f>
        <v>3</v>
      </c>
      <c r="K1508" s="19" t="n">
        <v>1</v>
      </c>
      <c r="L1508" s="19"/>
      <c r="M1508" s="20" t="n">
        <v>3</v>
      </c>
      <c r="N1508" s="19"/>
      <c r="O1508" s="19" t="s">
        <v>162</v>
      </c>
      <c r="P1508" s="19" t="s">
        <v>1335</v>
      </c>
      <c r="Q1508" s="19" t="s">
        <v>990</v>
      </c>
      <c r="R1508" s="21" t="n">
        <v>46011</v>
      </c>
      <c r="S1508" s="19" t="s">
        <v>966</v>
      </c>
      <c r="T1508" s="19" t="s">
        <v>5108</v>
      </c>
      <c r="U1508" s="19" t="str">
        <f aca="false">HYPERLINK("https://macaulaylibrary.org/asset/647568895","Open")</f>
        <v>Open</v>
      </c>
      <c r="V1508" s="19"/>
    </row>
    <row r="1509" customFormat="false" ht="15" hidden="false" customHeight="false" outlineLevel="0" collapsed="false">
      <c r="A1509" s="19" t="s">
        <v>5109</v>
      </c>
      <c r="B1509" s="19" t="s">
        <v>943</v>
      </c>
      <c r="C1509" s="19" t="s">
        <v>944</v>
      </c>
      <c r="D1509" s="19" t="s">
        <v>148</v>
      </c>
      <c r="E1509" s="19" t="s">
        <v>147</v>
      </c>
      <c r="F1509" s="19" t="s">
        <v>209</v>
      </c>
      <c r="G1509" s="19" t="n">
        <v>176</v>
      </c>
      <c r="H1509" s="19" t="s">
        <v>210</v>
      </c>
      <c r="I1509" s="20" t="n">
        <v>53.011</v>
      </c>
      <c r="J1509" s="19" t="n">
        <f aca="false">IF(I1509="","",MIN(Overview!$B$8,MAX(1,CEILING(I1509/Overview!$B$7,1))))</f>
        <v>11</v>
      </c>
      <c r="K1509" s="19" t="n">
        <v>1</v>
      </c>
      <c r="L1509" s="19"/>
      <c r="M1509" s="20" t="n">
        <v>3</v>
      </c>
      <c r="N1509" s="19"/>
      <c r="O1509" s="19" t="s">
        <v>5110</v>
      </c>
      <c r="P1509" s="19" t="s">
        <v>1824</v>
      </c>
      <c r="Q1509" s="19" t="s">
        <v>1502</v>
      </c>
      <c r="R1509" s="21" t="n">
        <v>45938</v>
      </c>
      <c r="S1509" s="19" t="s">
        <v>1825</v>
      </c>
      <c r="T1509" s="19" t="s">
        <v>5111</v>
      </c>
      <c r="U1509" s="19" t="str">
        <f aca="false">HYPERLINK("https://macaulaylibrary.org/asset/648628425","Open")</f>
        <v>Open</v>
      </c>
      <c r="V1509" s="19"/>
    </row>
    <row r="1510" customFormat="false" ht="15" hidden="false" customHeight="false" outlineLevel="0" collapsed="false">
      <c r="A1510" s="19" t="s">
        <v>5112</v>
      </c>
      <c r="B1510" s="19" t="s">
        <v>943</v>
      </c>
      <c r="C1510" s="19" t="s">
        <v>944</v>
      </c>
      <c r="D1510" s="19" t="s">
        <v>148</v>
      </c>
      <c r="E1510" s="19" t="s">
        <v>147</v>
      </c>
      <c r="F1510" s="19" t="s">
        <v>209</v>
      </c>
      <c r="G1510" s="19" t="n">
        <v>176</v>
      </c>
      <c r="H1510" s="19" t="s">
        <v>210</v>
      </c>
      <c r="I1510" s="20" t="n">
        <v>55.907</v>
      </c>
      <c r="J1510" s="19" t="n">
        <f aca="false">IF(I1510="","",MIN(Overview!$B$8,MAX(1,CEILING(I1510/Overview!$B$7,1))))</f>
        <v>12</v>
      </c>
      <c r="K1510" s="19" t="n">
        <v>1</v>
      </c>
      <c r="L1510" s="19"/>
      <c r="M1510" s="20" t="n">
        <v>3</v>
      </c>
      <c r="N1510" s="19"/>
      <c r="O1510" s="19"/>
      <c r="P1510" s="19" t="s">
        <v>1506</v>
      </c>
      <c r="Q1510" s="19" t="s">
        <v>1502</v>
      </c>
      <c r="R1510" s="21" t="n">
        <v>45940</v>
      </c>
      <c r="S1510" s="19" t="s">
        <v>1507</v>
      </c>
      <c r="T1510" s="19" t="s">
        <v>5113</v>
      </c>
      <c r="U1510" s="19" t="str">
        <f aca="false">HYPERLINK("https://macaulaylibrary.org/asset/648782472","Open")</f>
        <v>Open</v>
      </c>
      <c r="V1510" s="19"/>
    </row>
    <row r="1511" customFormat="false" ht="15" hidden="false" customHeight="false" outlineLevel="0" collapsed="false">
      <c r="A1511" s="19" t="s">
        <v>5114</v>
      </c>
      <c r="B1511" s="19" t="s">
        <v>943</v>
      </c>
      <c r="C1511" s="19" t="s">
        <v>944</v>
      </c>
      <c r="D1511" s="19" t="s">
        <v>148</v>
      </c>
      <c r="E1511" s="19" t="s">
        <v>147</v>
      </c>
      <c r="F1511" s="19" t="s">
        <v>209</v>
      </c>
      <c r="G1511" s="19" t="n">
        <v>176</v>
      </c>
      <c r="H1511" s="19" t="s">
        <v>210</v>
      </c>
      <c r="I1511" s="20" t="n">
        <v>35.872</v>
      </c>
      <c r="J1511" s="19" t="n">
        <f aca="false">IF(I1511="","",MIN(Overview!$B$8,MAX(1,CEILING(I1511/Overview!$B$7,1))))</f>
        <v>8</v>
      </c>
      <c r="K1511" s="19" t="n">
        <v>1</v>
      </c>
      <c r="L1511" s="19"/>
      <c r="M1511" s="20" t="n">
        <v>4.5</v>
      </c>
      <c r="N1511" s="19"/>
      <c r="O1511" s="19" t="s">
        <v>5115</v>
      </c>
      <c r="P1511" s="19" t="s">
        <v>3425</v>
      </c>
      <c r="Q1511" s="19" t="s">
        <v>2085</v>
      </c>
      <c r="R1511" s="21" t="n">
        <v>46011</v>
      </c>
      <c r="S1511" s="19" t="s">
        <v>966</v>
      </c>
      <c r="T1511" s="19" t="s">
        <v>5116</v>
      </c>
      <c r="U1511" s="19" t="str">
        <f aca="false">HYPERLINK("https://macaulaylibrary.org/asset/652036969","Open")</f>
        <v>Open</v>
      </c>
      <c r="V1511" s="19"/>
    </row>
    <row r="1512" customFormat="false" ht="15" hidden="false" customHeight="false" outlineLevel="0" collapsed="false">
      <c r="A1512" s="19" t="s">
        <v>5117</v>
      </c>
      <c r="B1512" s="19" t="s">
        <v>943</v>
      </c>
      <c r="C1512" s="19" t="s">
        <v>944</v>
      </c>
      <c r="D1512" s="19" t="s">
        <v>148</v>
      </c>
      <c r="E1512" s="19" t="s">
        <v>147</v>
      </c>
      <c r="F1512" s="19" t="s">
        <v>209</v>
      </c>
      <c r="G1512" s="19" t="n">
        <v>176</v>
      </c>
      <c r="H1512" s="19" t="s">
        <v>210</v>
      </c>
      <c r="I1512" s="20" t="n">
        <v>17.513</v>
      </c>
      <c r="J1512" s="19" t="n">
        <f aca="false">IF(I1512="","",MIN(Overview!$B$8,MAX(1,CEILING(I1512/Overview!$B$7,1))))</f>
        <v>4</v>
      </c>
      <c r="K1512" s="19" t="n">
        <v>1</v>
      </c>
      <c r="L1512" s="19"/>
      <c r="M1512" s="20"/>
      <c r="N1512" s="19"/>
      <c r="O1512" s="19"/>
      <c r="P1512" s="19" t="s">
        <v>5118</v>
      </c>
      <c r="Q1512" s="19" t="s">
        <v>1204</v>
      </c>
      <c r="R1512" s="21" t="n">
        <v>46050</v>
      </c>
      <c r="S1512" s="19" t="s">
        <v>1383</v>
      </c>
      <c r="T1512" s="19" t="s">
        <v>5119</v>
      </c>
      <c r="U1512" s="19" t="str">
        <f aca="false">HYPERLINK("https://macaulaylibrary.org/asset/653762806","Open")</f>
        <v>Open</v>
      </c>
      <c r="V1512" s="19"/>
    </row>
    <row r="1513" customFormat="false" ht="15" hidden="false" customHeight="false" outlineLevel="0" collapsed="false">
      <c r="A1513" s="19" t="s">
        <v>5120</v>
      </c>
      <c r="B1513" s="19" t="s">
        <v>943</v>
      </c>
      <c r="C1513" s="19" t="s">
        <v>944</v>
      </c>
      <c r="D1513" s="19" t="s">
        <v>148</v>
      </c>
      <c r="E1513" s="19" t="s">
        <v>147</v>
      </c>
      <c r="F1513" s="19" t="s">
        <v>209</v>
      </c>
      <c r="G1513" s="19" t="n">
        <v>176</v>
      </c>
      <c r="H1513" s="19" t="s">
        <v>210</v>
      </c>
      <c r="I1513" s="20" t="n">
        <v>1.068</v>
      </c>
      <c r="J1513" s="19" t="n">
        <f aca="false">IF(I1513="","",MIN(Overview!$B$8,MAX(1,CEILING(I1513/Overview!$B$7,1))))</f>
        <v>1</v>
      </c>
      <c r="K1513" s="19" t="n">
        <v>1</v>
      </c>
      <c r="L1513" s="19" t="s">
        <v>1048</v>
      </c>
      <c r="M1513" s="20"/>
      <c r="N1513" s="19"/>
      <c r="O1513" s="19"/>
      <c r="P1513" s="19" t="s">
        <v>2564</v>
      </c>
      <c r="Q1513" s="19" t="s">
        <v>2565</v>
      </c>
      <c r="R1513" s="21" t="n">
        <v>46105</v>
      </c>
      <c r="S1513" s="19" t="s">
        <v>2566</v>
      </c>
      <c r="T1513" s="19" t="s">
        <v>5121</v>
      </c>
      <c r="U1513" s="19" t="str">
        <f aca="false">HYPERLINK("https://macaulaylibrary.org/asset/654515537","Open")</f>
        <v>Open</v>
      </c>
      <c r="V1513" s="19"/>
    </row>
    <row r="1514" customFormat="false" ht="15" hidden="false" customHeight="false" outlineLevel="0" collapsed="false">
      <c r="A1514" s="19" t="s">
        <v>5122</v>
      </c>
      <c r="B1514" s="19" t="s">
        <v>943</v>
      </c>
      <c r="C1514" s="19" t="s">
        <v>944</v>
      </c>
      <c r="D1514" s="19" t="s">
        <v>148</v>
      </c>
      <c r="E1514" s="19" t="s">
        <v>147</v>
      </c>
      <c r="F1514" s="19" t="s">
        <v>209</v>
      </c>
      <c r="G1514" s="19" t="n">
        <v>176</v>
      </c>
      <c r="H1514" s="19" t="s">
        <v>210</v>
      </c>
      <c r="I1514" s="20" t="n">
        <v>150.742</v>
      </c>
      <c r="J1514" s="19" t="n">
        <f aca="false">IF(I1514="","",MIN(Overview!$B$8,MAX(1,CEILING(I1514/Overview!$B$7,1))))</f>
        <v>31</v>
      </c>
      <c r="K1514" s="19" t="n">
        <v>1</v>
      </c>
      <c r="L1514" s="19"/>
      <c r="M1514" s="20" t="n">
        <v>3.5</v>
      </c>
      <c r="N1514" s="19"/>
      <c r="O1514" s="19"/>
      <c r="P1514" s="19" t="s">
        <v>1573</v>
      </c>
      <c r="Q1514" s="19" t="s">
        <v>1021</v>
      </c>
      <c r="R1514" s="21" t="n">
        <v>35861</v>
      </c>
      <c r="S1514" s="19" t="s">
        <v>1574</v>
      </c>
      <c r="T1514" s="19" t="s">
        <v>5123</v>
      </c>
      <c r="U1514" s="19" t="str">
        <f aca="false">HYPERLINK("https://macaulaylibrary.org/asset/99577541","Open")</f>
        <v>Open</v>
      </c>
      <c r="V1514" s="19"/>
    </row>
    <row r="1515" customFormat="false" ht="15" hidden="false" customHeight="false" outlineLevel="0" collapsed="false">
      <c r="A1515" s="19" t="s">
        <v>5124</v>
      </c>
      <c r="B1515" s="19" t="s">
        <v>943</v>
      </c>
      <c r="C1515" s="19" t="s">
        <v>944</v>
      </c>
      <c r="D1515" s="19" t="s">
        <v>148</v>
      </c>
      <c r="E1515" s="19" t="s">
        <v>147</v>
      </c>
      <c r="F1515" s="19" t="s">
        <v>259</v>
      </c>
      <c r="G1515" s="19" t="n">
        <v>177</v>
      </c>
      <c r="H1515" s="19" t="s">
        <v>260</v>
      </c>
      <c r="I1515" s="20" t="n">
        <v>8.615</v>
      </c>
      <c r="J1515" s="19" t="n">
        <f aca="false">IF(I1515="","",MIN(Overview!$B$8,MAX(1,CEILING(I1515/Overview!$B$7,1))))</f>
        <v>2</v>
      </c>
      <c r="K1515" s="19" t="n">
        <v>1</v>
      </c>
      <c r="L1515" s="19"/>
      <c r="M1515" s="20" t="n">
        <v>4</v>
      </c>
      <c r="N1515" s="19"/>
      <c r="O1515" s="19"/>
      <c r="P1515" s="19" t="s">
        <v>3831</v>
      </c>
      <c r="Q1515" s="19" t="s">
        <v>1021</v>
      </c>
      <c r="R1515" s="21" t="n">
        <v>35862</v>
      </c>
      <c r="S1515" s="19" t="s">
        <v>1036</v>
      </c>
      <c r="T1515" s="19" t="s">
        <v>5125</v>
      </c>
      <c r="U1515" s="19" t="str">
        <f aca="false">HYPERLINK("https://macaulaylibrary.org/asset/100360091","Open")</f>
        <v>Open</v>
      </c>
      <c r="V1515" s="19" t="s">
        <v>5126</v>
      </c>
    </row>
    <row r="1516" customFormat="false" ht="15" hidden="false" customHeight="false" outlineLevel="0" collapsed="false">
      <c r="A1516" s="19" t="s">
        <v>5127</v>
      </c>
      <c r="B1516" s="19" t="s">
        <v>943</v>
      </c>
      <c r="C1516" s="19" t="s">
        <v>944</v>
      </c>
      <c r="D1516" s="19" t="s">
        <v>148</v>
      </c>
      <c r="E1516" s="19" t="s">
        <v>147</v>
      </c>
      <c r="F1516" s="19" t="s">
        <v>259</v>
      </c>
      <c r="G1516" s="19" t="n">
        <v>177</v>
      </c>
      <c r="H1516" s="19" t="s">
        <v>260</v>
      </c>
      <c r="I1516" s="20" t="n">
        <v>124.916</v>
      </c>
      <c r="J1516" s="19" t="n">
        <f aca="false">IF(I1516="","",MIN(Overview!$B$8,MAX(1,CEILING(I1516/Overview!$B$7,1))))</f>
        <v>25</v>
      </c>
      <c r="K1516" s="19" t="n">
        <v>1</v>
      </c>
      <c r="L1516" s="19"/>
      <c r="M1516" s="20" t="n">
        <v>4.33</v>
      </c>
      <c r="N1516" s="19"/>
      <c r="O1516" s="19"/>
      <c r="P1516" s="19" t="s">
        <v>1020</v>
      </c>
      <c r="Q1516" s="19" t="s">
        <v>1021</v>
      </c>
      <c r="R1516" s="21" t="n">
        <v>35863</v>
      </c>
      <c r="S1516" s="19" t="s">
        <v>1022</v>
      </c>
      <c r="T1516" s="19" t="s">
        <v>5128</v>
      </c>
      <c r="U1516" s="19" t="str">
        <f aca="false">HYPERLINK("https://macaulaylibrary.org/asset/101638791","Open")</f>
        <v>Open</v>
      </c>
      <c r="V1516" s="19" t="s">
        <v>5126</v>
      </c>
    </row>
    <row r="1517" customFormat="false" ht="15" hidden="false" customHeight="false" outlineLevel="0" collapsed="false">
      <c r="A1517" s="19" t="s">
        <v>5129</v>
      </c>
      <c r="B1517" s="19" t="s">
        <v>943</v>
      </c>
      <c r="C1517" s="19" t="s">
        <v>944</v>
      </c>
      <c r="D1517" s="19" t="s">
        <v>148</v>
      </c>
      <c r="E1517" s="19" t="s">
        <v>147</v>
      </c>
      <c r="F1517" s="19" t="s">
        <v>259</v>
      </c>
      <c r="G1517" s="19" t="n">
        <v>177</v>
      </c>
      <c r="H1517" s="19" t="s">
        <v>260</v>
      </c>
      <c r="I1517" s="20" t="n">
        <v>26.441</v>
      </c>
      <c r="J1517" s="19" t="n">
        <f aca="false">IF(I1517="","",MIN(Overview!$B$8,MAX(1,CEILING(I1517/Overview!$B$7,1))))</f>
        <v>6</v>
      </c>
      <c r="K1517" s="19" t="n">
        <v>1</v>
      </c>
      <c r="L1517" s="19"/>
      <c r="M1517" s="20" t="n">
        <v>2</v>
      </c>
      <c r="N1517" s="19"/>
      <c r="O1517" s="19"/>
      <c r="P1517" s="19" t="s">
        <v>2916</v>
      </c>
      <c r="Q1517" s="19" t="s">
        <v>2235</v>
      </c>
      <c r="R1517" s="21" t="n">
        <v>43469</v>
      </c>
      <c r="S1517" s="19" t="s">
        <v>1484</v>
      </c>
      <c r="T1517" s="19" t="s">
        <v>5130</v>
      </c>
      <c r="U1517" s="19" t="str">
        <f aca="false">HYPERLINK("https://macaulaylibrary.org/asset/143078551","Open")</f>
        <v>Open</v>
      </c>
      <c r="V1517" s="19"/>
    </row>
    <row r="1518" customFormat="false" ht="15" hidden="false" customHeight="false" outlineLevel="0" collapsed="false">
      <c r="A1518" s="19" t="s">
        <v>5131</v>
      </c>
      <c r="B1518" s="19" t="s">
        <v>943</v>
      </c>
      <c r="C1518" s="19" t="s">
        <v>944</v>
      </c>
      <c r="D1518" s="19" t="s">
        <v>148</v>
      </c>
      <c r="E1518" s="19" t="s">
        <v>147</v>
      </c>
      <c r="F1518" s="19" t="s">
        <v>259</v>
      </c>
      <c r="G1518" s="19" t="n">
        <v>177</v>
      </c>
      <c r="H1518" s="19" t="s">
        <v>260</v>
      </c>
      <c r="I1518" s="20" t="n">
        <v>15.332</v>
      </c>
      <c r="J1518" s="19" t="n">
        <f aca="false">IF(I1518="","",MIN(Overview!$B$8,MAX(1,CEILING(I1518/Overview!$B$7,1))))</f>
        <v>4</v>
      </c>
      <c r="K1518" s="19" t="n">
        <v>1</v>
      </c>
      <c r="L1518" s="19"/>
      <c r="M1518" s="20" t="n">
        <v>3</v>
      </c>
      <c r="N1518" s="19"/>
      <c r="O1518" s="19" t="s">
        <v>5132</v>
      </c>
      <c r="P1518" s="19" t="s">
        <v>5133</v>
      </c>
      <c r="Q1518" s="19" t="s">
        <v>1401</v>
      </c>
      <c r="R1518" s="21" t="n">
        <v>36955</v>
      </c>
      <c r="S1518" s="19" t="s">
        <v>1002</v>
      </c>
      <c r="T1518" s="19" t="s">
        <v>5134</v>
      </c>
      <c r="U1518" s="19" t="str">
        <f aca="false">HYPERLINK("https://macaulaylibrary.org/asset/246009581","Open")</f>
        <v>Open</v>
      </c>
      <c r="V1518" s="19" t="s">
        <v>5126</v>
      </c>
    </row>
    <row r="1519" customFormat="false" ht="15" hidden="false" customHeight="false" outlineLevel="0" collapsed="false">
      <c r="A1519" s="19" t="s">
        <v>5135</v>
      </c>
      <c r="B1519" s="19" t="s">
        <v>943</v>
      </c>
      <c r="C1519" s="19" t="s">
        <v>944</v>
      </c>
      <c r="D1519" s="19" t="s">
        <v>148</v>
      </c>
      <c r="E1519" s="19" t="s">
        <v>147</v>
      </c>
      <c r="F1519" s="19" t="s">
        <v>259</v>
      </c>
      <c r="G1519" s="19" t="n">
        <v>177</v>
      </c>
      <c r="H1519" s="19" t="s">
        <v>260</v>
      </c>
      <c r="I1519" s="20" t="n">
        <v>12.598</v>
      </c>
      <c r="J1519" s="19" t="n">
        <f aca="false">IF(I1519="","",MIN(Overview!$B$8,MAX(1,CEILING(I1519/Overview!$B$7,1))))</f>
        <v>3</v>
      </c>
      <c r="K1519" s="19" t="n">
        <v>1</v>
      </c>
      <c r="L1519" s="19"/>
      <c r="M1519" s="20" t="n">
        <v>3</v>
      </c>
      <c r="N1519" s="19"/>
      <c r="O1519" s="19"/>
      <c r="P1519" s="19" t="s">
        <v>1140</v>
      </c>
      <c r="Q1519" s="19" t="s">
        <v>1030</v>
      </c>
      <c r="R1519" s="21" t="n">
        <v>40250</v>
      </c>
      <c r="S1519" s="19" t="s">
        <v>1245</v>
      </c>
      <c r="T1519" s="19" t="s">
        <v>5136</v>
      </c>
      <c r="U1519" s="19" t="str">
        <f aca="false">HYPERLINK("https://macaulaylibrary.org/asset/299555","Open")</f>
        <v>Open</v>
      </c>
      <c r="V1519" s="19"/>
    </row>
    <row r="1520" customFormat="false" ht="15" hidden="false" customHeight="false" outlineLevel="0" collapsed="false">
      <c r="A1520" s="19" t="s">
        <v>5137</v>
      </c>
      <c r="B1520" s="19" t="s">
        <v>943</v>
      </c>
      <c r="C1520" s="19" t="s">
        <v>944</v>
      </c>
      <c r="D1520" s="19" t="s">
        <v>148</v>
      </c>
      <c r="E1520" s="19" t="s">
        <v>147</v>
      </c>
      <c r="F1520" s="19" t="s">
        <v>259</v>
      </c>
      <c r="G1520" s="19" t="n">
        <v>177</v>
      </c>
      <c r="H1520" s="19" t="s">
        <v>260</v>
      </c>
      <c r="I1520" s="20" t="n">
        <v>52.395</v>
      </c>
      <c r="J1520" s="19" t="n">
        <f aca="false">IF(I1520="","",MIN(Overview!$B$8,MAX(1,CEILING(I1520/Overview!$B$7,1))))</f>
        <v>11</v>
      </c>
      <c r="K1520" s="19" t="n">
        <v>1</v>
      </c>
      <c r="L1520" s="19"/>
      <c r="M1520" s="20" t="n">
        <v>3</v>
      </c>
      <c r="N1520" s="19"/>
      <c r="O1520" s="19"/>
      <c r="P1520" s="19" t="s">
        <v>1140</v>
      </c>
      <c r="Q1520" s="19" t="s">
        <v>1030</v>
      </c>
      <c r="R1520" s="21" t="n">
        <v>40250</v>
      </c>
      <c r="S1520" s="19" t="s">
        <v>1774</v>
      </c>
      <c r="T1520" s="19" t="s">
        <v>5138</v>
      </c>
      <c r="U1520" s="19" t="str">
        <f aca="false">HYPERLINK("https://macaulaylibrary.org/asset/299591","Open")</f>
        <v>Open</v>
      </c>
      <c r="V1520" s="19"/>
    </row>
    <row r="1521" customFormat="false" ht="15" hidden="false" customHeight="false" outlineLevel="0" collapsed="false">
      <c r="A1521" s="19" t="s">
        <v>5139</v>
      </c>
      <c r="B1521" s="19" t="s">
        <v>943</v>
      </c>
      <c r="C1521" s="19" t="s">
        <v>944</v>
      </c>
      <c r="D1521" s="19" t="s">
        <v>148</v>
      </c>
      <c r="E1521" s="19" t="s">
        <v>147</v>
      </c>
      <c r="F1521" s="19" t="s">
        <v>259</v>
      </c>
      <c r="G1521" s="19" t="n">
        <v>177</v>
      </c>
      <c r="H1521" s="19" t="s">
        <v>260</v>
      </c>
      <c r="I1521" s="20" t="n">
        <v>54.422</v>
      </c>
      <c r="J1521" s="19" t="n">
        <f aca="false">IF(I1521="","",MIN(Overview!$B$8,MAX(1,CEILING(I1521/Overview!$B$7,1))))</f>
        <v>11</v>
      </c>
      <c r="K1521" s="19" t="n">
        <v>1</v>
      </c>
      <c r="L1521" s="19"/>
      <c r="M1521" s="20" t="n">
        <v>3.5</v>
      </c>
      <c r="N1521" s="19"/>
      <c r="O1521" s="19"/>
      <c r="P1521" s="19" t="s">
        <v>1140</v>
      </c>
      <c r="Q1521" s="19" t="s">
        <v>1030</v>
      </c>
      <c r="R1521" s="21" t="n">
        <v>40250</v>
      </c>
      <c r="S1521" s="19" t="s">
        <v>1774</v>
      </c>
      <c r="T1521" s="19" t="s">
        <v>5140</v>
      </c>
      <c r="U1521" s="19" t="str">
        <f aca="false">HYPERLINK("https://macaulaylibrary.org/asset/299592","Open")</f>
        <v>Open</v>
      </c>
      <c r="V1521" s="19"/>
    </row>
    <row r="1522" customFormat="false" ht="15" hidden="false" customHeight="false" outlineLevel="0" collapsed="false">
      <c r="A1522" s="19" t="s">
        <v>5141</v>
      </c>
      <c r="B1522" s="19" t="s">
        <v>943</v>
      </c>
      <c r="C1522" s="19" t="s">
        <v>944</v>
      </c>
      <c r="D1522" s="19" t="s">
        <v>148</v>
      </c>
      <c r="E1522" s="19" t="s">
        <v>147</v>
      </c>
      <c r="F1522" s="19" t="s">
        <v>259</v>
      </c>
      <c r="G1522" s="19" t="n">
        <v>177</v>
      </c>
      <c r="H1522" s="19" t="s">
        <v>260</v>
      </c>
      <c r="I1522" s="20" t="n">
        <v>63.451</v>
      </c>
      <c r="J1522" s="19" t="n">
        <f aca="false">IF(I1522="","",MIN(Overview!$B$8,MAX(1,CEILING(I1522/Overview!$B$7,1))))</f>
        <v>13</v>
      </c>
      <c r="K1522" s="19" t="n">
        <v>1</v>
      </c>
      <c r="L1522" s="19"/>
      <c r="M1522" s="20" t="n">
        <v>3</v>
      </c>
      <c r="N1522" s="19"/>
      <c r="O1522" s="19"/>
      <c r="P1522" s="19" t="s">
        <v>1034</v>
      </c>
      <c r="Q1522" s="19" t="s">
        <v>1035</v>
      </c>
      <c r="R1522" s="21" t="n">
        <v>43665</v>
      </c>
      <c r="S1522" s="19" t="s">
        <v>1036</v>
      </c>
      <c r="T1522" s="19" t="s">
        <v>5142</v>
      </c>
      <c r="U1522" s="19" t="str">
        <f aca="false">HYPERLINK("https://macaulaylibrary.org/asset/498005091","Open")</f>
        <v>Open</v>
      </c>
      <c r="V1522" s="19" t="s">
        <v>5126</v>
      </c>
    </row>
    <row r="1523" customFormat="false" ht="15" hidden="false" customHeight="false" outlineLevel="0" collapsed="false">
      <c r="A1523" s="19" t="s">
        <v>5143</v>
      </c>
      <c r="B1523" s="19" t="s">
        <v>943</v>
      </c>
      <c r="C1523" s="19" t="s">
        <v>944</v>
      </c>
      <c r="D1523" s="19" t="s">
        <v>148</v>
      </c>
      <c r="E1523" s="19" t="s">
        <v>147</v>
      </c>
      <c r="F1523" s="19" t="s">
        <v>259</v>
      </c>
      <c r="G1523" s="19" t="n">
        <v>177</v>
      </c>
      <c r="H1523" s="19" t="s">
        <v>260</v>
      </c>
      <c r="I1523" s="20" t="n">
        <v>72.088</v>
      </c>
      <c r="J1523" s="19" t="n">
        <f aca="false">IF(I1523="","",MIN(Overview!$B$8,MAX(1,CEILING(I1523/Overview!$B$7,1))))</f>
        <v>15</v>
      </c>
      <c r="K1523" s="19" t="n">
        <v>1</v>
      </c>
      <c r="L1523" s="19"/>
      <c r="M1523" s="20" t="n">
        <v>2.33</v>
      </c>
      <c r="N1523" s="19"/>
      <c r="O1523" s="19"/>
      <c r="P1523" s="19" t="s">
        <v>1567</v>
      </c>
      <c r="Q1523" s="19" t="s">
        <v>980</v>
      </c>
      <c r="R1523" s="21" t="n">
        <v>33294</v>
      </c>
      <c r="S1523" s="19" t="s">
        <v>1002</v>
      </c>
      <c r="T1523" s="19" t="s">
        <v>5144</v>
      </c>
      <c r="U1523" s="19" t="str">
        <f aca="false">HYPERLINK("https://macaulaylibrary.org/asset/57499","Open")</f>
        <v>Open</v>
      </c>
      <c r="V1523" s="19" t="s">
        <v>5126</v>
      </c>
    </row>
    <row r="1524" customFormat="false" ht="15" hidden="false" customHeight="false" outlineLevel="0" collapsed="false">
      <c r="A1524" s="19" t="s">
        <v>5145</v>
      </c>
      <c r="B1524" s="19" t="s">
        <v>943</v>
      </c>
      <c r="C1524" s="19" t="s">
        <v>944</v>
      </c>
      <c r="D1524" s="19" t="s">
        <v>148</v>
      </c>
      <c r="E1524" s="19" t="s">
        <v>147</v>
      </c>
      <c r="F1524" s="19" t="s">
        <v>259</v>
      </c>
      <c r="G1524" s="19" t="n">
        <v>177</v>
      </c>
      <c r="H1524" s="19" t="s">
        <v>260</v>
      </c>
      <c r="I1524" s="20" t="n">
        <v>9.801</v>
      </c>
      <c r="J1524" s="19" t="n">
        <f aca="false">IF(I1524="","",MIN(Overview!$B$8,MAX(1,CEILING(I1524/Overview!$B$7,1))))</f>
        <v>2</v>
      </c>
      <c r="K1524" s="19" t="n">
        <v>1</v>
      </c>
      <c r="L1524" s="19"/>
      <c r="M1524" s="20" t="n">
        <v>2</v>
      </c>
      <c r="N1524" s="19"/>
      <c r="O1524" s="19"/>
      <c r="P1524" s="19" t="s">
        <v>1039</v>
      </c>
      <c r="Q1524" s="19" t="s">
        <v>1040</v>
      </c>
      <c r="R1524" s="21" t="n">
        <v>40901</v>
      </c>
      <c r="S1524" s="19" t="s">
        <v>1002</v>
      </c>
      <c r="T1524" s="19" t="s">
        <v>5146</v>
      </c>
      <c r="U1524" s="19" t="str">
        <f aca="false">HYPERLINK("https://macaulaylibrary.org/asset/609056497","Open")</f>
        <v>Open</v>
      </c>
      <c r="V1524" s="19"/>
    </row>
    <row r="1525" customFormat="false" ht="15" hidden="false" customHeight="false" outlineLevel="0" collapsed="false">
      <c r="A1525" s="19" t="s">
        <v>5147</v>
      </c>
      <c r="B1525" s="19" t="s">
        <v>943</v>
      </c>
      <c r="C1525" s="19" t="s">
        <v>944</v>
      </c>
      <c r="D1525" s="19" t="s">
        <v>148</v>
      </c>
      <c r="E1525" s="19" t="s">
        <v>147</v>
      </c>
      <c r="F1525" s="19" t="s">
        <v>259</v>
      </c>
      <c r="G1525" s="19" t="n">
        <v>177</v>
      </c>
      <c r="H1525" s="19" t="s">
        <v>260</v>
      </c>
      <c r="I1525" s="20" t="n">
        <v>51.386</v>
      </c>
      <c r="J1525" s="19" t="n">
        <f aca="false">IF(I1525="","",MIN(Overview!$B$8,MAX(1,CEILING(I1525/Overview!$B$7,1))))</f>
        <v>11</v>
      </c>
      <c r="K1525" s="19" t="n">
        <v>1</v>
      </c>
      <c r="L1525" s="19"/>
      <c r="M1525" s="20" t="n">
        <v>3</v>
      </c>
      <c r="N1525" s="19"/>
      <c r="O1525" s="19"/>
      <c r="P1525" s="19" t="s">
        <v>2119</v>
      </c>
      <c r="Q1525" s="19" t="s">
        <v>1368</v>
      </c>
      <c r="R1525" s="21" t="n">
        <v>45489</v>
      </c>
      <c r="S1525" s="19" t="s">
        <v>1211</v>
      </c>
      <c r="T1525" s="19" t="s">
        <v>5148</v>
      </c>
      <c r="U1525" s="19" t="str">
        <f aca="false">HYPERLINK("https://macaulaylibrary.org/asset/628776558","Open")</f>
        <v>Open</v>
      </c>
      <c r="V1525" s="19"/>
    </row>
    <row r="1526" customFormat="false" ht="15" hidden="false" customHeight="false" outlineLevel="0" collapsed="false">
      <c r="A1526" s="19" t="s">
        <v>5149</v>
      </c>
      <c r="B1526" s="19" t="s">
        <v>943</v>
      </c>
      <c r="C1526" s="19" t="s">
        <v>944</v>
      </c>
      <c r="D1526" s="19" t="s">
        <v>148</v>
      </c>
      <c r="E1526" s="19" t="s">
        <v>147</v>
      </c>
      <c r="F1526" s="19" t="s">
        <v>259</v>
      </c>
      <c r="G1526" s="19" t="n">
        <v>177</v>
      </c>
      <c r="H1526" s="19" t="s">
        <v>260</v>
      </c>
      <c r="I1526" s="20" t="n">
        <v>58.619</v>
      </c>
      <c r="J1526" s="19" t="n">
        <f aca="false">IF(I1526="","",MIN(Overview!$B$8,MAX(1,CEILING(I1526/Overview!$B$7,1))))</f>
        <v>12</v>
      </c>
      <c r="K1526" s="19" t="n">
        <v>1</v>
      </c>
      <c r="L1526" s="19"/>
      <c r="M1526" s="20" t="n">
        <v>3.5</v>
      </c>
      <c r="N1526" s="19"/>
      <c r="O1526" s="19" t="s">
        <v>5150</v>
      </c>
      <c r="P1526" s="19" t="s">
        <v>1613</v>
      </c>
      <c r="Q1526" s="19" t="s">
        <v>1191</v>
      </c>
      <c r="R1526" s="21" t="n">
        <v>45706</v>
      </c>
      <c r="S1526" s="19" t="s">
        <v>1614</v>
      </c>
      <c r="T1526" s="19" t="s">
        <v>5151</v>
      </c>
      <c r="U1526" s="19" t="str">
        <f aca="false">HYPERLINK("https://macaulaylibrary.org/asset/631021687","Open")</f>
        <v>Open</v>
      </c>
      <c r="V1526" s="19" t="s">
        <v>5126</v>
      </c>
    </row>
    <row r="1527" customFormat="false" ht="15" hidden="false" customHeight="false" outlineLevel="0" collapsed="false">
      <c r="A1527" s="19" t="s">
        <v>5152</v>
      </c>
      <c r="B1527" s="19" t="s">
        <v>943</v>
      </c>
      <c r="C1527" s="19" t="s">
        <v>944</v>
      </c>
      <c r="D1527" s="19" t="s">
        <v>148</v>
      </c>
      <c r="E1527" s="19" t="s">
        <v>147</v>
      </c>
      <c r="F1527" s="19" t="s">
        <v>259</v>
      </c>
      <c r="G1527" s="19" t="n">
        <v>177</v>
      </c>
      <c r="H1527" s="19" t="s">
        <v>260</v>
      </c>
      <c r="I1527" s="20" t="n">
        <v>34.387</v>
      </c>
      <c r="J1527" s="19" t="n">
        <f aca="false">IF(I1527="","",MIN(Overview!$B$8,MAX(1,CEILING(I1527/Overview!$B$7,1))))</f>
        <v>7</v>
      </c>
      <c r="K1527" s="19" t="n">
        <v>1</v>
      </c>
      <c r="L1527" s="19"/>
      <c r="M1527" s="20" t="n">
        <v>2.5</v>
      </c>
      <c r="N1527" s="19"/>
      <c r="O1527" s="19"/>
      <c r="P1527" s="19" t="s">
        <v>2443</v>
      </c>
      <c r="Q1527" s="19" t="s">
        <v>1091</v>
      </c>
      <c r="R1527" s="21" t="n">
        <v>45843</v>
      </c>
      <c r="S1527" s="19" t="s">
        <v>2444</v>
      </c>
      <c r="T1527" s="19" t="s">
        <v>5153</v>
      </c>
      <c r="U1527" s="19" t="str">
        <f aca="false">HYPERLINK("https://macaulaylibrary.org/asset/639165391","Open")</f>
        <v>Open</v>
      </c>
      <c r="V1527" s="19" t="s">
        <v>5126</v>
      </c>
    </row>
    <row r="1528" customFormat="false" ht="15" hidden="false" customHeight="false" outlineLevel="0" collapsed="false">
      <c r="A1528" s="19" t="s">
        <v>5154</v>
      </c>
      <c r="B1528" s="19" t="s">
        <v>943</v>
      </c>
      <c r="C1528" s="19" t="s">
        <v>944</v>
      </c>
      <c r="D1528" s="19" t="s">
        <v>148</v>
      </c>
      <c r="E1528" s="19" t="s">
        <v>147</v>
      </c>
      <c r="F1528" s="19" t="s">
        <v>259</v>
      </c>
      <c r="G1528" s="19" t="n">
        <v>177</v>
      </c>
      <c r="H1528" s="19" t="s">
        <v>260</v>
      </c>
      <c r="I1528" s="20" t="n">
        <v>18.515</v>
      </c>
      <c r="J1528" s="19" t="n">
        <f aca="false">IF(I1528="","",MIN(Overview!$B$8,MAX(1,CEILING(I1528/Overview!$B$7,1))))</f>
        <v>4</v>
      </c>
      <c r="K1528" s="19" t="n">
        <v>1</v>
      </c>
      <c r="L1528" s="19"/>
      <c r="M1528" s="20" t="n">
        <v>4</v>
      </c>
      <c r="N1528" s="19"/>
      <c r="O1528" s="19"/>
      <c r="P1528" s="19" t="s">
        <v>1949</v>
      </c>
      <c r="Q1528" s="19" t="s">
        <v>1368</v>
      </c>
      <c r="R1528" s="21" t="n">
        <v>45983</v>
      </c>
      <c r="S1528" s="19" t="s">
        <v>1022</v>
      </c>
      <c r="T1528" s="19" t="s">
        <v>5155</v>
      </c>
      <c r="U1528" s="19" t="str">
        <f aca="false">HYPERLINK("https://macaulaylibrary.org/asset/646460581","Open")</f>
        <v>Open</v>
      </c>
      <c r="V1528" s="19"/>
    </row>
    <row r="1529" customFormat="false" ht="15" hidden="false" customHeight="false" outlineLevel="0" collapsed="false">
      <c r="A1529" s="19" t="s">
        <v>5156</v>
      </c>
      <c r="B1529" s="19" t="s">
        <v>943</v>
      </c>
      <c r="C1529" s="19" t="s">
        <v>944</v>
      </c>
      <c r="D1529" s="19" t="s">
        <v>148</v>
      </c>
      <c r="E1529" s="19" t="s">
        <v>147</v>
      </c>
      <c r="F1529" s="19" t="s">
        <v>259</v>
      </c>
      <c r="G1529" s="19" t="n">
        <v>177</v>
      </c>
      <c r="H1529" s="19" t="s">
        <v>260</v>
      </c>
      <c r="I1529" s="20" t="n">
        <v>16.416</v>
      </c>
      <c r="J1529" s="19" t="n">
        <f aca="false">IF(I1529="","",MIN(Overview!$B$8,MAX(1,CEILING(I1529/Overview!$B$7,1))))</f>
        <v>4</v>
      </c>
      <c r="K1529" s="19" t="n">
        <v>1</v>
      </c>
      <c r="L1529" s="19"/>
      <c r="M1529" s="20" t="n">
        <v>1</v>
      </c>
      <c r="N1529" s="19"/>
      <c r="O1529" s="19" t="s">
        <v>5157</v>
      </c>
      <c r="P1529" s="19" t="s">
        <v>1631</v>
      </c>
      <c r="Q1529" s="19" t="s">
        <v>990</v>
      </c>
      <c r="R1529" s="21" t="n">
        <v>46012</v>
      </c>
      <c r="S1529" s="19" t="s">
        <v>1632</v>
      </c>
      <c r="T1529" s="19" t="s">
        <v>5158</v>
      </c>
      <c r="U1529" s="19" t="str">
        <f aca="false">HYPERLINK("https://macaulaylibrary.org/asset/647329587","Open")</f>
        <v>Open</v>
      </c>
      <c r="V1529" s="19"/>
    </row>
    <row r="1530" customFormat="false" ht="15" hidden="false" customHeight="false" outlineLevel="0" collapsed="false">
      <c r="A1530" s="19" t="s">
        <v>5159</v>
      </c>
      <c r="B1530" s="19" t="s">
        <v>943</v>
      </c>
      <c r="C1530" s="19" t="s">
        <v>944</v>
      </c>
      <c r="D1530" s="19" t="s">
        <v>148</v>
      </c>
      <c r="E1530" s="19" t="s">
        <v>147</v>
      </c>
      <c r="F1530" s="19" t="s">
        <v>259</v>
      </c>
      <c r="G1530" s="19" t="n">
        <v>177</v>
      </c>
      <c r="H1530" s="19" t="s">
        <v>260</v>
      </c>
      <c r="I1530" s="20" t="n">
        <v>49.28</v>
      </c>
      <c r="J1530" s="19" t="n">
        <f aca="false">IF(I1530="","",MIN(Overview!$B$8,MAX(1,CEILING(I1530/Overview!$B$7,1))))</f>
        <v>10</v>
      </c>
      <c r="K1530" s="19" t="n">
        <v>1</v>
      </c>
      <c r="L1530" s="19"/>
      <c r="M1530" s="20" t="n">
        <v>3.67</v>
      </c>
      <c r="N1530" s="19"/>
      <c r="O1530" s="19" t="s">
        <v>428</v>
      </c>
      <c r="P1530" s="19" t="s">
        <v>2969</v>
      </c>
      <c r="Q1530" s="19" t="s">
        <v>2970</v>
      </c>
      <c r="R1530" s="21" t="n">
        <v>46062</v>
      </c>
      <c r="S1530" s="19" t="s">
        <v>2971</v>
      </c>
      <c r="T1530" s="19" t="s">
        <v>5160</v>
      </c>
      <c r="U1530" s="19" t="str">
        <f aca="false">HYPERLINK("https://macaulaylibrary.org/asset/650762748","Open")</f>
        <v>Open</v>
      </c>
      <c r="V1530" s="19"/>
    </row>
    <row r="1531" customFormat="false" ht="15" hidden="false" customHeight="false" outlineLevel="0" collapsed="false">
      <c r="A1531" s="19" t="s">
        <v>5161</v>
      </c>
      <c r="B1531" s="19" t="s">
        <v>943</v>
      </c>
      <c r="C1531" s="19" t="s">
        <v>944</v>
      </c>
      <c r="D1531" s="19" t="s">
        <v>148</v>
      </c>
      <c r="E1531" s="19" t="s">
        <v>147</v>
      </c>
      <c r="F1531" s="19" t="s">
        <v>259</v>
      </c>
      <c r="G1531" s="19" t="n">
        <v>177</v>
      </c>
      <c r="H1531" s="19" t="s">
        <v>260</v>
      </c>
      <c r="I1531" s="20" t="n">
        <v>17.576</v>
      </c>
      <c r="J1531" s="19" t="n">
        <f aca="false">IF(I1531="","",MIN(Overview!$B$8,MAX(1,CEILING(I1531/Overview!$B$7,1))))</f>
        <v>4</v>
      </c>
      <c r="K1531" s="19" t="n">
        <v>1</v>
      </c>
      <c r="L1531" s="19"/>
      <c r="M1531" s="20" t="n">
        <v>3</v>
      </c>
      <c r="N1531" s="19"/>
      <c r="O1531" s="19"/>
      <c r="P1531" s="19" t="s">
        <v>1347</v>
      </c>
      <c r="Q1531" s="19" t="s">
        <v>1348</v>
      </c>
      <c r="R1531" s="21" t="n">
        <v>46100</v>
      </c>
      <c r="S1531" s="19" t="s">
        <v>1106</v>
      </c>
      <c r="T1531" s="19" t="s">
        <v>5162</v>
      </c>
      <c r="U1531" s="19" t="str">
        <f aca="false">HYPERLINK("https://macaulaylibrary.org/asset/654444572","Open")</f>
        <v>Open</v>
      </c>
      <c r="V1531" s="19" t="s">
        <v>5126</v>
      </c>
    </row>
    <row r="1532" customFormat="false" ht="15" hidden="false" customHeight="false" outlineLevel="0" collapsed="false">
      <c r="A1532" s="19" t="s">
        <v>5163</v>
      </c>
      <c r="B1532" s="19" t="s">
        <v>1005</v>
      </c>
      <c r="C1532" s="19" t="s">
        <v>944</v>
      </c>
      <c r="D1532" s="19" t="s">
        <v>647</v>
      </c>
      <c r="E1532" s="19" t="s">
        <v>147</v>
      </c>
      <c r="F1532" s="19" t="s">
        <v>259</v>
      </c>
      <c r="G1532" s="19" t="n">
        <v>177</v>
      </c>
      <c r="H1532" s="19" t="s">
        <v>260</v>
      </c>
      <c r="I1532" s="20" t="n">
        <v>13.056</v>
      </c>
      <c r="J1532" s="19" t="n">
        <f aca="false">IF(I1532="","",MIN(Overview!$B$8,MAX(1,CEILING(I1532/Overview!$B$7,1))))</f>
        <v>3</v>
      </c>
      <c r="K1532" s="19" t="n">
        <v>1</v>
      </c>
      <c r="L1532" s="19"/>
      <c r="M1532" s="20"/>
      <c r="N1532" s="19" t="s">
        <v>1006</v>
      </c>
      <c r="O1532" s="19"/>
      <c r="P1532" s="19" t="s">
        <v>1016</v>
      </c>
      <c r="Q1532" s="19" t="s">
        <v>1008</v>
      </c>
      <c r="R1532" s="21" t="n">
        <v>42578</v>
      </c>
      <c r="S1532" s="19" t="s">
        <v>1302</v>
      </c>
      <c r="T1532" s="19" t="s">
        <v>5164</v>
      </c>
      <c r="U1532" s="19" t="str">
        <f aca="false">HYPERLINK("https://xeno-canto.org/331462","Open")</f>
        <v>Open</v>
      </c>
      <c r="V1532" s="19" t="s">
        <v>1011</v>
      </c>
    </row>
    <row r="1533" customFormat="false" ht="15" hidden="false" customHeight="false" outlineLevel="0" collapsed="false">
      <c r="A1533" s="19" t="s">
        <v>5165</v>
      </c>
      <c r="B1533" s="19" t="s">
        <v>943</v>
      </c>
      <c r="C1533" s="19" t="s">
        <v>944</v>
      </c>
      <c r="D1533" s="19" t="s">
        <v>148</v>
      </c>
      <c r="E1533" s="19" t="s">
        <v>147</v>
      </c>
      <c r="F1533" s="19" t="s">
        <v>268</v>
      </c>
      <c r="G1533" s="19" t="n">
        <v>178</v>
      </c>
      <c r="H1533" s="19" t="s">
        <v>269</v>
      </c>
      <c r="I1533" s="20" t="n">
        <v>25.941</v>
      </c>
      <c r="J1533" s="19" t="n">
        <f aca="false">IF(I1533="","",MIN(Overview!$B$8,MAX(1,CEILING(I1533/Overview!$B$7,1))))</f>
        <v>6</v>
      </c>
      <c r="K1533" s="19" t="n">
        <v>1</v>
      </c>
      <c r="L1533" s="19"/>
      <c r="M1533" s="20" t="n">
        <v>2</v>
      </c>
      <c r="N1533" s="19"/>
      <c r="O1533" s="19"/>
      <c r="P1533" s="19" t="s">
        <v>2338</v>
      </c>
      <c r="Q1533" s="19" t="s">
        <v>965</v>
      </c>
      <c r="R1533" s="21" t="n">
        <v>43449</v>
      </c>
      <c r="S1533" s="19" t="s">
        <v>1137</v>
      </c>
      <c r="T1533" s="19" t="s">
        <v>5166</v>
      </c>
      <c r="U1533" s="19" t="str">
        <f aca="false">HYPERLINK("https://macaulaylibrary.org/asset/129894581","Open")</f>
        <v>Open</v>
      </c>
      <c r="V1533" s="19"/>
    </row>
    <row r="1534" customFormat="false" ht="15" hidden="false" customHeight="false" outlineLevel="0" collapsed="false">
      <c r="A1534" s="19" t="s">
        <v>5167</v>
      </c>
      <c r="B1534" s="19" t="s">
        <v>943</v>
      </c>
      <c r="C1534" s="19" t="s">
        <v>944</v>
      </c>
      <c r="D1534" s="19" t="s">
        <v>148</v>
      </c>
      <c r="E1534" s="19" t="s">
        <v>147</v>
      </c>
      <c r="F1534" s="19" t="s">
        <v>268</v>
      </c>
      <c r="G1534" s="19" t="n">
        <v>178</v>
      </c>
      <c r="H1534" s="19" t="s">
        <v>269</v>
      </c>
      <c r="I1534" s="20" t="n">
        <v>40.232</v>
      </c>
      <c r="J1534" s="19" t="n">
        <f aca="false">IF(I1534="","",MIN(Overview!$B$8,MAX(1,CEILING(I1534/Overview!$B$7,1))))</f>
        <v>9</v>
      </c>
      <c r="K1534" s="19" t="n">
        <v>1</v>
      </c>
      <c r="L1534" s="19"/>
      <c r="M1534" s="20" t="n">
        <v>3</v>
      </c>
      <c r="N1534" s="19"/>
      <c r="O1534" s="19"/>
      <c r="P1534" s="19" t="s">
        <v>1356</v>
      </c>
      <c r="Q1534" s="19" t="s">
        <v>1021</v>
      </c>
      <c r="R1534" s="21" t="n">
        <v>36603</v>
      </c>
      <c r="S1534" s="19" t="s">
        <v>1357</v>
      </c>
      <c r="T1534" s="19" t="s">
        <v>5168</v>
      </c>
      <c r="U1534" s="19" t="str">
        <f aca="false">HYPERLINK("https://macaulaylibrary.org/asset/155116981","Open")</f>
        <v>Open</v>
      </c>
      <c r="V1534" s="19"/>
    </row>
    <row r="1535" customFormat="false" ht="15" hidden="false" customHeight="false" outlineLevel="0" collapsed="false">
      <c r="A1535" s="19" t="s">
        <v>5169</v>
      </c>
      <c r="B1535" s="19" t="s">
        <v>943</v>
      </c>
      <c r="C1535" s="19" t="s">
        <v>944</v>
      </c>
      <c r="D1535" s="19" t="s">
        <v>148</v>
      </c>
      <c r="E1535" s="19" t="s">
        <v>147</v>
      </c>
      <c r="F1535" s="19" t="s">
        <v>268</v>
      </c>
      <c r="G1535" s="19" t="n">
        <v>178</v>
      </c>
      <c r="H1535" s="19" t="s">
        <v>269</v>
      </c>
      <c r="I1535" s="20" t="n">
        <v>39.205</v>
      </c>
      <c r="J1535" s="19" t="n">
        <f aca="false">IF(I1535="","",MIN(Overview!$B$8,MAX(1,CEILING(I1535/Overview!$B$7,1))))</f>
        <v>8</v>
      </c>
      <c r="K1535" s="19" t="n">
        <v>1</v>
      </c>
      <c r="L1535" s="19"/>
      <c r="M1535" s="20" t="n">
        <v>4.5</v>
      </c>
      <c r="N1535" s="19"/>
      <c r="O1535" s="19"/>
      <c r="P1535" s="19" t="s">
        <v>1278</v>
      </c>
      <c r="Q1535" s="19" t="s">
        <v>1030</v>
      </c>
      <c r="R1535" s="21" t="n">
        <v>33597</v>
      </c>
      <c r="S1535" s="19" t="s">
        <v>1279</v>
      </c>
      <c r="T1535" s="19" t="s">
        <v>5170</v>
      </c>
      <c r="U1535" s="19" t="str">
        <f aca="false">HYPERLINK("https://macaulaylibrary.org/asset/285625","Open")</f>
        <v>Open</v>
      </c>
      <c r="V1535" s="19"/>
    </row>
    <row r="1536" customFormat="false" ht="15" hidden="false" customHeight="false" outlineLevel="0" collapsed="false">
      <c r="A1536" s="19" t="s">
        <v>5171</v>
      </c>
      <c r="B1536" s="19" t="s">
        <v>943</v>
      </c>
      <c r="C1536" s="19" t="s">
        <v>944</v>
      </c>
      <c r="D1536" s="19" t="s">
        <v>148</v>
      </c>
      <c r="E1536" s="19" t="s">
        <v>147</v>
      </c>
      <c r="F1536" s="19" t="s">
        <v>268</v>
      </c>
      <c r="G1536" s="19" t="n">
        <v>178</v>
      </c>
      <c r="H1536" s="19" t="s">
        <v>269</v>
      </c>
      <c r="I1536" s="20" t="n">
        <v>50.822</v>
      </c>
      <c r="J1536" s="19" t="n">
        <f aca="false">IF(I1536="","",MIN(Overview!$B$8,MAX(1,CEILING(I1536/Overview!$B$7,1))))</f>
        <v>11</v>
      </c>
      <c r="K1536" s="19" t="n">
        <v>1</v>
      </c>
      <c r="L1536" s="19"/>
      <c r="M1536" s="20" t="n">
        <v>2</v>
      </c>
      <c r="N1536" s="19"/>
      <c r="O1536" s="19"/>
      <c r="P1536" s="19" t="s">
        <v>1140</v>
      </c>
      <c r="Q1536" s="19" t="s">
        <v>1030</v>
      </c>
      <c r="R1536" s="21" t="n">
        <v>40250</v>
      </c>
      <c r="S1536" s="19" t="s">
        <v>1774</v>
      </c>
      <c r="T1536" s="19" t="s">
        <v>5172</v>
      </c>
      <c r="U1536" s="19" t="str">
        <f aca="false">HYPERLINK("https://macaulaylibrary.org/asset/299597","Open")</f>
        <v>Open</v>
      </c>
      <c r="V1536" s="19"/>
    </row>
    <row r="1537" customFormat="false" ht="15" hidden="false" customHeight="false" outlineLevel="0" collapsed="false">
      <c r="A1537" s="19" t="s">
        <v>5173</v>
      </c>
      <c r="B1537" s="19" t="s">
        <v>943</v>
      </c>
      <c r="C1537" s="19" t="s">
        <v>944</v>
      </c>
      <c r="D1537" s="19" t="s">
        <v>148</v>
      </c>
      <c r="E1537" s="19" t="s">
        <v>147</v>
      </c>
      <c r="F1537" s="19" t="s">
        <v>268</v>
      </c>
      <c r="G1537" s="19" t="n">
        <v>178</v>
      </c>
      <c r="H1537" s="19" t="s">
        <v>269</v>
      </c>
      <c r="I1537" s="20" t="n">
        <v>26.463</v>
      </c>
      <c r="J1537" s="19" t="n">
        <f aca="false">IF(I1537="","",MIN(Overview!$B$8,MAX(1,CEILING(I1537/Overview!$B$7,1))))</f>
        <v>6</v>
      </c>
      <c r="K1537" s="19" t="n">
        <v>1</v>
      </c>
      <c r="L1537" s="19"/>
      <c r="M1537" s="20" t="n">
        <v>4</v>
      </c>
      <c r="N1537" s="19"/>
      <c r="O1537" s="19"/>
      <c r="P1537" s="19" t="s">
        <v>1140</v>
      </c>
      <c r="Q1537" s="19" t="s">
        <v>1030</v>
      </c>
      <c r="R1537" s="21" t="n">
        <v>40250</v>
      </c>
      <c r="S1537" s="19" t="s">
        <v>1774</v>
      </c>
      <c r="T1537" s="19" t="s">
        <v>5174</v>
      </c>
      <c r="U1537" s="19" t="str">
        <f aca="false">HYPERLINK("https://macaulaylibrary.org/asset/299598","Open")</f>
        <v>Open</v>
      </c>
      <c r="V1537" s="19"/>
    </row>
    <row r="1538" customFormat="false" ht="15" hidden="false" customHeight="false" outlineLevel="0" collapsed="false">
      <c r="A1538" s="19" t="s">
        <v>5175</v>
      </c>
      <c r="B1538" s="19" t="s">
        <v>943</v>
      </c>
      <c r="C1538" s="19" t="s">
        <v>944</v>
      </c>
      <c r="D1538" s="19" t="s">
        <v>148</v>
      </c>
      <c r="E1538" s="19" t="s">
        <v>147</v>
      </c>
      <c r="F1538" s="19" t="s">
        <v>268</v>
      </c>
      <c r="G1538" s="19" t="n">
        <v>178</v>
      </c>
      <c r="H1538" s="19" t="s">
        <v>269</v>
      </c>
      <c r="I1538" s="20" t="n">
        <v>90.436</v>
      </c>
      <c r="J1538" s="19" t="n">
        <f aca="false">IF(I1538="","",MIN(Overview!$B$8,MAX(1,CEILING(I1538/Overview!$B$7,1))))</f>
        <v>19</v>
      </c>
      <c r="K1538" s="19" t="n">
        <v>1</v>
      </c>
      <c r="L1538" s="19"/>
      <c r="M1538" s="20" t="n">
        <v>2</v>
      </c>
      <c r="N1538" s="19"/>
      <c r="O1538" s="19"/>
      <c r="P1538" s="19" t="s">
        <v>1034</v>
      </c>
      <c r="Q1538" s="19" t="s">
        <v>1035</v>
      </c>
      <c r="R1538" s="21" t="n">
        <v>43665</v>
      </c>
      <c r="S1538" s="19" t="s">
        <v>1036</v>
      </c>
      <c r="T1538" s="19" t="s">
        <v>5176</v>
      </c>
      <c r="U1538" s="19" t="str">
        <f aca="false">HYPERLINK("https://macaulaylibrary.org/asset/498003741","Open")</f>
        <v>Open</v>
      </c>
      <c r="V1538" s="19"/>
    </row>
    <row r="1539" customFormat="false" ht="15" hidden="false" customHeight="false" outlineLevel="0" collapsed="false">
      <c r="A1539" s="19" t="s">
        <v>5177</v>
      </c>
      <c r="B1539" s="19" t="s">
        <v>943</v>
      </c>
      <c r="C1539" s="19" t="s">
        <v>944</v>
      </c>
      <c r="D1539" s="19" t="s">
        <v>148</v>
      </c>
      <c r="E1539" s="19" t="s">
        <v>147</v>
      </c>
      <c r="F1539" s="19" t="s">
        <v>268</v>
      </c>
      <c r="G1539" s="19" t="n">
        <v>178</v>
      </c>
      <c r="H1539" s="19" t="s">
        <v>269</v>
      </c>
      <c r="I1539" s="20" t="n">
        <v>14.251</v>
      </c>
      <c r="J1539" s="19" t="n">
        <f aca="false">IF(I1539="","",MIN(Overview!$B$8,MAX(1,CEILING(I1539/Overview!$B$7,1))))</f>
        <v>3</v>
      </c>
      <c r="K1539" s="19" t="n">
        <v>1</v>
      </c>
      <c r="L1539" s="19"/>
      <c r="M1539" s="20" t="n">
        <v>5</v>
      </c>
      <c r="N1539" s="19"/>
      <c r="O1539" s="19"/>
      <c r="P1539" s="19" t="s">
        <v>3027</v>
      </c>
      <c r="Q1539" s="19" t="s">
        <v>965</v>
      </c>
      <c r="R1539" s="21" t="n">
        <v>44912</v>
      </c>
      <c r="S1539" s="19" t="s">
        <v>957</v>
      </c>
      <c r="T1539" s="19" t="s">
        <v>5178</v>
      </c>
      <c r="U1539" s="19" t="str">
        <f aca="false">HYPERLINK("https://macaulaylibrary.org/asset/514042211","Open")</f>
        <v>Open</v>
      </c>
      <c r="V1539" s="19"/>
    </row>
    <row r="1540" customFormat="false" ht="15" hidden="false" customHeight="false" outlineLevel="0" collapsed="false">
      <c r="A1540" s="19" t="s">
        <v>5179</v>
      </c>
      <c r="B1540" s="19" t="s">
        <v>943</v>
      </c>
      <c r="C1540" s="19" t="s">
        <v>944</v>
      </c>
      <c r="D1540" s="19" t="s">
        <v>148</v>
      </c>
      <c r="E1540" s="19" t="s">
        <v>147</v>
      </c>
      <c r="F1540" s="19" t="s">
        <v>268</v>
      </c>
      <c r="G1540" s="19" t="n">
        <v>178</v>
      </c>
      <c r="H1540" s="19" t="s">
        <v>269</v>
      </c>
      <c r="I1540" s="20" t="n">
        <v>74.343</v>
      </c>
      <c r="J1540" s="19" t="n">
        <f aca="false">IF(I1540="","",MIN(Overview!$B$8,MAX(1,CEILING(I1540/Overview!$B$7,1))))</f>
        <v>15</v>
      </c>
      <c r="K1540" s="19" t="n">
        <v>1</v>
      </c>
      <c r="L1540" s="19"/>
      <c r="M1540" s="20" t="n">
        <v>1</v>
      </c>
      <c r="N1540" s="19"/>
      <c r="O1540" s="19" t="s">
        <v>410</v>
      </c>
      <c r="P1540" s="19" t="s">
        <v>1545</v>
      </c>
      <c r="Q1540" s="19" t="s">
        <v>1071</v>
      </c>
      <c r="R1540" s="21" t="n">
        <v>32821</v>
      </c>
      <c r="S1540" s="19" t="s">
        <v>5180</v>
      </c>
      <c r="T1540" s="19" t="s">
        <v>5181</v>
      </c>
      <c r="U1540" s="19" t="str">
        <f aca="false">HYPERLINK("https://macaulaylibrary.org/asset/51712","Open")</f>
        <v>Open</v>
      </c>
      <c r="V1540" s="19"/>
    </row>
    <row r="1541" customFormat="false" ht="15" hidden="false" customHeight="false" outlineLevel="0" collapsed="false">
      <c r="A1541" s="19" t="s">
        <v>5182</v>
      </c>
      <c r="B1541" s="19" t="s">
        <v>943</v>
      </c>
      <c r="C1541" s="19" t="s">
        <v>944</v>
      </c>
      <c r="D1541" s="19" t="s">
        <v>148</v>
      </c>
      <c r="E1541" s="19" t="s">
        <v>147</v>
      </c>
      <c r="F1541" s="19" t="s">
        <v>268</v>
      </c>
      <c r="G1541" s="19" t="n">
        <v>178</v>
      </c>
      <c r="H1541" s="19" t="s">
        <v>269</v>
      </c>
      <c r="I1541" s="20" t="n">
        <v>26.043</v>
      </c>
      <c r="J1541" s="19" t="n">
        <f aca="false">IF(I1541="","",MIN(Overview!$B$8,MAX(1,CEILING(I1541/Overview!$B$7,1))))</f>
        <v>6</v>
      </c>
      <c r="K1541" s="19" t="n">
        <v>1</v>
      </c>
      <c r="L1541" s="19"/>
      <c r="M1541" s="20" t="n">
        <v>2.5</v>
      </c>
      <c r="N1541" s="19"/>
      <c r="O1541" s="19"/>
      <c r="P1541" s="19" t="s">
        <v>1170</v>
      </c>
      <c r="Q1541" s="19" t="s">
        <v>1166</v>
      </c>
      <c r="R1541" s="21" t="n">
        <v>44900</v>
      </c>
      <c r="S1541" s="19" t="s">
        <v>1092</v>
      </c>
      <c r="T1541" s="19" t="s">
        <v>5183</v>
      </c>
      <c r="U1541" s="19" t="str">
        <f aca="false">HYPERLINK("https://macaulaylibrary.org/asset/597933691","Open")</f>
        <v>Open</v>
      </c>
      <c r="V1541" s="19"/>
    </row>
    <row r="1542" customFormat="false" ht="15" hidden="false" customHeight="false" outlineLevel="0" collapsed="false">
      <c r="A1542" s="19" t="s">
        <v>5184</v>
      </c>
      <c r="B1542" s="19" t="s">
        <v>943</v>
      </c>
      <c r="C1542" s="19" t="s">
        <v>944</v>
      </c>
      <c r="D1542" s="19" t="s">
        <v>148</v>
      </c>
      <c r="E1542" s="19" t="s">
        <v>147</v>
      </c>
      <c r="F1542" s="19" t="s">
        <v>268</v>
      </c>
      <c r="G1542" s="19" t="n">
        <v>178</v>
      </c>
      <c r="H1542" s="19" t="s">
        <v>269</v>
      </c>
      <c r="I1542" s="20" t="n">
        <v>99.836</v>
      </c>
      <c r="J1542" s="19" t="n">
        <f aca="false">IF(I1542="","",MIN(Overview!$B$8,MAX(1,CEILING(I1542/Overview!$B$7,1))))</f>
        <v>20</v>
      </c>
      <c r="K1542" s="19" t="n">
        <v>1</v>
      </c>
      <c r="L1542" s="19"/>
      <c r="M1542" s="20" t="n">
        <v>5</v>
      </c>
      <c r="N1542" s="19"/>
      <c r="O1542" s="19"/>
      <c r="P1542" s="19" t="s">
        <v>3188</v>
      </c>
      <c r="Q1542" s="19" t="s">
        <v>3189</v>
      </c>
      <c r="R1542" s="21" t="n">
        <v>45671</v>
      </c>
      <c r="S1542" s="19" t="s">
        <v>966</v>
      </c>
      <c r="T1542" s="19" t="s">
        <v>5185</v>
      </c>
      <c r="U1542" s="19" t="str">
        <f aca="false">HYPERLINK("https://macaulaylibrary.org/asset/631699097","Open")</f>
        <v>Open</v>
      </c>
      <c r="V1542" s="19"/>
    </row>
    <row r="1543" customFormat="false" ht="15" hidden="false" customHeight="false" outlineLevel="0" collapsed="false">
      <c r="A1543" s="19" t="s">
        <v>5186</v>
      </c>
      <c r="B1543" s="19" t="s">
        <v>943</v>
      </c>
      <c r="C1543" s="19" t="s">
        <v>944</v>
      </c>
      <c r="D1543" s="19" t="s">
        <v>148</v>
      </c>
      <c r="E1543" s="19" t="s">
        <v>147</v>
      </c>
      <c r="F1543" s="19" t="s">
        <v>268</v>
      </c>
      <c r="G1543" s="19" t="n">
        <v>178</v>
      </c>
      <c r="H1543" s="19" t="s">
        <v>269</v>
      </c>
      <c r="I1543" s="20" t="n">
        <v>8.539</v>
      </c>
      <c r="J1543" s="19" t="n">
        <f aca="false">IF(I1543="","",MIN(Overview!$B$8,MAX(1,CEILING(I1543/Overview!$B$7,1))))</f>
        <v>2</v>
      </c>
      <c r="K1543" s="19" t="n">
        <v>1</v>
      </c>
      <c r="L1543" s="19"/>
      <c r="M1543" s="20"/>
      <c r="N1543" s="19"/>
      <c r="O1543" s="19"/>
      <c r="P1543" s="19" t="s">
        <v>1373</v>
      </c>
      <c r="Q1543" s="19" t="s">
        <v>990</v>
      </c>
      <c r="R1543" s="21" t="n">
        <v>46012</v>
      </c>
      <c r="S1543" s="19" t="s">
        <v>1009</v>
      </c>
      <c r="T1543" s="19" t="s">
        <v>5187</v>
      </c>
      <c r="U1543" s="19" t="str">
        <f aca="false">HYPERLINK("https://macaulaylibrary.org/asset/647570212","Open")</f>
        <v>Open</v>
      </c>
      <c r="V1543" s="19"/>
    </row>
    <row r="1544" customFormat="false" ht="15" hidden="false" customHeight="false" outlineLevel="0" collapsed="false">
      <c r="A1544" s="19" t="s">
        <v>5188</v>
      </c>
      <c r="B1544" s="19" t="s">
        <v>943</v>
      </c>
      <c r="C1544" s="19" t="s">
        <v>944</v>
      </c>
      <c r="D1544" s="19" t="s">
        <v>148</v>
      </c>
      <c r="E1544" s="19" t="s">
        <v>147</v>
      </c>
      <c r="F1544" s="19" t="s">
        <v>268</v>
      </c>
      <c r="G1544" s="19" t="n">
        <v>178</v>
      </c>
      <c r="H1544" s="19" t="s">
        <v>269</v>
      </c>
      <c r="I1544" s="20" t="n">
        <v>8.571</v>
      </c>
      <c r="J1544" s="19" t="n">
        <f aca="false">IF(I1544="","",MIN(Overview!$B$8,MAX(1,CEILING(I1544/Overview!$B$7,1))))</f>
        <v>2</v>
      </c>
      <c r="K1544" s="19" t="n">
        <v>1</v>
      </c>
      <c r="L1544" s="19"/>
      <c r="M1544" s="20" t="n">
        <v>3</v>
      </c>
      <c r="N1544" s="19"/>
      <c r="O1544" s="19"/>
      <c r="P1544" s="19" t="s">
        <v>1235</v>
      </c>
      <c r="Q1544" s="19" t="s">
        <v>1236</v>
      </c>
      <c r="R1544" s="21" t="n">
        <v>46059</v>
      </c>
      <c r="S1544" s="19" t="s">
        <v>1237</v>
      </c>
      <c r="T1544" s="19" t="s">
        <v>5189</v>
      </c>
      <c r="U1544" s="19" t="str">
        <f aca="false">HYPERLINK("https://macaulaylibrary.org/asset/654239846","Open")</f>
        <v>Open</v>
      </c>
      <c r="V1544" s="19"/>
    </row>
    <row r="1545" customFormat="false" ht="15" hidden="false" customHeight="false" outlineLevel="0" collapsed="false">
      <c r="A1545" s="19" t="s">
        <v>5190</v>
      </c>
      <c r="B1545" s="19" t="s">
        <v>943</v>
      </c>
      <c r="C1545" s="19" t="s">
        <v>944</v>
      </c>
      <c r="D1545" s="19" t="s">
        <v>148</v>
      </c>
      <c r="E1545" s="19" t="s">
        <v>147</v>
      </c>
      <c r="F1545" s="19" t="s">
        <v>268</v>
      </c>
      <c r="G1545" s="19" t="n">
        <v>178</v>
      </c>
      <c r="H1545" s="19" t="s">
        <v>269</v>
      </c>
      <c r="I1545" s="20" t="n">
        <v>99.15</v>
      </c>
      <c r="J1545" s="19" t="n">
        <f aca="false">IF(I1545="","",MIN(Overview!$B$8,MAX(1,CEILING(I1545/Overview!$B$7,1))))</f>
        <v>20</v>
      </c>
      <c r="K1545" s="19" t="n">
        <v>1</v>
      </c>
      <c r="L1545" s="19"/>
      <c r="M1545" s="20" t="n">
        <v>5</v>
      </c>
      <c r="N1545" s="19"/>
      <c r="O1545" s="19" t="s">
        <v>5191</v>
      </c>
      <c r="P1545" s="19" t="s">
        <v>1235</v>
      </c>
      <c r="Q1545" s="19" t="s">
        <v>1236</v>
      </c>
      <c r="R1545" s="21" t="n">
        <v>46059</v>
      </c>
      <c r="S1545" s="19" t="s">
        <v>1237</v>
      </c>
      <c r="T1545" s="19" t="s">
        <v>5192</v>
      </c>
      <c r="U1545" s="19" t="str">
        <f aca="false">HYPERLINK("https://macaulaylibrary.org/asset/654239847","Open")</f>
        <v>Open</v>
      </c>
      <c r="V1545" s="19"/>
    </row>
    <row r="1546" customFormat="false" ht="15" hidden="false" customHeight="false" outlineLevel="0" collapsed="false">
      <c r="A1546" s="19" t="s">
        <v>5193</v>
      </c>
      <c r="B1546" s="19" t="s">
        <v>943</v>
      </c>
      <c r="C1546" s="19" t="s">
        <v>944</v>
      </c>
      <c r="D1546" s="19" t="s">
        <v>148</v>
      </c>
      <c r="E1546" s="19" t="s">
        <v>147</v>
      </c>
      <c r="F1546" s="19" t="s">
        <v>268</v>
      </c>
      <c r="G1546" s="19" t="n">
        <v>178</v>
      </c>
      <c r="H1546" s="19" t="s">
        <v>269</v>
      </c>
      <c r="I1546" s="20" t="n">
        <v>9.64</v>
      </c>
      <c r="J1546" s="19" t="n">
        <f aca="false">IF(I1546="","",MIN(Overview!$B$8,MAX(1,CEILING(I1546/Overview!$B$7,1))))</f>
        <v>2</v>
      </c>
      <c r="K1546" s="19" t="n">
        <v>1</v>
      </c>
      <c r="L1546" s="19"/>
      <c r="M1546" s="20"/>
      <c r="N1546" s="19"/>
      <c r="O1546" s="19"/>
      <c r="P1546" s="19" t="s">
        <v>2851</v>
      </c>
      <c r="Q1546" s="19" t="s">
        <v>1348</v>
      </c>
      <c r="R1546" s="21" t="n">
        <v>46099</v>
      </c>
      <c r="S1546" s="19" t="s">
        <v>1884</v>
      </c>
      <c r="T1546" s="19" t="s">
        <v>5194</v>
      </c>
      <c r="U1546" s="19" t="str">
        <f aca="false">HYPERLINK("https://macaulaylibrary.org/asset/654441787","Open")</f>
        <v>Open</v>
      </c>
      <c r="V1546" s="19"/>
    </row>
    <row r="1547" customFormat="false" ht="15" hidden="false" customHeight="false" outlineLevel="0" collapsed="false">
      <c r="A1547" s="19" t="s">
        <v>5195</v>
      </c>
      <c r="B1547" s="19" t="s">
        <v>943</v>
      </c>
      <c r="C1547" s="19" t="s">
        <v>944</v>
      </c>
      <c r="D1547" s="19" t="s">
        <v>148</v>
      </c>
      <c r="E1547" s="19" t="s">
        <v>147</v>
      </c>
      <c r="F1547" s="19" t="s">
        <v>268</v>
      </c>
      <c r="G1547" s="19" t="n">
        <v>178</v>
      </c>
      <c r="H1547" s="19" t="s">
        <v>269</v>
      </c>
      <c r="I1547" s="20" t="n">
        <v>7.029</v>
      </c>
      <c r="J1547" s="19" t="n">
        <f aca="false">IF(I1547="","",MIN(Overview!$B$8,MAX(1,CEILING(I1547/Overview!$B$7,1))))</f>
        <v>2</v>
      </c>
      <c r="K1547" s="19" t="n">
        <v>1</v>
      </c>
      <c r="L1547" s="19"/>
      <c r="M1547" s="20" t="n">
        <v>2</v>
      </c>
      <c r="N1547" s="19"/>
      <c r="O1547" s="19"/>
      <c r="P1547" s="19" t="s">
        <v>1396</v>
      </c>
      <c r="Q1547" s="19" t="s">
        <v>1397</v>
      </c>
      <c r="R1547" s="21" t="n">
        <v>46217</v>
      </c>
      <c r="S1547" s="19" t="s">
        <v>1137</v>
      </c>
      <c r="T1547" s="19" t="s">
        <v>5196</v>
      </c>
      <c r="U1547" s="19" t="str">
        <f aca="false">HYPERLINK("https://macaulaylibrary.org/asset/661734313","Open")</f>
        <v>Open</v>
      </c>
      <c r="V1547" s="19"/>
    </row>
    <row r="1548" customFormat="false" ht="15" hidden="false" customHeight="false" outlineLevel="0" collapsed="false">
      <c r="A1548" s="19" t="s">
        <v>5197</v>
      </c>
      <c r="B1548" s="19" t="s">
        <v>943</v>
      </c>
      <c r="C1548" s="19" t="s">
        <v>944</v>
      </c>
      <c r="D1548" s="19" t="s">
        <v>148</v>
      </c>
      <c r="E1548" s="19" t="s">
        <v>147</v>
      </c>
      <c r="F1548" s="19" t="s">
        <v>268</v>
      </c>
      <c r="G1548" s="19" t="n">
        <v>178</v>
      </c>
      <c r="H1548" s="19" t="s">
        <v>269</v>
      </c>
      <c r="I1548" s="20" t="n">
        <v>5.642</v>
      </c>
      <c r="J1548" s="19" t="n">
        <f aca="false">IF(I1548="","",MIN(Overview!$B$8,MAX(1,CEILING(I1548/Overview!$B$7,1))))</f>
        <v>2</v>
      </c>
      <c r="K1548" s="19" t="n">
        <v>1</v>
      </c>
      <c r="L1548" s="19"/>
      <c r="M1548" s="20"/>
      <c r="N1548" s="19"/>
      <c r="O1548" s="19"/>
      <c r="P1548" s="19" t="s">
        <v>2876</v>
      </c>
      <c r="Q1548" s="19" t="s">
        <v>2877</v>
      </c>
      <c r="R1548" s="21" t="n">
        <v>45679</v>
      </c>
      <c r="S1548" s="19" t="s">
        <v>2878</v>
      </c>
      <c r="T1548" s="19" t="s">
        <v>5198</v>
      </c>
      <c r="U1548" s="19" t="str">
        <f aca="false">HYPERLINK("https://macaulaylibrary.org/asset/663970065","Open")</f>
        <v>Open</v>
      </c>
      <c r="V1548" s="19"/>
    </row>
    <row r="1549" customFormat="false" ht="15" hidden="false" customHeight="false" outlineLevel="0" collapsed="false">
      <c r="A1549" s="19" t="s">
        <v>5199</v>
      </c>
      <c r="B1549" s="19" t="s">
        <v>943</v>
      </c>
      <c r="C1549" s="19" t="s">
        <v>944</v>
      </c>
      <c r="D1549" s="19" t="s">
        <v>148</v>
      </c>
      <c r="E1549" s="19" t="s">
        <v>147</v>
      </c>
      <c r="F1549" s="19" t="s">
        <v>268</v>
      </c>
      <c r="G1549" s="19" t="n">
        <v>178</v>
      </c>
      <c r="H1549" s="19" t="s">
        <v>269</v>
      </c>
      <c r="I1549" s="20" t="n">
        <v>21.525</v>
      </c>
      <c r="J1549" s="19" t="n">
        <f aca="false">IF(I1549="","",MIN(Overview!$B$8,MAX(1,CEILING(I1549/Overview!$B$7,1))))</f>
        <v>5</v>
      </c>
      <c r="K1549" s="19" t="n">
        <v>1</v>
      </c>
      <c r="L1549" s="19"/>
      <c r="M1549" s="20" t="n">
        <v>1.67</v>
      </c>
      <c r="N1549" s="19"/>
      <c r="O1549" s="19"/>
      <c r="P1549" s="19" t="s">
        <v>5200</v>
      </c>
      <c r="Q1549" s="19" t="s">
        <v>5201</v>
      </c>
      <c r="R1549" s="21" t="n">
        <v>43111</v>
      </c>
      <c r="S1549" s="19" t="s">
        <v>1279</v>
      </c>
      <c r="T1549" s="19" t="s">
        <v>5202</v>
      </c>
      <c r="U1549" s="19" t="str">
        <f aca="false">HYPERLINK("https://macaulaylibrary.org/asset/81552211","Open")</f>
        <v>Open</v>
      </c>
      <c r="V1549" s="19"/>
    </row>
    <row r="1550" customFormat="false" ht="15" hidden="false" customHeight="false" outlineLevel="0" collapsed="false">
      <c r="A1550" s="19" t="s">
        <v>5203</v>
      </c>
      <c r="B1550" s="19" t="s">
        <v>943</v>
      </c>
      <c r="C1550" s="19" t="s">
        <v>944</v>
      </c>
      <c r="D1550" s="19" t="s">
        <v>148</v>
      </c>
      <c r="E1550" s="19" t="s">
        <v>147</v>
      </c>
      <c r="F1550" s="19" t="s">
        <v>246</v>
      </c>
      <c r="G1550" s="19" t="n">
        <v>180</v>
      </c>
      <c r="H1550" s="19" t="s">
        <v>247</v>
      </c>
      <c r="I1550" s="20" t="n">
        <v>61.503</v>
      </c>
      <c r="J1550" s="19" t="n">
        <f aca="false">IF(I1550="","",MIN(Overview!$B$8,MAX(1,CEILING(I1550/Overview!$B$7,1))))</f>
        <v>13</v>
      </c>
      <c r="K1550" s="19" t="n">
        <v>1</v>
      </c>
      <c r="L1550" s="19"/>
      <c r="M1550" s="20" t="n">
        <v>3</v>
      </c>
      <c r="N1550" s="19"/>
      <c r="O1550" s="19"/>
      <c r="P1550" s="19" t="s">
        <v>5204</v>
      </c>
      <c r="Q1550" s="19" t="s">
        <v>3041</v>
      </c>
      <c r="R1550" s="21" t="n">
        <v>43407</v>
      </c>
      <c r="S1550" s="19" t="s">
        <v>4970</v>
      </c>
      <c r="T1550" s="19" t="s">
        <v>5205</v>
      </c>
      <c r="U1550" s="19" t="str">
        <f aca="false">HYPERLINK("https://macaulaylibrary.org/asset/123826261","Open")</f>
        <v>Open</v>
      </c>
      <c r="V1550" s="19"/>
    </row>
    <row r="1551" customFormat="false" ht="15" hidden="false" customHeight="false" outlineLevel="0" collapsed="false">
      <c r="A1551" s="19" t="s">
        <v>5206</v>
      </c>
      <c r="B1551" s="19" t="s">
        <v>943</v>
      </c>
      <c r="C1551" s="19" t="s">
        <v>944</v>
      </c>
      <c r="D1551" s="19" t="s">
        <v>148</v>
      </c>
      <c r="E1551" s="19" t="s">
        <v>147</v>
      </c>
      <c r="F1551" s="19" t="s">
        <v>246</v>
      </c>
      <c r="G1551" s="19" t="n">
        <v>180</v>
      </c>
      <c r="H1551" s="19" t="s">
        <v>247</v>
      </c>
      <c r="I1551" s="20" t="n">
        <v>15.339</v>
      </c>
      <c r="J1551" s="19" t="n">
        <f aca="false">IF(I1551="","",MIN(Overview!$B$8,MAX(1,CEILING(I1551/Overview!$B$7,1))))</f>
        <v>4</v>
      </c>
      <c r="K1551" s="19" t="n">
        <v>1</v>
      </c>
      <c r="L1551" s="19"/>
      <c r="M1551" s="20" t="n">
        <v>2.5</v>
      </c>
      <c r="N1551" s="19"/>
      <c r="O1551" s="19"/>
      <c r="P1551" s="19" t="s">
        <v>3538</v>
      </c>
      <c r="Q1551" s="19" t="s">
        <v>965</v>
      </c>
      <c r="R1551" s="21" t="n">
        <v>43814</v>
      </c>
      <c r="S1551" s="19" t="s">
        <v>1578</v>
      </c>
      <c r="T1551" s="19" t="s">
        <v>5207</v>
      </c>
      <c r="U1551" s="19" t="str">
        <f aca="false">HYPERLINK("https://macaulaylibrary.org/asset/193422271","Open")</f>
        <v>Open</v>
      </c>
      <c r="V1551" s="19"/>
    </row>
    <row r="1552" customFormat="false" ht="15" hidden="false" customHeight="false" outlineLevel="0" collapsed="false">
      <c r="A1552" s="19" t="s">
        <v>5208</v>
      </c>
      <c r="B1552" s="19" t="s">
        <v>943</v>
      </c>
      <c r="C1552" s="19" t="s">
        <v>944</v>
      </c>
      <c r="D1552" s="19" t="s">
        <v>148</v>
      </c>
      <c r="E1552" s="19" t="s">
        <v>147</v>
      </c>
      <c r="F1552" s="19" t="s">
        <v>246</v>
      </c>
      <c r="G1552" s="19" t="n">
        <v>180</v>
      </c>
      <c r="H1552" s="19" t="s">
        <v>247</v>
      </c>
      <c r="I1552" s="20" t="n">
        <v>192.989</v>
      </c>
      <c r="J1552" s="19" t="n">
        <f aca="false">IF(I1552="","",MIN(Overview!$B$8,MAX(1,CEILING(I1552/Overview!$B$7,1))))</f>
        <v>39</v>
      </c>
      <c r="K1552" s="19" t="n">
        <v>1</v>
      </c>
      <c r="L1552" s="19"/>
      <c r="M1552" s="20" t="n">
        <v>3</v>
      </c>
      <c r="N1552" s="19"/>
      <c r="O1552" s="19"/>
      <c r="P1552" s="19" t="s">
        <v>1125</v>
      </c>
      <c r="Q1552" s="19" t="s">
        <v>980</v>
      </c>
      <c r="R1552" s="21" t="n">
        <v>32557</v>
      </c>
      <c r="S1552" s="19" t="s">
        <v>1383</v>
      </c>
      <c r="T1552" s="19" t="s">
        <v>5209</v>
      </c>
      <c r="U1552" s="19" t="str">
        <f aca="false">HYPERLINK("https://macaulaylibrary.org/asset/215388","Open")</f>
        <v>Open</v>
      </c>
      <c r="V1552" s="19"/>
    </row>
    <row r="1553" customFormat="false" ht="15" hidden="false" customHeight="false" outlineLevel="0" collapsed="false">
      <c r="A1553" s="19" t="s">
        <v>5210</v>
      </c>
      <c r="B1553" s="19" t="s">
        <v>943</v>
      </c>
      <c r="C1553" s="19" t="s">
        <v>944</v>
      </c>
      <c r="D1553" s="19" t="s">
        <v>148</v>
      </c>
      <c r="E1553" s="19" t="s">
        <v>147</v>
      </c>
      <c r="F1553" s="19" t="s">
        <v>246</v>
      </c>
      <c r="G1553" s="19" t="n">
        <v>180</v>
      </c>
      <c r="H1553" s="19" t="s">
        <v>247</v>
      </c>
      <c r="I1553" s="20" t="n">
        <v>34.878</v>
      </c>
      <c r="J1553" s="19" t="n">
        <f aca="false">IF(I1553="","",MIN(Overview!$B$8,MAX(1,CEILING(I1553/Overview!$B$7,1))))</f>
        <v>7</v>
      </c>
      <c r="K1553" s="19" t="n">
        <v>1</v>
      </c>
      <c r="L1553" s="19"/>
      <c r="M1553" s="20" t="n">
        <v>2</v>
      </c>
      <c r="N1553" s="19"/>
      <c r="O1553" s="19"/>
      <c r="P1553" s="19" t="s">
        <v>1029</v>
      </c>
      <c r="Q1553" s="19" t="s">
        <v>1030</v>
      </c>
      <c r="R1553" s="21" t="n">
        <v>40251</v>
      </c>
      <c r="S1553" s="19" t="s">
        <v>1290</v>
      </c>
      <c r="T1553" s="19" t="s">
        <v>5211</v>
      </c>
      <c r="U1553" s="19" t="str">
        <f aca="false">HYPERLINK("https://macaulaylibrary.org/asset/299631","Open")</f>
        <v>Open</v>
      </c>
      <c r="V1553" s="19"/>
    </row>
    <row r="1554" customFormat="false" ht="15" hidden="false" customHeight="false" outlineLevel="0" collapsed="false">
      <c r="A1554" s="19" t="s">
        <v>5212</v>
      </c>
      <c r="B1554" s="19" t="s">
        <v>943</v>
      </c>
      <c r="C1554" s="19" t="s">
        <v>944</v>
      </c>
      <c r="D1554" s="19" t="s">
        <v>148</v>
      </c>
      <c r="E1554" s="19" t="s">
        <v>147</v>
      </c>
      <c r="F1554" s="19" t="s">
        <v>246</v>
      </c>
      <c r="G1554" s="19" t="n">
        <v>180</v>
      </c>
      <c r="H1554" s="19" t="s">
        <v>247</v>
      </c>
      <c r="I1554" s="20" t="n">
        <v>74.63</v>
      </c>
      <c r="J1554" s="19" t="n">
        <f aca="false">IF(I1554="","",MIN(Overview!$B$8,MAX(1,CEILING(I1554/Overview!$B$7,1))))</f>
        <v>15</v>
      </c>
      <c r="K1554" s="19" t="n">
        <v>1</v>
      </c>
      <c r="L1554" s="19"/>
      <c r="M1554" s="20" t="n">
        <v>2</v>
      </c>
      <c r="N1554" s="19"/>
      <c r="O1554" s="19"/>
      <c r="P1554" s="19" t="s">
        <v>1034</v>
      </c>
      <c r="Q1554" s="19" t="s">
        <v>1035</v>
      </c>
      <c r="R1554" s="21" t="n">
        <v>43665</v>
      </c>
      <c r="S1554" s="19" t="s">
        <v>1036</v>
      </c>
      <c r="T1554" s="19" t="s">
        <v>5213</v>
      </c>
      <c r="U1554" s="19" t="str">
        <f aca="false">HYPERLINK("https://macaulaylibrary.org/asset/498003181","Open")</f>
        <v>Open</v>
      </c>
      <c r="V1554" s="19"/>
    </row>
    <row r="1555" customFormat="false" ht="15" hidden="false" customHeight="false" outlineLevel="0" collapsed="false">
      <c r="A1555" s="19" t="s">
        <v>5214</v>
      </c>
      <c r="B1555" s="19" t="s">
        <v>943</v>
      </c>
      <c r="C1555" s="19" t="s">
        <v>944</v>
      </c>
      <c r="D1555" s="19" t="s">
        <v>148</v>
      </c>
      <c r="E1555" s="19" t="s">
        <v>147</v>
      </c>
      <c r="F1555" s="19" t="s">
        <v>246</v>
      </c>
      <c r="G1555" s="19" t="n">
        <v>180</v>
      </c>
      <c r="H1555" s="19" t="s">
        <v>247</v>
      </c>
      <c r="I1555" s="20" t="n">
        <v>4.863</v>
      </c>
      <c r="J1555" s="19" t="n">
        <f aca="false">IF(I1555="","",MIN(Overview!$B$8,MAX(1,CEILING(I1555/Overview!$B$7,1))))</f>
        <v>1</v>
      </c>
      <c r="K1555" s="19" t="n">
        <v>1</v>
      </c>
      <c r="L1555" s="19" t="s">
        <v>1048</v>
      </c>
      <c r="M1555" s="20" t="n">
        <v>2</v>
      </c>
      <c r="N1555" s="19"/>
      <c r="O1555" s="19"/>
      <c r="P1555" s="19" t="s">
        <v>1426</v>
      </c>
      <c r="Q1555" s="19" t="s">
        <v>1204</v>
      </c>
      <c r="R1555" s="21" t="n">
        <v>44611</v>
      </c>
      <c r="S1555" s="19" t="s">
        <v>1259</v>
      </c>
      <c r="T1555" s="19" t="s">
        <v>5215</v>
      </c>
      <c r="U1555" s="19" t="str">
        <f aca="false">HYPERLINK("https://macaulaylibrary.org/asset/531226111","Open")</f>
        <v>Open</v>
      </c>
      <c r="V1555" s="19"/>
    </row>
    <row r="1556" customFormat="false" ht="15" hidden="false" customHeight="false" outlineLevel="0" collapsed="false">
      <c r="A1556" s="19" t="s">
        <v>5216</v>
      </c>
      <c r="B1556" s="19" t="s">
        <v>943</v>
      </c>
      <c r="C1556" s="19" t="s">
        <v>944</v>
      </c>
      <c r="D1556" s="19" t="s">
        <v>148</v>
      </c>
      <c r="E1556" s="19" t="s">
        <v>147</v>
      </c>
      <c r="F1556" s="19" t="s">
        <v>246</v>
      </c>
      <c r="G1556" s="19" t="n">
        <v>180</v>
      </c>
      <c r="H1556" s="19" t="s">
        <v>247</v>
      </c>
      <c r="I1556" s="20" t="n">
        <v>13.519</v>
      </c>
      <c r="J1556" s="19" t="n">
        <f aca="false">IF(I1556="","",MIN(Overview!$B$8,MAX(1,CEILING(I1556/Overview!$B$7,1))))</f>
        <v>3</v>
      </c>
      <c r="K1556" s="19" t="n">
        <v>1</v>
      </c>
      <c r="L1556" s="19"/>
      <c r="M1556" s="20" t="n">
        <v>2</v>
      </c>
      <c r="N1556" s="19"/>
      <c r="O1556" s="19"/>
      <c r="P1556" s="19" t="s">
        <v>1426</v>
      </c>
      <c r="Q1556" s="19" t="s">
        <v>1204</v>
      </c>
      <c r="R1556" s="21" t="n">
        <v>44611</v>
      </c>
      <c r="S1556" s="19" t="s">
        <v>1259</v>
      </c>
      <c r="T1556" s="19" t="s">
        <v>5217</v>
      </c>
      <c r="U1556" s="19" t="str">
        <f aca="false">HYPERLINK("https://macaulaylibrary.org/asset/531226121","Open")</f>
        <v>Open</v>
      </c>
      <c r="V1556" s="19"/>
    </row>
    <row r="1557" customFormat="false" ht="15" hidden="false" customHeight="false" outlineLevel="0" collapsed="false">
      <c r="A1557" s="19" t="s">
        <v>5218</v>
      </c>
      <c r="B1557" s="19" t="s">
        <v>943</v>
      </c>
      <c r="C1557" s="19" t="s">
        <v>944</v>
      </c>
      <c r="D1557" s="19" t="s">
        <v>148</v>
      </c>
      <c r="E1557" s="19" t="s">
        <v>147</v>
      </c>
      <c r="F1557" s="19" t="s">
        <v>246</v>
      </c>
      <c r="G1557" s="19" t="n">
        <v>180</v>
      </c>
      <c r="H1557" s="19" t="s">
        <v>247</v>
      </c>
      <c r="I1557" s="20" t="n">
        <v>38.888</v>
      </c>
      <c r="J1557" s="19" t="n">
        <f aca="false">IF(I1557="","",MIN(Overview!$B$8,MAX(1,CEILING(I1557/Overview!$B$7,1))))</f>
        <v>8</v>
      </c>
      <c r="K1557" s="19" t="n">
        <v>1</v>
      </c>
      <c r="L1557" s="19"/>
      <c r="M1557" s="20" t="n">
        <v>3.5</v>
      </c>
      <c r="N1557" s="19"/>
      <c r="O1557" s="19"/>
      <c r="P1557" s="19" t="s">
        <v>5219</v>
      </c>
      <c r="Q1557" s="19" t="s">
        <v>2245</v>
      </c>
      <c r="R1557" s="21" t="n">
        <v>44971</v>
      </c>
      <c r="S1557" s="19" t="s">
        <v>1144</v>
      </c>
      <c r="T1557" s="19" t="s">
        <v>5220</v>
      </c>
      <c r="U1557" s="19" t="str">
        <f aca="false">HYPERLINK("https://macaulaylibrary.org/asset/542523351","Open")</f>
        <v>Open</v>
      </c>
      <c r="V1557" s="19"/>
    </row>
    <row r="1558" customFormat="false" ht="15" hidden="false" customHeight="false" outlineLevel="0" collapsed="false">
      <c r="A1558" s="19" t="s">
        <v>5221</v>
      </c>
      <c r="B1558" s="19" t="s">
        <v>943</v>
      </c>
      <c r="C1558" s="19" t="s">
        <v>944</v>
      </c>
      <c r="D1558" s="19" t="s">
        <v>148</v>
      </c>
      <c r="E1558" s="19" t="s">
        <v>147</v>
      </c>
      <c r="F1558" s="19" t="s">
        <v>246</v>
      </c>
      <c r="G1558" s="19" t="n">
        <v>180</v>
      </c>
      <c r="H1558" s="19" t="s">
        <v>247</v>
      </c>
      <c r="I1558" s="20" t="n">
        <v>13.637</v>
      </c>
      <c r="J1558" s="19" t="n">
        <f aca="false">IF(I1558="","",MIN(Overview!$B$8,MAX(1,CEILING(I1558/Overview!$B$7,1))))</f>
        <v>3</v>
      </c>
      <c r="K1558" s="19" t="n">
        <v>1</v>
      </c>
      <c r="L1558" s="19"/>
      <c r="M1558" s="20" t="n">
        <v>3</v>
      </c>
      <c r="N1558" s="19"/>
      <c r="O1558" s="19"/>
      <c r="P1558" s="19" t="s">
        <v>2414</v>
      </c>
      <c r="Q1558" s="19" t="s">
        <v>956</v>
      </c>
      <c r="R1558" s="21" t="n">
        <v>45302</v>
      </c>
      <c r="S1558" s="19" t="s">
        <v>2415</v>
      </c>
      <c r="T1558" s="19" t="s">
        <v>5222</v>
      </c>
      <c r="U1558" s="19" t="str">
        <f aca="false">HYPERLINK("https://macaulaylibrary.org/asset/613430004","Open")</f>
        <v>Open</v>
      </c>
      <c r="V1558" s="19"/>
    </row>
    <row r="1559" customFormat="false" ht="15" hidden="false" customHeight="false" outlineLevel="0" collapsed="false">
      <c r="A1559" s="19" t="s">
        <v>5223</v>
      </c>
      <c r="B1559" s="19" t="s">
        <v>943</v>
      </c>
      <c r="C1559" s="19" t="s">
        <v>944</v>
      </c>
      <c r="D1559" s="19" t="s">
        <v>148</v>
      </c>
      <c r="E1559" s="19" t="s">
        <v>147</v>
      </c>
      <c r="F1559" s="19" t="s">
        <v>246</v>
      </c>
      <c r="G1559" s="19" t="n">
        <v>180</v>
      </c>
      <c r="H1559" s="19" t="s">
        <v>247</v>
      </c>
      <c r="I1559" s="20" t="n">
        <v>16.925</v>
      </c>
      <c r="J1559" s="19" t="n">
        <f aca="false">IF(I1559="","",MIN(Overview!$B$8,MAX(1,CEILING(I1559/Overview!$B$7,1))))</f>
        <v>4</v>
      </c>
      <c r="K1559" s="19" t="n">
        <v>1</v>
      </c>
      <c r="L1559" s="19"/>
      <c r="M1559" s="20" t="n">
        <v>3</v>
      </c>
      <c r="N1559" s="19"/>
      <c r="O1559" s="19"/>
      <c r="P1559" s="19" t="s">
        <v>5224</v>
      </c>
      <c r="Q1559" s="19" t="s">
        <v>5225</v>
      </c>
      <c r="R1559" s="21" t="n">
        <v>45287</v>
      </c>
      <c r="S1559" s="19" t="s">
        <v>5226</v>
      </c>
      <c r="T1559" s="19" t="s">
        <v>5227</v>
      </c>
      <c r="U1559" s="19" t="str">
        <f aca="false">HYPERLINK("https://macaulaylibrary.org/asset/613824265","Open")</f>
        <v>Open</v>
      </c>
      <c r="V1559" s="19"/>
    </row>
    <row r="1560" customFormat="false" ht="15" hidden="false" customHeight="false" outlineLevel="0" collapsed="false">
      <c r="A1560" s="19" t="s">
        <v>5228</v>
      </c>
      <c r="B1560" s="19" t="s">
        <v>943</v>
      </c>
      <c r="C1560" s="19" t="s">
        <v>944</v>
      </c>
      <c r="D1560" s="19" t="s">
        <v>148</v>
      </c>
      <c r="E1560" s="19" t="s">
        <v>147</v>
      </c>
      <c r="F1560" s="19" t="s">
        <v>246</v>
      </c>
      <c r="G1560" s="19" t="n">
        <v>180</v>
      </c>
      <c r="H1560" s="19" t="s">
        <v>247</v>
      </c>
      <c r="I1560" s="20" t="n">
        <v>43.722</v>
      </c>
      <c r="J1560" s="19" t="n">
        <f aca="false">IF(I1560="","",MIN(Overview!$B$8,MAX(1,CEILING(I1560/Overview!$B$7,1))))</f>
        <v>9</v>
      </c>
      <c r="K1560" s="19" t="n">
        <v>1</v>
      </c>
      <c r="L1560" s="19"/>
      <c r="M1560" s="20" t="n">
        <v>1</v>
      </c>
      <c r="N1560" s="19"/>
      <c r="O1560" s="19" t="s">
        <v>5229</v>
      </c>
      <c r="P1560" s="19" t="s">
        <v>5230</v>
      </c>
      <c r="Q1560" s="19" t="s">
        <v>3105</v>
      </c>
      <c r="R1560" s="21" t="n">
        <v>45502</v>
      </c>
      <c r="S1560" s="19" t="s">
        <v>2323</v>
      </c>
      <c r="T1560" s="19" t="s">
        <v>5231</v>
      </c>
      <c r="U1560" s="19" t="str">
        <f aca="false">HYPERLINK("https://macaulaylibrary.org/asset/622517915","Open")</f>
        <v>Open</v>
      </c>
      <c r="V1560" s="19"/>
    </row>
    <row r="1561" customFormat="false" ht="15" hidden="false" customHeight="false" outlineLevel="0" collapsed="false">
      <c r="A1561" s="19" t="s">
        <v>5232</v>
      </c>
      <c r="B1561" s="19" t="s">
        <v>943</v>
      </c>
      <c r="C1561" s="19" t="s">
        <v>944</v>
      </c>
      <c r="D1561" s="19" t="s">
        <v>148</v>
      </c>
      <c r="E1561" s="19" t="s">
        <v>147</v>
      </c>
      <c r="F1561" s="19" t="s">
        <v>246</v>
      </c>
      <c r="G1561" s="19" t="n">
        <v>180</v>
      </c>
      <c r="H1561" s="19" t="s">
        <v>247</v>
      </c>
      <c r="I1561" s="20" t="n">
        <v>40.131</v>
      </c>
      <c r="J1561" s="19" t="n">
        <f aca="false">IF(I1561="","",MIN(Overview!$B$8,MAX(1,CEILING(I1561/Overview!$B$7,1))))</f>
        <v>9</v>
      </c>
      <c r="K1561" s="19" t="n">
        <v>1</v>
      </c>
      <c r="L1561" s="19"/>
      <c r="M1561" s="20" t="n">
        <v>4</v>
      </c>
      <c r="N1561" s="19"/>
      <c r="O1561" s="19"/>
      <c r="P1561" s="19" t="s">
        <v>1811</v>
      </c>
      <c r="Q1561" s="19" t="s">
        <v>1368</v>
      </c>
      <c r="R1561" s="21" t="n">
        <v>45489</v>
      </c>
      <c r="S1561" s="19" t="s">
        <v>1081</v>
      </c>
      <c r="T1561" s="19" t="s">
        <v>5233</v>
      </c>
      <c r="U1561" s="19" t="str">
        <f aca="false">HYPERLINK("https://macaulaylibrary.org/asset/628597311","Open")</f>
        <v>Open</v>
      </c>
      <c r="V1561" s="19"/>
    </row>
    <row r="1562" customFormat="false" ht="15" hidden="false" customHeight="false" outlineLevel="0" collapsed="false">
      <c r="A1562" s="19" t="s">
        <v>5234</v>
      </c>
      <c r="B1562" s="19" t="s">
        <v>943</v>
      </c>
      <c r="C1562" s="19" t="s">
        <v>944</v>
      </c>
      <c r="D1562" s="19" t="s">
        <v>148</v>
      </c>
      <c r="E1562" s="19" t="s">
        <v>147</v>
      </c>
      <c r="F1562" s="19" t="s">
        <v>246</v>
      </c>
      <c r="G1562" s="19" t="n">
        <v>180</v>
      </c>
      <c r="H1562" s="19" t="s">
        <v>247</v>
      </c>
      <c r="I1562" s="20" t="n">
        <v>2.347</v>
      </c>
      <c r="J1562" s="19" t="n">
        <f aca="false">IF(I1562="","",MIN(Overview!$B$8,MAX(1,CEILING(I1562/Overview!$B$7,1))))</f>
        <v>1</v>
      </c>
      <c r="K1562" s="19" t="n">
        <v>1</v>
      </c>
      <c r="L1562" s="19" t="s">
        <v>1048</v>
      </c>
      <c r="M1562" s="20"/>
      <c r="N1562" s="19"/>
      <c r="O1562" s="19"/>
      <c r="P1562" s="19" t="s">
        <v>1477</v>
      </c>
      <c r="Q1562" s="19" t="s">
        <v>1478</v>
      </c>
      <c r="R1562" s="21" t="n">
        <v>45715</v>
      </c>
      <c r="S1562" s="19" t="s">
        <v>1479</v>
      </c>
      <c r="T1562" s="19" t="s">
        <v>5235</v>
      </c>
      <c r="U1562" s="19" t="str">
        <f aca="false">HYPERLINK("https://macaulaylibrary.org/asset/632692740","Open")</f>
        <v>Open</v>
      </c>
      <c r="V1562" s="19"/>
    </row>
    <row r="1563" customFormat="false" ht="15" hidden="false" customHeight="false" outlineLevel="0" collapsed="false">
      <c r="A1563" s="19" t="s">
        <v>5236</v>
      </c>
      <c r="B1563" s="19" t="s">
        <v>943</v>
      </c>
      <c r="C1563" s="19" t="s">
        <v>944</v>
      </c>
      <c r="D1563" s="19" t="s">
        <v>148</v>
      </c>
      <c r="E1563" s="19" t="s">
        <v>147</v>
      </c>
      <c r="F1563" s="19" t="s">
        <v>246</v>
      </c>
      <c r="G1563" s="19" t="n">
        <v>180</v>
      </c>
      <c r="H1563" s="19" t="s">
        <v>247</v>
      </c>
      <c r="I1563" s="20" t="n">
        <v>14.775</v>
      </c>
      <c r="J1563" s="19" t="n">
        <f aca="false">IF(I1563="","",MIN(Overview!$B$8,MAX(1,CEILING(I1563/Overview!$B$7,1))))</f>
        <v>3</v>
      </c>
      <c r="K1563" s="19" t="n">
        <v>1</v>
      </c>
      <c r="L1563" s="19"/>
      <c r="M1563" s="20" t="n">
        <v>2</v>
      </c>
      <c r="N1563" s="19"/>
      <c r="O1563" s="19"/>
      <c r="P1563" s="19" t="s">
        <v>4969</v>
      </c>
      <c r="Q1563" s="19" t="s">
        <v>1050</v>
      </c>
      <c r="R1563" s="21" t="n">
        <v>43407</v>
      </c>
      <c r="S1563" s="19" t="s">
        <v>4970</v>
      </c>
      <c r="T1563" s="19" t="s">
        <v>5237</v>
      </c>
      <c r="U1563" s="19" t="str">
        <f aca="false">HYPERLINK("https://macaulaylibrary.org/asset/642594450","Open")</f>
        <v>Open</v>
      </c>
      <c r="V1563" s="19"/>
    </row>
    <row r="1564" customFormat="false" ht="15" hidden="false" customHeight="false" outlineLevel="0" collapsed="false">
      <c r="A1564" s="19" t="s">
        <v>5238</v>
      </c>
      <c r="B1564" s="19" t="s">
        <v>943</v>
      </c>
      <c r="C1564" s="19" t="s">
        <v>944</v>
      </c>
      <c r="D1564" s="19" t="s">
        <v>148</v>
      </c>
      <c r="E1564" s="19" t="s">
        <v>147</v>
      </c>
      <c r="F1564" s="19" t="s">
        <v>246</v>
      </c>
      <c r="G1564" s="19" t="n">
        <v>180</v>
      </c>
      <c r="H1564" s="19" t="s">
        <v>247</v>
      </c>
      <c r="I1564" s="20" t="n">
        <v>38.776</v>
      </c>
      <c r="J1564" s="19" t="n">
        <f aca="false">IF(I1564="","",MIN(Overview!$B$8,MAX(1,CEILING(I1564/Overview!$B$7,1))))</f>
        <v>8</v>
      </c>
      <c r="K1564" s="19" t="n">
        <v>1</v>
      </c>
      <c r="L1564" s="19"/>
      <c r="M1564" s="20"/>
      <c r="N1564" s="19"/>
      <c r="O1564" s="19"/>
      <c r="P1564" s="19" t="s">
        <v>1090</v>
      </c>
      <c r="Q1564" s="19" t="s">
        <v>1091</v>
      </c>
      <c r="R1564" s="21" t="n">
        <v>45845</v>
      </c>
      <c r="S1564" s="19" t="s">
        <v>1092</v>
      </c>
      <c r="T1564" s="19" t="s">
        <v>5239</v>
      </c>
      <c r="U1564" s="19" t="str">
        <f aca="false">HYPERLINK("https://macaulaylibrary.org/asset/643526591","Open")</f>
        <v>Open</v>
      </c>
      <c r="V1564" s="19"/>
    </row>
    <row r="1565" customFormat="false" ht="15" hidden="false" customHeight="false" outlineLevel="0" collapsed="false">
      <c r="A1565" s="19" t="s">
        <v>5240</v>
      </c>
      <c r="B1565" s="19" t="s">
        <v>943</v>
      </c>
      <c r="C1565" s="19" t="s">
        <v>944</v>
      </c>
      <c r="D1565" s="19" t="s">
        <v>148</v>
      </c>
      <c r="E1565" s="19" t="s">
        <v>147</v>
      </c>
      <c r="F1565" s="19" t="s">
        <v>246</v>
      </c>
      <c r="G1565" s="19" t="n">
        <v>180</v>
      </c>
      <c r="H1565" s="19" t="s">
        <v>247</v>
      </c>
      <c r="I1565" s="20" t="n">
        <v>45.326</v>
      </c>
      <c r="J1565" s="19" t="n">
        <f aca="false">IF(I1565="","",MIN(Overview!$B$8,MAX(1,CEILING(I1565/Overview!$B$7,1))))</f>
        <v>10</v>
      </c>
      <c r="K1565" s="19" t="n">
        <v>1</v>
      </c>
      <c r="L1565" s="19"/>
      <c r="M1565" s="20" t="n">
        <v>2</v>
      </c>
      <c r="N1565" s="19"/>
      <c r="O1565" s="19" t="s">
        <v>5241</v>
      </c>
      <c r="P1565" s="19" t="s">
        <v>2035</v>
      </c>
      <c r="Q1565" s="19" t="s">
        <v>1502</v>
      </c>
      <c r="R1565" s="21" t="n">
        <v>45941</v>
      </c>
      <c r="S1565" s="19" t="s">
        <v>2036</v>
      </c>
      <c r="T1565" s="19" t="s">
        <v>5242</v>
      </c>
      <c r="U1565" s="19" t="str">
        <f aca="false">HYPERLINK("https://macaulaylibrary.org/asset/648831761","Open")</f>
        <v>Open</v>
      </c>
      <c r="V1565" s="19"/>
    </row>
    <row r="1566" customFormat="false" ht="15" hidden="false" customHeight="false" outlineLevel="0" collapsed="false">
      <c r="A1566" s="19" t="s">
        <v>5243</v>
      </c>
      <c r="B1566" s="19" t="s">
        <v>943</v>
      </c>
      <c r="C1566" s="19" t="s">
        <v>944</v>
      </c>
      <c r="D1566" s="19" t="s">
        <v>148</v>
      </c>
      <c r="E1566" s="19" t="s">
        <v>147</v>
      </c>
      <c r="F1566" s="19" t="s">
        <v>246</v>
      </c>
      <c r="G1566" s="19" t="n">
        <v>180</v>
      </c>
      <c r="H1566" s="19" t="s">
        <v>247</v>
      </c>
      <c r="I1566" s="20" t="n">
        <v>8.041</v>
      </c>
      <c r="J1566" s="19" t="n">
        <f aca="false">IF(I1566="","",MIN(Overview!$B$8,MAX(1,CEILING(I1566/Overview!$B$7,1))))</f>
        <v>2</v>
      </c>
      <c r="K1566" s="19" t="n">
        <v>1</v>
      </c>
      <c r="L1566" s="19"/>
      <c r="M1566" s="20"/>
      <c r="N1566" s="19"/>
      <c r="O1566" s="19"/>
      <c r="P1566" s="19" t="s">
        <v>1203</v>
      </c>
      <c r="Q1566" s="19" t="s">
        <v>1204</v>
      </c>
      <c r="R1566" s="21" t="n">
        <v>46049</v>
      </c>
      <c r="S1566" s="19" t="s">
        <v>1205</v>
      </c>
      <c r="T1566" s="19" t="s">
        <v>5244</v>
      </c>
      <c r="U1566" s="19" t="str">
        <f aca="false">HYPERLINK("https://macaulaylibrary.org/asset/653762451","Open")</f>
        <v>Open</v>
      </c>
      <c r="V1566" s="19"/>
    </row>
    <row r="1567" customFormat="false" ht="15" hidden="false" customHeight="false" outlineLevel="0" collapsed="false">
      <c r="A1567" s="19" t="s">
        <v>5245</v>
      </c>
      <c r="B1567" s="19" t="s">
        <v>943</v>
      </c>
      <c r="C1567" s="19" t="s">
        <v>944</v>
      </c>
      <c r="D1567" s="19" t="s">
        <v>148</v>
      </c>
      <c r="E1567" s="19" t="s">
        <v>147</v>
      </c>
      <c r="F1567" s="19" t="s">
        <v>246</v>
      </c>
      <c r="G1567" s="19" t="n">
        <v>180</v>
      </c>
      <c r="H1567" s="19" t="s">
        <v>247</v>
      </c>
      <c r="I1567" s="20" t="n">
        <v>3.86</v>
      </c>
      <c r="J1567" s="19" t="n">
        <f aca="false">IF(I1567="","",MIN(Overview!$B$8,MAX(1,CEILING(I1567/Overview!$B$7,1))))</f>
        <v>1</v>
      </c>
      <c r="K1567" s="19" t="n">
        <v>1</v>
      </c>
      <c r="L1567" s="19" t="s">
        <v>1048</v>
      </c>
      <c r="M1567" s="20"/>
      <c r="N1567" s="19"/>
      <c r="O1567" s="19"/>
      <c r="P1567" s="19" t="s">
        <v>2624</v>
      </c>
      <c r="Q1567" s="19" t="s">
        <v>1204</v>
      </c>
      <c r="R1567" s="21" t="n">
        <v>46049</v>
      </c>
      <c r="S1567" s="19" t="s">
        <v>2625</v>
      </c>
      <c r="T1567" s="19" t="s">
        <v>5246</v>
      </c>
      <c r="U1567" s="19" t="str">
        <f aca="false">HYPERLINK("https://macaulaylibrary.org/asset/653762573","Open")</f>
        <v>Open</v>
      </c>
      <c r="V1567" s="19"/>
    </row>
    <row r="1568" customFormat="false" ht="15" hidden="false" customHeight="false" outlineLevel="0" collapsed="false">
      <c r="A1568" s="19" t="s">
        <v>5247</v>
      </c>
      <c r="B1568" s="19" t="s">
        <v>943</v>
      </c>
      <c r="C1568" s="19" t="s">
        <v>944</v>
      </c>
      <c r="D1568" s="19" t="s">
        <v>148</v>
      </c>
      <c r="E1568" s="19" t="s">
        <v>147</v>
      </c>
      <c r="F1568" s="19" t="s">
        <v>246</v>
      </c>
      <c r="G1568" s="19" t="n">
        <v>180</v>
      </c>
      <c r="H1568" s="19" t="s">
        <v>247</v>
      </c>
      <c r="I1568" s="20" t="n">
        <v>14.4</v>
      </c>
      <c r="J1568" s="19" t="n">
        <f aca="false">IF(I1568="","",MIN(Overview!$B$8,MAX(1,CEILING(I1568/Overview!$B$7,1))))</f>
        <v>3</v>
      </c>
      <c r="K1568" s="19" t="n">
        <v>1</v>
      </c>
      <c r="L1568" s="19"/>
      <c r="M1568" s="20" t="n">
        <v>2</v>
      </c>
      <c r="N1568" s="19"/>
      <c r="O1568" s="19"/>
      <c r="P1568" s="19" t="s">
        <v>5248</v>
      </c>
      <c r="Q1568" s="19" t="s">
        <v>1847</v>
      </c>
      <c r="R1568" s="21" t="n">
        <v>43161</v>
      </c>
      <c r="S1568" s="19" t="s">
        <v>2976</v>
      </c>
      <c r="T1568" s="19" t="s">
        <v>5249</v>
      </c>
      <c r="U1568" s="19" t="str">
        <f aca="false">HYPERLINK("https://macaulaylibrary.org/asset/89664951","Open")</f>
        <v>Open</v>
      </c>
      <c r="V1568" s="19"/>
    </row>
    <row r="1569" customFormat="false" ht="15" hidden="false" customHeight="false" outlineLevel="0" collapsed="false">
      <c r="A1569" s="19" t="s">
        <v>5250</v>
      </c>
      <c r="B1569" s="19" t="s">
        <v>943</v>
      </c>
      <c r="C1569" s="19" t="s">
        <v>944</v>
      </c>
      <c r="D1569" s="19" t="s">
        <v>148</v>
      </c>
      <c r="E1569" s="19" t="s">
        <v>147</v>
      </c>
      <c r="F1569" s="19" t="s">
        <v>246</v>
      </c>
      <c r="G1569" s="19" t="n">
        <v>180</v>
      </c>
      <c r="H1569" s="19" t="s">
        <v>247</v>
      </c>
      <c r="I1569" s="20" t="n">
        <v>71.087</v>
      </c>
      <c r="J1569" s="19" t="n">
        <f aca="false">IF(I1569="","",MIN(Overview!$B$8,MAX(1,CEILING(I1569/Overview!$B$7,1))))</f>
        <v>15</v>
      </c>
      <c r="K1569" s="19" t="n">
        <v>1</v>
      </c>
      <c r="L1569" s="19"/>
      <c r="M1569" s="20" t="n">
        <v>3</v>
      </c>
      <c r="N1569" s="19"/>
      <c r="O1569" s="19"/>
      <c r="P1569" s="19" t="s">
        <v>1573</v>
      </c>
      <c r="Q1569" s="19" t="s">
        <v>1021</v>
      </c>
      <c r="R1569" s="21" t="n">
        <v>35861</v>
      </c>
      <c r="S1569" s="19" t="s">
        <v>1574</v>
      </c>
      <c r="T1569" s="19" t="s">
        <v>5251</v>
      </c>
      <c r="U1569" s="19" t="str">
        <f aca="false">HYPERLINK("https://macaulaylibrary.org/asset/99573431","Open")</f>
        <v>Open</v>
      </c>
      <c r="V1569" s="19"/>
    </row>
    <row r="1570" customFormat="false" ht="15" hidden="false" customHeight="false" outlineLevel="0" collapsed="false">
      <c r="A1570" s="19" t="s">
        <v>5252</v>
      </c>
      <c r="B1570" s="19" t="s">
        <v>943</v>
      </c>
      <c r="C1570" s="19" t="s">
        <v>944</v>
      </c>
      <c r="D1570" s="19" t="s">
        <v>400</v>
      </c>
      <c r="E1570" s="19" t="s">
        <v>147</v>
      </c>
      <c r="F1570" s="19" t="s">
        <v>487</v>
      </c>
      <c r="G1570" s="19" t="n">
        <v>181</v>
      </c>
      <c r="H1570" s="19" t="s">
        <v>488</v>
      </c>
      <c r="I1570" s="20" t="n">
        <v>60.556</v>
      </c>
      <c r="J1570" s="19" t="n">
        <f aca="false">IF(I1570="","",MIN(Overview!$B$8,MAX(1,CEILING(I1570/Overview!$B$7,1))))</f>
        <v>13</v>
      </c>
      <c r="K1570" s="19" t="n">
        <v>1</v>
      </c>
      <c r="L1570" s="19"/>
      <c r="M1570" s="20" t="n">
        <v>2</v>
      </c>
      <c r="N1570" s="19"/>
      <c r="O1570" s="19" t="s">
        <v>5253</v>
      </c>
      <c r="P1570" s="19" t="s">
        <v>5254</v>
      </c>
      <c r="Q1570" s="19" t="s">
        <v>1218</v>
      </c>
      <c r="R1570" s="21" t="n">
        <v>34798</v>
      </c>
      <c r="S1570" s="19" t="s">
        <v>2784</v>
      </c>
      <c r="T1570" s="19" t="s">
        <v>5255</v>
      </c>
      <c r="U1570" s="19" t="str">
        <f aca="false">HYPERLINK("https://macaulaylibrary.org/asset/184115","Open")</f>
        <v>Open</v>
      </c>
      <c r="V1570" s="19" t="s">
        <v>5256</v>
      </c>
    </row>
    <row r="1571" customFormat="false" ht="15" hidden="false" customHeight="false" outlineLevel="0" collapsed="false">
      <c r="A1571" s="19" t="s">
        <v>5257</v>
      </c>
      <c r="B1571" s="19" t="s">
        <v>943</v>
      </c>
      <c r="C1571" s="19" t="s">
        <v>944</v>
      </c>
      <c r="D1571" s="19" t="s">
        <v>400</v>
      </c>
      <c r="E1571" s="19" t="s">
        <v>147</v>
      </c>
      <c r="F1571" s="19" t="s">
        <v>487</v>
      </c>
      <c r="G1571" s="19" t="n">
        <v>181</v>
      </c>
      <c r="H1571" s="19" t="s">
        <v>488</v>
      </c>
      <c r="I1571" s="20" t="n">
        <v>2.176</v>
      </c>
      <c r="J1571" s="19" t="n">
        <f aca="false">IF(I1571="","",MIN(Overview!$B$8,MAX(1,CEILING(I1571/Overview!$B$7,1))))</f>
        <v>1</v>
      </c>
      <c r="K1571" s="19" t="n">
        <v>1</v>
      </c>
      <c r="L1571" s="19" t="s">
        <v>1048</v>
      </c>
      <c r="M1571" s="20" t="n">
        <v>3</v>
      </c>
      <c r="N1571" s="19"/>
      <c r="O1571" s="19"/>
      <c r="P1571" s="19" t="s">
        <v>5258</v>
      </c>
      <c r="Q1571" s="19" t="s">
        <v>965</v>
      </c>
      <c r="R1571" s="21" t="n">
        <v>44182</v>
      </c>
      <c r="S1571" s="19" t="s">
        <v>5259</v>
      </c>
      <c r="T1571" s="19" t="s">
        <v>5260</v>
      </c>
      <c r="U1571" s="19" t="str">
        <f aca="false">HYPERLINK("https://macaulaylibrary.org/asset/288866451","Open")</f>
        <v>Open</v>
      </c>
      <c r="V1571" s="19"/>
    </row>
    <row r="1572" customFormat="false" ht="15" hidden="false" customHeight="false" outlineLevel="0" collapsed="false">
      <c r="A1572" s="19" t="s">
        <v>5261</v>
      </c>
      <c r="B1572" s="19" t="s">
        <v>943</v>
      </c>
      <c r="C1572" s="19" t="s">
        <v>944</v>
      </c>
      <c r="D1572" s="19" t="s">
        <v>400</v>
      </c>
      <c r="E1572" s="19" t="s">
        <v>147</v>
      </c>
      <c r="F1572" s="19" t="s">
        <v>487</v>
      </c>
      <c r="G1572" s="19" t="n">
        <v>181</v>
      </c>
      <c r="H1572" s="19" t="s">
        <v>488</v>
      </c>
      <c r="I1572" s="20" t="n">
        <v>12.843</v>
      </c>
      <c r="J1572" s="19" t="n">
        <f aca="false">IF(I1572="","",MIN(Overview!$B$8,MAX(1,CEILING(I1572/Overview!$B$7,1))))</f>
        <v>3</v>
      </c>
      <c r="K1572" s="19" t="n">
        <v>1</v>
      </c>
      <c r="L1572" s="19"/>
      <c r="M1572" s="20" t="n">
        <v>3</v>
      </c>
      <c r="N1572" s="19"/>
      <c r="O1572" s="19"/>
      <c r="P1572" s="19" t="s">
        <v>5258</v>
      </c>
      <c r="Q1572" s="19" t="s">
        <v>965</v>
      </c>
      <c r="R1572" s="21" t="n">
        <v>44182</v>
      </c>
      <c r="S1572" s="19" t="s">
        <v>5259</v>
      </c>
      <c r="T1572" s="19" t="s">
        <v>5262</v>
      </c>
      <c r="U1572" s="19" t="str">
        <f aca="false">HYPERLINK("https://macaulaylibrary.org/asset/288866461","Open")</f>
        <v>Open</v>
      </c>
      <c r="V1572" s="19"/>
    </row>
    <row r="1573" customFormat="false" ht="15" hidden="false" customHeight="false" outlineLevel="0" collapsed="false">
      <c r="A1573" s="19" t="s">
        <v>5263</v>
      </c>
      <c r="B1573" s="19" t="s">
        <v>943</v>
      </c>
      <c r="C1573" s="19" t="s">
        <v>944</v>
      </c>
      <c r="D1573" s="19" t="s">
        <v>400</v>
      </c>
      <c r="E1573" s="19" t="s">
        <v>147</v>
      </c>
      <c r="F1573" s="19" t="s">
        <v>487</v>
      </c>
      <c r="G1573" s="19" t="n">
        <v>181</v>
      </c>
      <c r="H1573" s="19" t="s">
        <v>488</v>
      </c>
      <c r="I1573" s="20" t="n">
        <v>11.812</v>
      </c>
      <c r="J1573" s="19" t="n">
        <f aca="false">IF(I1573="","",MIN(Overview!$B$8,MAX(1,CEILING(I1573/Overview!$B$7,1))))</f>
        <v>3</v>
      </c>
      <c r="K1573" s="19" t="n">
        <v>1</v>
      </c>
      <c r="L1573" s="19"/>
      <c r="M1573" s="20"/>
      <c r="N1573" s="19"/>
      <c r="O1573" s="19"/>
      <c r="P1573" s="19" t="s">
        <v>1140</v>
      </c>
      <c r="Q1573" s="19" t="s">
        <v>1030</v>
      </c>
      <c r="R1573" s="21" t="n">
        <v>40250</v>
      </c>
      <c r="S1573" s="19" t="s">
        <v>5264</v>
      </c>
      <c r="T1573" s="19" t="s">
        <v>5265</v>
      </c>
      <c r="U1573" s="19" t="str">
        <f aca="false">HYPERLINK("https://macaulaylibrary.org/asset/299541","Open")</f>
        <v>Open</v>
      </c>
      <c r="V1573" s="19"/>
    </row>
    <row r="1574" customFormat="false" ht="15" hidden="false" customHeight="false" outlineLevel="0" collapsed="false">
      <c r="A1574" s="19" t="s">
        <v>5266</v>
      </c>
      <c r="B1574" s="19" t="s">
        <v>943</v>
      </c>
      <c r="C1574" s="19" t="s">
        <v>944</v>
      </c>
      <c r="D1574" s="19" t="s">
        <v>400</v>
      </c>
      <c r="E1574" s="19" t="s">
        <v>147</v>
      </c>
      <c r="F1574" s="19" t="s">
        <v>487</v>
      </c>
      <c r="G1574" s="19" t="n">
        <v>181</v>
      </c>
      <c r="H1574" s="19" t="s">
        <v>488</v>
      </c>
      <c r="I1574" s="20" t="n">
        <v>23.229</v>
      </c>
      <c r="J1574" s="19" t="n">
        <f aca="false">IF(I1574="","",MIN(Overview!$B$8,MAX(1,CEILING(I1574/Overview!$B$7,1))))</f>
        <v>5</v>
      </c>
      <c r="K1574" s="19" t="n">
        <v>1</v>
      </c>
      <c r="L1574" s="19"/>
      <c r="M1574" s="20"/>
      <c r="N1574" s="19"/>
      <c r="O1574" s="19"/>
      <c r="P1574" s="19" t="s">
        <v>1029</v>
      </c>
      <c r="Q1574" s="19" t="s">
        <v>1030</v>
      </c>
      <c r="R1574" s="21" t="n">
        <v>40251</v>
      </c>
      <c r="S1574" s="19" t="s">
        <v>1036</v>
      </c>
      <c r="T1574" s="19" t="s">
        <v>5267</v>
      </c>
      <c r="U1574" s="19" t="str">
        <f aca="false">HYPERLINK("https://macaulaylibrary.org/asset/299610","Open")</f>
        <v>Open</v>
      </c>
      <c r="V1574" s="19"/>
    </row>
    <row r="1575" customFormat="false" ht="15" hidden="false" customHeight="false" outlineLevel="0" collapsed="false">
      <c r="A1575" s="19" t="s">
        <v>5268</v>
      </c>
      <c r="B1575" s="19" t="s">
        <v>943</v>
      </c>
      <c r="C1575" s="19" t="s">
        <v>944</v>
      </c>
      <c r="D1575" s="19" t="s">
        <v>400</v>
      </c>
      <c r="E1575" s="19" t="s">
        <v>147</v>
      </c>
      <c r="F1575" s="19" t="s">
        <v>487</v>
      </c>
      <c r="G1575" s="19" t="n">
        <v>181</v>
      </c>
      <c r="H1575" s="19" t="s">
        <v>488</v>
      </c>
      <c r="I1575" s="20" t="n">
        <v>22.741</v>
      </c>
      <c r="J1575" s="19" t="n">
        <f aca="false">IF(I1575="","",MIN(Overview!$B$8,MAX(1,CEILING(I1575/Overview!$B$7,1))))</f>
        <v>5</v>
      </c>
      <c r="K1575" s="19" t="n">
        <v>1</v>
      </c>
      <c r="L1575" s="19"/>
      <c r="M1575" s="20"/>
      <c r="N1575" s="19"/>
      <c r="O1575" s="19"/>
      <c r="P1575" s="19" t="s">
        <v>5269</v>
      </c>
      <c r="Q1575" s="19" t="s">
        <v>5270</v>
      </c>
      <c r="R1575" s="21" t="n">
        <v>46127</v>
      </c>
      <c r="S1575" s="19" t="s">
        <v>5271</v>
      </c>
      <c r="T1575" s="19" t="s">
        <v>5272</v>
      </c>
      <c r="U1575" s="19" t="str">
        <f aca="false">HYPERLINK("https://macaulaylibrary.org/asset/655156841","Open")</f>
        <v>Open</v>
      </c>
      <c r="V1575" s="19"/>
    </row>
    <row r="1576" customFormat="false" ht="15" hidden="false" customHeight="false" outlineLevel="0" collapsed="false">
      <c r="A1576" s="19" t="s">
        <v>5273</v>
      </c>
      <c r="B1576" s="19" t="s">
        <v>943</v>
      </c>
      <c r="C1576" s="19" t="s">
        <v>944</v>
      </c>
      <c r="D1576" s="19" t="s">
        <v>148</v>
      </c>
      <c r="E1576" s="19" t="s">
        <v>147</v>
      </c>
      <c r="F1576" s="19" t="s">
        <v>431</v>
      </c>
      <c r="G1576" s="19" t="n">
        <v>182</v>
      </c>
      <c r="H1576" s="19" t="s">
        <v>432</v>
      </c>
      <c r="I1576" s="20" t="n">
        <v>23.679</v>
      </c>
      <c r="J1576" s="19" t="n">
        <f aca="false">IF(I1576="","",MIN(Overview!$B$8,MAX(1,CEILING(I1576/Overview!$B$7,1))))</f>
        <v>5</v>
      </c>
      <c r="K1576" s="19" t="n">
        <v>1</v>
      </c>
      <c r="L1576" s="19"/>
      <c r="M1576" s="20" t="n">
        <v>3</v>
      </c>
      <c r="N1576" s="19"/>
      <c r="O1576" s="19"/>
      <c r="P1576" s="19" t="s">
        <v>1020</v>
      </c>
      <c r="Q1576" s="19" t="s">
        <v>1021</v>
      </c>
      <c r="R1576" s="21" t="n">
        <v>35863</v>
      </c>
      <c r="S1576" s="19" t="s">
        <v>1022</v>
      </c>
      <c r="T1576" s="19" t="s">
        <v>5274</v>
      </c>
      <c r="U1576" s="19" t="str">
        <f aca="false">HYPERLINK("https://macaulaylibrary.org/asset/101755501","Open")</f>
        <v>Open</v>
      </c>
      <c r="V1576" s="19"/>
    </row>
    <row r="1577" customFormat="false" ht="15" hidden="false" customHeight="false" outlineLevel="0" collapsed="false">
      <c r="A1577" s="19" t="s">
        <v>5275</v>
      </c>
      <c r="B1577" s="19" t="s">
        <v>943</v>
      </c>
      <c r="C1577" s="19" t="s">
        <v>944</v>
      </c>
      <c r="D1577" s="19" t="s">
        <v>148</v>
      </c>
      <c r="E1577" s="19" t="s">
        <v>147</v>
      </c>
      <c r="F1577" s="19" t="s">
        <v>431</v>
      </c>
      <c r="G1577" s="19" t="n">
        <v>182</v>
      </c>
      <c r="H1577" s="19" t="s">
        <v>432</v>
      </c>
      <c r="I1577" s="20" t="n">
        <v>425.67</v>
      </c>
      <c r="J1577" s="19" t="n">
        <f aca="false">IF(I1577="","",MIN(Overview!$B$8,MAX(1,CEILING(I1577/Overview!$B$7,1))))</f>
        <v>86</v>
      </c>
      <c r="K1577" s="19" t="n">
        <v>1</v>
      </c>
      <c r="L1577" s="19"/>
      <c r="M1577" s="20" t="n">
        <v>3</v>
      </c>
      <c r="N1577" s="19"/>
      <c r="O1577" s="19"/>
      <c r="P1577" s="19" t="s">
        <v>1730</v>
      </c>
      <c r="Q1577" s="19" t="s">
        <v>980</v>
      </c>
      <c r="R1577" s="21" t="n">
        <v>32558</v>
      </c>
      <c r="S1577" s="19" t="s">
        <v>2272</v>
      </c>
      <c r="T1577" s="19" t="s">
        <v>5276</v>
      </c>
      <c r="U1577" s="19" t="str">
        <f aca="false">HYPERLINK("https://macaulaylibrary.org/asset/215414","Open")</f>
        <v>Open</v>
      </c>
      <c r="V1577" s="19"/>
    </row>
    <row r="1578" customFormat="false" ht="15" hidden="false" customHeight="false" outlineLevel="0" collapsed="false">
      <c r="A1578" s="19" t="s">
        <v>5277</v>
      </c>
      <c r="B1578" s="19" t="s">
        <v>943</v>
      </c>
      <c r="C1578" s="19" t="s">
        <v>944</v>
      </c>
      <c r="D1578" s="19" t="s">
        <v>148</v>
      </c>
      <c r="E1578" s="19" t="s">
        <v>147</v>
      </c>
      <c r="F1578" s="19" t="s">
        <v>431</v>
      </c>
      <c r="G1578" s="19" t="n">
        <v>182</v>
      </c>
      <c r="H1578" s="19" t="s">
        <v>432</v>
      </c>
      <c r="I1578" s="20" t="n">
        <v>15.648</v>
      </c>
      <c r="J1578" s="19" t="n">
        <f aca="false">IF(I1578="","",MIN(Overview!$B$8,MAX(1,CEILING(I1578/Overview!$B$7,1))))</f>
        <v>4</v>
      </c>
      <c r="K1578" s="19" t="n">
        <v>1</v>
      </c>
      <c r="L1578" s="19"/>
      <c r="M1578" s="20" t="n">
        <v>4</v>
      </c>
      <c r="N1578" s="19"/>
      <c r="O1578" s="19"/>
      <c r="P1578" s="19" t="s">
        <v>5278</v>
      </c>
      <c r="Q1578" s="19" t="s">
        <v>1473</v>
      </c>
      <c r="R1578" s="21" t="n">
        <v>45042</v>
      </c>
      <c r="S1578" s="19" t="s">
        <v>1683</v>
      </c>
      <c r="T1578" s="19" t="s">
        <v>5279</v>
      </c>
      <c r="U1578" s="19" t="str">
        <f aca="false">HYPERLINK("https://macaulaylibrary.org/asset/579609141","Open")</f>
        <v>Open</v>
      </c>
      <c r="V1578" s="19"/>
    </row>
    <row r="1579" customFormat="false" ht="15" hidden="false" customHeight="false" outlineLevel="0" collapsed="false">
      <c r="A1579" s="19" t="s">
        <v>5280</v>
      </c>
      <c r="B1579" s="19" t="s">
        <v>943</v>
      </c>
      <c r="C1579" s="19" t="s">
        <v>944</v>
      </c>
      <c r="D1579" s="19" t="s">
        <v>148</v>
      </c>
      <c r="E1579" s="19" t="s">
        <v>147</v>
      </c>
      <c r="F1579" s="19" t="s">
        <v>431</v>
      </c>
      <c r="G1579" s="19" t="n">
        <v>182</v>
      </c>
      <c r="H1579" s="19" t="s">
        <v>432</v>
      </c>
      <c r="I1579" s="20" t="n">
        <v>20.72</v>
      </c>
      <c r="J1579" s="19" t="n">
        <f aca="false">IF(I1579="","",MIN(Overview!$B$8,MAX(1,CEILING(I1579/Overview!$B$7,1))))</f>
        <v>5</v>
      </c>
      <c r="K1579" s="19" t="n">
        <v>1</v>
      </c>
      <c r="L1579" s="19"/>
      <c r="M1579" s="20" t="n">
        <v>3</v>
      </c>
      <c r="N1579" s="19"/>
      <c r="O1579" s="19"/>
      <c r="P1579" s="19" t="s">
        <v>955</v>
      </c>
      <c r="Q1579" s="19" t="s">
        <v>956</v>
      </c>
      <c r="R1579" s="21" t="n">
        <v>45303</v>
      </c>
      <c r="S1579" s="19" t="s">
        <v>957</v>
      </c>
      <c r="T1579" s="19" t="s">
        <v>5281</v>
      </c>
      <c r="U1579" s="19" t="str">
        <f aca="false">HYPERLINK("https://macaulaylibrary.org/asset/613449732","Open")</f>
        <v>Open</v>
      </c>
      <c r="V1579" s="19"/>
    </row>
    <row r="1580" customFormat="false" ht="15" hidden="false" customHeight="false" outlineLevel="0" collapsed="false">
      <c r="A1580" s="19" t="s">
        <v>5282</v>
      </c>
      <c r="B1580" s="19" t="s">
        <v>943</v>
      </c>
      <c r="C1580" s="19" t="s">
        <v>944</v>
      </c>
      <c r="D1580" s="19" t="s">
        <v>148</v>
      </c>
      <c r="E1580" s="19" t="s">
        <v>147</v>
      </c>
      <c r="F1580" s="19" t="s">
        <v>431</v>
      </c>
      <c r="G1580" s="19" t="n">
        <v>182</v>
      </c>
      <c r="H1580" s="19" t="s">
        <v>432</v>
      </c>
      <c r="I1580" s="20" t="n">
        <v>58.791</v>
      </c>
      <c r="J1580" s="19" t="n">
        <f aca="false">IF(I1580="","",MIN(Overview!$B$8,MAX(1,CEILING(I1580/Overview!$B$7,1))))</f>
        <v>12</v>
      </c>
      <c r="K1580" s="19" t="n">
        <v>1</v>
      </c>
      <c r="L1580" s="19"/>
      <c r="M1580" s="20"/>
      <c r="N1580" s="19"/>
      <c r="O1580" s="19"/>
      <c r="P1580" s="19" t="s">
        <v>1650</v>
      </c>
      <c r="Q1580" s="19" t="s">
        <v>1382</v>
      </c>
      <c r="R1580" s="21" t="n">
        <v>46104</v>
      </c>
      <c r="S1580" s="19" t="s">
        <v>1651</v>
      </c>
      <c r="T1580" s="19" t="s">
        <v>5283</v>
      </c>
      <c r="U1580" s="19" t="str">
        <f aca="false">HYPERLINK("https://macaulaylibrary.org/asset/654812886","Open")</f>
        <v>Open</v>
      </c>
      <c r="V1580" s="19"/>
    </row>
    <row r="1581" customFormat="false" ht="15" hidden="false" customHeight="false" outlineLevel="0" collapsed="false">
      <c r="A1581" s="19" t="s">
        <v>5284</v>
      </c>
      <c r="B1581" s="19" t="s">
        <v>943</v>
      </c>
      <c r="C1581" s="19" t="s">
        <v>944</v>
      </c>
      <c r="D1581" s="19" t="s">
        <v>148</v>
      </c>
      <c r="E1581" s="19" t="s">
        <v>147</v>
      </c>
      <c r="F1581" s="19" t="s">
        <v>431</v>
      </c>
      <c r="G1581" s="19" t="n">
        <v>182</v>
      </c>
      <c r="H1581" s="19" t="s">
        <v>432</v>
      </c>
      <c r="I1581" s="20" t="n">
        <v>179.111</v>
      </c>
      <c r="J1581" s="19" t="n">
        <f aca="false">IF(I1581="","",MIN(Overview!$B$8,MAX(1,CEILING(I1581/Overview!$B$7,1))))</f>
        <v>36</v>
      </c>
      <c r="K1581" s="19" t="n">
        <v>1</v>
      </c>
      <c r="L1581" s="19"/>
      <c r="M1581" s="20" t="n">
        <v>2.4</v>
      </c>
      <c r="N1581" s="19"/>
      <c r="O1581" s="19"/>
      <c r="P1581" s="19" t="s">
        <v>3382</v>
      </c>
      <c r="Q1581" s="19" t="s">
        <v>980</v>
      </c>
      <c r="R1581" s="21" t="n">
        <v>32229</v>
      </c>
      <c r="S1581" s="19" t="s">
        <v>1387</v>
      </c>
      <c r="T1581" s="19" t="s">
        <v>5285</v>
      </c>
      <c r="U1581" s="19" t="str">
        <f aca="false">HYPERLINK("https://macaulaylibrary.org/asset/74217","Open")</f>
        <v>Open</v>
      </c>
      <c r="V1581" s="19"/>
    </row>
    <row r="1582" customFormat="false" ht="15" hidden="false" customHeight="false" outlineLevel="0" collapsed="false">
      <c r="A1582" s="19" t="s">
        <v>5286</v>
      </c>
      <c r="B1582" s="19" t="s">
        <v>1005</v>
      </c>
      <c r="C1582" s="19" t="s">
        <v>944</v>
      </c>
      <c r="D1582" s="19" t="s">
        <v>647</v>
      </c>
      <c r="E1582" s="19" t="s">
        <v>147</v>
      </c>
      <c r="F1582" s="19" t="s">
        <v>859</v>
      </c>
      <c r="G1582" s="19" t="n">
        <v>183</v>
      </c>
      <c r="H1582" s="19" t="s">
        <v>860</v>
      </c>
      <c r="I1582" s="20" t="n">
        <v>27.816</v>
      </c>
      <c r="J1582" s="19" t="n">
        <f aca="false">IF(I1582="","",MIN(Overview!$B$8,MAX(1,CEILING(I1582/Overview!$B$7,1))))</f>
        <v>6</v>
      </c>
      <c r="K1582" s="19" t="n">
        <v>1</v>
      </c>
      <c r="L1582" s="19"/>
      <c r="M1582" s="20"/>
      <c r="N1582" s="19" t="s">
        <v>1006</v>
      </c>
      <c r="O1582" s="19"/>
      <c r="P1582" s="19" t="s">
        <v>2911</v>
      </c>
      <c r="Q1582" s="19" t="s">
        <v>1008</v>
      </c>
      <c r="R1582" s="21" t="n">
        <v>42580</v>
      </c>
      <c r="S1582" s="19" t="s">
        <v>1279</v>
      </c>
      <c r="T1582" s="19" t="s">
        <v>5287</v>
      </c>
      <c r="U1582" s="19" t="str">
        <f aca="false">HYPERLINK("https://xeno-canto.org/332165","Open")</f>
        <v>Open</v>
      </c>
      <c r="V1582" s="19" t="s">
        <v>3859</v>
      </c>
    </row>
    <row r="1583" customFormat="false" ht="15" hidden="false" customHeight="false" outlineLevel="0" collapsed="false">
      <c r="A1583" s="19" t="s">
        <v>5288</v>
      </c>
      <c r="B1583" s="19" t="s">
        <v>943</v>
      </c>
      <c r="C1583" s="19" t="s">
        <v>944</v>
      </c>
      <c r="D1583" s="19" t="s">
        <v>400</v>
      </c>
      <c r="E1583" s="19" t="s">
        <v>147</v>
      </c>
      <c r="F1583" s="19" t="s">
        <v>450</v>
      </c>
      <c r="G1583" s="19" t="n">
        <v>184</v>
      </c>
      <c r="H1583" s="19" t="s">
        <v>451</v>
      </c>
      <c r="I1583" s="20" t="n">
        <v>56.725</v>
      </c>
      <c r="J1583" s="19" t="n">
        <f aca="false">IF(I1583="","",MIN(Overview!$B$8,MAX(1,CEILING(I1583/Overview!$B$7,1))))</f>
        <v>12</v>
      </c>
      <c r="K1583" s="19" t="n">
        <v>1</v>
      </c>
      <c r="L1583" s="19"/>
      <c r="M1583" s="20" t="n">
        <v>2.67</v>
      </c>
      <c r="N1583" s="19"/>
      <c r="O1583" s="19"/>
      <c r="P1583" s="19" t="s">
        <v>1698</v>
      </c>
      <c r="Q1583" s="19" t="s">
        <v>1021</v>
      </c>
      <c r="R1583" s="21" t="n">
        <v>36599</v>
      </c>
      <c r="S1583" s="19" t="s">
        <v>1036</v>
      </c>
      <c r="T1583" s="19" t="s">
        <v>5289</v>
      </c>
      <c r="U1583" s="19" t="str">
        <f aca="false">HYPERLINK("https://macaulaylibrary.org/asset/150739741","Open")</f>
        <v>Open</v>
      </c>
      <c r="V1583" s="19"/>
    </row>
    <row r="1584" customFormat="false" ht="15" hidden="false" customHeight="false" outlineLevel="0" collapsed="false">
      <c r="A1584" s="19" t="s">
        <v>5290</v>
      </c>
      <c r="B1584" s="19" t="s">
        <v>943</v>
      </c>
      <c r="C1584" s="19" t="s">
        <v>944</v>
      </c>
      <c r="D1584" s="19" t="s">
        <v>400</v>
      </c>
      <c r="E1584" s="19" t="s">
        <v>147</v>
      </c>
      <c r="F1584" s="19" t="s">
        <v>450</v>
      </c>
      <c r="G1584" s="19" t="n">
        <v>184</v>
      </c>
      <c r="H1584" s="19" t="s">
        <v>451</v>
      </c>
      <c r="I1584" s="20" t="n">
        <v>30.468</v>
      </c>
      <c r="J1584" s="19" t="n">
        <f aca="false">IF(I1584="","",MIN(Overview!$B$8,MAX(1,CEILING(I1584/Overview!$B$7,1))))</f>
        <v>7</v>
      </c>
      <c r="K1584" s="19" t="n">
        <v>1</v>
      </c>
      <c r="L1584" s="19"/>
      <c r="M1584" s="20" t="n">
        <v>3</v>
      </c>
      <c r="N1584" s="19"/>
      <c r="O1584" s="19"/>
      <c r="P1584" s="19" t="s">
        <v>1080</v>
      </c>
      <c r="Q1584" s="19" t="s">
        <v>1021</v>
      </c>
      <c r="R1584" s="21" t="n">
        <v>36602</v>
      </c>
      <c r="S1584" s="19" t="s">
        <v>1081</v>
      </c>
      <c r="T1584" s="19" t="s">
        <v>5291</v>
      </c>
      <c r="U1584" s="19" t="str">
        <f aca="false">HYPERLINK("https://macaulaylibrary.org/asset/154655531","Open")</f>
        <v>Open</v>
      </c>
      <c r="V1584" s="19"/>
    </row>
    <row r="1585" customFormat="false" ht="15" hidden="false" customHeight="false" outlineLevel="0" collapsed="false">
      <c r="A1585" s="19" t="s">
        <v>5292</v>
      </c>
      <c r="B1585" s="19" t="s">
        <v>943</v>
      </c>
      <c r="C1585" s="19" t="s">
        <v>944</v>
      </c>
      <c r="D1585" s="19" t="s">
        <v>400</v>
      </c>
      <c r="E1585" s="19" t="s">
        <v>147</v>
      </c>
      <c r="F1585" s="19" t="s">
        <v>450</v>
      </c>
      <c r="G1585" s="19" t="n">
        <v>184</v>
      </c>
      <c r="H1585" s="19" t="s">
        <v>451</v>
      </c>
      <c r="I1585" s="20" t="n">
        <v>73.907</v>
      </c>
      <c r="J1585" s="19" t="n">
        <f aca="false">IF(I1585="","",MIN(Overview!$B$8,MAX(1,CEILING(I1585/Overview!$B$7,1))))</f>
        <v>15</v>
      </c>
      <c r="K1585" s="19" t="n">
        <v>1</v>
      </c>
      <c r="L1585" s="19"/>
      <c r="M1585" s="20" t="n">
        <v>2</v>
      </c>
      <c r="N1585" s="19"/>
      <c r="O1585" s="19"/>
      <c r="P1585" s="19" t="s">
        <v>1109</v>
      </c>
      <c r="Q1585" s="19" t="s">
        <v>1110</v>
      </c>
      <c r="R1585" s="21" t="n">
        <v>36969</v>
      </c>
      <c r="S1585" s="19" t="s">
        <v>966</v>
      </c>
      <c r="T1585" s="19" t="s">
        <v>5293</v>
      </c>
      <c r="U1585" s="19" t="str">
        <f aca="false">HYPERLINK("https://macaulaylibrary.org/asset/185747","Open")</f>
        <v>Open</v>
      </c>
      <c r="V1585" s="19"/>
    </row>
    <row r="1586" customFormat="false" ht="15" hidden="false" customHeight="false" outlineLevel="0" collapsed="false">
      <c r="A1586" s="19" t="s">
        <v>5294</v>
      </c>
      <c r="B1586" s="19" t="s">
        <v>943</v>
      </c>
      <c r="C1586" s="19" t="s">
        <v>944</v>
      </c>
      <c r="D1586" s="19" t="s">
        <v>400</v>
      </c>
      <c r="E1586" s="19" t="s">
        <v>147</v>
      </c>
      <c r="F1586" s="19" t="s">
        <v>450</v>
      </c>
      <c r="G1586" s="19" t="n">
        <v>184</v>
      </c>
      <c r="H1586" s="19" t="s">
        <v>451</v>
      </c>
      <c r="I1586" s="20" t="n">
        <v>25.619</v>
      </c>
      <c r="J1586" s="19" t="n">
        <f aca="false">IF(I1586="","",MIN(Overview!$B$8,MAX(1,CEILING(I1586/Overview!$B$7,1))))</f>
        <v>6</v>
      </c>
      <c r="K1586" s="19" t="n">
        <v>1</v>
      </c>
      <c r="L1586" s="19"/>
      <c r="M1586" s="20" t="n">
        <v>1.2</v>
      </c>
      <c r="N1586" s="19"/>
      <c r="O1586" s="19"/>
      <c r="P1586" s="19" t="s">
        <v>3144</v>
      </c>
      <c r="Q1586" s="19" t="s">
        <v>1136</v>
      </c>
      <c r="R1586" s="21" t="n">
        <v>29736</v>
      </c>
      <c r="S1586" s="19" t="s">
        <v>1036</v>
      </c>
      <c r="T1586" s="19" t="s">
        <v>5295</v>
      </c>
      <c r="U1586" s="19" t="str">
        <f aca="false">HYPERLINK("https://macaulaylibrary.org/asset/28144","Open")</f>
        <v>Open</v>
      </c>
      <c r="V1586" s="19"/>
    </row>
    <row r="1587" customFormat="false" ht="15" hidden="false" customHeight="false" outlineLevel="0" collapsed="false">
      <c r="A1587" s="19" t="s">
        <v>5296</v>
      </c>
      <c r="B1587" s="19" t="s">
        <v>943</v>
      </c>
      <c r="C1587" s="19" t="s">
        <v>944</v>
      </c>
      <c r="D1587" s="19" t="s">
        <v>400</v>
      </c>
      <c r="E1587" s="19" t="s">
        <v>147</v>
      </c>
      <c r="F1587" s="19" t="s">
        <v>450</v>
      </c>
      <c r="G1587" s="19" t="n">
        <v>184</v>
      </c>
      <c r="H1587" s="19" t="s">
        <v>451</v>
      </c>
      <c r="I1587" s="20" t="n">
        <v>23.724</v>
      </c>
      <c r="J1587" s="19" t="n">
        <f aca="false">IF(I1587="","",MIN(Overview!$B$8,MAX(1,CEILING(I1587/Overview!$B$7,1))))</f>
        <v>5</v>
      </c>
      <c r="K1587" s="19" t="n">
        <v>1</v>
      </c>
      <c r="L1587" s="19"/>
      <c r="M1587" s="20" t="n">
        <v>2</v>
      </c>
      <c r="N1587" s="19"/>
      <c r="O1587" s="19" t="s">
        <v>820</v>
      </c>
      <c r="P1587" s="19" t="s">
        <v>5297</v>
      </c>
      <c r="Q1587" s="19" t="s">
        <v>1050</v>
      </c>
      <c r="R1587" s="21" t="n">
        <v>43406</v>
      </c>
      <c r="S1587" s="19" t="s">
        <v>3042</v>
      </c>
      <c r="T1587" s="19" t="s">
        <v>5298</v>
      </c>
      <c r="U1587" s="19" t="str">
        <f aca="false">HYPERLINK("https://macaulaylibrary.org/asset/293055041","Open")</f>
        <v>Open</v>
      </c>
      <c r="V1587" s="19"/>
    </row>
    <row r="1588" customFormat="false" ht="15" hidden="false" customHeight="false" outlineLevel="0" collapsed="false">
      <c r="A1588" s="19" t="s">
        <v>5299</v>
      </c>
      <c r="B1588" s="19" t="s">
        <v>943</v>
      </c>
      <c r="C1588" s="19" t="s">
        <v>944</v>
      </c>
      <c r="D1588" s="19" t="s">
        <v>400</v>
      </c>
      <c r="E1588" s="19" t="s">
        <v>147</v>
      </c>
      <c r="F1588" s="19" t="s">
        <v>450</v>
      </c>
      <c r="G1588" s="19" t="n">
        <v>184</v>
      </c>
      <c r="H1588" s="19" t="s">
        <v>451</v>
      </c>
      <c r="I1588" s="20" t="n">
        <v>17.951</v>
      </c>
      <c r="J1588" s="19" t="n">
        <f aca="false">IF(I1588="","",MIN(Overview!$B$8,MAX(1,CEILING(I1588/Overview!$B$7,1))))</f>
        <v>4</v>
      </c>
      <c r="K1588" s="19" t="n">
        <v>1</v>
      </c>
      <c r="L1588" s="19"/>
      <c r="M1588" s="20" t="n">
        <v>3</v>
      </c>
      <c r="N1588" s="19"/>
      <c r="O1588" s="19" t="s">
        <v>197</v>
      </c>
      <c r="P1588" s="19" t="s">
        <v>5300</v>
      </c>
      <c r="Q1588" s="19" t="s">
        <v>1408</v>
      </c>
      <c r="R1588" s="21" t="n">
        <v>32456</v>
      </c>
      <c r="S1588" s="19" t="s">
        <v>1009</v>
      </c>
      <c r="T1588" s="19" t="s">
        <v>5301</v>
      </c>
      <c r="U1588" s="19" t="str">
        <f aca="false">HYPERLINK("https://macaulaylibrary.org/asset/347763141","Open")</f>
        <v>Open</v>
      </c>
      <c r="V1588" s="19"/>
    </row>
    <row r="1589" customFormat="false" ht="15" hidden="false" customHeight="false" outlineLevel="0" collapsed="false">
      <c r="A1589" s="19" t="s">
        <v>5302</v>
      </c>
      <c r="B1589" s="19" t="s">
        <v>943</v>
      </c>
      <c r="C1589" s="19" t="s">
        <v>944</v>
      </c>
      <c r="D1589" s="19" t="s">
        <v>400</v>
      </c>
      <c r="E1589" s="19" t="s">
        <v>147</v>
      </c>
      <c r="F1589" s="19" t="s">
        <v>450</v>
      </c>
      <c r="G1589" s="19" t="n">
        <v>184</v>
      </c>
      <c r="H1589" s="19" t="s">
        <v>451</v>
      </c>
      <c r="I1589" s="20" t="n">
        <v>112.312</v>
      </c>
      <c r="J1589" s="19" t="n">
        <f aca="false">IF(I1589="","",MIN(Overview!$B$8,MAX(1,CEILING(I1589/Overview!$B$7,1))))</f>
        <v>23</v>
      </c>
      <c r="K1589" s="19" t="n">
        <v>1</v>
      </c>
      <c r="L1589" s="19"/>
      <c r="M1589" s="20" t="n">
        <v>2.2</v>
      </c>
      <c r="N1589" s="19"/>
      <c r="O1589" s="19"/>
      <c r="P1589" s="19" t="s">
        <v>1101</v>
      </c>
      <c r="Q1589" s="19" t="s">
        <v>980</v>
      </c>
      <c r="R1589" s="21" t="n">
        <v>33289</v>
      </c>
      <c r="S1589" s="19"/>
      <c r="T1589" s="19" t="s">
        <v>5303</v>
      </c>
      <c r="U1589" s="19" t="str">
        <f aca="false">HYPERLINK("https://macaulaylibrary.org/asset/57462","Open")</f>
        <v>Open</v>
      </c>
      <c r="V1589" s="19"/>
    </row>
    <row r="1590" customFormat="false" ht="15" hidden="false" customHeight="false" outlineLevel="0" collapsed="false">
      <c r="A1590" s="19" t="s">
        <v>5304</v>
      </c>
      <c r="B1590" s="19" t="s">
        <v>1005</v>
      </c>
      <c r="C1590" s="19" t="s">
        <v>944</v>
      </c>
      <c r="D1590" s="19" t="s">
        <v>647</v>
      </c>
      <c r="E1590" s="19" t="s">
        <v>147</v>
      </c>
      <c r="F1590" s="19" t="s">
        <v>450</v>
      </c>
      <c r="G1590" s="19" t="n">
        <v>184</v>
      </c>
      <c r="H1590" s="19" t="s">
        <v>451</v>
      </c>
      <c r="I1590" s="20" t="n">
        <v>70.488</v>
      </c>
      <c r="J1590" s="19" t="n">
        <f aca="false">IF(I1590="","",MIN(Overview!$B$8,MAX(1,CEILING(I1590/Overview!$B$7,1))))</f>
        <v>15</v>
      </c>
      <c r="K1590" s="19" t="n">
        <v>1</v>
      </c>
      <c r="L1590" s="19"/>
      <c r="M1590" s="20"/>
      <c r="N1590" s="19" t="s">
        <v>1006</v>
      </c>
      <c r="O1590" s="19"/>
      <c r="P1590" s="19" t="s">
        <v>1007</v>
      </c>
      <c r="Q1590" s="19" t="s">
        <v>1008</v>
      </c>
      <c r="R1590" s="21" t="n">
        <v>42577</v>
      </c>
      <c r="S1590" s="19" t="s">
        <v>1013</v>
      </c>
      <c r="T1590" s="19" t="s">
        <v>5305</v>
      </c>
      <c r="U1590" s="19" t="str">
        <f aca="false">HYPERLINK("https://xeno-canto.org/331381","Open")</f>
        <v>Open</v>
      </c>
      <c r="V1590" s="19" t="s">
        <v>1720</v>
      </c>
    </row>
    <row r="1591" customFormat="false" ht="15" hidden="false" customHeight="false" outlineLevel="0" collapsed="false">
      <c r="A1591" s="19" t="s">
        <v>5306</v>
      </c>
      <c r="B1591" s="19" t="s">
        <v>943</v>
      </c>
      <c r="C1591" s="19" t="s">
        <v>944</v>
      </c>
      <c r="D1591" s="19" t="s">
        <v>148</v>
      </c>
      <c r="E1591" s="19" t="s">
        <v>147</v>
      </c>
      <c r="F1591" s="19" t="s">
        <v>410</v>
      </c>
      <c r="G1591" s="19" t="n">
        <v>185</v>
      </c>
      <c r="H1591" s="19" t="s">
        <v>411</v>
      </c>
      <c r="I1591" s="20" t="n">
        <v>14.434</v>
      </c>
      <c r="J1591" s="19" t="n">
        <f aca="false">IF(I1591="","",MIN(Overview!$B$8,MAX(1,CEILING(I1591/Overview!$B$7,1))))</f>
        <v>3</v>
      </c>
      <c r="K1591" s="19" t="n">
        <v>1</v>
      </c>
      <c r="L1591" s="19"/>
      <c r="M1591" s="20" t="n">
        <v>3</v>
      </c>
      <c r="N1591" s="19"/>
      <c r="O1591" s="19"/>
      <c r="P1591" s="19" t="s">
        <v>5307</v>
      </c>
      <c r="Q1591" s="19" t="s">
        <v>5308</v>
      </c>
      <c r="R1591" s="21" t="n">
        <v>44100</v>
      </c>
      <c r="S1591" s="19" t="s">
        <v>3642</v>
      </c>
      <c r="T1591" s="19" t="s">
        <v>5309</v>
      </c>
      <c r="U1591" s="19" t="str">
        <f aca="false">HYPERLINK("https://macaulaylibrary.org/asset/266126481","Open")</f>
        <v>Open</v>
      </c>
      <c r="V1591" s="19"/>
    </row>
    <row r="1592" customFormat="false" ht="15" hidden="false" customHeight="false" outlineLevel="0" collapsed="false">
      <c r="A1592" s="19" t="s">
        <v>5310</v>
      </c>
      <c r="B1592" s="19" t="s">
        <v>943</v>
      </c>
      <c r="C1592" s="19" t="s">
        <v>944</v>
      </c>
      <c r="D1592" s="19" t="s">
        <v>148</v>
      </c>
      <c r="E1592" s="19" t="s">
        <v>147</v>
      </c>
      <c r="F1592" s="19" t="s">
        <v>410</v>
      </c>
      <c r="G1592" s="19" t="n">
        <v>185</v>
      </c>
      <c r="H1592" s="19" t="s">
        <v>411</v>
      </c>
      <c r="I1592" s="20" t="n">
        <v>40.4</v>
      </c>
      <c r="J1592" s="19" t="n">
        <f aca="false">IF(I1592="","",MIN(Overview!$B$8,MAX(1,CEILING(I1592/Overview!$B$7,1))))</f>
        <v>9</v>
      </c>
      <c r="K1592" s="19" t="n">
        <v>1</v>
      </c>
      <c r="L1592" s="19"/>
      <c r="M1592" s="20" t="n">
        <v>5</v>
      </c>
      <c r="N1592" s="19"/>
      <c r="O1592" s="19"/>
      <c r="P1592" s="19" t="s">
        <v>1539</v>
      </c>
      <c r="Q1592" s="19" t="s">
        <v>1030</v>
      </c>
      <c r="R1592" s="21" t="n">
        <v>33963</v>
      </c>
      <c r="S1592" s="19"/>
      <c r="T1592" s="19" t="s">
        <v>5311</v>
      </c>
      <c r="U1592" s="19" t="str">
        <f aca="false">HYPERLINK("https://macaulaylibrary.org/asset/285749","Open")</f>
        <v>Open</v>
      </c>
      <c r="V1592" s="19"/>
    </row>
    <row r="1593" customFormat="false" ht="15" hidden="false" customHeight="false" outlineLevel="0" collapsed="false">
      <c r="A1593" s="19" t="s">
        <v>5312</v>
      </c>
      <c r="B1593" s="19" t="s">
        <v>943</v>
      </c>
      <c r="C1593" s="19" t="s">
        <v>944</v>
      </c>
      <c r="D1593" s="19" t="s">
        <v>148</v>
      </c>
      <c r="E1593" s="19" t="s">
        <v>147</v>
      </c>
      <c r="F1593" s="19" t="s">
        <v>410</v>
      </c>
      <c r="G1593" s="19" t="n">
        <v>185</v>
      </c>
      <c r="H1593" s="19" t="s">
        <v>411</v>
      </c>
      <c r="I1593" s="20" t="n">
        <v>85.758</v>
      </c>
      <c r="J1593" s="19" t="n">
        <f aca="false">IF(I1593="","",MIN(Overview!$B$8,MAX(1,CEILING(I1593/Overview!$B$7,1))))</f>
        <v>18</v>
      </c>
      <c r="K1593" s="19" t="n">
        <v>1</v>
      </c>
      <c r="L1593" s="19"/>
      <c r="M1593" s="20" t="n">
        <v>3</v>
      </c>
      <c r="N1593" s="19"/>
      <c r="O1593" s="19"/>
      <c r="P1593" s="19" t="s">
        <v>5313</v>
      </c>
      <c r="Q1593" s="19" t="s">
        <v>980</v>
      </c>
      <c r="R1593" s="21" t="n">
        <v>33290</v>
      </c>
      <c r="S1593" s="19" t="s">
        <v>1002</v>
      </c>
      <c r="T1593" s="19" t="s">
        <v>5314</v>
      </c>
      <c r="U1593" s="19" t="str">
        <f aca="false">HYPERLINK("https://macaulaylibrary.org/asset/57467","Open")</f>
        <v>Open</v>
      </c>
      <c r="V1593" s="19"/>
    </row>
    <row r="1594" customFormat="false" ht="15" hidden="false" customHeight="false" outlineLevel="0" collapsed="false">
      <c r="A1594" s="19" t="s">
        <v>5315</v>
      </c>
      <c r="B1594" s="19" t="s">
        <v>943</v>
      </c>
      <c r="C1594" s="19" t="s">
        <v>944</v>
      </c>
      <c r="D1594" s="19" t="s">
        <v>148</v>
      </c>
      <c r="E1594" s="19" t="s">
        <v>147</v>
      </c>
      <c r="F1594" s="19" t="s">
        <v>410</v>
      </c>
      <c r="G1594" s="19" t="n">
        <v>185</v>
      </c>
      <c r="H1594" s="19" t="s">
        <v>411</v>
      </c>
      <c r="I1594" s="20" t="n">
        <v>260.01</v>
      </c>
      <c r="J1594" s="19" t="n">
        <f aca="false">IF(I1594="","",MIN(Overview!$B$8,MAX(1,CEILING(I1594/Overview!$B$7,1))))</f>
        <v>53</v>
      </c>
      <c r="K1594" s="19" t="n">
        <v>1</v>
      </c>
      <c r="L1594" s="19"/>
      <c r="M1594" s="20" t="n">
        <v>3</v>
      </c>
      <c r="N1594" s="19"/>
      <c r="O1594" s="19"/>
      <c r="P1594" s="19" t="s">
        <v>5313</v>
      </c>
      <c r="Q1594" s="19" t="s">
        <v>980</v>
      </c>
      <c r="R1594" s="21" t="n">
        <v>33290</v>
      </c>
      <c r="S1594" s="19" t="s">
        <v>5316</v>
      </c>
      <c r="T1594" s="19" t="s">
        <v>5317</v>
      </c>
      <c r="U1594" s="19" t="str">
        <f aca="false">HYPERLINK("https://macaulaylibrary.org/asset/57468","Open")</f>
        <v>Open</v>
      </c>
      <c r="V1594" s="19"/>
    </row>
    <row r="1595" customFormat="false" ht="15" hidden="false" customHeight="false" outlineLevel="0" collapsed="false">
      <c r="A1595" s="19" t="s">
        <v>5318</v>
      </c>
      <c r="B1595" s="19" t="s">
        <v>943</v>
      </c>
      <c r="C1595" s="19" t="s">
        <v>944</v>
      </c>
      <c r="D1595" s="19" t="s">
        <v>148</v>
      </c>
      <c r="E1595" s="19" t="s">
        <v>147</v>
      </c>
      <c r="F1595" s="19" t="s">
        <v>410</v>
      </c>
      <c r="G1595" s="19" t="n">
        <v>185</v>
      </c>
      <c r="H1595" s="19" t="s">
        <v>411</v>
      </c>
      <c r="I1595" s="20" t="n">
        <v>2625.244</v>
      </c>
      <c r="J1595" s="19" t="n">
        <f aca="false">IF(I1595="","",MIN(Overview!$B$8,MAX(1,CEILING(I1595/Overview!$B$7,1))))</f>
        <v>120</v>
      </c>
      <c r="K1595" s="19" t="n">
        <v>1</v>
      </c>
      <c r="L1595" s="19"/>
      <c r="M1595" s="20" t="n">
        <v>3.4</v>
      </c>
      <c r="N1595" s="19"/>
      <c r="O1595" s="19"/>
      <c r="P1595" s="19" t="s">
        <v>1555</v>
      </c>
      <c r="Q1595" s="19" t="s">
        <v>980</v>
      </c>
      <c r="R1595" s="21" t="n">
        <v>33291</v>
      </c>
      <c r="S1595" s="19" t="s">
        <v>1002</v>
      </c>
      <c r="T1595" s="19" t="s">
        <v>5319</v>
      </c>
      <c r="U1595" s="19" t="str">
        <f aca="false">HYPERLINK("https://macaulaylibrary.org/asset/57472","Open")</f>
        <v>Open</v>
      </c>
      <c r="V1595" s="19"/>
    </row>
    <row r="1596" customFormat="false" ht="15" hidden="false" customHeight="false" outlineLevel="0" collapsed="false">
      <c r="A1596" s="19" t="s">
        <v>5320</v>
      </c>
      <c r="B1596" s="19" t="s">
        <v>943</v>
      </c>
      <c r="C1596" s="19" t="s">
        <v>944</v>
      </c>
      <c r="D1596" s="19" t="s">
        <v>148</v>
      </c>
      <c r="E1596" s="19" t="s">
        <v>147</v>
      </c>
      <c r="F1596" s="19" t="s">
        <v>410</v>
      </c>
      <c r="G1596" s="19" t="n">
        <v>185</v>
      </c>
      <c r="H1596" s="19" t="s">
        <v>411</v>
      </c>
      <c r="I1596" s="20" t="n">
        <v>2.943</v>
      </c>
      <c r="J1596" s="19" t="n">
        <f aca="false">IF(I1596="","",MIN(Overview!$B$8,MAX(1,CEILING(I1596/Overview!$B$7,1))))</f>
        <v>1</v>
      </c>
      <c r="K1596" s="19" t="n">
        <v>1</v>
      </c>
      <c r="L1596" s="19" t="s">
        <v>1048</v>
      </c>
      <c r="M1596" s="20"/>
      <c r="N1596" s="19"/>
      <c r="O1596" s="19"/>
      <c r="P1596" s="19" t="s">
        <v>5321</v>
      </c>
      <c r="Q1596" s="19" t="s">
        <v>2483</v>
      </c>
      <c r="R1596" s="21" t="n">
        <v>45906</v>
      </c>
      <c r="S1596" s="19" t="s">
        <v>957</v>
      </c>
      <c r="T1596" s="19" t="s">
        <v>5322</v>
      </c>
      <c r="U1596" s="19" t="str">
        <f aca="false">HYPERLINK("https://macaulaylibrary.org/asset/641445630","Open")</f>
        <v>Open</v>
      </c>
      <c r="V1596" s="19"/>
    </row>
    <row r="1597" customFormat="false" ht="15" hidden="false" customHeight="false" outlineLevel="0" collapsed="false">
      <c r="A1597" s="19" t="s">
        <v>5323</v>
      </c>
      <c r="B1597" s="19" t="s">
        <v>943</v>
      </c>
      <c r="C1597" s="19" t="s">
        <v>944</v>
      </c>
      <c r="D1597" s="19" t="s">
        <v>148</v>
      </c>
      <c r="E1597" s="19" t="s">
        <v>147</v>
      </c>
      <c r="F1597" s="19" t="s">
        <v>410</v>
      </c>
      <c r="G1597" s="19" t="n">
        <v>185</v>
      </c>
      <c r="H1597" s="19" t="s">
        <v>411</v>
      </c>
      <c r="I1597" s="20" t="n">
        <v>42</v>
      </c>
      <c r="J1597" s="19" t="n">
        <f aca="false">IF(I1597="","",MIN(Overview!$B$8,MAX(1,CEILING(I1597/Overview!$B$7,1))))</f>
        <v>9</v>
      </c>
      <c r="K1597" s="19" t="n">
        <v>1</v>
      </c>
      <c r="L1597" s="19"/>
      <c r="M1597" s="20"/>
      <c r="N1597" s="19"/>
      <c r="O1597" s="19"/>
      <c r="P1597" s="19" t="s">
        <v>5324</v>
      </c>
      <c r="Q1597" s="19" t="s">
        <v>5325</v>
      </c>
      <c r="R1597" s="21" t="n">
        <v>45906</v>
      </c>
      <c r="S1597" s="19" t="s">
        <v>957</v>
      </c>
      <c r="T1597" s="19" t="s">
        <v>5326</v>
      </c>
      <c r="U1597" s="19" t="str">
        <f aca="false">HYPERLINK("https://macaulaylibrary.org/asset/641448012","Open")</f>
        <v>Open</v>
      </c>
      <c r="V1597" s="19"/>
    </row>
    <row r="1598" customFormat="false" ht="15" hidden="false" customHeight="false" outlineLevel="0" collapsed="false">
      <c r="A1598" s="19" t="s">
        <v>5327</v>
      </c>
      <c r="B1598" s="19" t="s">
        <v>943</v>
      </c>
      <c r="C1598" s="19" t="s">
        <v>944</v>
      </c>
      <c r="D1598" s="19" t="s">
        <v>148</v>
      </c>
      <c r="E1598" s="19" t="s">
        <v>147</v>
      </c>
      <c r="F1598" s="19" t="s">
        <v>240</v>
      </c>
      <c r="G1598" s="19" t="n">
        <v>186</v>
      </c>
      <c r="H1598" s="19" t="s">
        <v>241</v>
      </c>
      <c r="I1598" s="20" t="n">
        <v>33.407</v>
      </c>
      <c r="J1598" s="19" t="n">
        <f aca="false">IF(I1598="","",MIN(Overview!$B$8,MAX(1,CEILING(I1598/Overview!$B$7,1))))</f>
        <v>7</v>
      </c>
      <c r="K1598" s="19" t="n">
        <v>1</v>
      </c>
      <c r="L1598" s="19"/>
      <c r="M1598" s="20" t="n">
        <v>3.5</v>
      </c>
      <c r="N1598" s="19"/>
      <c r="O1598" s="19"/>
      <c r="P1598" s="19" t="s">
        <v>3532</v>
      </c>
      <c r="Q1598" s="19" t="s">
        <v>3041</v>
      </c>
      <c r="R1598" s="21" t="n">
        <v>43406</v>
      </c>
      <c r="S1598" s="19" t="s">
        <v>3533</v>
      </c>
      <c r="T1598" s="19" t="s">
        <v>5328</v>
      </c>
      <c r="U1598" s="19" t="str">
        <f aca="false">HYPERLINK("https://macaulaylibrary.org/asset/123825011","Open")</f>
        <v>Open</v>
      </c>
      <c r="V1598" s="19"/>
    </row>
    <row r="1599" customFormat="false" ht="15" hidden="false" customHeight="false" outlineLevel="0" collapsed="false">
      <c r="A1599" s="19" t="s">
        <v>5329</v>
      </c>
      <c r="B1599" s="19" t="s">
        <v>943</v>
      </c>
      <c r="C1599" s="19" t="s">
        <v>944</v>
      </c>
      <c r="D1599" s="19" t="s">
        <v>148</v>
      </c>
      <c r="E1599" s="19" t="s">
        <v>147</v>
      </c>
      <c r="F1599" s="19" t="s">
        <v>240</v>
      </c>
      <c r="G1599" s="19" t="n">
        <v>186</v>
      </c>
      <c r="H1599" s="19" t="s">
        <v>241</v>
      </c>
      <c r="I1599" s="20" t="n">
        <v>108.666</v>
      </c>
      <c r="J1599" s="19" t="n">
        <f aca="false">IF(I1599="","",MIN(Overview!$B$8,MAX(1,CEILING(I1599/Overview!$B$7,1))))</f>
        <v>22</v>
      </c>
      <c r="K1599" s="19" t="n">
        <v>1</v>
      </c>
      <c r="L1599" s="19"/>
      <c r="M1599" s="20" t="n">
        <v>3.75</v>
      </c>
      <c r="N1599" s="19"/>
      <c r="O1599" s="19"/>
      <c r="P1599" s="19" t="s">
        <v>1581</v>
      </c>
      <c r="Q1599" s="19" t="s">
        <v>1021</v>
      </c>
      <c r="R1599" s="21" t="n">
        <v>36595</v>
      </c>
      <c r="S1599" s="19" t="s">
        <v>1459</v>
      </c>
      <c r="T1599" s="19" t="s">
        <v>5330</v>
      </c>
      <c r="U1599" s="19" t="str">
        <f aca="false">HYPERLINK("https://macaulaylibrary.org/asset/144010781","Open")</f>
        <v>Open</v>
      </c>
      <c r="V1599" s="19"/>
    </row>
    <row r="1600" customFormat="false" ht="15" hidden="false" customHeight="false" outlineLevel="0" collapsed="false">
      <c r="A1600" s="19" t="s">
        <v>5331</v>
      </c>
      <c r="B1600" s="19" t="s">
        <v>943</v>
      </c>
      <c r="C1600" s="19" t="s">
        <v>944</v>
      </c>
      <c r="D1600" s="19" t="s">
        <v>148</v>
      </c>
      <c r="E1600" s="19" t="s">
        <v>147</v>
      </c>
      <c r="F1600" s="19" t="s">
        <v>240</v>
      </c>
      <c r="G1600" s="19" t="n">
        <v>186</v>
      </c>
      <c r="H1600" s="19" t="s">
        <v>241</v>
      </c>
      <c r="I1600" s="20" t="n">
        <v>23.6</v>
      </c>
      <c r="J1600" s="19" t="n">
        <f aca="false">IF(I1600="","",MIN(Overview!$B$8,MAX(1,CEILING(I1600/Overview!$B$7,1))))</f>
        <v>5</v>
      </c>
      <c r="K1600" s="19" t="n">
        <v>1</v>
      </c>
      <c r="L1600" s="19"/>
      <c r="M1600" s="20" t="n">
        <v>2</v>
      </c>
      <c r="N1600" s="19"/>
      <c r="O1600" s="19"/>
      <c r="P1600" s="19" t="s">
        <v>5332</v>
      </c>
      <c r="Q1600" s="19" t="s">
        <v>3442</v>
      </c>
      <c r="R1600" s="21" t="n">
        <v>43530</v>
      </c>
      <c r="S1600" s="19" t="s">
        <v>2178</v>
      </c>
      <c r="T1600" s="19" t="s">
        <v>5333</v>
      </c>
      <c r="U1600" s="19" t="str">
        <f aca="false">HYPERLINK("https://macaulaylibrary.org/asset/145226871","Open")</f>
        <v>Open</v>
      </c>
      <c r="V1600" s="19"/>
    </row>
    <row r="1601" customFormat="false" ht="15" hidden="false" customHeight="false" outlineLevel="0" collapsed="false">
      <c r="A1601" s="19" t="s">
        <v>5334</v>
      </c>
      <c r="B1601" s="19" t="s">
        <v>943</v>
      </c>
      <c r="C1601" s="19" t="s">
        <v>944</v>
      </c>
      <c r="D1601" s="19" t="s">
        <v>148</v>
      </c>
      <c r="E1601" s="19" t="s">
        <v>147</v>
      </c>
      <c r="F1601" s="19" t="s">
        <v>240</v>
      </c>
      <c r="G1601" s="19" t="n">
        <v>186</v>
      </c>
      <c r="H1601" s="19" t="s">
        <v>241</v>
      </c>
      <c r="I1601" s="20" t="n">
        <v>35.259</v>
      </c>
      <c r="J1601" s="19" t="n">
        <f aca="false">IF(I1601="","",MIN(Overview!$B$8,MAX(1,CEILING(I1601/Overview!$B$7,1))))</f>
        <v>8</v>
      </c>
      <c r="K1601" s="19" t="n">
        <v>1</v>
      </c>
      <c r="L1601" s="19"/>
      <c r="M1601" s="20" t="n">
        <v>3</v>
      </c>
      <c r="N1601" s="19"/>
      <c r="O1601" s="19"/>
      <c r="P1601" s="19" t="s">
        <v>974</v>
      </c>
      <c r="Q1601" s="19" t="s">
        <v>975</v>
      </c>
      <c r="R1601" s="21" t="n">
        <v>43666</v>
      </c>
      <c r="S1601" s="19" t="s">
        <v>976</v>
      </c>
      <c r="T1601" s="19" t="s">
        <v>5335</v>
      </c>
      <c r="U1601" s="19" t="str">
        <f aca="false">HYPERLINK("https://macaulaylibrary.org/asset/179452311","Open")</f>
        <v>Open</v>
      </c>
      <c r="V1601" s="19"/>
    </row>
    <row r="1602" customFormat="false" ht="15" hidden="false" customHeight="false" outlineLevel="0" collapsed="false">
      <c r="A1602" s="19" t="s">
        <v>5336</v>
      </c>
      <c r="B1602" s="19" t="s">
        <v>943</v>
      </c>
      <c r="C1602" s="19" t="s">
        <v>944</v>
      </c>
      <c r="D1602" s="19" t="s">
        <v>148</v>
      </c>
      <c r="E1602" s="19" t="s">
        <v>147</v>
      </c>
      <c r="F1602" s="19" t="s">
        <v>240</v>
      </c>
      <c r="G1602" s="19" t="n">
        <v>186</v>
      </c>
      <c r="H1602" s="19" t="s">
        <v>241</v>
      </c>
      <c r="I1602" s="20" t="n">
        <v>38.208</v>
      </c>
      <c r="J1602" s="19" t="n">
        <f aca="false">IF(I1602="","",MIN(Overview!$B$8,MAX(1,CEILING(I1602/Overview!$B$7,1))))</f>
        <v>8</v>
      </c>
      <c r="K1602" s="19" t="n">
        <v>1</v>
      </c>
      <c r="L1602" s="19"/>
      <c r="M1602" s="20" t="n">
        <v>3.33</v>
      </c>
      <c r="N1602" s="19"/>
      <c r="O1602" s="19"/>
      <c r="P1602" s="19" t="s">
        <v>2465</v>
      </c>
      <c r="Q1602" s="19" t="s">
        <v>965</v>
      </c>
      <c r="R1602" s="21" t="n">
        <v>43812</v>
      </c>
      <c r="S1602" s="19" t="s">
        <v>2466</v>
      </c>
      <c r="T1602" s="19" t="s">
        <v>5337</v>
      </c>
      <c r="U1602" s="19" t="str">
        <f aca="false">HYPERLINK("https://macaulaylibrary.org/asset/193405631","Open")</f>
        <v>Open</v>
      </c>
      <c r="V1602" s="19"/>
    </row>
    <row r="1603" customFormat="false" ht="15" hidden="false" customHeight="false" outlineLevel="0" collapsed="false">
      <c r="A1603" s="19" t="s">
        <v>5338</v>
      </c>
      <c r="B1603" s="19" t="s">
        <v>943</v>
      </c>
      <c r="C1603" s="19" t="s">
        <v>944</v>
      </c>
      <c r="D1603" s="19" t="s">
        <v>148</v>
      </c>
      <c r="E1603" s="19" t="s">
        <v>147</v>
      </c>
      <c r="F1603" s="19" t="s">
        <v>240</v>
      </c>
      <c r="G1603" s="19" t="n">
        <v>186</v>
      </c>
      <c r="H1603" s="19" t="s">
        <v>241</v>
      </c>
      <c r="I1603" s="20" t="n">
        <v>372.584</v>
      </c>
      <c r="J1603" s="19" t="n">
        <f aca="false">IF(I1603="","",MIN(Overview!$B$8,MAX(1,CEILING(I1603/Overview!$B$7,1))))</f>
        <v>75</v>
      </c>
      <c r="K1603" s="19" t="n">
        <v>1</v>
      </c>
      <c r="L1603" s="19"/>
      <c r="M1603" s="20" t="n">
        <v>2</v>
      </c>
      <c r="N1603" s="19"/>
      <c r="O1603" s="19" t="s">
        <v>5339</v>
      </c>
      <c r="P1603" s="19" t="s">
        <v>1115</v>
      </c>
      <c r="Q1603" s="19" t="s">
        <v>980</v>
      </c>
      <c r="R1603" s="21" t="n">
        <v>34125</v>
      </c>
      <c r="S1603" s="19" t="s">
        <v>3533</v>
      </c>
      <c r="T1603" s="19" t="s">
        <v>5340</v>
      </c>
      <c r="U1603" s="19" t="str">
        <f aca="false">HYPERLINK("https://macaulaylibrary.org/asset/209487","Open")</f>
        <v>Open</v>
      </c>
      <c r="V1603" s="19"/>
    </row>
    <row r="1604" customFormat="false" ht="15" hidden="false" customHeight="false" outlineLevel="0" collapsed="false">
      <c r="A1604" s="19" t="s">
        <v>5341</v>
      </c>
      <c r="B1604" s="19" t="s">
        <v>943</v>
      </c>
      <c r="C1604" s="19" t="s">
        <v>944</v>
      </c>
      <c r="D1604" s="19" t="s">
        <v>148</v>
      </c>
      <c r="E1604" s="19" t="s">
        <v>147</v>
      </c>
      <c r="F1604" s="19" t="s">
        <v>240</v>
      </c>
      <c r="G1604" s="19" t="n">
        <v>186</v>
      </c>
      <c r="H1604" s="19" t="s">
        <v>241</v>
      </c>
      <c r="I1604" s="20" t="n">
        <v>1491.491</v>
      </c>
      <c r="J1604" s="19" t="n">
        <f aca="false">IF(I1604="","",MIN(Overview!$B$8,MAX(1,CEILING(I1604/Overview!$B$7,1))))</f>
        <v>120</v>
      </c>
      <c r="K1604" s="19" t="n">
        <v>1</v>
      </c>
      <c r="L1604" s="19"/>
      <c r="M1604" s="20" t="n">
        <v>2.4</v>
      </c>
      <c r="N1604" s="19"/>
      <c r="O1604" s="19"/>
      <c r="P1604" s="19" t="s">
        <v>1121</v>
      </c>
      <c r="Q1604" s="19" t="s">
        <v>980</v>
      </c>
      <c r="R1604" s="21" t="n">
        <v>32556</v>
      </c>
      <c r="S1604" s="19" t="s">
        <v>5342</v>
      </c>
      <c r="T1604" s="19" t="s">
        <v>5343</v>
      </c>
      <c r="U1604" s="19" t="str">
        <f aca="false">HYPERLINK("https://macaulaylibrary.org/asset/215376","Open")</f>
        <v>Open</v>
      </c>
      <c r="V1604" s="19"/>
    </row>
    <row r="1605" customFormat="false" ht="15" hidden="false" customHeight="false" outlineLevel="0" collapsed="false">
      <c r="A1605" s="19" t="s">
        <v>5344</v>
      </c>
      <c r="B1605" s="19" t="s">
        <v>943</v>
      </c>
      <c r="C1605" s="19" t="s">
        <v>944</v>
      </c>
      <c r="D1605" s="19" t="s">
        <v>148</v>
      </c>
      <c r="E1605" s="19" t="s">
        <v>147</v>
      </c>
      <c r="F1605" s="19" t="s">
        <v>240</v>
      </c>
      <c r="G1605" s="19" t="n">
        <v>186</v>
      </c>
      <c r="H1605" s="19" t="s">
        <v>241</v>
      </c>
      <c r="I1605" s="20" t="n">
        <v>6.071</v>
      </c>
      <c r="J1605" s="19" t="n">
        <f aca="false">IF(I1605="","",MIN(Overview!$B$8,MAX(1,CEILING(I1605/Overview!$B$7,1))))</f>
        <v>2</v>
      </c>
      <c r="K1605" s="19" t="n">
        <v>1</v>
      </c>
      <c r="L1605" s="19"/>
      <c r="M1605" s="20" t="n">
        <v>5</v>
      </c>
      <c r="N1605" s="19"/>
      <c r="O1605" s="19"/>
      <c r="P1605" s="19" t="s">
        <v>5345</v>
      </c>
      <c r="Q1605" s="19" t="s">
        <v>1888</v>
      </c>
      <c r="R1605" s="21" t="n">
        <v>43904</v>
      </c>
      <c r="S1605" s="19" t="s">
        <v>5346</v>
      </c>
      <c r="T1605" s="19" t="s">
        <v>5347</v>
      </c>
      <c r="U1605" s="19" t="str">
        <f aca="false">HYPERLINK("https://macaulaylibrary.org/asset/218807991","Open")</f>
        <v>Open</v>
      </c>
      <c r="V1605" s="19"/>
    </row>
    <row r="1606" customFormat="false" ht="15" hidden="false" customHeight="false" outlineLevel="0" collapsed="false">
      <c r="A1606" s="19" t="s">
        <v>5348</v>
      </c>
      <c r="B1606" s="19" t="s">
        <v>943</v>
      </c>
      <c r="C1606" s="19" t="s">
        <v>944</v>
      </c>
      <c r="D1606" s="19" t="s">
        <v>148</v>
      </c>
      <c r="E1606" s="19" t="s">
        <v>147</v>
      </c>
      <c r="F1606" s="19" t="s">
        <v>240</v>
      </c>
      <c r="G1606" s="19" t="n">
        <v>186</v>
      </c>
      <c r="H1606" s="19" t="s">
        <v>241</v>
      </c>
      <c r="I1606" s="20" t="n">
        <v>5.2</v>
      </c>
      <c r="J1606" s="19" t="n">
        <f aca="false">IF(I1606="","",MIN(Overview!$B$8,MAX(1,CEILING(I1606/Overview!$B$7,1))))</f>
        <v>2</v>
      </c>
      <c r="K1606" s="19" t="n">
        <v>1</v>
      </c>
      <c r="L1606" s="19"/>
      <c r="M1606" s="20" t="n">
        <v>3</v>
      </c>
      <c r="N1606" s="19"/>
      <c r="O1606" s="19"/>
      <c r="P1606" s="19" t="s">
        <v>5345</v>
      </c>
      <c r="Q1606" s="19" t="s">
        <v>1888</v>
      </c>
      <c r="R1606" s="21" t="n">
        <v>43904</v>
      </c>
      <c r="S1606" s="19" t="s">
        <v>5346</v>
      </c>
      <c r="T1606" s="19" t="s">
        <v>5349</v>
      </c>
      <c r="U1606" s="19" t="str">
        <f aca="false">HYPERLINK("https://macaulaylibrary.org/asset/218808001","Open")</f>
        <v>Open</v>
      </c>
      <c r="V1606" s="19"/>
    </row>
    <row r="1607" customFormat="false" ht="15" hidden="false" customHeight="false" outlineLevel="0" collapsed="false">
      <c r="A1607" s="19" t="s">
        <v>5350</v>
      </c>
      <c r="B1607" s="19" t="s">
        <v>943</v>
      </c>
      <c r="C1607" s="19" t="s">
        <v>944</v>
      </c>
      <c r="D1607" s="19" t="s">
        <v>148</v>
      </c>
      <c r="E1607" s="19" t="s">
        <v>147</v>
      </c>
      <c r="F1607" s="19" t="s">
        <v>240</v>
      </c>
      <c r="G1607" s="19" t="n">
        <v>186</v>
      </c>
      <c r="H1607" s="19" t="s">
        <v>241</v>
      </c>
      <c r="I1607" s="20" t="n">
        <v>17.955</v>
      </c>
      <c r="J1607" s="19" t="n">
        <f aca="false">IF(I1607="","",MIN(Overview!$B$8,MAX(1,CEILING(I1607/Overview!$B$7,1))))</f>
        <v>4</v>
      </c>
      <c r="K1607" s="19" t="n">
        <v>1</v>
      </c>
      <c r="L1607" s="19"/>
      <c r="M1607" s="20" t="n">
        <v>3</v>
      </c>
      <c r="N1607" s="19"/>
      <c r="O1607" s="19"/>
      <c r="P1607" s="19" t="s">
        <v>1278</v>
      </c>
      <c r="Q1607" s="19" t="s">
        <v>1030</v>
      </c>
      <c r="R1607" s="21" t="n">
        <v>33597</v>
      </c>
      <c r="S1607" s="19" t="s">
        <v>1279</v>
      </c>
      <c r="T1607" s="19" t="s">
        <v>5351</v>
      </c>
      <c r="U1607" s="19" t="str">
        <f aca="false">HYPERLINK("https://macaulaylibrary.org/asset/285624","Open")</f>
        <v>Open</v>
      </c>
      <c r="V1607" s="19"/>
    </row>
    <row r="1608" customFormat="false" ht="15" hidden="false" customHeight="false" outlineLevel="0" collapsed="false">
      <c r="A1608" s="19" t="s">
        <v>5352</v>
      </c>
      <c r="B1608" s="19" t="s">
        <v>943</v>
      </c>
      <c r="C1608" s="19" t="s">
        <v>944</v>
      </c>
      <c r="D1608" s="19" t="s">
        <v>148</v>
      </c>
      <c r="E1608" s="19" t="s">
        <v>147</v>
      </c>
      <c r="F1608" s="19" t="s">
        <v>240</v>
      </c>
      <c r="G1608" s="19" t="n">
        <v>186</v>
      </c>
      <c r="H1608" s="19" t="s">
        <v>241</v>
      </c>
      <c r="I1608" s="20" t="n">
        <v>37.803</v>
      </c>
      <c r="J1608" s="19" t="n">
        <f aca="false">IF(I1608="","",MIN(Overview!$B$8,MAX(1,CEILING(I1608/Overview!$B$7,1))))</f>
        <v>8</v>
      </c>
      <c r="K1608" s="19" t="n">
        <v>1</v>
      </c>
      <c r="L1608" s="19"/>
      <c r="M1608" s="20" t="n">
        <v>1</v>
      </c>
      <c r="N1608" s="19"/>
      <c r="O1608" s="19"/>
      <c r="P1608" s="19" t="s">
        <v>2346</v>
      </c>
      <c r="Q1608" s="19" t="s">
        <v>965</v>
      </c>
      <c r="R1608" s="21" t="n">
        <v>44183</v>
      </c>
      <c r="S1608" s="19" t="s">
        <v>2347</v>
      </c>
      <c r="T1608" s="19" t="s">
        <v>5353</v>
      </c>
      <c r="U1608" s="19" t="str">
        <f aca="false">HYPERLINK("https://macaulaylibrary.org/asset/289817011","Open")</f>
        <v>Open</v>
      </c>
      <c r="V1608" s="19"/>
    </row>
    <row r="1609" customFormat="false" ht="15" hidden="false" customHeight="false" outlineLevel="0" collapsed="false">
      <c r="A1609" s="19" t="s">
        <v>5354</v>
      </c>
      <c r="B1609" s="19" t="s">
        <v>943</v>
      </c>
      <c r="C1609" s="19" t="s">
        <v>944</v>
      </c>
      <c r="D1609" s="19" t="s">
        <v>148</v>
      </c>
      <c r="E1609" s="19" t="s">
        <v>147</v>
      </c>
      <c r="F1609" s="19" t="s">
        <v>240</v>
      </c>
      <c r="G1609" s="19" t="n">
        <v>186</v>
      </c>
      <c r="H1609" s="19" t="s">
        <v>241</v>
      </c>
      <c r="I1609" s="20" t="n">
        <v>451.5</v>
      </c>
      <c r="J1609" s="19" t="n">
        <f aca="false">IF(I1609="","",MIN(Overview!$B$8,MAX(1,CEILING(I1609/Overview!$B$7,1))))</f>
        <v>91</v>
      </c>
      <c r="K1609" s="19" t="n">
        <v>1</v>
      </c>
      <c r="L1609" s="19"/>
      <c r="M1609" s="20" t="n">
        <v>3</v>
      </c>
      <c r="N1609" s="19"/>
      <c r="O1609" s="19"/>
      <c r="P1609" s="19" t="s">
        <v>1034</v>
      </c>
      <c r="Q1609" s="19" t="s">
        <v>1035</v>
      </c>
      <c r="R1609" s="21" t="n">
        <v>43665</v>
      </c>
      <c r="S1609" s="19" t="s">
        <v>1036</v>
      </c>
      <c r="T1609" s="19" t="s">
        <v>5355</v>
      </c>
      <c r="U1609" s="19" t="str">
        <f aca="false">HYPERLINK("https://macaulaylibrary.org/asset/498003141","Open")</f>
        <v>Open</v>
      </c>
      <c r="V1609" s="19"/>
    </row>
    <row r="1610" customFormat="false" ht="15" hidden="false" customHeight="false" outlineLevel="0" collapsed="false">
      <c r="A1610" s="19" t="s">
        <v>5356</v>
      </c>
      <c r="B1610" s="19" t="s">
        <v>943</v>
      </c>
      <c r="C1610" s="19" t="s">
        <v>944</v>
      </c>
      <c r="D1610" s="19" t="s">
        <v>148</v>
      </c>
      <c r="E1610" s="19" t="s">
        <v>147</v>
      </c>
      <c r="F1610" s="19" t="s">
        <v>240</v>
      </c>
      <c r="G1610" s="19" t="n">
        <v>186</v>
      </c>
      <c r="H1610" s="19" t="s">
        <v>241</v>
      </c>
      <c r="I1610" s="20" t="n">
        <v>341.482</v>
      </c>
      <c r="J1610" s="19" t="n">
        <f aca="false">IF(I1610="","",MIN(Overview!$B$8,MAX(1,CEILING(I1610/Overview!$B$7,1))))</f>
        <v>69</v>
      </c>
      <c r="K1610" s="19" t="n">
        <v>1</v>
      </c>
      <c r="L1610" s="19"/>
      <c r="M1610" s="20" t="n">
        <v>2.2</v>
      </c>
      <c r="N1610" s="19"/>
      <c r="O1610" s="19"/>
      <c r="P1610" s="19" t="s">
        <v>1545</v>
      </c>
      <c r="Q1610" s="19" t="s">
        <v>1071</v>
      </c>
      <c r="R1610" s="21" t="n">
        <v>32821</v>
      </c>
      <c r="S1610" s="19" t="s">
        <v>1009</v>
      </c>
      <c r="T1610" s="19" t="s">
        <v>5357</v>
      </c>
      <c r="U1610" s="19" t="str">
        <f aca="false">HYPERLINK("https://macaulaylibrary.org/asset/51721","Open")</f>
        <v>Open</v>
      </c>
      <c r="V1610" s="19"/>
    </row>
    <row r="1611" customFormat="false" ht="15" hidden="false" customHeight="false" outlineLevel="0" collapsed="false">
      <c r="A1611" s="19" t="s">
        <v>5358</v>
      </c>
      <c r="B1611" s="19" t="s">
        <v>943</v>
      </c>
      <c r="C1611" s="19" t="s">
        <v>944</v>
      </c>
      <c r="D1611" s="19" t="s">
        <v>148</v>
      </c>
      <c r="E1611" s="19" t="s">
        <v>147</v>
      </c>
      <c r="F1611" s="19" t="s">
        <v>240</v>
      </c>
      <c r="G1611" s="19" t="n">
        <v>186</v>
      </c>
      <c r="H1611" s="19" t="s">
        <v>241</v>
      </c>
      <c r="I1611" s="20" t="n">
        <v>228.933</v>
      </c>
      <c r="J1611" s="19" t="n">
        <f aca="false">IF(I1611="","",MIN(Overview!$B$8,MAX(1,CEILING(I1611/Overview!$B$7,1))))</f>
        <v>46</v>
      </c>
      <c r="K1611" s="19" t="n">
        <v>1</v>
      </c>
      <c r="L1611" s="19"/>
      <c r="M1611" s="20" t="n">
        <v>3</v>
      </c>
      <c r="N1611" s="19"/>
      <c r="O1611" s="19"/>
      <c r="P1611" s="19" t="s">
        <v>1797</v>
      </c>
      <c r="Q1611" s="19" t="s">
        <v>1798</v>
      </c>
      <c r="R1611" s="21" t="n">
        <v>33584</v>
      </c>
      <c r="S1611" s="19" t="s">
        <v>1205</v>
      </c>
      <c r="T1611" s="19" t="s">
        <v>5359</v>
      </c>
      <c r="U1611" s="19" t="str">
        <f aca="false">HYPERLINK("https://macaulaylibrary.org/asset/56618","Open")</f>
        <v>Open</v>
      </c>
      <c r="V1611" s="19"/>
    </row>
    <row r="1612" customFormat="false" ht="15" hidden="false" customHeight="false" outlineLevel="0" collapsed="false">
      <c r="A1612" s="19" t="s">
        <v>5360</v>
      </c>
      <c r="B1612" s="19" t="s">
        <v>943</v>
      </c>
      <c r="C1612" s="19" t="s">
        <v>944</v>
      </c>
      <c r="D1612" s="19" t="s">
        <v>148</v>
      </c>
      <c r="E1612" s="19" t="s">
        <v>147</v>
      </c>
      <c r="F1612" s="19" t="s">
        <v>240</v>
      </c>
      <c r="G1612" s="19" t="n">
        <v>186</v>
      </c>
      <c r="H1612" s="19" t="s">
        <v>241</v>
      </c>
      <c r="I1612" s="20" t="n">
        <v>32.224</v>
      </c>
      <c r="J1612" s="19" t="n">
        <f aca="false">IF(I1612="","",MIN(Overview!$B$8,MAX(1,CEILING(I1612/Overview!$B$7,1))))</f>
        <v>7</v>
      </c>
      <c r="K1612" s="19" t="n">
        <v>1</v>
      </c>
      <c r="L1612" s="19"/>
      <c r="M1612" s="20"/>
      <c r="N1612" s="19"/>
      <c r="O1612" s="19"/>
      <c r="P1612" s="19" t="s">
        <v>2708</v>
      </c>
      <c r="Q1612" s="19" t="s">
        <v>1258</v>
      </c>
      <c r="R1612" s="21" t="n">
        <v>45229</v>
      </c>
      <c r="S1612" s="19" t="s">
        <v>2542</v>
      </c>
      <c r="T1612" s="19" t="s">
        <v>5361</v>
      </c>
      <c r="U1612" s="19" t="str">
        <f aca="false">HYPERLINK("https://macaulaylibrary.org/asset/621759620","Open")</f>
        <v>Open</v>
      </c>
      <c r="V1612" s="19"/>
    </row>
    <row r="1613" customFormat="false" ht="15" hidden="false" customHeight="false" outlineLevel="0" collapsed="false">
      <c r="A1613" s="19" t="s">
        <v>5362</v>
      </c>
      <c r="B1613" s="19" t="s">
        <v>943</v>
      </c>
      <c r="C1613" s="19" t="s">
        <v>944</v>
      </c>
      <c r="D1613" s="19" t="s">
        <v>148</v>
      </c>
      <c r="E1613" s="19" t="s">
        <v>147</v>
      </c>
      <c r="F1613" s="19" t="s">
        <v>240</v>
      </c>
      <c r="G1613" s="19" t="n">
        <v>186</v>
      </c>
      <c r="H1613" s="19" t="s">
        <v>241</v>
      </c>
      <c r="I1613" s="20" t="n">
        <v>6.806</v>
      </c>
      <c r="J1613" s="19" t="n">
        <f aca="false">IF(I1613="","",MIN(Overview!$B$8,MAX(1,CEILING(I1613/Overview!$B$7,1))))</f>
        <v>2</v>
      </c>
      <c r="K1613" s="19" t="n">
        <v>1</v>
      </c>
      <c r="L1613" s="19"/>
      <c r="M1613" s="20"/>
      <c r="N1613" s="19"/>
      <c r="O1613" s="19"/>
      <c r="P1613" s="19" t="s">
        <v>2532</v>
      </c>
      <c r="Q1613" s="19" t="s">
        <v>1258</v>
      </c>
      <c r="R1613" s="21" t="n">
        <v>45232</v>
      </c>
      <c r="S1613" s="19" t="s">
        <v>2533</v>
      </c>
      <c r="T1613" s="19" t="s">
        <v>5363</v>
      </c>
      <c r="U1613" s="19" t="str">
        <f aca="false">HYPERLINK("https://macaulaylibrary.org/asset/621760371","Open")</f>
        <v>Open</v>
      </c>
      <c r="V1613" s="19"/>
    </row>
    <row r="1614" customFormat="false" ht="15" hidden="false" customHeight="false" outlineLevel="0" collapsed="false">
      <c r="A1614" s="19" t="s">
        <v>5364</v>
      </c>
      <c r="B1614" s="19" t="s">
        <v>943</v>
      </c>
      <c r="C1614" s="19" t="s">
        <v>944</v>
      </c>
      <c r="D1614" s="19" t="s">
        <v>148</v>
      </c>
      <c r="E1614" s="19" t="s">
        <v>147</v>
      </c>
      <c r="F1614" s="19" t="s">
        <v>240</v>
      </c>
      <c r="G1614" s="19" t="n">
        <v>186</v>
      </c>
      <c r="H1614" s="19" t="s">
        <v>241</v>
      </c>
      <c r="I1614" s="20" t="n">
        <v>70.362</v>
      </c>
      <c r="J1614" s="19" t="n">
        <f aca="false">IF(I1614="","",MIN(Overview!$B$8,MAX(1,CEILING(I1614/Overview!$B$7,1))))</f>
        <v>15</v>
      </c>
      <c r="K1614" s="19" t="n">
        <v>1</v>
      </c>
      <c r="L1614" s="19"/>
      <c r="M1614" s="20" t="n">
        <v>5</v>
      </c>
      <c r="N1614" s="19"/>
      <c r="O1614" s="19"/>
      <c r="P1614" s="19" t="s">
        <v>2532</v>
      </c>
      <c r="Q1614" s="19" t="s">
        <v>1258</v>
      </c>
      <c r="R1614" s="21" t="n">
        <v>45232</v>
      </c>
      <c r="S1614" s="19" t="s">
        <v>2533</v>
      </c>
      <c r="T1614" s="19" t="s">
        <v>5365</v>
      </c>
      <c r="U1614" s="19" t="str">
        <f aca="false">HYPERLINK("https://macaulaylibrary.org/asset/621760373","Open")</f>
        <v>Open</v>
      </c>
      <c r="V1614" s="19"/>
    </row>
    <row r="1615" customFormat="false" ht="15" hidden="false" customHeight="false" outlineLevel="0" collapsed="false">
      <c r="A1615" s="19" t="s">
        <v>5366</v>
      </c>
      <c r="B1615" s="19" t="s">
        <v>943</v>
      </c>
      <c r="C1615" s="19" t="s">
        <v>944</v>
      </c>
      <c r="D1615" s="19" t="s">
        <v>148</v>
      </c>
      <c r="E1615" s="19" t="s">
        <v>147</v>
      </c>
      <c r="F1615" s="19" t="s">
        <v>240</v>
      </c>
      <c r="G1615" s="19" t="n">
        <v>186</v>
      </c>
      <c r="H1615" s="19" t="s">
        <v>241</v>
      </c>
      <c r="I1615" s="20" t="n">
        <v>7.529</v>
      </c>
      <c r="J1615" s="19" t="n">
        <f aca="false">IF(I1615="","",MIN(Overview!$B$8,MAX(1,CEILING(I1615/Overview!$B$7,1))))</f>
        <v>2</v>
      </c>
      <c r="K1615" s="19" t="n">
        <v>1</v>
      </c>
      <c r="L1615" s="19"/>
      <c r="M1615" s="20" t="n">
        <v>4</v>
      </c>
      <c r="N1615" s="19"/>
      <c r="O1615" s="19"/>
      <c r="P1615" s="19" t="s">
        <v>5367</v>
      </c>
      <c r="Q1615" s="19" t="s">
        <v>1236</v>
      </c>
      <c r="R1615" s="21" t="n">
        <v>45804</v>
      </c>
      <c r="S1615" s="19" t="s">
        <v>5368</v>
      </c>
      <c r="T1615" s="19" t="s">
        <v>5369</v>
      </c>
      <c r="U1615" s="19" t="str">
        <f aca="false">HYPERLINK("https://macaulaylibrary.org/asset/637857687","Open")</f>
        <v>Open</v>
      </c>
      <c r="V1615" s="19"/>
    </row>
    <row r="1616" customFormat="false" ht="15" hidden="false" customHeight="false" outlineLevel="0" collapsed="false">
      <c r="A1616" s="19" t="s">
        <v>5370</v>
      </c>
      <c r="B1616" s="19" t="s">
        <v>943</v>
      </c>
      <c r="C1616" s="19" t="s">
        <v>944</v>
      </c>
      <c r="D1616" s="19" t="s">
        <v>148</v>
      </c>
      <c r="E1616" s="19" t="s">
        <v>147</v>
      </c>
      <c r="F1616" s="19" t="s">
        <v>240</v>
      </c>
      <c r="G1616" s="19" t="n">
        <v>186</v>
      </c>
      <c r="H1616" s="19" t="s">
        <v>241</v>
      </c>
      <c r="I1616" s="20" t="n">
        <v>56.96</v>
      </c>
      <c r="J1616" s="19" t="n">
        <f aca="false">IF(I1616="","",MIN(Overview!$B$8,MAX(1,CEILING(I1616/Overview!$B$7,1))))</f>
        <v>12</v>
      </c>
      <c r="K1616" s="19" t="n">
        <v>1</v>
      </c>
      <c r="L1616" s="19"/>
      <c r="M1616" s="20" t="n">
        <v>4</v>
      </c>
      <c r="N1616" s="19"/>
      <c r="O1616" s="19"/>
      <c r="P1616" s="19" t="s">
        <v>964</v>
      </c>
      <c r="Q1616" s="19" t="s">
        <v>965</v>
      </c>
      <c r="R1616" s="21" t="n">
        <v>46011</v>
      </c>
      <c r="S1616" s="19" t="s">
        <v>966</v>
      </c>
      <c r="T1616" s="19" t="s">
        <v>5371</v>
      </c>
      <c r="U1616" s="19" t="str">
        <f aca="false">HYPERLINK("https://macaulaylibrary.org/asset/647448245","Open")</f>
        <v>Open</v>
      </c>
      <c r="V1616" s="19"/>
    </row>
    <row r="1617" customFormat="false" ht="15" hidden="false" customHeight="false" outlineLevel="0" collapsed="false">
      <c r="A1617" s="19" t="s">
        <v>5372</v>
      </c>
      <c r="B1617" s="19" t="s">
        <v>943</v>
      </c>
      <c r="C1617" s="19" t="s">
        <v>944</v>
      </c>
      <c r="D1617" s="19" t="s">
        <v>148</v>
      </c>
      <c r="E1617" s="19" t="s">
        <v>147</v>
      </c>
      <c r="F1617" s="19" t="s">
        <v>240</v>
      </c>
      <c r="G1617" s="19" t="n">
        <v>186</v>
      </c>
      <c r="H1617" s="19" t="s">
        <v>241</v>
      </c>
      <c r="I1617" s="20" t="n">
        <v>60.183</v>
      </c>
      <c r="J1617" s="19" t="n">
        <f aca="false">IF(I1617="","",MIN(Overview!$B$8,MAX(1,CEILING(I1617/Overview!$B$7,1))))</f>
        <v>13</v>
      </c>
      <c r="K1617" s="19" t="n">
        <v>1</v>
      </c>
      <c r="L1617" s="19"/>
      <c r="M1617" s="20"/>
      <c r="N1617" s="19"/>
      <c r="O1617" s="19"/>
      <c r="P1617" s="19" t="s">
        <v>1351</v>
      </c>
      <c r="Q1617" s="19" t="s">
        <v>1352</v>
      </c>
      <c r="R1617" s="21" t="n">
        <v>46218</v>
      </c>
      <c r="S1617" s="19" t="s">
        <v>1353</v>
      </c>
      <c r="T1617" s="19" t="s">
        <v>5373</v>
      </c>
      <c r="U1617" s="19" t="str">
        <f aca="false">HYPERLINK("https://macaulaylibrary.org/asset/661386363","Open")</f>
        <v>Open</v>
      </c>
      <c r="V1617" s="19"/>
    </row>
    <row r="1618" customFormat="false" ht="15" hidden="false" customHeight="false" outlineLevel="0" collapsed="false">
      <c r="A1618" s="19" t="s">
        <v>5374</v>
      </c>
      <c r="B1618" s="19" t="s">
        <v>943</v>
      </c>
      <c r="C1618" s="19" t="s">
        <v>944</v>
      </c>
      <c r="D1618" s="19" t="s">
        <v>148</v>
      </c>
      <c r="E1618" s="19" t="s">
        <v>147</v>
      </c>
      <c r="F1618" s="19" t="s">
        <v>240</v>
      </c>
      <c r="G1618" s="19" t="n">
        <v>186</v>
      </c>
      <c r="H1618" s="19" t="s">
        <v>241</v>
      </c>
      <c r="I1618" s="20" t="n">
        <v>25.783</v>
      </c>
      <c r="J1618" s="19" t="n">
        <f aca="false">IF(I1618="","",MIN(Overview!$B$8,MAX(1,CEILING(I1618/Overview!$B$7,1))))</f>
        <v>6</v>
      </c>
      <c r="K1618" s="19" t="n">
        <v>1</v>
      </c>
      <c r="L1618" s="19"/>
      <c r="M1618" s="20" t="n">
        <v>2</v>
      </c>
      <c r="N1618" s="19"/>
      <c r="O1618" s="19"/>
      <c r="P1618" s="19" t="s">
        <v>2229</v>
      </c>
      <c r="Q1618" s="19" t="s">
        <v>1397</v>
      </c>
      <c r="R1618" s="21" t="n">
        <v>46218</v>
      </c>
      <c r="S1618" s="19" t="s">
        <v>1353</v>
      </c>
      <c r="T1618" s="19" t="s">
        <v>5375</v>
      </c>
      <c r="U1618" s="19" t="str">
        <f aca="false">HYPERLINK("https://macaulaylibrary.org/asset/661712326","Open")</f>
        <v>Open</v>
      </c>
      <c r="V1618" s="19"/>
    </row>
    <row r="1619" customFormat="false" ht="15" hidden="false" customHeight="false" outlineLevel="0" collapsed="false">
      <c r="A1619" s="19" t="s">
        <v>5376</v>
      </c>
      <c r="B1619" s="19" t="s">
        <v>943</v>
      </c>
      <c r="C1619" s="19" t="s">
        <v>944</v>
      </c>
      <c r="D1619" s="19" t="s">
        <v>148</v>
      </c>
      <c r="E1619" s="19" t="s">
        <v>147</v>
      </c>
      <c r="F1619" s="19" t="s">
        <v>240</v>
      </c>
      <c r="G1619" s="19" t="n">
        <v>186</v>
      </c>
      <c r="H1619" s="19" t="s">
        <v>241</v>
      </c>
      <c r="I1619" s="20" t="n">
        <v>17.793</v>
      </c>
      <c r="J1619" s="19" t="n">
        <f aca="false">IF(I1619="","",MIN(Overview!$B$8,MAX(1,CEILING(I1619/Overview!$B$7,1))))</f>
        <v>4</v>
      </c>
      <c r="K1619" s="19" t="n">
        <v>1</v>
      </c>
      <c r="L1619" s="19"/>
      <c r="M1619" s="20" t="n">
        <v>5</v>
      </c>
      <c r="N1619" s="19"/>
      <c r="O1619" s="19"/>
      <c r="P1619" s="19" t="s">
        <v>5377</v>
      </c>
      <c r="Q1619" s="19" t="s">
        <v>1620</v>
      </c>
      <c r="R1619" s="21" t="n">
        <v>46146</v>
      </c>
      <c r="S1619" s="19" t="s">
        <v>2159</v>
      </c>
      <c r="T1619" s="19" t="s">
        <v>5378</v>
      </c>
      <c r="U1619" s="19" t="str">
        <f aca="false">HYPERLINK("https://macaulaylibrary.org/asset/662400056","Open")</f>
        <v>Open</v>
      </c>
      <c r="V1619" s="19"/>
    </row>
    <row r="1620" customFormat="false" ht="15" hidden="false" customHeight="false" outlineLevel="0" collapsed="false">
      <c r="A1620" s="19" t="s">
        <v>5379</v>
      </c>
      <c r="B1620" s="19" t="s">
        <v>943</v>
      </c>
      <c r="C1620" s="19" t="s">
        <v>944</v>
      </c>
      <c r="D1620" s="19" t="s">
        <v>148</v>
      </c>
      <c r="E1620" s="19" t="s">
        <v>147</v>
      </c>
      <c r="F1620" s="19" t="s">
        <v>197</v>
      </c>
      <c r="G1620" s="19" t="n">
        <v>187</v>
      </c>
      <c r="H1620" s="19" t="s">
        <v>198</v>
      </c>
      <c r="I1620" s="20" t="n">
        <v>112.212</v>
      </c>
      <c r="J1620" s="19" t="n">
        <f aca="false">IF(I1620="","",MIN(Overview!$B$8,MAX(1,CEILING(I1620/Overview!$B$7,1))))</f>
        <v>23</v>
      </c>
      <c r="K1620" s="19" t="n">
        <v>1</v>
      </c>
      <c r="L1620" s="19"/>
      <c r="M1620" s="20" t="n">
        <v>3</v>
      </c>
      <c r="N1620" s="19"/>
      <c r="O1620" s="19"/>
      <c r="P1620" s="19" t="s">
        <v>1105</v>
      </c>
      <c r="Q1620" s="19" t="s">
        <v>1021</v>
      </c>
      <c r="R1620" s="21" t="n">
        <v>36597</v>
      </c>
      <c r="S1620" s="19" t="s">
        <v>1106</v>
      </c>
      <c r="T1620" s="19" t="s">
        <v>5380</v>
      </c>
      <c r="U1620" s="19" t="str">
        <f aca="false">HYPERLINK("https://macaulaylibrary.org/asset/147241121","Open")</f>
        <v>Open</v>
      </c>
      <c r="V1620" s="19"/>
    </row>
    <row r="1621" customFormat="false" ht="15" hidden="false" customHeight="false" outlineLevel="0" collapsed="false">
      <c r="A1621" s="19" t="s">
        <v>5381</v>
      </c>
      <c r="B1621" s="19" t="s">
        <v>943</v>
      </c>
      <c r="C1621" s="19" t="s">
        <v>944</v>
      </c>
      <c r="D1621" s="19" t="s">
        <v>148</v>
      </c>
      <c r="E1621" s="19" t="s">
        <v>147</v>
      </c>
      <c r="F1621" s="19" t="s">
        <v>197</v>
      </c>
      <c r="G1621" s="19" t="n">
        <v>187</v>
      </c>
      <c r="H1621" s="19" t="s">
        <v>198</v>
      </c>
      <c r="I1621" s="20" t="n">
        <v>70.315</v>
      </c>
      <c r="J1621" s="19" t="n">
        <f aca="false">IF(I1621="","",MIN(Overview!$B$8,MAX(1,CEILING(I1621/Overview!$B$7,1))))</f>
        <v>15</v>
      </c>
      <c r="K1621" s="19" t="n">
        <v>1</v>
      </c>
      <c r="L1621" s="19"/>
      <c r="M1621" s="20" t="n">
        <v>1.2</v>
      </c>
      <c r="N1621" s="19"/>
      <c r="O1621" s="19"/>
      <c r="P1621" s="19" t="s">
        <v>1533</v>
      </c>
      <c r="Q1621" s="19" t="s">
        <v>1110</v>
      </c>
      <c r="R1621" s="21" t="n">
        <v>36968</v>
      </c>
      <c r="S1621" s="19" t="s">
        <v>4423</v>
      </c>
      <c r="T1621" s="19" t="s">
        <v>5382</v>
      </c>
      <c r="U1621" s="19" t="str">
        <f aca="false">HYPERLINK("https://macaulaylibrary.org/asset/185742","Open")</f>
        <v>Open</v>
      </c>
      <c r="V1621" s="19" t="s">
        <v>5383</v>
      </c>
    </row>
    <row r="1622" customFormat="false" ht="15" hidden="false" customHeight="false" outlineLevel="0" collapsed="false">
      <c r="A1622" s="19" t="s">
        <v>5384</v>
      </c>
      <c r="B1622" s="19" t="s">
        <v>943</v>
      </c>
      <c r="C1622" s="19" t="s">
        <v>944</v>
      </c>
      <c r="D1622" s="19" t="s">
        <v>148</v>
      </c>
      <c r="E1622" s="19" t="s">
        <v>147</v>
      </c>
      <c r="F1622" s="19" t="s">
        <v>197</v>
      </c>
      <c r="G1622" s="19" t="n">
        <v>187</v>
      </c>
      <c r="H1622" s="19" t="s">
        <v>198</v>
      </c>
      <c r="I1622" s="20" t="n">
        <v>98.057</v>
      </c>
      <c r="J1622" s="19" t="n">
        <f aca="false">IF(I1622="","",MIN(Overview!$B$8,MAX(1,CEILING(I1622/Overview!$B$7,1))))</f>
        <v>20</v>
      </c>
      <c r="K1622" s="19" t="n">
        <v>1</v>
      </c>
      <c r="L1622" s="19"/>
      <c r="M1622" s="20" t="n">
        <v>2</v>
      </c>
      <c r="N1622" s="19"/>
      <c r="O1622" s="19"/>
      <c r="P1622" s="19" t="s">
        <v>1097</v>
      </c>
      <c r="Q1622" s="19" t="s">
        <v>980</v>
      </c>
      <c r="R1622" s="21" t="n">
        <v>32553</v>
      </c>
      <c r="S1622" s="19"/>
      <c r="T1622" s="19" t="s">
        <v>5385</v>
      </c>
      <c r="U1622" s="19" t="str">
        <f aca="false">HYPERLINK("https://macaulaylibrary.org/asset/215319","Open")</f>
        <v>Open</v>
      </c>
      <c r="V1622" s="19" t="s">
        <v>5383</v>
      </c>
    </row>
    <row r="1623" customFormat="false" ht="15" hidden="false" customHeight="false" outlineLevel="0" collapsed="false">
      <c r="A1623" s="19" t="s">
        <v>5386</v>
      </c>
      <c r="B1623" s="19" t="s">
        <v>943</v>
      </c>
      <c r="C1623" s="19" t="s">
        <v>944</v>
      </c>
      <c r="D1623" s="19" t="s">
        <v>148</v>
      </c>
      <c r="E1623" s="19" t="s">
        <v>147</v>
      </c>
      <c r="F1623" s="19" t="s">
        <v>197</v>
      </c>
      <c r="G1623" s="19" t="n">
        <v>187</v>
      </c>
      <c r="H1623" s="19" t="s">
        <v>198</v>
      </c>
      <c r="I1623" s="20" t="n">
        <v>119.378</v>
      </c>
      <c r="J1623" s="19" t="n">
        <f aca="false">IF(I1623="","",MIN(Overview!$B$8,MAX(1,CEILING(I1623/Overview!$B$7,1))))</f>
        <v>24</v>
      </c>
      <c r="K1623" s="19" t="n">
        <v>1</v>
      </c>
      <c r="L1623" s="19"/>
      <c r="M1623" s="20" t="n">
        <v>3.5</v>
      </c>
      <c r="N1623" s="19"/>
      <c r="O1623" s="19"/>
      <c r="P1623" s="19" t="s">
        <v>4763</v>
      </c>
      <c r="Q1623" s="19" t="s">
        <v>4764</v>
      </c>
      <c r="R1623" s="21" t="n">
        <v>38422</v>
      </c>
      <c r="S1623" s="19" t="s">
        <v>1002</v>
      </c>
      <c r="T1623" s="19" t="s">
        <v>5387</v>
      </c>
      <c r="U1623" s="19" t="str">
        <f aca="false">HYPERLINK("https://macaulaylibrary.org/asset/228672001","Open")</f>
        <v>Open</v>
      </c>
      <c r="V1623" s="19"/>
    </row>
    <row r="1624" customFormat="false" ht="15" hidden="false" customHeight="false" outlineLevel="0" collapsed="false">
      <c r="A1624" s="19" t="s">
        <v>5388</v>
      </c>
      <c r="B1624" s="19" t="s">
        <v>943</v>
      </c>
      <c r="C1624" s="19" t="s">
        <v>944</v>
      </c>
      <c r="D1624" s="19" t="s">
        <v>148</v>
      </c>
      <c r="E1624" s="19" t="s">
        <v>147</v>
      </c>
      <c r="F1624" s="19" t="s">
        <v>197</v>
      </c>
      <c r="G1624" s="19" t="n">
        <v>187</v>
      </c>
      <c r="H1624" s="19" t="s">
        <v>198</v>
      </c>
      <c r="I1624" s="20" t="n">
        <v>112.528</v>
      </c>
      <c r="J1624" s="19" t="n">
        <f aca="false">IF(I1624="","",MIN(Overview!$B$8,MAX(1,CEILING(I1624/Overview!$B$7,1))))</f>
        <v>23</v>
      </c>
      <c r="K1624" s="19" t="n">
        <v>1</v>
      </c>
      <c r="L1624" s="19"/>
      <c r="M1624" s="20" t="n">
        <v>2</v>
      </c>
      <c r="N1624" s="19"/>
      <c r="O1624" s="19" t="s">
        <v>5389</v>
      </c>
      <c r="P1624" s="19" t="s">
        <v>3201</v>
      </c>
      <c r="Q1624" s="19" t="s">
        <v>1136</v>
      </c>
      <c r="R1624" s="21" t="n">
        <v>29739</v>
      </c>
      <c r="S1624" s="19" t="s">
        <v>1534</v>
      </c>
      <c r="T1624" s="19" t="s">
        <v>5390</v>
      </c>
      <c r="U1624" s="19" t="str">
        <f aca="false">HYPERLINK("https://macaulaylibrary.org/asset/28108","Open")</f>
        <v>Open</v>
      </c>
      <c r="V1624" s="19" t="s">
        <v>5383</v>
      </c>
    </row>
    <row r="1625" customFormat="false" ht="15" hidden="false" customHeight="false" outlineLevel="0" collapsed="false">
      <c r="A1625" s="19" t="s">
        <v>5391</v>
      </c>
      <c r="B1625" s="19" t="s">
        <v>943</v>
      </c>
      <c r="C1625" s="19" t="s">
        <v>944</v>
      </c>
      <c r="D1625" s="19" t="s">
        <v>148</v>
      </c>
      <c r="E1625" s="19" t="s">
        <v>147</v>
      </c>
      <c r="F1625" s="19" t="s">
        <v>197</v>
      </c>
      <c r="G1625" s="19" t="n">
        <v>187</v>
      </c>
      <c r="H1625" s="19" t="s">
        <v>198</v>
      </c>
      <c r="I1625" s="20" t="n">
        <v>23.762</v>
      </c>
      <c r="J1625" s="19" t="n">
        <f aca="false">IF(I1625="","",MIN(Overview!$B$8,MAX(1,CEILING(I1625/Overview!$B$7,1))))</f>
        <v>5</v>
      </c>
      <c r="K1625" s="19" t="n">
        <v>1</v>
      </c>
      <c r="L1625" s="19"/>
      <c r="M1625" s="20" t="n">
        <v>1</v>
      </c>
      <c r="N1625" s="19"/>
      <c r="O1625" s="19"/>
      <c r="P1625" s="19" t="s">
        <v>1135</v>
      </c>
      <c r="Q1625" s="19" t="s">
        <v>1136</v>
      </c>
      <c r="R1625" s="21" t="n">
        <v>29735</v>
      </c>
      <c r="S1625" s="19" t="s">
        <v>1302</v>
      </c>
      <c r="T1625" s="19" t="s">
        <v>5392</v>
      </c>
      <c r="U1625" s="19" t="str">
        <f aca="false">HYPERLINK("https://macaulaylibrary.org/asset/28141","Open")</f>
        <v>Open</v>
      </c>
      <c r="V1625" s="19" t="s">
        <v>5383</v>
      </c>
    </row>
    <row r="1626" customFormat="false" ht="15" hidden="false" customHeight="false" outlineLevel="0" collapsed="false">
      <c r="A1626" s="19" t="s">
        <v>5393</v>
      </c>
      <c r="B1626" s="19" t="s">
        <v>943</v>
      </c>
      <c r="C1626" s="19" t="s">
        <v>944</v>
      </c>
      <c r="D1626" s="19" t="s">
        <v>148</v>
      </c>
      <c r="E1626" s="19" t="s">
        <v>147</v>
      </c>
      <c r="F1626" s="19" t="s">
        <v>197</v>
      </c>
      <c r="G1626" s="19" t="n">
        <v>187</v>
      </c>
      <c r="H1626" s="19" t="s">
        <v>198</v>
      </c>
      <c r="I1626" s="20" t="n">
        <v>63.759</v>
      </c>
      <c r="J1626" s="19" t="n">
        <f aca="false">IF(I1626="","",MIN(Overview!$B$8,MAX(1,CEILING(I1626/Overview!$B$7,1))))</f>
        <v>13</v>
      </c>
      <c r="K1626" s="19" t="n">
        <v>1</v>
      </c>
      <c r="L1626" s="19"/>
      <c r="M1626" s="20" t="n">
        <v>1</v>
      </c>
      <c r="N1626" s="19"/>
      <c r="O1626" s="19" t="s">
        <v>151</v>
      </c>
      <c r="P1626" s="19" t="s">
        <v>1135</v>
      </c>
      <c r="Q1626" s="19" t="s">
        <v>1136</v>
      </c>
      <c r="R1626" s="21" t="n">
        <v>29735</v>
      </c>
      <c r="S1626" s="19" t="s">
        <v>4432</v>
      </c>
      <c r="T1626" s="19" t="s">
        <v>5394</v>
      </c>
      <c r="U1626" s="19" t="str">
        <f aca="false">HYPERLINK("https://macaulaylibrary.org/asset/28142","Open")</f>
        <v>Open</v>
      </c>
      <c r="V1626" s="19" t="s">
        <v>5383</v>
      </c>
    </row>
    <row r="1627" customFormat="false" ht="15" hidden="false" customHeight="false" outlineLevel="0" collapsed="false">
      <c r="A1627" s="19" t="s">
        <v>5395</v>
      </c>
      <c r="B1627" s="19" t="s">
        <v>943</v>
      </c>
      <c r="C1627" s="19" t="s">
        <v>944</v>
      </c>
      <c r="D1627" s="19" t="s">
        <v>148</v>
      </c>
      <c r="E1627" s="19" t="s">
        <v>147</v>
      </c>
      <c r="F1627" s="19" t="s">
        <v>197</v>
      </c>
      <c r="G1627" s="19" t="n">
        <v>187</v>
      </c>
      <c r="H1627" s="19" t="s">
        <v>198</v>
      </c>
      <c r="I1627" s="20" t="n">
        <v>86.811</v>
      </c>
      <c r="J1627" s="19" t="n">
        <f aca="false">IF(I1627="","",MIN(Overview!$B$8,MAX(1,CEILING(I1627/Overview!$B$7,1))))</f>
        <v>18</v>
      </c>
      <c r="K1627" s="19" t="n">
        <v>1</v>
      </c>
      <c r="L1627" s="19"/>
      <c r="M1627" s="20"/>
      <c r="N1627" s="19"/>
      <c r="O1627" s="19"/>
      <c r="P1627" s="19" t="s">
        <v>1140</v>
      </c>
      <c r="Q1627" s="19" t="s">
        <v>1030</v>
      </c>
      <c r="R1627" s="21" t="n">
        <v>40250</v>
      </c>
      <c r="S1627" s="19" t="s">
        <v>1936</v>
      </c>
      <c r="T1627" s="19" t="s">
        <v>5396</v>
      </c>
      <c r="U1627" s="19" t="str">
        <f aca="false">HYPERLINK("https://macaulaylibrary.org/asset/299579","Open")</f>
        <v>Open</v>
      </c>
      <c r="V1627" s="19"/>
    </row>
    <row r="1628" customFormat="false" ht="15" hidden="false" customHeight="false" outlineLevel="0" collapsed="false">
      <c r="A1628" s="19" t="s">
        <v>5397</v>
      </c>
      <c r="B1628" s="19" t="s">
        <v>943</v>
      </c>
      <c r="C1628" s="19" t="s">
        <v>944</v>
      </c>
      <c r="D1628" s="19" t="s">
        <v>148</v>
      </c>
      <c r="E1628" s="19" t="s">
        <v>147</v>
      </c>
      <c r="F1628" s="19" t="s">
        <v>197</v>
      </c>
      <c r="G1628" s="19" t="n">
        <v>187</v>
      </c>
      <c r="H1628" s="19" t="s">
        <v>198</v>
      </c>
      <c r="I1628" s="20" t="n">
        <v>24.452</v>
      </c>
      <c r="J1628" s="19" t="n">
        <f aca="false">IF(I1628="","",MIN(Overview!$B$8,MAX(1,CEILING(I1628/Overview!$B$7,1))))</f>
        <v>5</v>
      </c>
      <c r="K1628" s="19" t="n">
        <v>1</v>
      </c>
      <c r="L1628" s="19"/>
      <c r="M1628" s="20" t="n">
        <v>3.33</v>
      </c>
      <c r="N1628" s="19"/>
      <c r="O1628" s="19"/>
      <c r="P1628" s="19" t="s">
        <v>2381</v>
      </c>
      <c r="Q1628" s="19" t="s">
        <v>1408</v>
      </c>
      <c r="R1628" s="21" t="n">
        <v>32098</v>
      </c>
      <c r="S1628" s="19" t="s">
        <v>1009</v>
      </c>
      <c r="T1628" s="19" t="s">
        <v>5398</v>
      </c>
      <c r="U1628" s="19" t="str">
        <f aca="false">HYPERLINK("https://macaulaylibrary.org/asset/338487481","Open")</f>
        <v>Open</v>
      </c>
      <c r="V1628" s="19"/>
    </row>
    <row r="1629" customFormat="false" ht="15" hidden="false" customHeight="false" outlineLevel="0" collapsed="false">
      <c r="A1629" s="19" t="s">
        <v>5399</v>
      </c>
      <c r="B1629" s="19" t="s">
        <v>943</v>
      </c>
      <c r="C1629" s="19" t="s">
        <v>944</v>
      </c>
      <c r="D1629" s="19" t="s">
        <v>148</v>
      </c>
      <c r="E1629" s="19" t="s">
        <v>147</v>
      </c>
      <c r="F1629" s="19" t="s">
        <v>197</v>
      </c>
      <c r="G1629" s="19" t="n">
        <v>187</v>
      </c>
      <c r="H1629" s="19" t="s">
        <v>198</v>
      </c>
      <c r="I1629" s="20" t="n">
        <v>65.63</v>
      </c>
      <c r="J1629" s="19" t="n">
        <f aca="false">IF(I1629="","",MIN(Overview!$B$8,MAX(1,CEILING(I1629/Overview!$B$7,1))))</f>
        <v>14</v>
      </c>
      <c r="K1629" s="19" t="n">
        <v>1</v>
      </c>
      <c r="L1629" s="19"/>
      <c r="M1629" s="20" t="n">
        <v>2</v>
      </c>
      <c r="N1629" s="19"/>
      <c r="O1629" s="19"/>
      <c r="P1629" s="19" t="s">
        <v>1360</v>
      </c>
      <c r="Q1629" s="19" t="s">
        <v>1076</v>
      </c>
      <c r="R1629" s="21" t="n">
        <v>43399</v>
      </c>
      <c r="S1629" s="19" t="s">
        <v>1361</v>
      </c>
      <c r="T1629" s="19" t="s">
        <v>5400</v>
      </c>
      <c r="U1629" s="19" t="str">
        <f aca="false">HYPERLINK("https://macaulaylibrary.org/asset/471206761","Open")</f>
        <v>Open</v>
      </c>
      <c r="V1629" s="19"/>
    </row>
    <row r="1630" customFormat="false" ht="15" hidden="false" customHeight="false" outlineLevel="0" collapsed="false">
      <c r="A1630" s="19" t="s">
        <v>5401</v>
      </c>
      <c r="B1630" s="19" t="s">
        <v>943</v>
      </c>
      <c r="C1630" s="19" t="s">
        <v>944</v>
      </c>
      <c r="D1630" s="19" t="s">
        <v>148</v>
      </c>
      <c r="E1630" s="19" t="s">
        <v>147</v>
      </c>
      <c r="F1630" s="19" t="s">
        <v>197</v>
      </c>
      <c r="G1630" s="19" t="n">
        <v>187</v>
      </c>
      <c r="H1630" s="19" t="s">
        <v>198</v>
      </c>
      <c r="I1630" s="20" t="n">
        <v>17.407</v>
      </c>
      <c r="J1630" s="19" t="n">
        <f aca="false">IF(I1630="","",MIN(Overview!$B$8,MAX(1,CEILING(I1630/Overview!$B$7,1))))</f>
        <v>4</v>
      </c>
      <c r="K1630" s="19" t="n">
        <v>1</v>
      </c>
      <c r="L1630" s="19"/>
      <c r="M1630" s="20" t="n">
        <v>3</v>
      </c>
      <c r="N1630" s="19"/>
      <c r="O1630" s="19"/>
      <c r="P1630" s="19" t="s">
        <v>1686</v>
      </c>
      <c r="Q1630" s="19" t="s">
        <v>1687</v>
      </c>
      <c r="R1630" s="21" t="n">
        <v>42786</v>
      </c>
      <c r="S1630" s="19" t="s">
        <v>1688</v>
      </c>
      <c r="T1630" s="19" t="s">
        <v>5402</v>
      </c>
      <c r="U1630" s="19" t="str">
        <f aca="false">HYPERLINK("https://macaulaylibrary.org/asset/49769711","Open")</f>
        <v>Open</v>
      </c>
      <c r="V1630" s="19"/>
    </row>
    <row r="1631" customFormat="false" ht="15" hidden="false" customHeight="false" outlineLevel="0" collapsed="false">
      <c r="A1631" s="19" t="s">
        <v>5403</v>
      </c>
      <c r="B1631" s="19" t="s">
        <v>943</v>
      </c>
      <c r="C1631" s="19" t="s">
        <v>944</v>
      </c>
      <c r="D1631" s="19" t="s">
        <v>148</v>
      </c>
      <c r="E1631" s="19" t="s">
        <v>147</v>
      </c>
      <c r="F1631" s="19" t="s">
        <v>197</v>
      </c>
      <c r="G1631" s="19" t="n">
        <v>187</v>
      </c>
      <c r="H1631" s="19" t="s">
        <v>198</v>
      </c>
      <c r="I1631" s="20" t="n">
        <v>13.525</v>
      </c>
      <c r="J1631" s="19" t="n">
        <f aca="false">IF(I1631="","",MIN(Overview!$B$8,MAX(1,CEILING(I1631/Overview!$B$7,1))))</f>
        <v>3</v>
      </c>
      <c r="K1631" s="19" t="n">
        <v>1</v>
      </c>
      <c r="L1631" s="19"/>
      <c r="M1631" s="20" t="n">
        <v>3</v>
      </c>
      <c r="N1631" s="19"/>
      <c r="O1631" s="19"/>
      <c r="P1631" s="19" t="s">
        <v>1414</v>
      </c>
      <c r="Q1631" s="19" t="s">
        <v>1204</v>
      </c>
      <c r="R1631" s="21" t="n">
        <v>44608</v>
      </c>
      <c r="S1631" s="19" t="s">
        <v>1415</v>
      </c>
      <c r="T1631" s="19" t="s">
        <v>5404</v>
      </c>
      <c r="U1631" s="19" t="str">
        <f aca="false">HYPERLINK("https://macaulaylibrary.org/asset/531097691","Open")</f>
        <v>Open</v>
      </c>
      <c r="V1631" s="19"/>
    </row>
    <row r="1632" customFormat="false" ht="15" hidden="false" customHeight="false" outlineLevel="0" collapsed="false">
      <c r="A1632" s="19" t="s">
        <v>5405</v>
      </c>
      <c r="B1632" s="19" t="s">
        <v>943</v>
      </c>
      <c r="C1632" s="19" t="s">
        <v>944</v>
      </c>
      <c r="D1632" s="19" t="s">
        <v>148</v>
      </c>
      <c r="E1632" s="19" t="s">
        <v>147</v>
      </c>
      <c r="F1632" s="19" t="s">
        <v>197</v>
      </c>
      <c r="G1632" s="19" t="n">
        <v>187</v>
      </c>
      <c r="H1632" s="19" t="s">
        <v>198</v>
      </c>
      <c r="I1632" s="20" t="n">
        <v>21.907</v>
      </c>
      <c r="J1632" s="19" t="n">
        <f aca="false">IF(I1632="","",MIN(Overview!$B$8,MAX(1,CEILING(I1632/Overview!$B$7,1))))</f>
        <v>5</v>
      </c>
      <c r="K1632" s="19" t="n">
        <v>1</v>
      </c>
      <c r="L1632" s="19"/>
      <c r="M1632" s="20" t="n">
        <v>2</v>
      </c>
      <c r="N1632" s="19"/>
      <c r="O1632" s="19"/>
      <c r="P1632" s="19" t="s">
        <v>2190</v>
      </c>
      <c r="Q1632" s="19" t="s">
        <v>1204</v>
      </c>
      <c r="R1632" s="21" t="n">
        <v>44612</v>
      </c>
      <c r="S1632" s="19" t="s">
        <v>1969</v>
      </c>
      <c r="T1632" s="19" t="s">
        <v>5406</v>
      </c>
      <c r="U1632" s="19" t="str">
        <f aca="false">HYPERLINK("https://macaulaylibrary.org/asset/531239851","Open")</f>
        <v>Open</v>
      </c>
      <c r="V1632" s="19"/>
    </row>
    <row r="1633" customFormat="false" ht="15" hidden="false" customHeight="false" outlineLevel="0" collapsed="false">
      <c r="A1633" s="19" t="s">
        <v>5407</v>
      </c>
      <c r="B1633" s="19" t="s">
        <v>943</v>
      </c>
      <c r="C1633" s="19" t="s">
        <v>944</v>
      </c>
      <c r="D1633" s="19" t="s">
        <v>148</v>
      </c>
      <c r="E1633" s="19" t="s">
        <v>147</v>
      </c>
      <c r="F1633" s="19" t="s">
        <v>197</v>
      </c>
      <c r="G1633" s="19" t="n">
        <v>187</v>
      </c>
      <c r="H1633" s="19" t="s">
        <v>198</v>
      </c>
      <c r="I1633" s="20" t="n">
        <v>27.669</v>
      </c>
      <c r="J1633" s="19" t="n">
        <f aca="false">IF(I1633="","",MIN(Overview!$B$8,MAX(1,CEILING(I1633/Overview!$B$7,1))))</f>
        <v>6</v>
      </c>
      <c r="K1633" s="19" t="n">
        <v>1</v>
      </c>
      <c r="L1633" s="19"/>
      <c r="M1633" s="20" t="n">
        <v>3.5</v>
      </c>
      <c r="N1633" s="19"/>
      <c r="O1633" s="19"/>
      <c r="P1633" s="19" t="s">
        <v>2692</v>
      </c>
      <c r="Q1633" s="19" t="s">
        <v>1148</v>
      </c>
      <c r="R1633" s="21" t="n">
        <v>45017</v>
      </c>
      <c r="S1633" s="19" t="s">
        <v>2693</v>
      </c>
      <c r="T1633" s="19" t="s">
        <v>5408</v>
      </c>
      <c r="U1633" s="19" t="str">
        <f aca="false">HYPERLINK("https://macaulaylibrary.org/asset/553696641","Open")</f>
        <v>Open</v>
      </c>
      <c r="V1633" s="19"/>
    </row>
    <row r="1634" customFormat="false" ht="15" hidden="false" customHeight="false" outlineLevel="0" collapsed="false">
      <c r="A1634" s="19" t="s">
        <v>5409</v>
      </c>
      <c r="B1634" s="19" t="s">
        <v>943</v>
      </c>
      <c r="C1634" s="19" t="s">
        <v>944</v>
      </c>
      <c r="D1634" s="19" t="s">
        <v>148</v>
      </c>
      <c r="E1634" s="19" t="s">
        <v>147</v>
      </c>
      <c r="F1634" s="19" t="s">
        <v>197</v>
      </c>
      <c r="G1634" s="19" t="n">
        <v>187</v>
      </c>
      <c r="H1634" s="19" t="s">
        <v>198</v>
      </c>
      <c r="I1634" s="20" t="n">
        <v>36.315</v>
      </c>
      <c r="J1634" s="19" t="n">
        <f aca="false">IF(I1634="","",MIN(Overview!$B$8,MAX(1,CEILING(I1634/Overview!$B$7,1))))</f>
        <v>8</v>
      </c>
      <c r="K1634" s="19" t="n">
        <v>1</v>
      </c>
      <c r="L1634" s="19"/>
      <c r="M1634" s="20" t="n">
        <v>3</v>
      </c>
      <c r="N1634" s="19"/>
      <c r="O1634" s="19"/>
      <c r="P1634" s="19" t="s">
        <v>5410</v>
      </c>
      <c r="Q1634" s="19" t="s">
        <v>2315</v>
      </c>
      <c r="R1634" s="21" t="n">
        <v>45027</v>
      </c>
      <c r="S1634" s="19" t="s">
        <v>1621</v>
      </c>
      <c r="T1634" s="19" t="s">
        <v>5411</v>
      </c>
      <c r="U1634" s="19" t="str">
        <f aca="false">HYPERLINK("https://macaulaylibrary.org/asset/587398491","Open")</f>
        <v>Open</v>
      </c>
      <c r="V1634" s="19"/>
    </row>
    <row r="1635" customFormat="false" ht="15" hidden="false" customHeight="false" outlineLevel="0" collapsed="false">
      <c r="A1635" s="19" t="s">
        <v>5412</v>
      </c>
      <c r="B1635" s="19" t="s">
        <v>943</v>
      </c>
      <c r="C1635" s="19" t="s">
        <v>944</v>
      </c>
      <c r="D1635" s="19" t="s">
        <v>148</v>
      </c>
      <c r="E1635" s="19" t="s">
        <v>147</v>
      </c>
      <c r="F1635" s="19" t="s">
        <v>197</v>
      </c>
      <c r="G1635" s="19" t="n">
        <v>187</v>
      </c>
      <c r="H1635" s="19" t="s">
        <v>198</v>
      </c>
      <c r="I1635" s="20" t="n">
        <v>13.808</v>
      </c>
      <c r="J1635" s="19" t="n">
        <f aca="false">IF(I1635="","",MIN(Overview!$B$8,MAX(1,CEILING(I1635/Overview!$B$7,1))))</f>
        <v>3</v>
      </c>
      <c r="K1635" s="19" t="n">
        <v>1</v>
      </c>
      <c r="L1635" s="19"/>
      <c r="M1635" s="20" t="n">
        <v>3</v>
      </c>
      <c r="N1635" s="19"/>
      <c r="O1635" s="19"/>
      <c r="P1635" s="19" t="s">
        <v>2398</v>
      </c>
      <c r="Q1635" s="19" t="s">
        <v>951</v>
      </c>
      <c r="R1635" s="21" t="n">
        <v>45222</v>
      </c>
      <c r="S1635" s="19" t="s">
        <v>1098</v>
      </c>
      <c r="T1635" s="19" t="s">
        <v>5413</v>
      </c>
      <c r="U1635" s="19" t="str">
        <f aca="false">HYPERLINK("https://macaulaylibrary.org/asset/610543045","Open")</f>
        <v>Open</v>
      </c>
      <c r="V1635" s="19"/>
    </row>
    <row r="1636" customFormat="false" ht="15" hidden="false" customHeight="false" outlineLevel="0" collapsed="false">
      <c r="A1636" s="19" t="s">
        <v>5414</v>
      </c>
      <c r="B1636" s="19" t="s">
        <v>943</v>
      </c>
      <c r="C1636" s="19" t="s">
        <v>944</v>
      </c>
      <c r="D1636" s="19" t="s">
        <v>148</v>
      </c>
      <c r="E1636" s="19" t="s">
        <v>147</v>
      </c>
      <c r="F1636" s="19" t="s">
        <v>197</v>
      </c>
      <c r="G1636" s="19" t="n">
        <v>187</v>
      </c>
      <c r="H1636" s="19" t="s">
        <v>198</v>
      </c>
      <c r="I1636" s="20" t="n">
        <v>15.36</v>
      </c>
      <c r="J1636" s="19" t="n">
        <f aca="false">IF(I1636="","",MIN(Overview!$B$8,MAX(1,CEILING(I1636/Overview!$B$7,1))))</f>
        <v>4</v>
      </c>
      <c r="K1636" s="19" t="n">
        <v>1</v>
      </c>
      <c r="L1636" s="19"/>
      <c r="M1636" s="20" t="n">
        <v>2</v>
      </c>
      <c r="N1636" s="19"/>
      <c r="O1636" s="19"/>
      <c r="P1636" s="19" t="s">
        <v>3170</v>
      </c>
      <c r="Q1636" s="19" t="s">
        <v>965</v>
      </c>
      <c r="R1636" s="21" t="n">
        <v>45641</v>
      </c>
      <c r="S1636" s="19" t="s">
        <v>966</v>
      </c>
      <c r="T1636" s="19" t="s">
        <v>5415</v>
      </c>
      <c r="U1636" s="19" t="str">
        <f aca="false">HYPERLINK("https://macaulaylibrary.org/asset/627958313","Open")</f>
        <v>Open</v>
      </c>
      <c r="V1636" s="19"/>
    </row>
    <row r="1637" customFormat="false" ht="15" hidden="false" customHeight="false" outlineLevel="0" collapsed="false">
      <c r="A1637" s="19" t="s">
        <v>5416</v>
      </c>
      <c r="B1637" s="19" t="s">
        <v>943</v>
      </c>
      <c r="C1637" s="19" t="s">
        <v>944</v>
      </c>
      <c r="D1637" s="19" t="s">
        <v>148</v>
      </c>
      <c r="E1637" s="19" t="s">
        <v>147</v>
      </c>
      <c r="F1637" s="19" t="s">
        <v>197</v>
      </c>
      <c r="G1637" s="19" t="n">
        <v>187</v>
      </c>
      <c r="H1637" s="19" t="s">
        <v>198</v>
      </c>
      <c r="I1637" s="20" t="n">
        <v>30.786</v>
      </c>
      <c r="J1637" s="19" t="n">
        <f aca="false">IF(I1637="","",MIN(Overview!$B$8,MAX(1,CEILING(I1637/Overview!$B$7,1))))</f>
        <v>7</v>
      </c>
      <c r="K1637" s="19" t="n">
        <v>1</v>
      </c>
      <c r="L1637" s="19"/>
      <c r="M1637" s="20"/>
      <c r="N1637" s="19"/>
      <c r="O1637" s="19"/>
      <c r="P1637" s="19" t="s">
        <v>5417</v>
      </c>
      <c r="Q1637" s="19" t="s">
        <v>2012</v>
      </c>
      <c r="R1637" s="21" t="n">
        <v>45676</v>
      </c>
      <c r="S1637" s="19" t="s">
        <v>1459</v>
      </c>
      <c r="T1637" s="19" t="s">
        <v>5418</v>
      </c>
      <c r="U1637" s="19" t="str">
        <f aca="false">HYPERLINK("https://macaulaylibrary.org/asset/630168048","Open")</f>
        <v>Open</v>
      </c>
      <c r="V1637" s="19"/>
    </row>
    <row r="1638" customFormat="false" ht="15" hidden="false" customHeight="false" outlineLevel="0" collapsed="false">
      <c r="A1638" s="19" t="s">
        <v>5419</v>
      </c>
      <c r="B1638" s="19" t="s">
        <v>943</v>
      </c>
      <c r="C1638" s="19" t="s">
        <v>944</v>
      </c>
      <c r="D1638" s="19" t="s">
        <v>148</v>
      </c>
      <c r="E1638" s="19" t="s">
        <v>147</v>
      </c>
      <c r="F1638" s="19" t="s">
        <v>197</v>
      </c>
      <c r="G1638" s="19" t="n">
        <v>187</v>
      </c>
      <c r="H1638" s="19" t="s">
        <v>198</v>
      </c>
      <c r="I1638" s="20" t="n">
        <v>27.621</v>
      </c>
      <c r="J1638" s="19" t="n">
        <f aca="false">IF(I1638="","",MIN(Overview!$B$8,MAX(1,CEILING(I1638/Overview!$B$7,1))))</f>
        <v>6</v>
      </c>
      <c r="K1638" s="19" t="n">
        <v>1</v>
      </c>
      <c r="L1638" s="19"/>
      <c r="M1638" s="20"/>
      <c r="N1638" s="19"/>
      <c r="O1638" s="19"/>
      <c r="P1638" s="19" t="s">
        <v>5420</v>
      </c>
      <c r="Q1638" s="19" t="s">
        <v>2085</v>
      </c>
      <c r="R1638" s="21" t="n">
        <v>45641</v>
      </c>
      <c r="S1638" s="19" t="s">
        <v>966</v>
      </c>
      <c r="T1638" s="19" t="s">
        <v>5421</v>
      </c>
      <c r="U1638" s="19" t="str">
        <f aca="false">HYPERLINK("https://macaulaylibrary.org/asset/632357063","Open")</f>
        <v>Open</v>
      </c>
      <c r="V1638" s="19"/>
    </row>
    <row r="1639" customFormat="false" ht="15" hidden="false" customHeight="false" outlineLevel="0" collapsed="false">
      <c r="A1639" s="19" t="s">
        <v>5422</v>
      </c>
      <c r="B1639" s="19" t="s">
        <v>943</v>
      </c>
      <c r="C1639" s="19" t="s">
        <v>944</v>
      </c>
      <c r="D1639" s="19" t="s">
        <v>148</v>
      </c>
      <c r="E1639" s="19" t="s">
        <v>147</v>
      </c>
      <c r="F1639" s="19" t="s">
        <v>197</v>
      </c>
      <c r="G1639" s="19" t="n">
        <v>187</v>
      </c>
      <c r="H1639" s="19" t="s">
        <v>198</v>
      </c>
      <c r="I1639" s="20" t="n">
        <v>16.578</v>
      </c>
      <c r="J1639" s="19" t="n">
        <f aca="false">IF(I1639="","",MIN(Overview!$B$8,MAX(1,CEILING(I1639/Overview!$B$7,1))))</f>
        <v>4</v>
      </c>
      <c r="K1639" s="19" t="n">
        <v>1</v>
      </c>
      <c r="L1639" s="19"/>
      <c r="M1639" s="20"/>
      <c r="N1639" s="19"/>
      <c r="O1639" s="19"/>
      <c r="P1639" s="19" t="s">
        <v>5423</v>
      </c>
      <c r="Q1639" s="19" t="s">
        <v>5424</v>
      </c>
      <c r="R1639" s="21" t="n">
        <v>45696</v>
      </c>
      <c r="S1639" s="19" t="s">
        <v>3737</v>
      </c>
      <c r="T1639" s="19" t="s">
        <v>5425</v>
      </c>
      <c r="U1639" s="19" t="str">
        <f aca="false">HYPERLINK("https://macaulaylibrary.org/asset/632861416","Open")</f>
        <v>Open</v>
      </c>
      <c r="V1639" s="19"/>
    </row>
    <row r="1640" customFormat="false" ht="15" hidden="false" customHeight="false" outlineLevel="0" collapsed="false">
      <c r="A1640" s="19" t="s">
        <v>5426</v>
      </c>
      <c r="B1640" s="19" t="s">
        <v>943</v>
      </c>
      <c r="C1640" s="19" t="s">
        <v>944</v>
      </c>
      <c r="D1640" s="19" t="s">
        <v>148</v>
      </c>
      <c r="E1640" s="19" t="s">
        <v>147</v>
      </c>
      <c r="F1640" s="19" t="s">
        <v>197</v>
      </c>
      <c r="G1640" s="19" t="n">
        <v>187</v>
      </c>
      <c r="H1640" s="19" t="s">
        <v>198</v>
      </c>
      <c r="I1640" s="20" t="n">
        <v>26.885</v>
      </c>
      <c r="J1640" s="19" t="n">
        <f aca="false">IF(I1640="","",MIN(Overview!$B$8,MAX(1,CEILING(I1640/Overview!$B$7,1))))</f>
        <v>6</v>
      </c>
      <c r="K1640" s="19" t="n">
        <v>1</v>
      </c>
      <c r="L1640" s="19"/>
      <c r="M1640" s="20" t="n">
        <v>3.67</v>
      </c>
      <c r="N1640" s="19"/>
      <c r="O1640" s="19" t="s">
        <v>184</v>
      </c>
      <c r="P1640" s="19" t="s">
        <v>2969</v>
      </c>
      <c r="Q1640" s="19" t="s">
        <v>2970</v>
      </c>
      <c r="R1640" s="21" t="n">
        <v>46062</v>
      </c>
      <c r="S1640" s="19" t="s">
        <v>2971</v>
      </c>
      <c r="T1640" s="19" t="s">
        <v>5427</v>
      </c>
      <c r="U1640" s="19" t="str">
        <f aca="false">HYPERLINK("https://macaulaylibrary.org/asset/650763705","Open")</f>
        <v>Open</v>
      </c>
      <c r="V1640" s="19"/>
    </row>
    <row r="1641" customFormat="false" ht="15" hidden="false" customHeight="false" outlineLevel="0" collapsed="false">
      <c r="A1641" s="19" t="s">
        <v>5428</v>
      </c>
      <c r="B1641" s="19" t="s">
        <v>943</v>
      </c>
      <c r="C1641" s="19" t="s">
        <v>944</v>
      </c>
      <c r="D1641" s="19" t="s">
        <v>148</v>
      </c>
      <c r="E1641" s="19" t="s">
        <v>147</v>
      </c>
      <c r="F1641" s="19" t="s">
        <v>197</v>
      </c>
      <c r="G1641" s="19" t="n">
        <v>187</v>
      </c>
      <c r="H1641" s="19" t="s">
        <v>198</v>
      </c>
      <c r="I1641" s="20" t="n">
        <v>42.603</v>
      </c>
      <c r="J1641" s="19" t="n">
        <f aca="false">IF(I1641="","",MIN(Overview!$B$8,MAX(1,CEILING(I1641/Overview!$B$7,1))))</f>
        <v>9</v>
      </c>
      <c r="K1641" s="19" t="n">
        <v>1</v>
      </c>
      <c r="L1641" s="19"/>
      <c r="M1641" s="20" t="n">
        <v>3</v>
      </c>
      <c r="N1641" s="19"/>
      <c r="O1641" s="19"/>
      <c r="P1641" s="19" t="s">
        <v>3425</v>
      </c>
      <c r="Q1641" s="19" t="s">
        <v>2085</v>
      </c>
      <c r="R1641" s="21" t="n">
        <v>46011</v>
      </c>
      <c r="S1641" s="19" t="s">
        <v>966</v>
      </c>
      <c r="T1641" s="19" t="s">
        <v>5429</v>
      </c>
      <c r="U1641" s="19" t="str">
        <f aca="false">HYPERLINK("https://macaulaylibrary.org/asset/652038141","Open")</f>
        <v>Open</v>
      </c>
      <c r="V1641" s="19"/>
    </row>
    <row r="1642" customFormat="false" ht="15" hidden="false" customHeight="false" outlineLevel="0" collapsed="false">
      <c r="A1642" s="19" t="s">
        <v>5430</v>
      </c>
      <c r="B1642" s="19" t="s">
        <v>943</v>
      </c>
      <c r="C1642" s="19" t="s">
        <v>944</v>
      </c>
      <c r="D1642" s="19" t="s">
        <v>148</v>
      </c>
      <c r="E1642" s="19" t="s">
        <v>147</v>
      </c>
      <c r="F1642" s="19" t="s">
        <v>197</v>
      </c>
      <c r="G1642" s="19" t="n">
        <v>187</v>
      </c>
      <c r="H1642" s="19" t="s">
        <v>198</v>
      </c>
      <c r="I1642" s="20" t="n">
        <v>7.359</v>
      </c>
      <c r="J1642" s="19" t="n">
        <f aca="false">IF(I1642="","",MIN(Overview!$B$8,MAX(1,CEILING(I1642/Overview!$B$7,1))))</f>
        <v>2</v>
      </c>
      <c r="K1642" s="19" t="n">
        <v>1</v>
      </c>
      <c r="L1642" s="19"/>
      <c r="M1642" s="20"/>
      <c r="N1642" s="19"/>
      <c r="O1642" s="19"/>
      <c r="P1642" s="19" t="s">
        <v>4417</v>
      </c>
      <c r="Q1642" s="19" t="s">
        <v>1204</v>
      </c>
      <c r="R1642" s="21" t="n">
        <v>46048</v>
      </c>
      <c r="S1642" s="19" t="s">
        <v>1621</v>
      </c>
      <c r="T1642" s="19" t="s">
        <v>5431</v>
      </c>
      <c r="U1642" s="19" t="str">
        <f aca="false">HYPERLINK("https://macaulaylibrary.org/asset/653762316","Open")</f>
        <v>Open</v>
      </c>
      <c r="V1642" s="19"/>
    </row>
    <row r="1643" customFormat="false" ht="15" hidden="false" customHeight="false" outlineLevel="0" collapsed="false">
      <c r="A1643" s="19" t="s">
        <v>5432</v>
      </c>
      <c r="B1643" s="19" t="s">
        <v>943</v>
      </c>
      <c r="C1643" s="19" t="s">
        <v>944</v>
      </c>
      <c r="D1643" s="19" t="s">
        <v>148</v>
      </c>
      <c r="E1643" s="19" t="s">
        <v>147</v>
      </c>
      <c r="F1643" s="19" t="s">
        <v>197</v>
      </c>
      <c r="G1643" s="19" t="n">
        <v>187</v>
      </c>
      <c r="H1643" s="19" t="s">
        <v>198</v>
      </c>
      <c r="I1643" s="20" t="n">
        <v>9.406</v>
      </c>
      <c r="J1643" s="19" t="n">
        <f aca="false">IF(I1643="","",MIN(Overview!$B$8,MAX(1,CEILING(I1643/Overview!$B$7,1))))</f>
        <v>2</v>
      </c>
      <c r="K1643" s="19" t="n">
        <v>1</v>
      </c>
      <c r="L1643" s="19"/>
      <c r="M1643" s="20"/>
      <c r="N1643" s="19"/>
      <c r="O1643" s="19"/>
      <c r="P1643" s="19" t="s">
        <v>1386</v>
      </c>
      <c r="Q1643" s="19" t="s">
        <v>1382</v>
      </c>
      <c r="R1643" s="21" t="n">
        <v>46103</v>
      </c>
      <c r="S1643" s="19" t="s">
        <v>1387</v>
      </c>
      <c r="T1643" s="19" t="s">
        <v>5433</v>
      </c>
      <c r="U1643" s="19" t="str">
        <f aca="false">HYPERLINK("https://macaulaylibrary.org/asset/654320065","Open")</f>
        <v>Open</v>
      </c>
      <c r="V1643" s="19"/>
    </row>
    <row r="1644" customFormat="false" ht="15" hidden="false" customHeight="false" outlineLevel="0" collapsed="false">
      <c r="A1644" s="19" t="s">
        <v>5434</v>
      </c>
      <c r="B1644" s="19" t="s">
        <v>943</v>
      </c>
      <c r="C1644" s="19" t="s">
        <v>944</v>
      </c>
      <c r="D1644" s="19" t="s">
        <v>148</v>
      </c>
      <c r="E1644" s="19" t="s">
        <v>147</v>
      </c>
      <c r="F1644" s="19" t="s">
        <v>197</v>
      </c>
      <c r="G1644" s="19" t="n">
        <v>187</v>
      </c>
      <c r="H1644" s="19" t="s">
        <v>198</v>
      </c>
      <c r="I1644" s="20" t="n">
        <v>13.923</v>
      </c>
      <c r="J1644" s="19" t="n">
        <f aca="false">IF(I1644="","",MIN(Overview!$B$8,MAX(1,CEILING(I1644/Overview!$B$7,1))))</f>
        <v>3</v>
      </c>
      <c r="K1644" s="19" t="n">
        <v>1</v>
      </c>
      <c r="L1644" s="19"/>
      <c r="M1644" s="20"/>
      <c r="N1644" s="19"/>
      <c r="O1644" s="19"/>
      <c r="P1644" s="19" t="s">
        <v>1386</v>
      </c>
      <c r="Q1644" s="19" t="s">
        <v>1382</v>
      </c>
      <c r="R1644" s="21" t="n">
        <v>46103</v>
      </c>
      <c r="S1644" s="19" t="s">
        <v>1387</v>
      </c>
      <c r="T1644" s="19" t="s">
        <v>5435</v>
      </c>
      <c r="U1644" s="19" t="str">
        <f aca="false">HYPERLINK("https://macaulaylibrary.org/asset/654320169","Open")</f>
        <v>Open</v>
      </c>
      <c r="V1644" s="19"/>
    </row>
    <row r="1645" customFormat="false" ht="15" hidden="false" customHeight="false" outlineLevel="0" collapsed="false">
      <c r="A1645" s="19" t="s">
        <v>5436</v>
      </c>
      <c r="B1645" s="19" t="s">
        <v>943</v>
      </c>
      <c r="C1645" s="19" t="s">
        <v>944</v>
      </c>
      <c r="D1645" s="19" t="s">
        <v>148</v>
      </c>
      <c r="E1645" s="19" t="s">
        <v>147</v>
      </c>
      <c r="F1645" s="19" t="s">
        <v>197</v>
      </c>
      <c r="G1645" s="19" t="n">
        <v>187</v>
      </c>
      <c r="H1645" s="19" t="s">
        <v>198</v>
      </c>
      <c r="I1645" s="20" t="n">
        <v>10.158</v>
      </c>
      <c r="J1645" s="19" t="n">
        <f aca="false">IF(I1645="","",MIN(Overview!$B$8,MAX(1,CEILING(I1645/Overview!$B$7,1))))</f>
        <v>3</v>
      </c>
      <c r="K1645" s="19" t="n">
        <v>1</v>
      </c>
      <c r="L1645" s="19"/>
      <c r="M1645" s="20"/>
      <c r="N1645" s="19"/>
      <c r="O1645" s="19"/>
      <c r="P1645" s="19" t="s">
        <v>5437</v>
      </c>
      <c r="Q1645" s="19" t="s">
        <v>1382</v>
      </c>
      <c r="R1645" s="21" t="n">
        <v>46104</v>
      </c>
      <c r="S1645" s="19" t="s">
        <v>3750</v>
      </c>
      <c r="T1645" s="19" t="s">
        <v>5438</v>
      </c>
      <c r="U1645" s="19" t="str">
        <f aca="false">HYPERLINK("https://macaulaylibrary.org/asset/654604908","Open")</f>
        <v>Open</v>
      </c>
      <c r="V1645" s="19"/>
    </row>
    <row r="1646" customFormat="false" ht="15" hidden="false" customHeight="false" outlineLevel="0" collapsed="false">
      <c r="A1646" s="19" t="s">
        <v>5439</v>
      </c>
      <c r="B1646" s="19" t="s">
        <v>943</v>
      </c>
      <c r="C1646" s="19" t="s">
        <v>944</v>
      </c>
      <c r="D1646" s="19" t="s">
        <v>148</v>
      </c>
      <c r="E1646" s="19" t="s">
        <v>147</v>
      </c>
      <c r="F1646" s="19" t="s">
        <v>197</v>
      </c>
      <c r="G1646" s="19" t="n">
        <v>187</v>
      </c>
      <c r="H1646" s="19" t="s">
        <v>198</v>
      </c>
      <c r="I1646" s="20" t="n">
        <v>80.037</v>
      </c>
      <c r="J1646" s="19" t="n">
        <f aca="false">IF(I1646="","",MIN(Overview!$B$8,MAX(1,CEILING(I1646/Overview!$B$7,1))))</f>
        <v>17</v>
      </c>
      <c r="K1646" s="19" t="n">
        <v>1</v>
      </c>
      <c r="L1646" s="19"/>
      <c r="M1646" s="20" t="n">
        <v>3.2</v>
      </c>
      <c r="N1646" s="19"/>
      <c r="O1646" s="19"/>
      <c r="P1646" s="19" t="s">
        <v>1214</v>
      </c>
      <c r="Q1646" s="19" t="s">
        <v>980</v>
      </c>
      <c r="R1646" s="21" t="n">
        <v>33300</v>
      </c>
      <c r="S1646" s="19" t="s">
        <v>1550</v>
      </c>
      <c r="T1646" s="19" t="s">
        <v>5440</v>
      </c>
      <c r="U1646" s="19" t="str">
        <f aca="false">HYPERLINK("https://macaulaylibrary.org/asset/72675","Open")</f>
        <v>Open</v>
      </c>
      <c r="V1646" s="19" t="s">
        <v>5383</v>
      </c>
    </row>
    <row r="1647" customFormat="false" ht="15" hidden="false" customHeight="false" outlineLevel="0" collapsed="false">
      <c r="A1647" s="19" t="s">
        <v>5441</v>
      </c>
      <c r="B1647" s="19" t="s">
        <v>943</v>
      </c>
      <c r="C1647" s="19" t="s">
        <v>944</v>
      </c>
      <c r="D1647" s="19" t="s">
        <v>400</v>
      </c>
      <c r="E1647" s="19" t="s">
        <v>147</v>
      </c>
      <c r="F1647" s="19" t="s">
        <v>674</v>
      </c>
      <c r="G1647" s="19" t="n">
        <v>188</v>
      </c>
      <c r="H1647" s="19" t="s">
        <v>675</v>
      </c>
      <c r="I1647" s="20" t="n">
        <v>10.204</v>
      </c>
      <c r="J1647" s="19" t="n">
        <f aca="false">IF(I1647="","",MIN(Overview!$B$8,MAX(1,CEILING(I1647/Overview!$B$7,1))))</f>
        <v>3</v>
      </c>
      <c r="K1647" s="19" t="n">
        <v>1</v>
      </c>
      <c r="L1647" s="19"/>
      <c r="M1647" s="20" t="n">
        <v>3</v>
      </c>
      <c r="N1647" s="19"/>
      <c r="O1647" s="19"/>
      <c r="P1647" s="19" t="s">
        <v>3821</v>
      </c>
      <c r="Q1647" s="19" t="s">
        <v>1158</v>
      </c>
      <c r="R1647" s="21" t="n">
        <v>45657</v>
      </c>
      <c r="S1647" s="19" t="s">
        <v>1419</v>
      </c>
      <c r="T1647" s="19" t="s">
        <v>5442</v>
      </c>
      <c r="U1647" s="19" t="str">
        <f aca="false">HYPERLINK("https://macaulaylibrary.org/asset/630218266","Open")</f>
        <v>Open</v>
      </c>
      <c r="V1647" s="19"/>
    </row>
    <row r="1648" customFormat="false" ht="15" hidden="false" customHeight="false" outlineLevel="0" collapsed="false">
      <c r="A1648" s="19" t="s">
        <v>5443</v>
      </c>
      <c r="B1648" s="19" t="s">
        <v>943</v>
      </c>
      <c r="C1648" s="19" t="s">
        <v>944</v>
      </c>
      <c r="D1648" s="19" t="s">
        <v>400</v>
      </c>
      <c r="E1648" s="19" t="s">
        <v>147</v>
      </c>
      <c r="F1648" s="19" t="s">
        <v>674</v>
      </c>
      <c r="G1648" s="19" t="n">
        <v>188</v>
      </c>
      <c r="H1648" s="19" t="s">
        <v>675</v>
      </c>
      <c r="I1648" s="20" t="n">
        <v>17.57</v>
      </c>
      <c r="J1648" s="19" t="n">
        <f aca="false">IF(I1648="","",MIN(Overview!$B$8,MAX(1,CEILING(I1648/Overview!$B$7,1))))</f>
        <v>4</v>
      </c>
      <c r="K1648" s="19" t="n">
        <v>1</v>
      </c>
      <c r="L1648" s="19"/>
      <c r="M1648" s="20" t="n">
        <v>3</v>
      </c>
      <c r="N1648" s="19"/>
      <c r="O1648" s="19" t="s">
        <v>370</v>
      </c>
      <c r="P1648" s="19" t="s">
        <v>1049</v>
      </c>
      <c r="Q1648" s="19" t="s">
        <v>1050</v>
      </c>
      <c r="R1648" s="21" t="n">
        <v>43406</v>
      </c>
      <c r="S1648" s="19" t="s">
        <v>1051</v>
      </c>
      <c r="T1648" s="19" t="s">
        <v>5444</v>
      </c>
      <c r="U1648" s="19" t="str">
        <f aca="false">HYPERLINK("https://macaulaylibrary.org/asset/662832613","Open")</f>
        <v>Open</v>
      </c>
      <c r="V1648" s="19"/>
    </row>
    <row r="1649" customFormat="false" ht="15" hidden="false" customHeight="false" outlineLevel="0" collapsed="false">
      <c r="A1649" s="19" t="s">
        <v>5445</v>
      </c>
      <c r="B1649" s="19" t="s">
        <v>943</v>
      </c>
      <c r="C1649" s="19" t="s">
        <v>944</v>
      </c>
      <c r="D1649" s="19" t="s">
        <v>148</v>
      </c>
      <c r="E1649" s="19" t="s">
        <v>147</v>
      </c>
      <c r="F1649" s="19" t="s">
        <v>323</v>
      </c>
      <c r="G1649" s="19" t="n">
        <v>189</v>
      </c>
      <c r="H1649" s="19" t="s">
        <v>324</v>
      </c>
      <c r="I1649" s="20" t="n">
        <v>33.489</v>
      </c>
      <c r="J1649" s="19" t="n">
        <f aca="false">IF(I1649="","",MIN(Overview!$B$8,MAX(1,CEILING(I1649/Overview!$B$7,1))))</f>
        <v>7</v>
      </c>
      <c r="K1649" s="19" t="n">
        <v>1</v>
      </c>
      <c r="L1649" s="19"/>
      <c r="M1649" s="20" t="n">
        <v>3</v>
      </c>
      <c r="N1649" s="19"/>
      <c r="O1649" s="19"/>
      <c r="P1649" s="19" t="s">
        <v>5446</v>
      </c>
      <c r="Q1649" s="19" t="s">
        <v>980</v>
      </c>
      <c r="R1649" s="21" t="n">
        <v>32560</v>
      </c>
      <c r="S1649" s="19"/>
      <c r="T1649" s="19" t="s">
        <v>5447</v>
      </c>
      <c r="U1649" s="19" t="str">
        <f aca="false">HYPERLINK("https://macaulaylibrary.org/asset/215442","Open")</f>
        <v>Open</v>
      </c>
      <c r="V1649" s="19" t="s">
        <v>5448</v>
      </c>
    </row>
    <row r="1650" customFormat="false" ht="15" hidden="false" customHeight="false" outlineLevel="0" collapsed="false">
      <c r="A1650" s="19" t="s">
        <v>5449</v>
      </c>
      <c r="B1650" s="19" t="s">
        <v>943</v>
      </c>
      <c r="C1650" s="19" t="s">
        <v>944</v>
      </c>
      <c r="D1650" s="19" t="s">
        <v>148</v>
      </c>
      <c r="E1650" s="19" t="s">
        <v>147</v>
      </c>
      <c r="F1650" s="19" t="s">
        <v>323</v>
      </c>
      <c r="G1650" s="19" t="n">
        <v>189</v>
      </c>
      <c r="H1650" s="19" t="s">
        <v>324</v>
      </c>
      <c r="I1650" s="20" t="n">
        <v>62.301</v>
      </c>
      <c r="J1650" s="19" t="n">
        <f aca="false">IF(I1650="","",MIN(Overview!$B$8,MAX(1,CEILING(I1650/Overview!$B$7,1))))</f>
        <v>13</v>
      </c>
      <c r="K1650" s="19" t="n">
        <v>1</v>
      </c>
      <c r="L1650" s="19"/>
      <c r="M1650" s="20" t="n">
        <v>4</v>
      </c>
      <c r="N1650" s="19"/>
      <c r="O1650" s="19" t="s">
        <v>249</v>
      </c>
      <c r="P1650" s="19" t="s">
        <v>3861</v>
      </c>
      <c r="Q1650" s="19" t="s">
        <v>1401</v>
      </c>
      <c r="R1650" s="21" t="n">
        <v>36228</v>
      </c>
      <c r="S1650" s="19" t="s">
        <v>1936</v>
      </c>
      <c r="T1650" s="19" t="s">
        <v>5450</v>
      </c>
      <c r="U1650" s="19" t="str">
        <f aca="false">HYPERLINK("https://macaulaylibrary.org/asset/240321401","Open")</f>
        <v>Open</v>
      </c>
      <c r="V1650" s="19"/>
    </row>
    <row r="1651" customFormat="false" ht="15" hidden="false" customHeight="false" outlineLevel="0" collapsed="false">
      <c r="A1651" s="19" t="s">
        <v>5451</v>
      </c>
      <c r="B1651" s="19" t="s">
        <v>943</v>
      </c>
      <c r="C1651" s="19" t="s">
        <v>944</v>
      </c>
      <c r="D1651" s="19" t="s">
        <v>148</v>
      </c>
      <c r="E1651" s="19" t="s">
        <v>147</v>
      </c>
      <c r="F1651" s="19" t="s">
        <v>323</v>
      </c>
      <c r="G1651" s="19" t="n">
        <v>189</v>
      </c>
      <c r="H1651" s="19" t="s">
        <v>324</v>
      </c>
      <c r="I1651" s="20" t="n">
        <v>24.754</v>
      </c>
      <c r="J1651" s="19" t="n">
        <f aca="false">IF(I1651="","",MIN(Overview!$B$8,MAX(1,CEILING(I1651/Overview!$B$7,1))))</f>
        <v>5</v>
      </c>
      <c r="K1651" s="19" t="n">
        <v>1</v>
      </c>
      <c r="L1651" s="19"/>
      <c r="M1651" s="20" t="n">
        <v>3</v>
      </c>
      <c r="N1651" s="19"/>
      <c r="O1651" s="19"/>
      <c r="P1651" s="19" t="s">
        <v>1029</v>
      </c>
      <c r="Q1651" s="19" t="s">
        <v>1030</v>
      </c>
      <c r="R1651" s="21" t="n">
        <v>40251</v>
      </c>
      <c r="S1651" s="19" t="s">
        <v>5452</v>
      </c>
      <c r="T1651" s="19" t="s">
        <v>5453</v>
      </c>
      <c r="U1651" s="19" t="str">
        <f aca="false">HYPERLINK("https://macaulaylibrary.org/asset/299647","Open")</f>
        <v>Open</v>
      </c>
      <c r="V1651" s="19"/>
    </row>
    <row r="1652" customFormat="false" ht="15" hidden="false" customHeight="false" outlineLevel="0" collapsed="false">
      <c r="A1652" s="19" t="s">
        <v>5454</v>
      </c>
      <c r="B1652" s="19" t="s">
        <v>943</v>
      </c>
      <c r="C1652" s="19" t="s">
        <v>944</v>
      </c>
      <c r="D1652" s="19" t="s">
        <v>148</v>
      </c>
      <c r="E1652" s="19" t="s">
        <v>147</v>
      </c>
      <c r="F1652" s="19" t="s">
        <v>323</v>
      </c>
      <c r="G1652" s="19" t="n">
        <v>189</v>
      </c>
      <c r="H1652" s="19" t="s">
        <v>324</v>
      </c>
      <c r="I1652" s="20" t="n">
        <v>8.555</v>
      </c>
      <c r="J1652" s="19" t="n">
        <f aca="false">IF(I1652="","",MIN(Overview!$B$8,MAX(1,CEILING(I1652/Overview!$B$7,1))))</f>
        <v>2</v>
      </c>
      <c r="K1652" s="19" t="n">
        <v>1</v>
      </c>
      <c r="L1652" s="19"/>
      <c r="M1652" s="20"/>
      <c r="N1652" s="19"/>
      <c r="O1652" s="19"/>
      <c r="P1652" s="19" t="s">
        <v>5455</v>
      </c>
      <c r="Q1652" s="19" t="s">
        <v>1324</v>
      </c>
      <c r="R1652" s="21" t="n">
        <v>45368</v>
      </c>
      <c r="S1652" s="19" t="s">
        <v>1872</v>
      </c>
      <c r="T1652" s="19" t="s">
        <v>5456</v>
      </c>
      <c r="U1652" s="19" t="str">
        <f aca="false">HYPERLINK("https://macaulaylibrary.org/asset/616167465","Open")</f>
        <v>Open</v>
      </c>
      <c r="V1652" s="19"/>
    </row>
    <row r="1653" customFormat="false" ht="15" hidden="false" customHeight="false" outlineLevel="0" collapsed="false">
      <c r="A1653" s="19" t="s">
        <v>5457</v>
      </c>
      <c r="B1653" s="19" t="s">
        <v>943</v>
      </c>
      <c r="C1653" s="19" t="s">
        <v>944</v>
      </c>
      <c r="D1653" s="19" t="s">
        <v>148</v>
      </c>
      <c r="E1653" s="19" t="s">
        <v>147</v>
      </c>
      <c r="F1653" s="19" t="s">
        <v>323</v>
      </c>
      <c r="G1653" s="19" t="n">
        <v>189</v>
      </c>
      <c r="H1653" s="19" t="s">
        <v>324</v>
      </c>
      <c r="I1653" s="20" t="n">
        <v>31.039</v>
      </c>
      <c r="J1653" s="19" t="n">
        <f aca="false">IF(I1653="","",MIN(Overview!$B$8,MAX(1,CEILING(I1653/Overview!$B$7,1))))</f>
        <v>7</v>
      </c>
      <c r="K1653" s="19" t="n">
        <v>1</v>
      </c>
      <c r="L1653" s="19"/>
      <c r="M1653" s="20" t="n">
        <v>2.5</v>
      </c>
      <c r="N1653" s="19"/>
      <c r="O1653" s="19"/>
      <c r="P1653" s="19" t="s">
        <v>2613</v>
      </c>
      <c r="Q1653" s="19" t="s">
        <v>1368</v>
      </c>
      <c r="R1653" s="21" t="n">
        <v>45490</v>
      </c>
      <c r="S1653" s="19" t="s">
        <v>1137</v>
      </c>
      <c r="T1653" s="19" t="s">
        <v>5458</v>
      </c>
      <c r="U1653" s="19" t="str">
        <f aca="false">HYPERLINK("https://macaulaylibrary.org/asset/623042667","Open")</f>
        <v>Open</v>
      </c>
      <c r="V1653" s="19"/>
    </row>
    <row r="1654" customFormat="false" ht="15" hidden="false" customHeight="false" outlineLevel="0" collapsed="false">
      <c r="A1654" s="19" t="s">
        <v>5459</v>
      </c>
      <c r="B1654" s="19" t="s">
        <v>943</v>
      </c>
      <c r="C1654" s="19" t="s">
        <v>944</v>
      </c>
      <c r="D1654" s="19" t="s">
        <v>148</v>
      </c>
      <c r="E1654" s="19" t="s">
        <v>147</v>
      </c>
      <c r="F1654" s="19" t="s">
        <v>323</v>
      </c>
      <c r="G1654" s="19" t="n">
        <v>189</v>
      </c>
      <c r="H1654" s="19" t="s">
        <v>324</v>
      </c>
      <c r="I1654" s="20" t="n">
        <v>59.463</v>
      </c>
      <c r="J1654" s="19" t="n">
        <f aca="false">IF(I1654="","",MIN(Overview!$B$8,MAX(1,CEILING(I1654/Overview!$B$7,1))))</f>
        <v>12</v>
      </c>
      <c r="K1654" s="19" t="n">
        <v>1</v>
      </c>
      <c r="L1654" s="19"/>
      <c r="M1654" s="20" t="n">
        <v>4.5</v>
      </c>
      <c r="N1654" s="19"/>
      <c r="O1654" s="19" t="s">
        <v>5460</v>
      </c>
      <c r="P1654" s="19" t="s">
        <v>1613</v>
      </c>
      <c r="Q1654" s="19" t="s">
        <v>1191</v>
      </c>
      <c r="R1654" s="21" t="n">
        <v>45706</v>
      </c>
      <c r="S1654" s="19" t="s">
        <v>1614</v>
      </c>
      <c r="T1654" s="19" t="s">
        <v>5461</v>
      </c>
      <c r="U1654" s="19" t="str">
        <f aca="false">HYPERLINK("https://macaulaylibrary.org/asset/630938988","Open")</f>
        <v>Open</v>
      </c>
      <c r="V1654" s="19"/>
    </row>
    <row r="1655" customFormat="false" ht="15" hidden="false" customHeight="false" outlineLevel="0" collapsed="false">
      <c r="A1655" s="19" t="s">
        <v>5462</v>
      </c>
      <c r="B1655" s="19" t="s">
        <v>943</v>
      </c>
      <c r="C1655" s="19" t="s">
        <v>944</v>
      </c>
      <c r="D1655" s="19" t="s">
        <v>148</v>
      </c>
      <c r="E1655" s="19" t="s">
        <v>147</v>
      </c>
      <c r="F1655" s="19" t="s">
        <v>323</v>
      </c>
      <c r="G1655" s="19" t="n">
        <v>189</v>
      </c>
      <c r="H1655" s="19" t="s">
        <v>324</v>
      </c>
      <c r="I1655" s="20" t="n">
        <v>21.553</v>
      </c>
      <c r="J1655" s="19" t="n">
        <f aca="false">IF(I1655="","",MIN(Overview!$B$8,MAX(1,CEILING(I1655/Overview!$B$7,1))))</f>
        <v>5</v>
      </c>
      <c r="K1655" s="19" t="n">
        <v>1</v>
      </c>
      <c r="L1655" s="19"/>
      <c r="M1655" s="20" t="n">
        <v>5</v>
      </c>
      <c r="N1655" s="19"/>
      <c r="O1655" s="19"/>
      <c r="P1655" s="19" t="s">
        <v>1811</v>
      </c>
      <c r="Q1655" s="19" t="s">
        <v>1368</v>
      </c>
      <c r="R1655" s="21" t="n">
        <v>45489</v>
      </c>
      <c r="S1655" s="19" t="s">
        <v>1081</v>
      </c>
      <c r="T1655" s="19" t="s">
        <v>5463</v>
      </c>
      <c r="U1655" s="19" t="str">
        <f aca="false">HYPERLINK("https://macaulaylibrary.org/asset/636344940","Open")</f>
        <v>Open</v>
      </c>
      <c r="V1655" s="19"/>
    </row>
    <row r="1656" customFormat="false" ht="15" hidden="false" customHeight="false" outlineLevel="0" collapsed="false">
      <c r="A1656" s="19" t="s">
        <v>5464</v>
      </c>
      <c r="B1656" s="19" t="s">
        <v>943</v>
      </c>
      <c r="C1656" s="19" t="s">
        <v>944</v>
      </c>
      <c r="D1656" s="19" t="s">
        <v>148</v>
      </c>
      <c r="E1656" s="19" t="s">
        <v>147</v>
      </c>
      <c r="F1656" s="19" t="s">
        <v>323</v>
      </c>
      <c r="G1656" s="19" t="n">
        <v>189</v>
      </c>
      <c r="H1656" s="19" t="s">
        <v>324</v>
      </c>
      <c r="I1656" s="20" t="n">
        <v>17.965</v>
      </c>
      <c r="J1656" s="19" t="n">
        <f aca="false">IF(I1656="","",MIN(Overview!$B$8,MAX(1,CEILING(I1656/Overview!$B$7,1))))</f>
        <v>4</v>
      </c>
      <c r="K1656" s="19" t="n">
        <v>1</v>
      </c>
      <c r="L1656" s="19"/>
      <c r="M1656" s="20" t="n">
        <v>5</v>
      </c>
      <c r="N1656" s="19"/>
      <c r="O1656" s="19"/>
      <c r="P1656" s="19" t="s">
        <v>2901</v>
      </c>
      <c r="Q1656" s="19" t="s">
        <v>1368</v>
      </c>
      <c r="R1656" s="21" t="n">
        <v>45624</v>
      </c>
      <c r="S1656" s="19" t="s">
        <v>1036</v>
      </c>
      <c r="T1656" s="19" t="s">
        <v>5465</v>
      </c>
      <c r="U1656" s="19" t="str">
        <f aca="false">HYPERLINK("https://macaulaylibrary.org/asset/642913203","Open")</f>
        <v>Open</v>
      </c>
      <c r="V1656" s="19"/>
    </row>
    <row r="1657" customFormat="false" ht="15" hidden="false" customHeight="false" outlineLevel="0" collapsed="false">
      <c r="A1657" s="19" t="s">
        <v>5466</v>
      </c>
      <c r="B1657" s="19" t="s">
        <v>943</v>
      </c>
      <c r="C1657" s="19" t="s">
        <v>944</v>
      </c>
      <c r="D1657" s="19" t="s">
        <v>148</v>
      </c>
      <c r="E1657" s="19" t="s">
        <v>147</v>
      </c>
      <c r="F1657" s="19" t="s">
        <v>323</v>
      </c>
      <c r="G1657" s="19" t="n">
        <v>189</v>
      </c>
      <c r="H1657" s="19" t="s">
        <v>324</v>
      </c>
      <c r="I1657" s="20" t="n">
        <v>11.922</v>
      </c>
      <c r="J1657" s="19" t="n">
        <f aca="false">IF(I1657="","",MIN(Overview!$B$8,MAX(1,CEILING(I1657/Overview!$B$7,1))))</f>
        <v>3</v>
      </c>
      <c r="K1657" s="19" t="n">
        <v>1</v>
      </c>
      <c r="L1657" s="19"/>
      <c r="M1657" s="20" t="n">
        <v>4</v>
      </c>
      <c r="N1657" s="19"/>
      <c r="O1657" s="19"/>
      <c r="P1657" s="19" t="s">
        <v>1949</v>
      </c>
      <c r="Q1657" s="19" t="s">
        <v>1368</v>
      </c>
      <c r="R1657" s="21" t="n">
        <v>45983</v>
      </c>
      <c r="S1657" s="19" t="s">
        <v>1022</v>
      </c>
      <c r="T1657" s="19" t="s">
        <v>5467</v>
      </c>
      <c r="U1657" s="19" t="str">
        <f aca="false">HYPERLINK("https://macaulaylibrary.org/asset/646457275","Open")</f>
        <v>Open</v>
      </c>
      <c r="V1657" s="19"/>
    </row>
    <row r="1658" customFormat="false" ht="15" hidden="false" customHeight="false" outlineLevel="0" collapsed="false">
      <c r="A1658" s="19" t="s">
        <v>5468</v>
      </c>
      <c r="B1658" s="19" t="s">
        <v>943</v>
      </c>
      <c r="C1658" s="19" t="s">
        <v>944</v>
      </c>
      <c r="D1658" s="19" t="s">
        <v>148</v>
      </c>
      <c r="E1658" s="19" t="s">
        <v>147</v>
      </c>
      <c r="F1658" s="19" t="s">
        <v>323</v>
      </c>
      <c r="G1658" s="19" t="n">
        <v>189</v>
      </c>
      <c r="H1658" s="19" t="s">
        <v>324</v>
      </c>
      <c r="I1658" s="20" t="n">
        <v>1.645</v>
      </c>
      <c r="J1658" s="19" t="n">
        <f aca="false">IF(I1658="","",MIN(Overview!$B$8,MAX(1,CEILING(I1658/Overview!$B$7,1))))</f>
        <v>1</v>
      </c>
      <c r="K1658" s="19" t="n">
        <v>1</v>
      </c>
      <c r="L1658" s="19" t="s">
        <v>1048</v>
      </c>
      <c r="M1658" s="20" t="n">
        <v>5</v>
      </c>
      <c r="N1658" s="19"/>
      <c r="O1658" s="19"/>
      <c r="P1658" s="19" t="s">
        <v>1462</v>
      </c>
      <c r="Q1658" s="19" t="s">
        <v>1463</v>
      </c>
      <c r="R1658" s="21" t="n">
        <v>44962</v>
      </c>
      <c r="S1658" s="19" t="s">
        <v>1464</v>
      </c>
      <c r="T1658" s="19" t="s">
        <v>5469</v>
      </c>
      <c r="U1658" s="19" t="str">
        <f aca="false">HYPERLINK("https://macaulaylibrary.org/asset/648194113","Open")</f>
        <v>Open</v>
      </c>
      <c r="V1658" s="19"/>
    </row>
    <row r="1659" customFormat="false" ht="15" hidden="false" customHeight="false" outlineLevel="0" collapsed="false">
      <c r="A1659" s="19" t="s">
        <v>5470</v>
      </c>
      <c r="B1659" s="19" t="s">
        <v>943</v>
      </c>
      <c r="C1659" s="19" t="s">
        <v>944</v>
      </c>
      <c r="D1659" s="19" t="s">
        <v>148</v>
      </c>
      <c r="E1659" s="19" t="s">
        <v>147</v>
      </c>
      <c r="F1659" s="19" t="s">
        <v>323</v>
      </c>
      <c r="G1659" s="19" t="n">
        <v>189</v>
      </c>
      <c r="H1659" s="19" t="s">
        <v>324</v>
      </c>
      <c r="I1659" s="20" t="n">
        <v>17.661</v>
      </c>
      <c r="J1659" s="19" t="n">
        <f aca="false">IF(I1659="","",MIN(Overview!$B$8,MAX(1,CEILING(I1659/Overview!$B$7,1))))</f>
        <v>4</v>
      </c>
      <c r="K1659" s="19" t="n">
        <v>1</v>
      </c>
      <c r="L1659" s="19"/>
      <c r="M1659" s="20"/>
      <c r="N1659" s="19"/>
      <c r="O1659" s="19"/>
      <c r="P1659" s="19" t="s">
        <v>1386</v>
      </c>
      <c r="Q1659" s="19" t="s">
        <v>1382</v>
      </c>
      <c r="R1659" s="21" t="n">
        <v>46103</v>
      </c>
      <c r="S1659" s="19" t="s">
        <v>1387</v>
      </c>
      <c r="T1659" s="19" t="s">
        <v>5471</v>
      </c>
      <c r="U1659" s="19" t="str">
        <f aca="false">HYPERLINK("https://macaulaylibrary.org/asset/654321523","Open")</f>
        <v>Open</v>
      </c>
      <c r="V1659" s="19"/>
    </row>
    <row r="1660" customFormat="false" ht="15" hidden="false" customHeight="false" outlineLevel="0" collapsed="false">
      <c r="A1660" s="19" t="s">
        <v>5472</v>
      </c>
      <c r="B1660" s="19" t="s">
        <v>943</v>
      </c>
      <c r="C1660" s="19" t="s">
        <v>944</v>
      </c>
      <c r="D1660" s="19" t="s">
        <v>400</v>
      </c>
      <c r="E1660" s="19" t="s">
        <v>147</v>
      </c>
      <c r="F1660" s="19" t="s">
        <v>580</v>
      </c>
      <c r="G1660" s="19" t="n">
        <v>190</v>
      </c>
      <c r="H1660" s="19" t="s">
        <v>581</v>
      </c>
      <c r="I1660" s="20" t="n">
        <v>57.341</v>
      </c>
      <c r="J1660" s="19" t="n">
        <f aca="false">IF(I1660="","",MIN(Overview!$B$8,MAX(1,CEILING(I1660/Overview!$B$7,1))))</f>
        <v>12</v>
      </c>
      <c r="K1660" s="19" t="n">
        <v>1</v>
      </c>
      <c r="L1660" s="19"/>
      <c r="M1660" s="20" t="n">
        <v>3</v>
      </c>
      <c r="N1660" s="19"/>
      <c r="O1660" s="19"/>
      <c r="P1660" s="19" t="s">
        <v>3192</v>
      </c>
      <c r="Q1660" s="19" t="s">
        <v>1401</v>
      </c>
      <c r="R1660" s="21" t="n">
        <v>36954</v>
      </c>
      <c r="S1660" s="19" t="s">
        <v>1009</v>
      </c>
      <c r="T1660" s="19" t="s">
        <v>5473</v>
      </c>
      <c r="U1660" s="19" t="str">
        <f aca="false">HYPERLINK("https://macaulaylibrary.org/asset/127988001","Open")</f>
        <v>Open</v>
      </c>
      <c r="V1660" s="19"/>
    </row>
    <row r="1661" customFormat="false" ht="15" hidden="false" customHeight="false" outlineLevel="0" collapsed="false">
      <c r="A1661" s="19" t="s">
        <v>5474</v>
      </c>
      <c r="B1661" s="19" t="s">
        <v>943</v>
      </c>
      <c r="C1661" s="19" t="s">
        <v>944</v>
      </c>
      <c r="D1661" s="19" t="s">
        <v>400</v>
      </c>
      <c r="E1661" s="19" t="s">
        <v>147</v>
      </c>
      <c r="F1661" s="19" t="s">
        <v>580</v>
      </c>
      <c r="G1661" s="19" t="n">
        <v>190</v>
      </c>
      <c r="H1661" s="19" t="s">
        <v>581</v>
      </c>
      <c r="I1661" s="20" t="n">
        <v>40.916</v>
      </c>
      <c r="J1661" s="19" t="n">
        <f aca="false">IF(I1661="","",MIN(Overview!$B$8,MAX(1,CEILING(I1661/Overview!$B$7,1))))</f>
        <v>9</v>
      </c>
      <c r="K1661" s="19" t="n">
        <v>1</v>
      </c>
      <c r="L1661" s="19"/>
      <c r="M1661" s="20" t="n">
        <v>1</v>
      </c>
      <c r="N1661" s="19"/>
      <c r="O1661" s="19"/>
      <c r="P1661" s="19" t="s">
        <v>3717</v>
      </c>
      <c r="Q1661" s="19" t="s">
        <v>2343</v>
      </c>
      <c r="R1661" s="21" t="n">
        <v>31505</v>
      </c>
      <c r="S1661" s="19" t="s">
        <v>1387</v>
      </c>
      <c r="T1661" s="19" t="s">
        <v>5475</v>
      </c>
      <c r="U1661" s="19" t="str">
        <f aca="false">HYPERLINK("https://macaulaylibrary.org/asset/249448","Open")</f>
        <v>Open</v>
      </c>
      <c r="V1661" s="19"/>
    </row>
    <row r="1662" customFormat="false" ht="15" hidden="false" customHeight="false" outlineLevel="0" collapsed="false">
      <c r="A1662" s="19" t="s">
        <v>5476</v>
      </c>
      <c r="B1662" s="19" t="s">
        <v>943</v>
      </c>
      <c r="C1662" s="19" t="s">
        <v>944</v>
      </c>
      <c r="D1662" s="19" t="s">
        <v>400</v>
      </c>
      <c r="E1662" s="19" t="s">
        <v>147</v>
      </c>
      <c r="F1662" s="19" t="s">
        <v>580</v>
      </c>
      <c r="G1662" s="19" t="n">
        <v>190</v>
      </c>
      <c r="H1662" s="19" t="s">
        <v>581</v>
      </c>
      <c r="I1662" s="20" t="n">
        <v>13.678</v>
      </c>
      <c r="J1662" s="19" t="n">
        <f aca="false">IF(I1662="","",MIN(Overview!$B$8,MAX(1,CEILING(I1662/Overview!$B$7,1))))</f>
        <v>3</v>
      </c>
      <c r="K1662" s="19" t="n">
        <v>1</v>
      </c>
      <c r="L1662" s="19"/>
      <c r="M1662" s="20" t="n">
        <v>2</v>
      </c>
      <c r="N1662" s="19"/>
      <c r="O1662" s="19"/>
      <c r="P1662" s="19" t="s">
        <v>1587</v>
      </c>
      <c r="Q1662" s="19" t="s">
        <v>1136</v>
      </c>
      <c r="R1662" s="21" t="n">
        <v>29733</v>
      </c>
      <c r="S1662" s="19" t="s">
        <v>1009</v>
      </c>
      <c r="T1662" s="19" t="s">
        <v>5477</v>
      </c>
      <c r="U1662" s="19" t="str">
        <f aca="false">HYPERLINK("https://macaulaylibrary.org/asset/28154","Open")</f>
        <v>Open</v>
      </c>
      <c r="V1662" s="19"/>
    </row>
    <row r="1663" customFormat="false" ht="15" hidden="false" customHeight="false" outlineLevel="0" collapsed="false">
      <c r="A1663" s="19" t="s">
        <v>5478</v>
      </c>
      <c r="B1663" s="19" t="s">
        <v>943</v>
      </c>
      <c r="C1663" s="19" t="s">
        <v>944</v>
      </c>
      <c r="D1663" s="19" t="s">
        <v>400</v>
      </c>
      <c r="E1663" s="19" t="s">
        <v>147</v>
      </c>
      <c r="F1663" s="19" t="s">
        <v>580</v>
      </c>
      <c r="G1663" s="19" t="n">
        <v>190</v>
      </c>
      <c r="H1663" s="19" t="s">
        <v>581</v>
      </c>
      <c r="I1663" s="20" t="n">
        <v>220.492</v>
      </c>
      <c r="J1663" s="19" t="n">
        <f aca="false">IF(I1663="","",MIN(Overview!$B$8,MAX(1,CEILING(I1663/Overview!$B$7,1))))</f>
        <v>45</v>
      </c>
      <c r="K1663" s="19" t="n">
        <v>1</v>
      </c>
      <c r="L1663" s="19"/>
      <c r="M1663" s="20" t="n">
        <v>3</v>
      </c>
      <c r="N1663" s="19"/>
      <c r="O1663" s="19" t="s">
        <v>165</v>
      </c>
      <c r="P1663" s="19" t="s">
        <v>1545</v>
      </c>
      <c r="Q1663" s="19" t="s">
        <v>1071</v>
      </c>
      <c r="R1663" s="21" t="n">
        <v>32821</v>
      </c>
      <c r="S1663" s="19" t="s">
        <v>1282</v>
      </c>
      <c r="T1663" s="19" t="s">
        <v>5479</v>
      </c>
      <c r="U1663" s="19" t="str">
        <f aca="false">HYPERLINK("https://macaulaylibrary.org/asset/51709","Open")</f>
        <v>Open</v>
      </c>
      <c r="V1663" s="19"/>
    </row>
    <row r="1664" customFormat="false" ht="15" hidden="false" customHeight="false" outlineLevel="0" collapsed="false">
      <c r="A1664" s="19" t="s">
        <v>5480</v>
      </c>
      <c r="B1664" s="19" t="s">
        <v>943</v>
      </c>
      <c r="C1664" s="19" t="s">
        <v>944</v>
      </c>
      <c r="D1664" s="19" t="s">
        <v>400</v>
      </c>
      <c r="E1664" s="19" t="s">
        <v>147</v>
      </c>
      <c r="F1664" s="19" t="s">
        <v>453</v>
      </c>
      <c r="G1664" s="19" t="n">
        <v>191</v>
      </c>
      <c r="H1664" s="19" t="s">
        <v>454</v>
      </c>
      <c r="I1664" s="20" t="n">
        <v>154.327</v>
      </c>
      <c r="J1664" s="19" t="n">
        <f aca="false">IF(I1664="","",MIN(Overview!$B$8,MAX(1,CEILING(I1664/Overview!$B$7,1))))</f>
        <v>31</v>
      </c>
      <c r="K1664" s="19" t="n">
        <v>1</v>
      </c>
      <c r="L1664" s="19"/>
      <c r="M1664" s="20" t="n">
        <v>3</v>
      </c>
      <c r="N1664" s="19"/>
      <c r="O1664" s="19"/>
      <c r="P1664" s="19" t="s">
        <v>4191</v>
      </c>
      <c r="Q1664" s="19" t="s">
        <v>1021</v>
      </c>
      <c r="R1664" s="21" t="n">
        <v>35868</v>
      </c>
      <c r="S1664" s="19" t="s">
        <v>2784</v>
      </c>
      <c r="T1664" s="19" t="s">
        <v>5481</v>
      </c>
      <c r="U1664" s="19" t="str">
        <f aca="false">HYPERLINK("https://macaulaylibrary.org/asset/103062991","Open")</f>
        <v>Open</v>
      </c>
      <c r="V1664" s="19" t="s">
        <v>5482</v>
      </c>
    </row>
    <row r="1665" customFormat="false" ht="15" hidden="false" customHeight="false" outlineLevel="0" collapsed="false">
      <c r="A1665" s="19" t="s">
        <v>5483</v>
      </c>
      <c r="B1665" s="19" t="s">
        <v>943</v>
      </c>
      <c r="C1665" s="19" t="s">
        <v>944</v>
      </c>
      <c r="D1665" s="19" t="s">
        <v>400</v>
      </c>
      <c r="E1665" s="19" t="s">
        <v>147</v>
      </c>
      <c r="F1665" s="19" t="s">
        <v>453</v>
      </c>
      <c r="G1665" s="19" t="n">
        <v>191</v>
      </c>
      <c r="H1665" s="19" t="s">
        <v>454</v>
      </c>
      <c r="I1665" s="20" t="n">
        <v>8.646</v>
      </c>
      <c r="J1665" s="19" t="n">
        <f aca="false">IF(I1665="","",MIN(Overview!$B$8,MAX(1,CEILING(I1665/Overview!$B$7,1))))</f>
        <v>2</v>
      </c>
      <c r="K1665" s="19" t="n">
        <v>1</v>
      </c>
      <c r="L1665" s="19"/>
      <c r="M1665" s="20" t="n">
        <v>3</v>
      </c>
      <c r="N1665" s="19"/>
      <c r="O1665" s="19"/>
      <c r="P1665" s="19" t="s">
        <v>2916</v>
      </c>
      <c r="Q1665" s="19" t="s">
        <v>2235</v>
      </c>
      <c r="R1665" s="21" t="n">
        <v>43469</v>
      </c>
      <c r="S1665" s="19" t="s">
        <v>1484</v>
      </c>
      <c r="T1665" s="19" t="s">
        <v>5484</v>
      </c>
      <c r="U1665" s="19" t="str">
        <f aca="false">HYPERLINK("https://macaulaylibrary.org/asset/137859971","Open")</f>
        <v>Open</v>
      </c>
      <c r="V1665" s="19" t="s">
        <v>5482</v>
      </c>
    </row>
    <row r="1666" customFormat="false" ht="15" hidden="false" customHeight="false" outlineLevel="0" collapsed="false">
      <c r="A1666" s="19" t="s">
        <v>5485</v>
      </c>
      <c r="B1666" s="19" t="s">
        <v>943</v>
      </c>
      <c r="C1666" s="19" t="s">
        <v>944</v>
      </c>
      <c r="D1666" s="19" t="s">
        <v>400</v>
      </c>
      <c r="E1666" s="19" t="s">
        <v>147</v>
      </c>
      <c r="F1666" s="19" t="s">
        <v>453</v>
      </c>
      <c r="G1666" s="19" t="n">
        <v>191</v>
      </c>
      <c r="H1666" s="19" t="s">
        <v>454</v>
      </c>
      <c r="I1666" s="20" t="n">
        <v>9.966</v>
      </c>
      <c r="J1666" s="19" t="n">
        <f aca="false">IF(I1666="","",MIN(Overview!$B$8,MAX(1,CEILING(I1666/Overview!$B$7,1))))</f>
        <v>2</v>
      </c>
      <c r="K1666" s="19" t="n">
        <v>1</v>
      </c>
      <c r="L1666" s="19"/>
      <c r="M1666" s="20" t="n">
        <v>4</v>
      </c>
      <c r="N1666" s="19"/>
      <c r="O1666" s="19"/>
      <c r="P1666" s="19" t="s">
        <v>2499</v>
      </c>
      <c r="Q1666" s="19" t="s">
        <v>1063</v>
      </c>
      <c r="R1666" s="21" t="n">
        <v>44087</v>
      </c>
      <c r="S1666" s="19" t="s">
        <v>2500</v>
      </c>
      <c r="T1666" s="19" t="s">
        <v>5486</v>
      </c>
      <c r="U1666" s="19" t="str">
        <f aca="false">HYPERLINK("https://macaulaylibrary.org/asset/268177561","Open")</f>
        <v>Open</v>
      </c>
      <c r="V1666" s="19" t="s">
        <v>5482</v>
      </c>
    </row>
    <row r="1667" customFormat="false" ht="15" hidden="false" customHeight="false" outlineLevel="0" collapsed="false">
      <c r="A1667" s="19" t="s">
        <v>5487</v>
      </c>
      <c r="B1667" s="19" t="s">
        <v>943</v>
      </c>
      <c r="C1667" s="19" t="s">
        <v>944</v>
      </c>
      <c r="D1667" s="19" t="s">
        <v>400</v>
      </c>
      <c r="E1667" s="19" t="s">
        <v>147</v>
      </c>
      <c r="F1667" s="19" t="s">
        <v>453</v>
      </c>
      <c r="G1667" s="19" t="n">
        <v>191</v>
      </c>
      <c r="H1667" s="19" t="s">
        <v>454</v>
      </c>
      <c r="I1667" s="20" t="n">
        <v>3.111</v>
      </c>
      <c r="J1667" s="19" t="n">
        <f aca="false">IF(I1667="","",MIN(Overview!$B$8,MAX(1,CEILING(I1667/Overview!$B$7,1))))</f>
        <v>1</v>
      </c>
      <c r="K1667" s="19" t="n">
        <v>1</v>
      </c>
      <c r="L1667" s="19" t="s">
        <v>1048</v>
      </c>
      <c r="M1667" s="20" t="n">
        <v>3</v>
      </c>
      <c r="N1667" s="19"/>
      <c r="O1667" s="19"/>
      <c r="P1667" s="19" t="s">
        <v>1477</v>
      </c>
      <c r="Q1667" s="19" t="s">
        <v>1478</v>
      </c>
      <c r="R1667" s="21" t="n">
        <v>45715</v>
      </c>
      <c r="S1667" s="19" t="s">
        <v>1479</v>
      </c>
      <c r="T1667" s="19" t="s">
        <v>5488</v>
      </c>
      <c r="U1667" s="19" t="str">
        <f aca="false">HYPERLINK("https://macaulaylibrary.org/asset/632692518","Open")</f>
        <v>Open</v>
      </c>
      <c r="V1667" s="19"/>
    </row>
    <row r="1668" customFormat="false" ht="15" hidden="false" customHeight="false" outlineLevel="0" collapsed="false">
      <c r="A1668" s="19" t="s">
        <v>5489</v>
      </c>
      <c r="B1668" s="19" t="s">
        <v>943</v>
      </c>
      <c r="C1668" s="19" t="s">
        <v>944</v>
      </c>
      <c r="D1668" s="19" t="s">
        <v>400</v>
      </c>
      <c r="E1668" s="19" t="s">
        <v>147</v>
      </c>
      <c r="F1668" s="19" t="s">
        <v>453</v>
      </c>
      <c r="G1668" s="19" t="n">
        <v>191</v>
      </c>
      <c r="H1668" s="19" t="s">
        <v>454</v>
      </c>
      <c r="I1668" s="20" t="n">
        <v>66.243</v>
      </c>
      <c r="J1668" s="19" t="n">
        <f aca="false">IF(I1668="","",MIN(Overview!$B$8,MAX(1,CEILING(I1668/Overview!$B$7,1))))</f>
        <v>14</v>
      </c>
      <c r="K1668" s="19" t="n">
        <v>1</v>
      </c>
      <c r="L1668" s="19"/>
      <c r="M1668" s="20" t="n">
        <v>3</v>
      </c>
      <c r="N1668" s="19"/>
      <c r="O1668" s="19"/>
      <c r="P1668" s="19" t="s">
        <v>1570</v>
      </c>
      <c r="Q1668" s="19" t="s">
        <v>980</v>
      </c>
      <c r="R1668" s="21" t="n">
        <v>33295</v>
      </c>
      <c r="S1668" s="19" t="s">
        <v>1002</v>
      </c>
      <c r="T1668" s="19" t="s">
        <v>5490</v>
      </c>
      <c r="U1668" s="19" t="str">
        <f aca="false">HYPERLINK("https://macaulaylibrary.org/asset/72610","Open")</f>
        <v>Open</v>
      </c>
      <c r="V1668" s="19" t="s">
        <v>5482</v>
      </c>
    </row>
    <row r="1669" customFormat="false" ht="15" hidden="false" customHeight="false" outlineLevel="0" collapsed="false">
      <c r="A1669" s="19" t="s">
        <v>5491</v>
      </c>
      <c r="B1669" s="19" t="s">
        <v>1005</v>
      </c>
      <c r="C1669" s="19" t="s">
        <v>944</v>
      </c>
      <c r="D1669" s="19" t="s">
        <v>647</v>
      </c>
      <c r="E1669" s="19" t="s">
        <v>147</v>
      </c>
      <c r="F1669" s="19" t="s">
        <v>453</v>
      </c>
      <c r="G1669" s="19" t="n">
        <v>191</v>
      </c>
      <c r="H1669" s="19" t="s">
        <v>454</v>
      </c>
      <c r="I1669" s="20" t="n">
        <v>64.444</v>
      </c>
      <c r="J1669" s="19" t="n">
        <f aca="false">IF(I1669="","",MIN(Overview!$B$8,MAX(1,CEILING(I1669/Overview!$B$7,1))))</f>
        <v>13</v>
      </c>
      <c r="K1669" s="19" t="n">
        <v>1</v>
      </c>
      <c r="L1669" s="19"/>
      <c r="M1669" s="20"/>
      <c r="N1669" s="19" t="s">
        <v>1006</v>
      </c>
      <c r="O1669" s="19"/>
      <c r="P1669" s="19" t="s">
        <v>2155</v>
      </c>
      <c r="Q1669" s="19" t="s">
        <v>1008</v>
      </c>
      <c r="R1669" s="21" t="n">
        <v>42575</v>
      </c>
      <c r="S1669" s="19" t="s">
        <v>1715</v>
      </c>
      <c r="T1669" s="19" t="s">
        <v>5492</v>
      </c>
      <c r="U1669" s="19" t="str">
        <f aca="false">HYPERLINK("https://xeno-canto.org/331326","Open")</f>
        <v>Open</v>
      </c>
      <c r="V1669" s="19" t="s">
        <v>5493</v>
      </c>
    </row>
    <row r="1670" customFormat="false" ht="15" hidden="false" customHeight="false" outlineLevel="0" collapsed="false">
      <c r="A1670" s="19" t="s">
        <v>5494</v>
      </c>
      <c r="B1670" s="19" t="s">
        <v>1005</v>
      </c>
      <c r="C1670" s="19" t="s">
        <v>944</v>
      </c>
      <c r="D1670" s="19" t="s">
        <v>647</v>
      </c>
      <c r="E1670" s="19" t="s">
        <v>147</v>
      </c>
      <c r="F1670" s="19" t="s">
        <v>453</v>
      </c>
      <c r="G1670" s="19" t="n">
        <v>191</v>
      </c>
      <c r="H1670" s="19" t="s">
        <v>454</v>
      </c>
      <c r="I1670" s="20" t="n">
        <v>35.004</v>
      </c>
      <c r="J1670" s="19" t="n">
        <f aca="false">IF(I1670="","",MIN(Overview!$B$8,MAX(1,CEILING(I1670/Overview!$B$7,1))))</f>
        <v>8</v>
      </c>
      <c r="K1670" s="19" t="n">
        <v>1</v>
      </c>
      <c r="L1670" s="19"/>
      <c r="M1670" s="20"/>
      <c r="N1670" s="19" t="s">
        <v>1718</v>
      </c>
      <c r="O1670" s="19"/>
      <c r="P1670" s="19" t="s">
        <v>2155</v>
      </c>
      <c r="Q1670" s="19" t="s">
        <v>1008</v>
      </c>
      <c r="R1670" s="21" t="n">
        <v>42575</v>
      </c>
      <c r="S1670" s="19" t="s">
        <v>1550</v>
      </c>
      <c r="T1670" s="19" t="s">
        <v>5495</v>
      </c>
      <c r="U1670" s="19" t="str">
        <f aca="false">HYPERLINK("https://xeno-canto.org/331333","Open")</f>
        <v>Open</v>
      </c>
      <c r="V1670" s="19" t="s">
        <v>5493</v>
      </c>
    </row>
    <row r="1671" customFormat="false" ht="15" hidden="false" customHeight="false" outlineLevel="0" collapsed="false">
      <c r="A1671" s="19" t="s">
        <v>5496</v>
      </c>
      <c r="B1671" s="19" t="s">
        <v>1005</v>
      </c>
      <c r="C1671" s="19" t="s">
        <v>944</v>
      </c>
      <c r="D1671" s="19" t="s">
        <v>647</v>
      </c>
      <c r="E1671" s="19" t="s">
        <v>147</v>
      </c>
      <c r="F1671" s="19" t="s">
        <v>453</v>
      </c>
      <c r="G1671" s="19" t="n">
        <v>191</v>
      </c>
      <c r="H1671" s="19" t="s">
        <v>454</v>
      </c>
      <c r="I1671" s="20" t="n">
        <v>23.568</v>
      </c>
      <c r="J1671" s="19" t="n">
        <f aca="false">IF(I1671="","",MIN(Overview!$B$8,MAX(1,CEILING(I1671/Overview!$B$7,1))))</f>
        <v>5</v>
      </c>
      <c r="K1671" s="19" t="n">
        <v>1</v>
      </c>
      <c r="L1671" s="19"/>
      <c r="M1671" s="20"/>
      <c r="N1671" s="19" t="s">
        <v>1006</v>
      </c>
      <c r="O1671" s="19"/>
      <c r="P1671" s="19" t="s">
        <v>1952</v>
      </c>
      <c r="Q1671" s="19" t="s">
        <v>1008</v>
      </c>
      <c r="R1671" s="21" t="n">
        <v>42581</v>
      </c>
      <c r="S1671" s="19" t="s">
        <v>1009</v>
      </c>
      <c r="T1671" s="19" t="s">
        <v>5497</v>
      </c>
      <c r="U1671" s="19" t="str">
        <f aca="false">HYPERLINK("https://xeno-canto.org/332269","Open")</f>
        <v>Open</v>
      </c>
      <c r="V1671" s="19" t="s">
        <v>5498</v>
      </c>
    </row>
    <row r="1672" customFormat="false" ht="15" hidden="false" customHeight="false" outlineLevel="0" collapsed="false">
      <c r="A1672" s="19" t="s">
        <v>5499</v>
      </c>
      <c r="B1672" s="19" t="s">
        <v>943</v>
      </c>
      <c r="C1672" s="19" t="s">
        <v>944</v>
      </c>
      <c r="D1672" s="19" t="s">
        <v>400</v>
      </c>
      <c r="E1672" s="19" t="s">
        <v>147</v>
      </c>
      <c r="F1672" s="19" t="s">
        <v>677</v>
      </c>
      <c r="G1672" s="19" t="n">
        <v>192</v>
      </c>
      <c r="H1672" s="19" t="s">
        <v>678</v>
      </c>
      <c r="I1672" s="20" t="n">
        <v>42.4</v>
      </c>
      <c r="J1672" s="19" t="n">
        <f aca="false">IF(I1672="","",MIN(Overview!$B$8,MAX(1,CEILING(I1672/Overview!$B$7,1))))</f>
        <v>9</v>
      </c>
      <c r="K1672" s="19" t="n">
        <v>1</v>
      </c>
      <c r="L1672" s="19"/>
      <c r="M1672" s="20" t="n">
        <v>2.75</v>
      </c>
      <c r="N1672" s="19"/>
      <c r="O1672" s="19"/>
      <c r="P1672" s="19" t="s">
        <v>2713</v>
      </c>
      <c r="Q1672" s="19" t="s">
        <v>965</v>
      </c>
      <c r="R1672" s="21" t="n">
        <v>45640</v>
      </c>
      <c r="S1672" s="19" t="s">
        <v>2714</v>
      </c>
      <c r="T1672" s="19" t="s">
        <v>5500</v>
      </c>
      <c r="U1672" s="19" t="str">
        <f aca="false">HYPERLINK("https://macaulaylibrary.org/asset/627957720","Open")</f>
        <v>Open</v>
      </c>
      <c r="V1672" s="19"/>
    </row>
    <row r="1673" customFormat="false" ht="15" hidden="false" customHeight="false" outlineLevel="0" collapsed="false">
      <c r="A1673" s="19" t="s">
        <v>5501</v>
      </c>
      <c r="B1673" s="19" t="s">
        <v>943</v>
      </c>
      <c r="C1673" s="19" t="s">
        <v>944</v>
      </c>
      <c r="D1673" s="19" t="s">
        <v>400</v>
      </c>
      <c r="E1673" s="19" t="s">
        <v>147</v>
      </c>
      <c r="F1673" s="19" t="s">
        <v>677</v>
      </c>
      <c r="G1673" s="19" t="n">
        <v>192</v>
      </c>
      <c r="H1673" s="19" t="s">
        <v>678</v>
      </c>
      <c r="I1673" s="20" t="n">
        <v>26.56</v>
      </c>
      <c r="J1673" s="19" t="n">
        <f aca="false">IF(I1673="","",MIN(Overview!$B$8,MAX(1,CEILING(I1673/Overview!$B$7,1))))</f>
        <v>6</v>
      </c>
      <c r="K1673" s="19" t="n">
        <v>1</v>
      </c>
      <c r="L1673" s="19"/>
      <c r="M1673" s="20" t="n">
        <v>3</v>
      </c>
      <c r="N1673" s="19"/>
      <c r="O1673" s="19"/>
      <c r="P1673" s="19" t="s">
        <v>2713</v>
      </c>
      <c r="Q1673" s="19" t="s">
        <v>965</v>
      </c>
      <c r="R1673" s="21" t="n">
        <v>45640</v>
      </c>
      <c r="S1673" s="19" t="s">
        <v>2714</v>
      </c>
      <c r="T1673" s="19" t="s">
        <v>5502</v>
      </c>
      <c r="U1673" s="19" t="str">
        <f aca="false">HYPERLINK("https://macaulaylibrary.org/asset/627957721","Open")</f>
        <v>Open</v>
      </c>
      <c r="V1673" s="19"/>
    </row>
    <row r="1674" customFormat="false" ht="15" hidden="false" customHeight="false" outlineLevel="0" collapsed="false">
      <c r="A1674" s="19" t="s">
        <v>5503</v>
      </c>
      <c r="B1674" s="19" t="s">
        <v>943</v>
      </c>
      <c r="C1674" s="19" t="s">
        <v>944</v>
      </c>
      <c r="D1674" s="19" t="s">
        <v>148</v>
      </c>
      <c r="E1674" s="19" t="s">
        <v>147</v>
      </c>
      <c r="F1674" s="19" t="s">
        <v>341</v>
      </c>
      <c r="G1674" s="19" t="n">
        <v>194</v>
      </c>
      <c r="H1674" s="19" t="s">
        <v>342</v>
      </c>
      <c r="I1674" s="20" t="n">
        <v>35.371</v>
      </c>
      <c r="J1674" s="19" t="n">
        <f aca="false">IF(I1674="","",MIN(Overview!$B$8,MAX(1,CEILING(I1674/Overview!$B$7,1))))</f>
        <v>8</v>
      </c>
      <c r="K1674" s="19" t="n">
        <v>1</v>
      </c>
      <c r="L1674" s="19"/>
      <c r="M1674" s="20" t="n">
        <v>3</v>
      </c>
      <c r="N1674" s="19"/>
      <c r="O1674" s="19"/>
      <c r="P1674" s="19" t="s">
        <v>4157</v>
      </c>
      <c r="Q1674" s="19" t="s">
        <v>965</v>
      </c>
      <c r="R1674" s="21" t="n">
        <v>43448</v>
      </c>
      <c r="S1674" s="19" t="s">
        <v>4158</v>
      </c>
      <c r="T1674" s="19" t="s">
        <v>5504</v>
      </c>
      <c r="U1674" s="19" t="str">
        <f aca="false">HYPERLINK("https://macaulaylibrary.org/asset/129417111","Open")</f>
        <v>Open</v>
      </c>
      <c r="V1674" s="19"/>
    </row>
    <row r="1675" customFormat="false" ht="15" hidden="false" customHeight="false" outlineLevel="0" collapsed="false">
      <c r="A1675" s="19" t="s">
        <v>5505</v>
      </c>
      <c r="B1675" s="19" t="s">
        <v>943</v>
      </c>
      <c r="C1675" s="19" t="s">
        <v>944</v>
      </c>
      <c r="D1675" s="19" t="s">
        <v>148</v>
      </c>
      <c r="E1675" s="19" t="s">
        <v>147</v>
      </c>
      <c r="F1675" s="19" t="s">
        <v>341</v>
      </c>
      <c r="G1675" s="19" t="n">
        <v>194</v>
      </c>
      <c r="H1675" s="19" t="s">
        <v>342</v>
      </c>
      <c r="I1675" s="20" t="n">
        <v>69.17</v>
      </c>
      <c r="J1675" s="19" t="n">
        <f aca="false">IF(I1675="","",MIN(Overview!$B$8,MAX(1,CEILING(I1675/Overview!$B$7,1))))</f>
        <v>14</v>
      </c>
      <c r="K1675" s="19" t="n">
        <v>1</v>
      </c>
      <c r="L1675" s="19"/>
      <c r="M1675" s="20" t="n">
        <v>2</v>
      </c>
      <c r="N1675" s="19"/>
      <c r="O1675" s="19"/>
      <c r="P1675" s="19" t="s">
        <v>5506</v>
      </c>
      <c r="Q1675" s="19" t="s">
        <v>1781</v>
      </c>
      <c r="R1675" s="21" t="n">
        <v>30402</v>
      </c>
      <c r="S1675" s="19" t="s">
        <v>4014</v>
      </c>
      <c r="T1675" s="19" t="s">
        <v>5507</v>
      </c>
      <c r="U1675" s="19" t="str">
        <f aca="false">HYPERLINK("https://macaulaylibrary.org/asset/31388","Open")</f>
        <v>Open</v>
      </c>
      <c r="V1675" s="19"/>
    </row>
    <row r="1676" customFormat="false" ht="15" hidden="false" customHeight="false" outlineLevel="0" collapsed="false">
      <c r="A1676" s="19" t="s">
        <v>5508</v>
      </c>
      <c r="B1676" s="19" t="s">
        <v>943</v>
      </c>
      <c r="C1676" s="19" t="s">
        <v>944</v>
      </c>
      <c r="D1676" s="19" t="s">
        <v>148</v>
      </c>
      <c r="E1676" s="19" t="s">
        <v>147</v>
      </c>
      <c r="F1676" s="19" t="s">
        <v>341</v>
      </c>
      <c r="G1676" s="19" t="n">
        <v>194</v>
      </c>
      <c r="H1676" s="19" t="s">
        <v>342</v>
      </c>
      <c r="I1676" s="20" t="n">
        <v>47.137</v>
      </c>
      <c r="J1676" s="19" t="n">
        <f aca="false">IF(I1676="","",MIN(Overview!$B$8,MAX(1,CEILING(I1676/Overview!$B$7,1))))</f>
        <v>10</v>
      </c>
      <c r="K1676" s="19" t="n">
        <v>1</v>
      </c>
      <c r="L1676" s="19"/>
      <c r="M1676" s="20" t="n">
        <v>3.33</v>
      </c>
      <c r="N1676" s="19"/>
      <c r="O1676" s="19"/>
      <c r="P1676" s="19" t="s">
        <v>5509</v>
      </c>
      <c r="Q1676" s="19" t="s">
        <v>3555</v>
      </c>
      <c r="R1676" s="21" t="n">
        <v>42065</v>
      </c>
      <c r="S1676" s="19" t="s">
        <v>1387</v>
      </c>
      <c r="T1676" s="19" t="s">
        <v>5510</v>
      </c>
      <c r="U1676" s="19" t="str">
        <f aca="false">HYPERLINK("https://macaulaylibrary.org/asset/42577221","Open")</f>
        <v>Open</v>
      </c>
      <c r="V1676" s="19"/>
    </row>
    <row r="1677" customFormat="false" ht="15" hidden="false" customHeight="false" outlineLevel="0" collapsed="false">
      <c r="A1677" s="19" t="s">
        <v>5511</v>
      </c>
      <c r="B1677" s="19" t="s">
        <v>943</v>
      </c>
      <c r="C1677" s="19" t="s">
        <v>944</v>
      </c>
      <c r="D1677" s="19" t="s">
        <v>148</v>
      </c>
      <c r="E1677" s="19" t="s">
        <v>147</v>
      </c>
      <c r="F1677" s="19" t="s">
        <v>341</v>
      </c>
      <c r="G1677" s="19" t="n">
        <v>194</v>
      </c>
      <c r="H1677" s="19" t="s">
        <v>342</v>
      </c>
      <c r="I1677" s="20" t="n">
        <v>36.715</v>
      </c>
      <c r="J1677" s="19" t="n">
        <f aca="false">IF(I1677="","",MIN(Overview!$B$8,MAX(1,CEILING(I1677/Overview!$B$7,1))))</f>
        <v>8</v>
      </c>
      <c r="K1677" s="19" t="n">
        <v>1</v>
      </c>
      <c r="L1677" s="19"/>
      <c r="M1677" s="20" t="n">
        <v>3</v>
      </c>
      <c r="N1677" s="19"/>
      <c r="O1677" s="19"/>
      <c r="P1677" s="19" t="s">
        <v>5512</v>
      </c>
      <c r="Q1677" s="19" t="s">
        <v>5513</v>
      </c>
      <c r="R1677" s="21" t="n">
        <v>45066</v>
      </c>
      <c r="S1677" s="19" t="s">
        <v>5514</v>
      </c>
      <c r="T1677" s="19" t="s">
        <v>5515</v>
      </c>
      <c r="U1677" s="19" t="str">
        <f aca="false">HYPERLINK("https://macaulaylibrary.org/asset/576855411","Open")</f>
        <v>Open</v>
      </c>
      <c r="V1677" s="19"/>
    </row>
    <row r="1678" customFormat="false" ht="15" hidden="false" customHeight="false" outlineLevel="0" collapsed="false">
      <c r="A1678" s="19" t="s">
        <v>5516</v>
      </c>
      <c r="B1678" s="19" t="s">
        <v>943</v>
      </c>
      <c r="C1678" s="19" t="s">
        <v>944</v>
      </c>
      <c r="D1678" s="19" t="s">
        <v>148</v>
      </c>
      <c r="E1678" s="19" t="s">
        <v>147</v>
      </c>
      <c r="F1678" s="19" t="s">
        <v>341</v>
      </c>
      <c r="G1678" s="19" t="n">
        <v>194</v>
      </c>
      <c r="H1678" s="19" t="s">
        <v>342</v>
      </c>
      <c r="I1678" s="20" t="n">
        <v>215.922</v>
      </c>
      <c r="J1678" s="19" t="n">
        <f aca="false">IF(I1678="","",MIN(Overview!$B$8,MAX(1,CEILING(I1678/Overview!$B$7,1))))</f>
        <v>44</v>
      </c>
      <c r="K1678" s="19" t="n">
        <v>1</v>
      </c>
      <c r="L1678" s="19"/>
      <c r="M1678" s="20"/>
      <c r="N1678" s="19"/>
      <c r="O1678" s="19"/>
      <c r="P1678" s="19" t="s">
        <v>1039</v>
      </c>
      <c r="Q1678" s="19" t="s">
        <v>1040</v>
      </c>
      <c r="R1678" s="21" t="n">
        <v>40901</v>
      </c>
      <c r="S1678" s="19" t="s">
        <v>1002</v>
      </c>
      <c r="T1678" s="19" t="s">
        <v>5517</v>
      </c>
      <c r="U1678" s="19" t="str">
        <f aca="false">HYPERLINK("https://macaulaylibrary.org/asset/609056479","Open")</f>
        <v>Open</v>
      </c>
      <c r="V1678" s="19"/>
    </row>
    <row r="1679" customFormat="false" ht="15" hidden="false" customHeight="false" outlineLevel="0" collapsed="false">
      <c r="A1679" s="19" t="s">
        <v>5518</v>
      </c>
      <c r="B1679" s="19" t="s">
        <v>943</v>
      </c>
      <c r="C1679" s="19" t="s">
        <v>944</v>
      </c>
      <c r="D1679" s="19" t="s">
        <v>148</v>
      </c>
      <c r="E1679" s="19" t="s">
        <v>147</v>
      </c>
      <c r="F1679" s="19" t="s">
        <v>341</v>
      </c>
      <c r="G1679" s="19" t="n">
        <v>194</v>
      </c>
      <c r="H1679" s="19" t="s">
        <v>342</v>
      </c>
      <c r="I1679" s="20" t="n">
        <v>291.524</v>
      </c>
      <c r="J1679" s="19" t="n">
        <f aca="false">IF(I1679="","",MIN(Overview!$B$8,MAX(1,CEILING(I1679/Overview!$B$7,1))))</f>
        <v>59</v>
      </c>
      <c r="K1679" s="19" t="n">
        <v>1</v>
      </c>
      <c r="L1679" s="19"/>
      <c r="M1679" s="20"/>
      <c r="N1679" s="19"/>
      <c r="O1679" s="19"/>
      <c r="P1679" s="19" t="s">
        <v>1039</v>
      </c>
      <c r="Q1679" s="19" t="s">
        <v>1040</v>
      </c>
      <c r="R1679" s="21" t="n">
        <v>40901</v>
      </c>
      <c r="S1679" s="19" t="s">
        <v>1002</v>
      </c>
      <c r="T1679" s="19" t="s">
        <v>5519</v>
      </c>
      <c r="U1679" s="19" t="str">
        <f aca="false">HYPERLINK("https://macaulaylibrary.org/asset/609056483","Open")</f>
        <v>Open</v>
      </c>
      <c r="V1679" s="19"/>
    </row>
    <row r="1680" customFormat="false" ht="15" hidden="false" customHeight="false" outlineLevel="0" collapsed="false">
      <c r="A1680" s="19" t="s">
        <v>5520</v>
      </c>
      <c r="B1680" s="19" t="s">
        <v>943</v>
      </c>
      <c r="C1680" s="19" t="s">
        <v>944</v>
      </c>
      <c r="D1680" s="19" t="s">
        <v>148</v>
      </c>
      <c r="E1680" s="19" t="s">
        <v>147</v>
      </c>
      <c r="F1680" s="19" t="s">
        <v>341</v>
      </c>
      <c r="G1680" s="19" t="n">
        <v>194</v>
      </c>
      <c r="H1680" s="19" t="s">
        <v>342</v>
      </c>
      <c r="I1680" s="20" t="n">
        <v>42.934</v>
      </c>
      <c r="J1680" s="19" t="n">
        <f aca="false">IF(I1680="","",MIN(Overview!$B$8,MAX(1,CEILING(I1680/Overview!$B$7,1))))</f>
        <v>9</v>
      </c>
      <c r="K1680" s="19" t="n">
        <v>1</v>
      </c>
      <c r="L1680" s="19"/>
      <c r="M1680" s="20"/>
      <c r="N1680" s="19"/>
      <c r="O1680" s="19"/>
      <c r="P1680" s="19" t="s">
        <v>1039</v>
      </c>
      <c r="Q1680" s="19" t="s">
        <v>1040</v>
      </c>
      <c r="R1680" s="21" t="n">
        <v>40901</v>
      </c>
      <c r="S1680" s="19" t="s">
        <v>1002</v>
      </c>
      <c r="T1680" s="19" t="s">
        <v>5521</v>
      </c>
      <c r="U1680" s="19" t="str">
        <f aca="false">HYPERLINK("https://macaulaylibrary.org/asset/609056546","Open")</f>
        <v>Open</v>
      </c>
      <c r="V1680" s="19"/>
    </row>
    <row r="1681" customFormat="false" ht="15" hidden="false" customHeight="false" outlineLevel="0" collapsed="false">
      <c r="A1681" s="19" t="s">
        <v>5522</v>
      </c>
      <c r="B1681" s="19" t="s">
        <v>943</v>
      </c>
      <c r="C1681" s="19" t="s">
        <v>944</v>
      </c>
      <c r="D1681" s="19" t="s">
        <v>148</v>
      </c>
      <c r="E1681" s="19" t="s">
        <v>147</v>
      </c>
      <c r="F1681" s="19" t="s">
        <v>341</v>
      </c>
      <c r="G1681" s="19" t="n">
        <v>194</v>
      </c>
      <c r="H1681" s="19" t="s">
        <v>342</v>
      </c>
      <c r="I1681" s="20" t="n">
        <v>7.061</v>
      </c>
      <c r="J1681" s="19" t="n">
        <f aca="false">IF(I1681="","",MIN(Overview!$B$8,MAX(1,CEILING(I1681/Overview!$B$7,1))))</f>
        <v>2</v>
      </c>
      <c r="K1681" s="19" t="n">
        <v>1</v>
      </c>
      <c r="L1681" s="19"/>
      <c r="M1681" s="20"/>
      <c r="N1681" s="19"/>
      <c r="O1681" s="19"/>
      <c r="P1681" s="19" t="s">
        <v>5523</v>
      </c>
      <c r="Q1681" s="19" t="s">
        <v>965</v>
      </c>
      <c r="R1681" s="21" t="n">
        <v>45276</v>
      </c>
      <c r="S1681" s="19" t="s">
        <v>1889</v>
      </c>
      <c r="T1681" s="19" t="s">
        <v>5524</v>
      </c>
      <c r="U1681" s="19" t="str">
        <f aca="false">HYPERLINK("https://macaulaylibrary.org/asset/612285543","Open")</f>
        <v>Open</v>
      </c>
      <c r="V1681" s="19"/>
    </row>
    <row r="1682" customFormat="false" ht="15" hidden="false" customHeight="false" outlineLevel="0" collapsed="false">
      <c r="A1682" s="19" t="s">
        <v>5525</v>
      </c>
      <c r="B1682" s="19" t="s">
        <v>943</v>
      </c>
      <c r="C1682" s="19" t="s">
        <v>944</v>
      </c>
      <c r="D1682" s="19" t="s">
        <v>148</v>
      </c>
      <c r="E1682" s="19" t="s">
        <v>147</v>
      </c>
      <c r="F1682" s="19" t="s">
        <v>341</v>
      </c>
      <c r="G1682" s="19" t="n">
        <v>194</v>
      </c>
      <c r="H1682" s="19" t="s">
        <v>342</v>
      </c>
      <c r="I1682" s="20" t="n">
        <v>103.144</v>
      </c>
      <c r="J1682" s="19" t="n">
        <f aca="false">IF(I1682="","",MIN(Overview!$B$8,MAX(1,CEILING(I1682/Overview!$B$7,1))))</f>
        <v>21</v>
      </c>
      <c r="K1682" s="19" t="n">
        <v>1</v>
      </c>
      <c r="L1682" s="19"/>
      <c r="M1682" s="20" t="n">
        <v>4</v>
      </c>
      <c r="N1682" s="19"/>
      <c r="O1682" s="19" t="s">
        <v>283</v>
      </c>
      <c r="P1682" s="19" t="s">
        <v>5526</v>
      </c>
      <c r="Q1682" s="19" t="s">
        <v>1191</v>
      </c>
      <c r="R1682" s="21" t="n">
        <v>45713</v>
      </c>
      <c r="S1682" s="19" t="s">
        <v>5527</v>
      </c>
      <c r="T1682" s="19" t="s">
        <v>5528</v>
      </c>
      <c r="U1682" s="19" t="str">
        <f aca="false">HYPERLINK("https://macaulaylibrary.org/asset/631292639","Open")</f>
        <v>Open</v>
      </c>
      <c r="V1682" s="19"/>
    </row>
    <row r="1683" customFormat="false" ht="15" hidden="false" customHeight="false" outlineLevel="0" collapsed="false">
      <c r="A1683" s="19" t="s">
        <v>5529</v>
      </c>
      <c r="B1683" s="19" t="s">
        <v>943</v>
      </c>
      <c r="C1683" s="19" t="s">
        <v>944</v>
      </c>
      <c r="D1683" s="19" t="s">
        <v>148</v>
      </c>
      <c r="E1683" s="19" t="s">
        <v>147</v>
      </c>
      <c r="F1683" s="19" t="s">
        <v>341</v>
      </c>
      <c r="G1683" s="19" t="n">
        <v>194</v>
      </c>
      <c r="H1683" s="19" t="s">
        <v>342</v>
      </c>
      <c r="I1683" s="20" t="n">
        <v>7.383</v>
      </c>
      <c r="J1683" s="19" t="n">
        <f aca="false">IF(I1683="","",MIN(Overview!$B$8,MAX(1,CEILING(I1683/Overview!$B$7,1))))</f>
        <v>2</v>
      </c>
      <c r="K1683" s="19" t="n">
        <v>1</v>
      </c>
      <c r="L1683" s="19"/>
      <c r="M1683" s="20"/>
      <c r="N1683" s="19"/>
      <c r="O1683" s="19"/>
      <c r="P1683" s="19" t="s">
        <v>5530</v>
      </c>
      <c r="Q1683" s="19" t="s">
        <v>1382</v>
      </c>
      <c r="R1683" s="21" t="n">
        <v>46104</v>
      </c>
      <c r="S1683" s="19" t="s">
        <v>5531</v>
      </c>
      <c r="T1683" s="19" t="s">
        <v>5532</v>
      </c>
      <c r="U1683" s="19" t="str">
        <f aca="false">HYPERLINK("https://macaulaylibrary.org/asset/654663065","Open")</f>
        <v>Open</v>
      </c>
      <c r="V1683" s="19"/>
    </row>
    <row r="1684" customFormat="false" ht="15" hidden="false" customHeight="false" outlineLevel="0" collapsed="false">
      <c r="A1684" s="19" t="s">
        <v>5533</v>
      </c>
      <c r="B1684" s="19" t="s">
        <v>943</v>
      </c>
      <c r="C1684" s="19" t="s">
        <v>944</v>
      </c>
      <c r="D1684" s="19" t="s">
        <v>400</v>
      </c>
      <c r="E1684" s="19" t="s">
        <v>147</v>
      </c>
      <c r="F1684" s="19" t="s">
        <v>457</v>
      </c>
      <c r="G1684" s="19" t="n">
        <v>195</v>
      </c>
      <c r="H1684" s="19" t="s">
        <v>458</v>
      </c>
      <c r="I1684" s="20" t="n">
        <v>48.512</v>
      </c>
      <c r="J1684" s="19" t="n">
        <f aca="false">IF(I1684="","",MIN(Overview!$B$8,MAX(1,CEILING(I1684/Overview!$B$7,1))))</f>
        <v>10</v>
      </c>
      <c r="K1684" s="19" t="n">
        <v>1</v>
      </c>
      <c r="L1684" s="19"/>
      <c r="M1684" s="20" t="n">
        <v>2.67</v>
      </c>
      <c r="N1684" s="19"/>
      <c r="O1684" s="19"/>
      <c r="P1684" s="19" t="s">
        <v>2338</v>
      </c>
      <c r="Q1684" s="19" t="s">
        <v>965</v>
      </c>
      <c r="R1684" s="21" t="n">
        <v>43449</v>
      </c>
      <c r="S1684" s="19" t="s">
        <v>1137</v>
      </c>
      <c r="T1684" s="19" t="s">
        <v>5534</v>
      </c>
      <c r="U1684" s="19" t="str">
        <f aca="false">HYPERLINK("https://macaulaylibrary.org/asset/129886831","Open")</f>
        <v>Open</v>
      </c>
      <c r="V1684" s="19"/>
    </row>
    <row r="1685" customFormat="false" ht="15" hidden="false" customHeight="false" outlineLevel="0" collapsed="false">
      <c r="A1685" s="19" t="s">
        <v>5535</v>
      </c>
      <c r="B1685" s="19" t="s">
        <v>943</v>
      </c>
      <c r="C1685" s="19" t="s">
        <v>944</v>
      </c>
      <c r="D1685" s="19" t="s">
        <v>400</v>
      </c>
      <c r="E1685" s="19" t="s">
        <v>147</v>
      </c>
      <c r="F1685" s="19" t="s">
        <v>457</v>
      </c>
      <c r="G1685" s="19" t="n">
        <v>195</v>
      </c>
      <c r="H1685" s="19" t="s">
        <v>458</v>
      </c>
      <c r="I1685" s="20" t="n">
        <v>25.407</v>
      </c>
      <c r="J1685" s="19" t="n">
        <f aca="false">IF(I1685="","",MIN(Overview!$B$8,MAX(1,CEILING(I1685/Overview!$B$7,1))))</f>
        <v>6</v>
      </c>
      <c r="K1685" s="19" t="n">
        <v>1</v>
      </c>
      <c r="L1685" s="19"/>
      <c r="M1685" s="20" t="n">
        <v>2</v>
      </c>
      <c r="N1685" s="19"/>
      <c r="O1685" s="19"/>
      <c r="P1685" s="19" t="s">
        <v>5536</v>
      </c>
      <c r="Q1685" s="19" t="s">
        <v>5537</v>
      </c>
      <c r="R1685" s="21" t="n">
        <v>43475</v>
      </c>
      <c r="S1685" s="19" t="s">
        <v>1459</v>
      </c>
      <c r="T1685" s="19" t="s">
        <v>5538</v>
      </c>
      <c r="U1685" s="19" t="str">
        <f aca="false">HYPERLINK("https://macaulaylibrary.org/asset/148484611","Open")</f>
        <v>Open</v>
      </c>
      <c r="V1685" s="19"/>
    </row>
    <row r="1686" customFormat="false" ht="15" hidden="false" customHeight="false" outlineLevel="0" collapsed="false">
      <c r="A1686" s="19" t="s">
        <v>5539</v>
      </c>
      <c r="B1686" s="19" t="s">
        <v>943</v>
      </c>
      <c r="C1686" s="19" t="s">
        <v>944</v>
      </c>
      <c r="D1686" s="19" t="s">
        <v>400</v>
      </c>
      <c r="E1686" s="19" t="s">
        <v>147</v>
      </c>
      <c r="F1686" s="19" t="s">
        <v>457</v>
      </c>
      <c r="G1686" s="19" t="n">
        <v>195</v>
      </c>
      <c r="H1686" s="19" t="s">
        <v>458</v>
      </c>
      <c r="I1686" s="20" t="n">
        <v>6.445</v>
      </c>
      <c r="J1686" s="19" t="n">
        <f aca="false">IF(I1686="","",MIN(Overview!$B$8,MAX(1,CEILING(I1686/Overview!$B$7,1))))</f>
        <v>2</v>
      </c>
      <c r="K1686" s="19" t="n">
        <v>1</v>
      </c>
      <c r="L1686" s="19"/>
      <c r="M1686" s="20" t="n">
        <v>3</v>
      </c>
      <c r="N1686" s="19"/>
      <c r="O1686" s="19"/>
      <c r="P1686" s="19" t="s">
        <v>3838</v>
      </c>
      <c r="Q1686" s="19" t="s">
        <v>1158</v>
      </c>
      <c r="R1686" s="21" t="n">
        <v>44943</v>
      </c>
      <c r="S1686" s="19" t="s">
        <v>1009</v>
      </c>
      <c r="T1686" s="19" t="s">
        <v>5540</v>
      </c>
      <c r="U1686" s="19" t="str">
        <f aca="false">HYPERLINK("https://macaulaylibrary.org/asset/538647791","Open")</f>
        <v>Open</v>
      </c>
      <c r="V1686" s="19"/>
    </row>
    <row r="1687" customFormat="false" ht="15" hidden="false" customHeight="false" outlineLevel="0" collapsed="false">
      <c r="A1687" s="19" t="s">
        <v>5541</v>
      </c>
      <c r="B1687" s="19" t="s">
        <v>943</v>
      </c>
      <c r="C1687" s="19" t="s">
        <v>944</v>
      </c>
      <c r="D1687" s="19" t="s">
        <v>400</v>
      </c>
      <c r="E1687" s="19" t="s">
        <v>147</v>
      </c>
      <c r="F1687" s="19" t="s">
        <v>457</v>
      </c>
      <c r="G1687" s="19" t="n">
        <v>195</v>
      </c>
      <c r="H1687" s="19" t="s">
        <v>458</v>
      </c>
      <c r="I1687" s="20" t="n">
        <v>14.166</v>
      </c>
      <c r="J1687" s="19" t="n">
        <f aca="false">IF(I1687="","",MIN(Overview!$B$8,MAX(1,CEILING(I1687/Overview!$B$7,1))))</f>
        <v>3</v>
      </c>
      <c r="K1687" s="19" t="n">
        <v>1</v>
      </c>
      <c r="L1687" s="19"/>
      <c r="M1687" s="20" t="n">
        <v>4</v>
      </c>
      <c r="N1687" s="19"/>
      <c r="O1687" s="19"/>
      <c r="P1687" s="19" t="s">
        <v>1314</v>
      </c>
      <c r="Q1687" s="19" t="s">
        <v>956</v>
      </c>
      <c r="R1687" s="21" t="n">
        <v>45301</v>
      </c>
      <c r="S1687" s="19" t="s">
        <v>1315</v>
      </c>
      <c r="T1687" s="19" t="s">
        <v>5542</v>
      </c>
      <c r="U1687" s="19" t="str">
        <f aca="false">HYPERLINK("https://macaulaylibrary.org/asset/613430260","Open")</f>
        <v>Open</v>
      </c>
      <c r="V1687" s="19"/>
    </row>
    <row r="1688" customFormat="false" ht="15" hidden="false" customHeight="false" outlineLevel="0" collapsed="false">
      <c r="A1688" s="19" t="s">
        <v>5543</v>
      </c>
      <c r="B1688" s="19" t="s">
        <v>943</v>
      </c>
      <c r="C1688" s="19" t="s">
        <v>944</v>
      </c>
      <c r="D1688" s="19" t="s">
        <v>400</v>
      </c>
      <c r="E1688" s="19" t="s">
        <v>147</v>
      </c>
      <c r="F1688" s="19" t="s">
        <v>457</v>
      </c>
      <c r="G1688" s="19" t="n">
        <v>195</v>
      </c>
      <c r="H1688" s="19" t="s">
        <v>458</v>
      </c>
      <c r="I1688" s="20" t="n">
        <v>51.009</v>
      </c>
      <c r="J1688" s="19" t="n">
        <f aca="false">IF(I1688="","",MIN(Overview!$B$8,MAX(1,CEILING(I1688/Overview!$B$7,1))))</f>
        <v>11</v>
      </c>
      <c r="K1688" s="19" t="n">
        <v>1</v>
      </c>
      <c r="L1688" s="19"/>
      <c r="M1688" s="20" t="n">
        <v>4</v>
      </c>
      <c r="N1688" s="19"/>
      <c r="O1688" s="19"/>
      <c r="P1688" s="19" t="s">
        <v>1467</v>
      </c>
      <c r="Q1688" s="19" t="s">
        <v>1258</v>
      </c>
      <c r="R1688" s="21" t="n">
        <v>45230</v>
      </c>
      <c r="S1688" s="19" t="s">
        <v>1306</v>
      </c>
      <c r="T1688" s="19" t="s">
        <v>5544</v>
      </c>
      <c r="U1688" s="19" t="str">
        <f aca="false">HYPERLINK("https://macaulaylibrary.org/asset/621760001","Open")</f>
        <v>Open</v>
      </c>
      <c r="V1688" s="19"/>
    </row>
    <row r="1689" customFormat="false" ht="15" hidden="false" customHeight="false" outlineLevel="0" collapsed="false">
      <c r="A1689" s="19" t="s">
        <v>5545</v>
      </c>
      <c r="B1689" s="19" t="s">
        <v>943</v>
      </c>
      <c r="C1689" s="19" t="s">
        <v>944</v>
      </c>
      <c r="D1689" s="19" t="s">
        <v>400</v>
      </c>
      <c r="E1689" s="19" t="s">
        <v>147</v>
      </c>
      <c r="F1689" s="19" t="s">
        <v>457</v>
      </c>
      <c r="G1689" s="19" t="n">
        <v>195</v>
      </c>
      <c r="H1689" s="19" t="s">
        <v>458</v>
      </c>
      <c r="I1689" s="20" t="n">
        <v>61.922</v>
      </c>
      <c r="J1689" s="19" t="n">
        <f aca="false">IF(I1689="","",MIN(Overview!$B$8,MAX(1,CEILING(I1689/Overview!$B$7,1))))</f>
        <v>13</v>
      </c>
      <c r="K1689" s="19" t="n">
        <v>1</v>
      </c>
      <c r="L1689" s="19"/>
      <c r="M1689" s="20" t="n">
        <v>5</v>
      </c>
      <c r="N1689" s="19"/>
      <c r="O1689" s="19"/>
      <c r="P1689" s="19" t="s">
        <v>1467</v>
      </c>
      <c r="Q1689" s="19" t="s">
        <v>1258</v>
      </c>
      <c r="R1689" s="21" t="n">
        <v>45230</v>
      </c>
      <c r="S1689" s="19" t="s">
        <v>1306</v>
      </c>
      <c r="T1689" s="19" t="s">
        <v>5546</v>
      </c>
      <c r="U1689" s="19" t="str">
        <f aca="false">HYPERLINK("https://macaulaylibrary.org/asset/621760089","Open")</f>
        <v>Open</v>
      </c>
      <c r="V1689" s="19"/>
    </row>
    <row r="1690" customFormat="false" ht="15" hidden="false" customHeight="false" outlineLevel="0" collapsed="false">
      <c r="A1690" s="19" t="s">
        <v>5547</v>
      </c>
      <c r="B1690" s="19" t="s">
        <v>943</v>
      </c>
      <c r="C1690" s="19" t="s">
        <v>944</v>
      </c>
      <c r="D1690" s="19" t="s">
        <v>400</v>
      </c>
      <c r="E1690" s="19" t="s">
        <v>147</v>
      </c>
      <c r="F1690" s="19" t="s">
        <v>457</v>
      </c>
      <c r="G1690" s="19" t="n">
        <v>195</v>
      </c>
      <c r="H1690" s="19" t="s">
        <v>458</v>
      </c>
      <c r="I1690" s="20" t="n">
        <v>14.372</v>
      </c>
      <c r="J1690" s="19" t="n">
        <f aca="false">IF(I1690="","",MIN(Overview!$B$8,MAX(1,CEILING(I1690/Overview!$B$7,1))))</f>
        <v>3</v>
      </c>
      <c r="K1690" s="19" t="n">
        <v>1</v>
      </c>
      <c r="L1690" s="19"/>
      <c r="M1690" s="20"/>
      <c r="N1690" s="19"/>
      <c r="O1690" s="19"/>
      <c r="P1690" s="19" t="s">
        <v>2854</v>
      </c>
      <c r="Q1690" s="19" t="s">
        <v>2855</v>
      </c>
      <c r="R1690" s="21" t="n">
        <v>46258</v>
      </c>
      <c r="S1690" s="19" t="s">
        <v>2088</v>
      </c>
      <c r="T1690" s="19" t="s">
        <v>5548</v>
      </c>
      <c r="U1690" s="19" t="str">
        <f aca="false">HYPERLINK("https://macaulaylibrary.org/asset/663617842","Open")</f>
        <v>Open</v>
      </c>
      <c r="V1690" s="19"/>
    </row>
    <row r="1691" customFormat="false" ht="15" hidden="false" customHeight="false" outlineLevel="0" collapsed="false">
      <c r="A1691" s="19" t="s">
        <v>5549</v>
      </c>
      <c r="B1691" s="19" t="s">
        <v>1005</v>
      </c>
      <c r="C1691" s="19" t="s">
        <v>944</v>
      </c>
      <c r="D1691" s="19" t="s">
        <v>647</v>
      </c>
      <c r="E1691" s="19" t="s">
        <v>147</v>
      </c>
      <c r="F1691" s="19" t="s">
        <v>457</v>
      </c>
      <c r="G1691" s="19" t="n">
        <v>195</v>
      </c>
      <c r="H1691" s="19" t="s">
        <v>458</v>
      </c>
      <c r="I1691" s="20" t="n">
        <v>10.584</v>
      </c>
      <c r="J1691" s="19" t="n">
        <f aca="false">IF(I1691="","",MIN(Overview!$B$8,MAX(1,CEILING(I1691/Overview!$B$7,1))))</f>
        <v>3</v>
      </c>
      <c r="K1691" s="19" t="n">
        <v>1</v>
      </c>
      <c r="L1691" s="19"/>
      <c r="M1691" s="20"/>
      <c r="N1691" s="19" t="s">
        <v>1718</v>
      </c>
      <c r="O1691" s="19"/>
      <c r="P1691" s="19" t="s">
        <v>1007</v>
      </c>
      <c r="Q1691" s="19" t="s">
        <v>1008</v>
      </c>
      <c r="R1691" s="21" t="n">
        <v>42577</v>
      </c>
      <c r="S1691" s="19" t="s">
        <v>1404</v>
      </c>
      <c r="T1691" s="19" t="s">
        <v>5550</v>
      </c>
      <c r="U1691" s="19" t="str">
        <f aca="false">HYPERLINK("https://xeno-canto.org/331600","Open")</f>
        <v>Open</v>
      </c>
      <c r="V1691" s="19" t="s">
        <v>5551</v>
      </c>
    </row>
    <row r="1692" customFormat="false" ht="15" hidden="false" customHeight="false" outlineLevel="0" collapsed="false">
      <c r="A1692" s="19" t="s">
        <v>5552</v>
      </c>
      <c r="B1692" s="19" t="s">
        <v>943</v>
      </c>
      <c r="C1692" s="19" t="s">
        <v>944</v>
      </c>
      <c r="D1692" s="19" t="s">
        <v>400</v>
      </c>
      <c r="E1692" s="19" t="s">
        <v>147</v>
      </c>
      <c r="F1692" s="19" t="s">
        <v>728</v>
      </c>
      <c r="G1692" s="19" t="n">
        <v>196</v>
      </c>
      <c r="H1692" s="19" t="s">
        <v>729</v>
      </c>
      <c r="I1692" s="20" t="n">
        <v>96.956</v>
      </c>
      <c r="J1692" s="19" t="n">
        <f aca="false">IF(I1692="","",MIN(Overview!$B$8,MAX(1,CEILING(I1692/Overview!$B$7,1))))</f>
        <v>20</v>
      </c>
      <c r="K1692" s="19" t="n">
        <v>1</v>
      </c>
      <c r="L1692" s="19"/>
      <c r="M1692" s="20" t="n">
        <v>3</v>
      </c>
      <c r="N1692" s="19"/>
      <c r="O1692" s="19" t="s">
        <v>5553</v>
      </c>
      <c r="P1692" s="19" t="s">
        <v>1587</v>
      </c>
      <c r="Q1692" s="19" t="s">
        <v>1136</v>
      </c>
      <c r="R1692" s="21" t="n">
        <v>29733</v>
      </c>
      <c r="S1692" s="19" t="s">
        <v>1285</v>
      </c>
      <c r="T1692" s="19" t="s">
        <v>5554</v>
      </c>
      <c r="U1692" s="19" t="str">
        <f aca="false">HYPERLINK("https://macaulaylibrary.org/asset/28157","Open")</f>
        <v>Open</v>
      </c>
      <c r="V1692" s="19" t="s">
        <v>5555</v>
      </c>
    </row>
    <row r="1693" customFormat="false" ht="15" hidden="false" customHeight="false" outlineLevel="0" collapsed="false">
      <c r="A1693" s="19" t="s">
        <v>5556</v>
      </c>
      <c r="B1693" s="19" t="s">
        <v>943</v>
      </c>
      <c r="C1693" s="19" t="s">
        <v>944</v>
      </c>
      <c r="D1693" s="19" t="s">
        <v>400</v>
      </c>
      <c r="E1693" s="19" t="s">
        <v>147</v>
      </c>
      <c r="F1693" s="19" t="s">
        <v>583</v>
      </c>
      <c r="G1693" s="19" t="n">
        <v>197</v>
      </c>
      <c r="H1693" s="19" t="s">
        <v>584</v>
      </c>
      <c r="I1693" s="20" t="n">
        <v>125.743</v>
      </c>
      <c r="J1693" s="19" t="n">
        <f aca="false">IF(I1693="","",MIN(Overview!$B$8,MAX(1,CEILING(I1693/Overview!$B$7,1))))</f>
        <v>26</v>
      </c>
      <c r="K1693" s="19" t="n">
        <v>1</v>
      </c>
      <c r="L1693" s="19"/>
      <c r="M1693" s="20" t="n">
        <v>2</v>
      </c>
      <c r="N1693" s="19"/>
      <c r="O1693" s="19" t="s">
        <v>686</v>
      </c>
      <c r="P1693" s="19" t="s">
        <v>3717</v>
      </c>
      <c r="Q1693" s="19" t="s">
        <v>2343</v>
      </c>
      <c r="R1693" s="21" t="n">
        <v>31505</v>
      </c>
      <c r="S1693" s="19" t="s">
        <v>1302</v>
      </c>
      <c r="T1693" s="19" t="s">
        <v>5557</v>
      </c>
      <c r="U1693" s="19" t="str">
        <f aca="false">HYPERLINK("https://macaulaylibrary.org/asset/249440","Open")</f>
        <v>Open</v>
      </c>
      <c r="V1693" s="19"/>
    </row>
    <row r="1694" customFormat="false" ht="15" hidden="false" customHeight="false" outlineLevel="0" collapsed="false">
      <c r="A1694" s="19" t="s">
        <v>5558</v>
      </c>
      <c r="B1694" s="19" t="s">
        <v>943</v>
      </c>
      <c r="C1694" s="19" t="s">
        <v>944</v>
      </c>
      <c r="D1694" s="19" t="s">
        <v>400</v>
      </c>
      <c r="E1694" s="19" t="s">
        <v>147</v>
      </c>
      <c r="F1694" s="19" t="s">
        <v>583</v>
      </c>
      <c r="G1694" s="19" t="n">
        <v>197</v>
      </c>
      <c r="H1694" s="19" t="s">
        <v>584</v>
      </c>
      <c r="I1694" s="20" t="n">
        <v>153.609</v>
      </c>
      <c r="J1694" s="19" t="n">
        <f aca="false">IF(I1694="","",MIN(Overview!$B$8,MAX(1,CEILING(I1694/Overview!$B$7,1))))</f>
        <v>31</v>
      </c>
      <c r="K1694" s="19" t="n">
        <v>1</v>
      </c>
      <c r="L1694" s="19"/>
      <c r="M1694" s="20" t="n">
        <v>2</v>
      </c>
      <c r="N1694" s="19"/>
      <c r="O1694" s="19" t="s">
        <v>5559</v>
      </c>
      <c r="P1694" s="19" t="s">
        <v>2342</v>
      </c>
      <c r="Q1694" s="19" t="s">
        <v>2343</v>
      </c>
      <c r="R1694" s="21" t="n">
        <v>31506</v>
      </c>
      <c r="S1694" s="19" t="s">
        <v>1534</v>
      </c>
      <c r="T1694" s="19" t="s">
        <v>5560</v>
      </c>
      <c r="U1694" s="19" t="str">
        <f aca="false">HYPERLINK("https://macaulaylibrary.org/asset/249456","Open")</f>
        <v>Open</v>
      </c>
      <c r="V1694" s="19"/>
    </row>
    <row r="1695" customFormat="false" ht="15" hidden="false" customHeight="false" outlineLevel="0" collapsed="false">
      <c r="A1695" s="19" t="s">
        <v>5561</v>
      </c>
      <c r="B1695" s="19" t="s">
        <v>943</v>
      </c>
      <c r="C1695" s="19" t="s">
        <v>944</v>
      </c>
      <c r="D1695" s="19" t="s">
        <v>400</v>
      </c>
      <c r="E1695" s="19" t="s">
        <v>147</v>
      </c>
      <c r="F1695" s="19" t="s">
        <v>583</v>
      </c>
      <c r="G1695" s="19" t="n">
        <v>197</v>
      </c>
      <c r="H1695" s="19" t="s">
        <v>584</v>
      </c>
      <c r="I1695" s="20" t="n">
        <v>22.927</v>
      </c>
      <c r="J1695" s="19" t="n">
        <f aca="false">IF(I1695="","",MIN(Overview!$B$8,MAX(1,CEILING(I1695/Overview!$B$7,1))))</f>
        <v>5</v>
      </c>
      <c r="K1695" s="19" t="n">
        <v>1</v>
      </c>
      <c r="L1695" s="19"/>
      <c r="M1695" s="20" t="n">
        <v>5</v>
      </c>
      <c r="N1695" s="19"/>
      <c r="O1695" s="19"/>
      <c r="P1695" s="19" t="s">
        <v>1278</v>
      </c>
      <c r="Q1695" s="19" t="s">
        <v>1030</v>
      </c>
      <c r="R1695" s="21" t="n">
        <v>33597</v>
      </c>
      <c r="S1695" s="19" t="s">
        <v>1279</v>
      </c>
      <c r="T1695" s="19" t="s">
        <v>5562</v>
      </c>
      <c r="U1695" s="19" t="str">
        <f aca="false">HYPERLINK("https://macaulaylibrary.org/asset/285627","Open")</f>
        <v>Open</v>
      </c>
      <c r="V1695" s="19"/>
    </row>
    <row r="1696" customFormat="false" ht="15" hidden="false" customHeight="false" outlineLevel="0" collapsed="false">
      <c r="A1696" s="19" t="s">
        <v>5563</v>
      </c>
      <c r="B1696" s="19" t="s">
        <v>943</v>
      </c>
      <c r="C1696" s="19" t="s">
        <v>944</v>
      </c>
      <c r="D1696" s="19" t="s">
        <v>400</v>
      </c>
      <c r="E1696" s="19" t="s">
        <v>147</v>
      </c>
      <c r="F1696" s="19" t="s">
        <v>583</v>
      </c>
      <c r="G1696" s="19" t="n">
        <v>197</v>
      </c>
      <c r="H1696" s="19" t="s">
        <v>584</v>
      </c>
      <c r="I1696" s="20" t="n">
        <v>169.924</v>
      </c>
      <c r="J1696" s="19" t="n">
        <f aca="false">IF(I1696="","",MIN(Overview!$B$8,MAX(1,CEILING(I1696/Overview!$B$7,1))))</f>
        <v>34</v>
      </c>
      <c r="K1696" s="19" t="n">
        <v>1</v>
      </c>
      <c r="L1696" s="19"/>
      <c r="M1696" s="20" t="n">
        <v>4.5</v>
      </c>
      <c r="N1696" s="19"/>
      <c r="O1696" s="19"/>
      <c r="P1696" s="19" t="s">
        <v>4859</v>
      </c>
      <c r="Q1696" s="19" t="s">
        <v>1408</v>
      </c>
      <c r="R1696" s="21" t="n">
        <v>31807</v>
      </c>
      <c r="S1696" s="19" t="s">
        <v>1009</v>
      </c>
      <c r="T1696" s="19" t="s">
        <v>5564</v>
      </c>
      <c r="U1696" s="19" t="str">
        <f aca="false">HYPERLINK("https://macaulaylibrary.org/asset/336650811","Open")</f>
        <v>Open</v>
      </c>
      <c r="V1696" s="19"/>
    </row>
    <row r="1697" customFormat="false" ht="15" hidden="false" customHeight="false" outlineLevel="0" collapsed="false">
      <c r="A1697" s="19" t="s">
        <v>5565</v>
      </c>
      <c r="B1697" s="19" t="s">
        <v>943</v>
      </c>
      <c r="C1697" s="19" t="s">
        <v>944</v>
      </c>
      <c r="D1697" s="19" t="s">
        <v>400</v>
      </c>
      <c r="E1697" s="19" t="s">
        <v>147</v>
      </c>
      <c r="F1697" s="19" t="s">
        <v>460</v>
      </c>
      <c r="G1697" s="19" t="n">
        <v>198</v>
      </c>
      <c r="H1697" s="19" t="s">
        <v>461</v>
      </c>
      <c r="I1697" s="20" t="n">
        <v>36.808</v>
      </c>
      <c r="J1697" s="19" t="n">
        <f aca="false">IF(I1697="","",MIN(Overview!$B$8,MAX(1,CEILING(I1697/Overview!$B$7,1))))</f>
        <v>8</v>
      </c>
      <c r="K1697" s="19" t="n">
        <v>1</v>
      </c>
      <c r="L1697" s="19"/>
      <c r="M1697" s="20" t="n">
        <v>3</v>
      </c>
      <c r="N1697" s="19"/>
      <c r="O1697" s="19"/>
      <c r="P1697" s="19" t="s">
        <v>1679</v>
      </c>
      <c r="Q1697" s="19" t="s">
        <v>1401</v>
      </c>
      <c r="R1697" s="21" t="n">
        <v>36227</v>
      </c>
      <c r="S1697" s="19" t="s">
        <v>1002</v>
      </c>
      <c r="T1697" s="19" t="s">
        <v>5566</v>
      </c>
      <c r="U1697" s="19" t="str">
        <f aca="false">HYPERLINK("https://macaulaylibrary.org/asset/129494221","Open")</f>
        <v>Open</v>
      </c>
      <c r="V1697" s="19"/>
    </row>
    <row r="1698" customFormat="false" ht="15" hidden="false" customHeight="false" outlineLevel="0" collapsed="false">
      <c r="A1698" s="19" t="s">
        <v>5567</v>
      </c>
      <c r="B1698" s="19" t="s">
        <v>943</v>
      </c>
      <c r="C1698" s="19" t="s">
        <v>944</v>
      </c>
      <c r="D1698" s="19" t="s">
        <v>400</v>
      </c>
      <c r="E1698" s="19" t="s">
        <v>147</v>
      </c>
      <c r="F1698" s="19" t="s">
        <v>460</v>
      </c>
      <c r="G1698" s="19" t="n">
        <v>198</v>
      </c>
      <c r="H1698" s="19" t="s">
        <v>461</v>
      </c>
      <c r="I1698" s="20" t="n">
        <v>39.106</v>
      </c>
      <c r="J1698" s="19" t="n">
        <f aca="false">IF(I1698="","",MIN(Overview!$B$8,MAX(1,CEILING(I1698/Overview!$B$7,1))))</f>
        <v>8</v>
      </c>
      <c r="K1698" s="19" t="n">
        <v>1</v>
      </c>
      <c r="L1698" s="19"/>
      <c r="M1698" s="20" t="n">
        <v>3</v>
      </c>
      <c r="N1698" s="19"/>
      <c r="O1698" s="19"/>
      <c r="P1698" s="19" t="s">
        <v>5297</v>
      </c>
      <c r="Q1698" s="19" t="s">
        <v>1050</v>
      </c>
      <c r="R1698" s="21" t="n">
        <v>43406</v>
      </c>
      <c r="S1698" s="19" t="s">
        <v>3042</v>
      </c>
      <c r="T1698" s="19" t="s">
        <v>5568</v>
      </c>
      <c r="U1698" s="19" t="str">
        <f aca="false">HYPERLINK("https://macaulaylibrary.org/asset/293078391","Open")</f>
        <v>Open</v>
      </c>
      <c r="V1698" s="19"/>
    </row>
    <row r="1699" customFormat="false" ht="15" hidden="false" customHeight="false" outlineLevel="0" collapsed="false">
      <c r="A1699" s="19" t="s">
        <v>5569</v>
      </c>
      <c r="B1699" s="19" t="s">
        <v>943</v>
      </c>
      <c r="C1699" s="19" t="s">
        <v>944</v>
      </c>
      <c r="D1699" s="19" t="s">
        <v>400</v>
      </c>
      <c r="E1699" s="19" t="s">
        <v>147</v>
      </c>
      <c r="F1699" s="19" t="s">
        <v>460</v>
      </c>
      <c r="G1699" s="19" t="n">
        <v>198</v>
      </c>
      <c r="H1699" s="19" t="s">
        <v>461</v>
      </c>
      <c r="I1699" s="20" t="n">
        <v>96.854</v>
      </c>
      <c r="J1699" s="19" t="n">
        <f aca="false">IF(I1699="","",MIN(Overview!$B$8,MAX(1,CEILING(I1699/Overview!$B$7,1))))</f>
        <v>20</v>
      </c>
      <c r="K1699" s="19" t="n">
        <v>1</v>
      </c>
      <c r="L1699" s="19"/>
      <c r="M1699" s="20" t="n">
        <v>2</v>
      </c>
      <c r="N1699" s="19"/>
      <c r="O1699" s="19"/>
      <c r="P1699" s="19" t="s">
        <v>1039</v>
      </c>
      <c r="Q1699" s="19" t="s">
        <v>1040</v>
      </c>
      <c r="R1699" s="21" t="n">
        <v>40901</v>
      </c>
      <c r="S1699" s="19" t="s">
        <v>1002</v>
      </c>
      <c r="T1699" s="19" t="s">
        <v>5570</v>
      </c>
      <c r="U1699" s="19" t="str">
        <f aca="false">HYPERLINK("https://macaulaylibrary.org/asset/609056495","Open")</f>
        <v>Open</v>
      </c>
      <c r="V1699" s="19"/>
    </row>
    <row r="1700" customFormat="false" ht="15" hidden="false" customHeight="false" outlineLevel="0" collapsed="false">
      <c r="A1700" s="19" t="s">
        <v>5571</v>
      </c>
      <c r="B1700" s="19" t="s">
        <v>943</v>
      </c>
      <c r="C1700" s="19" t="s">
        <v>944</v>
      </c>
      <c r="D1700" s="19" t="s">
        <v>400</v>
      </c>
      <c r="E1700" s="19" t="s">
        <v>147</v>
      </c>
      <c r="F1700" s="19" t="s">
        <v>460</v>
      </c>
      <c r="G1700" s="19" t="n">
        <v>198</v>
      </c>
      <c r="H1700" s="19" t="s">
        <v>461</v>
      </c>
      <c r="I1700" s="20" t="n">
        <v>3.586</v>
      </c>
      <c r="J1700" s="19" t="n">
        <f aca="false">IF(I1700="","",MIN(Overview!$B$8,MAX(1,CEILING(I1700/Overview!$B$7,1))))</f>
        <v>1</v>
      </c>
      <c r="K1700" s="19" t="n">
        <v>1</v>
      </c>
      <c r="L1700" s="19" t="s">
        <v>1048</v>
      </c>
      <c r="M1700" s="20" t="n">
        <v>1</v>
      </c>
      <c r="N1700" s="19"/>
      <c r="O1700" s="19"/>
      <c r="P1700" s="19" t="s">
        <v>1039</v>
      </c>
      <c r="Q1700" s="19" t="s">
        <v>1040</v>
      </c>
      <c r="R1700" s="21" t="n">
        <v>40901</v>
      </c>
      <c r="S1700" s="19" t="s">
        <v>1002</v>
      </c>
      <c r="T1700" s="19" t="s">
        <v>5572</v>
      </c>
      <c r="U1700" s="19" t="str">
        <f aca="false">HYPERLINK("https://macaulaylibrary.org/asset/609056503","Open")</f>
        <v>Open</v>
      </c>
      <c r="V1700" s="19"/>
    </row>
    <row r="1701" customFormat="false" ht="15" hidden="false" customHeight="false" outlineLevel="0" collapsed="false">
      <c r="A1701" s="19" t="s">
        <v>5573</v>
      </c>
      <c r="B1701" s="19" t="s">
        <v>943</v>
      </c>
      <c r="C1701" s="19" t="s">
        <v>944</v>
      </c>
      <c r="D1701" s="19" t="s">
        <v>400</v>
      </c>
      <c r="E1701" s="19" t="s">
        <v>147</v>
      </c>
      <c r="F1701" s="19" t="s">
        <v>460</v>
      </c>
      <c r="G1701" s="19" t="n">
        <v>198</v>
      </c>
      <c r="H1701" s="19" t="s">
        <v>461</v>
      </c>
      <c r="I1701" s="20" t="n">
        <v>4.259</v>
      </c>
      <c r="J1701" s="19" t="n">
        <f aca="false">IF(I1701="","",MIN(Overview!$B$8,MAX(1,CEILING(I1701/Overview!$B$7,1))))</f>
        <v>1</v>
      </c>
      <c r="K1701" s="19" t="n">
        <v>1</v>
      </c>
      <c r="L1701" s="19" t="s">
        <v>1048</v>
      </c>
      <c r="M1701" s="20" t="n">
        <v>2</v>
      </c>
      <c r="N1701" s="19"/>
      <c r="O1701" s="19"/>
      <c r="P1701" s="19" t="s">
        <v>5574</v>
      </c>
      <c r="Q1701" s="19" t="s">
        <v>1458</v>
      </c>
      <c r="R1701" s="21" t="n">
        <v>45176</v>
      </c>
      <c r="S1701" s="19" t="s">
        <v>1415</v>
      </c>
      <c r="T1701" s="19" t="s">
        <v>5575</v>
      </c>
      <c r="U1701" s="19" t="str">
        <f aca="false">HYPERLINK("https://macaulaylibrary.org/asset/618147374","Open")</f>
        <v>Open</v>
      </c>
      <c r="V1701" s="19"/>
    </row>
    <row r="1702" customFormat="false" ht="15" hidden="false" customHeight="false" outlineLevel="0" collapsed="false">
      <c r="A1702" s="19" t="s">
        <v>5576</v>
      </c>
      <c r="B1702" s="19" t="s">
        <v>943</v>
      </c>
      <c r="C1702" s="19" t="s">
        <v>944</v>
      </c>
      <c r="D1702" s="19" t="s">
        <v>400</v>
      </c>
      <c r="E1702" s="19" t="s">
        <v>147</v>
      </c>
      <c r="F1702" s="19" t="s">
        <v>460</v>
      </c>
      <c r="G1702" s="19" t="n">
        <v>198</v>
      </c>
      <c r="H1702" s="19" t="s">
        <v>461</v>
      </c>
      <c r="I1702" s="20" t="n">
        <v>4.279</v>
      </c>
      <c r="J1702" s="19" t="n">
        <f aca="false">IF(I1702="","",MIN(Overview!$B$8,MAX(1,CEILING(I1702/Overview!$B$7,1))))</f>
        <v>1</v>
      </c>
      <c r="K1702" s="19" t="n">
        <v>1</v>
      </c>
      <c r="L1702" s="19" t="s">
        <v>1048</v>
      </c>
      <c r="M1702" s="20" t="n">
        <v>4</v>
      </c>
      <c r="N1702" s="19"/>
      <c r="O1702" s="19"/>
      <c r="P1702" s="19" t="s">
        <v>1467</v>
      </c>
      <c r="Q1702" s="19" t="s">
        <v>1258</v>
      </c>
      <c r="R1702" s="21" t="n">
        <v>45230</v>
      </c>
      <c r="S1702" s="19" t="s">
        <v>1306</v>
      </c>
      <c r="T1702" s="19" t="s">
        <v>5577</v>
      </c>
      <c r="U1702" s="19" t="str">
        <f aca="false">HYPERLINK("https://macaulaylibrary.org/asset/621759967","Open")</f>
        <v>Open</v>
      </c>
      <c r="V1702" s="19"/>
    </row>
    <row r="1703" customFormat="false" ht="15" hidden="false" customHeight="false" outlineLevel="0" collapsed="false">
      <c r="A1703" s="19" t="s">
        <v>5578</v>
      </c>
      <c r="B1703" s="19" t="s">
        <v>943</v>
      </c>
      <c r="C1703" s="19" t="s">
        <v>944</v>
      </c>
      <c r="D1703" s="19" t="s">
        <v>400</v>
      </c>
      <c r="E1703" s="19" t="s">
        <v>147</v>
      </c>
      <c r="F1703" s="19" t="s">
        <v>460</v>
      </c>
      <c r="G1703" s="19" t="n">
        <v>198</v>
      </c>
      <c r="H1703" s="19" t="s">
        <v>461</v>
      </c>
      <c r="I1703" s="20" t="n">
        <v>5.59</v>
      </c>
      <c r="J1703" s="19" t="n">
        <f aca="false">IF(I1703="","",MIN(Overview!$B$8,MAX(1,CEILING(I1703/Overview!$B$7,1))))</f>
        <v>2</v>
      </c>
      <c r="K1703" s="19" t="n">
        <v>1</v>
      </c>
      <c r="L1703" s="19"/>
      <c r="M1703" s="20"/>
      <c r="N1703" s="19"/>
      <c r="O1703" s="19"/>
      <c r="P1703" s="19" t="s">
        <v>1386</v>
      </c>
      <c r="Q1703" s="19" t="s">
        <v>1382</v>
      </c>
      <c r="R1703" s="21" t="n">
        <v>46103</v>
      </c>
      <c r="S1703" s="19" t="s">
        <v>1387</v>
      </c>
      <c r="T1703" s="19" t="s">
        <v>5579</v>
      </c>
      <c r="U1703" s="19" t="str">
        <f aca="false">HYPERLINK("https://macaulaylibrary.org/asset/654319713","Open")</f>
        <v>Open</v>
      </c>
      <c r="V1703" s="19"/>
    </row>
    <row r="1704" customFormat="false" ht="15" hidden="false" customHeight="false" outlineLevel="0" collapsed="false">
      <c r="A1704" s="19" t="s">
        <v>5580</v>
      </c>
      <c r="B1704" s="19" t="s">
        <v>1005</v>
      </c>
      <c r="C1704" s="19" t="s">
        <v>944</v>
      </c>
      <c r="D1704" s="19" t="s">
        <v>647</v>
      </c>
      <c r="E1704" s="19" t="s">
        <v>147</v>
      </c>
      <c r="F1704" s="19" t="s">
        <v>460</v>
      </c>
      <c r="G1704" s="19" t="n">
        <v>198</v>
      </c>
      <c r="H1704" s="19" t="s">
        <v>461</v>
      </c>
      <c r="I1704" s="20" t="n">
        <v>43.824</v>
      </c>
      <c r="J1704" s="19" t="n">
        <f aca="false">IF(I1704="","",MIN(Overview!$B$8,MAX(1,CEILING(I1704/Overview!$B$7,1))))</f>
        <v>9</v>
      </c>
      <c r="K1704" s="19" t="n">
        <v>1</v>
      </c>
      <c r="L1704" s="19"/>
      <c r="M1704" s="20"/>
      <c r="N1704" s="19" t="s">
        <v>1718</v>
      </c>
      <c r="O1704" s="19"/>
      <c r="P1704" s="19" t="s">
        <v>1007</v>
      </c>
      <c r="Q1704" s="19" t="s">
        <v>1008</v>
      </c>
      <c r="R1704" s="21" t="n">
        <v>42577</v>
      </c>
      <c r="S1704" s="19" t="s">
        <v>1013</v>
      </c>
      <c r="T1704" s="19" t="s">
        <v>5581</v>
      </c>
      <c r="U1704" s="19" t="str">
        <f aca="false">HYPERLINK("https://xeno-canto.org/331469","Open")</f>
        <v>Open</v>
      </c>
      <c r="V1704" s="19" t="s">
        <v>1011</v>
      </c>
    </row>
    <row r="1705" customFormat="false" ht="15" hidden="false" customHeight="false" outlineLevel="0" collapsed="false">
      <c r="A1705" s="19" t="s">
        <v>5582</v>
      </c>
      <c r="B1705" s="19" t="s">
        <v>943</v>
      </c>
      <c r="C1705" s="19" t="s">
        <v>944</v>
      </c>
      <c r="D1705" s="19" t="s">
        <v>148</v>
      </c>
      <c r="E1705" s="19" t="s">
        <v>147</v>
      </c>
      <c r="F1705" s="19" t="s">
        <v>188</v>
      </c>
      <c r="G1705" s="19" t="n">
        <v>199</v>
      </c>
      <c r="H1705" s="19" t="s">
        <v>189</v>
      </c>
      <c r="I1705" s="20" t="n">
        <v>91.377</v>
      </c>
      <c r="J1705" s="19" t="n">
        <f aca="false">IF(I1705="","",MIN(Overview!$B$8,MAX(1,CEILING(I1705/Overview!$B$7,1))))</f>
        <v>19</v>
      </c>
      <c r="K1705" s="19" t="n">
        <v>1</v>
      </c>
      <c r="L1705" s="19"/>
      <c r="M1705" s="20" t="n">
        <v>3</v>
      </c>
      <c r="N1705" s="19"/>
      <c r="O1705" s="19"/>
      <c r="P1705" s="19" t="s">
        <v>1577</v>
      </c>
      <c r="Q1705" s="19" t="s">
        <v>1401</v>
      </c>
      <c r="R1705" s="21" t="n">
        <v>35479</v>
      </c>
      <c r="S1705" s="19" t="s">
        <v>1578</v>
      </c>
      <c r="T1705" s="19" t="s">
        <v>5583</v>
      </c>
      <c r="U1705" s="19" t="str">
        <f aca="false">HYPERLINK("https://macaulaylibrary.org/asset/129512041","Open")</f>
        <v>Open</v>
      </c>
      <c r="V1705" s="19"/>
    </row>
    <row r="1706" customFormat="false" ht="15" hidden="false" customHeight="false" outlineLevel="0" collapsed="false">
      <c r="A1706" s="19" t="s">
        <v>5584</v>
      </c>
      <c r="B1706" s="19" t="s">
        <v>943</v>
      </c>
      <c r="C1706" s="19" t="s">
        <v>944</v>
      </c>
      <c r="D1706" s="19" t="s">
        <v>148</v>
      </c>
      <c r="E1706" s="19" t="s">
        <v>147</v>
      </c>
      <c r="F1706" s="19" t="s">
        <v>188</v>
      </c>
      <c r="G1706" s="19" t="n">
        <v>199</v>
      </c>
      <c r="H1706" s="19" t="s">
        <v>189</v>
      </c>
      <c r="I1706" s="20" t="n">
        <v>64.821</v>
      </c>
      <c r="J1706" s="19" t="n">
        <f aca="false">IF(I1706="","",MIN(Overview!$B$8,MAX(1,CEILING(I1706/Overview!$B$7,1))))</f>
        <v>13</v>
      </c>
      <c r="K1706" s="19" t="n">
        <v>1</v>
      </c>
      <c r="L1706" s="19"/>
      <c r="M1706" s="20" t="n">
        <v>3.5</v>
      </c>
      <c r="N1706" s="19"/>
      <c r="O1706" s="19"/>
      <c r="P1706" s="19" t="s">
        <v>1105</v>
      </c>
      <c r="Q1706" s="19" t="s">
        <v>1021</v>
      </c>
      <c r="R1706" s="21" t="n">
        <v>36597</v>
      </c>
      <c r="S1706" s="19" t="s">
        <v>1106</v>
      </c>
      <c r="T1706" s="19" t="s">
        <v>5585</v>
      </c>
      <c r="U1706" s="19" t="str">
        <f aca="false">HYPERLINK("https://macaulaylibrary.org/asset/145621391","Open")</f>
        <v>Open</v>
      </c>
      <c r="V1706" s="19"/>
    </row>
    <row r="1707" customFormat="false" ht="15" hidden="false" customHeight="false" outlineLevel="0" collapsed="false">
      <c r="A1707" s="19" t="s">
        <v>5586</v>
      </c>
      <c r="B1707" s="19" t="s">
        <v>943</v>
      </c>
      <c r="C1707" s="19" t="s">
        <v>944</v>
      </c>
      <c r="D1707" s="19" t="s">
        <v>148</v>
      </c>
      <c r="E1707" s="19" t="s">
        <v>147</v>
      </c>
      <c r="F1707" s="19" t="s">
        <v>188</v>
      </c>
      <c r="G1707" s="19" t="n">
        <v>199</v>
      </c>
      <c r="H1707" s="19" t="s">
        <v>189</v>
      </c>
      <c r="I1707" s="20" t="n">
        <v>185.233</v>
      </c>
      <c r="J1707" s="19" t="n">
        <f aca="false">IF(I1707="","",MIN(Overview!$B$8,MAX(1,CEILING(I1707/Overview!$B$7,1))))</f>
        <v>38</v>
      </c>
      <c r="K1707" s="19" t="n">
        <v>1</v>
      </c>
      <c r="L1707" s="19"/>
      <c r="M1707" s="20" t="n">
        <v>3.5</v>
      </c>
      <c r="N1707" s="19"/>
      <c r="O1707" s="19"/>
      <c r="P1707" s="19" t="s">
        <v>1105</v>
      </c>
      <c r="Q1707" s="19" t="s">
        <v>1021</v>
      </c>
      <c r="R1707" s="21" t="n">
        <v>36597</v>
      </c>
      <c r="S1707" s="19" t="s">
        <v>1106</v>
      </c>
      <c r="T1707" s="19" t="s">
        <v>5587</v>
      </c>
      <c r="U1707" s="19" t="str">
        <f aca="false">HYPERLINK("https://macaulaylibrary.org/asset/145625701","Open")</f>
        <v>Open</v>
      </c>
      <c r="V1707" s="19"/>
    </row>
    <row r="1708" customFormat="false" ht="15" hidden="false" customHeight="false" outlineLevel="0" collapsed="false">
      <c r="A1708" s="19" t="s">
        <v>5588</v>
      </c>
      <c r="B1708" s="19" t="s">
        <v>943</v>
      </c>
      <c r="C1708" s="19" t="s">
        <v>944</v>
      </c>
      <c r="D1708" s="19" t="s">
        <v>148</v>
      </c>
      <c r="E1708" s="19" t="s">
        <v>147</v>
      </c>
      <c r="F1708" s="19" t="s">
        <v>188</v>
      </c>
      <c r="G1708" s="19" t="n">
        <v>199</v>
      </c>
      <c r="H1708" s="19" t="s">
        <v>189</v>
      </c>
      <c r="I1708" s="20" t="n">
        <v>34.795</v>
      </c>
      <c r="J1708" s="19" t="n">
        <f aca="false">IF(I1708="","",MIN(Overview!$B$8,MAX(1,CEILING(I1708/Overview!$B$7,1))))</f>
        <v>7</v>
      </c>
      <c r="K1708" s="19" t="n">
        <v>1</v>
      </c>
      <c r="L1708" s="19"/>
      <c r="M1708" s="20" t="n">
        <v>1</v>
      </c>
      <c r="N1708" s="19"/>
      <c r="O1708" s="19"/>
      <c r="P1708" s="19" t="s">
        <v>4203</v>
      </c>
      <c r="Q1708" s="19" t="s">
        <v>1847</v>
      </c>
      <c r="R1708" s="21" t="n">
        <v>43528</v>
      </c>
      <c r="S1708" s="19" t="s">
        <v>4204</v>
      </c>
      <c r="T1708" s="19" t="s">
        <v>5589</v>
      </c>
      <c r="U1708" s="19" t="str">
        <f aca="false">HYPERLINK("https://macaulaylibrary.org/asset/147183361","Open")</f>
        <v>Open</v>
      </c>
      <c r="V1708" s="19"/>
    </row>
    <row r="1709" customFormat="false" ht="15" hidden="false" customHeight="false" outlineLevel="0" collapsed="false">
      <c r="A1709" s="19" t="s">
        <v>5590</v>
      </c>
      <c r="B1709" s="19" t="s">
        <v>943</v>
      </c>
      <c r="C1709" s="19" t="s">
        <v>944</v>
      </c>
      <c r="D1709" s="19" t="s">
        <v>148</v>
      </c>
      <c r="E1709" s="19" t="s">
        <v>147</v>
      </c>
      <c r="F1709" s="19" t="s">
        <v>188</v>
      </c>
      <c r="G1709" s="19" t="n">
        <v>199</v>
      </c>
      <c r="H1709" s="19" t="s">
        <v>189</v>
      </c>
      <c r="I1709" s="20" t="n">
        <v>8.989</v>
      </c>
      <c r="J1709" s="19" t="n">
        <f aca="false">IF(I1709="","",MIN(Overview!$B$8,MAX(1,CEILING(I1709/Overview!$B$7,1))))</f>
        <v>2</v>
      </c>
      <c r="K1709" s="19" t="n">
        <v>1</v>
      </c>
      <c r="L1709" s="19"/>
      <c r="M1709" s="20" t="n">
        <v>3</v>
      </c>
      <c r="N1709" s="19"/>
      <c r="O1709" s="19"/>
      <c r="P1709" s="19" t="s">
        <v>1105</v>
      </c>
      <c r="Q1709" s="19" t="s">
        <v>1021</v>
      </c>
      <c r="R1709" s="21" t="n">
        <v>36597</v>
      </c>
      <c r="S1709" s="19" t="s">
        <v>1106</v>
      </c>
      <c r="T1709" s="19" t="s">
        <v>5591</v>
      </c>
      <c r="U1709" s="19" t="str">
        <f aca="false">HYPERLINK("https://macaulaylibrary.org/asset/147239611","Open")</f>
        <v>Open</v>
      </c>
      <c r="V1709" s="19"/>
    </row>
    <row r="1710" customFormat="false" ht="15" hidden="false" customHeight="false" outlineLevel="0" collapsed="false">
      <c r="A1710" s="19" t="s">
        <v>5592</v>
      </c>
      <c r="B1710" s="19" t="s">
        <v>943</v>
      </c>
      <c r="C1710" s="19" t="s">
        <v>944</v>
      </c>
      <c r="D1710" s="19" t="s">
        <v>148</v>
      </c>
      <c r="E1710" s="19" t="s">
        <v>147</v>
      </c>
      <c r="F1710" s="19" t="s">
        <v>188</v>
      </c>
      <c r="G1710" s="19" t="n">
        <v>199</v>
      </c>
      <c r="H1710" s="19" t="s">
        <v>189</v>
      </c>
      <c r="I1710" s="20" t="n">
        <v>324.202</v>
      </c>
      <c r="J1710" s="19" t="n">
        <f aca="false">IF(I1710="","",MIN(Overview!$B$8,MAX(1,CEILING(I1710/Overview!$B$7,1))))</f>
        <v>65</v>
      </c>
      <c r="K1710" s="19" t="n">
        <v>1</v>
      </c>
      <c r="L1710" s="19"/>
      <c r="M1710" s="20" t="n">
        <v>4.5</v>
      </c>
      <c r="N1710" s="19"/>
      <c r="O1710" s="19"/>
      <c r="P1710" s="19" t="s">
        <v>1080</v>
      </c>
      <c r="Q1710" s="19" t="s">
        <v>1021</v>
      </c>
      <c r="R1710" s="21" t="n">
        <v>36602</v>
      </c>
      <c r="S1710" s="19" t="s">
        <v>1081</v>
      </c>
      <c r="T1710" s="19" t="s">
        <v>5593</v>
      </c>
      <c r="U1710" s="19" t="str">
        <f aca="false">HYPERLINK("https://macaulaylibrary.org/asset/153382291","Open")</f>
        <v>Open</v>
      </c>
      <c r="V1710" s="19"/>
    </row>
    <row r="1711" customFormat="false" ht="15" hidden="false" customHeight="false" outlineLevel="0" collapsed="false">
      <c r="A1711" s="19" t="s">
        <v>5594</v>
      </c>
      <c r="B1711" s="19" t="s">
        <v>943</v>
      </c>
      <c r="C1711" s="19" t="s">
        <v>944</v>
      </c>
      <c r="D1711" s="19" t="s">
        <v>148</v>
      </c>
      <c r="E1711" s="19" t="s">
        <v>147</v>
      </c>
      <c r="F1711" s="19" t="s">
        <v>188</v>
      </c>
      <c r="G1711" s="19" t="n">
        <v>199</v>
      </c>
      <c r="H1711" s="19" t="s">
        <v>189</v>
      </c>
      <c r="I1711" s="20" t="n">
        <v>70.439</v>
      </c>
      <c r="J1711" s="19" t="n">
        <f aca="false">IF(I1711="","",MIN(Overview!$B$8,MAX(1,CEILING(I1711/Overview!$B$7,1))))</f>
        <v>15</v>
      </c>
      <c r="K1711" s="19" t="n">
        <v>1</v>
      </c>
      <c r="L1711" s="19"/>
      <c r="M1711" s="20" t="n">
        <v>2</v>
      </c>
      <c r="N1711" s="19"/>
      <c r="O1711" s="19" t="s">
        <v>165</v>
      </c>
      <c r="P1711" s="19" t="s">
        <v>3144</v>
      </c>
      <c r="Q1711" s="19" t="s">
        <v>1136</v>
      </c>
      <c r="R1711" s="21" t="n">
        <v>29736</v>
      </c>
      <c r="S1711" s="19" t="s">
        <v>1419</v>
      </c>
      <c r="T1711" s="19" t="s">
        <v>5595</v>
      </c>
      <c r="U1711" s="19" t="str">
        <f aca="false">HYPERLINK("https://macaulaylibrary.org/asset/26395","Open")</f>
        <v>Open</v>
      </c>
      <c r="V1711" s="19"/>
    </row>
    <row r="1712" customFormat="false" ht="15" hidden="false" customHeight="false" outlineLevel="0" collapsed="false">
      <c r="A1712" s="19" t="s">
        <v>5596</v>
      </c>
      <c r="B1712" s="19" t="s">
        <v>943</v>
      </c>
      <c r="C1712" s="19" t="s">
        <v>944</v>
      </c>
      <c r="D1712" s="19" t="s">
        <v>148</v>
      </c>
      <c r="E1712" s="19" t="s">
        <v>147</v>
      </c>
      <c r="F1712" s="19" t="s">
        <v>188</v>
      </c>
      <c r="G1712" s="19" t="n">
        <v>199</v>
      </c>
      <c r="H1712" s="19" t="s">
        <v>189</v>
      </c>
      <c r="I1712" s="20" t="n">
        <v>91.835</v>
      </c>
      <c r="J1712" s="19" t="n">
        <f aca="false">IF(I1712="","",MIN(Overview!$B$8,MAX(1,CEILING(I1712/Overview!$B$7,1))))</f>
        <v>19</v>
      </c>
      <c r="K1712" s="19" t="n">
        <v>1</v>
      </c>
      <c r="L1712" s="19"/>
      <c r="M1712" s="20" t="n">
        <v>2</v>
      </c>
      <c r="N1712" s="19"/>
      <c r="O1712" s="19"/>
      <c r="P1712" s="19" t="s">
        <v>3201</v>
      </c>
      <c r="Q1712" s="19" t="s">
        <v>1136</v>
      </c>
      <c r="R1712" s="21" t="n">
        <v>29739</v>
      </c>
      <c r="S1712" s="19" t="s">
        <v>1017</v>
      </c>
      <c r="T1712" s="19" t="s">
        <v>5597</v>
      </c>
      <c r="U1712" s="19" t="str">
        <f aca="false">HYPERLINK("https://macaulaylibrary.org/asset/28109","Open")</f>
        <v>Open</v>
      </c>
      <c r="V1712" s="19"/>
    </row>
    <row r="1713" customFormat="false" ht="15" hidden="false" customHeight="false" outlineLevel="0" collapsed="false">
      <c r="A1713" s="19" t="s">
        <v>5598</v>
      </c>
      <c r="B1713" s="19" t="s">
        <v>943</v>
      </c>
      <c r="C1713" s="19" t="s">
        <v>944</v>
      </c>
      <c r="D1713" s="19" t="s">
        <v>148</v>
      </c>
      <c r="E1713" s="19" t="s">
        <v>147</v>
      </c>
      <c r="F1713" s="19" t="s">
        <v>188</v>
      </c>
      <c r="G1713" s="19" t="n">
        <v>199</v>
      </c>
      <c r="H1713" s="19" t="s">
        <v>189</v>
      </c>
      <c r="I1713" s="20" t="n">
        <v>97.813</v>
      </c>
      <c r="J1713" s="19" t="n">
        <f aca="false">IF(I1713="","",MIN(Overview!$B$8,MAX(1,CEILING(I1713/Overview!$B$7,1))))</f>
        <v>20</v>
      </c>
      <c r="K1713" s="19" t="n">
        <v>1</v>
      </c>
      <c r="L1713" s="19"/>
      <c r="M1713" s="20" t="n">
        <v>2</v>
      </c>
      <c r="N1713" s="19"/>
      <c r="O1713" s="19" t="s">
        <v>151</v>
      </c>
      <c r="P1713" s="19" t="s">
        <v>1587</v>
      </c>
      <c r="Q1713" s="19" t="s">
        <v>1136</v>
      </c>
      <c r="R1713" s="21" t="n">
        <v>29733</v>
      </c>
      <c r="S1713" s="19" t="s">
        <v>5599</v>
      </c>
      <c r="T1713" s="19" t="s">
        <v>5600</v>
      </c>
      <c r="U1713" s="19" t="str">
        <f aca="false">HYPERLINK("https://macaulaylibrary.org/asset/28122","Open")</f>
        <v>Open</v>
      </c>
      <c r="V1713" s="19"/>
    </row>
    <row r="1714" customFormat="false" ht="15" hidden="false" customHeight="false" outlineLevel="0" collapsed="false">
      <c r="A1714" s="19" t="s">
        <v>5601</v>
      </c>
      <c r="B1714" s="19" t="s">
        <v>943</v>
      </c>
      <c r="C1714" s="19" t="s">
        <v>944</v>
      </c>
      <c r="D1714" s="19" t="s">
        <v>148</v>
      </c>
      <c r="E1714" s="19" t="s">
        <v>147</v>
      </c>
      <c r="F1714" s="19" t="s">
        <v>188</v>
      </c>
      <c r="G1714" s="19" t="n">
        <v>199</v>
      </c>
      <c r="H1714" s="19" t="s">
        <v>189</v>
      </c>
      <c r="I1714" s="20" t="n">
        <v>15.193</v>
      </c>
      <c r="J1714" s="19" t="n">
        <f aca="false">IF(I1714="","",MIN(Overview!$B$8,MAX(1,CEILING(I1714/Overview!$B$7,1))))</f>
        <v>4</v>
      </c>
      <c r="K1714" s="19" t="n">
        <v>1</v>
      </c>
      <c r="L1714" s="19"/>
      <c r="M1714" s="20" t="n">
        <v>2</v>
      </c>
      <c r="N1714" s="19"/>
      <c r="O1714" s="19"/>
      <c r="P1714" s="19" t="s">
        <v>1883</v>
      </c>
      <c r="Q1714" s="19" t="s">
        <v>1136</v>
      </c>
      <c r="R1714" s="21" t="n">
        <v>29734</v>
      </c>
      <c r="S1714" s="19" t="s">
        <v>1081</v>
      </c>
      <c r="T1714" s="19" t="s">
        <v>5602</v>
      </c>
      <c r="U1714" s="19" t="str">
        <f aca="false">HYPERLINK("https://macaulaylibrary.org/asset/28125","Open")</f>
        <v>Open</v>
      </c>
      <c r="V1714" s="19"/>
    </row>
    <row r="1715" customFormat="false" ht="15" hidden="false" customHeight="false" outlineLevel="0" collapsed="false">
      <c r="A1715" s="19" t="s">
        <v>5603</v>
      </c>
      <c r="B1715" s="19" t="s">
        <v>943</v>
      </c>
      <c r="C1715" s="19" t="s">
        <v>944</v>
      </c>
      <c r="D1715" s="19" t="s">
        <v>148</v>
      </c>
      <c r="E1715" s="19" t="s">
        <v>147</v>
      </c>
      <c r="F1715" s="19" t="s">
        <v>188</v>
      </c>
      <c r="G1715" s="19" t="n">
        <v>199</v>
      </c>
      <c r="H1715" s="19" t="s">
        <v>189</v>
      </c>
      <c r="I1715" s="20" t="n">
        <v>402.472</v>
      </c>
      <c r="J1715" s="19" t="n">
        <f aca="false">IF(I1715="","",MIN(Overview!$B$8,MAX(1,CEILING(I1715/Overview!$B$7,1))))</f>
        <v>81</v>
      </c>
      <c r="K1715" s="19" t="n">
        <v>1</v>
      </c>
      <c r="L1715" s="19"/>
      <c r="M1715" s="20" t="n">
        <v>3</v>
      </c>
      <c r="N1715" s="19"/>
      <c r="O1715" s="19" t="s">
        <v>5604</v>
      </c>
      <c r="P1715" s="19" t="s">
        <v>1587</v>
      </c>
      <c r="Q1715" s="19" t="s">
        <v>1136</v>
      </c>
      <c r="R1715" s="21" t="n">
        <v>29733</v>
      </c>
      <c r="S1715" s="19" t="s">
        <v>1081</v>
      </c>
      <c r="T1715" s="19" t="s">
        <v>5605</v>
      </c>
      <c r="U1715" s="19" t="str">
        <f aca="false">HYPERLINK("https://macaulaylibrary.org/asset/28153","Open")</f>
        <v>Open</v>
      </c>
      <c r="V1715" s="19"/>
    </row>
    <row r="1716" customFormat="false" ht="15" hidden="false" customHeight="false" outlineLevel="0" collapsed="false">
      <c r="A1716" s="19" t="s">
        <v>5606</v>
      </c>
      <c r="B1716" s="19" t="s">
        <v>943</v>
      </c>
      <c r="C1716" s="19" t="s">
        <v>944</v>
      </c>
      <c r="D1716" s="19" t="s">
        <v>148</v>
      </c>
      <c r="E1716" s="19" t="s">
        <v>147</v>
      </c>
      <c r="F1716" s="19" t="s">
        <v>188</v>
      </c>
      <c r="G1716" s="19" t="n">
        <v>199</v>
      </c>
      <c r="H1716" s="19" t="s">
        <v>189</v>
      </c>
      <c r="I1716" s="20" t="n">
        <v>13.699</v>
      </c>
      <c r="J1716" s="19" t="n">
        <f aca="false">IF(I1716="","",MIN(Overview!$B$8,MAX(1,CEILING(I1716/Overview!$B$7,1))))</f>
        <v>3</v>
      </c>
      <c r="K1716" s="19" t="n">
        <v>1</v>
      </c>
      <c r="L1716" s="19"/>
      <c r="M1716" s="20"/>
      <c r="N1716" s="19"/>
      <c r="O1716" s="19"/>
      <c r="P1716" s="19" t="s">
        <v>1029</v>
      </c>
      <c r="Q1716" s="19" t="s">
        <v>1030</v>
      </c>
      <c r="R1716" s="21" t="n">
        <v>40251</v>
      </c>
      <c r="S1716" s="19" t="s">
        <v>1311</v>
      </c>
      <c r="T1716" s="19" t="s">
        <v>5607</v>
      </c>
      <c r="U1716" s="19" t="str">
        <f aca="false">HYPERLINK("https://macaulaylibrary.org/asset/299626","Open")</f>
        <v>Open</v>
      </c>
      <c r="V1716" s="19"/>
    </row>
    <row r="1717" customFormat="false" ht="15" hidden="false" customHeight="false" outlineLevel="0" collapsed="false">
      <c r="A1717" s="19" t="s">
        <v>5608</v>
      </c>
      <c r="B1717" s="19" t="s">
        <v>943</v>
      </c>
      <c r="C1717" s="19" t="s">
        <v>944</v>
      </c>
      <c r="D1717" s="19" t="s">
        <v>148</v>
      </c>
      <c r="E1717" s="19" t="s">
        <v>147</v>
      </c>
      <c r="F1717" s="19" t="s">
        <v>188</v>
      </c>
      <c r="G1717" s="19" t="n">
        <v>199</v>
      </c>
      <c r="H1717" s="19" t="s">
        <v>189</v>
      </c>
      <c r="I1717" s="20" t="n">
        <v>16.231</v>
      </c>
      <c r="J1717" s="19" t="n">
        <f aca="false">IF(I1717="","",MIN(Overview!$B$8,MAX(1,CEILING(I1717/Overview!$B$7,1))))</f>
        <v>4</v>
      </c>
      <c r="K1717" s="19" t="n">
        <v>1</v>
      </c>
      <c r="L1717" s="19"/>
      <c r="M1717" s="20" t="n">
        <v>2</v>
      </c>
      <c r="N1717" s="19"/>
      <c r="O1717" s="19"/>
      <c r="P1717" s="19" t="s">
        <v>1288</v>
      </c>
      <c r="Q1717" s="19" t="s">
        <v>1289</v>
      </c>
      <c r="R1717" s="21" t="n">
        <v>42539</v>
      </c>
      <c r="S1717" s="19" t="s">
        <v>1290</v>
      </c>
      <c r="T1717" s="19" t="s">
        <v>5609</v>
      </c>
      <c r="U1717" s="19" t="str">
        <f aca="false">HYPERLINK("https://macaulaylibrary.org/asset/32600981","Open")</f>
        <v>Open</v>
      </c>
      <c r="V1717" s="19"/>
    </row>
    <row r="1718" customFormat="false" ht="15" hidden="false" customHeight="false" outlineLevel="0" collapsed="false">
      <c r="A1718" s="19" t="s">
        <v>5610</v>
      </c>
      <c r="B1718" s="19" t="s">
        <v>943</v>
      </c>
      <c r="C1718" s="19" t="s">
        <v>944</v>
      </c>
      <c r="D1718" s="19" t="s">
        <v>148</v>
      </c>
      <c r="E1718" s="19" t="s">
        <v>147</v>
      </c>
      <c r="F1718" s="19" t="s">
        <v>188</v>
      </c>
      <c r="G1718" s="19" t="n">
        <v>199</v>
      </c>
      <c r="H1718" s="19" t="s">
        <v>189</v>
      </c>
      <c r="I1718" s="20" t="n">
        <v>25.018</v>
      </c>
      <c r="J1718" s="19" t="n">
        <f aca="false">IF(I1718="","",MIN(Overview!$B$8,MAX(1,CEILING(I1718/Overview!$B$7,1))))</f>
        <v>6</v>
      </c>
      <c r="K1718" s="19" t="n">
        <v>1</v>
      </c>
      <c r="L1718" s="19"/>
      <c r="M1718" s="20" t="n">
        <v>4</v>
      </c>
      <c r="N1718" s="19"/>
      <c r="O1718" s="19"/>
      <c r="P1718" s="19" t="s">
        <v>2381</v>
      </c>
      <c r="Q1718" s="19" t="s">
        <v>1408</v>
      </c>
      <c r="R1718" s="21" t="n">
        <v>32098</v>
      </c>
      <c r="S1718" s="19" t="s">
        <v>1009</v>
      </c>
      <c r="T1718" s="19" t="s">
        <v>5611</v>
      </c>
      <c r="U1718" s="19" t="str">
        <f aca="false">HYPERLINK("https://macaulaylibrary.org/asset/338493651","Open")</f>
        <v>Open</v>
      </c>
      <c r="V1718" s="19"/>
    </row>
    <row r="1719" customFormat="false" ht="15" hidden="false" customHeight="false" outlineLevel="0" collapsed="false">
      <c r="A1719" s="19" t="s">
        <v>5612</v>
      </c>
      <c r="B1719" s="19" t="s">
        <v>943</v>
      </c>
      <c r="C1719" s="19" t="s">
        <v>944</v>
      </c>
      <c r="D1719" s="19" t="s">
        <v>148</v>
      </c>
      <c r="E1719" s="19" t="s">
        <v>147</v>
      </c>
      <c r="F1719" s="19" t="s">
        <v>188</v>
      </c>
      <c r="G1719" s="19" t="n">
        <v>199</v>
      </c>
      <c r="H1719" s="19" t="s">
        <v>189</v>
      </c>
      <c r="I1719" s="20" t="n">
        <v>74.369</v>
      </c>
      <c r="J1719" s="19" t="n">
        <f aca="false">IF(I1719="","",MIN(Overview!$B$8,MAX(1,CEILING(I1719/Overview!$B$7,1))))</f>
        <v>15</v>
      </c>
      <c r="K1719" s="19" t="n">
        <v>1</v>
      </c>
      <c r="L1719" s="19"/>
      <c r="M1719" s="20" t="n">
        <v>4</v>
      </c>
      <c r="N1719" s="19"/>
      <c r="O1719" s="19"/>
      <c r="P1719" s="19" t="s">
        <v>2381</v>
      </c>
      <c r="Q1719" s="19" t="s">
        <v>1408</v>
      </c>
      <c r="R1719" s="21" t="n">
        <v>32098</v>
      </c>
      <c r="S1719" s="19" t="s">
        <v>1009</v>
      </c>
      <c r="T1719" s="19" t="s">
        <v>5613</v>
      </c>
      <c r="U1719" s="19" t="str">
        <f aca="false">HYPERLINK("https://macaulaylibrary.org/asset/338500851","Open")</f>
        <v>Open</v>
      </c>
      <c r="V1719" s="19"/>
    </row>
    <row r="1720" customFormat="false" ht="15" hidden="false" customHeight="false" outlineLevel="0" collapsed="false">
      <c r="A1720" s="19" t="s">
        <v>5614</v>
      </c>
      <c r="B1720" s="19" t="s">
        <v>943</v>
      </c>
      <c r="C1720" s="19" t="s">
        <v>944</v>
      </c>
      <c r="D1720" s="19" t="s">
        <v>148</v>
      </c>
      <c r="E1720" s="19" t="s">
        <v>147</v>
      </c>
      <c r="F1720" s="19" t="s">
        <v>188</v>
      </c>
      <c r="G1720" s="19" t="n">
        <v>199</v>
      </c>
      <c r="H1720" s="19" t="s">
        <v>189</v>
      </c>
      <c r="I1720" s="20" t="n">
        <v>32.979</v>
      </c>
      <c r="J1720" s="19" t="n">
        <f aca="false">IF(I1720="","",MIN(Overview!$B$8,MAX(1,CEILING(I1720/Overview!$B$7,1))))</f>
        <v>7</v>
      </c>
      <c r="K1720" s="19" t="n">
        <v>1</v>
      </c>
      <c r="L1720" s="19"/>
      <c r="M1720" s="20" t="n">
        <v>4</v>
      </c>
      <c r="N1720" s="19"/>
      <c r="O1720" s="19" t="s">
        <v>5615</v>
      </c>
      <c r="P1720" s="19" t="s">
        <v>5616</v>
      </c>
      <c r="Q1720" s="19" t="s">
        <v>990</v>
      </c>
      <c r="R1720" s="21" t="n">
        <v>44547</v>
      </c>
      <c r="S1720" s="19" t="s">
        <v>5617</v>
      </c>
      <c r="T1720" s="19" t="s">
        <v>5618</v>
      </c>
      <c r="U1720" s="19" t="str">
        <f aca="false">HYPERLINK("https://macaulaylibrary.org/asset/403163461","Open")</f>
        <v>Open</v>
      </c>
      <c r="V1720" s="19"/>
    </row>
    <row r="1721" customFormat="false" ht="15" hidden="false" customHeight="false" outlineLevel="0" collapsed="false">
      <c r="A1721" s="19" t="s">
        <v>5619</v>
      </c>
      <c r="B1721" s="19" t="s">
        <v>943</v>
      </c>
      <c r="C1721" s="19" t="s">
        <v>944</v>
      </c>
      <c r="D1721" s="19" t="s">
        <v>148</v>
      </c>
      <c r="E1721" s="19" t="s">
        <v>147</v>
      </c>
      <c r="F1721" s="19" t="s">
        <v>188</v>
      </c>
      <c r="G1721" s="19" t="n">
        <v>199</v>
      </c>
      <c r="H1721" s="19" t="s">
        <v>189</v>
      </c>
      <c r="I1721" s="20" t="n">
        <v>15.168</v>
      </c>
      <c r="J1721" s="19" t="n">
        <f aca="false">IF(I1721="","",MIN(Overview!$B$8,MAX(1,CEILING(I1721/Overview!$B$7,1))))</f>
        <v>4</v>
      </c>
      <c r="K1721" s="19" t="n">
        <v>1</v>
      </c>
      <c r="L1721" s="19"/>
      <c r="M1721" s="20"/>
      <c r="N1721" s="19"/>
      <c r="O1721" s="19"/>
      <c r="P1721" s="19" t="s">
        <v>4108</v>
      </c>
      <c r="Q1721" s="19" t="s">
        <v>1596</v>
      </c>
      <c r="R1721" s="21" t="n">
        <v>44701</v>
      </c>
      <c r="S1721" s="19" t="s">
        <v>4109</v>
      </c>
      <c r="T1721" s="19" t="s">
        <v>5620</v>
      </c>
      <c r="U1721" s="19" t="str">
        <f aca="false">HYPERLINK("https://macaulaylibrary.org/asset/457850461","Open")</f>
        <v>Open</v>
      </c>
      <c r="V1721" s="19"/>
    </row>
    <row r="1722" customFormat="false" ht="15" hidden="false" customHeight="false" outlineLevel="0" collapsed="false">
      <c r="A1722" s="19" t="s">
        <v>5621</v>
      </c>
      <c r="B1722" s="19" t="s">
        <v>943</v>
      </c>
      <c r="C1722" s="19" t="s">
        <v>944</v>
      </c>
      <c r="D1722" s="19" t="s">
        <v>148</v>
      </c>
      <c r="E1722" s="19" t="s">
        <v>147</v>
      </c>
      <c r="F1722" s="19" t="s">
        <v>188</v>
      </c>
      <c r="G1722" s="19" t="n">
        <v>199</v>
      </c>
      <c r="H1722" s="19" t="s">
        <v>189</v>
      </c>
      <c r="I1722" s="20" t="n">
        <v>13.506</v>
      </c>
      <c r="J1722" s="19" t="n">
        <f aca="false">IF(I1722="","",MIN(Overview!$B$8,MAX(1,CEILING(I1722/Overview!$B$7,1))))</f>
        <v>3</v>
      </c>
      <c r="K1722" s="19" t="n">
        <v>1</v>
      </c>
      <c r="L1722" s="19"/>
      <c r="M1722" s="20"/>
      <c r="N1722" s="19"/>
      <c r="O1722" s="19"/>
      <c r="P1722" s="19" t="s">
        <v>1039</v>
      </c>
      <c r="Q1722" s="19" t="s">
        <v>1040</v>
      </c>
      <c r="R1722" s="21" t="n">
        <v>40901</v>
      </c>
      <c r="S1722" s="19" t="s">
        <v>1002</v>
      </c>
      <c r="T1722" s="19" t="s">
        <v>5622</v>
      </c>
      <c r="U1722" s="19" t="str">
        <f aca="false">HYPERLINK("https://macaulaylibrary.org/asset/609056504","Open")</f>
        <v>Open</v>
      </c>
      <c r="V1722" s="19"/>
    </row>
    <row r="1723" customFormat="false" ht="15" hidden="false" customHeight="false" outlineLevel="0" collapsed="false">
      <c r="A1723" s="19" t="s">
        <v>5623</v>
      </c>
      <c r="B1723" s="19" t="s">
        <v>943</v>
      </c>
      <c r="C1723" s="19" t="s">
        <v>944</v>
      </c>
      <c r="D1723" s="19" t="s">
        <v>148</v>
      </c>
      <c r="E1723" s="19" t="s">
        <v>147</v>
      </c>
      <c r="F1723" s="19" t="s">
        <v>188</v>
      </c>
      <c r="G1723" s="19" t="n">
        <v>199</v>
      </c>
      <c r="H1723" s="19" t="s">
        <v>189</v>
      </c>
      <c r="I1723" s="20" t="n">
        <v>18.914</v>
      </c>
      <c r="J1723" s="19" t="n">
        <f aca="false">IF(I1723="","",MIN(Overview!$B$8,MAX(1,CEILING(I1723/Overview!$B$7,1))))</f>
        <v>4</v>
      </c>
      <c r="K1723" s="19" t="n">
        <v>1</v>
      </c>
      <c r="L1723" s="19"/>
      <c r="M1723" s="20"/>
      <c r="N1723" s="19"/>
      <c r="O1723" s="19"/>
      <c r="P1723" s="19" t="s">
        <v>1605</v>
      </c>
      <c r="Q1723" s="19" t="s">
        <v>1040</v>
      </c>
      <c r="R1723" s="21" t="n">
        <v>40902</v>
      </c>
      <c r="S1723" s="19" t="s">
        <v>1002</v>
      </c>
      <c r="T1723" s="19" t="s">
        <v>5624</v>
      </c>
      <c r="U1723" s="19" t="str">
        <f aca="false">HYPERLINK("https://macaulaylibrary.org/asset/609056550","Open")</f>
        <v>Open</v>
      </c>
      <c r="V1723" s="19"/>
    </row>
    <row r="1724" customFormat="false" ht="15" hidden="false" customHeight="false" outlineLevel="0" collapsed="false">
      <c r="A1724" s="19" t="s">
        <v>5625</v>
      </c>
      <c r="B1724" s="19" t="s">
        <v>943</v>
      </c>
      <c r="C1724" s="19" t="s">
        <v>944</v>
      </c>
      <c r="D1724" s="19" t="s">
        <v>148</v>
      </c>
      <c r="E1724" s="19" t="s">
        <v>147</v>
      </c>
      <c r="F1724" s="19" t="s">
        <v>188</v>
      </c>
      <c r="G1724" s="19" t="n">
        <v>199</v>
      </c>
      <c r="H1724" s="19" t="s">
        <v>189</v>
      </c>
      <c r="I1724" s="20" t="n">
        <v>20.767</v>
      </c>
      <c r="J1724" s="19" t="n">
        <f aca="false">IF(I1724="","",MIN(Overview!$B$8,MAX(1,CEILING(I1724/Overview!$B$7,1))))</f>
        <v>5</v>
      </c>
      <c r="K1724" s="19" t="n">
        <v>1</v>
      </c>
      <c r="L1724" s="19"/>
      <c r="M1724" s="20"/>
      <c r="N1724" s="19"/>
      <c r="O1724" s="19"/>
      <c r="P1724" s="19" t="s">
        <v>1605</v>
      </c>
      <c r="Q1724" s="19" t="s">
        <v>1040</v>
      </c>
      <c r="R1724" s="21" t="n">
        <v>40902</v>
      </c>
      <c r="S1724" s="19" t="s">
        <v>1002</v>
      </c>
      <c r="T1724" s="19" t="s">
        <v>5626</v>
      </c>
      <c r="U1724" s="19" t="str">
        <f aca="false">HYPERLINK("https://macaulaylibrary.org/asset/609056551","Open")</f>
        <v>Open</v>
      </c>
      <c r="V1724" s="19"/>
    </row>
    <row r="1725" customFormat="false" ht="15" hidden="false" customHeight="false" outlineLevel="0" collapsed="false">
      <c r="A1725" s="19" t="s">
        <v>5627</v>
      </c>
      <c r="B1725" s="19" t="s">
        <v>943</v>
      </c>
      <c r="C1725" s="19" t="s">
        <v>944</v>
      </c>
      <c r="D1725" s="19" t="s">
        <v>148</v>
      </c>
      <c r="E1725" s="19" t="s">
        <v>147</v>
      </c>
      <c r="F1725" s="19" t="s">
        <v>188</v>
      </c>
      <c r="G1725" s="19" t="n">
        <v>199</v>
      </c>
      <c r="H1725" s="19" t="s">
        <v>189</v>
      </c>
      <c r="I1725" s="20" t="n">
        <v>10.044</v>
      </c>
      <c r="J1725" s="19" t="n">
        <f aca="false">IF(I1725="","",MIN(Overview!$B$8,MAX(1,CEILING(I1725/Overview!$B$7,1))))</f>
        <v>3</v>
      </c>
      <c r="K1725" s="19" t="n">
        <v>1</v>
      </c>
      <c r="L1725" s="19"/>
      <c r="M1725" s="20" t="n">
        <v>4.5</v>
      </c>
      <c r="N1725" s="19"/>
      <c r="O1725" s="19"/>
      <c r="P1725" s="19" t="s">
        <v>2398</v>
      </c>
      <c r="Q1725" s="19" t="s">
        <v>951</v>
      </c>
      <c r="R1725" s="21" t="n">
        <v>45222</v>
      </c>
      <c r="S1725" s="19" t="s">
        <v>1098</v>
      </c>
      <c r="T1725" s="19" t="s">
        <v>5628</v>
      </c>
      <c r="U1725" s="19" t="str">
        <f aca="false">HYPERLINK("https://macaulaylibrary.org/asset/610541255","Open")</f>
        <v>Open</v>
      </c>
      <c r="V1725" s="19"/>
    </row>
    <row r="1726" customFormat="false" ht="15" hidden="false" customHeight="false" outlineLevel="0" collapsed="false">
      <c r="A1726" s="19" t="s">
        <v>5629</v>
      </c>
      <c r="B1726" s="19" t="s">
        <v>943</v>
      </c>
      <c r="C1726" s="19" t="s">
        <v>944</v>
      </c>
      <c r="D1726" s="19" t="s">
        <v>148</v>
      </c>
      <c r="E1726" s="19" t="s">
        <v>147</v>
      </c>
      <c r="F1726" s="19" t="s">
        <v>188</v>
      </c>
      <c r="G1726" s="19" t="n">
        <v>199</v>
      </c>
      <c r="H1726" s="19" t="s">
        <v>189</v>
      </c>
      <c r="I1726" s="20" t="n">
        <v>5.828</v>
      </c>
      <c r="J1726" s="19" t="n">
        <f aca="false">IF(I1726="","",MIN(Overview!$B$8,MAX(1,CEILING(I1726/Overview!$B$7,1))))</f>
        <v>2</v>
      </c>
      <c r="K1726" s="19" t="n">
        <v>1</v>
      </c>
      <c r="L1726" s="19"/>
      <c r="M1726" s="20" t="n">
        <v>3</v>
      </c>
      <c r="N1726" s="19"/>
      <c r="O1726" s="19"/>
      <c r="P1726" s="19" t="s">
        <v>1811</v>
      </c>
      <c r="Q1726" s="19" t="s">
        <v>1368</v>
      </c>
      <c r="R1726" s="21" t="n">
        <v>45489</v>
      </c>
      <c r="S1726" s="19" t="s">
        <v>1081</v>
      </c>
      <c r="T1726" s="19" t="s">
        <v>5630</v>
      </c>
      <c r="U1726" s="19" t="str">
        <f aca="false">HYPERLINK("https://macaulaylibrary.org/asset/623071931","Open")</f>
        <v>Open</v>
      </c>
      <c r="V1726" s="19"/>
    </row>
    <row r="1727" customFormat="false" ht="15" hidden="false" customHeight="false" outlineLevel="0" collapsed="false">
      <c r="A1727" s="19" t="s">
        <v>5631</v>
      </c>
      <c r="B1727" s="19" t="s">
        <v>943</v>
      </c>
      <c r="C1727" s="19" t="s">
        <v>944</v>
      </c>
      <c r="D1727" s="19" t="s">
        <v>148</v>
      </c>
      <c r="E1727" s="19" t="s">
        <v>147</v>
      </c>
      <c r="F1727" s="19" t="s">
        <v>188</v>
      </c>
      <c r="G1727" s="19" t="n">
        <v>199</v>
      </c>
      <c r="H1727" s="19" t="s">
        <v>189</v>
      </c>
      <c r="I1727" s="20" t="n">
        <v>4.764</v>
      </c>
      <c r="J1727" s="19" t="n">
        <f aca="false">IF(I1727="","",MIN(Overview!$B$8,MAX(1,CEILING(I1727/Overview!$B$7,1))))</f>
        <v>1</v>
      </c>
      <c r="K1727" s="19" t="n">
        <v>1</v>
      </c>
      <c r="L1727" s="19" t="s">
        <v>1048</v>
      </c>
      <c r="M1727" s="20" t="n">
        <v>4</v>
      </c>
      <c r="N1727" s="19"/>
      <c r="O1727" s="19"/>
      <c r="P1727" s="19" t="s">
        <v>1811</v>
      </c>
      <c r="Q1727" s="19" t="s">
        <v>1368</v>
      </c>
      <c r="R1727" s="21" t="n">
        <v>45489</v>
      </c>
      <c r="S1727" s="19" t="s">
        <v>1081</v>
      </c>
      <c r="T1727" s="19" t="s">
        <v>5632</v>
      </c>
      <c r="U1727" s="19" t="str">
        <f aca="false">HYPERLINK("https://macaulaylibrary.org/asset/623071932","Open")</f>
        <v>Open</v>
      </c>
      <c r="V1727" s="19"/>
    </row>
    <row r="1728" customFormat="false" ht="15" hidden="false" customHeight="false" outlineLevel="0" collapsed="false">
      <c r="A1728" s="19" t="s">
        <v>5633</v>
      </c>
      <c r="B1728" s="19" t="s">
        <v>943</v>
      </c>
      <c r="C1728" s="19" t="s">
        <v>944</v>
      </c>
      <c r="D1728" s="19" t="s">
        <v>148</v>
      </c>
      <c r="E1728" s="19" t="s">
        <v>147</v>
      </c>
      <c r="F1728" s="19" t="s">
        <v>188</v>
      </c>
      <c r="G1728" s="19" t="n">
        <v>199</v>
      </c>
      <c r="H1728" s="19" t="s">
        <v>189</v>
      </c>
      <c r="I1728" s="20" t="n">
        <v>25.133</v>
      </c>
      <c r="J1728" s="19" t="n">
        <f aca="false">IF(I1728="","",MIN(Overview!$B$8,MAX(1,CEILING(I1728/Overview!$B$7,1))))</f>
        <v>6</v>
      </c>
      <c r="K1728" s="19" t="n">
        <v>1</v>
      </c>
      <c r="L1728" s="19"/>
      <c r="M1728" s="20" t="n">
        <v>3</v>
      </c>
      <c r="N1728" s="19"/>
      <c r="O1728" s="19"/>
      <c r="P1728" s="19" t="s">
        <v>1811</v>
      </c>
      <c r="Q1728" s="19" t="s">
        <v>1368</v>
      </c>
      <c r="R1728" s="21" t="n">
        <v>45489</v>
      </c>
      <c r="S1728" s="19" t="s">
        <v>1081</v>
      </c>
      <c r="T1728" s="19" t="s">
        <v>5634</v>
      </c>
      <c r="U1728" s="19" t="str">
        <f aca="false">HYPERLINK("https://macaulaylibrary.org/asset/623072201","Open")</f>
        <v>Open</v>
      </c>
      <c r="V1728" s="19"/>
    </row>
    <row r="1729" customFormat="false" ht="15" hidden="false" customHeight="false" outlineLevel="0" collapsed="false">
      <c r="A1729" s="19" t="s">
        <v>5635</v>
      </c>
      <c r="B1729" s="19" t="s">
        <v>943</v>
      </c>
      <c r="C1729" s="19" t="s">
        <v>944</v>
      </c>
      <c r="D1729" s="19" t="s">
        <v>148</v>
      </c>
      <c r="E1729" s="19" t="s">
        <v>147</v>
      </c>
      <c r="F1729" s="19" t="s">
        <v>188</v>
      </c>
      <c r="G1729" s="19" t="n">
        <v>199</v>
      </c>
      <c r="H1729" s="19" t="s">
        <v>189</v>
      </c>
      <c r="I1729" s="20" t="n">
        <v>19.469</v>
      </c>
      <c r="J1729" s="19" t="n">
        <f aca="false">IF(I1729="","",MIN(Overview!$B$8,MAX(1,CEILING(I1729/Overview!$B$7,1))))</f>
        <v>4</v>
      </c>
      <c r="K1729" s="19" t="n">
        <v>1</v>
      </c>
      <c r="L1729" s="19"/>
      <c r="M1729" s="20" t="n">
        <v>4</v>
      </c>
      <c r="N1729" s="19"/>
      <c r="O1729" s="19"/>
      <c r="P1729" s="19" t="s">
        <v>1811</v>
      </c>
      <c r="Q1729" s="19" t="s">
        <v>1368</v>
      </c>
      <c r="R1729" s="21" t="n">
        <v>45489</v>
      </c>
      <c r="S1729" s="19" t="s">
        <v>1081</v>
      </c>
      <c r="T1729" s="19" t="s">
        <v>5636</v>
      </c>
      <c r="U1729" s="19" t="str">
        <f aca="false">HYPERLINK("https://macaulaylibrary.org/asset/628597323","Open")</f>
        <v>Open</v>
      </c>
      <c r="V1729" s="19"/>
    </row>
    <row r="1730" customFormat="false" ht="15" hidden="false" customHeight="false" outlineLevel="0" collapsed="false">
      <c r="A1730" s="19" t="s">
        <v>5637</v>
      </c>
      <c r="B1730" s="19" t="s">
        <v>943</v>
      </c>
      <c r="C1730" s="19" t="s">
        <v>944</v>
      </c>
      <c r="D1730" s="19" t="s">
        <v>148</v>
      </c>
      <c r="E1730" s="19" t="s">
        <v>147</v>
      </c>
      <c r="F1730" s="19" t="s">
        <v>188</v>
      </c>
      <c r="G1730" s="19" t="n">
        <v>199</v>
      </c>
      <c r="H1730" s="19" t="s">
        <v>189</v>
      </c>
      <c r="I1730" s="20" t="n">
        <v>27.481</v>
      </c>
      <c r="J1730" s="19" t="n">
        <f aca="false">IF(I1730="","",MIN(Overview!$B$8,MAX(1,CEILING(I1730/Overview!$B$7,1))))</f>
        <v>6</v>
      </c>
      <c r="K1730" s="19" t="n">
        <v>1</v>
      </c>
      <c r="L1730" s="19"/>
      <c r="M1730" s="20"/>
      <c r="N1730" s="19"/>
      <c r="O1730" s="19"/>
      <c r="P1730" s="19" t="s">
        <v>1487</v>
      </c>
      <c r="Q1730" s="19" t="s">
        <v>1488</v>
      </c>
      <c r="R1730" s="21" t="n">
        <v>42379</v>
      </c>
      <c r="S1730" s="19" t="s">
        <v>1009</v>
      </c>
      <c r="T1730" s="19" t="s">
        <v>5638</v>
      </c>
      <c r="U1730" s="19" t="str">
        <f aca="false">HYPERLINK("https://macaulaylibrary.org/asset/642419995","Open")</f>
        <v>Open</v>
      </c>
      <c r="V1730" s="19"/>
    </row>
    <row r="1731" customFormat="false" ht="15" hidden="false" customHeight="false" outlineLevel="0" collapsed="false">
      <c r="A1731" s="19" t="s">
        <v>5639</v>
      </c>
      <c r="B1731" s="19" t="s">
        <v>943</v>
      </c>
      <c r="C1731" s="19" t="s">
        <v>944</v>
      </c>
      <c r="D1731" s="19" t="s">
        <v>148</v>
      </c>
      <c r="E1731" s="19" t="s">
        <v>147</v>
      </c>
      <c r="F1731" s="19" t="s">
        <v>188</v>
      </c>
      <c r="G1731" s="19" t="n">
        <v>199</v>
      </c>
      <c r="H1731" s="19" t="s">
        <v>189</v>
      </c>
      <c r="I1731" s="20" t="n">
        <v>13.573</v>
      </c>
      <c r="J1731" s="19" t="n">
        <f aca="false">IF(I1731="","",MIN(Overview!$B$8,MAX(1,CEILING(I1731/Overview!$B$7,1))))</f>
        <v>3</v>
      </c>
      <c r="K1731" s="19" t="n">
        <v>1</v>
      </c>
      <c r="L1731" s="19"/>
      <c r="M1731" s="20" t="n">
        <v>4.5</v>
      </c>
      <c r="N1731" s="19"/>
      <c r="O1731" s="19" t="s">
        <v>5640</v>
      </c>
      <c r="P1731" s="19" t="s">
        <v>1462</v>
      </c>
      <c r="Q1731" s="19" t="s">
        <v>1463</v>
      </c>
      <c r="R1731" s="21" t="n">
        <v>44962</v>
      </c>
      <c r="S1731" s="19" t="s">
        <v>1464</v>
      </c>
      <c r="T1731" s="19" t="s">
        <v>5641</v>
      </c>
      <c r="U1731" s="19" t="str">
        <f aca="false">HYPERLINK("https://macaulaylibrary.org/asset/648195982","Open")</f>
        <v>Open</v>
      </c>
      <c r="V1731" s="19"/>
    </row>
    <row r="1732" customFormat="false" ht="15" hidden="false" customHeight="false" outlineLevel="0" collapsed="false">
      <c r="A1732" s="19" t="s">
        <v>5642</v>
      </c>
      <c r="B1732" s="19" t="s">
        <v>943</v>
      </c>
      <c r="C1732" s="19" t="s">
        <v>944</v>
      </c>
      <c r="D1732" s="19" t="s">
        <v>148</v>
      </c>
      <c r="E1732" s="19" t="s">
        <v>147</v>
      </c>
      <c r="F1732" s="19" t="s">
        <v>188</v>
      </c>
      <c r="G1732" s="19" t="n">
        <v>199</v>
      </c>
      <c r="H1732" s="19" t="s">
        <v>189</v>
      </c>
      <c r="I1732" s="20" t="n">
        <v>7.244</v>
      </c>
      <c r="J1732" s="19" t="n">
        <f aca="false">IF(I1732="","",MIN(Overview!$B$8,MAX(1,CEILING(I1732/Overview!$B$7,1))))</f>
        <v>2</v>
      </c>
      <c r="K1732" s="19" t="n">
        <v>1</v>
      </c>
      <c r="L1732" s="19"/>
      <c r="M1732" s="20" t="n">
        <v>5</v>
      </c>
      <c r="N1732" s="19"/>
      <c r="O1732" s="19"/>
      <c r="P1732" s="19" t="s">
        <v>2730</v>
      </c>
      <c r="Q1732" s="19" t="s">
        <v>1463</v>
      </c>
      <c r="R1732" s="21" t="n">
        <v>44961</v>
      </c>
      <c r="S1732" s="19" t="s">
        <v>1986</v>
      </c>
      <c r="T1732" s="19" t="s">
        <v>5643</v>
      </c>
      <c r="U1732" s="19" t="str">
        <f aca="false">HYPERLINK("https://macaulaylibrary.org/asset/648333840","Open")</f>
        <v>Open</v>
      </c>
      <c r="V1732" s="19"/>
    </row>
    <row r="1733" customFormat="false" ht="15" hidden="false" customHeight="false" outlineLevel="0" collapsed="false">
      <c r="A1733" s="19" t="s">
        <v>5644</v>
      </c>
      <c r="B1733" s="19" t="s">
        <v>943</v>
      </c>
      <c r="C1733" s="19" t="s">
        <v>944</v>
      </c>
      <c r="D1733" s="19" t="s">
        <v>148</v>
      </c>
      <c r="E1733" s="19" t="s">
        <v>147</v>
      </c>
      <c r="F1733" s="19" t="s">
        <v>188</v>
      </c>
      <c r="G1733" s="19" t="n">
        <v>199</v>
      </c>
      <c r="H1733" s="19" t="s">
        <v>189</v>
      </c>
      <c r="I1733" s="20" t="n">
        <v>16.839</v>
      </c>
      <c r="J1733" s="19" t="n">
        <f aca="false">IF(I1733="","",MIN(Overview!$B$8,MAX(1,CEILING(I1733/Overview!$B$7,1))))</f>
        <v>4</v>
      </c>
      <c r="K1733" s="19" t="n">
        <v>1</v>
      </c>
      <c r="L1733" s="19"/>
      <c r="M1733" s="20"/>
      <c r="N1733" s="19"/>
      <c r="O1733" s="19" t="s">
        <v>231</v>
      </c>
      <c r="P1733" s="19" t="s">
        <v>2168</v>
      </c>
      <c r="Q1733" s="19" t="s">
        <v>1382</v>
      </c>
      <c r="R1733" s="21" t="n">
        <v>46104</v>
      </c>
      <c r="S1733" s="19" t="s">
        <v>1259</v>
      </c>
      <c r="T1733" s="19" t="s">
        <v>5645</v>
      </c>
      <c r="U1733" s="19" t="str">
        <f aca="false">HYPERLINK("https://macaulaylibrary.org/asset/654600146","Open")</f>
        <v>Open</v>
      </c>
      <c r="V1733" s="19"/>
    </row>
    <row r="1734" customFormat="false" ht="15" hidden="false" customHeight="false" outlineLevel="0" collapsed="false">
      <c r="A1734" s="19" t="s">
        <v>5646</v>
      </c>
      <c r="B1734" s="19" t="s">
        <v>943</v>
      </c>
      <c r="C1734" s="19" t="s">
        <v>944</v>
      </c>
      <c r="D1734" s="19" t="s">
        <v>148</v>
      </c>
      <c r="E1734" s="19" t="s">
        <v>147</v>
      </c>
      <c r="F1734" s="19" t="s">
        <v>188</v>
      </c>
      <c r="G1734" s="19" t="n">
        <v>199</v>
      </c>
      <c r="H1734" s="19" t="s">
        <v>189</v>
      </c>
      <c r="I1734" s="20" t="n">
        <v>28.352</v>
      </c>
      <c r="J1734" s="19" t="n">
        <f aca="false">IF(I1734="","",MIN(Overview!$B$8,MAX(1,CEILING(I1734/Overview!$B$7,1))))</f>
        <v>6</v>
      </c>
      <c r="K1734" s="19" t="n">
        <v>1</v>
      </c>
      <c r="L1734" s="19"/>
      <c r="M1734" s="20" t="n">
        <v>2</v>
      </c>
      <c r="N1734" s="19"/>
      <c r="O1734" s="19"/>
      <c r="P1734" s="19" t="s">
        <v>2981</v>
      </c>
      <c r="Q1734" s="19" t="s">
        <v>1818</v>
      </c>
      <c r="R1734" s="21" t="n">
        <v>45879</v>
      </c>
      <c r="S1734" s="19" t="s">
        <v>2982</v>
      </c>
      <c r="T1734" s="19" t="s">
        <v>5647</v>
      </c>
      <c r="U1734" s="19" t="str">
        <f aca="false">HYPERLINK("https://macaulaylibrary.org/asset/658280835","Open")</f>
        <v>Open</v>
      </c>
      <c r="V1734" s="19"/>
    </row>
    <row r="1735" customFormat="false" ht="15" hidden="false" customHeight="false" outlineLevel="0" collapsed="false">
      <c r="A1735" s="19" t="s">
        <v>5648</v>
      </c>
      <c r="B1735" s="19" t="s">
        <v>943</v>
      </c>
      <c r="C1735" s="19" t="s">
        <v>944</v>
      </c>
      <c r="D1735" s="19" t="s">
        <v>148</v>
      </c>
      <c r="E1735" s="19" t="s">
        <v>147</v>
      </c>
      <c r="F1735" s="19" t="s">
        <v>188</v>
      </c>
      <c r="G1735" s="19" t="n">
        <v>199</v>
      </c>
      <c r="H1735" s="19" t="s">
        <v>189</v>
      </c>
      <c r="I1735" s="20" t="n">
        <v>36.331</v>
      </c>
      <c r="J1735" s="19" t="n">
        <f aca="false">IF(I1735="","",MIN(Overview!$B$8,MAX(1,CEILING(I1735/Overview!$B$7,1))))</f>
        <v>8</v>
      </c>
      <c r="K1735" s="19" t="n">
        <v>1</v>
      </c>
      <c r="L1735" s="19"/>
      <c r="M1735" s="20" t="n">
        <v>3</v>
      </c>
      <c r="N1735" s="19"/>
      <c r="O1735" s="19"/>
      <c r="P1735" s="19" t="s">
        <v>4665</v>
      </c>
      <c r="Q1735" s="19" t="s">
        <v>1397</v>
      </c>
      <c r="R1735" s="21" t="n">
        <v>46217</v>
      </c>
      <c r="S1735" s="19" t="s">
        <v>3750</v>
      </c>
      <c r="T1735" s="19" t="s">
        <v>5649</v>
      </c>
      <c r="U1735" s="19" t="str">
        <f aca="false">HYPERLINK("https://macaulaylibrary.org/asset/661734554","Open")</f>
        <v>Open</v>
      </c>
      <c r="V1735" s="19"/>
    </row>
    <row r="1736" customFormat="false" ht="15" hidden="false" customHeight="false" outlineLevel="0" collapsed="false">
      <c r="A1736" s="19" t="s">
        <v>5650</v>
      </c>
      <c r="B1736" s="19" t="s">
        <v>1005</v>
      </c>
      <c r="C1736" s="19" t="s">
        <v>944</v>
      </c>
      <c r="D1736" s="19" t="s">
        <v>647</v>
      </c>
      <c r="E1736" s="19" t="s">
        <v>147</v>
      </c>
      <c r="F1736" s="19" t="s">
        <v>188</v>
      </c>
      <c r="G1736" s="19" t="n">
        <v>199</v>
      </c>
      <c r="H1736" s="19" t="s">
        <v>189</v>
      </c>
      <c r="I1736" s="20" t="n">
        <v>42.266</v>
      </c>
      <c r="J1736" s="19" t="n">
        <f aca="false">IF(I1736="","",MIN(Overview!$B$8,MAX(1,CEILING(I1736/Overview!$B$7,1))))</f>
        <v>9</v>
      </c>
      <c r="K1736" s="19" t="n">
        <v>1</v>
      </c>
      <c r="L1736" s="19"/>
      <c r="M1736" s="20"/>
      <c r="N1736" s="19" t="s">
        <v>1006</v>
      </c>
      <c r="O1736" s="19"/>
      <c r="P1736" s="19" t="s">
        <v>2155</v>
      </c>
      <c r="Q1736" s="19" t="s">
        <v>1008</v>
      </c>
      <c r="R1736" s="21" t="n">
        <v>42575</v>
      </c>
      <c r="S1736" s="19" t="s">
        <v>1936</v>
      </c>
      <c r="T1736" s="19" t="s">
        <v>5651</v>
      </c>
      <c r="U1736" s="19" t="str">
        <f aca="false">HYPERLINK("https://xeno-canto.org/331314","Open")</f>
        <v>Open</v>
      </c>
      <c r="V1736" s="19" t="s">
        <v>5652</v>
      </c>
    </row>
    <row r="1737" customFormat="false" ht="15" hidden="false" customHeight="false" outlineLevel="0" collapsed="false">
      <c r="A1737" s="19" t="s">
        <v>5653</v>
      </c>
      <c r="B1737" s="19" t="s">
        <v>1005</v>
      </c>
      <c r="C1737" s="19" t="s">
        <v>944</v>
      </c>
      <c r="D1737" s="19" t="s">
        <v>647</v>
      </c>
      <c r="E1737" s="19" t="s">
        <v>147</v>
      </c>
      <c r="F1737" s="19" t="s">
        <v>188</v>
      </c>
      <c r="G1737" s="19" t="n">
        <v>199</v>
      </c>
      <c r="H1737" s="19" t="s">
        <v>189</v>
      </c>
      <c r="I1737" s="20" t="n">
        <v>10.176</v>
      </c>
      <c r="J1737" s="19" t="n">
        <f aca="false">IF(I1737="","",MIN(Overview!$B$8,MAX(1,CEILING(I1737/Overview!$B$7,1))))</f>
        <v>3</v>
      </c>
      <c r="K1737" s="19" t="n">
        <v>1</v>
      </c>
      <c r="L1737" s="19"/>
      <c r="M1737" s="20"/>
      <c r="N1737" s="19" t="s">
        <v>1656</v>
      </c>
      <c r="O1737" s="19"/>
      <c r="P1737" s="19" t="s">
        <v>1016</v>
      </c>
      <c r="Q1737" s="19" t="s">
        <v>1008</v>
      </c>
      <c r="R1737" s="21" t="n">
        <v>42578</v>
      </c>
      <c r="S1737" s="19" t="s">
        <v>1658</v>
      </c>
      <c r="T1737" s="19" t="s">
        <v>5654</v>
      </c>
      <c r="U1737" s="19" t="str">
        <f aca="false">HYPERLINK("https://xeno-canto.org/331465","Open")</f>
        <v>Open</v>
      </c>
      <c r="V1737" s="19" t="s">
        <v>1011</v>
      </c>
    </row>
    <row r="1738" customFormat="false" ht="15" hidden="false" customHeight="false" outlineLevel="0" collapsed="false">
      <c r="A1738" s="19" t="s">
        <v>5655</v>
      </c>
      <c r="B1738" s="19" t="s">
        <v>943</v>
      </c>
      <c r="C1738" s="19" t="s">
        <v>944</v>
      </c>
      <c r="D1738" s="19" t="s">
        <v>148</v>
      </c>
      <c r="E1738" s="19" t="s">
        <v>147</v>
      </c>
      <c r="F1738" s="19" t="s">
        <v>413</v>
      </c>
      <c r="G1738" s="19" t="n">
        <v>200</v>
      </c>
      <c r="H1738" s="19" t="s">
        <v>414</v>
      </c>
      <c r="I1738" s="20" t="n">
        <v>12.771</v>
      </c>
      <c r="J1738" s="19" t="n">
        <f aca="false">IF(I1738="","",MIN(Overview!$B$8,MAX(1,CEILING(I1738/Overview!$B$7,1))))</f>
        <v>3</v>
      </c>
      <c r="K1738" s="19" t="n">
        <v>1</v>
      </c>
      <c r="L1738" s="19"/>
      <c r="M1738" s="20" t="n">
        <v>3</v>
      </c>
      <c r="N1738" s="19"/>
      <c r="O1738" s="19"/>
      <c r="P1738" s="19" t="s">
        <v>2613</v>
      </c>
      <c r="Q1738" s="19" t="s">
        <v>1368</v>
      </c>
      <c r="R1738" s="21" t="n">
        <v>45490</v>
      </c>
      <c r="S1738" s="19" t="s">
        <v>1137</v>
      </c>
      <c r="T1738" s="19" t="s">
        <v>5656</v>
      </c>
      <c r="U1738" s="19" t="str">
        <f aca="false">HYPERLINK("https://macaulaylibrary.org/asset/623042233","Open")</f>
        <v>Open</v>
      </c>
      <c r="V1738" s="19"/>
    </row>
    <row r="1739" customFormat="false" ht="15" hidden="false" customHeight="false" outlineLevel="0" collapsed="false">
      <c r="A1739" s="19" t="s">
        <v>5657</v>
      </c>
      <c r="B1739" s="19" t="s">
        <v>943</v>
      </c>
      <c r="C1739" s="19" t="s">
        <v>944</v>
      </c>
      <c r="D1739" s="19" t="s">
        <v>148</v>
      </c>
      <c r="E1739" s="19" t="s">
        <v>147</v>
      </c>
      <c r="F1739" s="19" t="s">
        <v>413</v>
      </c>
      <c r="G1739" s="19" t="n">
        <v>200</v>
      </c>
      <c r="H1739" s="19" t="s">
        <v>414</v>
      </c>
      <c r="I1739" s="20" t="n">
        <v>11.554</v>
      </c>
      <c r="J1739" s="19" t="n">
        <f aca="false">IF(I1739="","",MIN(Overview!$B$8,MAX(1,CEILING(I1739/Overview!$B$7,1))))</f>
        <v>3</v>
      </c>
      <c r="K1739" s="19" t="n">
        <v>1</v>
      </c>
      <c r="L1739" s="19"/>
      <c r="M1739" s="20" t="n">
        <v>3.5</v>
      </c>
      <c r="N1739" s="19"/>
      <c r="O1739" s="19"/>
      <c r="P1739" s="19" t="s">
        <v>2613</v>
      </c>
      <c r="Q1739" s="19" t="s">
        <v>1368</v>
      </c>
      <c r="R1739" s="21" t="n">
        <v>45490</v>
      </c>
      <c r="S1739" s="19" t="s">
        <v>1137</v>
      </c>
      <c r="T1739" s="19" t="s">
        <v>5658</v>
      </c>
      <c r="U1739" s="19" t="str">
        <f aca="false">HYPERLINK("https://macaulaylibrary.org/asset/623042234","Open")</f>
        <v>Open</v>
      </c>
      <c r="V1739" s="19"/>
    </row>
    <row r="1740" customFormat="false" ht="15" hidden="false" customHeight="false" outlineLevel="0" collapsed="false">
      <c r="A1740" s="19" t="s">
        <v>5659</v>
      </c>
      <c r="B1740" s="19" t="s">
        <v>943</v>
      </c>
      <c r="C1740" s="19" t="s">
        <v>944</v>
      </c>
      <c r="D1740" s="19" t="s">
        <v>148</v>
      </c>
      <c r="E1740" s="19" t="s">
        <v>147</v>
      </c>
      <c r="F1740" s="19" t="s">
        <v>413</v>
      </c>
      <c r="G1740" s="19" t="n">
        <v>200</v>
      </c>
      <c r="H1740" s="19" t="s">
        <v>414</v>
      </c>
      <c r="I1740" s="20" t="n">
        <v>3.801</v>
      </c>
      <c r="J1740" s="19" t="n">
        <f aca="false">IF(I1740="","",MIN(Overview!$B$8,MAX(1,CEILING(I1740/Overview!$B$7,1))))</f>
        <v>1</v>
      </c>
      <c r="K1740" s="19" t="n">
        <v>1</v>
      </c>
      <c r="L1740" s="19" t="s">
        <v>1048</v>
      </c>
      <c r="M1740" s="20" t="n">
        <v>2.5</v>
      </c>
      <c r="N1740" s="19"/>
      <c r="O1740" s="19"/>
      <c r="P1740" s="19" t="s">
        <v>2613</v>
      </c>
      <c r="Q1740" s="19" t="s">
        <v>1368</v>
      </c>
      <c r="R1740" s="21" t="n">
        <v>45490</v>
      </c>
      <c r="S1740" s="19" t="s">
        <v>1137</v>
      </c>
      <c r="T1740" s="19" t="s">
        <v>5660</v>
      </c>
      <c r="U1740" s="19" t="str">
        <f aca="false">HYPERLINK("https://macaulaylibrary.org/asset/623042235","Open")</f>
        <v>Open</v>
      </c>
      <c r="V1740" s="19"/>
    </row>
    <row r="1741" customFormat="false" ht="15" hidden="false" customHeight="false" outlineLevel="0" collapsed="false">
      <c r="A1741" s="19" t="s">
        <v>5661</v>
      </c>
      <c r="B1741" s="19" t="s">
        <v>943</v>
      </c>
      <c r="C1741" s="19" t="s">
        <v>944</v>
      </c>
      <c r="D1741" s="19" t="s">
        <v>148</v>
      </c>
      <c r="E1741" s="19" t="s">
        <v>147</v>
      </c>
      <c r="F1741" s="19" t="s">
        <v>413</v>
      </c>
      <c r="G1741" s="19" t="n">
        <v>200</v>
      </c>
      <c r="H1741" s="19" t="s">
        <v>414</v>
      </c>
      <c r="I1741" s="20" t="n">
        <v>30.355</v>
      </c>
      <c r="J1741" s="19" t="n">
        <f aca="false">IF(I1741="","",MIN(Overview!$B$8,MAX(1,CEILING(I1741/Overview!$B$7,1))))</f>
        <v>7</v>
      </c>
      <c r="K1741" s="19" t="n">
        <v>1</v>
      </c>
      <c r="L1741" s="19"/>
      <c r="M1741" s="20" t="n">
        <v>3.33</v>
      </c>
      <c r="N1741" s="19"/>
      <c r="O1741" s="19"/>
      <c r="P1741" s="19" t="s">
        <v>2613</v>
      </c>
      <c r="Q1741" s="19" t="s">
        <v>1368</v>
      </c>
      <c r="R1741" s="21" t="n">
        <v>45490</v>
      </c>
      <c r="S1741" s="19" t="s">
        <v>1137</v>
      </c>
      <c r="T1741" s="19" t="s">
        <v>5662</v>
      </c>
      <c r="U1741" s="19" t="str">
        <f aca="false">HYPERLINK("https://macaulaylibrary.org/asset/623042673","Open")</f>
        <v>Open</v>
      </c>
      <c r="V1741" s="19"/>
    </row>
    <row r="1742" customFormat="false" ht="15" hidden="false" customHeight="false" outlineLevel="0" collapsed="false">
      <c r="A1742" s="19" t="s">
        <v>5663</v>
      </c>
      <c r="B1742" s="19" t="s">
        <v>943</v>
      </c>
      <c r="C1742" s="19" t="s">
        <v>944</v>
      </c>
      <c r="D1742" s="19" t="s">
        <v>148</v>
      </c>
      <c r="E1742" s="19" t="s">
        <v>147</v>
      </c>
      <c r="F1742" s="19" t="s">
        <v>413</v>
      </c>
      <c r="G1742" s="19" t="n">
        <v>200</v>
      </c>
      <c r="H1742" s="19" t="s">
        <v>414</v>
      </c>
      <c r="I1742" s="20" t="n">
        <v>44.584</v>
      </c>
      <c r="J1742" s="19" t="n">
        <f aca="false">IF(I1742="","",MIN(Overview!$B$8,MAX(1,CEILING(I1742/Overview!$B$7,1))))</f>
        <v>9</v>
      </c>
      <c r="K1742" s="19" t="n">
        <v>1</v>
      </c>
      <c r="L1742" s="19"/>
      <c r="M1742" s="20" t="n">
        <v>4</v>
      </c>
      <c r="N1742" s="19"/>
      <c r="O1742" s="19"/>
      <c r="P1742" s="19" t="s">
        <v>2901</v>
      </c>
      <c r="Q1742" s="19" t="s">
        <v>1368</v>
      </c>
      <c r="R1742" s="21" t="n">
        <v>45624</v>
      </c>
      <c r="S1742" s="19" t="s">
        <v>1036</v>
      </c>
      <c r="T1742" s="19" t="s">
        <v>5664</v>
      </c>
      <c r="U1742" s="19" t="str">
        <f aca="false">HYPERLINK("https://macaulaylibrary.org/asset/628584444","Open")</f>
        <v>Open</v>
      </c>
      <c r="V1742" s="19"/>
    </row>
    <row r="1743" customFormat="false" ht="15" hidden="false" customHeight="false" outlineLevel="0" collapsed="false">
      <c r="A1743" s="19" t="s">
        <v>5665</v>
      </c>
      <c r="B1743" s="19" t="s">
        <v>943</v>
      </c>
      <c r="C1743" s="19" t="s">
        <v>944</v>
      </c>
      <c r="D1743" s="19" t="s">
        <v>148</v>
      </c>
      <c r="E1743" s="19" t="s">
        <v>147</v>
      </c>
      <c r="F1743" s="19" t="s">
        <v>413</v>
      </c>
      <c r="G1743" s="19" t="n">
        <v>200</v>
      </c>
      <c r="H1743" s="19" t="s">
        <v>414</v>
      </c>
      <c r="I1743" s="20" t="n">
        <v>9.813</v>
      </c>
      <c r="J1743" s="19" t="n">
        <f aca="false">IF(I1743="","",MIN(Overview!$B$8,MAX(1,CEILING(I1743/Overview!$B$7,1))))</f>
        <v>2</v>
      </c>
      <c r="K1743" s="19" t="n">
        <v>1</v>
      </c>
      <c r="L1743" s="19"/>
      <c r="M1743" s="20"/>
      <c r="N1743" s="19"/>
      <c r="O1743" s="19"/>
      <c r="P1743" s="19" t="s">
        <v>1198</v>
      </c>
      <c r="Q1743" s="19" t="s">
        <v>1199</v>
      </c>
      <c r="R1743" s="21" t="n">
        <v>46028</v>
      </c>
      <c r="S1743" s="19" t="s">
        <v>1200</v>
      </c>
      <c r="T1743" s="19" t="s">
        <v>5666</v>
      </c>
      <c r="U1743" s="19" t="str">
        <f aca="false">HYPERLINK("https://macaulaylibrary.org/asset/648568596","Open")</f>
        <v>Open</v>
      </c>
      <c r="V1743" s="19"/>
    </row>
    <row r="1744" customFormat="false" ht="15" hidden="false" customHeight="false" outlineLevel="0" collapsed="false">
      <c r="A1744" s="19" t="s">
        <v>5667</v>
      </c>
      <c r="B1744" s="19" t="s">
        <v>943</v>
      </c>
      <c r="C1744" s="19" t="s">
        <v>944</v>
      </c>
      <c r="D1744" s="19" t="s">
        <v>148</v>
      </c>
      <c r="E1744" s="19" t="s">
        <v>147</v>
      </c>
      <c r="F1744" s="19" t="s">
        <v>413</v>
      </c>
      <c r="G1744" s="19" t="n">
        <v>200</v>
      </c>
      <c r="H1744" s="19" t="s">
        <v>414</v>
      </c>
      <c r="I1744" s="20" t="n">
        <v>23.59</v>
      </c>
      <c r="J1744" s="19" t="n">
        <f aca="false">IF(I1744="","",MIN(Overview!$B$8,MAX(1,CEILING(I1744/Overview!$B$7,1))))</f>
        <v>5</v>
      </c>
      <c r="K1744" s="19" t="n">
        <v>1</v>
      </c>
      <c r="L1744" s="19"/>
      <c r="M1744" s="20" t="n">
        <v>1</v>
      </c>
      <c r="N1744" s="19"/>
      <c r="O1744" s="19"/>
      <c r="P1744" s="19" t="s">
        <v>5668</v>
      </c>
      <c r="Q1744" s="19" t="s">
        <v>1236</v>
      </c>
      <c r="R1744" s="21" t="n">
        <v>46075</v>
      </c>
      <c r="S1744" s="19" t="s">
        <v>3091</v>
      </c>
      <c r="T1744" s="19" t="s">
        <v>5669</v>
      </c>
      <c r="U1744" s="19" t="str">
        <f aca="false">HYPERLINK("https://macaulaylibrary.org/asset/660518406","Open")</f>
        <v>Open</v>
      </c>
      <c r="V1744" s="19"/>
    </row>
    <row r="1745" customFormat="false" ht="15" hidden="false" customHeight="false" outlineLevel="0" collapsed="false">
      <c r="A1745" s="19" t="s">
        <v>5670</v>
      </c>
      <c r="B1745" s="19" t="s">
        <v>943</v>
      </c>
      <c r="C1745" s="19" t="s">
        <v>944</v>
      </c>
      <c r="D1745" s="19" t="s">
        <v>400</v>
      </c>
      <c r="E1745" s="19" t="s">
        <v>147</v>
      </c>
      <c r="F1745" s="19" t="s">
        <v>586</v>
      </c>
      <c r="G1745" s="19" t="n">
        <v>201</v>
      </c>
      <c r="H1745" s="19" t="s">
        <v>587</v>
      </c>
      <c r="I1745" s="20" t="n">
        <v>22.79</v>
      </c>
      <c r="J1745" s="19" t="n">
        <f aca="false">IF(I1745="","",MIN(Overview!$B$8,MAX(1,CEILING(I1745/Overview!$B$7,1))))</f>
        <v>5</v>
      </c>
      <c r="K1745" s="19" t="n">
        <v>1</v>
      </c>
      <c r="L1745" s="19"/>
      <c r="M1745" s="20"/>
      <c r="N1745" s="19"/>
      <c r="O1745" s="19"/>
      <c r="P1745" s="19" t="s">
        <v>3861</v>
      </c>
      <c r="Q1745" s="19" t="s">
        <v>1401</v>
      </c>
      <c r="R1745" s="21" t="n">
        <v>36228</v>
      </c>
      <c r="S1745" s="19" t="s">
        <v>1936</v>
      </c>
      <c r="T1745" s="19" t="s">
        <v>5671</v>
      </c>
      <c r="U1745" s="19" t="str">
        <f aca="false">HYPERLINK("https://macaulaylibrary.org/asset/127771081","Open")</f>
        <v>Open</v>
      </c>
      <c r="V1745" s="19"/>
    </row>
    <row r="1746" customFormat="false" ht="15" hidden="false" customHeight="false" outlineLevel="0" collapsed="false">
      <c r="A1746" s="19" t="s">
        <v>5672</v>
      </c>
      <c r="B1746" s="19" t="s">
        <v>943</v>
      </c>
      <c r="C1746" s="19" t="s">
        <v>944</v>
      </c>
      <c r="D1746" s="19" t="s">
        <v>400</v>
      </c>
      <c r="E1746" s="19" t="s">
        <v>147</v>
      </c>
      <c r="F1746" s="19" t="s">
        <v>586</v>
      </c>
      <c r="G1746" s="19" t="n">
        <v>201</v>
      </c>
      <c r="H1746" s="19" t="s">
        <v>587</v>
      </c>
      <c r="I1746" s="20" t="n">
        <v>56.95</v>
      </c>
      <c r="J1746" s="19" t="n">
        <f aca="false">IF(I1746="","",MIN(Overview!$B$8,MAX(1,CEILING(I1746/Overview!$B$7,1))))</f>
        <v>12</v>
      </c>
      <c r="K1746" s="19" t="n">
        <v>1</v>
      </c>
      <c r="L1746" s="19"/>
      <c r="M1746" s="20" t="n">
        <v>4</v>
      </c>
      <c r="N1746" s="19"/>
      <c r="O1746" s="19"/>
      <c r="P1746" s="19" t="s">
        <v>1214</v>
      </c>
      <c r="Q1746" s="19" t="s">
        <v>980</v>
      </c>
      <c r="R1746" s="21" t="n">
        <v>33300</v>
      </c>
      <c r="S1746" s="19" t="s">
        <v>1002</v>
      </c>
      <c r="T1746" s="19" t="s">
        <v>5673</v>
      </c>
      <c r="U1746" s="19" t="str">
        <f aca="false">HYPERLINK("https://macaulaylibrary.org/asset/72670","Open")</f>
        <v>Open</v>
      </c>
      <c r="V1746" s="19"/>
    </row>
    <row r="1747" customFormat="false" ht="15" hidden="false" customHeight="false" outlineLevel="0" collapsed="false">
      <c r="A1747" s="19" t="s">
        <v>5674</v>
      </c>
      <c r="B1747" s="19" t="s">
        <v>943</v>
      </c>
      <c r="C1747" s="19" t="s">
        <v>944</v>
      </c>
      <c r="D1747" s="19" t="s">
        <v>400</v>
      </c>
      <c r="E1747" s="19" t="s">
        <v>147</v>
      </c>
      <c r="F1747" s="19" t="s">
        <v>586</v>
      </c>
      <c r="G1747" s="19" t="n">
        <v>201</v>
      </c>
      <c r="H1747" s="19" t="s">
        <v>587</v>
      </c>
      <c r="I1747" s="20" t="n">
        <v>315.341</v>
      </c>
      <c r="J1747" s="19" t="n">
        <f aca="false">IF(I1747="","",MIN(Overview!$B$8,MAX(1,CEILING(I1747/Overview!$B$7,1))))</f>
        <v>64</v>
      </c>
      <c r="K1747" s="19" t="n">
        <v>1</v>
      </c>
      <c r="L1747" s="19"/>
      <c r="M1747" s="20" t="n">
        <v>4</v>
      </c>
      <c r="N1747" s="19"/>
      <c r="O1747" s="19"/>
      <c r="P1747" s="19" t="s">
        <v>1214</v>
      </c>
      <c r="Q1747" s="19" t="s">
        <v>980</v>
      </c>
      <c r="R1747" s="21" t="n">
        <v>33300</v>
      </c>
      <c r="S1747" s="19" t="s">
        <v>1002</v>
      </c>
      <c r="T1747" s="19" t="s">
        <v>5675</v>
      </c>
      <c r="U1747" s="19" t="str">
        <f aca="false">HYPERLINK("https://macaulaylibrary.org/asset/72671","Open")</f>
        <v>Open</v>
      </c>
      <c r="V1747" s="19"/>
    </row>
    <row r="1748" customFormat="false" ht="15" hidden="false" customHeight="false" outlineLevel="0" collapsed="false">
      <c r="A1748" s="19" t="s">
        <v>5676</v>
      </c>
      <c r="B1748" s="19" t="s">
        <v>943</v>
      </c>
      <c r="C1748" s="19" t="s">
        <v>944</v>
      </c>
      <c r="D1748" s="19" t="s">
        <v>400</v>
      </c>
      <c r="E1748" s="19" t="s">
        <v>147</v>
      </c>
      <c r="F1748" s="19" t="s">
        <v>586</v>
      </c>
      <c r="G1748" s="19" t="n">
        <v>201</v>
      </c>
      <c r="H1748" s="19" t="s">
        <v>587</v>
      </c>
      <c r="I1748" s="20" t="n">
        <v>153.016</v>
      </c>
      <c r="J1748" s="19" t="n">
        <f aca="false">IF(I1748="","",MIN(Overview!$B$8,MAX(1,CEILING(I1748/Overview!$B$7,1))))</f>
        <v>31</v>
      </c>
      <c r="K1748" s="19" t="n">
        <v>1</v>
      </c>
      <c r="L1748" s="19"/>
      <c r="M1748" s="20" t="n">
        <v>3</v>
      </c>
      <c r="N1748" s="19"/>
      <c r="O1748" s="19"/>
      <c r="P1748" s="19" t="s">
        <v>1214</v>
      </c>
      <c r="Q1748" s="19" t="s">
        <v>980</v>
      </c>
      <c r="R1748" s="21" t="n">
        <v>33300</v>
      </c>
      <c r="S1748" s="19" t="s">
        <v>1858</v>
      </c>
      <c r="T1748" s="19" t="s">
        <v>5677</v>
      </c>
      <c r="U1748" s="19" t="str">
        <f aca="false">HYPERLINK("https://macaulaylibrary.org/asset/72672","Open")</f>
        <v>Open</v>
      </c>
      <c r="V1748" s="19"/>
    </row>
    <row r="1749" customFormat="false" ht="15" hidden="false" customHeight="false" outlineLevel="0" collapsed="false">
      <c r="A1749" s="19" t="s">
        <v>5678</v>
      </c>
      <c r="B1749" s="19" t="s">
        <v>1005</v>
      </c>
      <c r="C1749" s="19" t="s">
        <v>944</v>
      </c>
      <c r="D1749" s="19" t="s">
        <v>647</v>
      </c>
      <c r="E1749" s="19" t="s">
        <v>147</v>
      </c>
      <c r="F1749" s="19" t="s">
        <v>864</v>
      </c>
      <c r="G1749" s="19" t="n">
        <v>202</v>
      </c>
      <c r="H1749" s="19" t="s">
        <v>865</v>
      </c>
      <c r="I1749" s="20" t="n">
        <v>29.1</v>
      </c>
      <c r="J1749" s="19" t="n">
        <f aca="false">IF(I1749="","",MIN(Overview!$B$8,MAX(1,CEILING(I1749/Overview!$B$7,1))))</f>
        <v>6</v>
      </c>
      <c r="K1749" s="19" t="n">
        <v>1</v>
      </c>
      <c r="L1749" s="19"/>
      <c r="M1749" s="20"/>
      <c r="N1749" s="19" t="s">
        <v>1006</v>
      </c>
      <c r="O1749" s="19"/>
      <c r="P1749" s="19" t="s">
        <v>2155</v>
      </c>
      <c r="Q1749" s="19" t="s">
        <v>1008</v>
      </c>
      <c r="R1749" s="21" t="n">
        <v>42575</v>
      </c>
      <c r="S1749" s="19" t="s">
        <v>1774</v>
      </c>
      <c r="T1749" s="19" t="s">
        <v>5679</v>
      </c>
      <c r="U1749" s="19" t="str">
        <f aca="false">HYPERLINK("https://xeno-canto.org/331328","Open")</f>
        <v>Open</v>
      </c>
      <c r="V1749" s="19" t="s">
        <v>1720</v>
      </c>
    </row>
    <row r="1750" customFormat="false" ht="15" hidden="false" customHeight="false" outlineLevel="0" collapsed="false">
      <c r="A1750" s="19" t="s">
        <v>5680</v>
      </c>
      <c r="B1750" s="19" t="s">
        <v>943</v>
      </c>
      <c r="C1750" s="19" t="s">
        <v>944</v>
      </c>
      <c r="D1750" s="19" t="s">
        <v>400</v>
      </c>
      <c r="E1750" s="19" t="s">
        <v>147</v>
      </c>
      <c r="F1750" s="19" t="s">
        <v>626</v>
      </c>
      <c r="G1750" s="19" t="n">
        <v>204</v>
      </c>
      <c r="H1750" s="19" t="s">
        <v>627</v>
      </c>
      <c r="I1750" s="20" t="n">
        <v>25.635</v>
      </c>
      <c r="J1750" s="19" t="n">
        <f aca="false">IF(I1750="","",MIN(Overview!$B$8,MAX(1,CEILING(I1750/Overview!$B$7,1))))</f>
        <v>6</v>
      </c>
      <c r="K1750" s="19" t="n">
        <v>1</v>
      </c>
      <c r="L1750" s="19"/>
      <c r="M1750" s="20" t="n">
        <v>2</v>
      </c>
      <c r="N1750" s="19"/>
      <c r="O1750" s="19" t="s">
        <v>155</v>
      </c>
      <c r="P1750" s="19" t="s">
        <v>5616</v>
      </c>
      <c r="Q1750" s="19" t="s">
        <v>990</v>
      </c>
      <c r="R1750" s="21" t="n">
        <v>44547</v>
      </c>
      <c r="S1750" s="19" t="s">
        <v>5617</v>
      </c>
      <c r="T1750" s="19" t="s">
        <v>5681</v>
      </c>
      <c r="U1750" s="19" t="str">
        <f aca="false">HYPERLINK("https://macaulaylibrary.org/asset/400101161","Open")</f>
        <v>Open</v>
      </c>
      <c r="V1750" s="19"/>
    </row>
    <row r="1751" customFormat="false" ht="15" hidden="false" customHeight="false" outlineLevel="0" collapsed="false">
      <c r="A1751" s="19" t="s">
        <v>5682</v>
      </c>
      <c r="B1751" s="19" t="s">
        <v>943</v>
      </c>
      <c r="C1751" s="19" t="s">
        <v>944</v>
      </c>
      <c r="D1751" s="19" t="s">
        <v>400</v>
      </c>
      <c r="E1751" s="19" t="s">
        <v>147</v>
      </c>
      <c r="F1751" s="19" t="s">
        <v>626</v>
      </c>
      <c r="G1751" s="19" t="n">
        <v>204</v>
      </c>
      <c r="H1751" s="19" t="s">
        <v>627</v>
      </c>
      <c r="I1751" s="20" t="n">
        <v>6.415</v>
      </c>
      <c r="J1751" s="19" t="n">
        <f aca="false">IF(I1751="","",MIN(Overview!$B$8,MAX(1,CEILING(I1751/Overview!$B$7,1))))</f>
        <v>2</v>
      </c>
      <c r="K1751" s="19" t="n">
        <v>1</v>
      </c>
      <c r="L1751" s="19"/>
      <c r="M1751" s="20" t="n">
        <v>1</v>
      </c>
      <c r="N1751" s="19"/>
      <c r="O1751" s="19"/>
      <c r="P1751" s="19" t="s">
        <v>5683</v>
      </c>
      <c r="Q1751" s="19" t="s">
        <v>1076</v>
      </c>
      <c r="R1751" s="21" t="n">
        <v>43398</v>
      </c>
      <c r="S1751" s="19" t="s">
        <v>2088</v>
      </c>
      <c r="T1751" s="19" t="s">
        <v>5684</v>
      </c>
      <c r="U1751" s="19" t="str">
        <f aca="false">HYPERLINK("https://macaulaylibrary.org/asset/470892891","Open")</f>
        <v>Open</v>
      </c>
      <c r="V1751" s="19"/>
    </row>
    <row r="1752" customFormat="false" ht="15" hidden="false" customHeight="false" outlineLevel="0" collapsed="false">
      <c r="A1752" s="19" t="s">
        <v>5685</v>
      </c>
      <c r="B1752" s="19" t="s">
        <v>943</v>
      </c>
      <c r="C1752" s="19" t="s">
        <v>944</v>
      </c>
      <c r="D1752" s="19" t="s">
        <v>400</v>
      </c>
      <c r="E1752" s="19" t="s">
        <v>147</v>
      </c>
      <c r="F1752" s="19" t="s">
        <v>626</v>
      </c>
      <c r="G1752" s="19" t="n">
        <v>204</v>
      </c>
      <c r="H1752" s="19" t="s">
        <v>627</v>
      </c>
      <c r="I1752" s="20" t="n">
        <v>11.883</v>
      </c>
      <c r="J1752" s="19" t="n">
        <f aca="false">IF(I1752="","",MIN(Overview!$B$8,MAX(1,CEILING(I1752/Overview!$B$7,1))))</f>
        <v>3</v>
      </c>
      <c r="K1752" s="19" t="n">
        <v>1</v>
      </c>
      <c r="L1752" s="19"/>
      <c r="M1752" s="20" t="n">
        <v>3</v>
      </c>
      <c r="N1752" s="19"/>
      <c r="O1752" s="19"/>
      <c r="P1752" s="19" t="s">
        <v>1867</v>
      </c>
      <c r="Q1752" s="19" t="s">
        <v>1086</v>
      </c>
      <c r="R1752" s="21" t="n">
        <v>45297</v>
      </c>
      <c r="S1752" s="19" t="s">
        <v>1868</v>
      </c>
      <c r="T1752" s="19" t="s">
        <v>5686</v>
      </c>
      <c r="U1752" s="19" t="str">
        <f aca="false">HYPERLINK("https://macaulaylibrary.org/asset/614020267","Open")</f>
        <v>Open</v>
      </c>
      <c r="V1752" s="19"/>
    </row>
    <row r="1753" customFormat="false" ht="15" hidden="false" customHeight="false" outlineLevel="0" collapsed="false">
      <c r="A1753" s="19" t="s">
        <v>5687</v>
      </c>
      <c r="B1753" s="19" t="s">
        <v>943</v>
      </c>
      <c r="C1753" s="19" t="s">
        <v>944</v>
      </c>
      <c r="D1753" s="19" t="s">
        <v>400</v>
      </c>
      <c r="E1753" s="19" t="s">
        <v>147</v>
      </c>
      <c r="F1753" s="19" t="s">
        <v>680</v>
      </c>
      <c r="G1753" s="19" t="n">
        <v>205</v>
      </c>
      <c r="H1753" s="19" t="s">
        <v>681</v>
      </c>
      <c r="I1753" s="20" t="n">
        <v>59.716</v>
      </c>
      <c r="J1753" s="19" t="n">
        <f aca="false">IF(I1753="","",MIN(Overview!$B$8,MAX(1,CEILING(I1753/Overview!$B$7,1))))</f>
        <v>12</v>
      </c>
      <c r="K1753" s="19" t="n">
        <v>1</v>
      </c>
      <c r="L1753" s="19"/>
      <c r="M1753" s="20" t="n">
        <v>3</v>
      </c>
      <c r="N1753" s="19"/>
      <c r="O1753" s="19"/>
      <c r="P1753" s="19" t="s">
        <v>1698</v>
      </c>
      <c r="Q1753" s="19" t="s">
        <v>1021</v>
      </c>
      <c r="R1753" s="21" t="n">
        <v>36599</v>
      </c>
      <c r="S1753" s="19" t="s">
        <v>1036</v>
      </c>
      <c r="T1753" s="19" t="s">
        <v>5688</v>
      </c>
      <c r="U1753" s="19" t="str">
        <f aca="false">HYPERLINK("https://macaulaylibrary.org/asset/150735761","Open")</f>
        <v>Open</v>
      </c>
      <c r="V1753" s="19"/>
    </row>
    <row r="1754" customFormat="false" ht="15" hidden="false" customHeight="false" outlineLevel="0" collapsed="false">
      <c r="A1754" s="19" t="s">
        <v>5689</v>
      </c>
      <c r="B1754" s="19" t="s">
        <v>943</v>
      </c>
      <c r="C1754" s="19" t="s">
        <v>944</v>
      </c>
      <c r="D1754" s="19" t="s">
        <v>400</v>
      </c>
      <c r="E1754" s="19" t="s">
        <v>147</v>
      </c>
      <c r="F1754" s="19" t="s">
        <v>680</v>
      </c>
      <c r="G1754" s="19" t="n">
        <v>205</v>
      </c>
      <c r="H1754" s="19" t="s">
        <v>681</v>
      </c>
      <c r="I1754" s="20" t="n">
        <v>16</v>
      </c>
      <c r="J1754" s="19" t="n">
        <f aca="false">IF(I1754="","",MIN(Overview!$B$8,MAX(1,CEILING(I1754/Overview!$B$7,1))))</f>
        <v>4</v>
      </c>
      <c r="K1754" s="19" t="n">
        <v>1</v>
      </c>
      <c r="L1754" s="19"/>
      <c r="M1754" s="20" t="n">
        <v>1.5</v>
      </c>
      <c r="N1754" s="19"/>
      <c r="O1754" s="19"/>
      <c r="P1754" s="19" t="s">
        <v>5690</v>
      </c>
      <c r="Q1754" s="19" t="s">
        <v>5691</v>
      </c>
      <c r="R1754" s="21" t="n">
        <v>41773</v>
      </c>
      <c r="S1754" s="19" t="s">
        <v>1106</v>
      </c>
      <c r="T1754" s="19" t="s">
        <v>5692</v>
      </c>
      <c r="U1754" s="19" t="str">
        <f aca="false">HYPERLINK("https://macaulaylibrary.org/asset/72461241","Open")</f>
        <v>Open</v>
      </c>
      <c r="V1754" s="19"/>
    </row>
    <row r="1755" customFormat="false" ht="15" hidden="false" customHeight="false" outlineLevel="0" collapsed="false">
      <c r="A1755" s="19" t="s">
        <v>5693</v>
      </c>
      <c r="B1755" s="19" t="s">
        <v>943</v>
      </c>
      <c r="C1755" s="19" t="s">
        <v>944</v>
      </c>
      <c r="D1755" s="19" t="s">
        <v>400</v>
      </c>
      <c r="E1755" s="19" t="s">
        <v>147</v>
      </c>
      <c r="F1755" s="19" t="s">
        <v>731</v>
      </c>
      <c r="G1755" s="19" t="n">
        <v>206</v>
      </c>
      <c r="H1755" s="19" t="s">
        <v>732</v>
      </c>
      <c r="I1755" s="20" t="n">
        <v>274.667</v>
      </c>
      <c r="J1755" s="19" t="n">
        <f aca="false">IF(I1755="","",MIN(Overview!$B$8,MAX(1,CEILING(I1755/Overview!$B$7,1))))</f>
        <v>55</v>
      </c>
      <c r="K1755" s="19" t="n">
        <v>1</v>
      </c>
      <c r="L1755" s="19"/>
      <c r="M1755" s="20" t="n">
        <v>4</v>
      </c>
      <c r="N1755" s="19"/>
      <c r="O1755" s="19"/>
      <c r="P1755" s="19" t="s">
        <v>1214</v>
      </c>
      <c r="Q1755" s="19" t="s">
        <v>980</v>
      </c>
      <c r="R1755" s="21" t="n">
        <v>33300</v>
      </c>
      <c r="S1755" s="19" t="s">
        <v>1973</v>
      </c>
      <c r="T1755" s="19" t="s">
        <v>5694</v>
      </c>
      <c r="U1755" s="19" t="str">
        <f aca="false">HYPERLINK("https://macaulaylibrary.org/asset/72663","Open")</f>
        <v>Open</v>
      </c>
      <c r="V1755" s="19"/>
    </row>
    <row r="1756" customFormat="false" ht="15" hidden="false" customHeight="false" outlineLevel="0" collapsed="false">
      <c r="A1756" s="19" t="s">
        <v>5695</v>
      </c>
      <c r="B1756" s="19" t="s">
        <v>943</v>
      </c>
      <c r="C1756" s="19" t="s">
        <v>944</v>
      </c>
      <c r="D1756" s="19" t="s">
        <v>400</v>
      </c>
      <c r="E1756" s="19" t="s">
        <v>147</v>
      </c>
      <c r="F1756" s="19" t="s">
        <v>463</v>
      </c>
      <c r="G1756" s="19" t="n">
        <v>207</v>
      </c>
      <c r="H1756" s="19" t="s">
        <v>464</v>
      </c>
      <c r="I1756" s="20" t="n">
        <v>75.162</v>
      </c>
      <c r="J1756" s="19" t="n">
        <f aca="false">IF(I1756="","",MIN(Overview!$B$8,MAX(1,CEILING(I1756/Overview!$B$7,1))))</f>
        <v>16</v>
      </c>
      <c r="K1756" s="19" t="n">
        <v>1</v>
      </c>
      <c r="L1756" s="19"/>
      <c r="M1756" s="20" t="n">
        <v>4</v>
      </c>
      <c r="N1756" s="19"/>
      <c r="O1756" s="19"/>
      <c r="P1756" s="19" t="s">
        <v>5696</v>
      </c>
      <c r="Q1756" s="19" t="s">
        <v>1401</v>
      </c>
      <c r="R1756" s="21" t="n">
        <v>36601</v>
      </c>
      <c r="S1756" s="19" t="s">
        <v>1002</v>
      </c>
      <c r="T1756" s="19" t="s">
        <v>5697</v>
      </c>
      <c r="U1756" s="19" t="str">
        <f aca="false">HYPERLINK("https://macaulaylibrary.org/asset/129750241","Open")</f>
        <v>Open</v>
      </c>
      <c r="V1756" s="19"/>
    </row>
    <row r="1757" customFormat="false" ht="15" hidden="false" customHeight="false" outlineLevel="0" collapsed="false">
      <c r="A1757" s="19" t="s">
        <v>5698</v>
      </c>
      <c r="B1757" s="19" t="s">
        <v>943</v>
      </c>
      <c r="C1757" s="19" t="s">
        <v>944</v>
      </c>
      <c r="D1757" s="19" t="s">
        <v>400</v>
      </c>
      <c r="E1757" s="19" t="s">
        <v>147</v>
      </c>
      <c r="F1757" s="19" t="s">
        <v>463</v>
      </c>
      <c r="G1757" s="19" t="n">
        <v>207</v>
      </c>
      <c r="H1757" s="19" t="s">
        <v>464</v>
      </c>
      <c r="I1757" s="20" t="n">
        <v>294.573</v>
      </c>
      <c r="J1757" s="19" t="n">
        <f aca="false">IF(I1757="","",MIN(Overview!$B$8,MAX(1,CEILING(I1757/Overview!$B$7,1))))</f>
        <v>59</v>
      </c>
      <c r="K1757" s="19" t="n">
        <v>1</v>
      </c>
      <c r="L1757" s="19"/>
      <c r="M1757" s="20" t="n">
        <v>3</v>
      </c>
      <c r="N1757" s="19"/>
      <c r="O1757" s="19"/>
      <c r="P1757" s="19" t="s">
        <v>2600</v>
      </c>
      <c r="Q1757" s="19" t="s">
        <v>980</v>
      </c>
      <c r="R1757" s="21" t="n">
        <v>34124</v>
      </c>
      <c r="S1757" s="19" t="s">
        <v>5699</v>
      </c>
      <c r="T1757" s="19" t="s">
        <v>5700</v>
      </c>
      <c r="U1757" s="19" t="str">
        <f aca="false">HYPERLINK("https://macaulaylibrary.org/asset/209468","Open")</f>
        <v>Open</v>
      </c>
      <c r="V1757" s="19"/>
    </row>
    <row r="1758" customFormat="false" ht="15" hidden="false" customHeight="false" outlineLevel="0" collapsed="false">
      <c r="A1758" s="19" t="s">
        <v>5701</v>
      </c>
      <c r="B1758" s="19" t="s">
        <v>943</v>
      </c>
      <c r="C1758" s="19" t="s">
        <v>944</v>
      </c>
      <c r="D1758" s="19" t="s">
        <v>400</v>
      </c>
      <c r="E1758" s="19" t="s">
        <v>147</v>
      </c>
      <c r="F1758" s="19" t="s">
        <v>463</v>
      </c>
      <c r="G1758" s="19" t="n">
        <v>207</v>
      </c>
      <c r="H1758" s="19" t="s">
        <v>464</v>
      </c>
      <c r="I1758" s="20" t="n">
        <v>1.882</v>
      </c>
      <c r="J1758" s="19" t="n">
        <f aca="false">IF(I1758="","",MIN(Overview!$B$8,MAX(1,CEILING(I1758/Overview!$B$7,1))))</f>
        <v>1</v>
      </c>
      <c r="K1758" s="19" t="n">
        <v>1</v>
      </c>
      <c r="L1758" s="19" t="s">
        <v>1048</v>
      </c>
      <c r="M1758" s="20" t="n">
        <v>3</v>
      </c>
      <c r="N1758" s="19"/>
      <c r="O1758" s="19"/>
      <c r="P1758" s="19" t="s">
        <v>1364</v>
      </c>
      <c r="Q1758" s="19" t="s">
        <v>1040</v>
      </c>
      <c r="R1758" s="21" t="n">
        <v>41630</v>
      </c>
      <c r="S1758" s="19" t="s">
        <v>1002</v>
      </c>
      <c r="T1758" s="19" t="s">
        <v>5702</v>
      </c>
      <c r="U1758" s="19" t="str">
        <f aca="false">HYPERLINK("https://macaulaylibrary.org/asset/609061862","Open")</f>
        <v>Open</v>
      </c>
      <c r="V1758" s="19"/>
    </row>
    <row r="1759" customFormat="false" ht="15" hidden="false" customHeight="false" outlineLevel="0" collapsed="false">
      <c r="A1759" s="19" t="s">
        <v>5703</v>
      </c>
      <c r="B1759" s="19" t="s">
        <v>943</v>
      </c>
      <c r="C1759" s="19" t="s">
        <v>944</v>
      </c>
      <c r="D1759" s="19" t="s">
        <v>400</v>
      </c>
      <c r="E1759" s="19" t="s">
        <v>147</v>
      </c>
      <c r="F1759" s="19" t="s">
        <v>463</v>
      </c>
      <c r="G1759" s="19" t="n">
        <v>207</v>
      </c>
      <c r="H1759" s="19" t="s">
        <v>464</v>
      </c>
      <c r="I1759" s="20" t="n">
        <v>13.975</v>
      </c>
      <c r="J1759" s="19" t="n">
        <f aca="false">IF(I1759="","",MIN(Overview!$B$8,MAX(1,CEILING(I1759/Overview!$B$7,1))))</f>
        <v>3</v>
      </c>
      <c r="K1759" s="19" t="n">
        <v>1</v>
      </c>
      <c r="L1759" s="19"/>
      <c r="M1759" s="20" t="n">
        <v>3</v>
      </c>
      <c r="N1759" s="19"/>
      <c r="O1759" s="19"/>
      <c r="P1759" s="19" t="s">
        <v>1001</v>
      </c>
      <c r="Q1759" s="19" t="s">
        <v>980</v>
      </c>
      <c r="R1759" s="21" t="n">
        <v>33299</v>
      </c>
      <c r="S1759" s="19" t="s">
        <v>1621</v>
      </c>
      <c r="T1759" s="19" t="s">
        <v>5704</v>
      </c>
      <c r="U1759" s="19" t="str">
        <f aca="false">HYPERLINK("https://macaulaylibrary.org/asset/72646","Open")</f>
        <v>Open</v>
      </c>
      <c r="V1759" s="19"/>
    </row>
    <row r="1760" customFormat="false" ht="15" hidden="false" customHeight="false" outlineLevel="0" collapsed="false">
      <c r="A1760" s="19" t="s">
        <v>5705</v>
      </c>
      <c r="B1760" s="19" t="s">
        <v>943</v>
      </c>
      <c r="C1760" s="19" t="s">
        <v>944</v>
      </c>
      <c r="D1760" s="19" t="s">
        <v>400</v>
      </c>
      <c r="E1760" s="19" t="s">
        <v>147</v>
      </c>
      <c r="F1760" s="19" t="s">
        <v>463</v>
      </c>
      <c r="G1760" s="19" t="n">
        <v>207</v>
      </c>
      <c r="H1760" s="19" t="s">
        <v>464</v>
      </c>
      <c r="I1760" s="20" t="n">
        <v>157.628</v>
      </c>
      <c r="J1760" s="19" t="n">
        <f aca="false">IF(I1760="","",MIN(Overview!$B$8,MAX(1,CEILING(I1760/Overview!$B$7,1))))</f>
        <v>32</v>
      </c>
      <c r="K1760" s="19" t="n">
        <v>1</v>
      </c>
      <c r="L1760" s="19"/>
      <c r="M1760" s="20" t="n">
        <v>4.29</v>
      </c>
      <c r="N1760" s="19"/>
      <c r="O1760" s="19"/>
      <c r="P1760" s="19" t="s">
        <v>1001</v>
      </c>
      <c r="Q1760" s="19" t="s">
        <v>980</v>
      </c>
      <c r="R1760" s="21" t="n">
        <v>33299</v>
      </c>
      <c r="S1760" s="19" t="s">
        <v>1002</v>
      </c>
      <c r="T1760" s="19" t="s">
        <v>5706</v>
      </c>
      <c r="U1760" s="19" t="str">
        <f aca="false">HYPERLINK("https://macaulaylibrary.org/asset/72654","Open")</f>
        <v>Open</v>
      </c>
      <c r="V1760" s="19"/>
    </row>
    <row r="1761" customFormat="false" ht="15" hidden="false" customHeight="false" outlineLevel="0" collapsed="false">
      <c r="A1761" s="19" t="s">
        <v>5707</v>
      </c>
      <c r="B1761" s="19" t="s">
        <v>943</v>
      </c>
      <c r="C1761" s="19" t="s">
        <v>944</v>
      </c>
      <c r="D1761" s="19" t="s">
        <v>400</v>
      </c>
      <c r="E1761" s="19" t="s">
        <v>147</v>
      </c>
      <c r="F1761" s="19" t="s">
        <v>463</v>
      </c>
      <c r="G1761" s="19" t="n">
        <v>207</v>
      </c>
      <c r="H1761" s="19" t="s">
        <v>464</v>
      </c>
      <c r="I1761" s="20" t="n">
        <v>391.575</v>
      </c>
      <c r="J1761" s="19" t="n">
        <f aca="false">IF(I1761="","",MIN(Overview!$B$8,MAX(1,CEILING(I1761/Overview!$B$7,1))))</f>
        <v>79</v>
      </c>
      <c r="K1761" s="19" t="n">
        <v>1</v>
      </c>
      <c r="L1761" s="19"/>
      <c r="M1761" s="20" t="n">
        <v>4</v>
      </c>
      <c r="N1761" s="19"/>
      <c r="O1761" s="19"/>
      <c r="P1761" s="19" t="s">
        <v>1214</v>
      </c>
      <c r="Q1761" s="19" t="s">
        <v>980</v>
      </c>
      <c r="R1761" s="21" t="n">
        <v>33300</v>
      </c>
      <c r="S1761" s="19" t="s">
        <v>1002</v>
      </c>
      <c r="T1761" s="19" t="s">
        <v>5708</v>
      </c>
      <c r="U1761" s="19" t="str">
        <f aca="false">HYPERLINK("https://macaulaylibrary.org/asset/72669","Open")</f>
        <v>Open</v>
      </c>
      <c r="V1761" s="19"/>
    </row>
    <row r="1762" customFormat="false" ht="15" hidden="false" customHeight="false" outlineLevel="0" collapsed="false">
      <c r="A1762" s="19" t="s">
        <v>5709</v>
      </c>
      <c r="B1762" s="19" t="s">
        <v>943</v>
      </c>
      <c r="C1762" s="19" t="s">
        <v>944</v>
      </c>
      <c r="D1762" s="19" t="s">
        <v>400</v>
      </c>
      <c r="E1762" s="19" t="s">
        <v>147</v>
      </c>
      <c r="F1762" s="19" t="s">
        <v>463</v>
      </c>
      <c r="G1762" s="19" t="n">
        <v>207</v>
      </c>
      <c r="H1762" s="19" t="s">
        <v>464</v>
      </c>
      <c r="I1762" s="20" t="n">
        <v>45.607</v>
      </c>
      <c r="J1762" s="19" t="n">
        <f aca="false">IF(I1762="","",MIN(Overview!$B$8,MAX(1,CEILING(I1762/Overview!$B$7,1))))</f>
        <v>10</v>
      </c>
      <c r="K1762" s="19" t="n">
        <v>1</v>
      </c>
      <c r="L1762" s="19"/>
      <c r="M1762" s="20" t="n">
        <v>3.2</v>
      </c>
      <c r="N1762" s="19"/>
      <c r="O1762" s="19"/>
      <c r="P1762" s="19" t="s">
        <v>5710</v>
      </c>
      <c r="Q1762" s="19" t="s">
        <v>980</v>
      </c>
      <c r="R1762" s="21" t="n">
        <v>32233</v>
      </c>
      <c r="S1762" s="19" t="s">
        <v>4400</v>
      </c>
      <c r="T1762" s="19" t="s">
        <v>5711</v>
      </c>
      <c r="U1762" s="19" t="str">
        <f aca="false">HYPERLINK("https://macaulaylibrary.org/asset/74223","Open")</f>
        <v>Open</v>
      </c>
      <c r="V1762" s="19"/>
    </row>
    <row r="1763" customFormat="false" ht="15" hidden="false" customHeight="false" outlineLevel="0" collapsed="false">
      <c r="A1763" s="19" t="s">
        <v>5712</v>
      </c>
      <c r="B1763" s="19" t="s">
        <v>943</v>
      </c>
      <c r="C1763" s="19" t="s">
        <v>944</v>
      </c>
      <c r="D1763" s="19" t="s">
        <v>148</v>
      </c>
      <c r="E1763" s="19" t="s">
        <v>147</v>
      </c>
      <c r="F1763" s="19" t="s">
        <v>366</v>
      </c>
      <c r="G1763" s="19" t="n">
        <v>208</v>
      </c>
      <c r="H1763" s="19" t="s">
        <v>367</v>
      </c>
      <c r="I1763" s="20" t="n">
        <v>85.898</v>
      </c>
      <c r="J1763" s="19" t="n">
        <f aca="false">IF(I1763="","",MIN(Overview!$B$8,MAX(1,CEILING(I1763/Overview!$B$7,1))))</f>
        <v>18</v>
      </c>
      <c r="K1763" s="19" t="n">
        <v>1</v>
      </c>
      <c r="L1763" s="19"/>
      <c r="M1763" s="20" t="n">
        <v>2.5</v>
      </c>
      <c r="N1763" s="19"/>
      <c r="O1763" s="19"/>
      <c r="P1763" s="19" t="s">
        <v>1526</v>
      </c>
      <c r="Q1763" s="19" t="s">
        <v>1021</v>
      </c>
      <c r="R1763" s="21" t="n">
        <v>35865</v>
      </c>
      <c r="S1763" s="19" t="s">
        <v>1279</v>
      </c>
      <c r="T1763" s="19" t="s">
        <v>5713</v>
      </c>
      <c r="U1763" s="19" t="str">
        <f aca="false">HYPERLINK("https://macaulaylibrary.org/asset/102482911","Open")</f>
        <v>Open</v>
      </c>
      <c r="V1763" s="19"/>
    </row>
    <row r="1764" customFormat="false" ht="15" hidden="false" customHeight="false" outlineLevel="0" collapsed="false">
      <c r="A1764" s="19" t="s">
        <v>5714</v>
      </c>
      <c r="B1764" s="19" t="s">
        <v>943</v>
      </c>
      <c r="C1764" s="19" t="s">
        <v>944</v>
      </c>
      <c r="D1764" s="19" t="s">
        <v>148</v>
      </c>
      <c r="E1764" s="19" t="s">
        <v>147</v>
      </c>
      <c r="F1764" s="19" t="s">
        <v>366</v>
      </c>
      <c r="G1764" s="19" t="n">
        <v>208</v>
      </c>
      <c r="H1764" s="19" t="s">
        <v>367</v>
      </c>
      <c r="I1764" s="20" t="n">
        <v>14.7</v>
      </c>
      <c r="J1764" s="19" t="n">
        <f aca="false">IF(I1764="","",MIN(Overview!$B$8,MAX(1,CEILING(I1764/Overview!$B$7,1))))</f>
        <v>3</v>
      </c>
      <c r="K1764" s="19" t="n">
        <v>1</v>
      </c>
      <c r="L1764" s="19"/>
      <c r="M1764" s="20"/>
      <c r="N1764" s="19"/>
      <c r="O1764" s="19"/>
      <c r="P1764" s="19" t="s">
        <v>1278</v>
      </c>
      <c r="Q1764" s="19" t="s">
        <v>1030</v>
      </c>
      <c r="R1764" s="21" t="n">
        <v>33597</v>
      </c>
      <c r="S1764" s="19" t="s">
        <v>1279</v>
      </c>
      <c r="T1764" s="19" t="s">
        <v>5715</v>
      </c>
      <c r="U1764" s="19" t="str">
        <f aca="false">HYPERLINK("https://macaulaylibrary.org/asset/285631","Open")</f>
        <v>Open</v>
      </c>
      <c r="V1764" s="19"/>
    </row>
    <row r="1765" customFormat="false" ht="15" hidden="false" customHeight="false" outlineLevel="0" collapsed="false">
      <c r="A1765" s="19" t="s">
        <v>5716</v>
      </c>
      <c r="B1765" s="19" t="s">
        <v>943</v>
      </c>
      <c r="C1765" s="19" t="s">
        <v>944</v>
      </c>
      <c r="D1765" s="19" t="s">
        <v>148</v>
      </c>
      <c r="E1765" s="19" t="s">
        <v>147</v>
      </c>
      <c r="F1765" s="19" t="s">
        <v>366</v>
      </c>
      <c r="G1765" s="19" t="n">
        <v>208</v>
      </c>
      <c r="H1765" s="19" t="s">
        <v>367</v>
      </c>
      <c r="I1765" s="20" t="n">
        <v>166.484</v>
      </c>
      <c r="J1765" s="19" t="n">
        <f aca="false">IF(I1765="","",MIN(Overview!$B$8,MAX(1,CEILING(I1765/Overview!$B$7,1))))</f>
        <v>34</v>
      </c>
      <c r="K1765" s="19" t="n">
        <v>1</v>
      </c>
      <c r="L1765" s="19"/>
      <c r="M1765" s="20" t="n">
        <v>3</v>
      </c>
      <c r="N1765" s="19"/>
      <c r="O1765" s="19"/>
      <c r="P1765" s="19" t="s">
        <v>5717</v>
      </c>
      <c r="Q1765" s="19" t="s">
        <v>1781</v>
      </c>
      <c r="R1765" s="21" t="n">
        <v>30404</v>
      </c>
      <c r="S1765" s="19" t="s">
        <v>1036</v>
      </c>
      <c r="T1765" s="19" t="s">
        <v>5718</v>
      </c>
      <c r="U1765" s="19" t="str">
        <f aca="false">HYPERLINK("https://macaulaylibrary.org/asset/31389","Open")</f>
        <v>Open</v>
      </c>
      <c r="V1765" s="19"/>
    </row>
    <row r="1766" customFormat="false" ht="15" hidden="false" customHeight="false" outlineLevel="0" collapsed="false">
      <c r="A1766" s="19" t="s">
        <v>5719</v>
      </c>
      <c r="B1766" s="19" t="s">
        <v>943</v>
      </c>
      <c r="C1766" s="19" t="s">
        <v>944</v>
      </c>
      <c r="D1766" s="19" t="s">
        <v>148</v>
      </c>
      <c r="E1766" s="19" t="s">
        <v>147</v>
      </c>
      <c r="F1766" s="19" t="s">
        <v>366</v>
      </c>
      <c r="G1766" s="19" t="n">
        <v>208</v>
      </c>
      <c r="H1766" s="19" t="s">
        <v>367</v>
      </c>
      <c r="I1766" s="20" t="n">
        <v>66.972</v>
      </c>
      <c r="J1766" s="19" t="n">
        <f aca="false">IF(I1766="","",MIN(Overview!$B$8,MAX(1,CEILING(I1766/Overview!$B$7,1))))</f>
        <v>14</v>
      </c>
      <c r="K1766" s="19" t="n">
        <v>1</v>
      </c>
      <c r="L1766" s="19"/>
      <c r="M1766" s="20" t="n">
        <v>3.8</v>
      </c>
      <c r="N1766" s="19"/>
      <c r="O1766" s="19"/>
      <c r="P1766" s="19" t="s">
        <v>5720</v>
      </c>
      <c r="Q1766" s="19" t="s">
        <v>1408</v>
      </c>
      <c r="R1766" s="21" t="n">
        <v>33191</v>
      </c>
      <c r="S1766" s="19" t="s">
        <v>1009</v>
      </c>
      <c r="T1766" s="19" t="s">
        <v>5721</v>
      </c>
      <c r="U1766" s="19" t="str">
        <f aca="false">HYPERLINK("https://macaulaylibrary.org/asset/357415231","Open")</f>
        <v>Open</v>
      </c>
      <c r="V1766" s="19"/>
    </row>
    <row r="1767" customFormat="false" ht="15" hidden="false" customHeight="false" outlineLevel="0" collapsed="false">
      <c r="A1767" s="19" t="s">
        <v>5722</v>
      </c>
      <c r="B1767" s="19" t="s">
        <v>943</v>
      </c>
      <c r="C1767" s="19" t="s">
        <v>944</v>
      </c>
      <c r="D1767" s="19" t="s">
        <v>148</v>
      </c>
      <c r="E1767" s="19" t="s">
        <v>147</v>
      </c>
      <c r="F1767" s="19" t="s">
        <v>366</v>
      </c>
      <c r="G1767" s="19" t="n">
        <v>208</v>
      </c>
      <c r="H1767" s="19" t="s">
        <v>367</v>
      </c>
      <c r="I1767" s="20" t="n">
        <v>213.147</v>
      </c>
      <c r="J1767" s="19" t="n">
        <f aca="false">IF(I1767="","",MIN(Overview!$B$8,MAX(1,CEILING(I1767/Overview!$B$7,1))))</f>
        <v>43</v>
      </c>
      <c r="K1767" s="19" t="n">
        <v>1</v>
      </c>
      <c r="L1767" s="19"/>
      <c r="M1767" s="20" t="n">
        <v>2</v>
      </c>
      <c r="N1767" s="19"/>
      <c r="O1767" s="19" t="s">
        <v>188</v>
      </c>
      <c r="P1767" s="19" t="s">
        <v>5723</v>
      </c>
      <c r="Q1767" s="19" t="s">
        <v>1592</v>
      </c>
      <c r="R1767" s="21" t="n">
        <v>30403</v>
      </c>
      <c r="S1767" s="19" t="s">
        <v>1464</v>
      </c>
      <c r="T1767" s="19" t="s">
        <v>5724</v>
      </c>
      <c r="U1767" s="19" t="str">
        <f aca="false">HYPERLINK("https://macaulaylibrary.org/asset/39218","Open")</f>
        <v>Open</v>
      </c>
      <c r="V1767" s="19"/>
    </row>
    <row r="1768" customFormat="false" ht="15" hidden="false" customHeight="false" outlineLevel="0" collapsed="false">
      <c r="A1768" s="19" t="s">
        <v>5725</v>
      </c>
      <c r="B1768" s="19" t="s">
        <v>943</v>
      </c>
      <c r="C1768" s="19" t="s">
        <v>944</v>
      </c>
      <c r="D1768" s="19" t="s">
        <v>148</v>
      </c>
      <c r="E1768" s="19" t="s">
        <v>147</v>
      </c>
      <c r="F1768" s="19" t="s">
        <v>366</v>
      </c>
      <c r="G1768" s="19" t="n">
        <v>208</v>
      </c>
      <c r="H1768" s="19" t="s">
        <v>367</v>
      </c>
      <c r="I1768" s="20" t="n">
        <v>86.134</v>
      </c>
      <c r="J1768" s="19" t="n">
        <f aca="false">IF(I1768="","",MIN(Overview!$B$8,MAX(1,CEILING(I1768/Overview!$B$7,1))))</f>
        <v>18</v>
      </c>
      <c r="K1768" s="19" t="n">
        <v>1</v>
      </c>
      <c r="L1768" s="19"/>
      <c r="M1768" s="20" t="n">
        <v>2</v>
      </c>
      <c r="N1768" s="19"/>
      <c r="O1768" s="19"/>
      <c r="P1768" s="19" t="s">
        <v>1591</v>
      </c>
      <c r="Q1768" s="19" t="s">
        <v>1592</v>
      </c>
      <c r="R1768" s="21" t="n">
        <v>30404</v>
      </c>
      <c r="S1768" s="19" t="s">
        <v>1002</v>
      </c>
      <c r="T1768" s="19" t="s">
        <v>5726</v>
      </c>
      <c r="U1768" s="19" t="str">
        <f aca="false">HYPERLINK("https://macaulaylibrary.org/asset/39220","Open")</f>
        <v>Open</v>
      </c>
      <c r="V1768" s="19"/>
    </row>
    <row r="1769" customFormat="false" ht="15" hidden="false" customHeight="false" outlineLevel="0" collapsed="false">
      <c r="A1769" s="19" t="s">
        <v>5727</v>
      </c>
      <c r="B1769" s="19" t="s">
        <v>943</v>
      </c>
      <c r="C1769" s="19" t="s">
        <v>944</v>
      </c>
      <c r="D1769" s="19" t="s">
        <v>148</v>
      </c>
      <c r="E1769" s="19" t="s">
        <v>147</v>
      </c>
      <c r="F1769" s="19" t="s">
        <v>366</v>
      </c>
      <c r="G1769" s="19" t="n">
        <v>208</v>
      </c>
      <c r="H1769" s="19" t="s">
        <v>367</v>
      </c>
      <c r="I1769" s="20" t="n">
        <v>375.646</v>
      </c>
      <c r="J1769" s="19" t="n">
        <f aca="false">IF(I1769="","",MIN(Overview!$B$8,MAX(1,CEILING(I1769/Overview!$B$7,1))))</f>
        <v>76</v>
      </c>
      <c r="K1769" s="19" t="n">
        <v>1</v>
      </c>
      <c r="L1769" s="19"/>
      <c r="M1769" s="20" t="n">
        <v>4</v>
      </c>
      <c r="N1769" s="19"/>
      <c r="O1769" s="19"/>
      <c r="P1769" s="19" t="s">
        <v>1161</v>
      </c>
      <c r="Q1769" s="19" t="s">
        <v>980</v>
      </c>
      <c r="R1769" s="21" t="n">
        <v>33292</v>
      </c>
      <c r="S1769" s="19" t="s">
        <v>1002</v>
      </c>
      <c r="T1769" s="19" t="s">
        <v>5728</v>
      </c>
      <c r="U1769" s="19" t="str">
        <f aca="false">HYPERLINK("https://macaulaylibrary.org/asset/57483","Open")</f>
        <v>Open</v>
      </c>
      <c r="V1769" s="19"/>
    </row>
    <row r="1770" customFormat="false" ht="15" hidden="false" customHeight="false" outlineLevel="0" collapsed="false">
      <c r="A1770" s="19" t="s">
        <v>5729</v>
      </c>
      <c r="B1770" s="19" t="s">
        <v>943</v>
      </c>
      <c r="C1770" s="19" t="s">
        <v>944</v>
      </c>
      <c r="D1770" s="19" t="s">
        <v>148</v>
      </c>
      <c r="E1770" s="19" t="s">
        <v>147</v>
      </c>
      <c r="F1770" s="19" t="s">
        <v>366</v>
      </c>
      <c r="G1770" s="19" t="n">
        <v>208</v>
      </c>
      <c r="H1770" s="19" t="s">
        <v>367</v>
      </c>
      <c r="I1770" s="20" t="n">
        <v>56.712</v>
      </c>
      <c r="J1770" s="19" t="n">
        <f aca="false">IF(I1770="","",MIN(Overview!$B$8,MAX(1,CEILING(I1770/Overview!$B$7,1))))</f>
        <v>12</v>
      </c>
      <c r="K1770" s="19" t="n">
        <v>1</v>
      </c>
      <c r="L1770" s="19"/>
      <c r="M1770" s="20" t="n">
        <v>3</v>
      </c>
      <c r="N1770" s="19"/>
      <c r="O1770" s="19"/>
      <c r="P1770" s="19" t="s">
        <v>1161</v>
      </c>
      <c r="Q1770" s="19" t="s">
        <v>980</v>
      </c>
      <c r="R1770" s="21" t="n">
        <v>33292</v>
      </c>
      <c r="S1770" s="19" t="s">
        <v>1344</v>
      </c>
      <c r="T1770" s="19" t="s">
        <v>5730</v>
      </c>
      <c r="U1770" s="19" t="str">
        <f aca="false">HYPERLINK("https://macaulaylibrary.org/asset/79053","Open")</f>
        <v>Open</v>
      </c>
      <c r="V1770" s="19"/>
    </row>
    <row r="1771" customFormat="false" ht="15" hidden="false" customHeight="false" outlineLevel="0" collapsed="false">
      <c r="A1771" s="19" t="s">
        <v>5731</v>
      </c>
      <c r="B1771" s="19" t="s">
        <v>1005</v>
      </c>
      <c r="C1771" s="19" t="s">
        <v>944</v>
      </c>
      <c r="D1771" s="19" t="s">
        <v>647</v>
      </c>
      <c r="E1771" s="19" t="s">
        <v>147</v>
      </c>
      <c r="F1771" s="19" t="s">
        <v>366</v>
      </c>
      <c r="G1771" s="19" t="n">
        <v>208</v>
      </c>
      <c r="H1771" s="19" t="s">
        <v>367</v>
      </c>
      <c r="I1771" s="20" t="n">
        <v>52.176</v>
      </c>
      <c r="J1771" s="19" t="n">
        <f aca="false">IF(I1771="","",MIN(Overview!$B$8,MAX(1,CEILING(I1771/Overview!$B$7,1))))</f>
        <v>11</v>
      </c>
      <c r="K1771" s="19" t="n">
        <v>1</v>
      </c>
      <c r="L1771" s="19"/>
      <c r="M1771" s="20"/>
      <c r="N1771" s="19" t="s">
        <v>1718</v>
      </c>
      <c r="O1771" s="19"/>
      <c r="P1771" s="19" t="s">
        <v>3999</v>
      </c>
      <c r="Q1771" s="19" t="s">
        <v>1008</v>
      </c>
      <c r="R1771" s="21" t="n">
        <v>42576</v>
      </c>
      <c r="S1771" s="19" t="s">
        <v>1211</v>
      </c>
      <c r="T1771" s="19" t="s">
        <v>5732</v>
      </c>
      <c r="U1771" s="19" t="str">
        <f aca="false">HYPERLINK("https://xeno-canto.org/331355","Open")</f>
        <v>Open</v>
      </c>
      <c r="V1771" s="19" t="s">
        <v>5733</v>
      </c>
    </row>
    <row r="1772" customFormat="false" ht="15" hidden="false" customHeight="false" outlineLevel="0" collapsed="false">
      <c r="A1772" s="19" t="s">
        <v>5734</v>
      </c>
      <c r="B1772" s="19" t="s">
        <v>943</v>
      </c>
      <c r="C1772" s="19" t="s">
        <v>944</v>
      </c>
      <c r="D1772" s="19" t="s">
        <v>148</v>
      </c>
      <c r="E1772" s="19" t="s">
        <v>147</v>
      </c>
      <c r="F1772" s="19" t="s">
        <v>344</v>
      </c>
      <c r="G1772" s="19" t="n">
        <v>209</v>
      </c>
      <c r="H1772" s="19" t="s">
        <v>345</v>
      </c>
      <c r="I1772" s="20" t="n">
        <v>161.322</v>
      </c>
      <c r="J1772" s="19" t="n">
        <f aca="false">IF(I1772="","",MIN(Overview!$B$8,MAX(1,CEILING(I1772/Overview!$B$7,1))))</f>
        <v>33</v>
      </c>
      <c r="K1772" s="19" t="n">
        <v>1</v>
      </c>
      <c r="L1772" s="19"/>
      <c r="M1772" s="20" t="n">
        <v>4</v>
      </c>
      <c r="N1772" s="19"/>
      <c r="O1772" s="19"/>
      <c r="P1772" s="19" t="s">
        <v>4191</v>
      </c>
      <c r="Q1772" s="19" t="s">
        <v>1021</v>
      </c>
      <c r="R1772" s="21" t="n">
        <v>35868</v>
      </c>
      <c r="S1772" s="19" t="s">
        <v>2784</v>
      </c>
      <c r="T1772" s="19" t="s">
        <v>5735</v>
      </c>
      <c r="U1772" s="19" t="str">
        <f aca="false">HYPERLINK("https://macaulaylibrary.org/asset/103122641","Open")</f>
        <v>Open</v>
      </c>
      <c r="V1772" s="19"/>
    </row>
    <row r="1773" customFormat="false" ht="15" hidden="false" customHeight="false" outlineLevel="0" collapsed="false">
      <c r="A1773" s="19" t="s">
        <v>5736</v>
      </c>
      <c r="B1773" s="19" t="s">
        <v>943</v>
      </c>
      <c r="C1773" s="19" t="s">
        <v>944</v>
      </c>
      <c r="D1773" s="19" t="s">
        <v>148</v>
      </c>
      <c r="E1773" s="19" t="s">
        <v>147</v>
      </c>
      <c r="F1773" s="19" t="s">
        <v>344</v>
      </c>
      <c r="G1773" s="19" t="n">
        <v>209</v>
      </c>
      <c r="H1773" s="19" t="s">
        <v>345</v>
      </c>
      <c r="I1773" s="20" t="n">
        <v>120.888</v>
      </c>
      <c r="J1773" s="19" t="n">
        <f aca="false">IF(I1773="","",MIN(Overview!$B$8,MAX(1,CEILING(I1773/Overview!$B$7,1))))</f>
        <v>25</v>
      </c>
      <c r="K1773" s="19" t="n">
        <v>1</v>
      </c>
      <c r="L1773" s="19"/>
      <c r="M1773" s="20" t="n">
        <v>3.2</v>
      </c>
      <c r="N1773" s="19"/>
      <c r="O1773" s="19"/>
      <c r="P1773" s="19" t="s">
        <v>1109</v>
      </c>
      <c r="Q1773" s="19" t="s">
        <v>1110</v>
      </c>
      <c r="R1773" s="21" t="n">
        <v>36969</v>
      </c>
      <c r="S1773" s="19" t="s">
        <v>5737</v>
      </c>
      <c r="T1773" s="19" t="s">
        <v>5738</v>
      </c>
      <c r="U1773" s="19" t="str">
        <f aca="false">HYPERLINK("https://macaulaylibrary.org/asset/185750","Open")</f>
        <v>Open</v>
      </c>
      <c r="V1773" s="19"/>
    </row>
    <row r="1774" customFormat="false" ht="15" hidden="false" customHeight="false" outlineLevel="0" collapsed="false">
      <c r="A1774" s="19" t="s">
        <v>5739</v>
      </c>
      <c r="B1774" s="19" t="s">
        <v>943</v>
      </c>
      <c r="C1774" s="19" t="s">
        <v>944</v>
      </c>
      <c r="D1774" s="19" t="s">
        <v>148</v>
      </c>
      <c r="E1774" s="19" t="s">
        <v>147</v>
      </c>
      <c r="F1774" s="19" t="s">
        <v>344</v>
      </c>
      <c r="G1774" s="19" t="n">
        <v>209</v>
      </c>
      <c r="H1774" s="19" t="s">
        <v>345</v>
      </c>
      <c r="I1774" s="20" t="n">
        <v>573.239</v>
      </c>
      <c r="J1774" s="19" t="n">
        <f aca="false">IF(I1774="","",MIN(Overview!$B$8,MAX(1,CEILING(I1774/Overview!$B$7,1))))</f>
        <v>115</v>
      </c>
      <c r="K1774" s="19" t="n">
        <v>1</v>
      </c>
      <c r="L1774" s="19"/>
      <c r="M1774" s="20" t="n">
        <v>4</v>
      </c>
      <c r="N1774" s="19"/>
      <c r="O1774" s="19"/>
      <c r="P1774" s="19" t="s">
        <v>1097</v>
      </c>
      <c r="Q1774" s="19" t="s">
        <v>980</v>
      </c>
      <c r="R1774" s="21" t="n">
        <v>32553</v>
      </c>
      <c r="S1774" s="19" t="s">
        <v>5740</v>
      </c>
      <c r="T1774" s="19" t="s">
        <v>5741</v>
      </c>
      <c r="U1774" s="19" t="str">
        <f aca="false">HYPERLINK("https://macaulaylibrary.org/asset/215323","Open")</f>
        <v>Open</v>
      </c>
      <c r="V1774" s="19"/>
    </row>
    <row r="1775" customFormat="false" ht="15" hidden="false" customHeight="false" outlineLevel="0" collapsed="false">
      <c r="A1775" s="19" t="s">
        <v>5742</v>
      </c>
      <c r="B1775" s="19" t="s">
        <v>943</v>
      </c>
      <c r="C1775" s="19" t="s">
        <v>944</v>
      </c>
      <c r="D1775" s="19" t="s">
        <v>148</v>
      </c>
      <c r="E1775" s="19" t="s">
        <v>147</v>
      </c>
      <c r="F1775" s="19" t="s">
        <v>344</v>
      </c>
      <c r="G1775" s="19" t="n">
        <v>209</v>
      </c>
      <c r="H1775" s="19" t="s">
        <v>345</v>
      </c>
      <c r="I1775" s="20" t="n">
        <v>18.634</v>
      </c>
      <c r="J1775" s="19" t="n">
        <f aca="false">IF(I1775="","",MIN(Overview!$B$8,MAX(1,CEILING(I1775/Overview!$B$7,1))))</f>
        <v>4</v>
      </c>
      <c r="K1775" s="19" t="n">
        <v>1</v>
      </c>
      <c r="L1775" s="19"/>
      <c r="M1775" s="20" t="n">
        <v>4</v>
      </c>
      <c r="N1775" s="19"/>
      <c r="O1775" s="19"/>
      <c r="P1775" s="19" t="s">
        <v>1722</v>
      </c>
      <c r="Q1775" s="19" t="s">
        <v>1401</v>
      </c>
      <c r="R1775" s="21" t="n">
        <v>33287</v>
      </c>
      <c r="S1775" s="19" t="s">
        <v>1013</v>
      </c>
      <c r="T1775" s="19" t="s">
        <v>5743</v>
      </c>
      <c r="U1775" s="19" t="str">
        <f aca="false">HYPERLINK("https://macaulaylibrary.org/asset/241792461","Open")</f>
        <v>Open</v>
      </c>
      <c r="V1775" s="19"/>
    </row>
    <row r="1776" customFormat="false" ht="15" hidden="false" customHeight="false" outlineLevel="0" collapsed="false">
      <c r="A1776" s="19" t="s">
        <v>5744</v>
      </c>
      <c r="B1776" s="19" t="s">
        <v>943</v>
      </c>
      <c r="C1776" s="19" t="s">
        <v>944</v>
      </c>
      <c r="D1776" s="19" t="s">
        <v>148</v>
      </c>
      <c r="E1776" s="19" t="s">
        <v>147</v>
      </c>
      <c r="F1776" s="19" t="s">
        <v>344</v>
      </c>
      <c r="G1776" s="19" t="n">
        <v>209</v>
      </c>
      <c r="H1776" s="19" t="s">
        <v>345</v>
      </c>
      <c r="I1776" s="20" t="n">
        <v>72.202</v>
      </c>
      <c r="J1776" s="19" t="n">
        <f aca="false">IF(I1776="","",MIN(Overview!$B$8,MAX(1,CEILING(I1776/Overview!$B$7,1))))</f>
        <v>15</v>
      </c>
      <c r="K1776" s="19" t="n">
        <v>1</v>
      </c>
      <c r="L1776" s="19"/>
      <c r="M1776" s="20"/>
      <c r="N1776" s="19"/>
      <c r="O1776" s="19"/>
      <c r="P1776" s="19" t="s">
        <v>1154</v>
      </c>
      <c r="Q1776" s="19" t="s">
        <v>1035</v>
      </c>
      <c r="R1776" s="21" t="n">
        <v>43666</v>
      </c>
      <c r="S1776" s="19" t="s">
        <v>1081</v>
      </c>
      <c r="T1776" s="19" t="s">
        <v>5745</v>
      </c>
      <c r="U1776" s="19" t="str">
        <f aca="false">HYPERLINK("https://macaulaylibrary.org/asset/498000981","Open")</f>
        <v>Open</v>
      </c>
      <c r="V1776" s="19"/>
    </row>
    <row r="1777" customFormat="false" ht="15" hidden="false" customHeight="false" outlineLevel="0" collapsed="false">
      <c r="A1777" s="19" t="s">
        <v>5746</v>
      </c>
      <c r="B1777" s="19" t="s">
        <v>943</v>
      </c>
      <c r="C1777" s="19" t="s">
        <v>944</v>
      </c>
      <c r="D1777" s="19" t="s">
        <v>148</v>
      </c>
      <c r="E1777" s="19" t="s">
        <v>147</v>
      </c>
      <c r="F1777" s="19" t="s">
        <v>344</v>
      </c>
      <c r="G1777" s="19" t="n">
        <v>209</v>
      </c>
      <c r="H1777" s="19" t="s">
        <v>345</v>
      </c>
      <c r="I1777" s="20" t="n">
        <v>26.209</v>
      </c>
      <c r="J1777" s="19" t="n">
        <f aca="false">IF(I1777="","",MIN(Overview!$B$8,MAX(1,CEILING(I1777/Overview!$B$7,1))))</f>
        <v>6</v>
      </c>
      <c r="K1777" s="19" t="n">
        <v>1</v>
      </c>
      <c r="L1777" s="19"/>
      <c r="M1777" s="20" t="n">
        <v>3</v>
      </c>
      <c r="N1777" s="19"/>
      <c r="O1777" s="19"/>
      <c r="P1777" s="19" t="s">
        <v>5747</v>
      </c>
      <c r="Q1777" s="19" t="s">
        <v>5040</v>
      </c>
      <c r="R1777" s="21" t="n">
        <v>44963</v>
      </c>
      <c r="S1777" s="19" t="s">
        <v>1825</v>
      </c>
      <c r="T1777" s="19" t="s">
        <v>5748</v>
      </c>
      <c r="U1777" s="19" t="str">
        <f aca="false">HYPERLINK("https://macaulaylibrary.org/asset/533478751","Open")</f>
        <v>Open</v>
      </c>
      <c r="V1777" s="19"/>
    </row>
    <row r="1778" customFormat="false" ht="15" hidden="false" customHeight="false" outlineLevel="0" collapsed="false">
      <c r="A1778" s="19" t="s">
        <v>5749</v>
      </c>
      <c r="B1778" s="19" t="s">
        <v>943</v>
      </c>
      <c r="C1778" s="19" t="s">
        <v>944</v>
      </c>
      <c r="D1778" s="19" t="s">
        <v>148</v>
      </c>
      <c r="E1778" s="19" t="s">
        <v>147</v>
      </c>
      <c r="F1778" s="19" t="s">
        <v>344</v>
      </c>
      <c r="G1778" s="19" t="n">
        <v>209</v>
      </c>
      <c r="H1778" s="19" t="s">
        <v>345</v>
      </c>
      <c r="I1778" s="20" t="n">
        <v>415.896</v>
      </c>
      <c r="J1778" s="19" t="n">
        <f aca="false">IF(I1778="","",MIN(Overview!$B$8,MAX(1,CEILING(I1778/Overview!$B$7,1))))</f>
        <v>84</v>
      </c>
      <c r="K1778" s="19" t="n">
        <v>1</v>
      </c>
      <c r="L1778" s="19"/>
      <c r="M1778" s="20" t="n">
        <v>3</v>
      </c>
      <c r="N1778" s="19"/>
      <c r="O1778" s="19"/>
      <c r="P1778" s="19" t="s">
        <v>1573</v>
      </c>
      <c r="Q1778" s="19" t="s">
        <v>1021</v>
      </c>
      <c r="R1778" s="21" t="n">
        <v>35861</v>
      </c>
      <c r="S1778" s="19" t="s">
        <v>1574</v>
      </c>
      <c r="T1778" s="19" t="s">
        <v>5750</v>
      </c>
      <c r="U1778" s="19" t="str">
        <f aca="false">HYPERLINK("https://macaulaylibrary.org/asset/99566181","Open")</f>
        <v>Open</v>
      </c>
      <c r="V1778" s="19"/>
    </row>
    <row r="1779" customFormat="false" ht="15" hidden="false" customHeight="false" outlineLevel="0" collapsed="false">
      <c r="A1779" s="19" t="s">
        <v>5751</v>
      </c>
      <c r="B1779" s="19" t="s">
        <v>1005</v>
      </c>
      <c r="C1779" s="19" t="s">
        <v>944</v>
      </c>
      <c r="D1779" s="19" t="s">
        <v>647</v>
      </c>
      <c r="E1779" s="19" t="s">
        <v>147</v>
      </c>
      <c r="F1779" s="19" t="s">
        <v>344</v>
      </c>
      <c r="G1779" s="19" t="n">
        <v>209</v>
      </c>
      <c r="H1779" s="19" t="s">
        <v>345</v>
      </c>
      <c r="I1779" s="20" t="n">
        <v>63.048</v>
      </c>
      <c r="J1779" s="19" t="n">
        <f aca="false">IF(I1779="","",MIN(Overview!$B$8,MAX(1,CEILING(I1779/Overview!$B$7,1))))</f>
        <v>13</v>
      </c>
      <c r="K1779" s="19" t="n">
        <v>1</v>
      </c>
      <c r="L1779" s="19"/>
      <c r="M1779" s="20"/>
      <c r="N1779" s="19" t="s">
        <v>1656</v>
      </c>
      <c r="O1779" s="19"/>
      <c r="P1779" s="19" t="s">
        <v>2911</v>
      </c>
      <c r="Q1779" s="19" t="s">
        <v>1008</v>
      </c>
      <c r="R1779" s="21" t="n">
        <v>42580</v>
      </c>
      <c r="S1779" s="19" t="s">
        <v>4102</v>
      </c>
      <c r="T1779" s="19" t="s">
        <v>5752</v>
      </c>
      <c r="U1779" s="19" t="str">
        <f aca="false">HYPERLINK("https://xeno-canto.org/331252","Open")</f>
        <v>Open</v>
      </c>
      <c r="V1779" s="19" t="s">
        <v>1660</v>
      </c>
    </row>
    <row r="1780" customFormat="false" ht="15" hidden="false" customHeight="false" outlineLevel="0" collapsed="false">
      <c r="A1780" s="19" t="s">
        <v>5753</v>
      </c>
      <c r="B1780" s="19" t="s">
        <v>1005</v>
      </c>
      <c r="C1780" s="19" t="s">
        <v>944</v>
      </c>
      <c r="D1780" s="19" t="s">
        <v>647</v>
      </c>
      <c r="E1780" s="19" t="s">
        <v>147</v>
      </c>
      <c r="F1780" s="19" t="s">
        <v>344</v>
      </c>
      <c r="G1780" s="19" t="n">
        <v>209</v>
      </c>
      <c r="H1780" s="19" t="s">
        <v>345</v>
      </c>
      <c r="I1780" s="20" t="n">
        <v>134.243</v>
      </c>
      <c r="J1780" s="19" t="n">
        <f aca="false">IF(I1780="","",MIN(Overview!$B$8,MAX(1,CEILING(I1780/Overview!$B$7,1))))</f>
        <v>27</v>
      </c>
      <c r="K1780" s="19" t="n">
        <v>1</v>
      </c>
      <c r="L1780" s="19"/>
      <c r="M1780" s="20"/>
      <c r="N1780" s="19" t="s">
        <v>1656</v>
      </c>
      <c r="O1780" s="19"/>
      <c r="P1780" s="19" t="s">
        <v>3934</v>
      </c>
      <c r="Q1780" s="19" t="s">
        <v>1008</v>
      </c>
      <c r="R1780" s="21" t="n">
        <v>42582</v>
      </c>
      <c r="S1780" s="19" t="s">
        <v>4102</v>
      </c>
      <c r="T1780" s="19" t="s">
        <v>5754</v>
      </c>
      <c r="U1780" s="19" t="str">
        <f aca="false">HYPERLINK("https://xeno-canto.org/332147","Open")</f>
        <v>Open</v>
      </c>
      <c r="V1780" s="19" t="s">
        <v>4469</v>
      </c>
    </row>
    <row r="1781" customFormat="false" ht="15" hidden="false" customHeight="false" outlineLevel="0" collapsed="false">
      <c r="A1781" s="19" t="s">
        <v>5755</v>
      </c>
      <c r="B1781" s="19" t="s">
        <v>1005</v>
      </c>
      <c r="C1781" s="19" t="s">
        <v>944</v>
      </c>
      <c r="D1781" s="19" t="s">
        <v>647</v>
      </c>
      <c r="E1781" s="19" t="s">
        <v>147</v>
      </c>
      <c r="F1781" s="19" t="s">
        <v>344</v>
      </c>
      <c r="G1781" s="19" t="n">
        <v>209</v>
      </c>
      <c r="H1781" s="19" t="s">
        <v>345</v>
      </c>
      <c r="I1781" s="20" t="n">
        <v>157.632</v>
      </c>
      <c r="J1781" s="19" t="n">
        <f aca="false">IF(I1781="","",MIN(Overview!$B$8,MAX(1,CEILING(I1781/Overview!$B$7,1))))</f>
        <v>32</v>
      </c>
      <c r="K1781" s="19" t="n">
        <v>1</v>
      </c>
      <c r="L1781" s="19"/>
      <c r="M1781" s="20"/>
      <c r="N1781" s="19" t="s">
        <v>1656</v>
      </c>
      <c r="O1781" s="19"/>
      <c r="P1781" s="19" t="s">
        <v>2911</v>
      </c>
      <c r="Q1781" s="19" t="s">
        <v>1008</v>
      </c>
      <c r="R1781" s="21" t="n">
        <v>42580</v>
      </c>
      <c r="S1781" s="19" t="s">
        <v>1404</v>
      </c>
      <c r="T1781" s="19" t="s">
        <v>5756</v>
      </c>
      <c r="U1781" s="19" t="str">
        <f aca="false">HYPERLINK("https://xeno-canto.org/332261","Open")</f>
        <v>Open</v>
      </c>
      <c r="V1781" s="19" t="s">
        <v>1660</v>
      </c>
    </row>
    <row r="1782" customFormat="false" ht="15" hidden="false" customHeight="false" outlineLevel="0" collapsed="false">
      <c r="A1782" s="19" t="s">
        <v>5757</v>
      </c>
      <c r="B1782" s="19" t="s">
        <v>943</v>
      </c>
      <c r="C1782" s="19" t="s">
        <v>944</v>
      </c>
      <c r="D1782" s="19" t="s">
        <v>400</v>
      </c>
      <c r="E1782" s="19" t="s">
        <v>147</v>
      </c>
      <c r="F1782" s="19" t="s">
        <v>683</v>
      </c>
      <c r="G1782" s="19" t="n">
        <v>210</v>
      </c>
      <c r="H1782" s="19" t="s">
        <v>684</v>
      </c>
      <c r="I1782" s="20" t="n">
        <v>179.169</v>
      </c>
      <c r="J1782" s="19" t="n">
        <f aca="false">IF(I1782="","",MIN(Overview!$B$8,MAX(1,CEILING(I1782/Overview!$B$7,1))))</f>
        <v>36</v>
      </c>
      <c r="K1782" s="19" t="n">
        <v>1</v>
      </c>
      <c r="L1782" s="19"/>
      <c r="M1782" s="20" t="n">
        <v>3</v>
      </c>
      <c r="N1782" s="19"/>
      <c r="O1782" s="19" t="s">
        <v>5758</v>
      </c>
      <c r="P1782" s="19" t="s">
        <v>5759</v>
      </c>
      <c r="Q1782" s="19" t="s">
        <v>1218</v>
      </c>
      <c r="R1782" s="21" t="n">
        <v>34805</v>
      </c>
      <c r="S1782" s="19" t="s">
        <v>5760</v>
      </c>
      <c r="T1782" s="19" t="s">
        <v>5761</v>
      </c>
      <c r="U1782" s="19" t="str">
        <f aca="false">HYPERLINK("https://macaulaylibrary.org/asset/184196","Open")</f>
        <v>Open</v>
      </c>
      <c r="V1782" s="19"/>
    </row>
    <row r="1783" customFormat="false" ht="15" hidden="false" customHeight="false" outlineLevel="0" collapsed="false">
      <c r="A1783" s="19" t="s">
        <v>5762</v>
      </c>
      <c r="B1783" s="19" t="s">
        <v>943</v>
      </c>
      <c r="C1783" s="19" t="s">
        <v>944</v>
      </c>
      <c r="D1783" s="19" t="s">
        <v>400</v>
      </c>
      <c r="E1783" s="19" t="s">
        <v>147</v>
      </c>
      <c r="F1783" s="19" t="s">
        <v>683</v>
      </c>
      <c r="G1783" s="19" t="n">
        <v>210</v>
      </c>
      <c r="H1783" s="19" t="s">
        <v>684</v>
      </c>
      <c r="I1783" s="20" t="n">
        <v>34.838</v>
      </c>
      <c r="J1783" s="19" t="n">
        <f aca="false">IF(I1783="","",MIN(Overview!$B$8,MAX(1,CEILING(I1783/Overview!$B$7,1))))</f>
        <v>7</v>
      </c>
      <c r="K1783" s="19" t="n">
        <v>1</v>
      </c>
      <c r="L1783" s="19"/>
      <c r="M1783" s="20" t="n">
        <v>3</v>
      </c>
      <c r="N1783" s="19"/>
      <c r="O1783" s="19"/>
      <c r="P1783" s="19" t="s">
        <v>1742</v>
      </c>
      <c r="Q1783" s="19" t="s">
        <v>1021</v>
      </c>
      <c r="R1783" s="21" t="n">
        <v>35860</v>
      </c>
      <c r="S1783" s="19" t="s">
        <v>1743</v>
      </c>
      <c r="T1783" s="19" t="s">
        <v>5763</v>
      </c>
      <c r="U1783" s="19" t="str">
        <f aca="false">HYPERLINK("https://macaulaylibrary.org/asset/98268241","Open")</f>
        <v>Open</v>
      </c>
      <c r="V1783" s="19"/>
    </row>
    <row r="1784" customFormat="false" ht="15" hidden="false" customHeight="false" outlineLevel="0" collapsed="false">
      <c r="A1784" s="19" t="s">
        <v>5764</v>
      </c>
      <c r="B1784" s="19" t="s">
        <v>943</v>
      </c>
      <c r="C1784" s="19" t="s">
        <v>944</v>
      </c>
      <c r="D1784" s="19" t="s">
        <v>400</v>
      </c>
      <c r="E1784" s="19" t="s">
        <v>147</v>
      </c>
      <c r="F1784" s="19" t="s">
        <v>734</v>
      </c>
      <c r="G1784" s="19" t="n">
        <v>212</v>
      </c>
      <c r="H1784" s="19" t="s">
        <v>735</v>
      </c>
      <c r="I1784" s="20" t="n">
        <v>24.896</v>
      </c>
      <c r="J1784" s="19" t="n">
        <f aca="false">IF(I1784="","",MIN(Overview!$B$8,MAX(1,CEILING(I1784/Overview!$B$7,1))))</f>
        <v>5</v>
      </c>
      <c r="K1784" s="19" t="n">
        <v>1</v>
      </c>
      <c r="L1784" s="19"/>
      <c r="M1784" s="20" t="n">
        <v>2</v>
      </c>
      <c r="N1784" s="19"/>
      <c r="O1784" s="19"/>
      <c r="P1784" s="19" t="s">
        <v>1214</v>
      </c>
      <c r="Q1784" s="19" t="s">
        <v>980</v>
      </c>
      <c r="R1784" s="21" t="n">
        <v>33300</v>
      </c>
      <c r="S1784" s="19" t="s">
        <v>1002</v>
      </c>
      <c r="T1784" s="19" t="s">
        <v>5765</v>
      </c>
      <c r="U1784" s="19" t="str">
        <f aca="false">HYPERLINK("https://macaulaylibrary.org/asset/72666","Open")</f>
        <v>Open</v>
      </c>
      <c r="V1784" s="19"/>
    </row>
    <row r="1785" customFormat="false" ht="15" hidden="false" customHeight="false" outlineLevel="0" collapsed="false">
      <c r="A1785" s="19" t="s">
        <v>5766</v>
      </c>
      <c r="B1785" s="19" t="s">
        <v>943</v>
      </c>
      <c r="C1785" s="19" t="s">
        <v>944</v>
      </c>
      <c r="D1785" s="19" t="s">
        <v>400</v>
      </c>
      <c r="E1785" s="19" t="s">
        <v>147</v>
      </c>
      <c r="F1785" s="19" t="s">
        <v>544</v>
      </c>
      <c r="G1785" s="19" t="n">
        <v>213</v>
      </c>
      <c r="H1785" s="19" t="s">
        <v>545</v>
      </c>
      <c r="I1785" s="20" t="n">
        <v>25.082</v>
      </c>
      <c r="J1785" s="19" t="n">
        <f aca="false">IF(I1785="","",MIN(Overview!$B$8,MAX(1,CEILING(I1785/Overview!$B$7,1))))</f>
        <v>6</v>
      </c>
      <c r="K1785" s="19" t="n">
        <v>1</v>
      </c>
      <c r="L1785" s="19"/>
      <c r="M1785" s="20" t="n">
        <v>4</v>
      </c>
      <c r="N1785" s="19"/>
      <c r="O1785" s="19"/>
      <c r="P1785" s="19" t="s">
        <v>1703</v>
      </c>
      <c r="Q1785" s="19" t="s">
        <v>1021</v>
      </c>
      <c r="R1785" s="21" t="n">
        <v>36601</v>
      </c>
      <c r="S1785" s="19" t="s">
        <v>1036</v>
      </c>
      <c r="T1785" s="19" t="s">
        <v>5767</v>
      </c>
      <c r="U1785" s="19" t="str">
        <f aca="false">HYPERLINK("https://macaulaylibrary.org/asset/152252481","Open")</f>
        <v>Open</v>
      </c>
      <c r="V1785" s="19"/>
    </row>
    <row r="1786" customFormat="false" ht="15" hidden="false" customHeight="false" outlineLevel="0" collapsed="false">
      <c r="A1786" s="19" t="s">
        <v>5768</v>
      </c>
      <c r="B1786" s="19" t="s">
        <v>943</v>
      </c>
      <c r="C1786" s="19" t="s">
        <v>944</v>
      </c>
      <c r="D1786" s="19" t="s">
        <v>400</v>
      </c>
      <c r="E1786" s="19" t="s">
        <v>147</v>
      </c>
      <c r="F1786" s="19" t="s">
        <v>544</v>
      </c>
      <c r="G1786" s="19" t="n">
        <v>213</v>
      </c>
      <c r="H1786" s="19" t="s">
        <v>545</v>
      </c>
      <c r="I1786" s="20" t="n">
        <v>142.476</v>
      </c>
      <c r="J1786" s="19" t="n">
        <f aca="false">IF(I1786="","",MIN(Overview!$B$8,MAX(1,CEILING(I1786/Overview!$B$7,1))))</f>
        <v>29</v>
      </c>
      <c r="K1786" s="19" t="n">
        <v>1</v>
      </c>
      <c r="L1786" s="19"/>
      <c r="M1786" s="20" t="n">
        <v>4</v>
      </c>
      <c r="N1786" s="19"/>
      <c r="O1786" s="19"/>
      <c r="P1786" s="19" t="s">
        <v>1356</v>
      </c>
      <c r="Q1786" s="19" t="s">
        <v>1021</v>
      </c>
      <c r="R1786" s="21" t="n">
        <v>36603</v>
      </c>
      <c r="S1786" s="19" t="s">
        <v>1357</v>
      </c>
      <c r="T1786" s="19" t="s">
        <v>5769</v>
      </c>
      <c r="U1786" s="19" t="str">
        <f aca="false">HYPERLINK("https://macaulaylibrary.org/asset/155578341","Open")</f>
        <v>Open</v>
      </c>
      <c r="V1786" s="19"/>
    </row>
    <row r="1787" customFormat="false" ht="15" hidden="false" customHeight="false" outlineLevel="0" collapsed="false">
      <c r="A1787" s="19" t="s">
        <v>5770</v>
      </c>
      <c r="B1787" s="19" t="s">
        <v>943</v>
      </c>
      <c r="C1787" s="19" t="s">
        <v>944</v>
      </c>
      <c r="D1787" s="19" t="s">
        <v>400</v>
      </c>
      <c r="E1787" s="19" t="s">
        <v>147</v>
      </c>
      <c r="F1787" s="19" t="s">
        <v>544</v>
      </c>
      <c r="G1787" s="19" t="n">
        <v>213</v>
      </c>
      <c r="H1787" s="19" t="s">
        <v>545</v>
      </c>
      <c r="I1787" s="20" t="n">
        <v>32.066</v>
      </c>
      <c r="J1787" s="19" t="n">
        <f aca="false">IF(I1787="","",MIN(Overview!$B$8,MAX(1,CEILING(I1787/Overview!$B$7,1))))</f>
        <v>7</v>
      </c>
      <c r="K1787" s="19" t="n">
        <v>1</v>
      </c>
      <c r="L1787" s="19"/>
      <c r="M1787" s="20" t="n">
        <v>3</v>
      </c>
      <c r="N1787" s="19"/>
      <c r="O1787" s="19"/>
      <c r="P1787" s="19" t="s">
        <v>974</v>
      </c>
      <c r="Q1787" s="19" t="s">
        <v>975</v>
      </c>
      <c r="R1787" s="21" t="n">
        <v>43666</v>
      </c>
      <c r="S1787" s="19" t="s">
        <v>976</v>
      </c>
      <c r="T1787" s="19" t="s">
        <v>5771</v>
      </c>
      <c r="U1787" s="19" t="str">
        <f aca="false">HYPERLINK("https://macaulaylibrary.org/asset/179453241","Open")</f>
        <v>Open</v>
      </c>
      <c r="V1787" s="19"/>
    </row>
    <row r="1788" customFormat="false" ht="15" hidden="false" customHeight="false" outlineLevel="0" collapsed="false">
      <c r="A1788" s="19" t="s">
        <v>5772</v>
      </c>
      <c r="B1788" s="19" t="s">
        <v>943</v>
      </c>
      <c r="C1788" s="19" t="s">
        <v>944</v>
      </c>
      <c r="D1788" s="19" t="s">
        <v>400</v>
      </c>
      <c r="E1788" s="19" t="s">
        <v>147</v>
      </c>
      <c r="F1788" s="19" t="s">
        <v>544</v>
      </c>
      <c r="G1788" s="19" t="n">
        <v>213</v>
      </c>
      <c r="H1788" s="19" t="s">
        <v>545</v>
      </c>
      <c r="I1788" s="20" t="n">
        <v>40</v>
      </c>
      <c r="J1788" s="19" t="n">
        <f aca="false">IF(I1788="","",MIN(Overview!$B$8,MAX(1,CEILING(I1788/Overview!$B$7,1))))</f>
        <v>8</v>
      </c>
      <c r="K1788" s="19" t="n">
        <v>1</v>
      </c>
      <c r="L1788" s="19"/>
      <c r="M1788" s="20" t="n">
        <v>2.67</v>
      </c>
      <c r="N1788" s="19"/>
      <c r="O1788" s="19"/>
      <c r="P1788" s="19" t="s">
        <v>1257</v>
      </c>
      <c r="Q1788" s="19" t="s">
        <v>1258</v>
      </c>
      <c r="R1788" s="21" t="n">
        <v>45231</v>
      </c>
      <c r="S1788" s="19" t="s">
        <v>1259</v>
      </c>
      <c r="T1788" s="19" t="s">
        <v>5773</v>
      </c>
      <c r="U1788" s="19" t="str">
        <f aca="false">HYPERLINK("https://macaulaylibrary.org/asset/621760281","Open")</f>
        <v>Open</v>
      </c>
      <c r="V1788" s="19" t="s">
        <v>5774</v>
      </c>
    </row>
    <row r="1789" customFormat="false" ht="15" hidden="false" customHeight="false" outlineLevel="0" collapsed="false">
      <c r="A1789" s="19" t="s">
        <v>5775</v>
      </c>
      <c r="B1789" s="19" t="s">
        <v>1005</v>
      </c>
      <c r="C1789" s="19" t="s">
        <v>944</v>
      </c>
      <c r="D1789" s="19" t="s">
        <v>647</v>
      </c>
      <c r="E1789" s="19" t="s">
        <v>147</v>
      </c>
      <c r="F1789" s="19" t="s">
        <v>544</v>
      </c>
      <c r="G1789" s="19" t="n">
        <v>213</v>
      </c>
      <c r="H1789" s="19" t="s">
        <v>545</v>
      </c>
      <c r="I1789" s="20" t="n">
        <v>28.656</v>
      </c>
      <c r="J1789" s="19" t="n">
        <f aca="false">IF(I1789="","",MIN(Overview!$B$8,MAX(1,CEILING(I1789/Overview!$B$7,1))))</f>
        <v>6</v>
      </c>
      <c r="K1789" s="19" t="n">
        <v>1</v>
      </c>
      <c r="L1789" s="19"/>
      <c r="M1789" s="20"/>
      <c r="N1789" s="19" t="s">
        <v>1718</v>
      </c>
      <c r="O1789" s="19"/>
      <c r="P1789" s="19" t="s">
        <v>3999</v>
      </c>
      <c r="Q1789" s="19" t="s">
        <v>1008</v>
      </c>
      <c r="R1789" s="21" t="n">
        <v>42576</v>
      </c>
      <c r="S1789" s="19" t="s">
        <v>1858</v>
      </c>
      <c r="T1789" s="19" t="s">
        <v>5776</v>
      </c>
      <c r="U1789" s="19" t="str">
        <f aca="false">HYPERLINK("https://xeno-canto.org/331354","Open")</f>
        <v>Open</v>
      </c>
      <c r="V1789" s="19" t="s">
        <v>1011</v>
      </c>
    </row>
    <row r="1790" customFormat="false" ht="15" hidden="false" customHeight="false" outlineLevel="0" collapsed="false">
      <c r="A1790" s="19" t="s">
        <v>5777</v>
      </c>
      <c r="B1790" s="19" t="s">
        <v>943</v>
      </c>
      <c r="C1790" s="19" t="s">
        <v>944</v>
      </c>
      <c r="D1790" s="19" t="s">
        <v>148</v>
      </c>
      <c r="E1790" s="19" t="s">
        <v>147</v>
      </c>
      <c r="F1790" s="19" t="s">
        <v>262</v>
      </c>
      <c r="G1790" s="19" t="n">
        <v>216</v>
      </c>
      <c r="H1790" s="19" t="s">
        <v>263</v>
      </c>
      <c r="I1790" s="20" t="n">
        <v>82.174</v>
      </c>
      <c r="J1790" s="19" t="n">
        <f aca="false">IF(I1790="","",MIN(Overview!$B$8,MAX(1,CEILING(I1790/Overview!$B$7,1))))</f>
        <v>17</v>
      </c>
      <c r="K1790" s="19" t="n">
        <v>1</v>
      </c>
      <c r="L1790" s="19"/>
      <c r="M1790" s="20" t="n">
        <v>3</v>
      </c>
      <c r="N1790" s="19"/>
      <c r="O1790" s="19"/>
      <c r="P1790" s="19" t="s">
        <v>1752</v>
      </c>
      <c r="Q1790" s="19" t="s">
        <v>980</v>
      </c>
      <c r="R1790" s="21" t="n">
        <v>35208</v>
      </c>
      <c r="S1790" s="19" t="s">
        <v>1098</v>
      </c>
      <c r="T1790" s="19" t="s">
        <v>5778</v>
      </c>
      <c r="U1790" s="19" t="str">
        <f aca="false">HYPERLINK("https://macaulaylibrary.org/asset/184783","Open")</f>
        <v>Open</v>
      </c>
      <c r="V1790" s="19" t="s">
        <v>5779</v>
      </c>
    </row>
    <row r="1791" customFormat="false" ht="15" hidden="false" customHeight="false" outlineLevel="0" collapsed="false">
      <c r="A1791" s="19" t="s">
        <v>5780</v>
      </c>
      <c r="B1791" s="19" t="s">
        <v>943</v>
      </c>
      <c r="C1791" s="19" t="s">
        <v>944</v>
      </c>
      <c r="D1791" s="19" t="s">
        <v>148</v>
      </c>
      <c r="E1791" s="19" t="s">
        <v>147</v>
      </c>
      <c r="F1791" s="19" t="s">
        <v>262</v>
      </c>
      <c r="G1791" s="19" t="n">
        <v>216</v>
      </c>
      <c r="H1791" s="19" t="s">
        <v>263</v>
      </c>
      <c r="I1791" s="20" t="n">
        <v>216.261</v>
      </c>
      <c r="J1791" s="19" t="n">
        <f aca="false">IF(I1791="","",MIN(Overview!$B$8,MAX(1,CEILING(I1791/Overview!$B$7,1))))</f>
        <v>44</v>
      </c>
      <c r="K1791" s="19" t="n">
        <v>1</v>
      </c>
      <c r="L1791" s="19"/>
      <c r="M1791" s="20" t="n">
        <v>3</v>
      </c>
      <c r="N1791" s="19"/>
      <c r="O1791" s="19"/>
      <c r="P1791" s="19" t="s">
        <v>1121</v>
      </c>
      <c r="Q1791" s="19" t="s">
        <v>980</v>
      </c>
      <c r="R1791" s="21" t="n">
        <v>32556</v>
      </c>
      <c r="S1791" s="19" t="s">
        <v>5781</v>
      </c>
      <c r="T1791" s="19" t="s">
        <v>5782</v>
      </c>
      <c r="U1791" s="19" t="str">
        <f aca="false">HYPERLINK("https://macaulaylibrary.org/asset/215369","Open")</f>
        <v>Open</v>
      </c>
      <c r="V1791" s="19" t="s">
        <v>5779</v>
      </c>
    </row>
    <row r="1792" customFormat="false" ht="15" hidden="false" customHeight="false" outlineLevel="0" collapsed="false">
      <c r="A1792" s="19" t="s">
        <v>5783</v>
      </c>
      <c r="B1792" s="19" t="s">
        <v>943</v>
      </c>
      <c r="C1792" s="19" t="s">
        <v>944</v>
      </c>
      <c r="D1792" s="19" t="s">
        <v>148</v>
      </c>
      <c r="E1792" s="19" t="s">
        <v>147</v>
      </c>
      <c r="F1792" s="19" t="s">
        <v>262</v>
      </c>
      <c r="G1792" s="19" t="n">
        <v>216</v>
      </c>
      <c r="H1792" s="19" t="s">
        <v>263</v>
      </c>
      <c r="I1792" s="20" t="n">
        <v>138.272</v>
      </c>
      <c r="J1792" s="19" t="n">
        <f aca="false">IF(I1792="","",MIN(Overview!$B$8,MAX(1,CEILING(I1792/Overview!$B$7,1))))</f>
        <v>28</v>
      </c>
      <c r="K1792" s="19" t="n">
        <v>1</v>
      </c>
      <c r="L1792" s="19"/>
      <c r="M1792" s="20" t="n">
        <v>3.8</v>
      </c>
      <c r="N1792" s="19"/>
      <c r="O1792" s="19"/>
      <c r="P1792" s="19" t="s">
        <v>1121</v>
      </c>
      <c r="Q1792" s="19" t="s">
        <v>980</v>
      </c>
      <c r="R1792" s="21" t="n">
        <v>32556</v>
      </c>
      <c r="S1792" s="19" t="s">
        <v>5784</v>
      </c>
      <c r="T1792" s="19" t="s">
        <v>5785</v>
      </c>
      <c r="U1792" s="19" t="str">
        <f aca="false">HYPERLINK("https://macaulaylibrary.org/asset/215380","Open")</f>
        <v>Open</v>
      </c>
      <c r="V1792" s="19" t="s">
        <v>5779</v>
      </c>
    </row>
    <row r="1793" customFormat="false" ht="15" hidden="false" customHeight="false" outlineLevel="0" collapsed="false">
      <c r="A1793" s="19" t="s">
        <v>5786</v>
      </c>
      <c r="B1793" s="19" t="s">
        <v>943</v>
      </c>
      <c r="C1793" s="19" t="s">
        <v>944</v>
      </c>
      <c r="D1793" s="19" t="s">
        <v>148</v>
      </c>
      <c r="E1793" s="19" t="s">
        <v>147</v>
      </c>
      <c r="F1793" s="19" t="s">
        <v>262</v>
      </c>
      <c r="G1793" s="19" t="n">
        <v>216</v>
      </c>
      <c r="H1793" s="19" t="s">
        <v>263</v>
      </c>
      <c r="I1793" s="20" t="n">
        <v>32.123</v>
      </c>
      <c r="J1793" s="19" t="n">
        <f aca="false">IF(I1793="","",MIN(Overview!$B$8,MAX(1,CEILING(I1793/Overview!$B$7,1))))</f>
        <v>7</v>
      </c>
      <c r="K1793" s="19" t="n">
        <v>1</v>
      </c>
      <c r="L1793" s="19"/>
      <c r="M1793" s="20" t="n">
        <v>2.2</v>
      </c>
      <c r="N1793" s="19"/>
      <c r="O1793" s="19"/>
      <c r="P1793" s="19" t="s">
        <v>1883</v>
      </c>
      <c r="Q1793" s="19" t="s">
        <v>1136</v>
      </c>
      <c r="R1793" s="21" t="n">
        <v>29734</v>
      </c>
      <c r="S1793" s="19" t="s">
        <v>3255</v>
      </c>
      <c r="T1793" s="19" t="s">
        <v>5787</v>
      </c>
      <c r="U1793" s="19" t="str">
        <f aca="false">HYPERLINK("https://macaulaylibrary.org/asset/28126","Open")</f>
        <v>Open</v>
      </c>
      <c r="V1793" s="19" t="s">
        <v>5779</v>
      </c>
    </row>
    <row r="1794" customFormat="false" ht="15" hidden="false" customHeight="false" outlineLevel="0" collapsed="false">
      <c r="A1794" s="19" t="s">
        <v>5788</v>
      </c>
      <c r="B1794" s="19" t="s">
        <v>943</v>
      </c>
      <c r="C1794" s="19" t="s">
        <v>944</v>
      </c>
      <c r="D1794" s="19" t="s">
        <v>148</v>
      </c>
      <c r="E1794" s="19" t="s">
        <v>147</v>
      </c>
      <c r="F1794" s="19" t="s">
        <v>262</v>
      </c>
      <c r="G1794" s="19" t="n">
        <v>216</v>
      </c>
      <c r="H1794" s="19" t="s">
        <v>263</v>
      </c>
      <c r="I1794" s="20" t="n">
        <v>94.113</v>
      </c>
      <c r="J1794" s="19" t="n">
        <f aca="false">IF(I1794="","",MIN(Overview!$B$8,MAX(1,CEILING(I1794/Overview!$B$7,1))))</f>
        <v>19</v>
      </c>
      <c r="K1794" s="19" t="n">
        <v>1</v>
      </c>
      <c r="L1794" s="19"/>
      <c r="M1794" s="20" t="n">
        <v>2.2</v>
      </c>
      <c r="N1794" s="19"/>
      <c r="O1794" s="19"/>
      <c r="P1794" s="19" t="s">
        <v>1733</v>
      </c>
      <c r="Q1794" s="19" t="s">
        <v>1136</v>
      </c>
      <c r="R1794" s="21" t="n">
        <v>29732</v>
      </c>
      <c r="S1794" s="19" t="s">
        <v>1774</v>
      </c>
      <c r="T1794" s="19" t="s">
        <v>5789</v>
      </c>
      <c r="U1794" s="19" t="str">
        <f aca="false">HYPERLINK("https://macaulaylibrary.org/asset/28151","Open")</f>
        <v>Open</v>
      </c>
      <c r="V1794" s="19" t="s">
        <v>5779</v>
      </c>
    </row>
    <row r="1795" customFormat="false" ht="15" hidden="false" customHeight="false" outlineLevel="0" collapsed="false">
      <c r="A1795" s="19" t="s">
        <v>5790</v>
      </c>
      <c r="B1795" s="19" t="s">
        <v>943</v>
      </c>
      <c r="C1795" s="19" t="s">
        <v>944</v>
      </c>
      <c r="D1795" s="19" t="s">
        <v>148</v>
      </c>
      <c r="E1795" s="19" t="s">
        <v>147</v>
      </c>
      <c r="F1795" s="19" t="s">
        <v>262</v>
      </c>
      <c r="G1795" s="19" t="n">
        <v>216</v>
      </c>
      <c r="H1795" s="19" t="s">
        <v>263</v>
      </c>
      <c r="I1795" s="20" t="n">
        <v>25.664</v>
      </c>
      <c r="J1795" s="19" t="n">
        <f aca="false">IF(I1795="","",MIN(Overview!$B$8,MAX(1,CEILING(I1795/Overview!$B$7,1))))</f>
        <v>6</v>
      </c>
      <c r="K1795" s="19" t="n">
        <v>1</v>
      </c>
      <c r="L1795" s="19"/>
      <c r="M1795" s="20" t="n">
        <v>2.5</v>
      </c>
      <c r="N1795" s="19"/>
      <c r="O1795" s="19"/>
      <c r="P1795" s="19" t="s">
        <v>2346</v>
      </c>
      <c r="Q1795" s="19" t="s">
        <v>965</v>
      </c>
      <c r="R1795" s="21" t="n">
        <v>44183</v>
      </c>
      <c r="S1795" s="19" t="s">
        <v>2347</v>
      </c>
      <c r="T1795" s="19" t="s">
        <v>5791</v>
      </c>
      <c r="U1795" s="19" t="str">
        <f aca="false">HYPERLINK("https://macaulaylibrary.org/asset/289816671","Open")</f>
        <v>Open</v>
      </c>
      <c r="V1795" s="19"/>
    </row>
    <row r="1796" customFormat="false" ht="15" hidden="false" customHeight="false" outlineLevel="0" collapsed="false">
      <c r="A1796" s="19" t="s">
        <v>5792</v>
      </c>
      <c r="B1796" s="19" t="s">
        <v>943</v>
      </c>
      <c r="C1796" s="19" t="s">
        <v>944</v>
      </c>
      <c r="D1796" s="19" t="s">
        <v>148</v>
      </c>
      <c r="E1796" s="19" t="s">
        <v>147</v>
      </c>
      <c r="F1796" s="19" t="s">
        <v>262</v>
      </c>
      <c r="G1796" s="19" t="n">
        <v>216</v>
      </c>
      <c r="H1796" s="19" t="s">
        <v>263</v>
      </c>
      <c r="I1796" s="20" t="n">
        <v>26.071</v>
      </c>
      <c r="J1796" s="19" t="n">
        <f aca="false">IF(I1796="","",MIN(Overview!$B$8,MAX(1,CEILING(I1796/Overview!$B$7,1))))</f>
        <v>6</v>
      </c>
      <c r="K1796" s="19" t="n">
        <v>1</v>
      </c>
      <c r="L1796" s="19"/>
      <c r="M1796" s="20" t="n">
        <v>3</v>
      </c>
      <c r="N1796" s="19"/>
      <c r="O1796" s="19"/>
      <c r="P1796" s="19" t="s">
        <v>1029</v>
      </c>
      <c r="Q1796" s="19" t="s">
        <v>1030</v>
      </c>
      <c r="R1796" s="21" t="n">
        <v>40251</v>
      </c>
      <c r="S1796" s="19" t="s">
        <v>1369</v>
      </c>
      <c r="T1796" s="19" t="s">
        <v>5793</v>
      </c>
      <c r="U1796" s="19" t="str">
        <f aca="false">HYPERLINK("https://macaulaylibrary.org/asset/299624","Open")</f>
        <v>Open</v>
      </c>
      <c r="V1796" s="19"/>
    </row>
    <row r="1797" customFormat="false" ht="15" hidden="false" customHeight="false" outlineLevel="0" collapsed="false">
      <c r="A1797" s="19" t="s">
        <v>5794</v>
      </c>
      <c r="B1797" s="19" t="s">
        <v>943</v>
      </c>
      <c r="C1797" s="19" t="s">
        <v>944</v>
      </c>
      <c r="D1797" s="19" t="s">
        <v>148</v>
      </c>
      <c r="E1797" s="19" t="s">
        <v>147</v>
      </c>
      <c r="F1797" s="19" t="s">
        <v>262</v>
      </c>
      <c r="G1797" s="19" t="n">
        <v>216</v>
      </c>
      <c r="H1797" s="19" t="s">
        <v>263</v>
      </c>
      <c r="I1797" s="20" t="n">
        <v>193.869</v>
      </c>
      <c r="J1797" s="19" t="n">
        <f aca="false">IF(I1797="","",MIN(Overview!$B$8,MAX(1,CEILING(I1797/Overview!$B$7,1))))</f>
        <v>39</v>
      </c>
      <c r="K1797" s="19" t="n">
        <v>1</v>
      </c>
      <c r="L1797" s="19"/>
      <c r="M1797" s="20" t="n">
        <v>2.2</v>
      </c>
      <c r="N1797" s="19"/>
      <c r="O1797" s="19"/>
      <c r="P1797" s="19" t="s">
        <v>1555</v>
      </c>
      <c r="Q1797" s="19" t="s">
        <v>980</v>
      </c>
      <c r="R1797" s="21" t="n">
        <v>33291</v>
      </c>
      <c r="S1797" s="19"/>
      <c r="T1797" s="19" t="s">
        <v>5795</v>
      </c>
      <c r="U1797" s="19" t="str">
        <f aca="false">HYPERLINK("https://macaulaylibrary.org/asset/57480","Open")</f>
        <v>Open</v>
      </c>
      <c r="V1797" s="19" t="s">
        <v>5779</v>
      </c>
    </row>
    <row r="1798" customFormat="false" ht="15" hidden="false" customHeight="false" outlineLevel="0" collapsed="false">
      <c r="A1798" s="19" t="s">
        <v>5796</v>
      </c>
      <c r="B1798" s="19" t="s">
        <v>943</v>
      </c>
      <c r="C1798" s="19" t="s">
        <v>944</v>
      </c>
      <c r="D1798" s="19" t="s">
        <v>148</v>
      </c>
      <c r="E1798" s="19" t="s">
        <v>147</v>
      </c>
      <c r="F1798" s="19" t="s">
        <v>262</v>
      </c>
      <c r="G1798" s="19" t="n">
        <v>216</v>
      </c>
      <c r="H1798" s="19" t="s">
        <v>263</v>
      </c>
      <c r="I1798" s="20" t="n">
        <v>27.36</v>
      </c>
      <c r="J1798" s="19" t="n">
        <f aca="false">IF(I1798="","",MIN(Overview!$B$8,MAX(1,CEILING(I1798/Overview!$B$7,1))))</f>
        <v>6</v>
      </c>
      <c r="K1798" s="19" t="n">
        <v>1</v>
      </c>
      <c r="L1798" s="19"/>
      <c r="M1798" s="20" t="n">
        <v>3</v>
      </c>
      <c r="N1798" s="19"/>
      <c r="O1798" s="19"/>
      <c r="P1798" s="19" t="s">
        <v>950</v>
      </c>
      <c r="Q1798" s="19" t="s">
        <v>951</v>
      </c>
      <c r="R1798" s="21" t="n">
        <v>45223</v>
      </c>
      <c r="S1798" s="19" t="s">
        <v>952</v>
      </c>
      <c r="T1798" s="19" t="s">
        <v>5797</v>
      </c>
      <c r="U1798" s="19" t="str">
        <f aca="false">HYPERLINK("https://macaulaylibrary.org/asset/610572538","Open")</f>
        <v>Open</v>
      </c>
      <c r="V1798" s="19"/>
    </row>
    <row r="1799" customFormat="false" ht="15" hidden="false" customHeight="false" outlineLevel="0" collapsed="false">
      <c r="A1799" s="19" t="s">
        <v>5798</v>
      </c>
      <c r="B1799" s="19" t="s">
        <v>943</v>
      </c>
      <c r="C1799" s="19" t="s">
        <v>944</v>
      </c>
      <c r="D1799" s="19" t="s">
        <v>148</v>
      </c>
      <c r="E1799" s="19" t="s">
        <v>147</v>
      </c>
      <c r="F1799" s="19" t="s">
        <v>262</v>
      </c>
      <c r="G1799" s="19" t="n">
        <v>216</v>
      </c>
      <c r="H1799" s="19" t="s">
        <v>263</v>
      </c>
      <c r="I1799" s="20" t="n">
        <v>16.09</v>
      </c>
      <c r="J1799" s="19" t="n">
        <f aca="false">IF(I1799="","",MIN(Overview!$B$8,MAX(1,CEILING(I1799/Overview!$B$7,1))))</f>
        <v>4</v>
      </c>
      <c r="K1799" s="19" t="n">
        <v>1</v>
      </c>
      <c r="L1799" s="19"/>
      <c r="M1799" s="20" t="n">
        <v>4</v>
      </c>
      <c r="N1799" s="19"/>
      <c r="O1799" s="19"/>
      <c r="P1799" s="19" t="s">
        <v>5799</v>
      </c>
      <c r="Q1799" s="19" t="s">
        <v>5800</v>
      </c>
      <c r="R1799" s="21" t="n">
        <v>45259</v>
      </c>
      <c r="S1799" s="19" t="s">
        <v>5801</v>
      </c>
      <c r="T1799" s="19" t="s">
        <v>5802</v>
      </c>
      <c r="U1799" s="19" t="str">
        <f aca="false">HYPERLINK("https://macaulaylibrary.org/asset/611791513","Open")</f>
        <v>Open</v>
      </c>
      <c r="V1799" s="19"/>
    </row>
    <row r="1800" customFormat="false" ht="15" hidden="false" customHeight="false" outlineLevel="0" collapsed="false">
      <c r="A1800" s="19" t="s">
        <v>5803</v>
      </c>
      <c r="B1800" s="19" t="s">
        <v>943</v>
      </c>
      <c r="C1800" s="19" t="s">
        <v>944</v>
      </c>
      <c r="D1800" s="19" t="s">
        <v>148</v>
      </c>
      <c r="E1800" s="19" t="s">
        <v>147</v>
      </c>
      <c r="F1800" s="19" t="s">
        <v>262</v>
      </c>
      <c r="G1800" s="19" t="n">
        <v>216</v>
      </c>
      <c r="H1800" s="19" t="s">
        <v>263</v>
      </c>
      <c r="I1800" s="20" t="n">
        <v>8.93</v>
      </c>
      <c r="J1800" s="19" t="n">
        <f aca="false">IF(I1800="","",MIN(Overview!$B$8,MAX(1,CEILING(I1800/Overview!$B$7,1))))</f>
        <v>2</v>
      </c>
      <c r="K1800" s="19" t="n">
        <v>1</v>
      </c>
      <c r="L1800" s="19"/>
      <c r="M1800" s="20"/>
      <c r="N1800" s="19"/>
      <c r="O1800" s="19"/>
      <c r="P1800" s="19" t="s">
        <v>5804</v>
      </c>
      <c r="Q1800" s="19" t="s">
        <v>1158</v>
      </c>
      <c r="R1800" s="21" t="n">
        <v>45657</v>
      </c>
      <c r="S1800" s="19" t="s">
        <v>5805</v>
      </c>
      <c r="T1800" s="19" t="s">
        <v>5806</v>
      </c>
      <c r="U1800" s="19" t="str">
        <f aca="false">HYPERLINK("https://macaulaylibrary.org/asset/630218418","Open")</f>
        <v>Open</v>
      </c>
      <c r="V1800" s="19"/>
    </row>
    <row r="1801" customFormat="false" ht="15" hidden="false" customHeight="false" outlineLevel="0" collapsed="false">
      <c r="A1801" s="19" t="s">
        <v>5807</v>
      </c>
      <c r="B1801" s="19" t="s">
        <v>943</v>
      </c>
      <c r="C1801" s="19" t="s">
        <v>944</v>
      </c>
      <c r="D1801" s="19" t="s">
        <v>148</v>
      </c>
      <c r="E1801" s="19" t="s">
        <v>147</v>
      </c>
      <c r="F1801" s="19" t="s">
        <v>262</v>
      </c>
      <c r="G1801" s="19" t="n">
        <v>216</v>
      </c>
      <c r="H1801" s="19" t="s">
        <v>263</v>
      </c>
      <c r="I1801" s="20" t="n">
        <v>2.631</v>
      </c>
      <c r="J1801" s="19" t="n">
        <f aca="false">IF(I1801="","",MIN(Overview!$B$8,MAX(1,CEILING(I1801/Overview!$B$7,1))))</f>
        <v>1</v>
      </c>
      <c r="K1801" s="19" t="n">
        <v>1</v>
      </c>
      <c r="L1801" s="19" t="s">
        <v>1048</v>
      </c>
      <c r="M1801" s="20"/>
      <c r="N1801" s="19"/>
      <c r="O1801" s="19"/>
      <c r="P1801" s="19" t="s">
        <v>5808</v>
      </c>
      <c r="Q1801" s="19" t="s">
        <v>5809</v>
      </c>
      <c r="R1801" s="21" t="n">
        <v>45707</v>
      </c>
      <c r="S1801" s="19" t="s">
        <v>3598</v>
      </c>
      <c r="T1801" s="19" t="s">
        <v>5810</v>
      </c>
      <c r="U1801" s="19" t="str">
        <f aca="false">HYPERLINK("https://macaulaylibrary.org/asset/631274965","Open")</f>
        <v>Open</v>
      </c>
      <c r="V1801" s="19"/>
    </row>
    <row r="1802" customFormat="false" ht="15" hidden="false" customHeight="false" outlineLevel="0" collapsed="false">
      <c r="A1802" s="19" t="s">
        <v>5811</v>
      </c>
      <c r="B1802" s="19" t="s">
        <v>943</v>
      </c>
      <c r="C1802" s="19" t="s">
        <v>944</v>
      </c>
      <c r="D1802" s="19" t="s">
        <v>148</v>
      </c>
      <c r="E1802" s="19" t="s">
        <v>147</v>
      </c>
      <c r="F1802" s="19" t="s">
        <v>262</v>
      </c>
      <c r="G1802" s="19" t="n">
        <v>216</v>
      </c>
      <c r="H1802" s="19" t="s">
        <v>263</v>
      </c>
      <c r="I1802" s="20" t="n">
        <v>128.591</v>
      </c>
      <c r="J1802" s="19" t="n">
        <f aca="false">IF(I1802="","",MIN(Overview!$B$8,MAX(1,CEILING(I1802/Overview!$B$7,1))))</f>
        <v>26</v>
      </c>
      <c r="K1802" s="19" t="n">
        <v>1</v>
      </c>
      <c r="L1802" s="19"/>
      <c r="M1802" s="20"/>
      <c r="N1802" s="19"/>
      <c r="O1802" s="19"/>
      <c r="P1802" s="19" t="s">
        <v>1090</v>
      </c>
      <c r="Q1802" s="19" t="s">
        <v>1091</v>
      </c>
      <c r="R1802" s="21" t="n">
        <v>45845</v>
      </c>
      <c r="S1802" s="19" t="s">
        <v>1092</v>
      </c>
      <c r="T1802" s="19" t="s">
        <v>5812</v>
      </c>
      <c r="U1802" s="19" t="str">
        <f aca="false">HYPERLINK("https://macaulaylibrary.org/asset/643527280","Open")</f>
        <v>Open</v>
      </c>
      <c r="V1802" s="19"/>
    </row>
    <row r="1803" customFormat="false" ht="15" hidden="false" customHeight="false" outlineLevel="0" collapsed="false">
      <c r="A1803" s="19" t="s">
        <v>5813</v>
      </c>
      <c r="B1803" s="19" t="s">
        <v>943</v>
      </c>
      <c r="C1803" s="19" t="s">
        <v>944</v>
      </c>
      <c r="D1803" s="19" t="s">
        <v>148</v>
      </c>
      <c r="E1803" s="19" t="s">
        <v>147</v>
      </c>
      <c r="F1803" s="19" t="s">
        <v>262</v>
      </c>
      <c r="G1803" s="19" t="n">
        <v>216</v>
      </c>
      <c r="H1803" s="19" t="s">
        <v>263</v>
      </c>
      <c r="I1803" s="20" t="n">
        <v>34.88</v>
      </c>
      <c r="J1803" s="19" t="n">
        <f aca="false">IF(I1803="","",MIN(Overview!$B$8,MAX(1,CEILING(I1803/Overview!$B$7,1))))</f>
        <v>7</v>
      </c>
      <c r="K1803" s="19" t="n">
        <v>1</v>
      </c>
      <c r="L1803" s="19"/>
      <c r="M1803" s="20" t="n">
        <v>2</v>
      </c>
      <c r="N1803" s="19"/>
      <c r="O1803" s="19"/>
      <c r="P1803" s="19" t="s">
        <v>964</v>
      </c>
      <c r="Q1803" s="19" t="s">
        <v>965</v>
      </c>
      <c r="R1803" s="21" t="n">
        <v>46011</v>
      </c>
      <c r="S1803" s="19" t="s">
        <v>966</v>
      </c>
      <c r="T1803" s="19" t="s">
        <v>5814</v>
      </c>
      <c r="U1803" s="19" t="str">
        <f aca="false">HYPERLINK("https://macaulaylibrary.org/asset/647448286","Open")</f>
        <v>Open</v>
      </c>
      <c r="V1803" s="19"/>
    </row>
    <row r="1804" customFormat="false" ht="15" hidden="false" customHeight="false" outlineLevel="0" collapsed="false">
      <c r="A1804" s="19" t="s">
        <v>5815</v>
      </c>
      <c r="B1804" s="19" t="s">
        <v>943</v>
      </c>
      <c r="C1804" s="19" t="s">
        <v>944</v>
      </c>
      <c r="D1804" s="19" t="s">
        <v>148</v>
      </c>
      <c r="E1804" s="19" t="s">
        <v>147</v>
      </c>
      <c r="F1804" s="19" t="s">
        <v>262</v>
      </c>
      <c r="G1804" s="19" t="n">
        <v>216</v>
      </c>
      <c r="H1804" s="19" t="s">
        <v>263</v>
      </c>
      <c r="I1804" s="20" t="n">
        <v>100.175</v>
      </c>
      <c r="J1804" s="19" t="n">
        <f aca="false">IF(I1804="","",MIN(Overview!$B$8,MAX(1,CEILING(I1804/Overview!$B$7,1))))</f>
        <v>21</v>
      </c>
      <c r="K1804" s="19" t="n">
        <v>1</v>
      </c>
      <c r="L1804" s="19"/>
      <c r="M1804" s="20" t="n">
        <v>3</v>
      </c>
      <c r="N1804" s="19"/>
      <c r="O1804" s="19" t="s">
        <v>413</v>
      </c>
      <c r="P1804" s="19" t="s">
        <v>1501</v>
      </c>
      <c r="Q1804" s="19" t="s">
        <v>1502</v>
      </c>
      <c r="R1804" s="21" t="n">
        <v>45939</v>
      </c>
      <c r="S1804" s="19" t="s">
        <v>1503</v>
      </c>
      <c r="T1804" s="19" t="s">
        <v>5816</v>
      </c>
      <c r="U1804" s="19" t="str">
        <f aca="false">HYPERLINK("https://macaulaylibrary.org/asset/648704611","Open")</f>
        <v>Open</v>
      </c>
      <c r="V1804" s="19"/>
    </row>
    <row r="1805" customFormat="false" ht="15" hidden="false" customHeight="false" outlineLevel="0" collapsed="false">
      <c r="A1805" s="19" t="s">
        <v>5817</v>
      </c>
      <c r="B1805" s="19" t="s">
        <v>943</v>
      </c>
      <c r="C1805" s="19" t="s">
        <v>944</v>
      </c>
      <c r="D1805" s="19" t="s">
        <v>148</v>
      </c>
      <c r="E1805" s="19" t="s">
        <v>147</v>
      </c>
      <c r="F1805" s="19" t="s">
        <v>262</v>
      </c>
      <c r="G1805" s="19" t="n">
        <v>216</v>
      </c>
      <c r="H1805" s="19" t="s">
        <v>263</v>
      </c>
      <c r="I1805" s="20" t="n">
        <v>258.857</v>
      </c>
      <c r="J1805" s="19" t="n">
        <f aca="false">IF(I1805="","",MIN(Overview!$B$8,MAX(1,CEILING(I1805/Overview!$B$7,1))))</f>
        <v>52</v>
      </c>
      <c r="K1805" s="19" t="n">
        <v>1</v>
      </c>
      <c r="L1805" s="19"/>
      <c r="M1805" s="20" t="n">
        <v>2</v>
      </c>
      <c r="N1805" s="19"/>
      <c r="O1805" s="19"/>
      <c r="P1805" s="19" t="s">
        <v>1710</v>
      </c>
      <c r="Q1805" s="19" t="s">
        <v>1218</v>
      </c>
      <c r="R1805" s="21" t="n">
        <v>33331</v>
      </c>
      <c r="S1805" s="19" t="s">
        <v>1144</v>
      </c>
      <c r="T1805" s="19" t="s">
        <v>5818</v>
      </c>
      <c r="U1805" s="19" t="str">
        <f aca="false">HYPERLINK("https://macaulaylibrary.org/asset/76632","Open")</f>
        <v>Open</v>
      </c>
      <c r="V1805" s="19" t="s">
        <v>5779</v>
      </c>
    </row>
    <row r="1806" customFormat="false" ht="15" hidden="false" customHeight="false" outlineLevel="0" collapsed="false">
      <c r="A1806" s="19" t="s">
        <v>5819</v>
      </c>
      <c r="B1806" s="19" t="s">
        <v>943</v>
      </c>
      <c r="C1806" s="19" t="s">
        <v>944</v>
      </c>
      <c r="D1806" s="19" t="s">
        <v>148</v>
      </c>
      <c r="E1806" s="19" t="s">
        <v>147</v>
      </c>
      <c r="F1806" s="19" t="s">
        <v>144</v>
      </c>
      <c r="G1806" s="19" t="n">
        <v>217</v>
      </c>
      <c r="H1806" s="19" t="s">
        <v>145</v>
      </c>
      <c r="I1806" s="20" t="n">
        <v>67.056</v>
      </c>
      <c r="J1806" s="19" t="n">
        <f aca="false">IF(I1806="","",MIN(Overview!$B$8,MAX(1,CEILING(I1806/Overview!$B$7,1))))</f>
        <v>14</v>
      </c>
      <c r="K1806" s="19" t="n">
        <v>1</v>
      </c>
      <c r="L1806" s="19"/>
      <c r="M1806" s="20" t="n">
        <v>4</v>
      </c>
      <c r="N1806" s="19"/>
      <c r="O1806" s="19"/>
      <c r="P1806" s="19" t="s">
        <v>3831</v>
      </c>
      <c r="Q1806" s="19" t="s">
        <v>1021</v>
      </c>
      <c r="R1806" s="21" t="n">
        <v>35862</v>
      </c>
      <c r="S1806" s="19" t="s">
        <v>1036</v>
      </c>
      <c r="T1806" s="19" t="s">
        <v>5820</v>
      </c>
      <c r="U1806" s="19" t="str">
        <f aca="false">HYPERLINK("https://macaulaylibrary.org/asset/100769661","Open")</f>
        <v>Open</v>
      </c>
      <c r="V1806" s="19"/>
    </row>
    <row r="1807" customFormat="false" ht="15" hidden="false" customHeight="false" outlineLevel="0" collapsed="false">
      <c r="A1807" s="19" t="s">
        <v>5821</v>
      </c>
      <c r="B1807" s="19" t="s">
        <v>943</v>
      </c>
      <c r="C1807" s="19" t="s">
        <v>944</v>
      </c>
      <c r="D1807" s="19" t="s">
        <v>148</v>
      </c>
      <c r="E1807" s="19" t="s">
        <v>147</v>
      </c>
      <c r="F1807" s="19" t="s">
        <v>144</v>
      </c>
      <c r="G1807" s="19" t="n">
        <v>217</v>
      </c>
      <c r="H1807" s="19" t="s">
        <v>145</v>
      </c>
      <c r="I1807" s="20" t="n">
        <v>31.438</v>
      </c>
      <c r="J1807" s="19" t="n">
        <f aca="false">IF(I1807="","",MIN(Overview!$B$8,MAX(1,CEILING(I1807/Overview!$B$7,1))))</f>
        <v>7</v>
      </c>
      <c r="K1807" s="19" t="n">
        <v>1</v>
      </c>
      <c r="L1807" s="19"/>
      <c r="M1807" s="20" t="n">
        <v>4</v>
      </c>
      <c r="N1807" s="19"/>
      <c r="O1807" s="19"/>
      <c r="P1807" s="19" t="s">
        <v>3831</v>
      </c>
      <c r="Q1807" s="19" t="s">
        <v>1021</v>
      </c>
      <c r="R1807" s="21" t="n">
        <v>35862</v>
      </c>
      <c r="S1807" s="19" t="s">
        <v>1036</v>
      </c>
      <c r="T1807" s="19" t="s">
        <v>5822</v>
      </c>
      <c r="U1807" s="19" t="str">
        <f aca="false">HYPERLINK("https://macaulaylibrary.org/asset/100770321","Open")</f>
        <v>Open</v>
      </c>
      <c r="V1807" s="19"/>
    </row>
    <row r="1808" customFormat="false" ht="15" hidden="false" customHeight="false" outlineLevel="0" collapsed="false">
      <c r="A1808" s="19" t="s">
        <v>5823</v>
      </c>
      <c r="B1808" s="19" t="s">
        <v>943</v>
      </c>
      <c r="C1808" s="19" t="s">
        <v>944</v>
      </c>
      <c r="D1808" s="19" t="s">
        <v>148</v>
      </c>
      <c r="E1808" s="19" t="s">
        <v>147</v>
      </c>
      <c r="F1808" s="19" t="s">
        <v>144</v>
      </c>
      <c r="G1808" s="19" t="n">
        <v>217</v>
      </c>
      <c r="H1808" s="19" t="s">
        <v>145</v>
      </c>
      <c r="I1808" s="20" t="n">
        <v>15.593</v>
      </c>
      <c r="J1808" s="19" t="n">
        <f aca="false">IF(I1808="","",MIN(Overview!$B$8,MAX(1,CEILING(I1808/Overview!$B$7,1))))</f>
        <v>4</v>
      </c>
      <c r="K1808" s="19" t="n">
        <v>1</v>
      </c>
      <c r="L1808" s="19"/>
      <c r="M1808" s="20" t="n">
        <v>3.5</v>
      </c>
      <c r="N1808" s="19"/>
      <c r="O1808" s="19"/>
      <c r="P1808" s="19" t="s">
        <v>1020</v>
      </c>
      <c r="Q1808" s="19" t="s">
        <v>1021</v>
      </c>
      <c r="R1808" s="21" t="n">
        <v>35863</v>
      </c>
      <c r="S1808" s="19" t="s">
        <v>1022</v>
      </c>
      <c r="T1808" s="19" t="s">
        <v>5824</v>
      </c>
      <c r="U1808" s="19" t="str">
        <f aca="false">HYPERLINK("https://macaulaylibrary.org/asset/101754261","Open")</f>
        <v>Open</v>
      </c>
      <c r="V1808" s="19"/>
    </row>
    <row r="1809" customFormat="false" ht="15" hidden="false" customHeight="false" outlineLevel="0" collapsed="false">
      <c r="A1809" s="19" t="s">
        <v>5825</v>
      </c>
      <c r="B1809" s="19" t="s">
        <v>943</v>
      </c>
      <c r="C1809" s="19" t="s">
        <v>944</v>
      </c>
      <c r="D1809" s="19" t="s">
        <v>148</v>
      </c>
      <c r="E1809" s="19" t="s">
        <v>147</v>
      </c>
      <c r="F1809" s="19" t="s">
        <v>144</v>
      </c>
      <c r="G1809" s="19" t="n">
        <v>217</v>
      </c>
      <c r="H1809" s="19" t="s">
        <v>145</v>
      </c>
      <c r="I1809" s="20" t="n">
        <v>48.475</v>
      </c>
      <c r="J1809" s="19" t="n">
        <f aca="false">IF(I1809="","",MIN(Overview!$B$8,MAX(1,CEILING(I1809/Overview!$B$7,1))))</f>
        <v>10</v>
      </c>
      <c r="K1809" s="19" t="n">
        <v>1</v>
      </c>
      <c r="L1809" s="19"/>
      <c r="M1809" s="20" t="n">
        <v>4</v>
      </c>
      <c r="N1809" s="19"/>
      <c r="O1809" s="19"/>
      <c r="P1809" s="19" t="s">
        <v>1020</v>
      </c>
      <c r="Q1809" s="19" t="s">
        <v>1021</v>
      </c>
      <c r="R1809" s="21" t="n">
        <v>35863</v>
      </c>
      <c r="S1809" s="19" t="s">
        <v>1022</v>
      </c>
      <c r="T1809" s="19" t="s">
        <v>5826</v>
      </c>
      <c r="U1809" s="19" t="str">
        <f aca="false">HYPERLINK("https://macaulaylibrary.org/asset/101754631","Open")</f>
        <v>Open</v>
      </c>
      <c r="V1809" s="19"/>
    </row>
    <row r="1810" customFormat="false" ht="15" hidden="false" customHeight="false" outlineLevel="0" collapsed="false">
      <c r="A1810" s="19" t="s">
        <v>5827</v>
      </c>
      <c r="B1810" s="19" t="s">
        <v>943</v>
      </c>
      <c r="C1810" s="19" t="s">
        <v>944</v>
      </c>
      <c r="D1810" s="19" t="s">
        <v>148</v>
      </c>
      <c r="E1810" s="19" t="s">
        <v>147</v>
      </c>
      <c r="F1810" s="19" t="s">
        <v>144</v>
      </c>
      <c r="G1810" s="19" t="n">
        <v>217</v>
      </c>
      <c r="H1810" s="19" t="s">
        <v>145</v>
      </c>
      <c r="I1810" s="20" t="n">
        <v>77.217</v>
      </c>
      <c r="J1810" s="19" t="n">
        <f aca="false">IF(I1810="","",MIN(Overview!$B$8,MAX(1,CEILING(I1810/Overview!$B$7,1))))</f>
        <v>16</v>
      </c>
      <c r="K1810" s="19" t="n">
        <v>1</v>
      </c>
      <c r="L1810" s="19"/>
      <c r="M1810" s="20" t="n">
        <v>3</v>
      </c>
      <c r="N1810" s="19"/>
      <c r="O1810" s="19"/>
      <c r="P1810" s="19" t="s">
        <v>1020</v>
      </c>
      <c r="Q1810" s="19" t="s">
        <v>1021</v>
      </c>
      <c r="R1810" s="21" t="n">
        <v>35863</v>
      </c>
      <c r="S1810" s="19" t="s">
        <v>1022</v>
      </c>
      <c r="T1810" s="19" t="s">
        <v>5828</v>
      </c>
      <c r="U1810" s="19" t="str">
        <f aca="false">HYPERLINK("https://macaulaylibrary.org/asset/101754851","Open")</f>
        <v>Open</v>
      </c>
      <c r="V1810" s="19"/>
    </row>
    <row r="1811" customFormat="false" ht="15" hidden="false" customHeight="false" outlineLevel="0" collapsed="false">
      <c r="A1811" s="19" t="s">
        <v>5829</v>
      </c>
      <c r="B1811" s="19" t="s">
        <v>943</v>
      </c>
      <c r="C1811" s="19" t="s">
        <v>944</v>
      </c>
      <c r="D1811" s="19" t="s">
        <v>148</v>
      </c>
      <c r="E1811" s="19" t="s">
        <v>147</v>
      </c>
      <c r="F1811" s="19" t="s">
        <v>144</v>
      </c>
      <c r="G1811" s="19" t="n">
        <v>217</v>
      </c>
      <c r="H1811" s="19" t="s">
        <v>145</v>
      </c>
      <c r="I1811" s="20" t="n">
        <v>40.323</v>
      </c>
      <c r="J1811" s="19" t="n">
        <f aca="false">IF(I1811="","",MIN(Overview!$B$8,MAX(1,CEILING(I1811/Overview!$B$7,1))))</f>
        <v>9</v>
      </c>
      <c r="K1811" s="19" t="n">
        <v>1</v>
      </c>
      <c r="L1811" s="19"/>
      <c r="M1811" s="20" t="n">
        <v>4</v>
      </c>
      <c r="N1811" s="19"/>
      <c r="O1811" s="19"/>
      <c r="P1811" s="19" t="s">
        <v>2271</v>
      </c>
      <c r="Q1811" s="19" t="s">
        <v>1021</v>
      </c>
      <c r="R1811" s="21" t="n">
        <v>35867</v>
      </c>
      <c r="S1811" s="19" t="s">
        <v>2272</v>
      </c>
      <c r="T1811" s="19" t="s">
        <v>5830</v>
      </c>
      <c r="U1811" s="19" t="str">
        <f aca="false">HYPERLINK("https://macaulaylibrary.org/asset/102739831","Open")</f>
        <v>Open</v>
      </c>
      <c r="V1811" s="19"/>
    </row>
    <row r="1812" customFormat="false" ht="15" hidden="false" customHeight="false" outlineLevel="0" collapsed="false">
      <c r="A1812" s="19" t="s">
        <v>5831</v>
      </c>
      <c r="B1812" s="19" t="s">
        <v>943</v>
      </c>
      <c r="C1812" s="19" t="s">
        <v>944</v>
      </c>
      <c r="D1812" s="19" t="s">
        <v>148</v>
      </c>
      <c r="E1812" s="19" t="s">
        <v>147</v>
      </c>
      <c r="F1812" s="19" t="s">
        <v>144</v>
      </c>
      <c r="G1812" s="19" t="n">
        <v>217</v>
      </c>
      <c r="H1812" s="19" t="s">
        <v>145</v>
      </c>
      <c r="I1812" s="20" t="n">
        <v>32.056</v>
      </c>
      <c r="J1812" s="19" t="n">
        <f aca="false">IF(I1812="","",MIN(Overview!$B$8,MAX(1,CEILING(I1812/Overview!$B$7,1))))</f>
        <v>7</v>
      </c>
      <c r="K1812" s="19" t="n">
        <v>1</v>
      </c>
      <c r="L1812" s="19"/>
      <c r="M1812" s="20" t="n">
        <v>4</v>
      </c>
      <c r="N1812" s="19"/>
      <c r="O1812" s="19"/>
      <c r="P1812" s="19" t="s">
        <v>2271</v>
      </c>
      <c r="Q1812" s="19" t="s">
        <v>1021</v>
      </c>
      <c r="R1812" s="21" t="n">
        <v>35867</v>
      </c>
      <c r="S1812" s="19" t="s">
        <v>2272</v>
      </c>
      <c r="T1812" s="19" t="s">
        <v>5832</v>
      </c>
      <c r="U1812" s="19" t="str">
        <f aca="false">HYPERLINK("https://macaulaylibrary.org/asset/102866821","Open")</f>
        <v>Open</v>
      </c>
      <c r="V1812" s="19"/>
    </row>
    <row r="1813" customFormat="false" ht="15" hidden="false" customHeight="false" outlineLevel="0" collapsed="false">
      <c r="A1813" s="19" t="s">
        <v>5833</v>
      </c>
      <c r="B1813" s="19" t="s">
        <v>943</v>
      </c>
      <c r="C1813" s="19" t="s">
        <v>944</v>
      </c>
      <c r="D1813" s="19" t="s">
        <v>148</v>
      </c>
      <c r="E1813" s="19" t="s">
        <v>147</v>
      </c>
      <c r="F1813" s="19" t="s">
        <v>144</v>
      </c>
      <c r="G1813" s="19" t="n">
        <v>217</v>
      </c>
      <c r="H1813" s="19" t="s">
        <v>145</v>
      </c>
      <c r="I1813" s="20" t="n">
        <v>43.642</v>
      </c>
      <c r="J1813" s="19" t="n">
        <f aca="false">IF(I1813="","",MIN(Overview!$B$8,MAX(1,CEILING(I1813/Overview!$B$7,1))))</f>
        <v>9</v>
      </c>
      <c r="K1813" s="19" t="n">
        <v>1</v>
      </c>
      <c r="L1813" s="19"/>
      <c r="M1813" s="20" t="n">
        <v>4</v>
      </c>
      <c r="N1813" s="19"/>
      <c r="O1813" s="19"/>
      <c r="P1813" s="19" t="s">
        <v>2271</v>
      </c>
      <c r="Q1813" s="19" t="s">
        <v>1021</v>
      </c>
      <c r="R1813" s="21" t="n">
        <v>35867</v>
      </c>
      <c r="S1813" s="19" t="s">
        <v>2272</v>
      </c>
      <c r="T1813" s="19" t="s">
        <v>5834</v>
      </c>
      <c r="U1813" s="19" t="str">
        <f aca="false">HYPERLINK("https://macaulaylibrary.org/asset/102867221","Open")</f>
        <v>Open</v>
      </c>
      <c r="V1813" s="19"/>
    </row>
    <row r="1814" customFormat="false" ht="15" hidden="false" customHeight="false" outlineLevel="0" collapsed="false">
      <c r="A1814" s="19" t="s">
        <v>5835</v>
      </c>
      <c r="B1814" s="19" t="s">
        <v>943</v>
      </c>
      <c r="C1814" s="19" t="s">
        <v>944</v>
      </c>
      <c r="D1814" s="19" t="s">
        <v>148</v>
      </c>
      <c r="E1814" s="19" t="s">
        <v>147</v>
      </c>
      <c r="F1814" s="19" t="s">
        <v>144</v>
      </c>
      <c r="G1814" s="19" t="n">
        <v>217</v>
      </c>
      <c r="H1814" s="19" t="s">
        <v>145</v>
      </c>
      <c r="I1814" s="20" t="n">
        <v>142.436</v>
      </c>
      <c r="J1814" s="19" t="n">
        <f aca="false">IF(I1814="","",MIN(Overview!$B$8,MAX(1,CEILING(I1814/Overview!$B$7,1))))</f>
        <v>29</v>
      </c>
      <c r="K1814" s="19" t="n">
        <v>1</v>
      </c>
      <c r="L1814" s="19"/>
      <c r="M1814" s="20" t="n">
        <v>5</v>
      </c>
      <c r="N1814" s="19"/>
      <c r="O1814" s="19"/>
      <c r="P1814" s="19" t="s">
        <v>4191</v>
      </c>
      <c r="Q1814" s="19" t="s">
        <v>1021</v>
      </c>
      <c r="R1814" s="21" t="n">
        <v>35868</v>
      </c>
      <c r="S1814" s="19" t="s">
        <v>2784</v>
      </c>
      <c r="T1814" s="19" t="s">
        <v>5836</v>
      </c>
      <c r="U1814" s="19" t="str">
        <f aca="false">HYPERLINK("https://macaulaylibrary.org/asset/103064421","Open")</f>
        <v>Open</v>
      </c>
      <c r="V1814" s="19"/>
    </row>
    <row r="1815" customFormat="false" ht="15" hidden="false" customHeight="false" outlineLevel="0" collapsed="false">
      <c r="A1815" s="19" t="s">
        <v>5837</v>
      </c>
      <c r="B1815" s="19" t="s">
        <v>943</v>
      </c>
      <c r="C1815" s="19" t="s">
        <v>944</v>
      </c>
      <c r="D1815" s="19" t="s">
        <v>148</v>
      </c>
      <c r="E1815" s="19" t="s">
        <v>147</v>
      </c>
      <c r="F1815" s="19" t="s">
        <v>144</v>
      </c>
      <c r="G1815" s="19" t="n">
        <v>217</v>
      </c>
      <c r="H1815" s="19" t="s">
        <v>145</v>
      </c>
      <c r="I1815" s="20" t="n">
        <v>42.957</v>
      </c>
      <c r="J1815" s="19" t="n">
        <f aca="false">IF(I1815="","",MIN(Overview!$B$8,MAX(1,CEILING(I1815/Overview!$B$7,1))))</f>
        <v>9</v>
      </c>
      <c r="K1815" s="19" t="n">
        <v>1</v>
      </c>
      <c r="L1815" s="19"/>
      <c r="M1815" s="20" t="n">
        <v>4</v>
      </c>
      <c r="N1815" s="19"/>
      <c r="O1815" s="19"/>
      <c r="P1815" s="19" t="s">
        <v>4191</v>
      </c>
      <c r="Q1815" s="19" t="s">
        <v>1021</v>
      </c>
      <c r="R1815" s="21" t="n">
        <v>35868</v>
      </c>
      <c r="S1815" s="19" t="s">
        <v>2784</v>
      </c>
      <c r="T1815" s="19" t="s">
        <v>5838</v>
      </c>
      <c r="U1815" s="19" t="str">
        <f aca="false">HYPERLINK("https://macaulaylibrary.org/asset/103064611","Open")</f>
        <v>Open</v>
      </c>
      <c r="V1815" s="19"/>
    </row>
    <row r="1816" customFormat="false" ht="15" hidden="false" customHeight="false" outlineLevel="0" collapsed="false">
      <c r="A1816" s="19" t="s">
        <v>5839</v>
      </c>
      <c r="B1816" s="19" t="s">
        <v>943</v>
      </c>
      <c r="C1816" s="19" t="s">
        <v>944</v>
      </c>
      <c r="D1816" s="19" t="s">
        <v>148</v>
      </c>
      <c r="E1816" s="19" t="s">
        <v>147</v>
      </c>
      <c r="F1816" s="19" t="s">
        <v>144</v>
      </c>
      <c r="G1816" s="19" t="n">
        <v>217</v>
      </c>
      <c r="H1816" s="19" t="s">
        <v>145</v>
      </c>
      <c r="I1816" s="20" t="n">
        <v>180.974</v>
      </c>
      <c r="J1816" s="19" t="n">
        <f aca="false">IF(I1816="","",MIN(Overview!$B$8,MAX(1,CEILING(I1816/Overview!$B$7,1))))</f>
        <v>37</v>
      </c>
      <c r="K1816" s="19" t="n">
        <v>1</v>
      </c>
      <c r="L1816" s="19"/>
      <c r="M1816" s="20" t="n">
        <v>4</v>
      </c>
      <c r="N1816" s="19"/>
      <c r="O1816" s="19"/>
      <c r="P1816" s="19" t="s">
        <v>2356</v>
      </c>
      <c r="Q1816" s="19" t="s">
        <v>1021</v>
      </c>
      <c r="R1816" s="21" t="n">
        <v>35869</v>
      </c>
      <c r="S1816" s="19" t="s">
        <v>1036</v>
      </c>
      <c r="T1816" s="19" t="s">
        <v>5840</v>
      </c>
      <c r="U1816" s="19" t="str">
        <f aca="false">HYPERLINK("https://macaulaylibrary.org/asset/103124851","Open")</f>
        <v>Open</v>
      </c>
      <c r="V1816" s="19"/>
    </row>
    <row r="1817" customFormat="false" ht="15" hidden="false" customHeight="false" outlineLevel="0" collapsed="false">
      <c r="A1817" s="19" t="s">
        <v>5841</v>
      </c>
      <c r="B1817" s="19" t="s">
        <v>943</v>
      </c>
      <c r="C1817" s="19" t="s">
        <v>944</v>
      </c>
      <c r="D1817" s="19" t="s">
        <v>148</v>
      </c>
      <c r="E1817" s="19" t="s">
        <v>147</v>
      </c>
      <c r="F1817" s="19" t="s">
        <v>144</v>
      </c>
      <c r="G1817" s="19" t="n">
        <v>217</v>
      </c>
      <c r="H1817" s="19" t="s">
        <v>145</v>
      </c>
      <c r="I1817" s="20" t="n">
        <v>136.504</v>
      </c>
      <c r="J1817" s="19" t="n">
        <f aca="false">IF(I1817="","",MIN(Overview!$B$8,MAX(1,CEILING(I1817/Overview!$B$7,1))))</f>
        <v>28</v>
      </c>
      <c r="K1817" s="19" t="n">
        <v>1</v>
      </c>
      <c r="L1817" s="19"/>
      <c r="M1817" s="20" t="n">
        <v>4</v>
      </c>
      <c r="N1817" s="19"/>
      <c r="O1817" s="19"/>
      <c r="P1817" s="19" t="s">
        <v>2356</v>
      </c>
      <c r="Q1817" s="19" t="s">
        <v>1021</v>
      </c>
      <c r="R1817" s="21" t="n">
        <v>35869</v>
      </c>
      <c r="S1817" s="19" t="s">
        <v>1036</v>
      </c>
      <c r="T1817" s="19" t="s">
        <v>5842</v>
      </c>
      <c r="U1817" s="19" t="str">
        <f aca="false">HYPERLINK("https://macaulaylibrary.org/asset/103126501","Open")</f>
        <v>Open</v>
      </c>
      <c r="V1817" s="19"/>
    </row>
    <row r="1818" customFormat="false" ht="15" hidden="false" customHeight="false" outlineLevel="0" collapsed="false">
      <c r="A1818" s="19" t="s">
        <v>5843</v>
      </c>
      <c r="B1818" s="19" t="s">
        <v>943</v>
      </c>
      <c r="C1818" s="19" t="s">
        <v>944</v>
      </c>
      <c r="D1818" s="19" t="s">
        <v>148</v>
      </c>
      <c r="E1818" s="19" t="s">
        <v>147</v>
      </c>
      <c r="F1818" s="19" t="s">
        <v>144</v>
      </c>
      <c r="G1818" s="19" t="n">
        <v>217</v>
      </c>
      <c r="H1818" s="19" t="s">
        <v>145</v>
      </c>
      <c r="I1818" s="20" t="n">
        <v>18.112</v>
      </c>
      <c r="J1818" s="19" t="n">
        <f aca="false">IF(I1818="","",MIN(Overview!$B$8,MAX(1,CEILING(I1818/Overview!$B$7,1))))</f>
        <v>4</v>
      </c>
      <c r="K1818" s="19" t="n">
        <v>1</v>
      </c>
      <c r="L1818" s="19"/>
      <c r="M1818" s="20" t="n">
        <v>5</v>
      </c>
      <c r="N1818" s="19"/>
      <c r="O1818" s="19"/>
      <c r="P1818" s="19" t="s">
        <v>2338</v>
      </c>
      <c r="Q1818" s="19" t="s">
        <v>965</v>
      </c>
      <c r="R1818" s="21" t="n">
        <v>43449</v>
      </c>
      <c r="S1818" s="19" t="s">
        <v>1137</v>
      </c>
      <c r="T1818" s="19" t="s">
        <v>5844</v>
      </c>
      <c r="U1818" s="19" t="str">
        <f aca="false">HYPERLINK("https://macaulaylibrary.org/asset/129887981","Open")</f>
        <v>Open</v>
      </c>
      <c r="V1818" s="19"/>
    </row>
    <row r="1819" customFormat="false" ht="15" hidden="false" customHeight="false" outlineLevel="0" collapsed="false">
      <c r="A1819" s="19" t="s">
        <v>5845</v>
      </c>
      <c r="B1819" s="19" t="s">
        <v>943</v>
      </c>
      <c r="C1819" s="19" t="s">
        <v>944</v>
      </c>
      <c r="D1819" s="19" t="s">
        <v>148</v>
      </c>
      <c r="E1819" s="19" t="s">
        <v>147</v>
      </c>
      <c r="F1819" s="19" t="s">
        <v>144</v>
      </c>
      <c r="G1819" s="19" t="n">
        <v>217</v>
      </c>
      <c r="H1819" s="19" t="s">
        <v>145</v>
      </c>
      <c r="I1819" s="20" t="n">
        <v>23.078</v>
      </c>
      <c r="J1819" s="19" t="n">
        <f aca="false">IF(I1819="","",MIN(Overview!$B$8,MAX(1,CEILING(I1819/Overview!$B$7,1))))</f>
        <v>5</v>
      </c>
      <c r="K1819" s="19" t="n">
        <v>1</v>
      </c>
      <c r="L1819" s="19"/>
      <c r="M1819" s="20" t="n">
        <v>4</v>
      </c>
      <c r="N1819" s="19"/>
      <c r="O1819" s="19"/>
      <c r="P1819" s="19" t="s">
        <v>1581</v>
      </c>
      <c r="Q1819" s="19" t="s">
        <v>1021</v>
      </c>
      <c r="R1819" s="21" t="n">
        <v>36595</v>
      </c>
      <c r="S1819" s="19" t="s">
        <v>1459</v>
      </c>
      <c r="T1819" s="19" t="s">
        <v>5846</v>
      </c>
      <c r="U1819" s="19" t="str">
        <f aca="false">HYPERLINK("https://macaulaylibrary.org/asset/143857241","Open")</f>
        <v>Open</v>
      </c>
      <c r="V1819" s="19"/>
    </row>
    <row r="1820" customFormat="false" ht="15" hidden="false" customHeight="false" outlineLevel="0" collapsed="false">
      <c r="A1820" s="19" t="s">
        <v>5847</v>
      </c>
      <c r="B1820" s="19" t="s">
        <v>943</v>
      </c>
      <c r="C1820" s="19" t="s">
        <v>944</v>
      </c>
      <c r="D1820" s="19" t="s">
        <v>148</v>
      </c>
      <c r="E1820" s="19" t="s">
        <v>147</v>
      </c>
      <c r="F1820" s="19" t="s">
        <v>144</v>
      </c>
      <c r="G1820" s="19" t="n">
        <v>217</v>
      </c>
      <c r="H1820" s="19" t="s">
        <v>145</v>
      </c>
      <c r="I1820" s="20" t="n">
        <v>195.833</v>
      </c>
      <c r="J1820" s="19" t="n">
        <f aca="false">IF(I1820="","",MIN(Overview!$B$8,MAX(1,CEILING(I1820/Overview!$B$7,1))))</f>
        <v>40</v>
      </c>
      <c r="K1820" s="19" t="n">
        <v>1</v>
      </c>
      <c r="L1820" s="19"/>
      <c r="M1820" s="20" t="n">
        <v>4</v>
      </c>
      <c r="N1820" s="19"/>
      <c r="O1820" s="19"/>
      <c r="P1820" s="19" t="s">
        <v>1581</v>
      </c>
      <c r="Q1820" s="19" t="s">
        <v>1021</v>
      </c>
      <c r="R1820" s="21" t="n">
        <v>36595</v>
      </c>
      <c r="S1820" s="19" t="s">
        <v>1459</v>
      </c>
      <c r="T1820" s="19" t="s">
        <v>5848</v>
      </c>
      <c r="U1820" s="19" t="str">
        <f aca="false">HYPERLINK("https://macaulaylibrary.org/asset/143858561","Open")</f>
        <v>Open</v>
      </c>
      <c r="V1820" s="19"/>
    </row>
    <row r="1821" customFormat="false" ht="15" hidden="false" customHeight="false" outlineLevel="0" collapsed="false">
      <c r="A1821" s="19" t="s">
        <v>5849</v>
      </c>
      <c r="B1821" s="19" t="s">
        <v>943</v>
      </c>
      <c r="C1821" s="19" t="s">
        <v>944</v>
      </c>
      <c r="D1821" s="19" t="s">
        <v>148</v>
      </c>
      <c r="E1821" s="19" t="s">
        <v>147</v>
      </c>
      <c r="F1821" s="19" t="s">
        <v>144</v>
      </c>
      <c r="G1821" s="19" t="n">
        <v>217</v>
      </c>
      <c r="H1821" s="19" t="s">
        <v>145</v>
      </c>
      <c r="I1821" s="20" t="n">
        <v>186.882</v>
      </c>
      <c r="J1821" s="19" t="n">
        <f aca="false">IF(I1821="","",MIN(Overview!$B$8,MAX(1,CEILING(I1821/Overview!$B$7,1))))</f>
        <v>38</v>
      </c>
      <c r="K1821" s="19" t="n">
        <v>1</v>
      </c>
      <c r="L1821" s="19"/>
      <c r="M1821" s="20" t="n">
        <v>4</v>
      </c>
      <c r="N1821" s="19"/>
      <c r="O1821" s="19"/>
      <c r="P1821" s="19" t="s">
        <v>1390</v>
      </c>
      <c r="Q1821" s="19" t="s">
        <v>1021</v>
      </c>
      <c r="R1821" s="21" t="n">
        <v>36596</v>
      </c>
      <c r="S1821" s="19" t="s">
        <v>1137</v>
      </c>
      <c r="T1821" s="19" t="s">
        <v>5850</v>
      </c>
      <c r="U1821" s="19" t="str">
        <f aca="false">HYPERLINK("https://macaulaylibrary.org/asset/144155361","Open")</f>
        <v>Open</v>
      </c>
      <c r="V1821" s="19"/>
    </row>
    <row r="1822" customFormat="false" ht="15" hidden="false" customHeight="false" outlineLevel="0" collapsed="false">
      <c r="A1822" s="19" t="s">
        <v>5851</v>
      </c>
      <c r="B1822" s="19" t="s">
        <v>943</v>
      </c>
      <c r="C1822" s="19" t="s">
        <v>944</v>
      </c>
      <c r="D1822" s="19" t="s">
        <v>148</v>
      </c>
      <c r="E1822" s="19" t="s">
        <v>147</v>
      </c>
      <c r="F1822" s="19" t="s">
        <v>144</v>
      </c>
      <c r="G1822" s="19" t="n">
        <v>217</v>
      </c>
      <c r="H1822" s="19" t="s">
        <v>145</v>
      </c>
      <c r="I1822" s="20" t="n">
        <v>67.72</v>
      </c>
      <c r="J1822" s="19" t="n">
        <f aca="false">IF(I1822="","",MIN(Overview!$B$8,MAX(1,CEILING(I1822/Overview!$B$7,1))))</f>
        <v>14</v>
      </c>
      <c r="K1822" s="19" t="n">
        <v>1</v>
      </c>
      <c r="L1822" s="19"/>
      <c r="M1822" s="20" t="n">
        <v>4</v>
      </c>
      <c r="N1822" s="19"/>
      <c r="O1822" s="19"/>
      <c r="P1822" s="19" t="s">
        <v>2165</v>
      </c>
      <c r="Q1822" s="19" t="s">
        <v>1021</v>
      </c>
      <c r="R1822" s="21" t="n">
        <v>36598</v>
      </c>
      <c r="S1822" s="19" t="s">
        <v>1106</v>
      </c>
      <c r="T1822" s="19" t="s">
        <v>5852</v>
      </c>
      <c r="U1822" s="19" t="str">
        <f aca="false">HYPERLINK("https://macaulaylibrary.org/asset/147720201","Open")</f>
        <v>Open</v>
      </c>
      <c r="V1822" s="19"/>
    </row>
    <row r="1823" customFormat="false" ht="15" hidden="false" customHeight="false" outlineLevel="0" collapsed="false">
      <c r="A1823" s="19" t="s">
        <v>5853</v>
      </c>
      <c r="B1823" s="19" t="s">
        <v>943</v>
      </c>
      <c r="C1823" s="19" t="s">
        <v>944</v>
      </c>
      <c r="D1823" s="19" t="s">
        <v>148</v>
      </c>
      <c r="E1823" s="19" t="s">
        <v>147</v>
      </c>
      <c r="F1823" s="19" t="s">
        <v>144</v>
      </c>
      <c r="G1823" s="19" t="n">
        <v>217</v>
      </c>
      <c r="H1823" s="19" t="s">
        <v>145</v>
      </c>
      <c r="I1823" s="20" t="n">
        <v>18.92</v>
      </c>
      <c r="J1823" s="19" t="n">
        <f aca="false">IF(I1823="","",MIN(Overview!$B$8,MAX(1,CEILING(I1823/Overview!$B$7,1))))</f>
        <v>4</v>
      </c>
      <c r="K1823" s="19" t="n">
        <v>1</v>
      </c>
      <c r="L1823" s="19"/>
      <c r="M1823" s="20" t="n">
        <v>4</v>
      </c>
      <c r="N1823" s="19"/>
      <c r="O1823" s="19"/>
      <c r="P1823" s="19" t="s">
        <v>2165</v>
      </c>
      <c r="Q1823" s="19" t="s">
        <v>1021</v>
      </c>
      <c r="R1823" s="21" t="n">
        <v>36598</v>
      </c>
      <c r="S1823" s="19" t="s">
        <v>1106</v>
      </c>
      <c r="T1823" s="19" t="s">
        <v>5854</v>
      </c>
      <c r="U1823" s="19" t="str">
        <f aca="false">HYPERLINK("https://macaulaylibrary.org/asset/148041581","Open")</f>
        <v>Open</v>
      </c>
      <c r="V1823" s="19"/>
    </row>
    <row r="1824" customFormat="false" ht="15" hidden="false" customHeight="false" outlineLevel="0" collapsed="false">
      <c r="A1824" s="19" t="s">
        <v>5855</v>
      </c>
      <c r="B1824" s="19" t="s">
        <v>943</v>
      </c>
      <c r="C1824" s="19" t="s">
        <v>944</v>
      </c>
      <c r="D1824" s="19" t="s">
        <v>148</v>
      </c>
      <c r="E1824" s="19" t="s">
        <v>147</v>
      </c>
      <c r="F1824" s="19" t="s">
        <v>144</v>
      </c>
      <c r="G1824" s="19" t="n">
        <v>217</v>
      </c>
      <c r="H1824" s="19" t="s">
        <v>145</v>
      </c>
      <c r="I1824" s="20" t="n">
        <v>92.506</v>
      </c>
      <c r="J1824" s="19" t="n">
        <f aca="false">IF(I1824="","",MIN(Overview!$B$8,MAX(1,CEILING(I1824/Overview!$B$7,1))))</f>
        <v>19</v>
      </c>
      <c r="K1824" s="19" t="n">
        <v>1</v>
      </c>
      <c r="L1824" s="19"/>
      <c r="M1824" s="20" t="n">
        <v>3</v>
      </c>
      <c r="N1824" s="19"/>
      <c r="O1824" s="19"/>
      <c r="P1824" s="19" t="s">
        <v>1752</v>
      </c>
      <c r="Q1824" s="19" t="s">
        <v>980</v>
      </c>
      <c r="R1824" s="21" t="n">
        <v>35208</v>
      </c>
      <c r="S1824" s="19" t="s">
        <v>5856</v>
      </c>
      <c r="T1824" s="19" t="s">
        <v>5857</v>
      </c>
      <c r="U1824" s="19" t="str">
        <f aca="false">HYPERLINK("https://macaulaylibrary.org/asset/184781","Open")</f>
        <v>Open</v>
      </c>
      <c r="V1824" s="19" t="s">
        <v>5858</v>
      </c>
    </row>
    <row r="1825" customFormat="false" ht="15" hidden="false" customHeight="false" outlineLevel="0" collapsed="false">
      <c r="A1825" s="19" t="s">
        <v>5859</v>
      </c>
      <c r="B1825" s="19" t="s">
        <v>943</v>
      </c>
      <c r="C1825" s="19" t="s">
        <v>944</v>
      </c>
      <c r="D1825" s="19" t="s">
        <v>148</v>
      </c>
      <c r="E1825" s="19" t="s">
        <v>147</v>
      </c>
      <c r="F1825" s="19" t="s">
        <v>144</v>
      </c>
      <c r="G1825" s="19" t="n">
        <v>217</v>
      </c>
      <c r="H1825" s="19" t="s">
        <v>145</v>
      </c>
      <c r="I1825" s="20" t="n">
        <v>28.472</v>
      </c>
      <c r="J1825" s="19" t="n">
        <f aca="false">IF(I1825="","",MIN(Overview!$B$8,MAX(1,CEILING(I1825/Overview!$B$7,1))))</f>
        <v>6</v>
      </c>
      <c r="K1825" s="19" t="n">
        <v>1</v>
      </c>
      <c r="L1825" s="19"/>
      <c r="M1825" s="20" t="n">
        <v>2.2</v>
      </c>
      <c r="N1825" s="19"/>
      <c r="O1825" s="19" t="s">
        <v>155</v>
      </c>
      <c r="P1825" s="19" t="s">
        <v>1533</v>
      </c>
      <c r="Q1825" s="19" t="s">
        <v>1110</v>
      </c>
      <c r="R1825" s="21" t="n">
        <v>36968</v>
      </c>
      <c r="S1825" s="19" t="s">
        <v>1285</v>
      </c>
      <c r="T1825" s="19" t="s">
        <v>5860</v>
      </c>
      <c r="U1825" s="19" t="str">
        <f aca="false">HYPERLINK("https://macaulaylibrary.org/asset/185737","Open")</f>
        <v>Open</v>
      </c>
      <c r="V1825" s="19" t="s">
        <v>5858</v>
      </c>
    </row>
    <row r="1826" customFormat="false" ht="15" hidden="false" customHeight="false" outlineLevel="0" collapsed="false">
      <c r="A1826" s="19" t="s">
        <v>5861</v>
      </c>
      <c r="B1826" s="19" t="s">
        <v>943</v>
      </c>
      <c r="C1826" s="19" t="s">
        <v>944</v>
      </c>
      <c r="D1826" s="19" t="s">
        <v>148</v>
      </c>
      <c r="E1826" s="19" t="s">
        <v>147</v>
      </c>
      <c r="F1826" s="19" t="s">
        <v>144</v>
      </c>
      <c r="G1826" s="19" t="n">
        <v>217</v>
      </c>
      <c r="H1826" s="19" t="s">
        <v>145</v>
      </c>
      <c r="I1826" s="20" t="n">
        <v>100.965</v>
      </c>
      <c r="J1826" s="19" t="n">
        <f aca="false">IF(I1826="","",MIN(Overview!$B$8,MAX(1,CEILING(I1826/Overview!$B$7,1))))</f>
        <v>21</v>
      </c>
      <c r="K1826" s="19" t="n">
        <v>1</v>
      </c>
      <c r="L1826" s="19"/>
      <c r="M1826" s="20" t="n">
        <v>3</v>
      </c>
      <c r="N1826" s="19"/>
      <c r="O1826" s="19"/>
      <c r="P1826" s="19" t="s">
        <v>1121</v>
      </c>
      <c r="Q1826" s="19" t="s">
        <v>980</v>
      </c>
      <c r="R1826" s="21" t="n">
        <v>32556</v>
      </c>
      <c r="S1826" s="19" t="s">
        <v>981</v>
      </c>
      <c r="T1826" s="19" t="s">
        <v>5862</v>
      </c>
      <c r="U1826" s="19" t="str">
        <f aca="false">HYPERLINK("https://macaulaylibrary.org/asset/215365","Open")</f>
        <v>Open</v>
      </c>
      <c r="V1826" s="19" t="s">
        <v>5858</v>
      </c>
    </row>
    <row r="1827" customFormat="false" ht="15" hidden="false" customHeight="false" outlineLevel="0" collapsed="false">
      <c r="A1827" s="19" t="s">
        <v>5863</v>
      </c>
      <c r="B1827" s="19" t="s">
        <v>943</v>
      </c>
      <c r="C1827" s="19" t="s">
        <v>944</v>
      </c>
      <c r="D1827" s="19" t="s">
        <v>148</v>
      </c>
      <c r="E1827" s="19" t="s">
        <v>147</v>
      </c>
      <c r="F1827" s="19" t="s">
        <v>144</v>
      </c>
      <c r="G1827" s="19" t="n">
        <v>217</v>
      </c>
      <c r="H1827" s="19" t="s">
        <v>145</v>
      </c>
      <c r="I1827" s="20" t="n">
        <v>52.123</v>
      </c>
      <c r="J1827" s="19" t="n">
        <f aca="false">IF(I1827="","",MIN(Overview!$B$8,MAX(1,CEILING(I1827/Overview!$B$7,1))))</f>
        <v>11</v>
      </c>
      <c r="K1827" s="19" t="n">
        <v>1</v>
      </c>
      <c r="L1827" s="19"/>
      <c r="M1827" s="20" t="n">
        <v>3</v>
      </c>
      <c r="N1827" s="19"/>
      <c r="O1827" s="19"/>
      <c r="P1827" s="19" t="s">
        <v>1125</v>
      </c>
      <c r="Q1827" s="19" t="s">
        <v>980</v>
      </c>
      <c r="R1827" s="21" t="n">
        <v>32557</v>
      </c>
      <c r="S1827" s="19" t="s">
        <v>5864</v>
      </c>
      <c r="T1827" s="19" t="s">
        <v>5865</v>
      </c>
      <c r="U1827" s="19" t="str">
        <f aca="false">HYPERLINK("https://macaulaylibrary.org/asset/215392","Open")</f>
        <v>Open</v>
      </c>
      <c r="V1827" s="19" t="s">
        <v>5858</v>
      </c>
    </row>
    <row r="1828" customFormat="false" ht="15" hidden="false" customHeight="false" outlineLevel="0" collapsed="false">
      <c r="A1828" s="19" t="s">
        <v>5866</v>
      </c>
      <c r="B1828" s="19" t="s">
        <v>943</v>
      </c>
      <c r="C1828" s="19" t="s">
        <v>944</v>
      </c>
      <c r="D1828" s="19" t="s">
        <v>148</v>
      </c>
      <c r="E1828" s="19" t="s">
        <v>147</v>
      </c>
      <c r="F1828" s="19" t="s">
        <v>144</v>
      </c>
      <c r="G1828" s="19" t="n">
        <v>217</v>
      </c>
      <c r="H1828" s="19" t="s">
        <v>145</v>
      </c>
      <c r="I1828" s="20" t="n">
        <v>342.989</v>
      </c>
      <c r="J1828" s="19" t="n">
        <f aca="false">IF(I1828="","",MIN(Overview!$B$8,MAX(1,CEILING(I1828/Overview!$B$7,1))))</f>
        <v>69</v>
      </c>
      <c r="K1828" s="19" t="n">
        <v>1</v>
      </c>
      <c r="L1828" s="19"/>
      <c r="M1828" s="20" t="n">
        <v>3</v>
      </c>
      <c r="N1828" s="19"/>
      <c r="O1828" s="19"/>
      <c r="P1828" s="19" t="s">
        <v>1730</v>
      </c>
      <c r="Q1828" s="19" t="s">
        <v>980</v>
      </c>
      <c r="R1828" s="21" t="n">
        <v>32558</v>
      </c>
      <c r="S1828" s="19" t="s">
        <v>3513</v>
      </c>
      <c r="T1828" s="19" t="s">
        <v>5867</v>
      </c>
      <c r="U1828" s="19" t="str">
        <f aca="false">HYPERLINK("https://macaulaylibrary.org/asset/215410","Open")</f>
        <v>Open</v>
      </c>
      <c r="V1828" s="19" t="s">
        <v>5858</v>
      </c>
    </row>
    <row r="1829" customFormat="false" ht="15" hidden="false" customHeight="false" outlineLevel="0" collapsed="false">
      <c r="A1829" s="19" t="s">
        <v>5868</v>
      </c>
      <c r="B1829" s="19" t="s">
        <v>943</v>
      </c>
      <c r="C1829" s="19" t="s">
        <v>944</v>
      </c>
      <c r="D1829" s="19" t="s">
        <v>148</v>
      </c>
      <c r="E1829" s="19" t="s">
        <v>147</v>
      </c>
      <c r="F1829" s="19" t="s">
        <v>144</v>
      </c>
      <c r="G1829" s="19" t="n">
        <v>217</v>
      </c>
      <c r="H1829" s="19" t="s">
        <v>145</v>
      </c>
      <c r="I1829" s="20" t="n">
        <v>56.269</v>
      </c>
      <c r="J1829" s="19" t="n">
        <f aca="false">IF(I1829="","",MIN(Overview!$B$8,MAX(1,CEILING(I1829/Overview!$B$7,1))))</f>
        <v>12</v>
      </c>
      <c r="K1829" s="19" t="n">
        <v>1</v>
      </c>
      <c r="L1829" s="19"/>
      <c r="M1829" s="20" t="n">
        <v>2</v>
      </c>
      <c r="N1829" s="19"/>
      <c r="O1829" s="19"/>
      <c r="P1829" s="19" t="s">
        <v>1730</v>
      </c>
      <c r="Q1829" s="19" t="s">
        <v>980</v>
      </c>
      <c r="R1829" s="21" t="n">
        <v>32558</v>
      </c>
      <c r="S1829" s="19"/>
      <c r="T1829" s="19" t="s">
        <v>5869</v>
      </c>
      <c r="U1829" s="19" t="str">
        <f aca="false">HYPERLINK("https://macaulaylibrary.org/asset/215417","Open")</f>
        <v>Open</v>
      </c>
      <c r="V1829" s="19" t="s">
        <v>5858</v>
      </c>
    </row>
    <row r="1830" customFormat="false" ht="15" hidden="false" customHeight="false" outlineLevel="0" collapsed="false">
      <c r="A1830" s="19" t="s">
        <v>5870</v>
      </c>
      <c r="B1830" s="19" t="s">
        <v>943</v>
      </c>
      <c r="C1830" s="19" t="s">
        <v>944</v>
      </c>
      <c r="D1830" s="19" t="s">
        <v>148</v>
      </c>
      <c r="E1830" s="19" t="s">
        <v>147</v>
      </c>
      <c r="F1830" s="19" t="s">
        <v>144</v>
      </c>
      <c r="G1830" s="19" t="n">
        <v>217</v>
      </c>
      <c r="H1830" s="19" t="s">
        <v>145</v>
      </c>
      <c r="I1830" s="20" t="n">
        <v>286.57</v>
      </c>
      <c r="J1830" s="19" t="n">
        <f aca="false">IF(I1830="","",MIN(Overview!$B$8,MAX(1,CEILING(I1830/Overview!$B$7,1))))</f>
        <v>58</v>
      </c>
      <c r="K1830" s="19" t="n">
        <v>1</v>
      </c>
      <c r="L1830" s="19"/>
      <c r="M1830" s="20" t="n">
        <v>3.4</v>
      </c>
      <c r="N1830" s="19"/>
      <c r="O1830" s="19"/>
      <c r="P1830" s="19" t="s">
        <v>1549</v>
      </c>
      <c r="Q1830" s="19" t="s">
        <v>980</v>
      </c>
      <c r="R1830" s="21" t="n">
        <v>32559</v>
      </c>
      <c r="S1830" s="19"/>
      <c r="T1830" s="19" t="s">
        <v>5871</v>
      </c>
      <c r="U1830" s="19" t="str">
        <f aca="false">HYPERLINK("https://macaulaylibrary.org/asset/215437","Open")</f>
        <v>Open</v>
      </c>
      <c r="V1830" s="19" t="s">
        <v>5858</v>
      </c>
    </row>
    <row r="1831" customFormat="false" ht="15" hidden="false" customHeight="false" outlineLevel="0" collapsed="false">
      <c r="A1831" s="19" t="s">
        <v>5872</v>
      </c>
      <c r="B1831" s="19" t="s">
        <v>943</v>
      </c>
      <c r="C1831" s="19" t="s">
        <v>944</v>
      </c>
      <c r="D1831" s="19" t="s">
        <v>148</v>
      </c>
      <c r="E1831" s="19" t="s">
        <v>147</v>
      </c>
      <c r="F1831" s="19" t="s">
        <v>144</v>
      </c>
      <c r="G1831" s="19" t="n">
        <v>217</v>
      </c>
      <c r="H1831" s="19" t="s">
        <v>145</v>
      </c>
      <c r="I1831" s="20" t="n">
        <v>462.08</v>
      </c>
      <c r="J1831" s="19" t="n">
        <f aca="false">IF(I1831="","",MIN(Overview!$B$8,MAX(1,CEILING(I1831/Overview!$B$7,1))))</f>
        <v>93</v>
      </c>
      <c r="K1831" s="19" t="n">
        <v>1</v>
      </c>
      <c r="L1831" s="19"/>
      <c r="M1831" s="20" t="n">
        <v>4</v>
      </c>
      <c r="N1831" s="19"/>
      <c r="O1831" s="19"/>
      <c r="P1831" s="19" t="s">
        <v>1549</v>
      </c>
      <c r="Q1831" s="19" t="s">
        <v>980</v>
      </c>
      <c r="R1831" s="21" t="n">
        <v>32559</v>
      </c>
      <c r="S1831" s="19" t="s">
        <v>4330</v>
      </c>
      <c r="T1831" s="19" t="s">
        <v>5873</v>
      </c>
      <c r="U1831" s="19" t="str">
        <f aca="false">HYPERLINK("https://macaulaylibrary.org/asset/215440","Open")</f>
        <v>Open</v>
      </c>
      <c r="V1831" s="19" t="s">
        <v>5858</v>
      </c>
    </row>
    <row r="1832" customFormat="false" ht="15" hidden="false" customHeight="false" outlineLevel="0" collapsed="false">
      <c r="A1832" s="19" t="s">
        <v>5874</v>
      </c>
      <c r="B1832" s="19" t="s">
        <v>943</v>
      </c>
      <c r="C1832" s="19" t="s">
        <v>944</v>
      </c>
      <c r="D1832" s="19" t="s">
        <v>148</v>
      </c>
      <c r="E1832" s="19" t="s">
        <v>147</v>
      </c>
      <c r="F1832" s="19" t="s">
        <v>144</v>
      </c>
      <c r="G1832" s="19" t="n">
        <v>217</v>
      </c>
      <c r="H1832" s="19" t="s">
        <v>145</v>
      </c>
      <c r="I1832" s="20" t="n">
        <v>115.989</v>
      </c>
      <c r="J1832" s="19" t="n">
        <f aca="false">IF(I1832="","",MIN(Overview!$B$8,MAX(1,CEILING(I1832/Overview!$B$7,1))))</f>
        <v>24</v>
      </c>
      <c r="K1832" s="19" t="n">
        <v>1</v>
      </c>
      <c r="L1832" s="19"/>
      <c r="M1832" s="20"/>
      <c r="N1832" s="19"/>
      <c r="O1832" s="19" t="s">
        <v>310</v>
      </c>
      <c r="P1832" s="19" t="s">
        <v>2078</v>
      </c>
      <c r="Q1832" s="19" t="s">
        <v>2079</v>
      </c>
      <c r="R1832" s="21" t="n">
        <v>43511</v>
      </c>
      <c r="S1832" s="19" t="s">
        <v>2056</v>
      </c>
      <c r="T1832" s="19" t="s">
        <v>5875</v>
      </c>
      <c r="U1832" s="19" t="str">
        <f aca="false">HYPERLINK("https://macaulaylibrary.org/asset/246391841","Open")</f>
        <v>Open</v>
      </c>
      <c r="V1832" s="19"/>
    </row>
    <row r="1833" customFormat="false" ht="15" hidden="false" customHeight="false" outlineLevel="0" collapsed="false">
      <c r="A1833" s="19" t="s">
        <v>5876</v>
      </c>
      <c r="B1833" s="19" t="s">
        <v>943</v>
      </c>
      <c r="C1833" s="19" t="s">
        <v>944</v>
      </c>
      <c r="D1833" s="19" t="s">
        <v>148</v>
      </c>
      <c r="E1833" s="19" t="s">
        <v>147</v>
      </c>
      <c r="F1833" s="19" t="s">
        <v>144</v>
      </c>
      <c r="G1833" s="19" t="n">
        <v>217</v>
      </c>
      <c r="H1833" s="19" t="s">
        <v>145</v>
      </c>
      <c r="I1833" s="20" t="n">
        <v>22.827</v>
      </c>
      <c r="J1833" s="19" t="n">
        <f aca="false">IF(I1833="","",MIN(Overview!$B$8,MAX(1,CEILING(I1833/Overview!$B$7,1))))</f>
        <v>5</v>
      </c>
      <c r="K1833" s="19" t="n">
        <v>1</v>
      </c>
      <c r="L1833" s="19"/>
      <c r="M1833" s="20"/>
      <c r="N1833" s="19"/>
      <c r="O1833" s="19" t="s">
        <v>184</v>
      </c>
      <c r="P1833" s="19" t="s">
        <v>2078</v>
      </c>
      <c r="Q1833" s="19" t="s">
        <v>2079</v>
      </c>
      <c r="R1833" s="21" t="n">
        <v>43511</v>
      </c>
      <c r="S1833" s="19" t="s">
        <v>2056</v>
      </c>
      <c r="T1833" s="19" t="s">
        <v>5877</v>
      </c>
      <c r="U1833" s="19" t="str">
        <f aca="false">HYPERLINK("https://macaulaylibrary.org/asset/246604431","Open")</f>
        <v>Open</v>
      </c>
      <c r="V1833" s="19"/>
    </row>
    <row r="1834" customFormat="false" ht="15" hidden="false" customHeight="false" outlineLevel="0" collapsed="false">
      <c r="A1834" s="19" t="s">
        <v>5878</v>
      </c>
      <c r="B1834" s="19" t="s">
        <v>943</v>
      </c>
      <c r="C1834" s="19" t="s">
        <v>944</v>
      </c>
      <c r="D1834" s="19" t="s">
        <v>148</v>
      </c>
      <c r="E1834" s="19" t="s">
        <v>147</v>
      </c>
      <c r="F1834" s="19" t="s">
        <v>144</v>
      </c>
      <c r="G1834" s="19" t="n">
        <v>217</v>
      </c>
      <c r="H1834" s="19" t="s">
        <v>145</v>
      </c>
      <c r="I1834" s="20" t="n">
        <v>45.173</v>
      </c>
      <c r="J1834" s="19" t="n">
        <f aca="false">IF(I1834="","",MIN(Overview!$B$8,MAX(1,CEILING(I1834/Overview!$B$7,1))))</f>
        <v>10</v>
      </c>
      <c r="K1834" s="19" t="n">
        <v>1</v>
      </c>
      <c r="L1834" s="19"/>
      <c r="M1834" s="20" t="n">
        <v>4</v>
      </c>
      <c r="N1834" s="19"/>
      <c r="O1834" s="19"/>
      <c r="P1834" s="19" t="s">
        <v>2499</v>
      </c>
      <c r="Q1834" s="19" t="s">
        <v>1063</v>
      </c>
      <c r="R1834" s="21" t="n">
        <v>44087</v>
      </c>
      <c r="S1834" s="19" t="s">
        <v>2500</v>
      </c>
      <c r="T1834" s="19" t="s">
        <v>5879</v>
      </c>
      <c r="U1834" s="19" t="str">
        <f aca="false">HYPERLINK("https://macaulaylibrary.org/asset/267832611","Open")</f>
        <v>Open</v>
      </c>
      <c r="V1834" s="19"/>
    </row>
    <row r="1835" customFormat="false" ht="15" hidden="false" customHeight="false" outlineLevel="0" collapsed="false">
      <c r="A1835" s="19" t="s">
        <v>5880</v>
      </c>
      <c r="B1835" s="19" t="s">
        <v>943</v>
      </c>
      <c r="C1835" s="19" t="s">
        <v>944</v>
      </c>
      <c r="D1835" s="19" t="s">
        <v>148</v>
      </c>
      <c r="E1835" s="19" t="s">
        <v>147</v>
      </c>
      <c r="F1835" s="19" t="s">
        <v>144</v>
      </c>
      <c r="G1835" s="19" t="n">
        <v>217</v>
      </c>
      <c r="H1835" s="19" t="s">
        <v>145</v>
      </c>
      <c r="I1835" s="20" t="n">
        <v>17.312</v>
      </c>
      <c r="J1835" s="19" t="n">
        <f aca="false">IF(I1835="","",MIN(Overview!$B$8,MAX(1,CEILING(I1835/Overview!$B$7,1))))</f>
        <v>4</v>
      </c>
      <c r="K1835" s="19" t="n">
        <v>1</v>
      </c>
      <c r="L1835" s="19"/>
      <c r="M1835" s="20"/>
      <c r="N1835" s="19"/>
      <c r="O1835" s="19"/>
      <c r="P1835" s="19" t="s">
        <v>1278</v>
      </c>
      <c r="Q1835" s="19" t="s">
        <v>1030</v>
      </c>
      <c r="R1835" s="21" t="n">
        <v>33597</v>
      </c>
      <c r="S1835" s="19" t="s">
        <v>1279</v>
      </c>
      <c r="T1835" s="19" t="s">
        <v>5881</v>
      </c>
      <c r="U1835" s="19" t="str">
        <f aca="false">HYPERLINK("https://macaulaylibrary.org/asset/285623","Open")</f>
        <v>Open</v>
      </c>
      <c r="V1835" s="19"/>
    </row>
    <row r="1836" customFormat="false" ht="15" hidden="false" customHeight="false" outlineLevel="0" collapsed="false">
      <c r="A1836" s="19" t="s">
        <v>5882</v>
      </c>
      <c r="B1836" s="19" t="s">
        <v>943</v>
      </c>
      <c r="C1836" s="19" t="s">
        <v>944</v>
      </c>
      <c r="D1836" s="19" t="s">
        <v>148</v>
      </c>
      <c r="E1836" s="19" t="s">
        <v>147</v>
      </c>
      <c r="F1836" s="19" t="s">
        <v>144</v>
      </c>
      <c r="G1836" s="19" t="n">
        <v>217</v>
      </c>
      <c r="H1836" s="19" t="s">
        <v>145</v>
      </c>
      <c r="I1836" s="20" t="n">
        <v>24.35</v>
      </c>
      <c r="J1836" s="19" t="n">
        <f aca="false">IF(I1836="","",MIN(Overview!$B$8,MAX(1,CEILING(I1836/Overview!$B$7,1))))</f>
        <v>5</v>
      </c>
      <c r="K1836" s="19" t="n">
        <v>1</v>
      </c>
      <c r="L1836" s="19"/>
      <c r="M1836" s="20"/>
      <c r="N1836" s="19"/>
      <c r="O1836" s="19"/>
      <c r="P1836" s="19" t="s">
        <v>1140</v>
      </c>
      <c r="Q1836" s="19" t="s">
        <v>1030</v>
      </c>
      <c r="R1836" s="21" t="n">
        <v>40250</v>
      </c>
      <c r="S1836" s="19" t="s">
        <v>3967</v>
      </c>
      <c r="T1836" s="19" t="s">
        <v>5883</v>
      </c>
      <c r="U1836" s="19" t="str">
        <f aca="false">HYPERLINK("https://macaulaylibrary.org/asset/299577","Open")</f>
        <v>Open</v>
      </c>
      <c r="V1836" s="19"/>
    </row>
    <row r="1837" customFormat="false" ht="15" hidden="false" customHeight="false" outlineLevel="0" collapsed="false">
      <c r="A1837" s="19" t="s">
        <v>5884</v>
      </c>
      <c r="B1837" s="19" t="s">
        <v>943</v>
      </c>
      <c r="C1837" s="19" t="s">
        <v>944</v>
      </c>
      <c r="D1837" s="19" t="s">
        <v>148</v>
      </c>
      <c r="E1837" s="19" t="s">
        <v>147</v>
      </c>
      <c r="F1837" s="19" t="s">
        <v>144</v>
      </c>
      <c r="G1837" s="19" t="n">
        <v>217</v>
      </c>
      <c r="H1837" s="19" t="s">
        <v>145</v>
      </c>
      <c r="I1837" s="20" t="n">
        <v>59.999</v>
      </c>
      <c r="J1837" s="19" t="n">
        <f aca="false">IF(I1837="","",MIN(Overview!$B$8,MAX(1,CEILING(I1837/Overview!$B$7,1))))</f>
        <v>12</v>
      </c>
      <c r="K1837" s="19" t="n">
        <v>1</v>
      </c>
      <c r="L1837" s="19"/>
      <c r="M1837" s="20"/>
      <c r="N1837" s="19"/>
      <c r="O1837" s="19"/>
      <c r="P1837" s="19" t="s">
        <v>1140</v>
      </c>
      <c r="Q1837" s="19" t="s">
        <v>1030</v>
      </c>
      <c r="R1837" s="21" t="n">
        <v>40250</v>
      </c>
      <c r="S1837" s="19" t="s">
        <v>1774</v>
      </c>
      <c r="T1837" s="19" t="s">
        <v>5885</v>
      </c>
      <c r="U1837" s="19" t="str">
        <f aca="false">HYPERLINK("https://macaulaylibrary.org/asset/299585","Open")</f>
        <v>Open</v>
      </c>
      <c r="V1837" s="19"/>
    </row>
    <row r="1838" customFormat="false" ht="15" hidden="false" customHeight="false" outlineLevel="0" collapsed="false">
      <c r="A1838" s="19" t="s">
        <v>5886</v>
      </c>
      <c r="B1838" s="19" t="s">
        <v>943</v>
      </c>
      <c r="C1838" s="19" t="s">
        <v>944</v>
      </c>
      <c r="D1838" s="19" t="s">
        <v>148</v>
      </c>
      <c r="E1838" s="19" t="s">
        <v>147</v>
      </c>
      <c r="F1838" s="19" t="s">
        <v>144</v>
      </c>
      <c r="G1838" s="19" t="n">
        <v>217</v>
      </c>
      <c r="H1838" s="19" t="s">
        <v>145</v>
      </c>
      <c r="I1838" s="20" t="n">
        <v>28.934</v>
      </c>
      <c r="J1838" s="19" t="n">
        <f aca="false">IF(I1838="","",MIN(Overview!$B$8,MAX(1,CEILING(I1838/Overview!$B$7,1))))</f>
        <v>6</v>
      </c>
      <c r="K1838" s="19" t="n">
        <v>1</v>
      </c>
      <c r="L1838" s="19"/>
      <c r="M1838" s="20" t="n">
        <v>5</v>
      </c>
      <c r="N1838" s="19"/>
      <c r="O1838" s="19"/>
      <c r="P1838" s="19" t="s">
        <v>4859</v>
      </c>
      <c r="Q1838" s="19" t="s">
        <v>1408</v>
      </c>
      <c r="R1838" s="21" t="n">
        <v>31807</v>
      </c>
      <c r="S1838" s="19" t="s">
        <v>1009</v>
      </c>
      <c r="T1838" s="19" t="s">
        <v>5887</v>
      </c>
      <c r="U1838" s="19" t="str">
        <f aca="false">HYPERLINK("https://macaulaylibrary.org/asset/336561601","Open")</f>
        <v>Open</v>
      </c>
      <c r="V1838" s="19"/>
    </row>
    <row r="1839" customFormat="false" ht="15" hidden="false" customHeight="false" outlineLevel="0" collapsed="false">
      <c r="A1839" s="19" t="s">
        <v>5888</v>
      </c>
      <c r="B1839" s="19" t="s">
        <v>943</v>
      </c>
      <c r="C1839" s="19" t="s">
        <v>944</v>
      </c>
      <c r="D1839" s="19" t="s">
        <v>148</v>
      </c>
      <c r="E1839" s="19" t="s">
        <v>147</v>
      </c>
      <c r="F1839" s="19" t="s">
        <v>144</v>
      </c>
      <c r="G1839" s="19" t="n">
        <v>217</v>
      </c>
      <c r="H1839" s="19" t="s">
        <v>145</v>
      </c>
      <c r="I1839" s="20" t="n">
        <v>88.999</v>
      </c>
      <c r="J1839" s="19" t="n">
        <f aca="false">IF(I1839="","",MIN(Overview!$B$8,MAX(1,CEILING(I1839/Overview!$B$7,1))))</f>
        <v>18</v>
      </c>
      <c r="K1839" s="19" t="n">
        <v>1</v>
      </c>
      <c r="L1839" s="19"/>
      <c r="M1839" s="20" t="n">
        <v>3</v>
      </c>
      <c r="N1839" s="19"/>
      <c r="O1839" s="19"/>
      <c r="P1839" s="19" t="s">
        <v>1591</v>
      </c>
      <c r="Q1839" s="19" t="s">
        <v>1592</v>
      </c>
      <c r="R1839" s="21" t="n">
        <v>30404</v>
      </c>
      <c r="S1839" s="19" t="s">
        <v>1534</v>
      </c>
      <c r="T1839" s="19" t="s">
        <v>5889</v>
      </c>
      <c r="U1839" s="19" t="str">
        <f aca="false">HYPERLINK("https://macaulaylibrary.org/asset/39222","Open")</f>
        <v>Open</v>
      </c>
      <c r="V1839" s="19" t="s">
        <v>5858</v>
      </c>
    </row>
    <row r="1840" customFormat="false" ht="15" hidden="false" customHeight="false" outlineLevel="0" collapsed="false">
      <c r="A1840" s="19" t="s">
        <v>5890</v>
      </c>
      <c r="B1840" s="19" t="s">
        <v>943</v>
      </c>
      <c r="C1840" s="19" t="s">
        <v>944</v>
      </c>
      <c r="D1840" s="19" t="s">
        <v>148</v>
      </c>
      <c r="E1840" s="19" t="s">
        <v>147</v>
      </c>
      <c r="F1840" s="19" t="s">
        <v>144</v>
      </c>
      <c r="G1840" s="19" t="n">
        <v>217</v>
      </c>
      <c r="H1840" s="19" t="s">
        <v>145</v>
      </c>
      <c r="I1840" s="20" t="n">
        <v>32.427</v>
      </c>
      <c r="J1840" s="19" t="n">
        <f aca="false">IF(I1840="","",MIN(Overview!$B$8,MAX(1,CEILING(I1840/Overview!$B$7,1))))</f>
        <v>7</v>
      </c>
      <c r="K1840" s="19" t="n">
        <v>1</v>
      </c>
      <c r="L1840" s="19"/>
      <c r="M1840" s="20"/>
      <c r="N1840" s="19"/>
      <c r="O1840" s="19"/>
      <c r="P1840" s="19" t="s">
        <v>5891</v>
      </c>
      <c r="Q1840" s="19" t="s">
        <v>5892</v>
      </c>
      <c r="R1840" s="21" t="n">
        <v>43847</v>
      </c>
      <c r="S1840" s="19" t="s">
        <v>3086</v>
      </c>
      <c r="T1840" s="19" t="s">
        <v>5893</v>
      </c>
      <c r="U1840" s="19" t="str">
        <f aca="false">HYPERLINK("https://macaulaylibrary.org/asset/395893711","Open")</f>
        <v>Open</v>
      </c>
      <c r="V1840" s="19"/>
    </row>
    <row r="1841" customFormat="false" ht="15" hidden="false" customHeight="false" outlineLevel="0" collapsed="false">
      <c r="A1841" s="19" t="s">
        <v>5894</v>
      </c>
      <c r="B1841" s="19" t="s">
        <v>943</v>
      </c>
      <c r="C1841" s="19" t="s">
        <v>944</v>
      </c>
      <c r="D1841" s="19" t="s">
        <v>148</v>
      </c>
      <c r="E1841" s="19" t="s">
        <v>147</v>
      </c>
      <c r="F1841" s="19" t="s">
        <v>144</v>
      </c>
      <c r="G1841" s="19" t="n">
        <v>217</v>
      </c>
      <c r="H1841" s="19" t="s">
        <v>145</v>
      </c>
      <c r="I1841" s="20" t="n">
        <v>5.61</v>
      </c>
      <c r="J1841" s="19" t="n">
        <f aca="false">IF(I1841="","",MIN(Overview!$B$8,MAX(1,CEILING(I1841/Overview!$B$7,1))))</f>
        <v>2</v>
      </c>
      <c r="K1841" s="19" t="n">
        <v>1</v>
      </c>
      <c r="L1841" s="19" t="s">
        <v>4035</v>
      </c>
      <c r="M1841" s="20"/>
      <c r="N1841" s="19"/>
      <c r="O1841" s="19"/>
      <c r="P1841" s="19" t="s">
        <v>1243</v>
      </c>
      <c r="Q1841" s="19" t="s">
        <v>1244</v>
      </c>
      <c r="R1841" s="21" t="n">
        <v>44578</v>
      </c>
      <c r="S1841" s="19" t="s">
        <v>1245</v>
      </c>
      <c r="T1841" s="19" t="s">
        <v>5895</v>
      </c>
      <c r="U1841" s="19" t="str">
        <f aca="false">HYPERLINK("https://macaulaylibrary.org/asset/413664931","Open")</f>
        <v>Open</v>
      </c>
      <c r="V1841" s="19"/>
    </row>
    <row r="1842" customFormat="false" ht="15" hidden="false" customHeight="false" outlineLevel="0" collapsed="false">
      <c r="A1842" s="19" t="s">
        <v>5896</v>
      </c>
      <c r="B1842" s="19" t="s">
        <v>943</v>
      </c>
      <c r="C1842" s="19" t="s">
        <v>944</v>
      </c>
      <c r="D1842" s="19" t="s">
        <v>148</v>
      </c>
      <c r="E1842" s="19" t="s">
        <v>147</v>
      </c>
      <c r="F1842" s="19" t="s">
        <v>144</v>
      </c>
      <c r="G1842" s="19" t="n">
        <v>217</v>
      </c>
      <c r="H1842" s="19" t="s">
        <v>145</v>
      </c>
      <c r="I1842" s="20" t="n">
        <v>14.122</v>
      </c>
      <c r="J1842" s="19" t="n">
        <f aca="false">IF(I1842="","",MIN(Overview!$B$8,MAX(1,CEILING(I1842/Overview!$B$7,1))))</f>
        <v>3</v>
      </c>
      <c r="K1842" s="19" t="n">
        <v>1</v>
      </c>
      <c r="L1842" s="19"/>
      <c r="M1842" s="20" t="n">
        <v>5</v>
      </c>
      <c r="N1842" s="19"/>
      <c r="O1842" s="19"/>
      <c r="P1842" s="19" t="s">
        <v>5897</v>
      </c>
      <c r="Q1842" s="19" t="s">
        <v>1148</v>
      </c>
      <c r="R1842" s="21" t="n">
        <v>44605</v>
      </c>
      <c r="S1842" s="19" t="s">
        <v>5898</v>
      </c>
      <c r="T1842" s="19" t="s">
        <v>5899</v>
      </c>
      <c r="U1842" s="19" t="str">
        <f aca="false">HYPERLINK("https://macaulaylibrary.org/asset/417108531","Open")</f>
        <v>Open</v>
      </c>
      <c r="V1842" s="19"/>
    </row>
    <row r="1843" customFormat="false" ht="15" hidden="false" customHeight="false" outlineLevel="0" collapsed="false">
      <c r="A1843" s="19" t="s">
        <v>5900</v>
      </c>
      <c r="B1843" s="19" t="s">
        <v>943</v>
      </c>
      <c r="C1843" s="19" t="s">
        <v>944</v>
      </c>
      <c r="D1843" s="19" t="s">
        <v>148</v>
      </c>
      <c r="E1843" s="19" t="s">
        <v>147</v>
      </c>
      <c r="F1843" s="19" t="s">
        <v>144</v>
      </c>
      <c r="G1843" s="19" t="n">
        <v>217</v>
      </c>
      <c r="H1843" s="19" t="s">
        <v>145</v>
      </c>
      <c r="I1843" s="20" t="n">
        <v>18.179</v>
      </c>
      <c r="J1843" s="19" t="n">
        <f aca="false">IF(I1843="","",MIN(Overview!$B$8,MAX(1,CEILING(I1843/Overview!$B$7,1))))</f>
        <v>4</v>
      </c>
      <c r="K1843" s="19" t="n">
        <v>1</v>
      </c>
      <c r="L1843" s="19"/>
      <c r="M1843" s="20" t="n">
        <v>4</v>
      </c>
      <c r="N1843" s="19"/>
      <c r="O1843" s="19"/>
      <c r="P1843" s="19" t="s">
        <v>5901</v>
      </c>
      <c r="Q1843" s="19" t="s">
        <v>4773</v>
      </c>
      <c r="R1843" s="21" t="n">
        <v>44700</v>
      </c>
      <c r="S1843" s="19" t="s">
        <v>4109</v>
      </c>
      <c r="T1843" s="19" t="s">
        <v>5902</v>
      </c>
      <c r="U1843" s="19" t="str">
        <f aca="false">HYPERLINK("https://macaulaylibrary.org/asset/455550661","Open")</f>
        <v>Open</v>
      </c>
      <c r="V1843" s="19"/>
    </row>
    <row r="1844" customFormat="false" ht="15" hidden="false" customHeight="false" outlineLevel="0" collapsed="false">
      <c r="A1844" s="19" t="s">
        <v>5903</v>
      </c>
      <c r="B1844" s="19" t="s">
        <v>943</v>
      </c>
      <c r="C1844" s="19" t="s">
        <v>944</v>
      </c>
      <c r="D1844" s="19" t="s">
        <v>148</v>
      </c>
      <c r="E1844" s="19" t="s">
        <v>147</v>
      </c>
      <c r="F1844" s="19" t="s">
        <v>144</v>
      </c>
      <c r="G1844" s="19" t="n">
        <v>217</v>
      </c>
      <c r="H1844" s="19" t="s">
        <v>145</v>
      </c>
      <c r="I1844" s="20" t="n">
        <v>33.855</v>
      </c>
      <c r="J1844" s="19" t="n">
        <f aca="false">IF(I1844="","",MIN(Overview!$B$8,MAX(1,CEILING(I1844/Overview!$B$7,1))))</f>
        <v>7</v>
      </c>
      <c r="K1844" s="19" t="n">
        <v>1</v>
      </c>
      <c r="L1844" s="19"/>
      <c r="M1844" s="20"/>
      <c r="N1844" s="19"/>
      <c r="O1844" s="19"/>
      <c r="P1844" s="19" t="s">
        <v>1034</v>
      </c>
      <c r="Q1844" s="19" t="s">
        <v>1035</v>
      </c>
      <c r="R1844" s="21" t="n">
        <v>43665</v>
      </c>
      <c r="S1844" s="19" t="s">
        <v>1036</v>
      </c>
      <c r="T1844" s="19" t="s">
        <v>5904</v>
      </c>
      <c r="U1844" s="19" t="str">
        <f aca="false">HYPERLINK("https://macaulaylibrary.org/asset/498004951","Open")</f>
        <v>Open</v>
      </c>
      <c r="V1844" s="19"/>
    </row>
    <row r="1845" customFormat="false" ht="15" hidden="false" customHeight="false" outlineLevel="0" collapsed="false">
      <c r="A1845" s="19" t="s">
        <v>5905</v>
      </c>
      <c r="B1845" s="19" t="s">
        <v>943</v>
      </c>
      <c r="C1845" s="19" t="s">
        <v>944</v>
      </c>
      <c r="D1845" s="19" t="s">
        <v>148</v>
      </c>
      <c r="E1845" s="19" t="s">
        <v>147</v>
      </c>
      <c r="F1845" s="19" t="s">
        <v>144</v>
      </c>
      <c r="G1845" s="19" t="n">
        <v>217</v>
      </c>
      <c r="H1845" s="19" t="s">
        <v>145</v>
      </c>
      <c r="I1845" s="20" t="n">
        <v>49.237</v>
      </c>
      <c r="J1845" s="19" t="n">
        <f aca="false">IF(I1845="","",MIN(Overview!$B$8,MAX(1,CEILING(I1845/Overview!$B$7,1))))</f>
        <v>10</v>
      </c>
      <c r="K1845" s="19" t="n">
        <v>1</v>
      </c>
      <c r="L1845" s="19"/>
      <c r="M1845" s="20"/>
      <c r="N1845" s="19"/>
      <c r="O1845" s="19"/>
      <c r="P1845" s="19" t="s">
        <v>5906</v>
      </c>
      <c r="Q1845" s="19" t="s">
        <v>2106</v>
      </c>
      <c r="R1845" s="21" t="n">
        <v>44896</v>
      </c>
      <c r="S1845" s="19" t="s">
        <v>5076</v>
      </c>
      <c r="T1845" s="19" t="s">
        <v>5907</v>
      </c>
      <c r="U1845" s="19" t="str">
        <f aca="false">HYPERLINK("https://macaulaylibrary.org/asset/510042481","Open")</f>
        <v>Open</v>
      </c>
      <c r="V1845" s="19"/>
    </row>
    <row r="1846" customFormat="false" ht="15" hidden="false" customHeight="false" outlineLevel="0" collapsed="false">
      <c r="A1846" s="19" t="s">
        <v>5908</v>
      </c>
      <c r="B1846" s="19" t="s">
        <v>943</v>
      </c>
      <c r="C1846" s="19" t="s">
        <v>944</v>
      </c>
      <c r="D1846" s="19" t="s">
        <v>148</v>
      </c>
      <c r="E1846" s="19" t="s">
        <v>147</v>
      </c>
      <c r="F1846" s="19" t="s">
        <v>144</v>
      </c>
      <c r="G1846" s="19" t="n">
        <v>217</v>
      </c>
      <c r="H1846" s="19" t="s">
        <v>145</v>
      </c>
      <c r="I1846" s="20" t="n">
        <v>53.504</v>
      </c>
      <c r="J1846" s="19" t="n">
        <f aca="false">IF(I1846="","",MIN(Overview!$B$8,MAX(1,CEILING(I1846/Overview!$B$7,1))))</f>
        <v>11</v>
      </c>
      <c r="K1846" s="19" t="n">
        <v>1</v>
      </c>
      <c r="L1846" s="19"/>
      <c r="M1846" s="20" t="n">
        <v>1.4</v>
      </c>
      <c r="N1846" s="19"/>
      <c r="O1846" s="19" t="s">
        <v>165</v>
      </c>
      <c r="P1846" s="19" t="s">
        <v>1545</v>
      </c>
      <c r="Q1846" s="19" t="s">
        <v>1071</v>
      </c>
      <c r="R1846" s="21" t="n">
        <v>32821</v>
      </c>
      <c r="S1846" s="19" t="s">
        <v>1285</v>
      </c>
      <c r="T1846" s="19" t="s">
        <v>5909</v>
      </c>
      <c r="U1846" s="19" t="str">
        <f aca="false">HYPERLINK("https://macaulaylibrary.org/asset/51710","Open")</f>
        <v>Open</v>
      </c>
      <c r="V1846" s="19" t="s">
        <v>5858</v>
      </c>
    </row>
    <row r="1847" customFormat="false" ht="15" hidden="false" customHeight="false" outlineLevel="0" collapsed="false">
      <c r="A1847" s="19" t="s">
        <v>5910</v>
      </c>
      <c r="B1847" s="19" t="s">
        <v>943</v>
      </c>
      <c r="C1847" s="19" t="s">
        <v>944</v>
      </c>
      <c r="D1847" s="19" t="s">
        <v>148</v>
      </c>
      <c r="E1847" s="19" t="s">
        <v>147</v>
      </c>
      <c r="F1847" s="19" t="s">
        <v>144</v>
      </c>
      <c r="G1847" s="19" t="n">
        <v>217</v>
      </c>
      <c r="H1847" s="19" t="s">
        <v>145</v>
      </c>
      <c r="I1847" s="20" t="n">
        <v>10.997</v>
      </c>
      <c r="J1847" s="19" t="n">
        <f aca="false">IF(I1847="","",MIN(Overview!$B$8,MAX(1,CEILING(I1847/Overview!$B$7,1))))</f>
        <v>3</v>
      </c>
      <c r="K1847" s="19" t="n">
        <v>1</v>
      </c>
      <c r="L1847" s="19"/>
      <c r="M1847" s="20"/>
      <c r="N1847" s="19"/>
      <c r="O1847" s="19"/>
      <c r="P1847" s="19" t="s">
        <v>1418</v>
      </c>
      <c r="Q1847" s="19" t="s">
        <v>1204</v>
      </c>
      <c r="R1847" s="21" t="n">
        <v>44609</v>
      </c>
      <c r="S1847" s="19" t="s">
        <v>1419</v>
      </c>
      <c r="T1847" s="19" t="s">
        <v>5911</v>
      </c>
      <c r="U1847" s="19" t="str">
        <f aca="false">HYPERLINK("https://macaulaylibrary.org/asset/531101711","Open")</f>
        <v>Open</v>
      </c>
      <c r="V1847" s="19"/>
    </row>
    <row r="1848" customFormat="false" ht="15" hidden="false" customHeight="false" outlineLevel="0" collapsed="false">
      <c r="A1848" s="19" t="s">
        <v>5912</v>
      </c>
      <c r="B1848" s="19" t="s">
        <v>943</v>
      </c>
      <c r="C1848" s="19" t="s">
        <v>944</v>
      </c>
      <c r="D1848" s="19" t="s">
        <v>148</v>
      </c>
      <c r="E1848" s="19" t="s">
        <v>147</v>
      </c>
      <c r="F1848" s="19" t="s">
        <v>144</v>
      </c>
      <c r="G1848" s="19" t="n">
        <v>217</v>
      </c>
      <c r="H1848" s="19" t="s">
        <v>145</v>
      </c>
      <c r="I1848" s="20" t="n">
        <v>20.16</v>
      </c>
      <c r="J1848" s="19" t="n">
        <f aca="false">IF(I1848="","",MIN(Overview!$B$8,MAX(1,CEILING(I1848/Overview!$B$7,1))))</f>
        <v>5</v>
      </c>
      <c r="K1848" s="19" t="n">
        <v>1</v>
      </c>
      <c r="L1848" s="19"/>
      <c r="M1848" s="20"/>
      <c r="N1848" s="19"/>
      <c r="O1848" s="19"/>
      <c r="P1848" s="19" t="s">
        <v>1426</v>
      </c>
      <c r="Q1848" s="19" t="s">
        <v>1204</v>
      </c>
      <c r="R1848" s="21" t="n">
        <v>44611</v>
      </c>
      <c r="S1848" s="19" t="s">
        <v>1259</v>
      </c>
      <c r="T1848" s="19" t="s">
        <v>5913</v>
      </c>
      <c r="U1848" s="19" t="str">
        <f aca="false">HYPERLINK("https://macaulaylibrary.org/asset/531227981","Open")</f>
        <v>Open</v>
      </c>
      <c r="V1848" s="19"/>
    </row>
    <row r="1849" customFormat="false" ht="15" hidden="false" customHeight="false" outlineLevel="0" collapsed="false">
      <c r="A1849" s="19" t="s">
        <v>5914</v>
      </c>
      <c r="B1849" s="19" t="s">
        <v>943</v>
      </c>
      <c r="C1849" s="19" t="s">
        <v>944</v>
      </c>
      <c r="D1849" s="19" t="s">
        <v>148</v>
      </c>
      <c r="E1849" s="19" t="s">
        <v>147</v>
      </c>
      <c r="F1849" s="19" t="s">
        <v>144</v>
      </c>
      <c r="G1849" s="19" t="n">
        <v>217</v>
      </c>
      <c r="H1849" s="19" t="s">
        <v>145</v>
      </c>
      <c r="I1849" s="20" t="n">
        <v>9.944</v>
      </c>
      <c r="J1849" s="19" t="n">
        <f aca="false">IF(I1849="","",MIN(Overview!$B$8,MAX(1,CEILING(I1849/Overview!$B$7,1))))</f>
        <v>2</v>
      </c>
      <c r="K1849" s="19" t="n">
        <v>1</v>
      </c>
      <c r="L1849" s="19"/>
      <c r="M1849" s="20"/>
      <c r="N1849" s="19"/>
      <c r="O1849" s="19"/>
      <c r="P1849" s="19" t="s">
        <v>1426</v>
      </c>
      <c r="Q1849" s="19" t="s">
        <v>1204</v>
      </c>
      <c r="R1849" s="21" t="n">
        <v>44611</v>
      </c>
      <c r="S1849" s="19" t="s">
        <v>1259</v>
      </c>
      <c r="T1849" s="19" t="s">
        <v>5915</v>
      </c>
      <c r="U1849" s="19" t="str">
        <f aca="false">HYPERLINK("https://macaulaylibrary.org/asset/531228461","Open")</f>
        <v>Open</v>
      </c>
      <c r="V1849" s="19"/>
    </row>
    <row r="1850" customFormat="false" ht="15" hidden="false" customHeight="false" outlineLevel="0" collapsed="false">
      <c r="A1850" s="19" t="s">
        <v>5916</v>
      </c>
      <c r="B1850" s="19" t="s">
        <v>943</v>
      </c>
      <c r="C1850" s="19" t="s">
        <v>944</v>
      </c>
      <c r="D1850" s="19" t="s">
        <v>148</v>
      </c>
      <c r="E1850" s="19" t="s">
        <v>147</v>
      </c>
      <c r="F1850" s="19" t="s">
        <v>144</v>
      </c>
      <c r="G1850" s="19" t="n">
        <v>217</v>
      </c>
      <c r="H1850" s="19" t="s">
        <v>145</v>
      </c>
      <c r="I1850" s="20" t="n">
        <v>11.888</v>
      </c>
      <c r="J1850" s="19" t="n">
        <f aca="false">IF(I1850="","",MIN(Overview!$B$8,MAX(1,CEILING(I1850/Overview!$B$7,1))))</f>
        <v>3</v>
      </c>
      <c r="K1850" s="19" t="n">
        <v>1</v>
      </c>
      <c r="L1850" s="19"/>
      <c r="M1850" s="20"/>
      <c r="N1850" s="19"/>
      <c r="O1850" s="19"/>
      <c r="P1850" s="19" t="s">
        <v>2807</v>
      </c>
      <c r="Q1850" s="19" t="s">
        <v>1985</v>
      </c>
      <c r="R1850" s="21" t="n">
        <v>44873</v>
      </c>
      <c r="S1850" s="19" t="s">
        <v>2808</v>
      </c>
      <c r="T1850" s="19" t="s">
        <v>5917</v>
      </c>
      <c r="U1850" s="19" t="str">
        <f aca="false">HYPERLINK("https://macaulaylibrary.org/asset/539532201","Open")</f>
        <v>Open</v>
      </c>
      <c r="V1850" s="19"/>
    </row>
    <row r="1851" customFormat="false" ht="15" hidden="false" customHeight="false" outlineLevel="0" collapsed="false">
      <c r="A1851" s="19" t="s">
        <v>5918</v>
      </c>
      <c r="B1851" s="19" t="s">
        <v>943</v>
      </c>
      <c r="C1851" s="19" t="s">
        <v>944</v>
      </c>
      <c r="D1851" s="19" t="s">
        <v>148</v>
      </c>
      <c r="E1851" s="19" t="s">
        <v>147</v>
      </c>
      <c r="F1851" s="19" t="s">
        <v>144</v>
      </c>
      <c r="G1851" s="19" t="n">
        <v>217</v>
      </c>
      <c r="H1851" s="19" t="s">
        <v>145</v>
      </c>
      <c r="I1851" s="20" t="n">
        <v>16.584</v>
      </c>
      <c r="J1851" s="19" t="n">
        <f aca="false">IF(I1851="","",MIN(Overview!$B$8,MAX(1,CEILING(I1851/Overview!$B$7,1))))</f>
        <v>4</v>
      </c>
      <c r="K1851" s="19" t="n">
        <v>1</v>
      </c>
      <c r="L1851" s="19"/>
      <c r="M1851" s="20"/>
      <c r="N1851" s="19"/>
      <c r="O1851" s="19"/>
      <c r="P1851" s="19" t="s">
        <v>1935</v>
      </c>
      <c r="Q1851" s="19" t="s">
        <v>1158</v>
      </c>
      <c r="R1851" s="21" t="n">
        <v>44942</v>
      </c>
      <c r="S1851" s="19" t="s">
        <v>1936</v>
      </c>
      <c r="T1851" s="19" t="s">
        <v>5919</v>
      </c>
      <c r="U1851" s="19" t="str">
        <f aca="false">HYPERLINK("https://macaulaylibrary.org/asset/543401011","Open")</f>
        <v>Open</v>
      </c>
      <c r="V1851" s="19"/>
    </row>
    <row r="1852" customFormat="false" ht="15" hidden="false" customHeight="false" outlineLevel="0" collapsed="false">
      <c r="A1852" s="19" t="s">
        <v>5920</v>
      </c>
      <c r="B1852" s="19" t="s">
        <v>943</v>
      </c>
      <c r="C1852" s="19" t="s">
        <v>944</v>
      </c>
      <c r="D1852" s="19" t="s">
        <v>148</v>
      </c>
      <c r="E1852" s="19" t="s">
        <v>147</v>
      </c>
      <c r="F1852" s="19" t="s">
        <v>144</v>
      </c>
      <c r="G1852" s="19" t="n">
        <v>217</v>
      </c>
      <c r="H1852" s="19" t="s">
        <v>145</v>
      </c>
      <c r="I1852" s="20" t="n">
        <v>40.387</v>
      </c>
      <c r="J1852" s="19" t="n">
        <f aca="false">IF(I1852="","",MIN(Overview!$B$8,MAX(1,CEILING(I1852/Overview!$B$7,1))))</f>
        <v>9</v>
      </c>
      <c r="K1852" s="19" t="n">
        <v>1</v>
      </c>
      <c r="L1852" s="19"/>
      <c r="M1852" s="20" t="n">
        <v>2</v>
      </c>
      <c r="N1852" s="19"/>
      <c r="O1852" s="19"/>
      <c r="P1852" s="19" t="s">
        <v>5921</v>
      </c>
      <c r="Q1852" s="19" t="s">
        <v>5922</v>
      </c>
      <c r="R1852" s="21" t="n">
        <v>44977</v>
      </c>
      <c r="S1852" s="19" t="s">
        <v>2566</v>
      </c>
      <c r="T1852" s="19" t="s">
        <v>5923</v>
      </c>
      <c r="U1852" s="19" t="str">
        <f aca="false">HYPERLINK("https://macaulaylibrary.org/asset/581262521","Open")</f>
        <v>Open</v>
      </c>
      <c r="V1852" s="19"/>
    </row>
    <row r="1853" customFormat="false" ht="15" hidden="false" customHeight="false" outlineLevel="0" collapsed="false">
      <c r="A1853" s="19" t="s">
        <v>5924</v>
      </c>
      <c r="B1853" s="19" t="s">
        <v>943</v>
      </c>
      <c r="C1853" s="19" t="s">
        <v>944</v>
      </c>
      <c r="D1853" s="19" t="s">
        <v>148</v>
      </c>
      <c r="E1853" s="19" t="s">
        <v>147</v>
      </c>
      <c r="F1853" s="19" t="s">
        <v>144</v>
      </c>
      <c r="G1853" s="19" t="n">
        <v>217</v>
      </c>
      <c r="H1853" s="19" t="s">
        <v>145</v>
      </c>
      <c r="I1853" s="20" t="n">
        <v>35.398</v>
      </c>
      <c r="J1853" s="19" t="n">
        <f aca="false">IF(I1853="","",MIN(Overview!$B$8,MAX(1,CEILING(I1853/Overview!$B$7,1))))</f>
        <v>8</v>
      </c>
      <c r="K1853" s="19" t="n">
        <v>1</v>
      </c>
      <c r="L1853" s="19"/>
      <c r="M1853" s="20"/>
      <c r="N1853" s="19"/>
      <c r="O1853" s="19"/>
      <c r="P1853" s="19" t="s">
        <v>1170</v>
      </c>
      <c r="Q1853" s="19" t="s">
        <v>1166</v>
      </c>
      <c r="R1853" s="21" t="n">
        <v>44900</v>
      </c>
      <c r="S1853" s="19" t="s">
        <v>1092</v>
      </c>
      <c r="T1853" s="19" t="s">
        <v>5925</v>
      </c>
      <c r="U1853" s="19" t="str">
        <f aca="false">HYPERLINK("https://macaulaylibrary.org/asset/597933411","Open")</f>
        <v>Open</v>
      </c>
      <c r="V1853" s="19"/>
    </row>
    <row r="1854" customFormat="false" ht="15" hidden="false" customHeight="false" outlineLevel="0" collapsed="false">
      <c r="A1854" s="19" t="s">
        <v>5926</v>
      </c>
      <c r="B1854" s="19" t="s">
        <v>943</v>
      </c>
      <c r="C1854" s="19" t="s">
        <v>944</v>
      </c>
      <c r="D1854" s="19" t="s">
        <v>148</v>
      </c>
      <c r="E1854" s="19" t="s">
        <v>147</v>
      </c>
      <c r="F1854" s="19" t="s">
        <v>144</v>
      </c>
      <c r="G1854" s="19" t="n">
        <v>217</v>
      </c>
      <c r="H1854" s="19" t="s">
        <v>145</v>
      </c>
      <c r="I1854" s="20" t="n">
        <v>17.898</v>
      </c>
      <c r="J1854" s="19" t="n">
        <f aca="false">IF(I1854="","",MIN(Overview!$B$8,MAX(1,CEILING(I1854/Overview!$B$7,1))))</f>
        <v>4</v>
      </c>
      <c r="K1854" s="19" t="n">
        <v>1</v>
      </c>
      <c r="L1854" s="19"/>
      <c r="M1854" s="20" t="n">
        <v>3</v>
      </c>
      <c r="N1854" s="19"/>
      <c r="O1854" s="19"/>
      <c r="P1854" s="19" t="s">
        <v>1170</v>
      </c>
      <c r="Q1854" s="19" t="s">
        <v>1166</v>
      </c>
      <c r="R1854" s="21" t="n">
        <v>44900</v>
      </c>
      <c r="S1854" s="19" t="s">
        <v>1092</v>
      </c>
      <c r="T1854" s="19" t="s">
        <v>5927</v>
      </c>
      <c r="U1854" s="19" t="str">
        <f aca="false">HYPERLINK("https://macaulaylibrary.org/asset/597934601","Open")</f>
        <v>Open</v>
      </c>
      <c r="V1854" s="19"/>
    </row>
    <row r="1855" customFormat="false" ht="15" hidden="false" customHeight="false" outlineLevel="0" collapsed="false">
      <c r="A1855" s="19" t="s">
        <v>5928</v>
      </c>
      <c r="B1855" s="19" t="s">
        <v>943</v>
      </c>
      <c r="C1855" s="19" t="s">
        <v>944</v>
      </c>
      <c r="D1855" s="19" t="s">
        <v>148</v>
      </c>
      <c r="E1855" s="19" t="s">
        <v>147</v>
      </c>
      <c r="F1855" s="19" t="s">
        <v>144</v>
      </c>
      <c r="G1855" s="19" t="n">
        <v>217</v>
      </c>
      <c r="H1855" s="19" t="s">
        <v>145</v>
      </c>
      <c r="I1855" s="20" t="n">
        <v>7.39</v>
      </c>
      <c r="J1855" s="19" t="n">
        <f aca="false">IF(I1855="","",MIN(Overview!$B$8,MAX(1,CEILING(I1855/Overview!$B$7,1))))</f>
        <v>2</v>
      </c>
      <c r="K1855" s="19" t="n">
        <v>1</v>
      </c>
      <c r="L1855" s="19"/>
      <c r="M1855" s="20" t="n">
        <v>3</v>
      </c>
      <c r="N1855" s="19"/>
      <c r="O1855" s="19"/>
      <c r="P1855" s="19" t="s">
        <v>5929</v>
      </c>
      <c r="Q1855" s="19" t="s">
        <v>951</v>
      </c>
      <c r="R1855" s="21" t="n">
        <v>45222</v>
      </c>
      <c r="S1855" s="19" t="s">
        <v>1464</v>
      </c>
      <c r="T1855" s="19" t="s">
        <v>5930</v>
      </c>
      <c r="U1855" s="19" t="str">
        <f aca="false">HYPERLINK("https://macaulaylibrary.org/asset/610296912","Open")</f>
        <v>Open</v>
      </c>
      <c r="V1855" s="19"/>
    </row>
    <row r="1856" customFormat="false" ht="15" hidden="false" customHeight="false" outlineLevel="0" collapsed="false">
      <c r="A1856" s="19" t="s">
        <v>5931</v>
      </c>
      <c r="B1856" s="19" t="s">
        <v>943</v>
      </c>
      <c r="C1856" s="19" t="s">
        <v>944</v>
      </c>
      <c r="D1856" s="19" t="s">
        <v>148</v>
      </c>
      <c r="E1856" s="19" t="s">
        <v>147</v>
      </c>
      <c r="F1856" s="19" t="s">
        <v>144</v>
      </c>
      <c r="G1856" s="19" t="n">
        <v>217</v>
      </c>
      <c r="H1856" s="19" t="s">
        <v>145</v>
      </c>
      <c r="I1856" s="20" t="n">
        <v>8.299</v>
      </c>
      <c r="J1856" s="19" t="n">
        <f aca="false">IF(I1856="","",MIN(Overview!$B$8,MAX(1,CEILING(I1856/Overview!$B$7,1))))</f>
        <v>2</v>
      </c>
      <c r="K1856" s="19" t="n">
        <v>1</v>
      </c>
      <c r="L1856" s="19"/>
      <c r="M1856" s="20" t="n">
        <v>5</v>
      </c>
      <c r="N1856" s="19"/>
      <c r="O1856" s="19"/>
      <c r="P1856" s="19" t="s">
        <v>2398</v>
      </c>
      <c r="Q1856" s="19" t="s">
        <v>951</v>
      </c>
      <c r="R1856" s="21" t="n">
        <v>45222</v>
      </c>
      <c r="S1856" s="19" t="s">
        <v>1098</v>
      </c>
      <c r="T1856" s="19" t="s">
        <v>5932</v>
      </c>
      <c r="U1856" s="19" t="str">
        <f aca="false">HYPERLINK("https://macaulaylibrary.org/asset/610542479","Open")</f>
        <v>Open</v>
      </c>
      <c r="V1856" s="19"/>
    </row>
    <row r="1857" customFormat="false" ht="15" hidden="false" customHeight="false" outlineLevel="0" collapsed="false">
      <c r="A1857" s="19" t="s">
        <v>5933</v>
      </c>
      <c r="B1857" s="19" t="s">
        <v>943</v>
      </c>
      <c r="C1857" s="19" t="s">
        <v>944</v>
      </c>
      <c r="D1857" s="19" t="s">
        <v>148</v>
      </c>
      <c r="E1857" s="19" t="s">
        <v>147</v>
      </c>
      <c r="F1857" s="19" t="s">
        <v>144</v>
      </c>
      <c r="G1857" s="19" t="n">
        <v>217</v>
      </c>
      <c r="H1857" s="19" t="s">
        <v>145</v>
      </c>
      <c r="I1857" s="20" t="n">
        <v>12.806</v>
      </c>
      <c r="J1857" s="19" t="n">
        <f aca="false">IF(I1857="","",MIN(Overview!$B$8,MAX(1,CEILING(I1857/Overview!$B$7,1))))</f>
        <v>3</v>
      </c>
      <c r="K1857" s="19" t="n">
        <v>1</v>
      </c>
      <c r="L1857" s="19"/>
      <c r="M1857" s="20" t="n">
        <v>5</v>
      </c>
      <c r="N1857" s="19"/>
      <c r="O1857" s="19"/>
      <c r="P1857" s="19" t="s">
        <v>2398</v>
      </c>
      <c r="Q1857" s="19" t="s">
        <v>951</v>
      </c>
      <c r="R1857" s="21" t="n">
        <v>45222</v>
      </c>
      <c r="S1857" s="19" t="s">
        <v>1098</v>
      </c>
      <c r="T1857" s="19" t="s">
        <v>5934</v>
      </c>
      <c r="U1857" s="19" t="str">
        <f aca="false">HYPERLINK("https://macaulaylibrary.org/asset/610542485","Open")</f>
        <v>Open</v>
      </c>
      <c r="V1857" s="19"/>
    </row>
    <row r="1858" customFormat="false" ht="15" hidden="false" customHeight="false" outlineLevel="0" collapsed="false">
      <c r="A1858" s="19" t="s">
        <v>5935</v>
      </c>
      <c r="B1858" s="19" t="s">
        <v>943</v>
      </c>
      <c r="C1858" s="19" t="s">
        <v>944</v>
      </c>
      <c r="D1858" s="19" t="s">
        <v>148</v>
      </c>
      <c r="E1858" s="19" t="s">
        <v>147</v>
      </c>
      <c r="F1858" s="19" t="s">
        <v>144</v>
      </c>
      <c r="G1858" s="19" t="n">
        <v>217</v>
      </c>
      <c r="H1858" s="19" t="s">
        <v>145</v>
      </c>
      <c r="I1858" s="20" t="n">
        <v>20.553</v>
      </c>
      <c r="J1858" s="19" t="n">
        <f aca="false">IF(I1858="","",MIN(Overview!$B$8,MAX(1,CEILING(I1858/Overview!$B$7,1))))</f>
        <v>5</v>
      </c>
      <c r="K1858" s="19" t="n">
        <v>1</v>
      </c>
      <c r="L1858" s="19"/>
      <c r="M1858" s="20" t="n">
        <v>5</v>
      </c>
      <c r="N1858" s="19"/>
      <c r="O1858" s="19"/>
      <c r="P1858" s="19" t="s">
        <v>2398</v>
      </c>
      <c r="Q1858" s="19" t="s">
        <v>951</v>
      </c>
      <c r="R1858" s="21" t="n">
        <v>45222</v>
      </c>
      <c r="S1858" s="19" t="s">
        <v>1098</v>
      </c>
      <c r="T1858" s="19" t="s">
        <v>5936</v>
      </c>
      <c r="U1858" s="19" t="str">
        <f aca="false">HYPERLINK("https://macaulaylibrary.org/asset/610542490","Open")</f>
        <v>Open</v>
      </c>
      <c r="V1858" s="19"/>
    </row>
    <row r="1859" customFormat="false" ht="15" hidden="false" customHeight="false" outlineLevel="0" collapsed="false">
      <c r="A1859" s="19" t="s">
        <v>5937</v>
      </c>
      <c r="B1859" s="19" t="s">
        <v>943</v>
      </c>
      <c r="C1859" s="19" t="s">
        <v>944</v>
      </c>
      <c r="D1859" s="19" t="s">
        <v>148</v>
      </c>
      <c r="E1859" s="19" t="s">
        <v>147</v>
      </c>
      <c r="F1859" s="19" t="s">
        <v>144</v>
      </c>
      <c r="G1859" s="19" t="n">
        <v>217</v>
      </c>
      <c r="H1859" s="19" t="s">
        <v>145</v>
      </c>
      <c r="I1859" s="20" t="n">
        <v>15.595</v>
      </c>
      <c r="J1859" s="19" t="n">
        <f aca="false">IF(I1859="","",MIN(Overview!$B$8,MAX(1,CEILING(I1859/Overview!$B$7,1))))</f>
        <v>4</v>
      </c>
      <c r="K1859" s="19" t="n">
        <v>1</v>
      </c>
      <c r="L1859" s="19"/>
      <c r="M1859" s="20" t="n">
        <v>4</v>
      </c>
      <c r="N1859" s="19"/>
      <c r="O1859" s="19"/>
      <c r="P1859" s="19" t="s">
        <v>1441</v>
      </c>
      <c r="Q1859" s="19" t="s">
        <v>951</v>
      </c>
      <c r="R1859" s="21" t="n">
        <v>45223</v>
      </c>
      <c r="S1859" s="19" t="s">
        <v>1442</v>
      </c>
      <c r="T1859" s="19" t="s">
        <v>5938</v>
      </c>
      <c r="U1859" s="19" t="str">
        <f aca="false">HYPERLINK("https://macaulaylibrary.org/asset/610571980","Open")</f>
        <v>Open</v>
      </c>
      <c r="V1859" s="19"/>
    </row>
    <row r="1860" customFormat="false" ht="15" hidden="false" customHeight="false" outlineLevel="0" collapsed="false">
      <c r="A1860" s="19" t="s">
        <v>5939</v>
      </c>
      <c r="B1860" s="19" t="s">
        <v>943</v>
      </c>
      <c r="C1860" s="19" t="s">
        <v>944</v>
      </c>
      <c r="D1860" s="19" t="s">
        <v>148</v>
      </c>
      <c r="E1860" s="19" t="s">
        <v>147</v>
      </c>
      <c r="F1860" s="19" t="s">
        <v>144</v>
      </c>
      <c r="G1860" s="19" t="n">
        <v>217</v>
      </c>
      <c r="H1860" s="19" t="s">
        <v>145</v>
      </c>
      <c r="I1860" s="20" t="n">
        <v>35.515</v>
      </c>
      <c r="J1860" s="19" t="n">
        <f aca="false">IF(I1860="","",MIN(Overview!$B$8,MAX(1,CEILING(I1860/Overview!$B$7,1))))</f>
        <v>8</v>
      </c>
      <c r="K1860" s="19" t="n">
        <v>1</v>
      </c>
      <c r="L1860" s="19"/>
      <c r="M1860" s="20" t="n">
        <v>4</v>
      </c>
      <c r="N1860" s="19"/>
      <c r="O1860" s="19"/>
      <c r="P1860" s="19" t="s">
        <v>1441</v>
      </c>
      <c r="Q1860" s="19" t="s">
        <v>951</v>
      </c>
      <c r="R1860" s="21" t="n">
        <v>45223</v>
      </c>
      <c r="S1860" s="19" t="s">
        <v>1442</v>
      </c>
      <c r="T1860" s="19" t="s">
        <v>5940</v>
      </c>
      <c r="U1860" s="19" t="str">
        <f aca="false">HYPERLINK("https://macaulaylibrary.org/asset/610571982","Open")</f>
        <v>Open</v>
      </c>
      <c r="V1860" s="19"/>
    </row>
    <row r="1861" customFormat="false" ht="15" hidden="false" customHeight="false" outlineLevel="0" collapsed="false">
      <c r="A1861" s="19" t="s">
        <v>5941</v>
      </c>
      <c r="B1861" s="19" t="s">
        <v>943</v>
      </c>
      <c r="C1861" s="19" t="s">
        <v>944</v>
      </c>
      <c r="D1861" s="19" t="s">
        <v>148</v>
      </c>
      <c r="E1861" s="19" t="s">
        <v>147</v>
      </c>
      <c r="F1861" s="19" t="s">
        <v>144</v>
      </c>
      <c r="G1861" s="19" t="n">
        <v>217</v>
      </c>
      <c r="H1861" s="19" t="s">
        <v>145</v>
      </c>
      <c r="I1861" s="20" t="n">
        <v>21.168</v>
      </c>
      <c r="J1861" s="19" t="n">
        <f aca="false">IF(I1861="","",MIN(Overview!$B$8,MAX(1,CEILING(I1861/Overview!$B$7,1))))</f>
        <v>5</v>
      </c>
      <c r="K1861" s="19" t="n">
        <v>1</v>
      </c>
      <c r="L1861" s="19"/>
      <c r="M1861" s="20" t="n">
        <v>4</v>
      </c>
      <c r="N1861" s="19"/>
      <c r="O1861" s="19" t="s">
        <v>155</v>
      </c>
      <c r="P1861" s="19" t="s">
        <v>3167</v>
      </c>
      <c r="Q1861" s="19" t="s">
        <v>2085</v>
      </c>
      <c r="R1861" s="21" t="n">
        <v>45277</v>
      </c>
      <c r="S1861" s="19" t="s">
        <v>1022</v>
      </c>
      <c r="T1861" s="19" t="s">
        <v>5942</v>
      </c>
      <c r="U1861" s="19" t="str">
        <f aca="false">HYPERLINK("https://macaulaylibrary.org/asset/613170990","Open")</f>
        <v>Open</v>
      </c>
      <c r="V1861" s="19"/>
    </row>
    <row r="1862" customFormat="false" ht="15" hidden="false" customHeight="false" outlineLevel="0" collapsed="false">
      <c r="A1862" s="19" t="s">
        <v>5943</v>
      </c>
      <c r="B1862" s="19" t="s">
        <v>943</v>
      </c>
      <c r="C1862" s="19" t="s">
        <v>944</v>
      </c>
      <c r="D1862" s="19" t="s">
        <v>148</v>
      </c>
      <c r="E1862" s="19" t="s">
        <v>147</v>
      </c>
      <c r="F1862" s="19" t="s">
        <v>144</v>
      </c>
      <c r="G1862" s="19" t="n">
        <v>217</v>
      </c>
      <c r="H1862" s="19" t="s">
        <v>145</v>
      </c>
      <c r="I1862" s="20" t="n">
        <v>12.32</v>
      </c>
      <c r="J1862" s="19" t="n">
        <f aca="false">IF(I1862="","",MIN(Overview!$B$8,MAX(1,CEILING(I1862/Overview!$B$7,1))))</f>
        <v>3</v>
      </c>
      <c r="K1862" s="19" t="n">
        <v>1</v>
      </c>
      <c r="L1862" s="19"/>
      <c r="M1862" s="20" t="n">
        <v>3</v>
      </c>
      <c r="N1862" s="19"/>
      <c r="O1862" s="19"/>
      <c r="P1862" s="19" t="s">
        <v>1314</v>
      </c>
      <c r="Q1862" s="19" t="s">
        <v>956</v>
      </c>
      <c r="R1862" s="21" t="n">
        <v>45301</v>
      </c>
      <c r="S1862" s="19" t="s">
        <v>1315</v>
      </c>
      <c r="T1862" s="19" t="s">
        <v>5944</v>
      </c>
      <c r="U1862" s="19" t="str">
        <f aca="false">HYPERLINK("https://macaulaylibrary.org/asset/613430602","Open")</f>
        <v>Open</v>
      </c>
      <c r="V1862" s="19"/>
    </row>
    <row r="1863" customFormat="false" ht="15" hidden="false" customHeight="false" outlineLevel="0" collapsed="false">
      <c r="A1863" s="19" t="s">
        <v>5945</v>
      </c>
      <c r="B1863" s="19" t="s">
        <v>943</v>
      </c>
      <c r="C1863" s="19" t="s">
        <v>944</v>
      </c>
      <c r="D1863" s="19" t="s">
        <v>148</v>
      </c>
      <c r="E1863" s="19" t="s">
        <v>147</v>
      </c>
      <c r="F1863" s="19" t="s">
        <v>144</v>
      </c>
      <c r="G1863" s="19" t="n">
        <v>217</v>
      </c>
      <c r="H1863" s="19" t="s">
        <v>145</v>
      </c>
      <c r="I1863" s="20" t="n">
        <v>13.35</v>
      </c>
      <c r="J1863" s="19" t="n">
        <f aca="false">IF(I1863="","",MIN(Overview!$B$8,MAX(1,CEILING(I1863/Overview!$B$7,1))))</f>
        <v>3</v>
      </c>
      <c r="K1863" s="19" t="n">
        <v>1</v>
      </c>
      <c r="L1863" s="19"/>
      <c r="M1863" s="20" t="n">
        <v>1</v>
      </c>
      <c r="N1863" s="19"/>
      <c r="O1863" s="19"/>
      <c r="P1863" s="19" t="s">
        <v>1998</v>
      </c>
      <c r="Q1863" s="19" t="s">
        <v>1086</v>
      </c>
      <c r="R1863" s="21" t="n">
        <v>45297</v>
      </c>
      <c r="S1863" s="19" t="s">
        <v>1999</v>
      </c>
      <c r="T1863" s="19" t="s">
        <v>5946</v>
      </c>
      <c r="U1863" s="19" t="str">
        <f aca="false">HYPERLINK("https://macaulaylibrary.org/asset/614020236","Open")</f>
        <v>Open</v>
      </c>
      <c r="V1863" s="19"/>
    </row>
    <row r="1864" customFormat="false" ht="15" hidden="false" customHeight="false" outlineLevel="0" collapsed="false">
      <c r="A1864" s="19" t="s">
        <v>5947</v>
      </c>
      <c r="B1864" s="19" t="s">
        <v>943</v>
      </c>
      <c r="C1864" s="19" t="s">
        <v>944</v>
      </c>
      <c r="D1864" s="19" t="s">
        <v>148</v>
      </c>
      <c r="E1864" s="19" t="s">
        <v>147</v>
      </c>
      <c r="F1864" s="19" t="s">
        <v>144</v>
      </c>
      <c r="G1864" s="19" t="n">
        <v>217</v>
      </c>
      <c r="H1864" s="19" t="s">
        <v>145</v>
      </c>
      <c r="I1864" s="20" t="n">
        <v>15.975</v>
      </c>
      <c r="J1864" s="19" t="n">
        <f aca="false">IF(I1864="","",MIN(Overview!$B$8,MAX(1,CEILING(I1864/Overview!$B$7,1))))</f>
        <v>4</v>
      </c>
      <c r="K1864" s="19" t="n">
        <v>1</v>
      </c>
      <c r="L1864" s="19"/>
      <c r="M1864" s="20"/>
      <c r="N1864" s="19"/>
      <c r="O1864" s="19"/>
      <c r="P1864" s="19" t="s">
        <v>5948</v>
      </c>
      <c r="Q1864" s="19" t="s">
        <v>1319</v>
      </c>
      <c r="R1864" s="21" t="n">
        <v>44679</v>
      </c>
      <c r="S1864" s="19" t="s">
        <v>1559</v>
      </c>
      <c r="T1864" s="19" t="s">
        <v>5949</v>
      </c>
      <c r="U1864" s="19" t="str">
        <f aca="false">HYPERLINK("https://macaulaylibrary.org/asset/614113347","Open")</f>
        <v>Open</v>
      </c>
      <c r="V1864" s="19"/>
    </row>
    <row r="1865" customFormat="false" ht="15" hidden="false" customHeight="false" outlineLevel="0" collapsed="false">
      <c r="A1865" s="19" t="s">
        <v>5950</v>
      </c>
      <c r="B1865" s="19" t="s">
        <v>943</v>
      </c>
      <c r="C1865" s="19" t="s">
        <v>944</v>
      </c>
      <c r="D1865" s="19" t="s">
        <v>148</v>
      </c>
      <c r="E1865" s="19" t="s">
        <v>147</v>
      </c>
      <c r="F1865" s="19" t="s">
        <v>144</v>
      </c>
      <c r="G1865" s="19" t="n">
        <v>217</v>
      </c>
      <c r="H1865" s="19" t="s">
        <v>145</v>
      </c>
      <c r="I1865" s="20" t="n">
        <v>36.501</v>
      </c>
      <c r="J1865" s="19" t="n">
        <f aca="false">IF(I1865="","",MIN(Overview!$B$8,MAX(1,CEILING(I1865/Overview!$B$7,1))))</f>
        <v>8</v>
      </c>
      <c r="K1865" s="19" t="n">
        <v>1</v>
      </c>
      <c r="L1865" s="19"/>
      <c r="M1865" s="20"/>
      <c r="N1865" s="19"/>
      <c r="O1865" s="19"/>
      <c r="P1865" s="19" t="s">
        <v>3605</v>
      </c>
      <c r="Q1865" s="19" t="s">
        <v>1319</v>
      </c>
      <c r="R1865" s="21" t="n">
        <v>44679</v>
      </c>
      <c r="S1865" s="19" t="s">
        <v>3606</v>
      </c>
      <c r="T1865" s="19" t="s">
        <v>5951</v>
      </c>
      <c r="U1865" s="19" t="str">
        <f aca="false">HYPERLINK("https://macaulaylibrary.org/asset/614213367","Open")</f>
        <v>Open</v>
      </c>
      <c r="V1865" s="19"/>
    </row>
    <row r="1866" customFormat="false" ht="15" hidden="false" customHeight="false" outlineLevel="0" collapsed="false">
      <c r="A1866" s="19" t="s">
        <v>5952</v>
      </c>
      <c r="B1866" s="19" t="s">
        <v>943</v>
      </c>
      <c r="C1866" s="19" t="s">
        <v>944</v>
      </c>
      <c r="D1866" s="19" t="s">
        <v>148</v>
      </c>
      <c r="E1866" s="19" t="s">
        <v>147</v>
      </c>
      <c r="F1866" s="19" t="s">
        <v>144</v>
      </c>
      <c r="G1866" s="19" t="n">
        <v>217</v>
      </c>
      <c r="H1866" s="19" t="s">
        <v>145</v>
      </c>
      <c r="I1866" s="20" t="n">
        <v>20.479</v>
      </c>
      <c r="J1866" s="19" t="n">
        <f aca="false">IF(I1866="","",MIN(Overview!$B$8,MAX(1,CEILING(I1866/Overview!$B$7,1))))</f>
        <v>5</v>
      </c>
      <c r="K1866" s="19" t="n">
        <v>1</v>
      </c>
      <c r="L1866" s="19"/>
      <c r="M1866" s="20"/>
      <c r="N1866" s="19"/>
      <c r="O1866" s="19"/>
      <c r="P1866" s="19" t="s">
        <v>3874</v>
      </c>
      <c r="Q1866" s="19" t="s">
        <v>2003</v>
      </c>
      <c r="R1866" s="21" t="n">
        <v>45324</v>
      </c>
      <c r="S1866" s="19" t="s">
        <v>2787</v>
      </c>
      <c r="T1866" s="19" t="s">
        <v>5953</v>
      </c>
      <c r="U1866" s="19" t="str">
        <f aca="false">HYPERLINK("https://macaulaylibrary.org/asset/615005387","Open")</f>
        <v>Open</v>
      </c>
      <c r="V1866" s="19"/>
    </row>
    <row r="1867" customFormat="false" ht="15" hidden="false" customHeight="false" outlineLevel="0" collapsed="false">
      <c r="A1867" s="19" t="s">
        <v>5954</v>
      </c>
      <c r="B1867" s="19" t="s">
        <v>943</v>
      </c>
      <c r="C1867" s="19" t="s">
        <v>944</v>
      </c>
      <c r="D1867" s="19" t="s">
        <v>148</v>
      </c>
      <c r="E1867" s="19" t="s">
        <v>147</v>
      </c>
      <c r="F1867" s="19" t="s">
        <v>144</v>
      </c>
      <c r="G1867" s="19" t="n">
        <v>217</v>
      </c>
      <c r="H1867" s="19" t="s">
        <v>145</v>
      </c>
      <c r="I1867" s="20" t="n">
        <v>23.776</v>
      </c>
      <c r="J1867" s="19" t="n">
        <f aca="false">IF(I1867="","",MIN(Overview!$B$8,MAX(1,CEILING(I1867/Overview!$B$7,1))))</f>
        <v>5</v>
      </c>
      <c r="K1867" s="19" t="n">
        <v>1</v>
      </c>
      <c r="L1867" s="19"/>
      <c r="M1867" s="20"/>
      <c r="N1867" s="19"/>
      <c r="O1867" s="19"/>
      <c r="P1867" s="19" t="s">
        <v>2006</v>
      </c>
      <c r="Q1867" s="19" t="s">
        <v>2007</v>
      </c>
      <c r="R1867" s="21" t="n">
        <v>45032</v>
      </c>
      <c r="S1867" s="19" t="s">
        <v>2008</v>
      </c>
      <c r="T1867" s="19" t="s">
        <v>5955</v>
      </c>
      <c r="U1867" s="19" t="str">
        <f aca="false">HYPERLINK("https://macaulaylibrary.org/asset/615222681","Open")</f>
        <v>Open</v>
      </c>
      <c r="V1867" s="19"/>
    </row>
    <row r="1868" customFormat="false" ht="15" hidden="false" customHeight="false" outlineLevel="0" collapsed="false">
      <c r="A1868" s="19" t="s">
        <v>5956</v>
      </c>
      <c r="B1868" s="19" t="s">
        <v>943</v>
      </c>
      <c r="C1868" s="19" t="s">
        <v>944</v>
      </c>
      <c r="D1868" s="19" t="s">
        <v>148</v>
      </c>
      <c r="E1868" s="19" t="s">
        <v>147</v>
      </c>
      <c r="F1868" s="19" t="s">
        <v>144</v>
      </c>
      <c r="G1868" s="19" t="n">
        <v>217</v>
      </c>
      <c r="H1868" s="19" t="s">
        <v>145</v>
      </c>
      <c r="I1868" s="20" t="n">
        <v>20.82</v>
      </c>
      <c r="J1868" s="19" t="n">
        <f aca="false">IF(I1868="","",MIN(Overview!$B$8,MAX(1,CEILING(I1868/Overview!$B$7,1))))</f>
        <v>5</v>
      </c>
      <c r="K1868" s="19" t="n">
        <v>1</v>
      </c>
      <c r="L1868" s="19"/>
      <c r="M1868" s="20" t="n">
        <v>4</v>
      </c>
      <c r="N1868" s="19"/>
      <c r="O1868" s="19"/>
      <c r="P1868" s="19" t="s">
        <v>1811</v>
      </c>
      <c r="Q1868" s="19" t="s">
        <v>1368</v>
      </c>
      <c r="R1868" s="21" t="n">
        <v>45489</v>
      </c>
      <c r="S1868" s="19" t="s">
        <v>1081</v>
      </c>
      <c r="T1868" s="19" t="s">
        <v>5957</v>
      </c>
      <c r="U1868" s="19" t="str">
        <f aca="false">HYPERLINK("https://macaulaylibrary.org/asset/628653636","Open")</f>
        <v>Open</v>
      </c>
      <c r="V1868" s="19"/>
    </row>
    <row r="1869" customFormat="false" ht="15" hidden="false" customHeight="false" outlineLevel="0" collapsed="false">
      <c r="A1869" s="19" t="s">
        <v>5958</v>
      </c>
      <c r="B1869" s="19" t="s">
        <v>943</v>
      </c>
      <c r="C1869" s="19" t="s">
        <v>944</v>
      </c>
      <c r="D1869" s="19" t="s">
        <v>148</v>
      </c>
      <c r="E1869" s="19" t="s">
        <v>147</v>
      </c>
      <c r="F1869" s="19" t="s">
        <v>144</v>
      </c>
      <c r="G1869" s="19" t="n">
        <v>217</v>
      </c>
      <c r="H1869" s="19" t="s">
        <v>145</v>
      </c>
      <c r="I1869" s="20" t="n">
        <v>4.901</v>
      </c>
      <c r="J1869" s="19" t="n">
        <f aca="false">IF(I1869="","",MIN(Overview!$B$8,MAX(1,CEILING(I1869/Overview!$B$7,1))))</f>
        <v>1</v>
      </c>
      <c r="K1869" s="19" t="n">
        <v>1</v>
      </c>
      <c r="L1869" s="19" t="s">
        <v>1048</v>
      </c>
      <c r="M1869" s="20"/>
      <c r="N1869" s="19"/>
      <c r="O1869" s="19"/>
      <c r="P1869" s="19" t="s">
        <v>5808</v>
      </c>
      <c r="Q1869" s="19" t="s">
        <v>5809</v>
      </c>
      <c r="R1869" s="21" t="n">
        <v>45707</v>
      </c>
      <c r="S1869" s="19" t="s">
        <v>3598</v>
      </c>
      <c r="T1869" s="19" t="s">
        <v>5959</v>
      </c>
      <c r="U1869" s="19" t="str">
        <f aca="false">HYPERLINK("https://macaulaylibrary.org/asset/630997873","Open")</f>
        <v>Open</v>
      </c>
      <c r="V1869" s="19"/>
    </row>
    <row r="1870" customFormat="false" ht="15" hidden="false" customHeight="false" outlineLevel="0" collapsed="false">
      <c r="A1870" s="19" t="s">
        <v>5960</v>
      </c>
      <c r="B1870" s="19" t="s">
        <v>943</v>
      </c>
      <c r="C1870" s="19" t="s">
        <v>944</v>
      </c>
      <c r="D1870" s="19" t="s">
        <v>148</v>
      </c>
      <c r="E1870" s="19" t="s">
        <v>147</v>
      </c>
      <c r="F1870" s="19" t="s">
        <v>144</v>
      </c>
      <c r="G1870" s="19" t="n">
        <v>217</v>
      </c>
      <c r="H1870" s="19" t="s">
        <v>145</v>
      </c>
      <c r="I1870" s="20" t="n">
        <v>27.307</v>
      </c>
      <c r="J1870" s="19" t="n">
        <f aca="false">IF(I1870="","",MIN(Overview!$B$8,MAX(1,CEILING(I1870/Overview!$B$7,1))))</f>
        <v>6</v>
      </c>
      <c r="K1870" s="19" t="n">
        <v>1</v>
      </c>
      <c r="L1870" s="19"/>
      <c r="M1870" s="20"/>
      <c r="N1870" s="19"/>
      <c r="O1870" s="19"/>
      <c r="P1870" s="19" t="s">
        <v>2023</v>
      </c>
      <c r="Q1870" s="19" t="s">
        <v>1483</v>
      </c>
      <c r="R1870" s="21" t="n">
        <v>45291</v>
      </c>
      <c r="S1870" s="19" t="s">
        <v>1167</v>
      </c>
      <c r="T1870" s="19" t="s">
        <v>5961</v>
      </c>
      <c r="U1870" s="19" t="str">
        <f aca="false">HYPERLINK("https://macaulaylibrary.org/asset/638950925","Open")</f>
        <v>Open</v>
      </c>
      <c r="V1870" s="19"/>
    </row>
    <row r="1871" customFormat="false" ht="15" hidden="false" customHeight="false" outlineLevel="0" collapsed="false">
      <c r="A1871" s="19" t="s">
        <v>5962</v>
      </c>
      <c r="B1871" s="19" t="s">
        <v>943</v>
      </c>
      <c r="C1871" s="19" t="s">
        <v>944</v>
      </c>
      <c r="D1871" s="19" t="s">
        <v>148</v>
      </c>
      <c r="E1871" s="19" t="s">
        <v>147</v>
      </c>
      <c r="F1871" s="19" t="s">
        <v>144</v>
      </c>
      <c r="G1871" s="19" t="n">
        <v>217</v>
      </c>
      <c r="H1871" s="19" t="s">
        <v>145</v>
      </c>
      <c r="I1871" s="20" t="n">
        <v>33.993</v>
      </c>
      <c r="J1871" s="19" t="n">
        <f aca="false">IF(I1871="","",MIN(Overview!$B$8,MAX(1,CEILING(I1871/Overview!$B$7,1))))</f>
        <v>7</v>
      </c>
      <c r="K1871" s="19" t="n">
        <v>1</v>
      </c>
      <c r="L1871" s="19"/>
      <c r="M1871" s="20"/>
      <c r="N1871" s="19"/>
      <c r="O1871" s="19" t="s">
        <v>5963</v>
      </c>
      <c r="P1871" s="19" t="s">
        <v>1674</v>
      </c>
      <c r="Q1871" s="19" t="s">
        <v>1091</v>
      </c>
      <c r="R1871" s="21" t="n">
        <v>45843</v>
      </c>
      <c r="S1871" s="19" t="s">
        <v>1009</v>
      </c>
      <c r="T1871" s="19" t="s">
        <v>5964</v>
      </c>
      <c r="U1871" s="19" t="str">
        <f aca="false">HYPERLINK("https://macaulaylibrary.org/asset/639171006","Open")</f>
        <v>Open</v>
      </c>
      <c r="V1871" s="19"/>
    </row>
    <row r="1872" customFormat="false" ht="15" hidden="false" customHeight="false" outlineLevel="0" collapsed="false">
      <c r="A1872" s="19" t="s">
        <v>5965</v>
      </c>
      <c r="B1872" s="19" t="s">
        <v>943</v>
      </c>
      <c r="C1872" s="19" t="s">
        <v>944</v>
      </c>
      <c r="D1872" s="19" t="s">
        <v>148</v>
      </c>
      <c r="E1872" s="19" t="s">
        <v>147</v>
      </c>
      <c r="F1872" s="19" t="s">
        <v>144</v>
      </c>
      <c r="G1872" s="19" t="n">
        <v>217</v>
      </c>
      <c r="H1872" s="19" t="s">
        <v>145</v>
      </c>
      <c r="I1872" s="20" t="n">
        <v>437.486</v>
      </c>
      <c r="J1872" s="19" t="n">
        <f aca="false">IF(I1872="","",MIN(Overview!$B$8,MAX(1,CEILING(I1872/Overview!$B$7,1))))</f>
        <v>88</v>
      </c>
      <c r="K1872" s="19" t="n">
        <v>1</v>
      </c>
      <c r="L1872" s="19"/>
      <c r="M1872" s="20" t="n">
        <v>2</v>
      </c>
      <c r="N1872" s="19"/>
      <c r="O1872" s="19"/>
      <c r="P1872" s="19" t="s">
        <v>1090</v>
      </c>
      <c r="Q1872" s="19" t="s">
        <v>1091</v>
      </c>
      <c r="R1872" s="21" t="n">
        <v>45845</v>
      </c>
      <c r="S1872" s="19" t="s">
        <v>1092</v>
      </c>
      <c r="T1872" s="19" t="s">
        <v>5966</v>
      </c>
      <c r="U1872" s="19" t="str">
        <f aca="false">HYPERLINK("https://macaulaylibrary.org/asset/643526854","Open")</f>
        <v>Open</v>
      </c>
      <c r="V1872" s="19"/>
    </row>
    <row r="1873" customFormat="false" ht="15" hidden="false" customHeight="false" outlineLevel="0" collapsed="false">
      <c r="A1873" s="19" t="s">
        <v>5967</v>
      </c>
      <c r="B1873" s="19" t="s">
        <v>943</v>
      </c>
      <c r="C1873" s="19" t="s">
        <v>944</v>
      </c>
      <c r="D1873" s="19" t="s">
        <v>148</v>
      </c>
      <c r="E1873" s="19" t="s">
        <v>147</v>
      </c>
      <c r="F1873" s="19" t="s">
        <v>144</v>
      </c>
      <c r="G1873" s="19" t="n">
        <v>217</v>
      </c>
      <c r="H1873" s="19" t="s">
        <v>145</v>
      </c>
      <c r="I1873" s="20" t="n">
        <v>65.688</v>
      </c>
      <c r="J1873" s="19" t="n">
        <f aca="false">IF(I1873="","",MIN(Overview!$B$8,MAX(1,CEILING(I1873/Overview!$B$7,1))))</f>
        <v>14</v>
      </c>
      <c r="K1873" s="19" t="n">
        <v>1</v>
      </c>
      <c r="L1873" s="19"/>
      <c r="M1873" s="20"/>
      <c r="N1873" s="19"/>
      <c r="O1873" s="19"/>
      <c r="P1873" s="19" t="s">
        <v>1090</v>
      </c>
      <c r="Q1873" s="19" t="s">
        <v>1091</v>
      </c>
      <c r="R1873" s="21" t="n">
        <v>45845</v>
      </c>
      <c r="S1873" s="19" t="s">
        <v>1092</v>
      </c>
      <c r="T1873" s="19" t="s">
        <v>5968</v>
      </c>
      <c r="U1873" s="19" t="str">
        <f aca="false">HYPERLINK("https://macaulaylibrary.org/asset/643527088","Open")</f>
        <v>Open</v>
      </c>
      <c r="V1873" s="19"/>
    </row>
    <row r="1874" customFormat="false" ht="15" hidden="false" customHeight="false" outlineLevel="0" collapsed="false">
      <c r="A1874" s="19" t="s">
        <v>5969</v>
      </c>
      <c r="B1874" s="19" t="s">
        <v>943</v>
      </c>
      <c r="C1874" s="19" t="s">
        <v>944</v>
      </c>
      <c r="D1874" s="19" t="s">
        <v>148</v>
      </c>
      <c r="E1874" s="19" t="s">
        <v>147</v>
      </c>
      <c r="F1874" s="19" t="s">
        <v>144</v>
      </c>
      <c r="G1874" s="19" t="n">
        <v>217</v>
      </c>
      <c r="H1874" s="19" t="s">
        <v>145</v>
      </c>
      <c r="I1874" s="20" t="n">
        <v>22.857</v>
      </c>
      <c r="J1874" s="19" t="n">
        <f aca="false">IF(I1874="","",MIN(Overview!$B$8,MAX(1,CEILING(I1874/Overview!$B$7,1))))</f>
        <v>5</v>
      </c>
      <c r="K1874" s="19" t="n">
        <v>1</v>
      </c>
      <c r="L1874" s="19"/>
      <c r="M1874" s="20" t="n">
        <v>4.5</v>
      </c>
      <c r="N1874" s="19"/>
      <c r="O1874" s="19"/>
      <c r="P1874" s="19" t="s">
        <v>1335</v>
      </c>
      <c r="Q1874" s="19" t="s">
        <v>990</v>
      </c>
      <c r="R1874" s="21" t="n">
        <v>46011</v>
      </c>
      <c r="S1874" s="19" t="s">
        <v>966</v>
      </c>
      <c r="T1874" s="19" t="s">
        <v>5970</v>
      </c>
      <c r="U1874" s="19" t="str">
        <f aca="false">HYPERLINK("https://macaulaylibrary.org/asset/647571158","Open")</f>
        <v>Open</v>
      </c>
      <c r="V1874" s="19"/>
    </row>
    <row r="1875" customFormat="false" ht="15" hidden="false" customHeight="false" outlineLevel="0" collapsed="false">
      <c r="A1875" s="19" t="s">
        <v>5971</v>
      </c>
      <c r="B1875" s="19" t="s">
        <v>943</v>
      </c>
      <c r="C1875" s="19" t="s">
        <v>944</v>
      </c>
      <c r="D1875" s="19" t="s">
        <v>148</v>
      </c>
      <c r="E1875" s="19" t="s">
        <v>147</v>
      </c>
      <c r="F1875" s="19" t="s">
        <v>144</v>
      </c>
      <c r="G1875" s="19" t="n">
        <v>217</v>
      </c>
      <c r="H1875" s="19" t="s">
        <v>145</v>
      </c>
      <c r="I1875" s="20" t="n">
        <v>20.114</v>
      </c>
      <c r="J1875" s="19" t="n">
        <f aca="false">IF(I1875="","",MIN(Overview!$B$8,MAX(1,CEILING(I1875/Overview!$B$7,1))))</f>
        <v>5</v>
      </c>
      <c r="K1875" s="19" t="n">
        <v>1</v>
      </c>
      <c r="L1875" s="19"/>
      <c r="M1875" s="20"/>
      <c r="N1875" s="19"/>
      <c r="O1875" s="19"/>
      <c r="P1875" s="19" t="s">
        <v>5972</v>
      </c>
      <c r="Q1875" s="19" t="s">
        <v>5973</v>
      </c>
      <c r="R1875" s="21" t="n">
        <v>46067</v>
      </c>
      <c r="S1875" s="19" t="s">
        <v>5974</v>
      </c>
      <c r="T1875" s="19" t="s">
        <v>5975</v>
      </c>
      <c r="U1875" s="19" t="str">
        <f aca="false">HYPERLINK("https://macaulaylibrary.org/asset/652408361","Open")</f>
        <v>Open</v>
      </c>
      <c r="V1875" s="19"/>
    </row>
    <row r="1876" customFormat="false" ht="15" hidden="false" customHeight="false" outlineLevel="0" collapsed="false">
      <c r="A1876" s="19" t="s">
        <v>5976</v>
      </c>
      <c r="B1876" s="19" t="s">
        <v>943</v>
      </c>
      <c r="C1876" s="19" t="s">
        <v>944</v>
      </c>
      <c r="D1876" s="19" t="s">
        <v>148</v>
      </c>
      <c r="E1876" s="19" t="s">
        <v>147</v>
      </c>
      <c r="F1876" s="19" t="s">
        <v>144</v>
      </c>
      <c r="G1876" s="19" t="n">
        <v>217</v>
      </c>
      <c r="H1876" s="19" t="s">
        <v>145</v>
      </c>
      <c r="I1876" s="20" t="n">
        <v>17.878</v>
      </c>
      <c r="J1876" s="19" t="n">
        <f aca="false">IF(I1876="","",MIN(Overview!$B$8,MAX(1,CEILING(I1876/Overview!$B$7,1))))</f>
        <v>4</v>
      </c>
      <c r="K1876" s="19" t="n">
        <v>1</v>
      </c>
      <c r="L1876" s="19"/>
      <c r="M1876" s="20"/>
      <c r="N1876" s="19"/>
      <c r="O1876" s="19"/>
      <c r="P1876" s="19" t="s">
        <v>1650</v>
      </c>
      <c r="Q1876" s="19" t="s">
        <v>1382</v>
      </c>
      <c r="R1876" s="21" t="n">
        <v>46104</v>
      </c>
      <c r="S1876" s="19" t="s">
        <v>1651</v>
      </c>
      <c r="T1876" s="19" t="s">
        <v>5977</v>
      </c>
      <c r="U1876" s="19" t="str">
        <f aca="false">HYPERLINK("https://macaulaylibrary.org/asset/654657478","Open")</f>
        <v>Open</v>
      </c>
      <c r="V1876" s="19"/>
    </row>
    <row r="1877" customFormat="false" ht="15" hidden="false" customHeight="false" outlineLevel="0" collapsed="false">
      <c r="A1877" s="19" t="s">
        <v>5978</v>
      </c>
      <c r="B1877" s="19" t="s">
        <v>943</v>
      </c>
      <c r="C1877" s="19" t="s">
        <v>944</v>
      </c>
      <c r="D1877" s="19" t="s">
        <v>148</v>
      </c>
      <c r="E1877" s="19" t="s">
        <v>147</v>
      </c>
      <c r="F1877" s="19" t="s">
        <v>144</v>
      </c>
      <c r="G1877" s="19" t="n">
        <v>217</v>
      </c>
      <c r="H1877" s="19" t="s">
        <v>145</v>
      </c>
      <c r="I1877" s="20" t="n">
        <v>143.372</v>
      </c>
      <c r="J1877" s="19" t="n">
        <f aca="false">IF(I1877="","",MIN(Overview!$B$8,MAX(1,CEILING(I1877/Overview!$B$7,1))))</f>
        <v>29</v>
      </c>
      <c r="K1877" s="19" t="n">
        <v>1</v>
      </c>
      <c r="L1877" s="19"/>
      <c r="M1877" s="20" t="n">
        <v>3</v>
      </c>
      <c r="N1877" s="19"/>
      <c r="O1877" s="19"/>
      <c r="P1877" s="19" t="s">
        <v>1832</v>
      </c>
      <c r="Q1877" s="19" t="s">
        <v>980</v>
      </c>
      <c r="R1877" s="21" t="n">
        <v>33296</v>
      </c>
      <c r="S1877" s="19" t="s">
        <v>1369</v>
      </c>
      <c r="T1877" s="19" t="s">
        <v>5979</v>
      </c>
      <c r="U1877" s="19" t="str">
        <f aca="false">HYPERLINK("https://macaulaylibrary.org/asset/72612","Open")</f>
        <v>Open</v>
      </c>
      <c r="V1877" s="19" t="s">
        <v>5858</v>
      </c>
    </row>
    <row r="1878" customFormat="false" ht="15" hidden="false" customHeight="false" outlineLevel="0" collapsed="false">
      <c r="A1878" s="19" t="s">
        <v>5980</v>
      </c>
      <c r="B1878" s="19" t="s">
        <v>943</v>
      </c>
      <c r="C1878" s="19" t="s">
        <v>944</v>
      </c>
      <c r="D1878" s="19" t="s">
        <v>148</v>
      </c>
      <c r="E1878" s="19" t="s">
        <v>147</v>
      </c>
      <c r="F1878" s="19" t="s">
        <v>144</v>
      </c>
      <c r="G1878" s="19" t="n">
        <v>217</v>
      </c>
      <c r="H1878" s="19" t="s">
        <v>145</v>
      </c>
      <c r="I1878" s="20" t="n">
        <v>432.389</v>
      </c>
      <c r="J1878" s="19" t="n">
        <f aca="false">IF(I1878="","",MIN(Overview!$B$8,MAX(1,CEILING(I1878/Overview!$B$7,1))))</f>
        <v>87</v>
      </c>
      <c r="K1878" s="19" t="n">
        <v>1</v>
      </c>
      <c r="L1878" s="19"/>
      <c r="M1878" s="20" t="n">
        <v>4.2</v>
      </c>
      <c r="N1878" s="19"/>
      <c r="O1878" s="19"/>
      <c r="P1878" s="19" t="s">
        <v>1214</v>
      </c>
      <c r="Q1878" s="19" t="s">
        <v>980</v>
      </c>
      <c r="R1878" s="21" t="n">
        <v>33300</v>
      </c>
      <c r="S1878" s="19" t="s">
        <v>1550</v>
      </c>
      <c r="T1878" s="19" t="s">
        <v>5981</v>
      </c>
      <c r="U1878" s="19" t="str">
        <f aca="false">HYPERLINK("https://macaulaylibrary.org/asset/72674","Open")</f>
        <v>Open</v>
      </c>
      <c r="V1878" s="19" t="s">
        <v>5858</v>
      </c>
    </row>
    <row r="1879" customFormat="false" ht="15" hidden="false" customHeight="false" outlineLevel="0" collapsed="false">
      <c r="A1879" s="19" t="s">
        <v>5982</v>
      </c>
      <c r="B1879" s="19" t="s">
        <v>943</v>
      </c>
      <c r="C1879" s="19" t="s">
        <v>944</v>
      </c>
      <c r="D1879" s="19" t="s">
        <v>148</v>
      </c>
      <c r="E1879" s="19" t="s">
        <v>147</v>
      </c>
      <c r="F1879" s="19" t="s">
        <v>144</v>
      </c>
      <c r="G1879" s="19" t="n">
        <v>217</v>
      </c>
      <c r="H1879" s="19" t="s">
        <v>145</v>
      </c>
      <c r="I1879" s="20" t="n">
        <v>104.343</v>
      </c>
      <c r="J1879" s="19" t="n">
        <f aca="false">IF(I1879="","",MIN(Overview!$B$8,MAX(1,CEILING(I1879/Overview!$B$7,1))))</f>
        <v>21</v>
      </c>
      <c r="K1879" s="19" t="n">
        <v>1</v>
      </c>
      <c r="L1879" s="19"/>
      <c r="M1879" s="20" t="n">
        <v>3</v>
      </c>
      <c r="N1879" s="19"/>
      <c r="O1879" s="19"/>
      <c r="P1879" s="19" t="s">
        <v>4463</v>
      </c>
      <c r="Q1879" s="19" t="s">
        <v>980</v>
      </c>
      <c r="R1879" s="21"/>
      <c r="S1879" s="19" t="s">
        <v>1002</v>
      </c>
      <c r="T1879" s="19" t="s">
        <v>5983</v>
      </c>
      <c r="U1879" s="19" t="str">
        <f aca="false">HYPERLINK("https://macaulaylibrary.org/asset/74199","Open")</f>
        <v>Open</v>
      </c>
      <c r="V1879" s="19" t="s">
        <v>5858</v>
      </c>
    </row>
    <row r="1880" customFormat="false" ht="15" hidden="false" customHeight="false" outlineLevel="0" collapsed="false">
      <c r="A1880" s="19" t="s">
        <v>5984</v>
      </c>
      <c r="B1880" s="19" t="s">
        <v>943</v>
      </c>
      <c r="C1880" s="19" t="s">
        <v>944</v>
      </c>
      <c r="D1880" s="19" t="s">
        <v>148</v>
      </c>
      <c r="E1880" s="19" t="s">
        <v>147</v>
      </c>
      <c r="F1880" s="19" t="s">
        <v>144</v>
      </c>
      <c r="G1880" s="19" t="n">
        <v>217</v>
      </c>
      <c r="H1880" s="19" t="s">
        <v>145</v>
      </c>
      <c r="I1880" s="20" t="n">
        <v>9.576</v>
      </c>
      <c r="J1880" s="19" t="n">
        <f aca="false">IF(I1880="","",MIN(Overview!$B$8,MAX(1,CEILING(I1880/Overview!$B$7,1))))</f>
        <v>2</v>
      </c>
      <c r="K1880" s="19" t="n">
        <v>1</v>
      </c>
      <c r="L1880" s="19"/>
      <c r="M1880" s="20" t="n">
        <v>4</v>
      </c>
      <c r="N1880" s="19"/>
      <c r="O1880" s="19"/>
      <c r="P1880" s="19" t="s">
        <v>2750</v>
      </c>
      <c r="Q1880" s="19" t="s">
        <v>1021</v>
      </c>
      <c r="R1880" s="21" t="n">
        <v>35859</v>
      </c>
      <c r="S1880" s="19" t="s">
        <v>1658</v>
      </c>
      <c r="T1880" s="19" t="s">
        <v>5985</v>
      </c>
      <c r="U1880" s="19" t="str">
        <f aca="false">HYPERLINK("https://macaulaylibrary.org/asset/97068861","Open")</f>
        <v>Open</v>
      </c>
      <c r="V1880" s="19"/>
    </row>
    <row r="1881" customFormat="false" ht="15" hidden="false" customHeight="false" outlineLevel="0" collapsed="false">
      <c r="A1881" s="19" t="s">
        <v>5986</v>
      </c>
      <c r="B1881" s="19" t="s">
        <v>943</v>
      </c>
      <c r="C1881" s="19" t="s">
        <v>944</v>
      </c>
      <c r="D1881" s="19" t="s">
        <v>148</v>
      </c>
      <c r="E1881" s="19" t="s">
        <v>147</v>
      </c>
      <c r="F1881" s="19" t="s">
        <v>144</v>
      </c>
      <c r="G1881" s="19" t="n">
        <v>217</v>
      </c>
      <c r="H1881" s="19" t="s">
        <v>145</v>
      </c>
      <c r="I1881" s="20" t="n">
        <v>39.952</v>
      </c>
      <c r="J1881" s="19" t="n">
        <f aca="false">IF(I1881="","",MIN(Overview!$B$8,MAX(1,CEILING(I1881/Overview!$B$7,1))))</f>
        <v>8</v>
      </c>
      <c r="K1881" s="19" t="n">
        <v>1</v>
      </c>
      <c r="L1881" s="19"/>
      <c r="M1881" s="20" t="n">
        <v>4</v>
      </c>
      <c r="N1881" s="19"/>
      <c r="O1881" s="19"/>
      <c r="P1881" s="19" t="s">
        <v>1742</v>
      </c>
      <c r="Q1881" s="19" t="s">
        <v>1021</v>
      </c>
      <c r="R1881" s="21" t="n">
        <v>35860</v>
      </c>
      <c r="S1881" s="19" t="s">
        <v>1743</v>
      </c>
      <c r="T1881" s="19" t="s">
        <v>5987</v>
      </c>
      <c r="U1881" s="19" t="str">
        <f aca="false">HYPERLINK("https://macaulaylibrary.org/asset/97862591","Open")</f>
        <v>Open</v>
      </c>
      <c r="V1881" s="19"/>
    </row>
    <row r="1882" customFormat="false" ht="15" hidden="false" customHeight="false" outlineLevel="0" collapsed="false">
      <c r="A1882" s="19" t="s">
        <v>5988</v>
      </c>
      <c r="B1882" s="19" t="s">
        <v>943</v>
      </c>
      <c r="C1882" s="19" t="s">
        <v>944</v>
      </c>
      <c r="D1882" s="19" t="s">
        <v>148</v>
      </c>
      <c r="E1882" s="19" t="s">
        <v>147</v>
      </c>
      <c r="F1882" s="19" t="s">
        <v>144</v>
      </c>
      <c r="G1882" s="19" t="n">
        <v>217</v>
      </c>
      <c r="H1882" s="19" t="s">
        <v>145</v>
      </c>
      <c r="I1882" s="20" t="n">
        <v>74.096</v>
      </c>
      <c r="J1882" s="19" t="n">
        <f aca="false">IF(I1882="","",MIN(Overview!$B$8,MAX(1,CEILING(I1882/Overview!$B$7,1))))</f>
        <v>15</v>
      </c>
      <c r="K1882" s="19" t="n">
        <v>1</v>
      </c>
      <c r="L1882" s="19"/>
      <c r="M1882" s="20" t="n">
        <v>4</v>
      </c>
      <c r="N1882" s="19"/>
      <c r="O1882" s="19"/>
      <c r="P1882" s="19" t="s">
        <v>1742</v>
      </c>
      <c r="Q1882" s="19" t="s">
        <v>1021</v>
      </c>
      <c r="R1882" s="21" t="n">
        <v>35860</v>
      </c>
      <c r="S1882" s="19" t="s">
        <v>1743</v>
      </c>
      <c r="T1882" s="19" t="s">
        <v>5989</v>
      </c>
      <c r="U1882" s="19" t="str">
        <f aca="false">HYPERLINK("https://macaulaylibrary.org/asset/97864181","Open")</f>
        <v>Open</v>
      </c>
      <c r="V1882" s="19"/>
    </row>
    <row r="1883" customFormat="false" ht="15" hidden="false" customHeight="false" outlineLevel="0" collapsed="false">
      <c r="A1883" s="19" t="s">
        <v>5990</v>
      </c>
      <c r="B1883" s="19" t="s">
        <v>943</v>
      </c>
      <c r="C1883" s="19" t="s">
        <v>944</v>
      </c>
      <c r="D1883" s="19" t="s">
        <v>148</v>
      </c>
      <c r="E1883" s="19" t="s">
        <v>147</v>
      </c>
      <c r="F1883" s="19" t="s">
        <v>144</v>
      </c>
      <c r="G1883" s="19" t="n">
        <v>217</v>
      </c>
      <c r="H1883" s="19" t="s">
        <v>145</v>
      </c>
      <c r="I1883" s="20" t="n">
        <v>73.242</v>
      </c>
      <c r="J1883" s="19" t="n">
        <f aca="false">IF(I1883="","",MIN(Overview!$B$8,MAX(1,CEILING(I1883/Overview!$B$7,1))))</f>
        <v>15</v>
      </c>
      <c r="K1883" s="19" t="n">
        <v>1</v>
      </c>
      <c r="L1883" s="19"/>
      <c r="M1883" s="20" t="n">
        <v>4</v>
      </c>
      <c r="N1883" s="19"/>
      <c r="O1883" s="19"/>
      <c r="P1883" s="19" t="s">
        <v>1742</v>
      </c>
      <c r="Q1883" s="19" t="s">
        <v>1021</v>
      </c>
      <c r="R1883" s="21" t="n">
        <v>35860</v>
      </c>
      <c r="S1883" s="19" t="s">
        <v>1743</v>
      </c>
      <c r="T1883" s="19" t="s">
        <v>5991</v>
      </c>
      <c r="U1883" s="19" t="str">
        <f aca="false">HYPERLINK("https://macaulaylibrary.org/asset/97865161","Open")</f>
        <v>Open</v>
      </c>
      <c r="V1883" s="19"/>
    </row>
    <row r="1884" customFormat="false" ht="15" hidden="false" customHeight="false" outlineLevel="0" collapsed="false">
      <c r="A1884" s="19" t="s">
        <v>5992</v>
      </c>
      <c r="B1884" s="19" t="s">
        <v>943</v>
      </c>
      <c r="C1884" s="19" t="s">
        <v>944</v>
      </c>
      <c r="D1884" s="19" t="s">
        <v>148</v>
      </c>
      <c r="E1884" s="19" t="s">
        <v>147</v>
      </c>
      <c r="F1884" s="19" t="s">
        <v>144</v>
      </c>
      <c r="G1884" s="19" t="n">
        <v>217</v>
      </c>
      <c r="H1884" s="19" t="s">
        <v>145</v>
      </c>
      <c r="I1884" s="20" t="n">
        <v>29.87</v>
      </c>
      <c r="J1884" s="19" t="n">
        <f aca="false">IF(I1884="","",MIN(Overview!$B$8,MAX(1,CEILING(I1884/Overview!$B$7,1))))</f>
        <v>6</v>
      </c>
      <c r="K1884" s="19" t="n">
        <v>1</v>
      </c>
      <c r="L1884" s="19"/>
      <c r="M1884" s="20" t="n">
        <v>3</v>
      </c>
      <c r="N1884" s="19"/>
      <c r="O1884" s="19"/>
      <c r="P1884" s="19" t="s">
        <v>1742</v>
      </c>
      <c r="Q1884" s="19" t="s">
        <v>1021</v>
      </c>
      <c r="R1884" s="21" t="n">
        <v>35860</v>
      </c>
      <c r="S1884" s="19" t="s">
        <v>1743</v>
      </c>
      <c r="T1884" s="19" t="s">
        <v>5993</v>
      </c>
      <c r="U1884" s="19" t="str">
        <f aca="false">HYPERLINK("https://macaulaylibrary.org/asset/97879171","Open")</f>
        <v>Open</v>
      </c>
      <c r="V1884" s="19"/>
    </row>
    <row r="1885" customFormat="false" ht="15" hidden="false" customHeight="false" outlineLevel="0" collapsed="false">
      <c r="A1885" s="19" t="s">
        <v>5994</v>
      </c>
      <c r="B1885" s="19" t="s">
        <v>943</v>
      </c>
      <c r="C1885" s="19" t="s">
        <v>944</v>
      </c>
      <c r="D1885" s="19" t="s">
        <v>148</v>
      </c>
      <c r="E1885" s="19" t="s">
        <v>147</v>
      </c>
      <c r="F1885" s="19" t="s">
        <v>144</v>
      </c>
      <c r="G1885" s="19" t="n">
        <v>217</v>
      </c>
      <c r="H1885" s="19" t="s">
        <v>145</v>
      </c>
      <c r="I1885" s="20" t="n">
        <v>127.048</v>
      </c>
      <c r="J1885" s="19" t="n">
        <f aca="false">IF(I1885="","",MIN(Overview!$B$8,MAX(1,CEILING(I1885/Overview!$B$7,1))))</f>
        <v>26</v>
      </c>
      <c r="K1885" s="19" t="n">
        <v>1</v>
      </c>
      <c r="L1885" s="19"/>
      <c r="M1885" s="20" t="n">
        <v>3</v>
      </c>
      <c r="N1885" s="19"/>
      <c r="O1885" s="19"/>
      <c r="P1885" s="19" t="s">
        <v>1742</v>
      </c>
      <c r="Q1885" s="19" t="s">
        <v>1021</v>
      </c>
      <c r="R1885" s="21" t="n">
        <v>35860</v>
      </c>
      <c r="S1885" s="19" t="s">
        <v>1743</v>
      </c>
      <c r="T1885" s="19" t="s">
        <v>5995</v>
      </c>
      <c r="U1885" s="19" t="str">
        <f aca="false">HYPERLINK("https://macaulaylibrary.org/asset/98486821","Open")</f>
        <v>Open</v>
      </c>
      <c r="V1885" s="19"/>
    </row>
    <row r="1886" customFormat="false" ht="15" hidden="false" customHeight="false" outlineLevel="0" collapsed="false">
      <c r="A1886" s="19" t="s">
        <v>5996</v>
      </c>
      <c r="B1886" s="19" t="s">
        <v>943</v>
      </c>
      <c r="C1886" s="19" t="s">
        <v>944</v>
      </c>
      <c r="D1886" s="19" t="s">
        <v>148</v>
      </c>
      <c r="E1886" s="19" t="s">
        <v>147</v>
      </c>
      <c r="F1886" s="19" t="s">
        <v>144</v>
      </c>
      <c r="G1886" s="19" t="n">
        <v>217</v>
      </c>
      <c r="H1886" s="19" t="s">
        <v>145</v>
      </c>
      <c r="I1886" s="20" t="n">
        <v>37.752</v>
      </c>
      <c r="J1886" s="19" t="n">
        <f aca="false">IF(I1886="","",MIN(Overview!$B$8,MAX(1,CEILING(I1886/Overview!$B$7,1))))</f>
        <v>8</v>
      </c>
      <c r="K1886" s="19" t="n">
        <v>1</v>
      </c>
      <c r="L1886" s="19"/>
      <c r="M1886" s="20" t="n">
        <v>3</v>
      </c>
      <c r="N1886" s="19"/>
      <c r="O1886" s="19"/>
      <c r="P1886" s="19" t="s">
        <v>1742</v>
      </c>
      <c r="Q1886" s="19" t="s">
        <v>1021</v>
      </c>
      <c r="R1886" s="21" t="n">
        <v>35860</v>
      </c>
      <c r="S1886" s="19" t="s">
        <v>1743</v>
      </c>
      <c r="T1886" s="19" t="s">
        <v>5997</v>
      </c>
      <c r="U1886" s="19" t="str">
        <f aca="false">HYPERLINK("https://macaulaylibrary.org/asset/98488531","Open")</f>
        <v>Open</v>
      </c>
      <c r="V1886" s="19"/>
    </row>
    <row r="1887" customFormat="false" ht="15" hidden="false" customHeight="false" outlineLevel="0" collapsed="false">
      <c r="A1887" s="19" t="s">
        <v>5998</v>
      </c>
      <c r="B1887" s="19" t="s">
        <v>943</v>
      </c>
      <c r="C1887" s="19" t="s">
        <v>944</v>
      </c>
      <c r="D1887" s="19" t="s">
        <v>400</v>
      </c>
      <c r="E1887" s="19" t="s">
        <v>147</v>
      </c>
      <c r="F1887" s="19" t="s">
        <v>737</v>
      </c>
      <c r="G1887" s="19" t="n">
        <v>218</v>
      </c>
      <c r="H1887" s="19" t="s">
        <v>738</v>
      </c>
      <c r="I1887" s="20" t="n">
        <v>8.714</v>
      </c>
      <c r="J1887" s="19" t="n">
        <f aca="false">IF(I1887="","",MIN(Overview!$B$8,MAX(1,CEILING(I1887/Overview!$B$7,1))))</f>
        <v>2</v>
      </c>
      <c r="K1887" s="19" t="n">
        <v>1</v>
      </c>
      <c r="L1887" s="19"/>
      <c r="M1887" s="20" t="n">
        <v>2</v>
      </c>
      <c r="N1887" s="19"/>
      <c r="O1887" s="19"/>
      <c r="P1887" s="19" t="s">
        <v>1170</v>
      </c>
      <c r="Q1887" s="19" t="s">
        <v>1166</v>
      </c>
      <c r="R1887" s="21" t="n">
        <v>44900</v>
      </c>
      <c r="S1887" s="19" t="s">
        <v>1092</v>
      </c>
      <c r="T1887" s="19" t="s">
        <v>5999</v>
      </c>
      <c r="U1887" s="19" t="str">
        <f aca="false">HYPERLINK("https://macaulaylibrary.org/asset/597933981","Open")</f>
        <v>Open</v>
      </c>
      <c r="V1887" s="19"/>
    </row>
    <row r="1888" customFormat="false" ht="15" hidden="false" customHeight="false" outlineLevel="0" collapsed="false">
      <c r="A1888" s="19" t="s">
        <v>6000</v>
      </c>
      <c r="B1888" s="19" t="s">
        <v>943</v>
      </c>
      <c r="C1888" s="19" t="s">
        <v>944</v>
      </c>
      <c r="D1888" s="19" t="s">
        <v>148</v>
      </c>
      <c r="E1888" s="19" t="s">
        <v>147</v>
      </c>
      <c r="F1888" s="19" t="s">
        <v>194</v>
      </c>
      <c r="G1888" s="19" t="n">
        <v>219</v>
      </c>
      <c r="H1888" s="19" t="s">
        <v>195</v>
      </c>
      <c r="I1888" s="20" t="n">
        <v>172.43</v>
      </c>
      <c r="J1888" s="19" t="n">
        <f aca="false">IF(I1888="","",MIN(Overview!$B$8,MAX(1,CEILING(I1888/Overview!$B$7,1))))</f>
        <v>35</v>
      </c>
      <c r="K1888" s="19" t="n">
        <v>1</v>
      </c>
      <c r="L1888" s="19"/>
      <c r="M1888" s="20" t="n">
        <v>2</v>
      </c>
      <c r="N1888" s="19"/>
      <c r="O1888" s="19" t="s">
        <v>151</v>
      </c>
      <c r="P1888" s="19" t="s">
        <v>1533</v>
      </c>
      <c r="Q1888" s="19" t="s">
        <v>1110</v>
      </c>
      <c r="R1888" s="21" t="n">
        <v>36968</v>
      </c>
      <c r="S1888" s="19" t="s">
        <v>3828</v>
      </c>
      <c r="T1888" s="19" t="s">
        <v>6001</v>
      </c>
      <c r="U1888" s="19" t="str">
        <f aca="false">HYPERLINK("https://macaulaylibrary.org/asset/185739","Open")</f>
        <v>Open</v>
      </c>
      <c r="V1888" s="19"/>
    </row>
    <row r="1889" customFormat="false" ht="15" hidden="false" customHeight="false" outlineLevel="0" collapsed="false">
      <c r="A1889" s="19" t="s">
        <v>6002</v>
      </c>
      <c r="B1889" s="19" t="s">
        <v>943</v>
      </c>
      <c r="C1889" s="19" t="s">
        <v>944</v>
      </c>
      <c r="D1889" s="19" t="s">
        <v>148</v>
      </c>
      <c r="E1889" s="19" t="s">
        <v>147</v>
      </c>
      <c r="F1889" s="19" t="s">
        <v>194</v>
      </c>
      <c r="G1889" s="19" t="n">
        <v>219</v>
      </c>
      <c r="H1889" s="19" t="s">
        <v>195</v>
      </c>
      <c r="I1889" s="20" t="n">
        <v>339.379</v>
      </c>
      <c r="J1889" s="19" t="n">
        <f aca="false">IF(I1889="","",MIN(Overview!$B$8,MAX(1,CEILING(I1889/Overview!$B$7,1))))</f>
        <v>68</v>
      </c>
      <c r="K1889" s="19" t="n">
        <v>1</v>
      </c>
      <c r="L1889" s="19"/>
      <c r="M1889" s="20" t="n">
        <v>3</v>
      </c>
      <c r="N1889" s="19"/>
      <c r="O1889" s="19"/>
      <c r="P1889" s="19" t="s">
        <v>1109</v>
      </c>
      <c r="Q1889" s="19" t="s">
        <v>1110</v>
      </c>
      <c r="R1889" s="21" t="n">
        <v>36969</v>
      </c>
      <c r="S1889" s="19" t="s">
        <v>2293</v>
      </c>
      <c r="T1889" s="19" t="s">
        <v>6003</v>
      </c>
      <c r="U1889" s="19" t="str">
        <f aca="false">HYPERLINK("https://macaulaylibrary.org/asset/185751","Open")</f>
        <v>Open</v>
      </c>
      <c r="V1889" s="19"/>
    </row>
    <row r="1890" customFormat="false" ht="15" hidden="false" customHeight="false" outlineLevel="0" collapsed="false">
      <c r="A1890" s="19" t="s">
        <v>6004</v>
      </c>
      <c r="B1890" s="19" t="s">
        <v>943</v>
      </c>
      <c r="C1890" s="19" t="s">
        <v>944</v>
      </c>
      <c r="D1890" s="19" t="s">
        <v>148</v>
      </c>
      <c r="E1890" s="19" t="s">
        <v>147</v>
      </c>
      <c r="F1890" s="19" t="s">
        <v>194</v>
      </c>
      <c r="G1890" s="19" t="n">
        <v>219</v>
      </c>
      <c r="H1890" s="19" t="s">
        <v>195</v>
      </c>
      <c r="I1890" s="20" t="n">
        <v>37.653</v>
      </c>
      <c r="J1890" s="19" t="n">
        <f aca="false">IF(I1890="","",MIN(Overview!$B$8,MAX(1,CEILING(I1890/Overview!$B$7,1))))</f>
        <v>8</v>
      </c>
      <c r="K1890" s="19" t="n">
        <v>1</v>
      </c>
      <c r="L1890" s="19"/>
      <c r="M1890" s="20" t="n">
        <v>2.5</v>
      </c>
      <c r="N1890" s="19"/>
      <c r="O1890" s="19"/>
      <c r="P1890" s="19" t="s">
        <v>3195</v>
      </c>
      <c r="Q1890" s="19" t="s">
        <v>965</v>
      </c>
      <c r="R1890" s="21" t="n">
        <v>43813</v>
      </c>
      <c r="S1890" s="19" t="s">
        <v>3196</v>
      </c>
      <c r="T1890" s="19" t="s">
        <v>6005</v>
      </c>
      <c r="U1890" s="19" t="str">
        <f aca="false">HYPERLINK("https://macaulaylibrary.org/asset/193419801","Open")</f>
        <v>Open</v>
      </c>
      <c r="V1890" s="19"/>
    </row>
    <row r="1891" customFormat="false" ht="15" hidden="false" customHeight="false" outlineLevel="0" collapsed="false">
      <c r="A1891" s="19" t="s">
        <v>6006</v>
      </c>
      <c r="B1891" s="19" t="s">
        <v>943</v>
      </c>
      <c r="C1891" s="19" t="s">
        <v>944</v>
      </c>
      <c r="D1891" s="19" t="s">
        <v>148</v>
      </c>
      <c r="E1891" s="19" t="s">
        <v>147</v>
      </c>
      <c r="F1891" s="19" t="s">
        <v>194</v>
      </c>
      <c r="G1891" s="19" t="n">
        <v>219</v>
      </c>
      <c r="H1891" s="19" t="s">
        <v>195</v>
      </c>
      <c r="I1891" s="20" t="n">
        <v>47.232</v>
      </c>
      <c r="J1891" s="19" t="n">
        <f aca="false">IF(I1891="","",MIN(Overview!$B$8,MAX(1,CEILING(I1891/Overview!$B$7,1))))</f>
        <v>10</v>
      </c>
      <c r="K1891" s="19" t="n">
        <v>1</v>
      </c>
      <c r="L1891" s="19"/>
      <c r="M1891" s="20" t="n">
        <v>3</v>
      </c>
      <c r="N1891" s="19"/>
      <c r="O1891" s="19"/>
      <c r="P1891" s="19" t="s">
        <v>3195</v>
      </c>
      <c r="Q1891" s="19" t="s">
        <v>965</v>
      </c>
      <c r="R1891" s="21" t="n">
        <v>43813</v>
      </c>
      <c r="S1891" s="19" t="s">
        <v>3196</v>
      </c>
      <c r="T1891" s="19" t="s">
        <v>6007</v>
      </c>
      <c r="U1891" s="19" t="str">
        <f aca="false">HYPERLINK("https://macaulaylibrary.org/asset/193422911","Open")</f>
        <v>Open</v>
      </c>
      <c r="V1891" s="19"/>
    </row>
    <row r="1892" customFormat="false" ht="15" hidden="false" customHeight="false" outlineLevel="0" collapsed="false">
      <c r="A1892" s="19" t="s">
        <v>6008</v>
      </c>
      <c r="B1892" s="19" t="s">
        <v>943</v>
      </c>
      <c r="C1892" s="19" t="s">
        <v>944</v>
      </c>
      <c r="D1892" s="19" t="s">
        <v>148</v>
      </c>
      <c r="E1892" s="19" t="s">
        <v>147</v>
      </c>
      <c r="F1892" s="19" t="s">
        <v>194</v>
      </c>
      <c r="G1892" s="19" t="n">
        <v>219</v>
      </c>
      <c r="H1892" s="19" t="s">
        <v>195</v>
      </c>
      <c r="I1892" s="20" t="n">
        <v>545.239</v>
      </c>
      <c r="J1892" s="19" t="n">
        <f aca="false">IF(I1892="","",MIN(Overview!$B$8,MAX(1,CEILING(I1892/Overview!$B$7,1))))</f>
        <v>110</v>
      </c>
      <c r="K1892" s="19" t="n">
        <v>1</v>
      </c>
      <c r="L1892" s="19"/>
      <c r="M1892" s="20" t="n">
        <v>3</v>
      </c>
      <c r="N1892" s="19"/>
      <c r="O1892" s="19" t="s">
        <v>6009</v>
      </c>
      <c r="P1892" s="19" t="s">
        <v>1587</v>
      </c>
      <c r="Q1892" s="19" t="s">
        <v>1136</v>
      </c>
      <c r="R1892" s="21" t="n">
        <v>29733</v>
      </c>
      <c r="S1892" s="19" t="s">
        <v>2787</v>
      </c>
      <c r="T1892" s="19" t="s">
        <v>6010</v>
      </c>
      <c r="U1892" s="19" t="str">
        <f aca="false">HYPERLINK("https://macaulaylibrary.org/asset/28159","Open")</f>
        <v>Open</v>
      </c>
      <c r="V1892" s="19"/>
    </row>
    <row r="1893" customFormat="false" ht="15" hidden="false" customHeight="false" outlineLevel="0" collapsed="false">
      <c r="A1893" s="19" t="s">
        <v>6011</v>
      </c>
      <c r="B1893" s="19" t="s">
        <v>943</v>
      </c>
      <c r="C1893" s="19" t="s">
        <v>944</v>
      </c>
      <c r="D1893" s="19" t="s">
        <v>148</v>
      </c>
      <c r="E1893" s="19" t="s">
        <v>147</v>
      </c>
      <c r="F1893" s="19" t="s">
        <v>194</v>
      </c>
      <c r="G1893" s="19" t="n">
        <v>219</v>
      </c>
      <c r="H1893" s="19" t="s">
        <v>195</v>
      </c>
      <c r="I1893" s="20" t="n">
        <v>32.706</v>
      </c>
      <c r="J1893" s="19" t="n">
        <f aca="false">IF(I1893="","",MIN(Overview!$B$8,MAX(1,CEILING(I1893/Overview!$B$7,1))))</f>
        <v>7</v>
      </c>
      <c r="K1893" s="19" t="n">
        <v>1</v>
      </c>
      <c r="L1893" s="19"/>
      <c r="M1893" s="20" t="n">
        <v>4.5</v>
      </c>
      <c r="N1893" s="19"/>
      <c r="O1893" s="19"/>
      <c r="P1893" s="19" t="s">
        <v>1278</v>
      </c>
      <c r="Q1893" s="19" t="s">
        <v>1030</v>
      </c>
      <c r="R1893" s="21" t="n">
        <v>33597</v>
      </c>
      <c r="S1893" s="19" t="s">
        <v>1279</v>
      </c>
      <c r="T1893" s="19" t="s">
        <v>6012</v>
      </c>
      <c r="U1893" s="19" t="str">
        <f aca="false">HYPERLINK("https://macaulaylibrary.org/asset/285622","Open")</f>
        <v>Open</v>
      </c>
      <c r="V1893" s="19"/>
    </row>
    <row r="1894" customFormat="false" ht="15" hidden="false" customHeight="false" outlineLevel="0" collapsed="false">
      <c r="A1894" s="19" t="s">
        <v>6013</v>
      </c>
      <c r="B1894" s="19" t="s">
        <v>943</v>
      </c>
      <c r="C1894" s="19" t="s">
        <v>944</v>
      </c>
      <c r="D1894" s="19" t="s">
        <v>148</v>
      </c>
      <c r="E1894" s="19" t="s">
        <v>147</v>
      </c>
      <c r="F1894" s="19" t="s">
        <v>194</v>
      </c>
      <c r="G1894" s="19" t="n">
        <v>219</v>
      </c>
      <c r="H1894" s="19" t="s">
        <v>195</v>
      </c>
      <c r="I1894" s="20" t="n">
        <v>66.771</v>
      </c>
      <c r="J1894" s="19" t="n">
        <f aca="false">IF(I1894="","",MIN(Overview!$B$8,MAX(1,CEILING(I1894/Overview!$B$7,1))))</f>
        <v>14</v>
      </c>
      <c r="K1894" s="19" t="n">
        <v>1</v>
      </c>
      <c r="L1894" s="19"/>
      <c r="M1894" s="20" t="n">
        <v>2</v>
      </c>
      <c r="N1894" s="19"/>
      <c r="O1894" s="19"/>
      <c r="P1894" s="19" t="s">
        <v>2523</v>
      </c>
      <c r="Q1894" s="19" t="s">
        <v>1592</v>
      </c>
      <c r="R1894" s="21" t="n">
        <v>30405</v>
      </c>
      <c r="S1894" s="19" t="s">
        <v>1002</v>
      </c>
      <c r="T1894" s="19" t="s">
        <v>6014</v>
      </c>
      <c r="U1894" s="19" t="str">
        <f aca="false">HYPERLINK("https://macaulaylibrary.org/asset/39232","Open")</f>
        <v>Open</v>
      </c>
      <c r="V1894" s="19"/>
    </row>
    <row r="1895" customFormat="false" ht="15" hidden="false" customHeight="false" outlineLevel="0" collapsed="false">
      <c r="A1895" s="19" t="s">
        <v>6015</v>
      </c>
      <c r="B1895" s="19" t="s">
        <v>943</v>
      </c>
      <c r="C1895" s="19" t="s">
        <v>944</v>
      </c>
      <c r="D1895" s="19" t="s">
        <v>148</v>
      </c>
      <c r="E1895" s="19" t="s">
        <v>147</v>
      </c>
      <c r="F1895" s="19" t="s">
        <v>194</v>
      </c>
      <c r="G1895" s="19" t="n">
        <v>219</v>
      </c>
      <c r="H1895" s="19" t="s">
        <v>195</v>
      </c>
      <c r="I1895" s="20" t="n">
        <v>70.65</v>
      </c>
      <c r="J1895" s="19" t="n">
        <f aca="false">IF(I1895="","",MIN(Overview!$B$8,MAX(1,CEILING(I1895/Overview!$B$7,1))))</f>
        <v>15</v>
      </c>
      <c r="K1895" s="19" t="n">
        <v>1</v>
      </c>
      <c r="L1895" s="19"/>
      <c r="M1895" s="20" t="n">
        <v>3</v>
      </c>
      <c r="N1895" s="19"/>
      <c r="O1895" s="19"/>
      <c r="P1895" s="19" t="s">
        <v>945</v>
      </c>
      <c r="Q1895" s="19" t="s">
        <v>946</v>
      </c>
      <c r="R1895" s="21" t="n">
        <v>44676</v>
      </c>
      <c r="S1895" s="19" t="s">
        <v>947</v>
      </c>
      <c r="T1895" s="19" t="s">
        <v>6016</v>
      </c>
      <c r="U1895" s="19" t="str">
        <f aca="false">HYPERLINK("https://macaulaylibrary.org/asset/451633031","Open")</f>
        <v>Open</v>
      </c>
      <c r="V1895" s="19"/>
    </row>
    <row r="1896" customFormat="false" ht="15" hidden="false" customHeight="false" outlineLevel="0" collapsed="false">
      <c r="A1896" s="19" t="s">
        <v>6017</v>
      </c>
      <c r="B1896" s="19" t="s">
        <v>943</v>
      </c>
      <c r="C1896" s="19" t="s">
        <v>944</v>
      </c>
      <c r="D1896" s="19" t="s">
        <v>148</v>
      </c>
      <c r="E1896" s="19" t="s">
        <v>147</v>
      </c>
      <c r="F1896" s="19" t="s">
        <v>194</v>
      </c>
      <c r="G1896" s="19" t="n">
        <v>219</v>
      </c>
      <c r="H1896" s="19" t="s">
        <v>195</v>
      </c>
      <c r="I1896" s="20" t="n">
        <v>30.016</v>
      </c>
      <c r="J1896" s="19" t="n">
        <f aca="false">IF(I1896="","",MIN(Overview!$B$8,MAX(1,CEILING(I1896/Overview!$B$7,1))))</f>
        <v>7</v>
      </c>
      <c r="K1896" s="19" t="n">
        <v>1</v>
      </c>
      <c r="L1896" s="19"/>
      <c r="M1896" s="20" t="n">
        <v>3</v>
      </c>
      <c r="N1896" s="19"/>
      <c r="O1896" s="19"/>
      <c r="P1896" s="19" t="s">
        <v>4524</v>
      </c>
      <c r="Q1896" s="19" t="s">
        <v>1925</v>
      </c>
      <c r="R1896" s="21" t="n">
        <v>44750</v>
      </c>
      <c r="S1896" s="19" t="s">
        <v>4525</v>
      </c>
      <c r="T1896" s="19" t="s">
        <v>6018</v>
      </c>
      <c r="U1896" s="19" t="str">
        <f aca="false">HYPERLINK("https://macaulaylibrary.org/asset/465851601","Open")</f>
        <v>Open</v>
      </c>
      <c r="V1896" s="19"/>
    </row>
    <row r="1897" customFormat="false" ht="15" hidden="false" customHeight="false" outlineLevel="0" collapsed="false">
      <c r="A1897" s="19" t="s">
        <v>6019</v>
      </c>
      <c r="B1897" s="19" t="s">
        <v>943</v>
      </c>
      <c r="C1897" s="19" t="s">
        <v>944</v>
      </c>
      <c r="D1897" s="19" t="s">
        <v>148</v>
      </c>
      <c r="E1897" s="19" t="s">
        <v>147</v>
      </c>
      <c r="F1897" s="19" t="s">
        <v>194</v>
      </c>
      <c r="G1897" s="19" t="n">
        <v>219</v>
      </c>
      <c r="H1897" s="19" t="s">
        <v>195</v>
      </c>
      <c r="I1897" s="20" t="n">
        <v>26.091</v>
      </c>
      <c r="J1897" s="19" t="n">
        <f aca="false">IF(I1897="","",MIN(Overview!$B$8,MAX(1,CEILING(I1897/Overview!$B$7,1))))</f>
        <v>6</v>
      </c>
      <c r="K1897" s="19" t="n">
        <v>1</v>
      </c>
      <c r="L1897" s="19"/>
      <c r="M1897" s="20" t="n">
        <v>4.83</v>
      </c>
      <c r="N1897" s="19"/>
      <c r="O1897" s="19"/>
      <c r="P1897" s="19" t="s">
        <v>6020</v>
      </c>
      <c r="Q1897" s="19" t="s">
        <v>6021</v>
      </c>
      <c r="R1897" s="21" t="n">
        <v>44744</v>
      </c>
      <c r="S1897" s="19" t="s">
        <v>2147</v>
      </c>
      <c r="T1897" s="19" t="s">
        <v>6022</v>
      </c>
      <c r="U1897" s="19" t="str">
        <f aca="false">HYPERLINK("https://macaulaylibrary.org/asset/467900581","Open")</f>
        <v>Open</v>
      </c>
      <c r="V1897" s="19"/>
    </row>
    <row r="1898" customFormat="false" ht="15" hidden="false" customHeight="false" outlineLevel="0" collapsed="false">
      <c r="A1898" s="19" t="s">
        <v>6023</v>
      </c>
      <c r="B1898" s="19" t="s">
        <v>943</v>
      </c>
      <c r="C1898" s="19" t="s">
        <v>944</v>
      </c>
      <c r="D1898" s="19" t="s">
        <v>148</v>
      </c>
      <c r="E1898" s="19" t="s">
        <v>147</v>
      </c>
      <c r="F1898" s="19" t="s">
        <v>194</v>
      </c>
      <c r="G1898" s="19" t="n">
        <v>219</v>
      </c>
      <c r="H1898" s="19" t="s">
        <v>195</v>
      </c>
      <c r="I1898" s="20" t="n">
        <v>4.543</v>
      </c>
      <c r="J1898" s="19" t="n">
        <f aca="false">IF(I1898="","",MIN(Overview!$B$8,MAX(1,CEILING(I1898/Overview!$B$7,1))))</f>
        <v>1</v>
      </c>
      <c r="K1898" s="19" t="n">
        <v>1</v>
      </c>
      <c r="L1898" s="19" t="s">
        <v>1048</v>
      </c>
      <c r="M1898" s="20"/>
      <c r="N1898" s="19"/>
      <c r="O1898" s="19"/>
      <c r="P1898" s="19" t="s">
        <v>1418</v>
      </c>
      <c r="Q1898" s="19" t="s">
        <v>1204</v>
      </c>
      <c r="R1898" s="21" t="n">
        <v>44609</v>
      </c>
      <c r="S1898" s="19" t="s">
        <v>1419</v>
      </c>
      <c r="T1898" s="19" t="s">
        <v>6024</v>
      </c>
      <c r="U1898" s="19" t="str">
        <f aca="false">HYPERLINK("https://macaulaylibrary.org/asset/531098791","Open")</f>
        <v>Open</v>
      </c>
      <c r="V1898" s="19"/>
    </row>
    <row r="1899" customFormat="false" ht="15" hidden="false" customHeight="false" outlineLevel="0" collapsed="false">
      <c r="A1899" s="19" t="s">
        <v>6025</v>
      </c>
      <c r="B1899" s="19" t="s">
        <v>943</v>
      </c>
      <c r="C1899" s="19" t="s">
        <v>944</v>
      </c>
      <c r="D1899" s="19" t="s">
        <v>148</v>
      </c>
      <c r="E1899" s="19" t="s">
        <v>147</v>
      </c>
      <c r="F1899" s="19" t="s">
        <v>194</v>
      </c>
      <c r="G1899" s="19" t="n">
        <v>219</v>
      </c>
      <c r="H1899" s="19" t="s">
        <v>195</v>
      </c>
      <c r="I1899" s="20" t="n">
        <v>4.584</v>
      </c>
      <c r="J1899" s="19" t="n">
        <f aca="false">IF(I1899="","",MIN(Overview!$B$8,MAX(1,CEILING(I1899/Overview!$B$7,1))))</f>
        <v>1</v>
      </c>
      <c r="K1899" s="19" t="n">
        <v>1</v>
      </c>
      <c r="L1899" s="19" t="s">
        <v>1048</v>
      </c>
      <c r="M1899" s="20"/>
      <c r="N1899" s="19"/>
      <c r="O1899" s="19"/>
      <c r="P1899" s="19" t="s">
        <v>1426</v>
      </c>
      <c r="Q1899" s="19" t="s">
        <v>1204</v>
      </c>
      <c r="R1899" s="21" t="n">
        <v>44611</v>
      </c>
      <c r="S1899" s="19" t="s">
        <v>1259</v>
      </c>
      <c r="T1899" s="19" t="s">
        <v>6026</v>
      </c>
      <c r="U1899" s="19" t="str">
        <f aca="false">HYPERLINK("https://macaulaylibrary.org/asset/531226441","Open")</f>
        <v>Open</v>
      </c>
      <c r="V1899" s="19"/>
    </row>
    <row r="1900" customFormat="false" ht="15" hidden="false" customHeight="false" outlineLevel="0" collapsed="false">
      <c r="A1900" s="19" t="s">
        <v>6027</v>
      </c>
      <c r="B1900" s="19" t="s">
        <v>943</v>
      </c>
      <c r="C1900" s="19" t="s">
        <v>944</v>
      </c>
      <c r="D1900" s="19" t="s">
        <v>148</v>
      </c>
      <c r="E1900" s="19" t="s">
        <v>147</v>
      </c>
      <c r="F1900" s="19" t="s">
        <v>194</v>
      </c>
      <c r="G1900" s="19" t="n">
        <v>219</v>
      </c>
      <c r="H1900" s="19" t="s">
        <v>195</v>
      </c>
      <c r="I1900" s="20" t="n">
        <v>3.22</v>
      </c>
      <c r="J1900" s="19" t="n">
        <f aca="false">IF(I1900="","",MIN(Overview!$B$8,MAX(1,CEILING(I1900/Overview!$B$7,1))))</f>
        <v>1</v>
      </c>
      <c r="K1900" s="19" t="n">
        <v>1</v>
      </c>
      <c r="L1900" s="19" t="s">
        <v>1048</v>
      </c>
      <c r="M1900" s="20"/>
      <c r="N1900" s="19"/>
      <c r="O1900" s="19"/>
      <c r="P1900" s="19" t="s">
        <v>1426</v>
      </c>
      <c r="Q1900" s="19" t="s">
        <v>1204</v>
      </c>
      <c r="R1900" s="21" t="n">
        <v>44611</v>
      </c>
      <c r="S1900" s="19" t="s">
        <v>1259</v>
      </c>
      <c r="T1900" s="19" t="s">
        <v>6028</v>
      </c>
      <c r="U1900" s="19" t="str">
        <f aca="false">HYPERLINK("https://macaulaylibrary.org/asset/531226451","Open")</f>
        <v>Open</v>
      </c>
      <c r="V1900" s="19"/>
    </row>
    <row r="1901" customFormat="false" ht="15" hidden="false" customHeight="false" outlineLevel="0" collapsed="false">
      <c r="A1901" s="19" t="s">
        <v>6029</v>
      </c>
      <c r="B1901" s="19" t="s">
        <v>943</v>
      </c>
      <c r="C1901" s="19" t="s">
        <v>944</v>
      </c>
      <c r="D1901" s="19" t="s">
        <v>148</v>
      </c>
      <c r="E1901" s="19" t="s">
        <v>147</v>
      </c>
      <c r="F1901" s="19" t="s">
        <v>194</v>
      </c>
      <c r="G1901" s="19" t="n">
        <v>219</v>
      </c>
      <c r="H1901" s="19" t="s">
        <v>195</v>
      </c>
      <c r="I1901" s="20" t="n">
        <v>15.913</v>
      </c>
      <c r="J1901" s="19" t="n">
        <f aca="false">IF(I1901="","",MIN(Overview!$B$8,MAX(1,CEILING(I1901/Overview!$B$7,1))))</f>
        <v>4</v>
      </c>
      <c r="K1901" s="19" t="n">
        <v>1</v>
      </c>
      <c r="L1901" s="19"/>
      <c r="M1901" s="20" t="n">
        <v>5</v>
      </c>
      <c r="N1901" s="19"/>
      <c r="O1901" s="19"/>
      <c r="P1901" s="19" t="s">
        <v>1426</v>
      </c>
      <c r="Q1901" s="19" t="s">
        <v>1204</v>
      </c>
      <c r="R1901" s="21" t="n">
        <v>44611</v>
      </c>
      <c r="S1901" s="19" t="s">
        <v>1259</v>
      </c>
      <c r="T1901" s="19" t="s">
        <v>6030</v>
      </c>
      <c r="U1901" s="19" t="str">
        <f aca="false">HYPERLINK("https://macaulaylibrary.org/asset/531226461","Open")</f>
        <v>Open</v>
      </c>
      <c r="V1901" s="19"/>
    </row>
    <row r="1902" customFormat="false" ht="15" hidden="false" customHeight="false" outlineLevel="0" collapsed="false">
      <c r="A1902" s="19" t="s">
        <v>6031</v>
      </c>
      <c r="B1902" s="19" t="s">
        <v>943</v>
      </c>
      <c r="C1902" s="19" t="s">
        <v>944</v>
      </c>
      <c r="D1902" s="19" t="s">
        <v>148</v>
      </c>
      <c r="E1902" s="19" t="s">
        <v>147</v>
      </c>
      <c r="F1902" s="19" t="s">
        <v>194</v>
      </c>
      <c r="G1902" s="19" t="n">
        <v>219</v>
      </c>
      <c r="H1902" s="19" t="s">
        <v>195</v>
      </c>
      <c r="I1902" s="20" t="n">
        <v>17.274</v>
      </c>
      <c r="J1902" s="19" t="n">
        <f aca="false">IF(I1902="","",MIN(Overview!$B$8,MAX(1,CEILING(I1902/Overview!$B$7,1))))</f>
        <v>4</v>
      </c>
      <c r="K1902" s="19" t="n">
        <v>1</v>
      </c>
      <c r="L1902" s="19"/>
      <c r="M1902" s="20" t="n">
        <v>3</v>
      </c>
      <c r="N1902" s="19"/>
      <c r="O1902" s="19"/>
      <c r="P1902" s="19" t="s">
        <v>1297</v>
      </c>
      <c r="Q1902" s="19" t="s">
        <v>1298</v>
      </c>
      <c r="R1902" s="21" t="n">
        <v>44994</v>
      </c>
      <c r="S1902" s="19" t="s">
        <v>1299</v>
      </c>
      <c r="T1902" s="19" t="s">
        <v>6032</v>
      </c>
      <c r="U1902" s="19" t="str">
        <f aca="false">HYPERLINK("https://macaulaylibrary.org/asset/543645951","Open")</f>
        <v>Open</v>
      </c>
      <c r="V1902" s="19"/>
    </row>
    <row r="1903" customFormat="false" ht="15" hidden="false" customHeight="false" outlineLevel="0" collapsed="false">
      <c r="A1903" s="19" t="s">
        <v>6033</v>
      </c>
      <c r="B1903" s="19" t="s">
        <v>943</v>
      </c>
      <c r="C1903" s="19" t="s">
        <v>944</v>
      </c>
      <c r="D1903" s="19" t="s">
        <v>148</v>
      </c>
      <c r="E1903" s="19" t="s">
        <v>147</v>
      </c>
      <c r="F1903" s="19" t="s">
        <v>194</v>
      </c>
      <c r="G1903" s="19" t="n">
        <v>219</v>
      </c>
      <c r="H1903" s="19" t="s">
        <v>195</v>
      </c>
      <c r="I1903" s="20" t="n">
        <v>24.533</v>
      </c>
      <c r="J1903" s="19" t="n">
        <f aca="false">IF(I1903="","",MIN(Overview!$B$8,MAX(1,CEILING(I1903/Overview!$B$7,1))))</f>
        <v>5</v>
      </c>
      <c r="K1903" s="19" t="n">
        <v>1</v>
      </c>
      <c r="L1903" s="19"/>
      <c r="M1903" s="20" t="n">
        <v>3</v>
      </c>
      <c r="N1903" s="19"/>
      <c r="O1903" s="19"/>
      <c r="P1903" s="19" t="s">
        <v>2692</v>
      </c>
      <c r="Q1903" s="19" t="s">
        <v>1148</v>
      </c>
      <c r="R1903" s="21" t="n">
        <v>45017</v>
      </c>
      <c r="S1903" s="19" t="s">
        <v>2693</v>
      </c>
      <c r="T1903" s="19" t="s">
        <v>6034</v>
      </c>
      <c r="U1903" s="19" t="str">
        <f aca="false">HYPERLINK("https://macaulaylibrary.org/asset/553696811","Open")</f>
        <v>Open</v>
      </c>
      <c r="V1903" s="19"/>
    </row>
    <row r="1904" customFormat="false" ht="15" hidden="false" customHeight="false" outlineLevel="0" collapsed="false">
      <c r="A1904" s="19" t="s">
        <v>6035</v>
      </c>
      <c r="B1904" s="19" t="s">
        <v>943</v>
      </c>
      <c r="C1904" s="19" t="s">
        <v>944</v>
      </c>
      <c r="D1904" s="19" t="s">
        <v>148</v>
      </c>
      <c r="E1904" s="19" t="s">
        <v>147</v>
      </c>
      <c r="F1904" s="19" t="s">
        <v>194</v>
      </c>
      <c r="G1904" s="19" t="n">
        <v>219</v>
      </c>
      <c r="H1904" s="19" t="s">
        <v>195</v>
      </c>
      <c r="I1904" s="20" t="n">
        <v>51.3</v>
      </c>
      <c r="J1904" s="19" t="n">
        <f aca="false">IF(I1904="","",MIN(Overview!$B$8,MAX(1,CEILING(I1904/Overview!$B$7,1))))</f>
        <v>11</v>
      </c>
      <c r="K1904" s="19" t="n">
        <v>1</v>
      </c>
      <c r="L1904" s="19"/>
      <c r="M1904" s="20"/>
      <c r="N1904" s="19"/>
      <c r="O1904" s="19"/>
      <c r="P1904" s="19" t="s">
        <v>1605</v>
      </c>
      <c r="Q1904" s="19" t="s">
        <v>1040</v>
      </c>
      <c r="R1904" s="21" t="n">
        <v>40902</v>
      </c>
      <c r="S1904" s="19" t="s">
        <v>1002</v>
      </c>
      <c r="T1904" s="19" t="s">
        <v>6036</v>
      </c>
      <c r="U1904" s="19" t="str">
        <f aca="false">HYPERLINK("https://macaulaylibrary.org/asset/609056562","Open")</f>
        <v>Open</v>
      </c>
      <c r="V1904" s="19"/>
    </row>
    <row r="1905" customFormat="false" ht="15" hidden="false" customHeight="false" outlineLevel="0" collapsed="false">
      <c r="A1905" s="19" t="s">
        <v>6037</v>
      </c>
      <c r="B1905" s="19" t="s">
        <v>943</v>
      </c>
      <c r="C1905" s="19" t="s">
        <v>944</v>
      </c>
      <c r="D1905" s="19" t="s">
        <v>148</v>
      </c>
      <c r="E1905" s="19" t="s">
        <v>147</v>
      </c>
      <c r="F1905" s="19" t="s">
        <v>194</v>
      </c>
      <c r="G1905" s="19" t="n">
        <v>219</v>
      </c>
      <c r="H1905" s="19" t="s">
        <v>195</v>
      </c>
      <c r="I1905" s="20" t="n">
        <v>16.013</v>
      </c>
      <c r="J1905" s="19" t="n">
        <f aca="false">IF(I1905="","",MIN(Overview!$B$8,MAX(1,CEILING(I1905/Overview!$B$7,1))))</f>
        <v>4</v>
      </c>
      <c r="K1905" s="19" t="n">
        <v>1</v>
      </c>
      <c r="L1905" s="19"/>
      <c r="M1905" s="20" t="n">
        <v>5</v>
      </c>
      <c r="N1905" s="19"/>
      <c r="O1905" s="19"/>
      <c r="P1905" s="19" t="s">
        <v>3683</v>
      </c>
      <c r="Q1905" s="19" t="s">
        <v>2085</v>
      </c>
      <c r="R1905" s="21" t="n">
        <v>45276</v>
      </c>
      <c r="S1905" s="19" t="s">
        <v>1306</v>
      </c>
      <c r="T1905" s="19" t="s">
        <v>6038</v>
      </c>
      <c r="U1905" s="19" t="str">
        <f aca="false">HYPERLINK("https://macaulaylibrary.org/asset/612553623","Open")</f>
        <v>Open</v>
      </c>
      <c r="V1905" s="19"/>
    </row>
    <row r="1906" customFormat="false" ht="15" hidden="false" customHeight="false" outlineLevel="0" collapsed="false">
      <c r="A1906" s="19" t="s">
        <v>6039</v>
      </c>
      <c r="B1906" s="19" t="s">
        <v>943</v>
      </c>
      <c r="C1906" s="19" t="s">
        <v>944</v>
      </c>
      <c r="D1906" s="19" t="s">
        <v>148</v>
      </c>
      <c r="E1906" s="19" t="s">
        <v>147</v>
      </c>
      <c r="F1906" s="19" t="s">
        <v>194</v>
      </c>
      <c r="G1906" s="19" t="n">
        <v>219</v>
      </c>
      <c r="H1906" s="19" t="s">
        <v>195</v>
      </c>
      <c r="I1906" s="20" t="n">
        <v>14.245</v>
      </c>
      <c r="J1906" s="19" t="n">
        <f aca="false">IF(I1906="","",MIN(Overview!$B$8,MAX(1,CEILING(I1906/Overview!$B$7,1))))</f>
        <v>3</v>
      </c>
      <c r="K1906" s="19" t="n">
        <v>1</v>
      </c>
      <c r="L1906" s="19"/>
      <c r="M1906" s="20" t="n">
        <v>3.5</v>
      </c>
      <c r="N1906" s="19"/>
      <c r="O1906" s="19"/>
      <c r="P1906" s="19" t="s">
        <v>3219</v>
      </c>
      <c r="Q1906" s="19" t="s">
        <v>1086</v>
      </c>
      <c r="R1906" s="21" t="n">
        <v>45296</v>
      </c>
      <c r="S1906" s="19" t="s">
        <v>2319</v>
      </c>
      <c r="T1906" s="19" t="s">
        <v>6040</v>
      </c>
      <c r="U1906" s="19" t="str">
        <f aca="false">HYPERLINK("https://macaulaylibrary.org/asset/614019801","Open")</f>
        <v>Open</v>
      </c>
      <c r="V1906" s="19"/>
    </row>
    <row r="1907" customFormat="false" ht="15" hidden="false" customHeight="false" outlineLevel="0" collapsed="false">
      <c r="A1907" s="19" t="s">
        <v>6041</v>
      </c>
      <c r="B1907" s="19" t="s">
        <v>943</v>
      </c>
      <c r="C1907" s="19" t="s">
        <v>944</v>
      </c>
      <c r="D1907" s="19" t="s">
        <v>148</v>
      </c>
      <c r="E1907" s="19" t="s">
        <v>147</v>
      </c>
      <c r="F1907" s="19" t="s">
        <v>194</v>
      </c>
      <c r="G1907" s="19" t="n">
        <v>219</v>
      </c>
      <c r="H1907" s="19" t="s">
        <v>195</v>
      </c>
      <c r="I1907" s="20" t="n">
        <v>28.529</v>
      </c>
      <c r="J1907" s="19" t="n">
        <f aca="false">IF(I1907="","",MIN(Overview!$B$8,MAX(1,CEILING(I1907/Overview!$B$7,1))))</f>
        <v>6</v>
      </c>
      <c r="K1907" s="19" t="n">
        <v>1</v>
      </c>
      <c r="L1907" s="19"/>
      <c r="M1907" s="20" t="n">
        <v>2.5</v>
      </c>
      <c r="N1907" s="19"/>
      <c r="O1907" s="19"/>
      <c r="P1907" s="19" t="s">
        <v>3219</v>
      </c>
      <c r="Q1907" s="19" t="s">
        <v>1086</v>
      </c>
      <c r="R1907" s="21" t="n">
        <v>45296</v>
      </c>
      <c r="S1907" s="19" t="s">
        <v>2319</v>
      </c>
      <c r="T1907" s="19" t="s">
        <v>6042</v>
      </c>
      <c r="U1907" s="19" t="str">
        <f aca="false">HYPERLINK("https://macaulaylibrary.org/asset/614019824","Open")</f>
        <v>Open</v>
      </c>
      <c r="V1907" s="19"/>
    </row>
    <row r="1908" customFormat="false" ht="15" hidden="false" customHeight="false" outlineLevel="0" collapsed="false">
      <c r="A1908" s="19" t="s">
        <v>6043</v>
      </c>
      <c r="B1908" s="19" t="s">
        <v>943</v>
      </c>
      <c r="C1908" s="19" t="s">
        <v>944</v>
      </c>
      <c r="D1908" s="19" t="s">
        <v>148</v>
      </c>
      <c r="E1908" s="19" t="s">
        <v>147</v>
      </c>
      <c r="F1908" s="19" t="s">
        <v>194</v>
      </c>
      <c r="G1908" s="19" t="n">
        <v>219</v>
      </c>
      <c r="H1908" s="19" t="s">
        <v>195</v>
      </c>
      <c r="I1908" s="20" t="n">
        <v>62.109</v>
      </c>
      <c r="J1908" s="19" t="n">
        <f aca="false">IF(I1908="","",MIN(Overview!$B$8,MAX(1,CEILING(I1908/Overview!$B$7,1))))</f>
        <v>13</v>
      </c>
      <c r="K1908" s="19" t="n">
        <v>1</v>
      </c>
      <c r="L1908" s="19"/>
      <c r="M1908" s="20" t="n">
        <v>3.5</v>
      </c>
      <c r="N1908" s="19"/>
      <c r="O1908" s="19" t="s">
        <v>6044</v>
      </c>
      <c r="P1908" s="19" t="s">
        <v>1462</v>
      </c>
      <c r="Q1908" s="19" t="s">
        <v>1463</v>
      </c>
      <c r="R1908" s="21" t="n">
        <v>44962</v>
      </c>
      <c r="S1908" s="19" t="s">
        <v>1464</v>
      </c>
      <c r="T1908" s="19" t="s">
        <v>6045</v>
      </c>
      <c r="U1908" s="19" t="str">
        <f aca="false">HYPERLINK("https://macaulaylibrary.org/asset/614377553","Open")</f>
        <v>Open</v>
      </c>
      <c r="V1908" s="19"/>
    </row>
    <row r="1909" customFormat="false" ht="15" hidden="false" customHeight="false" outlineLevel="0" collapsed="false">
      <c r="A1909" s="19" t="s">
        <v>6046</v>
      </c>
      <c r="B1909" s="19" t="s">
        <v>943</v>
      </c>
      <c r="C1909" s="19" t="s">
        <v>944</v>
      </c>
      <c r="D1909" s="19" t="s">
        <v>148</v>
      </c>
      <c r="E1909" s="19" t="s">
        <v>147</v>
      </c>
      <c r="F1909" s="19" t="s">
        <v>194</v>
      </c>
      <c r="G1909" s="19" t="n">
        <v>219</v>
      </c>
      <c r="H1909" s="19" t="s">
        <v>195</v>
      </c>
      <c r="I1909" s="20" t="n">
        <v>27.305</v>
      </c>
      <c r="J1909" s="19" t="n">
        <f aca="false">IF(I1909="","",MIN(Overview!$B$8,MAX(1,CEILING(I1909/Overview!$B$7,1))))</f>
        <v>6</v>
      </c>
      <c r="K1909" s="19" t="n">
        <v>1</v>
      </c>
      <c r="L1909" s="19"/>
      <c r="M1909" s="20" t="n">
        <v>3</v>
      </c>
      <c r="N1909" s="19"/>
      <c r="O1909" s="19"/>
      <c r="P1909" s="19" t="s">
        <v>2424</v>
      </c>
      <c r="Q1909" s="19" t="s">
        <v>2207</v>
      </c>
      <c r="R1909" s="21" t="n">
        <v>45610</v>
      </c>
      <c r="S1909" s="19" t="s">
        <v>2425</v>
      </c>
      <c r="T1909" s="19" t="s">
        <v>6047</v>
      </c>
      <c r="U1909" s="19" t="str">
        <f aca="false">HYPERLINK("https://macaulaylibrary.org/asset/626929950","Open")</f>
        <v>Open</v>
      </c>
      <c r="V1909" s="19"/>
    </row>
    <row r="1910" customFormat="false" ht="15" hidden="false" customHeight="false" outlineLevel="0" collapsed="false">
      <c r="A1910" s="19" t="s">
        <v>6048</v>
      </c>
      <c r="B1910" s="19" t="s">
        <v>943</v>
      </c>
      <c r="C1910" s="19" t="s">
        <v>944</v>
      </c>
      <c r="D1910" s="19" t="s">
        <v>148</v>
      </c>
      <c r="E1910" s="19" t="s">
        <v>147</v>
      </c>
      <c r="F1910" s="19" t="s">
        <v>194</v>
      </c>
      <c r="G1910" s="19" t="n">
        <v>219</v>
      </c>
      <c r="H1910" s="19" t="s">
        <v>195</v>
      </c>
      <c r="I1910" s="20" t="n">
        <v>2.433</v>
      </c>
      <c r="J1910" s="19" t="n">
        <f aca="false">IF(I1910="","",MIN(Overview!$B$8,MAX(1,CEILING(I1910/Overview!$B$7,1))))</f>
        <v>1</v>
      </c>
      <c r="K1910" s="19" t="n">
        <v>1</v>
      </c>
      <c r="L1910" s="19" t="s">
        <v>1048</v>
      </c>
      <c r="M1910" s="20" t="n">
        <v>3</v>
      </c>
      <c r="N1910" s="19"/>
      <c r="O1910" s="19"/>
      <c r="P1910" s="19" t="s">
        <v>1482</v>
      </c>
      <c r="Q1910" s="19" t="s">
        <v>1483</v>
      </c>
      <c r="R1910" s="21" t="n">
        <v>45293</v>
      </c>
      <c r="S1910" s="19" t="s">
        <v>1484</v>
      </c>
      <c r="T1910" s="19" t="s">
        <v>6049</v>
      </c>
      <c r="U1910" s="19" t="str">
        <f aca="false">HYPERLINK("https://macaulaylibrary.org/asset/639219062","Open")</f>
        <v>Open</v>
      </c>
      <c r="V1910" s="19"/>
    </row>
    <row r="1911" customFormat="false" ht="15" hidden="false" customHeight="false" outlineLevel="0" collapsed="false">
      <c r="A1911" s="19" t="s">
        <v>6050</v>
      </c>
      <c r="B1911" s="19" t="s">
        <v>943</v>
      </c>
      <c r="C1911" s="19" t="s">
        <v>944</v>
      </c>
      <c r="D1911" s="19" t="s">
        <v>148</v>
      </c>
      <c r="E1911" s="19" t="s">
        <v>147</v>
      </c>
      <c r="F1911" s="19" t="s">
        <v>194</v>
      </c>
      <c r="G1911" s="19" t="n">
        <v>219</v>
      </c>
      <c r="H1911" s="19" t="s">
        <v>195</v>
      </c>
      <c r="I1911" s="20" t="n">
        <v>6.517</v>
      </c>
      <c r="J1911" s="19" t="n">
        <f aca="false">IF(I1911="","",MIN(Overview!$B$8,MAX(1,CEILING(I1911/Overview!$B$7,1))))</f>
        <v>2</v>
      </c>
      <c r="K1911" s="19" t="n">
        <v>1</v>
      </c>
      <c r="L1911" s="19"/>
      <c r="M1911" s="20" t="n">
        <v>3</v>
      </c>
      <c r="N1911" s="19"/>
      <c r="O1911" s="19"/>
      <c r="P1911" s="19" t="s">
        <v>5104</v>
      </c>
      <c r="Q1911" s="19" t="s">
        <v>965</v>
      </c>
      <c r="R1911" s="21" t="n">
        <v>46010</v>
      </c>
      <c r="S1911" s="19" t="s">
        <v>5105</v>
      </c>
      <c r="T1911" s="19" t="s">
        <v>6051</v>
      </c>
      <c r="U1911" s="19" t="str">
        <f aca="false">HYPERLINK("https://macaulaylibrary.org/asset/647489688","Open")</f>
        <v>Open</v>
      </c>
      <c r="V1911" s="19"/>
    </row>
    <row r="1912" customFormat="false" ht="15" hidden="false" customHeight="false" outlineLevel="0" collapsed="false">
      <c r="A1912" s="19" t="s">
        <v>6052</v>
      </c>
      <c r="B1912" s="19" t="s">
        <v>943</v>
      </c>
      <c r="C1912" s="19" t="s">
        <v>944</v>
      </c>
      <c r="D1912" s="19" t="s">
        <v>148</v>
      </c>
      <c r="E1912" s="19" t="s">
        <v>147</v>
      </c>
      <c r="F1912" s="19" t="s">
        <v>194</v>
      </c>
      <c r="G1912" s="19" t="n">
        <v>219</v>
      </c>
      <c r="H1912" s="19" t="s">
        <v>195</v>
      </c>
      <c r="I1912" s="20" t="n">
        <v>9.64</v>
      </c>
      <c r="J1912" s="19" t="n">
        <f aca="false">IF(I1912="","",MIN(Overview!$B$8,MAX(1,CEILING(I1912/Overview!$B$7,1))))</f>
        <v>2</v>
      </c>
      <c r="K1912" s="19" t="n">
        <v>1</v>
      </c>
      <c r="L1912" s="19"/>
      <c r="M1912" s="20" t="n">
        <v>4.5</v>
      </c>
      <c r="N1912" s="19"/>
      <c r="O1912" s="19"/>
      <c r="P1912" s="19" t="s">
        <v>1462</v>
      </c>
      <c r="Q1912" s="19" t="s">
        <v>1463</v>
      </c>
      <c r="R1912" s="21" t="n">
        <v>44962</v>
      </c>
      <c r="S1912" s="19" t="s">
        <v>1464</v>
      </c>
      <c r="T1912" s="19" t="s">
        <v>6053</v>
      </c>
      <c r="U1912" s="19" t="str">
        <f aca="false">HYPERLINK("https://macaulaylibrary.org/asset/648194924","Open")</f>
        <v>Open</v>
      </c>
      <c r="V1912" s="19"/>
    </row>
    <row r="1913" customFormat="false" ht="15" hidden="false" customHeight="false" outlineLevel="0" collapsed="false">
      <c r="A1913" s="19" t="s">
        <v>6054</v>
      </c>
      <c r="B1913" s="19" t="s">
        <v>943</v>
      </c>
      <c r="C1913" s="19" t="s">
        <v>944</v>
      </c>
      <c r="D1913" s="19" t="s">
        <v>148</v>
      </c>
      <c r="E1913" s="19" t="s">
        <v>147</v>
      </c>
      <c r="F1913" s="19" t="s">
        <v>194</v>
      </c>
      <c r="G1913" s="19" t="n">
        <v>219</v>
      </c>
      <c r="H1913" s="19" t="s">
        <v>195</v>
      </c>
      <c r="I1913" s="20" t="n">
        <v>74.49</v>
      </c>
      <c r="J1913" s="19" t="n">
        <f aca="false">IF(I1913="","",MIN(Overview!$B$8,MAX(1,CEILING(I1913/Overview!$B$7,1))))</f>
        <v>15</v>
      </c>
      <c r="K1913" s="19" t="n">
        <v>1</v>
      </c>
      <c r="L1913" s="19"/>
      <c r="M1913" s="20" t="n">
        <v>3</v>
      </c>
      <c r="N1913" s="19"/>
      <c r="O1913" s="19" t="s">
        <v>6055</v>
      </c>
      <c r="P1913" s="19" t="s">
        <v>2035</v>
      </c>
      <c r="Q1913" s="19" t="s">
        <v>1502</v>
      </c>
      <c r="R1913" s="21" t="n">
        <v>45941</v>
      </c>
      <c r="S1913" s="19" t="s">
        <v>2036</v>
      </c>
      <c r="T1913" s="19" t="s">
        <v>6056</v>
      </c>
      <c r="U1913" s="19" t="str">
        <f aca="false">HYPERLINK("https://macaulaylibrary.org/asset/648832637","Open")</f>
        <v>Open</v>
      </c>
      <c r="V1913" s="19"/>
    </row>
    <row r="1914" customFormat="false" ht="15" hidden="false" customHeight="false" outlineLevel="0" collapsed="false">
      <c r="A1914" s="19" t="s">
        <v>6057</v>
      </c>
      <c r="B1914" s="19" t="s">
        <v>943</v>
      </c>
      <c r="C1914" s="19" t="s">
        <v>944</v>
      </c>
      <c r="D1914" s="19" t="s">
        <v>148</v>
      </c>
      <c r="E1914" s="19" t="s">
        <v>147</v>
      </c>
      <c r="F1914" s="19" t="s">
        <v>194</v>
      </c>
      <c r="G1914" s="19" t="n">
        <v>219</v>
      </c>
      <c r="H1914" s="19" t="s">
        <v>195</v>
      </c>
      <c r="I1914" s="20" t="n">
        <v>25.654</v>
      </c>
      <c r="J1914" s="19" t="n">
        <f aca="false">IF(I1914="","",MIN(Overview!$B$8,MAX(1,CEILING(I1914/Overview!$B$7,1))))</f>
        <v>6</v>
      </c>
      <c r="K1914" s="19" t="n">
        <v>1</v>
      </c>
      <c r="L1914" s="19"/>
      <c r="M1914" s="20" t="n">
        <v>3</v>
      </c>
      <c r="N1914" s="19"/>
      <c r="O1914" s="19"/>
      <c r="P1914" s="19" t="s">
        <v>1641</v>
      </c>
      <c r="Q1914" s="19" t="s">
        <v>1642</v>
      </c>
      <c r="R1914" s="21" t="n">
        <v>45741</v>
      </c>
      <c r="S1914" s="19" t="s">
        <v>1643</v>
      </c>
      <c r="T1914" s="19" t="s">
        <v>6058</v>
      </c>
      <c r="U1914" s="19" t="str">
        <f aca="false">HYPERLINK("https://macaulaylibrary.org/asset/651258024","Open")</f>
        <v>Open</v>
      </c>
      <c r="V1914" s="19"/>
    </row>
    <row r="1915" customFormat="false" ht="15" hidden="false" customHeight="false" outlineLevel="0" collapsed="false">
      <c r="A1915" s="19" t="s">
        <v>6059</v>
      </c>
      <c r="B1915" s="19" t="s">
        <v>943</v>
      </c>
      <c r="C1915" s="19" t="s">
        <v>944</v>
      </c>
      <c r="D1915" s="19" t="s">
        <v>148</v>
      </c>
      <c r="E1915" s="19" t="s">
        <v>147</v>
      </c>
      <c r="F1915" s="19" t="s">
        <v>194</v>
      </c>
      <c r="G1915" s="19" t="n">
        <v>219</v>
      </c>
      <c r="H1915" s="19" t="s">
        <v>195</v>
      </c>
      <c r="I1915" s="20" t="n">
        <v>9.672</v>
      </c>
      <c r="J1915" s="19" t="n">
        <f aca="false">IF(I1915="","",MIN(Overview!$B$8,MAX(1,CEILING(I1915/Overview!$B$7,1))))</f>
        <v>2</v>
      </c>
      <c r="K1915" s="19" t="n">
        <v>1</v>
      </c>
      <c r="L1915" s="19"/>
      <c r="M1915" s="20" t="n">
        <v>2</v>
      </c>
      <c r="N1915" s="19"/>
      <c r="O1915" s="19"/>
      <c r="P1915" s="19" t="s">
        <v>1049</v>
      </c>
      <c r="Q1915" s="19" t="s">
        <v>1050</v>
      </c>
      <c r="R1915" s="21" t="n">
        <v>43406</v>
      </c>
      <c r="S1915" s="19" t="s">
        <v>1051</v>
      </c>
      <c r="T1915" s="19" t="s">
        <v>6060</v>
      </c>
      <c r="U1915" s="19" t="str">
        <f aca="false">HYPERLINK("https://macaulaylibrary.org/asset/662832002","Open")</f>
        <v>Open</v>
      </c>
      <c r="V1915" s="19"/>
    </row>
    <row r="1916" customFormat="false" ht="15" hidden="false" customHeight="false" outlineLevel="0" collapsed="false">
      <c r="A1916" s="19" t="s">
        <v>6061</v>
      </c>
      <c r="B1916" s="19" t="s">
        <v>943</v>
      </c>
      <c r="C1916" s="19" t="s">
        <v>944</v>
      </c>
      <c r="D1916" s="19" t="s">
        <v>148</v>
      </c>
      <c r="E1916" s="19" t="s">
        <v>147</v>
      </c>
      <c r="F1916" s="19" t="s">
        <v>194</v>
      </c>
      <c r="G1916" s="19" t="n">
        <v>219</v>
      </c>
      <c r="H1916" s="19" t="s">
        <v>195</v>
      </c>
      <c r="I1916" s="20" t="n">
        <v>749.245</v>
      </c>
      <c r="J1916" s="19" t="n">
        <f aca="false">IF(I1916="","",MIN(Overview!$B$8,MAX(1,CEILING(I1916/Overview!$B$7,1))))</f>
        <v>120</v>
      </c>
      <c r="K1916" s="19" t="n">
        <v>1</v>
      </c>
      <c r="L1916" s="19"/>
      <c r="M1916" s="20" t="n">
        <v>4</v>
      </c>
      <c r="N1916" s="19"/>
      <c r="O1916" s="19"/>
      <c r="P1916" s="19" t="s">
        <v>1001</v>
      </c>
      <c r="Q1916" s="19" t="s">
        <v>980</v>
      </c>
      <c r="R1916" s="21" t="n">
        <v>33299</v>
      </c>
      <c r="S1916" s="19" t="s">
        <v>1002</v>
      </c>
      <c r="T1916" s="19" t="s">
        <v>6062</v>
      </c>
      <c r="U1916" s="19" t="str">
        <f aca="false">HYPERLINK("https://macaulaylibrary.org/asset/72655","Open")</f>
        <v>Open</v>
      </c>
      <c r="V1916" s="19"/>
    </row>
    <row r="1917" customFormat="false" ht="15" hidden="false" customHeight="false" outlineLevel="0" collapsed="false">
      <c r="A1917" s="19" t="s">
        <v>6063</v>
      </c>
      <c r="B1917" s="19" t="s">
        <v>943</v>
      </c>
      <c r="C1917" s="19" t="s">
        <v>944</v>
      </c>
      <c r="D1917" s="19" t="s">
        <v>148</v>
      </c>
      <c r="E1917" s="19" t="s">
        <v>147</v>
      </c>
      <c r="F1917" s="19" t="s">
        <v>194</v>
      </c>
      <c r="G1917" s="19" t="n">
        <v>219</v>
      </c>
      <c r="H1917" s="19" t="s">
        <v>195</v>
      </c>
      <c r="I1917" s="20" t="n">
        <v>184.399</v>
      </c>
      <c r="J1917" s="19" t="n">
        <f aca="false">IF(I1917="","",MIN(Overview!$B$8,MAX(1,CEILING(I1917/Overview!$B$7,1))))</f>
        <v>37</v>
      </c>
      <c r="K1917" s="19" t="n">
        <v>1</v>
      </c>
      <c r="L1917" s="19"/>
      <c r="M1917" s="20" t="n">
        <v>3.25</v>
      </c>
      <c r="N1917" s="19"/>
      <c r="O1917" s="19"/>
      <c r="P1917" s="19" t="s">
        <v>1573</v>
      </c>
      <c r="Q1917" s="19" t="s">
        <v>1021</v>
      </c>
      <c r="R1917" s="21" t="n">
        <v>35861</v>
      </c>
      <c r="S1917" s="19" t="s">
        <v>1574</v>
      </c>
      <c r="T1917" s="19" t="s">
        <v>6064</v>
      </c>
      <c r="U1917" s="19" t="str">
        <f aca="false">HYPERLINK("https://macaulaylibrary.org/asset/99575841","Open")</f>
        <v>Open</v>
      </c>
      <c r="V1917" s="19"/>
    </row>
    <row r="1918" customFormat="false" ht="15" hidden="false" customHeight="false" outlineLevel="0" collapsed="false">
      <c r="A1918" s="19" t="s">
        <v>6065</v>
      </c>
      <c r="B1918" s="19" t="s">
        <v>943</v>
      </c>
      <c r="C1918" s="19" t="s">
        <v>944</v>
      </c>
      <c r="D1918" s="19" t="s">
        <v>148</v>
      </c>
      <c r="E1918" s="19" t="s">
        <v>147</v>
      </c>
      <c r="F1918" s="19" t="s">
        <v>388</v>
      </c>
      <c r="G1918" s="19" t="n">
        <v>220</v>
      </c>
      <c r="H1918" s="19" t="s">
        <v>389</v>
      </c>
      <c r="I1918" s="20" t="n">
        <v>5.265</v>
      </c>
      <c r="J1918" s="19" t="n">
        <f aca="false">IF(I1918="","",MIN(Overview!$B$8,MAX(1,CEILING(I1918/Overview!$B$7,1))))</f>
        <v>2</v>
      </c>
      <c r="K1918" s="19" t="n">
        <v>1</v>
      </c>
      <c r="L1918" s="19"/>
      <c r="M1918" s="20" t="n">
        <v>2.67</v>
      </c>
      <c r="N1918" s="19"/>
      <c r="O1918" s="19"/>
      <c r="P1918" s="19" t="s">
        <v>1170</v>
      </c>
      <c r="Q1918" s="19" t="s">
        <v>1166</v>
      </c>
      <c r="R1918" s="21" t="n">
        <v>44900</v>
      </c>
      <c r="S1918" s="19" t="s">
        <v>1092</v>
      </c>
      <c r="T1918" s="19" t="s">
        <v>6066</v>
      </c>
      <c r="U1918" s="19" t="str">
        <f aca="false">HYPERLINK("https://macaulaylibrary.org/asset/597934721","Open")</f>
        <v>Open</v>
      </c>
      <c r="V1918" s="19"/>
    </row>
    <row r="1919" customFormat="false" ht="15" hidden="false" customHeight="false" outlineLevel="0" collapsed="false">
      <c r="A1919" s="19" t="s">
        <v>6067</v>
      </c>
      <c r="B1919" s="19" t="s">
        <v>943</v>
      </c>
      <c r="C1919" s="19" t="s">
        <v>944</v>
      </c>
      <c r="D1919" s="19" t="s">
        <v>148</v>
      </c>
      <c r="E1919" s="19" t="s">
        <v>147</v>
      </c>
      <c r="F1919" s="19" t="s">
        <v>388</v>
      </c>
      <c r="G1919" s="19" t="n">
        <v>220</v>
      </c>
      <c r="H1919" s="19" t="s">
        <v>389</v>
      </c>
      <c r="I1919" s="20" t="n">
        <v>19.96</v>
      </c>
      <c r="J1919" s="19" t="n">
        <f aca="false">IF(I1919="","",MIN(Overview!$B$8,MAX(1,CEILING(I1919/Overview!$B$7,1))))</f>
        <v>4</v>
      </c>
      <c r="K1919" s="19" t="n">
        <v>1</v>
      </c>
      <c r="L1919" s="19"/>
      <c r="M1919" s="20" t="n">
        <v>2.33</v>
      </c>
      <c r="N1919" s="19"/>
      <c r="O1919" s="19"/>
      <c r="P1919" s="19" t="s">
        <v>1039</v>
      </c>
      <c r="Q1919" s="19" t="s">
        <v>1040</v>
      </c>
      <c r="R1919" s="21" t="n">
        <v>40901</v>
      </c>
      <c r="S1919" s="19" t="s">
        <v>1002</v>
      </c>
      <c r="T1919" s="19" t="s">
        <v>6068</v>
      </c>
      <c r="U1919" s="19" t="str">
        <f aca="false">HYPERLINK("https://macaulaylibrary.org/asset/609056545","Open")</f>
        <v>Open</v>
      </c>
      <c r="V1919" s="19"/>
    </row>
    <row r="1920" customFormat="false" ht="15" hidden="false" customHeight="false" outlineLevel="0" collapsed="false">
      <c r="A1920" s="19" t="s">
        <v>6069</v>
      </c>
      <c r="B1920" s="19" t="s">
        <v>943</v>
      </c>
      <c r="C1920" s="19" t="s">
        <v>944</v>
      </c>
      <c r="D1920" s="19" t="s">
        <v>148</v>
      </c>
      <c r="E1920" s="19" t="s">
        <v>147</v>
      </c>
      <c r="F1920" s="19" t="s">
        <v>388</v>
      </c>
      <c r="G1920" s="19" t="n">
        <v>220</v>
      </c>
      <c r="H1920" s="19" t="s">
        <v>389</v>
      </c>
      <c r="I1920" s="20" t="n">
        <v>14.791</v>
      </c>
      <c r="J1920" s="19" t="n">
        <f aca="false">IF(I1920="","",MIN(Overview!$B$8,MAX(1,CEILING(I1920/Overview!$B$7,1))))</f>
        <v>3</v>
      </c>
      <c r="K1920" s="19" t="n">
        <v>1</v>
      </c>
      <c r="L1920" s="19"/>
      <c r="M1920" s="20" t="n">
        <v>3.5</v>
      </c>
      <c r="N1920" s="19"/>
      <c r="O1920" s="19"/>
      <c r="P1920" s="19" t="s">
        <v>1364</v>
      </c>
      <c r="Q1920" s="19" t="s">
        <v>1040</v>
      </c>
      <c r="R1920" s="21" t="n">
        <v>41630</v>
      </c>
      <c r="S1920" s="19" t="s">
        <v>1002</v>
      </c>
      <c r="T1920" s="19" t="s">
        <v>6070</v>
      </c>
      <c r="U1920" s="19" t="str">
        <f aca="false">HYPERLINK("https://macaulaylibrary.org/asset/609061872","Open")</f>
        <v>Open</v>
      </c>
      <c r="V1920" s="19"/>
    </row>
    <row r="1921" customFormat="false" ht="15" hidden="false" customHeight="false" outlineLevel="0" collapsed="false">
      <c r="A1921" s="19" t="s">
        <v>6071</v>
      </c>
      <c r="B1921" s="19" t="s">
        <v>943</v>
      </c>
      <c r="C1921" s="19" t="s">
        <v>944</v>
      </c>
      <c r="D1921" s="19" t="s">
        <v>148</v>
      </c>
      <c r="E1921" s="19" t="s">
        <v>147</v>
      </c>
      <c r="F1921" s="19" t="s">
        <v>388</v>
      </c>
      <c r="G1921" s="19" t="n">
        <v>220</v>
      </c>
      <c r="H1921" s="19" t="s">
        <v>389</v>
      </c>
      <c r="I1921" s="20" t="n">
        <v>16.249</v>
      </c>
      <c r="J1921" s="19" t="n">
        <f aca="false">IF(I1921="","",MIN(Overview!$B$8,MAX(1,CEILING(I1921/Overview!$B$7,1))))</f>
        <v>4</v>
      </c>
      <c r="K1921" s="19" t="n">
        <v>1</v>
      </c>
      <c r="L1921" s="19"/>
      <c r="M1921" s="20" t="n">
        <v>3</v>
      </c>
      <c r="N1921" s="19"/>
      <c r="O1921" s="19"/>
      <c r="P1921" s="19" t="s">
        <v>1811</v>
      </c>
      <c r="Q1921" s="19" t="s">
        <v>1368</v>
      </c>
      <c r="R1921" s="21" t="n">
        <v>45489</v>
      </c>
      <c r="S1921" s="19" t="s">
        <v>1081</v>
      </c>
      <c r="T1921" s="19" t="s">
        <v>6072</v>
      </c>
      <c r="U1921" s="19" t="str">
        <f aca="false">HYPERLINK("https://macaulaylibrary.org/asset/623072511","Open")</f>
        <v>Open</v>
      </c>
      <c r="V1921" s="19"/>
    </row>
    <row r="1922" customFormat="false" ht="15" hidden="false" customHeight="false" outlineLevel="0" collapsed="false">
      <c r="A1922" s="19" t="s">
        <v>6073</v>
      </c>
      <c r="B1922" s="19" t="s">
        <v>943</v>
      </c>
      <c r="C1922" s="19" t="s">
        <v>944</v>
      </c>
      <c r="D1922" s="19" t="s">
        <v>148</v>
      </c>
      <c r="E1922" s="19" t="s">
        <v>147</v>
      </c>
      <c r="F1922" s="19" t="s">
        <v>388</v>
      </c>
      <c r="G1922" s="19" t="n">
        <v>220</v>
      </c>
      <c r="H1922" s="19" t="s">
        <v>389</v>
      </c>
      <c r="I1922" s="20" t="n">
        <v>22.08</v>
      </c>
      <c r="J1922" s="19" t="n">
        <f aca="false">IF(I1922="","",MIN(Overview!$B$8,MAX(1,CEILING(I1922/Overview!$B$7,1))))</f>
        <v>5</v>
      </c>
      <c r="K1922" s="19" t="n">
        <v>1</v>
      </c>
      <c r="L1922" s="19"/>
      <c r="M1922" s="20" t="n">
        <v>5</v>
      </c>
      <c r="N1922" s="19"/>
      <c r="O1922" s="19"/>
      <c r="P1922" s="19" t="s">
        <v>964</v>
      </c>
      <c r="Q1922" s="19" t="s">
        <v>965</v>
      </c>
      <c r="R1922" s="21" t="n">
        <v>46011</v>
      </c>
      <c r="S1922" s="19" t="s">
        <v>966</v>
      </c>
      <c r="T1922" s="19" t="s">
        <v>6074</v>
      </c>
      <c r="U1922" s="19" t="str">
        <f aca="false">HYPERLINK("https://macaulaylibrary.org/asset/647448257","Open")</f>
        <v>Open</v>
      </c>
      <c r="V1922" s="19"/>
    </row>
    <row r="1923" customFormat="false" ht="15" hidden="false" customHeight="false" outlineLevel="0" collapsed="false">
      <c r="A1923" s="19" t="s">
        <v>6075</v>
      </c>
      <c r="B1923" s="19" t="s">
        <v>943</v>
      </c>
      <c r="C1923" s="19" t="s">
        <v>944</v>
      </c>
      <c r="D1923" s="19" t="s">
        <v>148</v>
      </c>
      <c r="E1923" s="19" t="s">
        <v>147</v>
      </c>
      <c r="F1923" s="19" t="s">
        <v>388</v>
      </c>
      <c r="G1923" s="19" t="n">
        <v>220</v>
      </c>
      <c r="H1923" s="19" t="s">
        <v>389</v>
      </c>
      <c r="I1923" s="20" t="n">
        <v>34.356</v>
      </c>
      <c r="J1923" s="19" t="n">
        <f aca="false">IF(I1923="","",MIN(Overview!$B$8,MAX(1,CEILING(I1923/Overview!$B$7,1))))</f>
        <v>7</v>
      </c>
      <c r="K1923" s="19" t="n">
        <v>1</v>
      </c>
      <c r="L1923" s="19"/>
      <c r="M1923" s="20" t="n">
        <v>3</v>
      </c>
      <c r="N1923" s="19"/>
      <c r="O1923" s="19"/>
      <c r="P1923" s="19" t="s">
        <v>1335</v>
      </c>
      <c r="Q1923" s="19" t="s">
        <v>990</v>
      </c>
      <c r="R1923" s="21" t="n">
        <v>46011</v>
      </c>
      <c r="S1923" s="19" t="s">
        <v>966</v>
      </c>
      <c r="T1923" s="19" t="s">
        <v>6076</v>
      </c>
      <c r="U1923" s="19" t="str">
        <f aca="false">HYPERLINK("https://macaulaylibrary.org/asset/647482695","Open")</f>
        <v>Open</v>
      </c>
      <c r="V1923" s="19"/>
    </row>
    <row r="1924" customFormat="false" ht="15" hidden="false" customHeight="false" outlineLevel="0" collapsed="false">
      <c r="A1924" s="19" t="s">
        <v>6077</v>
      </c>
      <c r="B1924" s="19" t="s">
        <v>943</v>
      </c>
      <c r="C1924" s="19" t="s">
        <v>944</v>
      </c>
      <c r="D1924" s="19" t="s">
        <v>148</v>
      </c>
      <c r="E1924" s="19" t="s">
        <v>147</v>
      </c>
      <c r="F1924" s="19" t="s">
        <v>388</v>
      </c>
      <c r="G1924" s="19" t="n">
        <v>220</v>
      </c>
      <c r="H1924" s="19" t="s">
        <v>389</v>
      </c>
      <c r="I1924" s="20" t="n">
        <v>16.233</v>
      </c>
      <c r="J1924" s="19" t="n">
        <f aca="false">IF(I1924="","",MIN(Overview!$B$8,MAX(1,CEILING(I1924/Overview!$B$7,1))))</f>
        <v>4</v>
      </c>
      <c r="K1924" s="19" t="n">
        <v>1</v>
      </c>
      <c r="L1924" s="19"/>
      <c r="M1924" s="20" t="n">
        <v>4</v>
      </c>
      <c r="N1924" s="19"/>
      <c r="O1924" s="19"/>
      <c r="P1924" s="19" t="s">
        <v>1335</v>
      </c>
      <c r="Q1924" s="19" t="s">
        <v>990</v>
      </c>
      <c r="R1924" s="21" t="n">
        <v>46011</v>
      </c>
      <c r="S1924" s="19" t="s">
        <v>966</v>
      </c>
      <c r="T1924" s="19" t="s">
        <v>6078</v>
      </c>
      <c r="U1924" s="19" t="str">
        <f aca="false">HYPERLINK("https://macaulaylibrary.org/asset/647571211","Open")</f>
        <v>Open</v>
      </c>
      <c r="V1924" s="19"/>
    </row>
    <row r="1925" customFormat="false" ht="15" hidden="false" customHeight="false" outlineLevel="0" collapsed="false">
      <c r="A1925" s="19" t="s">
        <v>6079</v>
      </c>
      <c r="B1925" s="19" t="s">
        <v>943</v>
      </c>
      <c r="C1925" s="19" t="s">
        <v>944</v>
      </c>
      <c r="D1925" s="19" t="s">
        <v>148</v>
      </c>
      <c r="E1925" s="19" t="s">
        <v>147</v>
      </c>
      <c r="F1925" s="19" t="s">
        <v>388</v>
      </c>
      <c r="G1925" s="19" t="n">
        <v>220</v>
      </c>
      <c r="H1925" s="19" t="s">
        <v>389</v>
      </c>
      <c r="I1925" s="20" t="n">
        <v>25.247</v>
      </c>
      <c r="J1925" s="19" t="n">
        <f aca="false">IF(I1925="","",MIN(Overview!$B$8,MAX(1,CEILING(I1925/Overview!$B$7,1))))</f>
        <v>6</v>
      </c>
      <c r="K1925" s="19" t="n">
        <v>1</v>
      </c>
      <c r="L1925" s="19"/>
      <c r="M1925" s="20" t="n">
        <v>4</v>
      </c>
      <c r="N1925" s="19"/>
      <c r="O1925" s="19" t="s">
        <v>240</v>
      </c>
      <c r="P1925" s="19" t="s">
        <v>3425</v>
      </c>
      <c r="Q1925" s="19" t="s">
        <v>2085</v>
      </c>
      <c r="R1925" s="21" t="n">
        <v>46011</v>
      </c>
      <c r="S1925" s="19" t="s">
        <v>966</v>
      </c>
      <c r="T1925" s="19" t="s">
        <v>6080</v>
      </c>
      <c r="U1925" s="19" t="str">
        <f aca="false">HYPERLINK("https://macaulaylibrary.org/asset/652036536","Open")</f>
        <v>Open</v>
      </c>
      <c r="V1925" s="19"/>
    </row>
    <row r="1926" customFormat="false" ht="15" hidden="false" customHeight="false" outlineLevel="0" collapsed="false">
      <c r="A1926" s="19" t="s">
        <v>6081</v>
      </c>
      <c r="B1926" s="19" t="s">
        <v>943</v>
      </c>
      <c r="C1926" s="19" t="s">
        <v>944</v>
      </c>
      <c r="D1926" s="19" t="s">
        <v>400</v>
      </c>
      <c r="E1926" s="19" t="s">
        <v>147</v>
      </c>
      <c r="F1926" s="19" t="s">
        <v>686</v>
      </c>
      <c r="G1926" s="19" t="n">
        <v>221</v>
      </c>
      <c r="H1926" s="19" t="s">
        <v>687</v>
      </c>
      <c r="I1926" s="20" t="n">
        <v>122.835</v>
      </c>
      <c r="J1926" s="19" t="n">
        <f aca="false">IF(I1926="","",MIN(Overview!$B$8,MAX(1,CEILING(I1926/Overview!$B$7,1))))</f>
        <v>25</v>
      </c>
      <c r="K1926" s="19" t="n">
        <v>1</v>
      </c>
      <c r="L1926" s="19"/>
      <c r="M1926" s="20" t="n">
        <v>1</v>
      </c>
      <c r="N1926" s="19"/>
      <c r="O1926" s="19"/>
      <c r="P1926" s="19" t="s">
        <v>2523</v>
      </c>
      <c r="Q1926" s="19" t="s">
        <v>1592</v>
      </c>
      <c r="R1926" s="21" t="n">
        <v>30405</v>
      </c>
      <c r="S1926" s="19" t="s">
        <v>1002</v>
      </c>
      <c r="T1926" s="19" t="s">
        <v>6082</v>
      </c>
      <c r="U1926" s="19" t="str">
        <f aca="false">HYPERLINK("https://macaulaylibrary.org/asset/39242","Open")</f>
        <v>Open</v>
      </c>
      <c r="V1926" s="19" t="s">
        <v>6083</v>
      </c>
    </row>
    <row r="1927" customFormat="false" ht="15" hidden="false" customHeight="false" outlineLevel="0" collapsed="false">
      <c r="A1927" s="19" t="s">
        <v>6084</v>
      </c>
      <c r="B1927" s="19" t="s">
        <v>943</v>
      </c>
      <c r="C1927" s="19" t="s">
        <v>944</v>
      </c>
      <c r="D1927" s="19" t="s">
        <v>400</v>
      </c>
      <c r="E1927" s="19" t="s">
        <v>147</v>
      </c>
      <c r="F1927" s="19" t="s">
        <v>686</v>
      </c>
      <c r="G1927" s="19" t="n">
        <v>221</v>
      </c>
      <c r="H1927" s="19" t="s">
        <v>687</v>
      </c>
      <c r="I1927" s="20" t="n">
        <v>101.076</v>
      </c>
      <c r="J1927" s="19" t="n">
        <f aca="false">IF(I1927="","",MIN(Overview!$B$8,MAX(1,CEILING(I1927/Overview!$B$7,1))))</f>
        <v>21</v>
      </c>
      <c r="K1927" s="19" t="n">
        <v>1</v>
      </c>
      <c r="L1927" s="19"/>
      <c r="M1927" s="20" t="n">
        <v>3</v>
      </c>
      <c r="N1927" s="19"/>
      <c r="O1927" s="19" t="s">
        <v>6085</v>
      </c>
      <c r="P1927" s="19" t="s">
        <v>3020</v>
      </c>
      <c r="Q1927" s="19" t="s">
        <v>1191</v>
      </c>
      <c r="R1927" s="21" t="n">
        <v>45371</v>
      </c>
      <c r="S1927" s="19" t="s">
        <v>1081</v>
      </c>
      <c r="T1927" s="19" t="s">
        <v>6086</v>
      </c>
      <c r="U1927" s="19" t="str">
        <f aca="false">HYPERLINK("https://macaulaylibrary.org/asset/617546443","Open")</f>
        <v>Open</v>
      </c>
      <c r="V1927" s="19"/>
    </row>
    <row r="1928" customFormat="false" ht="15" hidden="false" customHeight="false" outlineLevel="0" collapsed="false">
      <c r="A1928" s="19" t="s">
        <v>6087</v>
      </c>
      <c r="B1928" s="19" t="s">
        <v>943</v>
      </c>
      <c r="C1928" s="19" t="s">
        <v>944</v>
      </c>
      <c r="D1928" s="19" t="s">
        <v>148</v>
      </c>
      <c r="E1928" s="19" t="s">
        <v>147</v>
      </c>
      <c r="F1928" s="19" t="s">
        <v>391</v>
      </c>
      <c r="G1928" s="19" t="n">
        <v>223</v>
      </c>
      <c r="H1928" s="19" t="s">
        <v>392</v>
      </c>
      <c r="I1928" s="20" t="n">
        <v>16.811</v>
      </c>
      <c r="J1928" s="19" t="n">
        <f aca="false">IF(I1928="","",MIN(Overview!$B$8,MAX(1,CEILING(I1928/Overview!$B$7,1))))</f>
        <v>4</v>
      </c>
      <c r="K1928" s="19" t="n">
        <v>1</v>
      </c>
      <c r="L1928" s="19"/>
      <c r="M1928" s="20" t="n">
        <v>4</v>
      </c>
      <c r="N1928" s="19"/>
      <c r="O1928" s="19"/>
      <c r="P1928" s="19" t="s">
        <v>2465</v>
      </c>
      <c r="Q1928" s="19" t="s">
        <v>965</v>
      </c>
      <c r="R1928" s="21" t="n">
        <v>43812</v>
      </c>
      <c r="S1928" s="19" t="s">
        <v>2466</v>
      </c>
      <c r="T1928" s="19" t="s">
        <v>6088</v>
      </c>
      <c r="U1928" s="19" t="str">
        <f aca="false">HYPERLINK("https://macaulaylibrary.org/asset/193405701","Open")</f>
        <v>Open</v>
      </c>
      <c r="V1928" s="19"/>
    </row>
    <row r="1929" customFormat="false" ht="15" hidden="false" customHeight="false" outlineLevel="0" collapsed="false">
      <c r="A1929" s="19" t="s">
        <v>6089</v>
      </c>
      <c r="B1929" s="19" t="s">
        <v>943</v>
      </c>
      <c r="C1929" s="19" t="s">
        <v>944</v>
      </c>
      <c r="D1929" s="19" t="s">
        <v>148</v>
      </c>
      <c r="E1929" s="19" t="s">
        <v>147</v>
      </c>
      <c r="F1929" s="19" t="s">
        <v>391</v>
      </c>
      <c r="G1929" s="19" t="n">
        <v>223</v>
      </c>
      <c r="H1929" s="19" t="s">
        <v>392</v>
      </c>
      <c r="I1929" s="20" t="n">
        <v>346.741</v>
      </c>
      <c r="J1929" s="19" t="n">
        <f aca="false">IF(I1929="","",MIN(Overview!$B$8,MAX(1,CEILING(I1929/Overview!$B$7,1))))</f>
        <v>70</v>
      </c>
      <c r="K1929" s="19" t="n">
        <v>1</v>
      </c>
      <c r="L1929" s="19"/>
      <c r="M1929" s="20" t="n">
        <v>4</v>
      </c>
      <c r="N1929" s="19"/>
      <c r="O1929" s="19"/>
      <c r="P1929" s="19" t="s">
        <v>1115</v>
      </c>
      <c r="Q1929" s="19" t="s">
        <v>980</v>
      </c>
      <c r="R1929" s="21" t="n">
        <v>34125</v>
      </c>
      <c r="S1929" s="19" t="s">
        <v>6090</v>
      </c>
      <c r="T1929" s="19" t="s">
        <v>6091</v>
      </c>
      <c r="U1929" s="19" t="str">
        <f aca="false">HYPERLINK("https://macaulaylibrary.org/asset/209485","Open")</f>
        <v>Open</v>
      </c>
      <c r="V1929" s="19" t="s">
        <v>6092</v>
      </c>
    </row>
    <row r="1930" customFormat="false" ht="15" hidden="false" customHeight="false" outlineLevel="0" collapsed="false">
      <c r="A1930" s="19" t="s">
        <v>6093</v>
      </c>
      <c r="B1930" s="19" t="s">
        <v>943</v>
      </c>
      <c r="C1930" s="19" t="s">
        <v>944</v>
      </c>
      <c r="D1930" s="19" t="s">
        <v>148</v>
      </c>
      <c r="E1930" s="19" t="s">
        <v>147</v>
      </c>
      <c r="F1930" s="19" t="s">
        <v>391</v>
      </c>
      <c r="G1930" s="19" t="n">
        <v>223</v>
      </c>
      <c r="H1930" s="19" t="s">
        <v>392</v>
      </c>
      <c r="I1930" s="20" t="n">
        <v>977.519</v>
      </c>
      <c r="J1930" s="19" t="n">
        <f aca="false">IF(I1930="","",MIN(Overview!$B$8,MAX(1,CEILING(I1930/Overview!$B$7,1))))</f>
        <v>120</v>
      </c>
      <c r="K1930" s="19" t="n">
        <v>1</v>
      </c>
      <c r="L1930" s="19"/>
      <c r="M1930" s="20" t="n">
        <v>3</v>
      </c>
      <c r="N1930" s="19"/>
      <c r="O1930" s="19" t="s">
        <v>6094</v>
      </c>
      <c r="P1930" s="19" t="s">
        <v>1125</v>
      </c>
      <c r="Q1930" s="19" t="s">
        <v>980</v>
      </c>
      <c r="R1930" s="21" t="n">
        <v>32557</v>
      </c>
      <c r="S1930" s="19"/>
      <c r="T1930" s="19" t="s">
        <v>6095</v>
      </c>
      <c r="U1930" s="19" t="str">
        <f aca="false">HYPERLINK("https://macaulaylibrary.org/asset/215395","Open")</f>
        <v>Open</v>
      </c>
      <c r="V1930" s="19" t="s">
        <v>6092</v>
      </c>
    </row>
    <row r="1931" customFormat="false" ht="15" hidden="false" customHeight="false" outlineLevel="0" collapsed="false">
      <c r="A1931" s="19" t="s">
        <v>6096</v>
      </c>
      <c r="B1931" s="19" t="s">
        <v>943</v>
      </c>
      <c r="C1931" s="19" t="s">
        <v>944</v>
      </c>
      <c r="D1931" s="19" t="s">
        <v>148</v>
      </c>
      <c r="E1931" s="19" t="s">
        <v>147</v>
      </c>
      <c r="F1931" s="19" t="s">
        <v>391</v>
      </c>
      <c r="G1931" s="19" t="n">
        <v>223</v>
      </c>
      <c r="H1931" s="19" t="s">
        <v>392</v>
      </c>
      <c r="I1931" s="20" t="n">
        <v>657.023</v>
      </c>
      <c r="J1931" s="19" t="n">
        <f aca="false">IF(I1931="","",MIN(Overview!$B$8,MAX(1,CEILING(I1931/Overview!$B$7,1))))</f>
        <v>120</v>
      </c>
      <c r="K1931" s="19" t="n">
        <v>1</v>
      </c>
      <c r="L1931" s="19"/>
      <c r="M1931" s="20" t="n">
        <v>2</v>
      </c>
      <c r="N1931" s="19"/>
      <c r="O1931" s="19"/>
      <c r="P1931" s="19" t="s">
        <v>1125</v>
      </c>
      <c r="Q1931" s="19" t="s">
        <v>980</v>
      </c>
      <c r="R1931" s="21" t="n">
        <v>32557</v>
      </c>
      <c r="S1931" s="19"/>
      <c r="T1931" s="19" t="s">
        <v>6097</v>
      </c>
      <c r="U1931" s="19" t="str">
        <f aca="false">HYPERLINK("https://macaulaylibrary.org/asset/215399","Open")</f>
        <v>Open</v>
      </c>
      <c r="V1931" s="19" t="s">
        <v>6092</v>
      </c>
    </row>
    <row r="1932" customFormat="false" ht="15" hidden="false" customHeight="false" outlineLevel="0" collapsed="false">
      <c r="A1932" s="19" t="s">
        <v>6098</v>
      </c>
      <c r="B1932" s="19" t="s">
        <v>943</v>
      </c>
      <c r="C1932" s="19" t="s">
        <v>944</v>
      </c>
      <c r="D1932" s="19" t="s">
        <v>148</v>
      </c>
      <c r="E1932" s="19" t="s">
        <v>147</v>
      </c>
      <c r="F1932" s="19" t="s">
        <v>391</v>
      </c>
      <c r="G1932" s="19" t="n">
        <v>223</v>
      </c>
      <c r="H1932" s="19" t="s">
        <v>392</v>
      </c>
      <c r="I1932" s="20" t="n">
        <v>30.227</v>
      </c>
      <c r="J1932" s="19" t="n">
        <f aca="false">IF(I1932="","",MIN(Overview!$B$8,MAX(1,CEILING(I1932/Overview!$B$7,1))))</f>
        <v>7</v>
      </c>
      <c r="K1932" s="19" t="n">
        <v>1</v>
      </c>
      <c r="L1932" s="19"/>
      <c r="M1932" s="20" t="n">
        <v>3</v>
      </c>
      <c r="N1932" s="19"/>
      <c r="O1932" s="19"/>
      <c r="P1932" s="19" t="s">
        <v>2084</v>
      </c>
      <c r="Q1932" s="19" t="s">
        <v>2085</v>
      </c>
      <c r="R1932" s="21" t="n">
        <v>44184</v>
      </c>
      <c r="S1932" s="19" t="s">
        <v>1137</v>
      </c>
      <c r="T1932" s="19" t="s">
        <v>6099</v>
      </c>
      <c r="U1932" s="19" t="str">
        <f aca="false">HYPERLINK("https://macaulaylibrary.org/asset/297140311","Open")</f>
        <v>Open</v>
      </c>
      <c r="V1932" s="19"/>
    </row>
    <row r="1933" customFormat="false" ht="15" hidden="false" customHeight="false" outlineLevel="0" collapsed="false">
      <c r="A1933" s="19" t="s">
        <v>6100</v>
      </c>
      <c r="B1933" s="19" t="s">
        <v>943</v>
      </c>
      <c r="C1933" s="19" t="s">
        <v>944</v>
      </c>
      <c r="D1933" s="19" t="s">
        <v>148</v>
      </c>
      <c r="E1933" s="19" t="s">
        <v>147</v>
      </c>
      <c r="F1933" s="19" t="s">
        <v>391</v>
      </c>
      <c r="G1933" s="19" t="n">
        <v>223</v>
      </c>
      <c r="H1933" s="19" t="s">
        <v>392</v>
      </c>
      <c r="I1933" s="20" t="n">
        <v>22.64</v>
      </c>
      <c r="J1933" s="19" t="n">
        <f aca="false">IF(I1933="","",MIN(Overview!$B$8,MAX(1,CEILING(I1933/Overview!$B$7,1))))</f>
        <v>5</v>
      </c>
      <c r="K1933" s="19" t="n">
        <v>1</v>
      </c>
      <c r="L1933" s="19"/>
      <c r="M1933" s="20"/>
      <c r="N1933" s="19"/>
      <c r="O1933" s="19"/>
      <c r="P1933" s="19" t="s">
        <v>1347</v>
      </c>
      <c r="Q1933" s="19" t="s">
        <v>1348</v>
      </c>
      <c r="R1933" s="21" t="n">
        <v>46100</v>
      </c>
      <c r="S1933" s="19" t="s">
        <v>1106</v>
      </c>
      <c r="T1933" s="19" t="s">
        <v>6101</v>
      </c>
      <c r="U1933" s="19" t="str">
        <f aca="false">HYPERLINK("https://macaulaylibrary.org/asset/654444560","Open")</f>
        <v>Open</v>
      </c>
      <c r="V1933" s="19"/>
    </row>
    <row r="1934" customFormat="false" ht="15" hidden="false" customHeight="false" outlineLevel="0" collapsed="false">
      <c r="A1934" s="19" t="s">
        <v>6102</v>
      </c>
      <c r="B1934" s="19" t="s">
        <v>943</v>
      </c>
      <c r="C1934" s="19" t="s">
        <v>944</v>
      </c>
      <c r="D1934" s="19" t="s">
        <v>148</v>
      </c>
      <c r="E1934" s="19" t="s">
        <v>147</v>
      </c>
      <c r="F1934" s="19" t="s">
        <v>391</v>
      </c>
      <c r="G1934" s="19" t="n">
        <v>223</v>
      </c>
      <c r="H1934" s="19" t="s">
        <v>392</v>
      </c>
      <c r="I1934" s="20" t="n">
        <v>43.781</v>
      </c>
      <c r="J1934" s="19" t="n">
        <f aca="false">IF(I1934="","",MIN(Overview!$B$8,MAX(1,CEILING(I1934/Overview!$B$7,1))))</f>
        <v>9</v>
      </c>
      <c r="K1934" s="19" t="n">
        <v>1</v>
      </c>
      <c r="L1934" s="19"/>
      <c r="M1934" s="20" t="n">
        <v>3</v>
      </c>
      <c r="N1934" s="19"/>
      <c r="O1934" s="19"/>
      <c r="P1934" s="19" t="s">
        <v>6103</v>
      </c>
      <c r="Q1934" s="19" t="s">
        <v>1352</v>
      </c>
      <c r="R1934" s="21" t="n">
        <v>46217</v>
      </c>
      <c r="S1934" s="19" t="s">
        <v>3750</v>
      </c>
      <c r="T1934" s="19" t="s">
        <v>6104</v>
      </c>
      <c r="U1934" s="19" t="str">
        <f aca="false">HYPERLINK("https://macaulaylibrary.org/asset/661327867","Open")</f>
        <v>Open</v>
      </c>
      <c r="V1934" s="19"/>
    </row>
    <row r="1935" customFormat="false" ht="15" hidden="false" customHeight="false" outlineLevel="0" collapsed="false">
      <c r="A1935" s="19" t="s">
        <v>6105</v>
      </c>
      <c r="B1935" s="19" t="s">
        <v>943</v>
      </c>
      <c r="C1935" s="19" t="s">
        <v>944</v>
      </c>
      <c r="D1935" s="19" t="s">
        <v>148</v>
      </c>
      <c r="E1935" s="19" t="s">
        <v>147</v>
      </c>
      <c r="F1935" s="19" t="s">
        <v>391</v>
      </c>
      <c r="G1935" s="19" t="n">
        <v>223</v>
      </c>
      <c r="H1935" s="19" t="s">
        <v>392</v>
      </c>
      <c r="I1935" s="20" t="n">
        <v>95.968</v>
      </c>
      <c r="J1935" s="19" t="n">
        <f aca="false">IF(I1935="","",MIN(Overview!$B$8,MAX(1,CEILING(I1935/Overview!$B$7,1))))</f>
        <v>20</v>
      </c>
      <c r="K1935" s="19" t="n">
        <v>1</v>
      </c>
      <c r="L1935" s="19"/>
      <c r="M1935" s="20" t="n">
        <v>1</v>
      </c>
      <c r="N1935" s="19"/>
      <c r="O1935" s="19" t="s">
        <v>6106</v>
      </c>
      <c r="P1935" s="19" t="s">
        <v>1225</v>
      </c>
      <c r="Q1935" s="19" t="s">
        <v>1226</v>
      </c>
      <c r="R1935" s="21" t="n">
        <v>21274</v>
      </c>
      <c r="S1935" s="19" t="s">
        <v>1002</v>
      </c>
      <c r="T1935" s="19" t="s">
        <v>6107</v>
      </c>
      <c r="U1935" s="19" t="str">
        <f aca="false">HYPERLINK("https://macaulaylibrary.org/asset/6708","Open")</f>
        <v>Open</v>
      </c>
      <c r="V1935" s="19" t="s">
        <v>6092</v>
      </c>
    </row>
    <row r="1936" customFormat="false" ht="15" hidden="false" customHeight="false" outlineLevel="0" collapsed="false">
      <c r="A1936" s="19" t="s">
        <v>6108</v>
      </c>
      <c r="B1936" s="19" t="s">
        <v>943</v>
      </c>
      <c r="C1936" s="19" t="s">
        <v>944</v>
      </c>
      <c r="D1936" s="19" t="s">
        <v>148</v>
      </c>
      <c r="E1936" s="19" t="s">
        <v>147</v>
      </c>
      <c r="F1936" s="19" t="s">
        <v>313</v>
      </c>
      <c r="G1936" s="19" t="n">
        <v>225</v>
      </c>
      <c r="H1936" s="19" t="s">
        <v>314</v>
      </c>
      <c r="I1936" s="20" t="n">
        <v>26.362</v>
      </c>
      <c r="J1936" s="19" t="n">
        <f aca="false">IF(I1936="","",MIN(Overview!$B$8,MAX(1,CEILING(I1936/Overview!$B$7,1))))</f>
        <v>6</v>
      </c>
      <c r="K1936" s="19" t="n">
        <v>1</v>
      </c>
      <c r="L1936" s="19"/>
      <c r="M1936" s="20" t="n">
        <v>3</v>
      </c>
      <c r="N1936" s="19"/>
      <c r="O1936" s="19"/>
      <c r="P1936" s="19" t="s">
        <v>3473</v>
      </c>
      <c r="Q1936" s="19" t="s">
        <v>1401</v>
      </c>
      <c r="R1936" s="21" t="n">
        <v>35880</v>
      </c>
      <c r="S1936" s="19" t="s">
        <v>1002</v>
      </c>
      <c r="T1936" s="19" t="s">
        <v>6109</v>
      </c>
      <c r="U1936" s="19" t="str">
        <f aca="false">HYPERLINK("https://macaulaylibrary.org/asset/127961791","Open")</f>
        <v>Open</v>
      </c>
      <c r="V1936" s="19"/>
    </row>
    <row r="1937" customFormat="false" ht="15" hidden="false" customHeight="false" outlineLevel="0" collapsed="false">
      <c r="A1937" s="19" t="s">
        <v>6110</v>
      </c>
      <c r="B1937" s="19" t="s">
        <v>943</v>
      </c>
      <c r="C1937" s="19" t="s">
        <v>944</v>
      </c>
      <c r="D1937" s="19" t="s">
        <v>148</v>
      </c>
      <c r="E1937" s="19" t="s">
        <v>147</v>
      </c>
      <c r="F1937" s="19" t="s">
        <v>313</v>
      </c>
      <c r="G1937" s="19" t="n">
        <v>225</v>
      </c>
      <c r="H1937" s="19" t="s">
        <v>314</v>
      </c>
      <c r="I1937" s="20" t="n">
        <v>84.05</v>
      </c>
      <c r="J1937" s="19" t="n">
        <f aca="false">IF(I1937="","",MIN(Overview!$B$8,MAX(1,CEILING(I1937/Overview!$B$7,1))))</f>
        <v>17</v>
      </c>
      <c r="K1937" s="19" t="n">
        <v>1</v>
      </c>
      <c r="L1937" s="19"/>
      <c r="M1937" s="20" t="n">
        <v>2</v>
      </c>
      <c r="N1937" s="19"/>
      <c r="O1937" s="19"/>
      <c r="P1937" s="19" t="s">
        <v>1752</v>
      </c>
      <c r="Q1937" s="19" t="s">
        <v>980</v>
      </c>
      <c r="R1937" s="21" t="n">
        <v>35208</v>
      </c>
      <c r="S1937" s="19" t="s">
        <v>6111</v>
      </c>
      <c r="T1937" s="19" t="s">
        <v>6112</v>
      </c>
      <c r="U1937" s="19" t="str">
        <f aca="false">HYPERLINK("https://macaulaylibrary.org/asset/184789","Open")</f>
        <v>Open</v>
      </c>
      <c r="V1937" s="19"/>
    </row>
    <row r="1938" customFormat="false" ht="15" hidden="false" customHeight="false" outlineLevel="0" collapsed="false">
      <c r="A1938" s="19" t="s">
        <v>6113</v>
      </c>
      <c r="B1938" s="19" t="s">
        <v>943</v>
      </c>
      <c r="C1938" s="19" t="s">
        <v>944</v>
      </c>
      <c r="D1938" s="19" t="s">
        <v>148</v>
      </c>
      <c r="E1938" s="19" t="s">
        <v>147</v>
      </c>
      <c r="F1938" s="19" t="s">
        <v>313</v>
      </c>
      <c r="G1938" s="19" t="n">
        <v>225</v>
      </c>
      <c r="H1938" s="19" t="s">
        <v>314</v>
      </c>
      <c r="I1938" s="20" t="n">
        <v>135.503</v>
      </c>
      <c r="J1938" s="19" t="n">
        <f aca="false">IF(I1938="","",MIN(Overview!$B$8,MAX(1,CEILING(I1938/Overview!$B$7,1))))</f>
        <v>28</v>
      </c>
      <c r="K1938" s="19" t="n">
        <v>1</v>
      </c>
      <c r="L1938" s="19"/>
      <c r="M1938" s="20" t="n">
        <v>1</v>
      </c>
      <c r="N1938" s="19"/>
      <c r="O1938" s="19"/>
      <c r="P1938" s="19" t="s">
        <v>3433</v>
      </c>
      <c r="Q1938" s="19" t="s">
        <v>2343</v>
      </c>
      <c r="R1938" s="21" t="n">
        <v>31504</v>
      </c>
      <c r="S1938" s="19"/>
      <c r="T1938" s="19" t="s">
        <v>6114</v>
      </c>
      <c r="U1938" s="19" t="str">
        <f aca="false">HYPERLINK("https://macaulaylibrary.org/asset/249430","Open")</f>
        <v>Open</v>
      </c>
      <c r="V1938" s="19"/>
    </row>
    <row r="1939" customFormat="false" ht="15" hidden="false" customHeight="false" outlineLevel="0" collapsed="false">
      <c r="A1939" s="19" t="s">
        <v>6115</v>
      </c>
      <c r="B1939" s="19" t="s">
        <v>943</v>
      </c>
      <c r="C1939" s="19" t="s">
        <v>944</v>
      </c>
      <c r="D1939" s="19" t="s">
        <v>148</v>
      </c>
      <c r="E1939" s="19" t="s">
        <v>147</v>
      </c>
      <c r="F1939" s="19" t="s">
        <v>313</v>
      </c>
      <c r="G1939" s="19" t="n">
        <v>225</v>
      </c>
      <c r="H1939" s="19" t="s">
        <v>314</v>
      </c>
      <c r="I1939" s="20" t="n">
        <v>42.53</v>
      </c>
      <c r="J1939" s="19" t="n">
        <f aca="false">IF(I1939="","",MIN(Overview!$B$8,MAX(1,CEILING(I1939/Overview!$B$7,1))))</f>
        <v>9</v>
      </c>
      <c r="K1939" s="19" t="n">
        <v>1</v>
      </c>
      <c r="L1939" s="19"/>
      <c r="M1939" s="20" t="n">
        <v>2</v>
      </c>
      <c r="N1939" s="19"/>
      <c r="O1939" s="19"/>
      <c r="P1939" s="19" t="s">
        <v>3433</v>
      </c>
      <c r="Q1939" s="19" t="s">
        <v>2343</v>
      </c>
      <c r="R1939" s="21" t="n">
        <v>31504</v>
      </c>
      <c r="S1939" s="19" t="s">
        <v>4102</v>
      </c>
      <c r="T1939" s="19" t="s">
        <v>6116</v>
      </c>
      <c r="U1939" s="19" t="str">
        <f aca="false">HYPERLINK("https://macaulaylibrary.org/asset/249431","Open")</f>
        <v>Open</v>
      </c>
      <c r="V1939" s="19"/>
    </row>
    <row r="1940" customFormat="false" ht="15" hidden="false" customHeight="false" outlineLevel="0" collapsed="false">
      <c r="A1940" s="19" t="s">
        <v>6117</v>
      </c>
      <c r="B1940" s="19" t="s">
        <v>943</v>
      </c>
      <c r="C1940" s="19" t="s">
        <v>944</v>
      </c>
      <c r="D1940" s="19" t="s">
        <v>148</v>
      </c>
      <c r="E1940" s="19" t="s">
        <v>147</v>
      </c>
      <c r="F1940" s="19" t="s">
        <v>313</v>
      </c>
      <c r="G1940" s="19" t="n">
        <v>225</v>
      </c>
      <c r="H1940" s="19" t="s">
        <v>314</v>
      </c>
      <c r="I1940" s="20" t="n">
        <v>29.629</v>
      </c>
      <c r="J1940" s="19" t="n">
        <f aca="false">IF(I1940="","",MIN(Overview!$B$8,MAX(1,CEILING(I1940/Overview!$B$7,1))))</f>
        <v>6</v>
      </c>
      <c r="K1940" s="19" t="n">
        <v>1</v>
      </c>
      <c r="L1940" s="19"/>
      <c r="M1940" s="20" t="n">
        <v>3</v>
      </c>
      <c r="N1940" s="19"/>
      <c r="O1940" s="19"/>
      <c r="P1940" s="19" t="s">
        <v>1883</v>
      </c>
      <c r="Q1940" s="19" t="s">
        <v>1136</v>
      </c>
      <c r="R1940" s="21" t="n">
        <v>29734</v>
      </c>
      <c r="S1940" s="19" t="s">
        <v>3067</v>
      </c>
      <c r="T1940" s="19" t="s">
        <v>6118</v>
      </c>
      <c r="U1940" s="19" t="str">
        <f aca="false">HYPERLINK("https://macaulaylibrary.org/asset/28130","Open")</f>
        <v>Open</v>
      </c>
      <c r="V1940" s="19"/>
    </row>
    <row r="1941" customFormat="false" ht="15" hidden="false" customHeight="false" outlineLevel="0" collapsed="false">
      <c r="A1941" s="19" t="s">
        <v>6119</v>
      </c>
      <c r="B1941" s="19" t="s">
        <v>943</v>
      </c>
      <c r="C1941" s="19" t="s">
        <v>944</v>
      </c>
      <c r="D1941" s="19" t="s">
        <v>148</v>
      </c>
      <c r="E1941" s="19" t="s">
        <v>147</v>
      </c>
      <c r="F1941" s="19" t="s">
        <v>313</v>
      </c>
      <c r="G1941" s="19" t="n">
        <v>225</v>
      </c>
      <c r="H1941" s="19" t="s">
        <v>314</v>
      </c>
      <c r="I1941" s="20" t="n">
        <v>22.341</v>
      </c>
      <c r="J1941" s="19" t="n">
        <f aca="false">IF(I1941="","",MIN(Overview!$B$8,MAX(1,CEILING(I1941/Overview!$B$7,1))))</f>
        <v>5</v>
      </c>
      <c r="K1941" s="19" t="n">
        <v>1</v>
      </c>
      <c r="L1941" s="19"/>
      <c r="M1941" s="20" t="n">
        <v>4</v>
      </c>
      <c r="N1941" s="19"/>
      <c r="O1941" s="19"/>
      <c r="P1941" s="19" t="s">
        <v>1029</v>
      </c>
      <c r="Q1941" s="19" t="s">
        <v>1030</v>
      </c>
      <c r="R1941" s="21" t="n">
        <v>40251</v>
      </c>
      <c r="S1941" s="19" t="s">
        <v>1098</v>
      </c>
      <c r="T1941" s="19" t="s">
        <v>6120</v>
      </c>
      <c r="U1941" s="19" t="str">
        <f aca="false">HYPERLINK("https://macaulaylibrary.org/asset/299637","Open")</f>
        <v>Open</v>
      </c>
      <c r="V1941" s="19"/>
    </row>
    <row r="1942" customFormat="false" ht="15" hidden="false" customHeight="false" outlineLevel="0" collapsed="false">
      <c r="A1942" s="19" t="s">
        <v>6121</v>
      </c>
      <c r="B1942" s="19" t="s">
        <v>943</v>
      </c>
      <c r="C1942" s="19" t="s">
        <v>944</v>
      </c>
      <c r="D1942" s="19" t="s">
        <v>148</v>
      </c>
      <c r="E1942" s="19" t="s">
        <v>147</v>
      </c>
      <c r="F1942" s="19" t="s">
        <v>313</v>
      </c>
      <c r="G1942" s="19" t="n">
        <v>225</v>
      </c>
      <c r="H1942" s="19" t="s">
        <v>314</v>
      </c>
      <c r="I1942" s="20" t="n">
        <v>13.558</v>
      </c>
      <c r="J1942" s="19" t="n">
        <f aca="false">IF(I1942="","",MIN(Overview!$B$8,MAX(1,CEILING(I1942/Overview!$B$7,1))))</f>
        <v>3</v>
      </c>
      <c r="K1942" s="19" t="n">
        <v>1</v>
      </c>
      <c r="L1942" s="19"/>
      <c r="M1942" s="20" t="n">
        <v>3</v>
      </c>
      <c r="N1942" s="19"/>
      <c r="O1942" s="19"/>
      <c r="P1942" s="19" t="s">
        <v>1029</v>
      </c>
      <c r="Q1942" s="19" t="s">
        <v>1030</v>
      </c>
      <c r="R1942" s="21" t="n">
        <v>40251</v>
      </c>
      <c r="S1942" s="19" t="s">
        <v>2868</v>
      </c>
      <c r="T1942" s="19" t="s">
        <v>6122</v>
      </c>
      <c r="U1942" s="19" t="str">
        <f aca="false">HYPERLINK("https://macaulaylibrary.org/asset/299662","Open")</f>
        <v>Open</v>
      </c>
      <c r="V1942" s="19"/>
    </row>
    <row r="1943" customFormat="false" ht="15" hidden="false" customHeight="false" outlineLevel="0" collapsed="false">
      <c r="A1943" s="19" t="s">
        <v>6123</v>
      </c>
      <c r="B1943" s="19" t="s">
        <v>943</v>
      </c>
      <c r="C1943" s="19" t="s">
        <v>944</v>
      </c>
      <c r="D1943" s="19" t="s">
        <v>148</v>
      </c>
      <c r="E1943" s="19" t="s">
        <v>147</v>
      </c>
      <c r="F1943" s="19" t="s">
        <v>313</v>
      </c>
      <c r="G1943" s="19" t="n">
        <v>225</v>
      </c>
      <c r="H1943" s="19" t="s">
        <v>314</v>
      </c>
      <c r="I1943" s="20" t="n">
        <v>27.407</v>
      </c>
      <c r="J1943" s="19" t="n">
        <f aca="false">IF(I1943="","",MIN(Overview!$B$8,MAX(1,CEILING(I1943/Overview!$B$7,1))))</f>
        <v>6</v>
      </c>
      <c r="K1943" s="19" t="n">
        <v>1</v>
      </c>
      <c r="L1943" s="19"/>
      <c r="M1943" s="20" t="n">
        <v>2</v>
      </c>
      <c r="N1943" s="19"/>
      <c r="O1943" s="19"/>
      <c r="P1943" s="19" t="s">
        <v>6124</v>
      </c>
      <c r="Q1943" s="19" t="s">
        <v>1289</v>
      </c>
      <c r="R1943" s="21" t="n">
        <v>42541</v>
      </c>
      <c r="S1943" s="19" t="s">
        <v>1715</v>
      </c>
      <c r="T1943" s="19" t="s">
        <v>6125</v>
      </c>
      <c r="U1943" s="19" t="str">
        <f aca="false">HYPERLINK("https://macaulaylibrary.org/asset/32601091","Open")</f>
        <v>Open</v>
      </c>
      <c r="V1943" s="19"/>
    </row>
    <row r="1944" customFormat="false" ht="15" hidden="false" customHeight="false" outlineLevel="0" collapsed="false">
      <c r="A1944" s="19" t="s">
        <v>6126</v>
      </c>
      <c r="B1944" s="19" t="s">
        <v>943</v>
      </c>
      <c r="C1944" s="19" t="s">
        <v>944</v>
      </c>
      <c r="D1944" s="19" t="s">
        <v>148</v>
      </c>
      <c r="E1944" s="19" t="s">
        <v>147</v>
      </c>
      <c r="F1944" s="19" t="s">
        <v>313</v>
      </c>
      <c r="G1944" s="19" t="n">
        <v>225</v>
      </c>
      <c r="H1944" s="19" t="s">
        <v>314</v>
      </c>
      <c r="I1944" s="20" t="n">
        <v>40.587</v>
      </c>
      <c r="J1944" s="19" t="n">
        <f aca="false">IF(I1944="","",MIN(Overview!$B$8,MAX(1,CEILING(I1944/Overview!$B$7,1))))</f>
        <v>9</v>
      </c>
      <c r="K1944" s="19" t="n">
        <v>1</v>
      </c>
      <c r="L1944" s="19"/>
      <c r="M1944" s="20" t="n">
        <v>4.5</v>
      </c>
      <c r="N1944" s="19"/>
      <c r="O1944" s="19"/>
      <c r="P1944" s="19" t="s">
        <v>2381</v>
      </c>
      <c r="Q1944" s="19" t="s">
        <v>1408</v>
      </c>
      <c r="R1944" s="21" t="n">
        <v>32098</v>
      </c>
      <c r="S1944" s="19" t="s">
        <v>1009</v>
      </c>
      <c r="T1944" s="19" t="s">
        <v>6127</v>
      </c>
      <c r="U1944" s="19" t="str">
        <f aca="false">HYPERLINK("https://macaulaylibrary.org/asset/338506041","Open")</f>
        <v>Open</v>
      </c>
      <c r="V1944" s="19"/>
    </row>
    <row r="1945" customFormat="false" ht="15" hidden="false" customHeight="false" outlineLevel="0" collapsed="false">
      <c r="A1945" s="19" t="s">
        <v>6128</v>
      </c>
      <c r="B1945" s="19" t="s">
        <v>943</v>
      </c>
      <c r="C1945" s="19" t="s">
        <v>944</v>
      </c>
      <c r="D1945" s="19" t="s">
        <v>148</v>
      </c>
      <c r="E1945" s="19" t="s">
        <v>147</v>
      </c>
      <c r="F1945" s="19" t="s">
        <v>313</v>
      </c>
      <c r="G1945" s="19" t="n">
        <v>225</v>
      </c>
      <c r="H1945" s="19" t="s">
        <v>314</v>
      </c>
      <c r="I1945" s="20" t="n">
        <v>386.665</v>
      </c>
      <c r="J1945" s="19" t="n">
        <f aca="false">IF(I1945="","",MIN(Overview!$B$8,MAX(1,CEILING(I1945/Overview!$B$7,1))))</f>
        <v>78</v>
      </c>
      <c r="K1945" s="19" t="n">
        <v>1</v>
      </c>
      <c r="L1945" s="19"/>
      <c r="M1945" s="20" t="n">
        <v>3</v>
      </c>
      <c r="N1945" s="19"/>
      <c r="O1945" s="19"/>
      <c r="P1945" s="19" t="s">
        <v>5313</v>
      </c>
      <c r="Q1945" s="19" t="s">
        <v>980</v>
      </c>
      <c r="R1945" s="21" t="n">
        <v>33290</v>
      </c>
      <c r="S1945" s="19"/>
      <c r="T1945" s="19" t="s">
        <v>6129</v>
      </c>
      <c r="U1945" s="19" t="str">
        <f aca="false">HYPERLINK("https://macaulaylibrary.org/asset/57465","Open")</f>
        <v>Open</v>
      </c>
      <c r="V1945" s="19"/>
    </row>
    <row r="1946" customFormat="false" ht="15" hidden="false" customHeight="false" outlineLevel="0" collapsed="false">
      <c r="A1946" s="19" t="s">
        <v>6130</v>
      </c>
      <c r="B1946" s="19" t="s">
        <v>943</v>
      </c>
      <c r="C1946" s="19" t="s">
        <v>944</v>
      </c>
      <c r="D1946" s="19" t="s">
        <v>148</v>
      </c>
      <c r="E1946" s="19" t="s">
        <v>147</v>
      </c>
      <c r="F1946" s="19" t="s">
        <v>313</v>
      </c>
      <c r="G1946" s="19" t="n">
        <v>225</v>
      </c>
      <c r="H1946" s="19" t="s">
        <v>314</v>
      </c>
      <c r="I1946" s="20" t="n">
        <v>6.451</v>
      </c>
      <c r="J1946" s="19" t="n">
        <f aca="false">IF(I1946="","",MIN(Overview!$B$8,MAX(1,CEILING(I1946/Overview!$B$7,1))))</f>
        <v>2</v>
      </c>
      <c r="K1946" s="19" t="n">
        <v>1</v>
      </c>
      <c r="L1946" s="19"/>
      <c r="M1946" s="20" t="n">
        <v>5</v>
      </c>
      <c r="N1946" s="19"/>
      <c r="O1946" s="19"/>
      <c r="P1946" s="19" t="s">
        <v>6131</v>
      </c>
      <c r="Q1946" s="19" t="s">
        <v>1348</v>
      </c>
      <c r="R1946" s="21" t="n">
        <v>46101</v>
      </c>
      <c r="S1946" s="19" t="s">
        <v>1419</v>
      </c>
      <c r="T1946" s="19" t="s">
        <v>6132</v>
      </c>
      <c r="U1946" s="19" t="str">
        <f aca="false">HYPERLINK("https://macaulaylibrary.org/asset/654470058","Open")</f>
        <v>Open</v>
      </c>
      <c r="V1946" s="19"/>
    </row>
    <row r="1947" customFormat="false" ht="15" hidden="false" customHeight="false" outlineLevel="0" collapsed="false">
      <c r="A1947" s="19" t="s">
        <v>6133</v>
      </c>
      <c r="B1947" s="19" t="s">
        <v>943</v>
      </c>
      <c r="C1947" s="19" t="s">
        <v>944</v>
      </c>
      <c r="D1947" s="19" t="s">
        <v>148</v>
      </c>
      <c r="E1947" s="19" t="s">
        <v>147</v>
      </c>
      <c r="F1947" s="19" t="s">
        <v>313</v>
      </c>
      <c r="G1947" s="19" t="n">
        <v>225</v>
      </c>
      <c r="H1947" s="19" t="s">
        <v>314</v>
      </c>
      <c r="I1947" s="20" t="n">
        <v>6.047</v>
      </c>
      <c r="J1947" s="19" t="n">
        <f aca="false">IF(I1947="","",MIN(Overview!$B$8,MAX(1,CEILING(I1947/Overview!$B$7,1))))</f>
        <v>2</v>
      </c>
      <c r="K1947" s="19" t="n">
        <v>1</v>
      </c>
      <c r="L1947" s="19"/>
      <c r="M1947" s="20"/>
      <c r="N1947" s="19"/>
      <c r="O1947" s="19"/>
      <c r="P1947" s="19" t="s">
        <v>2564</v>
      </c>
      <c r="Q1947" s="19" t="s">
        <v>2565</v>
      </c>
      <c r="R1947" s="21" t="n">
        <v>46105</v>
      </c>
      <c r="S1947" s="19" t="s">
        <v>2566</v>
      </c>
      <c r="T1947" s="19" t="s">
        <v>6134</v>
      </c>
      <c r="U1947" s="19" t="str">
        <f aca="false">HYPERLINK("https://macaulaylibrary.org/asset/654509733","Open")</f>
        <v>Open</v>
      </c>
      <c r="V1947" s="19"/>
    </row>
    <row r="1948" customFormat="false" ht="15" hidden="false" customHeight="false" outlineLevel="0" collapsed="false">
      <c r="A1948" s="19" t="s">
        <v>6135</v>
      </c>
      <c r="B1948" s="19" t="s">
        <v>943</v>
      </c>
      <c r="C1948" s="19" t="s">
        <v>944</v>
      </c>
      <c r="D1948" s="19" t="s">
        <v>400</v>
      </c>
      <c r="E1948" s="19" t="s">
        <v>147</v>
      </c>
      <c r="F1948" s="19" t="s">
        <v>629</v>
      </c>
      <c r="G1948" s="19" t="n">
        <v>226</v>
      </c>
      <c r="H1948" s="19" t="s">
        <v>630</v>
      </c>
      <c r="I1948" s="20" t="n">
        <v>13.454</v>
      </c>
      <c r="J1948" s="19" t="n">
        <f aca="false">IF(I1948="","",MIN(Overview!$B$8,MAX(1,CEILING(I1948/Overview!$B$7,1))))</f>
        <v>3</v>
      </c>
      <c r="K1948" s="19" t="n">
        <v>1</v>
      </c>
      <c r="L1948" s="19"/>
      <c r="M1948" s="20"/>
      <c r="N1948" s="19"/>
      <c r="O1948" s="19"/>
      <c r="P1948" s="19" t="s">
        <v>2901</v>
      </c>
      <c r="Q1948" s="19" t="s">
        <v>1368</v>
      </c>
      <c r="R1948" s="21" t="n">
        <v>45624</v>
      </c>
      <c r="S1948" s="19" t="s">
        <v>1036</v>
      </c>
      <c r="T1948" s="19" t="s">
        <v>6136</v>
      </c>
      <c r="U1948" s="19" t="str">
        <f aca="false">HYPERLINK("https://macaulaylibrary.org/asset/642914863","Open")</f>
        <v>Open</v>
      </c>
      <c r="V1948" s="19"/>
    </row>
    <row r="1949" customFormat="false" ht="15" hidden="false" customHeight="false" outlineLevel="0" collapsed="false">
      <c r="A1949" s="19" t="s">
        <v>6137</v>
      </c>
      <c r="B1949" s="19" t="s">
        <v>943</v>
      </c>
      <c r="C1949" s="19" t="s">
        <v>944</v>
      </c>
      <c r="D1949" s="19" t="s">
        <v>400</v>
      </c>
      <c r="E1949" s="19" t="s">
        <v>147</v>
      </c>
      <c r="F1949" s="19" t="s">
        <v>629</v>
      </c>
      <c r="G1949" s="19" t="n">
        <v>226</v>
      </c>
      <c r="H1949" s="19" t="s">
        <v>630</v>
      </c>
      <c r="I1949" s="20" t="n">
        <v>7.429</v>
      </c>
      <c r="J1949" s="19" t="n">
        <f aca="false">IF(I1949="","",MIN(Overview!$B$8,MAX(1,CEILING(I1949/Overview!$B$7,1))))</f>
        <v>2</v>
      </c>
      <c r="K1949" s="19" t="n">
        <v>1</v>
      </c>
      <c r="L1949" s="19"/>
      <c r="M1949" s="20" t="n">
        <v>3</v>
      </c>
      <c r="N1949" s="19"/>
      <c r="O1949" s="19"/>
      <c r="P1949" s="19" t="s">
        <v>5104</v>
      </c>
      <c r="Q1949" s="19" t="s">
        <v>965</v>
      </c>
      <c r="R1949" s="21" t="n">
        <v>46010</v>
      </c>
      <c r="S1949" s="19" t="s">
        <v>5105</v>
      </c>
      <c r="T1949" s="19" t="s">
        <v>6138</v>
      </c>
      <c r="U1949" s="19" t="str">
        <f aca="false">HYPERLINK("https://macaulaylibrary.org/asset/647489671","Open")</f>
        <v>Open</v>
      </c>
      <c r="V1949" s="19"/>
    </row>
    <row r="1950" customFormat="false" ht="15" hidden="false" customHeight="false" outlineLevel="0" collapsed="false">
      <c r="A1950" s="19" t="s">
        <v>6139</v>
      </c>
      <c r="B1950" s="19" t="s">
        <v>943</v>
      </c>
      <c r="C1950" s="19" t="s">
        <v>944</v>
      </c>
      <c r="D1950" s="19" t="s">
        <v>400</v>
      </c>
      <c r="E1950" s="19" t="s">
        <v>147</v>
      </c>
      <c r="F1950" s="19" t="s">
        <v>629</v>
      </c>
      <c r="G1950" s="19" t="n">
        <v>226</v>
      </c>
      <c r="H1950" s="19" t="s">
        <v>630</v>
      </c>
      <c r="I1950" s="20" t="n">
        <v>9.728</v>
      </c>
      <c r="J1950" s="19" t="n">
        <f aca="false">IF(I1950="","",MIN(Overview!$B$8,MAX(1,CEILING(I1950/Overview!$B$7,1))))</f>
        <v>2</v>
      </c>
      <c r="K1950" s="19" t="n">
        <v>1</v>
      </c>
      <c r="L1950" s="19"/>
      <c r="M1950" s="20" t="n">
        <v>2</v>
      </c>
      <c r="N1950" s="19"/>
      <c r="O1950" s="19"/>
      <c r="P1950" s="19" t="s">
        <v>6140</v>
      </c>
      <c r="Q1950" s="19" t="s">
        <v>1199</v>
      </c>
      <c r="R1950" s="21" t="n">
        <v>46027</v>
      </c>
      <c r="S1950" s="19" t="s">
        <v>5342</v>
      </c>
      <c r="T1950" s="19" t="s">
        <v>6141</v>
      </c>
      <c r="U1950" s="19" t="str">
        <f aca="false">HYPERLINK("https://macaulaylibrary.org/asset/648568380","Open")</f>
        <v>Open</v>
      </c>
      <c r="V1950" s="19"/>
    </row>
    <row r="1951" customFormat="false" ht="15" hidden="false" customHeight="false" outlineLevel="0" collapsed="false">
      <c r="A1951" s="19" t="s">
        <v>6142</v>
      </c>
      <c r="B1951" s="19" t="s">
        <v>943</v>
      </c>
      <c r="C1951" s="19" t="s">
        <v>944</v>
      </c>
      <c r="D1951" s="19" t="s">
        <v>714</v>
      </c>
      <c r="E1951" s="19" t="s">
        <v>147</v>
      </c>
      <c r="F1951" s="19" t="s">
        <v>740</v>
      </c>
      <c r="G1951" s="19" t="n">
        <v>227</v>
      </c>
      <c r="H1951" s="19" t="s">
        <v>741</v>
      </c>
      <c r="I1951" s="20" t="n">
        <v>19.499</v>
      </c>
      <c r="J1951" s="19" t="n">
        <f aca="false">IF(I1951="","",MIN(Overview!$B$8,MAX(1,CEILING(I1951/Overview!$B$7,1))))</f>
        <v>4</v>
      </c>
      <c r="K1951" s="19" t="n">
        <v>1</v>
      </c>
      <c r="L1951" s="19"/>
      <c r="M1951" s="20"/>
      <c r="N1951" s="19"/>
      <c r="O1951" s="19"/>
      <c r="P1951" s="19" t="s">
        <v>6143</v>
      </c>
      <c r="Q1951" s="19" t="s">
        <v>1620</v>
      </c>
      <c r="R1951" s="21" t="n">
        <v>46101</v>
      </c>
      <c r="S1951" s="19" t="s">
        <v>6144</v>
      </c>
      <c r="T1951" s="19" t="s">
        <v>6145</v>
      </c>
      <c r="U1951" s="19" t="str">
        <f aca="false">HYPERLINK("https://macaulaylibrary.org/asset/663479315","Open")</f>
        <v>Open</v>
      </c>
      <c r="V1951" s="19"/>
    </row>
    <row r="1952" customFormat="false" ht="15" hidden="false" customHeight="false" outlineLevel="0" collapsed="false">
      <c r="A1952" s="19" t="s">
        <v>6146</v>
      </c>
      <c r="B1952" s="19" t="s">
        <v>943</v>
      </c>
      <c r="C1952" s="19" t="s">
        <v>944</v>
      </c>
      <c r="D1952" s="19" t="s">
        <v>714</v>
      </c>
      <c r="E1952" s="19" t="s">
        <v>147</v>
      </c>
      <c r="F1952" s="19" t="s">
        <v>740</v>
      </c>
      <c r="G1952" s="19" t="n">
        <v>227</v>
      </c>
      <c r="H1952" s="19" t="s">
        <v>741</v>
      </c>
      <c r="I1952" s="20" t="n">
        <v>20.565</v>
      </c>
      <c r="J1952" s="19" t="n">
        <f aca="false">IF(I1952="","",MIN(Overview!$B$8,MAX(1,CEILING(I1952/Overview!$B$7,1))))</f>
        <v>5</v>
      </c>
      <c r="K1952" s="19" t="n">
        <v>1</v>
      </c>
      <c r="L1952" s="19"/>
      <c r="M1952" s="20"/>
      <c r="N1952" s="19"/>
      <c r="O1952" s="19"/>
      <c r="P1952" s="19" t="s">
        <v>6143</v>
      </c>
      <c r="Q1952" s="19" t="s">
        <v>1620</v>
      </c>
      <c r="R1952" s="21" t="n">
        <v>46101</v>
      </c>
      <c r="S1952" s="19" t="s">
        <v>6144</v>
      </c>
      <c r="T1952" s="19" t="s">
        <v>6147</v>
      </c>
      <c r="U1952" s="19" t="str">
        <f aca="false">HYPERLINK("https://macaulaylibrary.org/asset/663479316","Open")</f>
        <v>Open</v>
      </c>
      <c r="V1952" s="19"/>
    </row>
    <row r="1953" customFormat="false" ht="15" hidden="false" customHeight="false" outlineLevel="0" collapsed="false">
      <c r="A1953" s="19" t="s">
        <v>6148</v>
      </c>
      <c r="B1953" s="19" t="s">
        <v>943</v>
      </c>
      <c r="C1953" s="19" t="s">
        <v>944</v>
      </c>
      <c r="D1953" s="19" t="s">
        <v>400</v>
      </c>
      <c r="E1953" s="19" t="s">
        <v>147</v>
      </c>
      <c r="F1953" s="19" t="s">
        <v>466</v>
      </c>
      <c r="G1953" s="19" t="n">
        <v>228</v>
      </c>
      <c r="H1953" s="19" t="s">
        <v>467</v>
      </c>
      <c r="I1953" s="20" t="n">
        <v>7.562</v>
      </c>
      <c r="J1953" s="19" t="n">
        <f aca="false">IF(I1953="","",MIN(Overview!$B$8,MAX(1,CEILING(I1953/Overview!$B$7,1))))</f>
        <v>2</v>
      </c>
      <c r="K1953" s="19" t="n">
        <v>1</v>
      </c>
      <c r="L1953" s="19"/>
      <c r="M1953" s="20" t="n">
        <v>3.5</v>
      </c>
      <c r="N1953" s="19"/>
      <c r="O1953" s="19"/>
      <c r="P1953" s="19" t="s">
        <v>1703</v>
      </c>
      <c r="Q1953" s="19" t="s">
        <v>1021</v>
      </c>
      <c r="R1953" s="21" t="n">
        <v>36601</v>
      </c>
      <c r="S1953" s="19" t="s">
        <v>1036</v>
      </c>
      <c r="T1953" s="19" t="s">
        <v>6149</v>
      </c>
      <c r="U1953" s="19" t="str">
        <f aca="false">HYPERLINK("https://macaulaylibrary.org/asset/152037451","Open")</f>
        <v>Open</v>
      </c>
      <c r="V1953" s="19"/>
    </row>
    <row r="1954" customFormat="false" ht="15" hidden="false" customHeight="false" outlineLevel="0" collapsed="false">
      <c r="A1954" s="19" t="s">
        <v>6150</v>
      </c>
      <c r="B1954" s="19" t="s">
        <v>943</v>
      </c>
      <c r="C1954" s="19" t="s">
        <v>944</v>
      </c>
      <c r="D1954" s="19" t="s">
        <v>400</v>
      </c>
      <c r="E1954" s="19" t="s">
        <v>147</v>
      </c>
      <c r="F1954" s="19" t="s">
        <v>466</v>
      </c>
      <c r="G1954" s="19" t="n">
        <v>228</v>
      </c>
      <c r="H1954" s="19" t="s">
        <v>467</v>
      </c>
      <c r="I1954" s="20" t="n">
        <v>96.994</v>
      </c>
      <c r="J1954" s="19" t="n">
        <f aca="false">IF(I1954="","",MIN(Overview!$B$8,MAX(1,CEILING(I1954/Overview!$B$7,1))))</f>
        <v>20</v>
      </c>
      <c r="K1954" s="19" t="n">
        <v>1</v>
      </c>
      <c r="L1954" s="19"/>
      <c r="M1954" s="20" t="n">
        <v>3</v>
      </c>
      <c r="N1954" s="19"/>
      <c r="O1954" s="19"/>
      <c r="P1954" s="19" t="s">
        <v>1097</v>
      </c>
      <c r="Q1954" s="19" t="s">
        <v>980</v>
      </c>
      <c r="R1954" s="21" t="n">
        <v>32553</v>
      </c>
      <c r="S1954" s="19"/>
      <c r="T1954" s="19" t="s">
        <v>6151</v>
      </c>
      <c r="U1954" s="19" t="str">
        <f aca="false">HYPERLINK("https://macaulaylibrary.org/asset/215325","Open")</f>
        <v>Open</v>
      </c>
      <c r="V1954" s="19" t="s">
        <v>6152</v>
      </c>
    </row>
    <row r="1955" customFormat="false" ht="15" hidden="false" customHeight="false" outlineLevel="0" collapsed="false">
      <c r="A1955" s="19" t="s">
        <v>6153</v>
      </c>
      <c r="B1955" s="19" t="s">
        <v>943</v>
      </c>
      <c r="C1955" s="19" t="s">
        <v>944</v>
      </c>
      <c r="D1955" s="19" t="s">
        <v>400</v>
      </c>
      <c r="E1955" s="19" t="s">
        <v>147</v>
      </c>
      <c r="F1955" s="19" t="s">
        <v>466</v>
      </c>
      <c r="G1955" s="19" t="n">
        <v>228</v>
      </c>
      <c r="H1955" s="19" t="s">
        <v>467</v>
      </c>
      <c r="I1955" s="20" t="n">
        <v>168.294</v>
      </c>
      <c r="J1955" s="19" t="n">
        <f aca="false">IF(I1955="","",MIN(Overview!$B$8,MAX(1,CEILING(I1955/Overview!$B$7,1))))</f>
        <v>34</v>
      </c>
      <c r="K1955" s="19" t="n">
        <v>1</v>
      </c>
      <c r="L1955" s="19"/>
      <c r="M1955" s="20" t="n">
        <v>4</v>
      </c>
      <c r="N1955" s="19"/>
      <c r="O1955" s="19"/>
      <c r="P1955" s="19" t="s">
        <v>1097</v>
      </c>
      <c r="Q1955" s="19" t="s">
        <v>980</v>
      </c>
      <c r="R1955" s="21" t="n">
        <v>32553</v>
      </c>
      <c r="S1955" s="19" t="s">
        <v>1098</v>
      </c>
      <c r="T1955" s="19" t="s">
        <v>6154</v>
      </c>
      <c r="U1955" s="19" t="str">
        <f aca="false">HYPERLINK("https://macaulaylibrary.org/asset/215327","Open")</f>
        <v>Open</v>
      </c>
      <c r="V1955" s="19" t="s">
        <v>6152</v>
      </c>
    </row>
    <row r="1956" customFormat="false" ht="15" hidden="false" customHeight="false" outlineLevel="0" collapsed="false">
      <c r="A1956" s="19" t="s">
        <v>6155</v>
      </c>
      <c r="B1956" s="19" t="s">
        <v>943</v>
      </c>
      <c r="C1956" s="19" t="s">
        <v>944</v>
      </c>
      <c r="D1956" s="19" t="s">
        <v>400</v>
      </c>
      <c r="E1956" s="19" t="s">
        <v>147</v>
      </c>
      <c r="F1956" s="19" t="s">
        <v>466</v>
      </c>
      <c r="G1956" s="19" t="n">
        <v>228</v>
      </c>
      <c r="H1956" s="19" t="s">
        <v>467</v>
      </c>
      <c r="I1956" s="20" t="n">
        <v>29.648</v>
      </c>
      <c r="J1956" s="19" t="n">
        <f aca="false">IF(I1956="","",MIN(Overview!$B$8,MAX(1,CEILING(I1956/Overview!$B$7,1))))</f>
        <v>6</v>
      </c>
      <c r="K1956" s="19" t="n">
        <v>1</v>
      </c>
      <c r="L1956" s="19"/>
      <c r="M1956" s="20" t="n">
        <v>1</v>
      </c>
      <c r="N1956" s="19"/>
      <c r="O1956" s="19"/>
      <c r="P1956" s="19" t="s">
        <v>3430</v>
      </c>
      <c r="Q1956" s="19" t="s">
        <v>2343</v>
      </c>
      <c r="R1956" s="21" t="n">
        <v>31503</v>
      </c>
      <c r="S1956" s="19" t="s">
        <v>1715</v>
      </c>
      <c r="T1956" s="19" t="s">
        <v>6156</v>
      </c>
      <c r="U1956" s="19" t="str">
        <f aca="false">HYPERLINK("https://macaulaylibrary.org/asset/249421","Open")</f>
        <v>Open</v>
      </c>
      <c r="V1956" s="19" t="s">
        <v>6157</v>
      </c>
    </row>
    <row r="1957" customFormat="false" ht="15" hidden="false" customHeight="false" outlineLevel="0" collapsed="false">
      <c r="A1957" s="19" t="s">
        <v>6158</v>
      </c>
      <c r="B1957" s="19" t="s">
        <v>943</v>
      </c>
      <c r="C1957" s="19" t="s">
        <v>944</v>
      </c>
      <c r="D1957" s="19" t="s">
        <v>400</v>
      </c>
      <c r="E1957" s="19" t="s">
        <v>147</v>
      </c>
      <c r="F1957" s="19" t="s">
        <v>466</v>
      </c>
      <c r="G1957" s="19" t="n">
        <v>228</v>
      </c>
      <c r="H1957" s="19" t="s">
        <v>467</v>
      </c>
      <c r="I1957" s="20" t="n">
        <v>299.295</v>
      </c>
      <c r="J1957" s="19" t="n">
        <f aca="false">IF(I1957="","",MIN(Overview!$B$8,MAX(1,CEILING(I1957/Overview!$B$7,1))))</f>
        <v>60</v>
      </c>
      <c r="K1957" s="19" t="n">
        <v>1</v>
      </c>
      <c r="L1957" s="19"/>
      <c r="M1957" s="20" t="n">
        <v>2</v>
      </c>
      <c r="N1957" s="19"/>
      <c r="O1957" s="19"/>
      <c r="P1957" s="19" t="s">
        <v>3430</v>
      </c>
      <c r="Q1957" s="19" t="s">
        <v>2343</v>
      </c>
      <c r="R1957" s="21" t="n">
        <v>31503</v>
      </c>
      <c r="S1957" s="19"/>
      <c r="T1957" s="19" t="s">
        <v>6159</v>
      </c>
      <c r="U1957" s="19" t="str">
        <f aca="false">HYPERLINK("https://macaulaylibrary.org/asset/249424","Open")</f>
        <v>Open</v>
      </c>
      <c r="V1957" s="19"/>
    </row>
    <row r="1958" customFormat="false" ht="15" hidden="false" customHeight="false" outlineLevel="0" collapsed="false">
      <c r="A1958" s="19" t="s">
        <v>6160</v>
      </c>
      <c r="B1958" s="19" t="s">
        <v>943</v>
      </c>
      <c r="C1958" s="19" t="s">
        <v>944</v>
      </c>
      <c r="D1958" s="19" t="s">
        <v>400</v>
      </c>
      <c r="E1958" s="19" t="s">
        <v>147</v>
      </c>
      <c r="F1958" s="19" t="s">
        <v>466</v>
      </c>
      <c r="G1958" s="19" t="n">
        <v>228</v>
      </c>
      <c r="H1958" s="19" t="s">
        <v>467</v>
      </c>
      <c r="I1958" s="20" t="n">
        <v>75.732</v>
      </c>
      <c r="J1958" s="19" t="n">
        <f aca="false">IF(I1958="","",MIN(Overview!$B$8,MAX(1,CEILING(I1958/Overview!$B$7,1))))</f>
        <v>16</v>
      </c>
      <c r="K1958" s="19" t="n">
        <v>1</v>
      </c>
      <c r="L1958" s="19"/>
      <c r="M1958" s="20" t="n">
        <v>2</v>
      </c>
      <c r="N1958" s="19"/>
      <c r="O1958" s="19"/>
      <c r="P1958" s="19" t="s">
        <v>4431</v>
      </c>
      <c r="Q1958" s="19" t="s">
        <v>1781</v>
      </c>
      <c r="R1958" s="21" t="n">
        <v>30406</v>
      </c>
      <c r="S1958" s="19" t="s">
        <v>1302</v>
      </c>
      <c r="T1958" s="19" t="s">
        <v>6161</v>
      </c>
      <c r="U1958" s="19" t="str">
        <f aca="false">HYPERLINK("https://macaulaylibrary.org/asset/31396","Open")</f>
        <v>Open</v>
      </c>
      <c r="V1958" s="19" t="s">
        <v>6152</v>
      </c>
    </row>
    <row r="1959" customFormat="false" ht="15" hidden="false" customHeight="false" outlineLevel="0" collapsed="false">
      <c r="A1959" s="19" t="s">
        <v>6162</v>
      </c>
      <c r="B1959" s="19" t="s">
        <v>943</v>
      </c>
      <c r="C1959" s="19" t="s">
        <v>944</v>
      </c>
      <c r="D1959" s="19" t="s">
        <v>400</v>
      </c>
      <c r="E1959" s="19" t="s">
        <v>147</v>
      </c>
      <c r="F1959" s="19" t="s">
        <v>466</v>
      </c>
      <c r="G1959" s="19" t="n">
        <v>228</v>
      </c>
      <c r="H1959" s="19" t="s">
        <v>467</v>
      </c>
      <c r="I1959" s="20" t="n">
        <v>57.622</v>
      </c>
      <c r="J1959" s="19" t="n">
        <f aca="false">IF(I1959="","",MIN(Overview!$B$8,MAX(1,CEILING(I1959/Overview!$B$7,1))))</f>
        <v>12</v>
      </c>
      <c r="K1959" s="19" t="n">
        <v>1</v>
      </c>
      <c r="L1959" s="19"/>
      <c r="M1959" s="20" t="n">
        <v>3</v>
      </c>
      <c r="N1959" s="19"/>
      <c r="O1959" s="19"/>
      <c r="P1959" s="19" t="s">
        <v>1520</v>
      </c>
      <c r="Q1959" s="19" t="s">
        <v>980</v>
      </c>
      <c r="R1959" s="21" t="n">
        <v>34759</v>
      </c>
      <c r="S1959" s="19" t="s">
        <v>1002</v>
      </c>
      <c r="T1959" s="19" t="s">
        <v>6163</v>
      </c>
      <c r="U1959" s="19" t="str">
        <f aca="false">HYPERLINK("https://macaulaylibrary.org/asset/72633","Open")</f>
        <v>Open</v>
      </c>
      <c r="V1959" s="19" t="s">
        <v>6152</v>
      </c>
    </row>
    <row r="1960" customFormat="false" ht="15" hidden="false" customHeight="false" outlineLevel="0" collapsed="false">
      <c r="A1960" s="19" t="s">
        <v>6164</v>
      </c>
      <c r="B1960" s="19" t="s">
        <v>1005</v>
      </c>
      <c r="C1960" s="19" t="s">
        <v>944</v>
      </c>
      <c r="D1960" s="19" t="s">
        <v>647</v>
      </c>
      <c r="E1960" s="19" t="s">
        <v>147</v>
      </c>
      <c r="F1960" s="19" t="s">
        <v>885</v>
      </c>
      <c r="G1960" s="19" t="n">
        <v>229</v>
      </c>
      <c r="H1960" s="19" t="s">
        <v>886</v>
      </c>
      <c r="I1960" s="20" t="n">
        <v>20.376</v>
      </c>
      <c r="J1960" s="19" t="n">
        <f aca="false">IF(I1960="","",MIN(Overview!$B$8,MAX(1,CEILING(I1960/Overview!$B$7,1))))</f>
        <v>5</v>
      </c>
      <c r="K1960" s="19" t="n">
        <v>1</v>
      </c>
      <c r="L1960" s="19"/>
      <c r="M1960" s="20"/>
      <c r="N1960" s="19" t="s">
        <v>1006</v>
      </c>
      <c r="O1960" s="19"/>
      <c r="P1960" s="19" t="s">
        <v>1875</v>
      </c>
      <c r="Q1960" s="19" t="s">
        <v>1008</v>
      </c>
      <c r="R1960" s="21" t="n">
        <v>42579</v>
      </c>
      <c r="S1960" s="19" t="s">
        <v>1279</v>
      </c>
      <c r="T1960" s="19" t="s">
        <v>6165</v>
      </c>
      <c r="U1960" s="19" t="str">
        <f aca="false">HYPERLINK("https://xeno-canto.org/332138","Open")</f>
        <v>Open</v>
      </c>
      <c r="V1960" s="19" t="s">
        <v>6166</v>
      </c>
    </row>
    <row r="1961" customFormat="false" ht="15" hidden="false" customHeight="false" outlineLevel="0" collapsed="false">
      <c r="A1961" s="19" t="s">
        <v>6167</v>
      </c>
      <c r="B1961" s="19" t="s">
        <v>1005</v>
      </c>
      <c r="C1961" s="19" t="s">
        <v>944</v>
      </c>
      <c r="D1961" s="19" t="s">
        <v>647</v>
      </c>
      <c r="E1961" s="19" t="s">
        <v>147</v>
      </c>
      <c r="F1961" s="19" t="s">
        <v>889</v>
      </c>
      <c r="G1961" s="19" t="n">
        <v>230</v>
      </c>
      <c r="H1961" s="19" t="s">
        <v>890</v>
      </c>
      <c r="I1961" s="20" t="n">
        <v>7.992</v>
      </c>
      <c r="J1961" s="19" t="n">
        <f aca="false">IF(I1961="","",MIN(Overview!$B$8,MAX(1,CEILING(I1961/Overview!$B$7,1))))</f>
        <v>2</v>
      </c>
      <c r="K1961" s="19" t="n">
        <v>1</v>
      </c>
      <c r="L1961" s="19"/>
      <c r="M1961" s="20"/>
      <c r="N1961" s="19" t="s">
        <v>1006</v>
      </c>
      <c r="O1961" s="19"/>
      <c r="P1961" s="19" t="s">
        <v>1657</v>
      </c>
      <c r="Q1961" s="19" t="s">
        <v>1008</v>
      </c>
      <c r="R1961" s="21" t="n">
        <v>42581</v>
      </c>
      <c r="S1961" s="19" t="s">
        <v>2159</v>
      </c>
      <c r="T1961" s="19" t="s">
        <v>6168</v>
      </c>
      <c r="U1961" s="19" t="str">
        <f aca="false">HYPERLINK("https://xeno-canto.org/332506","Open")</f>
        <v>Open</v>
      </c>
      <c r="V1961" s="19" t="s">
        <v>2789</v>
      </c>
    </row>
    <row r="1962" customFormat="false" ht="15" hidden="false" customHeight="false" outlineLevel="0" collapsed="false">
      <c r="A1962" s="19" t="s">
        <v>6169</v>
      </c>
      <c r="B1962" s="19" t="s">
        <v>1005</v>
      </c>
      <c r="C1962" s="19" t="s">
        <v>944</v>
      </c>
      <c r="D1962" s="19" t="s">
        <v>647</v>
      </c>
      <c r="E1962" s="19" t="s">
        <v>147</v>
      </c>
      <c r="F1962" s="19" t="s">
        <v>892</v>
      </c>
      <c r="G1962" s="19" t="n">
        <v>231</v>
      </c>
      <c r="H1962" s="19" t="s">
        <v>893</v>
      </c>
      <c r="I1962" s="20" t="n">
        <v>85.92</v>
      </c>
      <c r="J1962" s="19" t="n">
        <f aca="false">IF(I1962="","",MIN(Overview!$B$8,MAX(1,CEILING(I1962/Overview!$B$7,1))))</f>
        <v>18</v>
      </c>
      <c r="K1962" s="19" t="n">
        <v>1</v>
      </c>
      <c r="L1962" s="19"/>
      <c r="M1962" s="20"/>
      <c r="N1962" s="19" t="s">
        <v>1656</v>
      </c>
      <c r="O1962" s="19"/>
      <c r="P1962" s="19" t="s">
        <v>3999</v>
      </c>
      <c r="Q1962" s="19" t="s">
        <v>1008</v>
      </c>
      <c r="R1962" s="21" t="n">
        <v>42576</v>
      </c>
      <c r="S1962" s="19" t="s">
        <v>1072</v>
      </c>
      <c r="T1962" s="19" t="s">
        <v>6170</v>
      </c>
      <c r="U1962" s="19" t="str">
        <f aca="false">HYPERLINK("https://xeno-canto.org/332575","Open")</f>
        <v>Open</v>
      </c>
      <c r="V1962" s="19" t="s">
        <v>5551</v>
      </c>
    </row>
    <row r="1963" customFormat="false" ht="15" hidden="false" customHeight="false" outlineLevel="0" collapsed="false">
      <c r="A1963" s="19" t="s">
        <v>6171</v>
      </c>
      <c r="B1963" s="19" t="s">
        <v>943</v>
      </c>
      <c r="C1963" s="19" t="s">
        <v>944</v>
      </c>
      <c r="D1963" s="19" t="s">
        <v>400</v>
      </c>
      <c r="E1963" s="19" t="s">
        <v>147</v>
      </c>
      <c r="F1963" s="19" t="s">
        <v>743</v>
      </c>
      <c r="G1963" s="19" t="n">
        <v>232</v>
      </c>
      <c r="H1963" s="19" t="s">
        <v>744</v>
      </c>
      <c r="I1963" s="20" t="n">
        <v>24.642</v>
      </c>
      <c r="J1963" s="19" t="n">
        <f aca="false">IF(I1963="","",MIN(Overview!$B$8,MAX(1,CEILING(I1963/Overview!$B$7,1))))</f>
        <v>5</v>
      </c>
      <c r="K1963" s="19" t="n">
        <v>1</v>
      </c>
      <c r="L1963" s="19"/>
      <c r="M1963" s="20" t="n">
        <v>3</v>
      </c>
      <c r="N1963" s="19"/>
      <c r="O1963" s="19"/>
      <c r="P1963" s="19" t="s">
        <v>1482</v>
      </c>
      <c r="Q1963" s="19" t="s">
        <v>1483</v>
      </c>
      <c r="R1963" s="21" t="n">
        <v>45293</v>
      </c>
      <c r="S1963" s="19" t="s">
        <v>1484</v>
      </c>
      <c r="T1963" s="19" t="s">
        <v>6172</v>
      </c>
      <c r="U1963" s="19" t="str">
        <f aca="false">HYPERLINK("https://macaulaylibrary.org/asset/639219060","Open")</f>
        <v>Open</v>
      </c>
      <c r="V1963" s="19"/>
    </row>
    <row r="1964" customFormat="false" ht="15" hidden="false" customHeight="false" outlineLevel="0" collapsed="false">
      <c r="A1964" s="19" t="s">
        <v>6173</v>
      </c>
      <c r="B1964" s="19" t="s">
        <v>943</v>
      </c>
      <c r="C1964" s="19" t="s">
        <v>944</v>
      </c>
      <c r="D1964" s="19" t="s">
        <v>400</v>
      </c>
      <c r="E1964" s="19" t="s">
        <v>147</v>
      </c>
      <c r="F1964" s="19" t="s">
        <v>511</v>
      </c>
      <c r="G1964" s="19" t="n">
        <v>233</v>
      </c>
      <c r="H1964" s="19" t="s">
        <v>512</v>
      </c>
      <c r="I1964" s="20" t="n">
        <v>61.986</v>
      </c>
      <c r="J1964" s="19" t="n">
        <f aca="false">IF(I1964="","",MIN(Overview!$B$8,MAX(1,CEILING(I1964/Overview!$B$7,1))))</f>
        <v>13</v>
      </c>
      <c r="K1964" s="19" t="n">
        <v>1</v>
      </c>
      <c r="L1964" s="19"/>
      <c r="M1964" s="20" t="n">
        <v>3</v>
      </c>
      <c r="N1964" s="19"/>
      <c r="O1964" s="19"/>
      <c r="P1964" s="19" t="s">
        <v>1811</v>
      </c>
      <c r="Q1964" s="19" t="s">
        <v>1368</v>
      </c>
      <c r="R1964" s="21" t="n">
        <v>45489</v>
      </c>
      <c r="S1964" s="19" t="s">
        <v>1081</v>
      </c>
      <c r="T1964" s="19" t="s">
        <v>6174</v>
      </c>
      <c r="U1964" s="19" t="str">
        <f aca="false">HYPERLINK("https://macaulaylibrary.org/asset/631662854","Open")</f>
        <v>Open</v>
      </c>
      <c r="V1964" s="19"/>
    </row>
    <row r="1965" customFormat="false" ht="15" hidden="false" customHeight="false" outlineLevel="0" collapsed="false">
      <c r="A1965" s="19" t="s">
        <v>6175</v>
      </c>
      <c r="B1965" s="19" t="s">
        <v>943</v>
      </c>
      <c r="C1965" s="19" t="s">
        <v>944</v>
      </c>
      <c r="D1965" s="19" t="s">
        <v>400</v>
      </c>
      <c r="E1965" s="19" t="s">
        <v>147</v>
      </c>
      <c r="F1965" s="19" t="s">
        <v>511</v>
      </c>
      <c r="G1965" s="19" t="n">
        <v>233</v>
      </c>
      <c r="H1965" s="19" t="s">
        <v>512</v>
      </c>
      <c r="I1965" s="20" t="n">
        <v>6.378</v>
      </c>
      <c r="J1965" s="19" t="n">
        <f aca="false">IF(I1965="","",MIN(Overview!$B$8,MAX(1,CEILING(I1965/Overview!$B$7,1))))</f>
        <v>2</v>
      </c>
      <c r="K1965" s="19" t="n">
        <v>1</v>
      </c>
      <c r="L1965" s="19"/>
      <c r="M1965" s="20"/>
      <c r="N1965" s="19"/>
      <c r="O1965" s="19"/>
      <c r="P1965" s="19" t="s">
        <v>2146</v>
      </c>
      <c r="Q1965" s="19" t="s">
        <v>1382</v>
      </c>
      <c r="R1965" s="21" t="n">
        <v>46104</v>
      </c>
      <c r="S1965" s="19" t="s">
        <v>2147</v>
      </c>
      <c r="T1965" s="19" t="s">
        <v>6176</v>
      </c>
      <c r="U1965" s="19" t="str">
        <f aca="false">HYPERLINK("https://macaulaylibrary.org/asset/654603931","Open")</f>
        <v>Open</v>
      </c>
      <c r="V1965" s="19"/>
    </row>
    <row r="1966" customFormat="false" ht="15" hidden="false" customHeight="false" outlineLevel="0" collapsed="false">
      <c r="A1966" s="19" t="s">
        <v>6177</v>
      </c>
      <c r="B1966" s="19" t="s">
        <v>943</v>
      </c>
      <c r="C1966" s="19" t="s">
        <v>944</v>
      </c>
      <c r="D1966" s="19" t="s">
        <v>400</v>
      </c>
      <c r="E1966" s="19" t="s">
        <v>147</v>
      </c>
      <c r="F1966" s="19" t="s">
        <v>511</v>
      </c>
      <c r="G1966" s="19" t="n">
        <v>233</v>
      </c>
      <c r="H1966" s="19" t="s">
        <v>512</v>
      </c>
      <c r="I1966" s="20" t="n">
        <v>23.001</v>
      </c>
      <c r="J1966" s="19" t="n">
        <f aca="false">IF(I1966="","",MIN(Overview!$B$8,MAX(1,CEILING(I1966/Overview!$B$7,1))))</f>
        <v>5</v>
      </c>
      <c r="K1966" s="19" t="n">
        <v>1</v>
      </c>
      <c r="L1966" s="19"/>
      <c r="M1966" s="20" t="n">
        <v>5</v>
      </c>
      <c r="N1966" s="19"/>
      <c r="O1966" s="19" t="s">
        <v>184</v>
      </c>
      <c r="P1966" s="19" t="s">
        <v>6178</v>
      </c>
      <c r="Q1966" s="19" t="s">
        <v>1236</v>
      </c>
      <c r="R1966" s="21" t="n">
        <v>46132</v>
      </c>
      <c r="S1966" s="19" t="s">
        <v>1588</v>
      </c>
      <c r="T1966" s="19" t="s">
        <v>6179</v>
      </c>
      <c r="U1966" s="19" t="str">
        <f aca="false">HYPERLINK("https://macaulaylibrary.org/asset/656695342","Open")</f>
        <v>Open</v>
      </c>
      <c r="V1966" s="19"/>
    </row>
    <row r="1967" customFormat="false" ht="15" hidden="false" customHeight="false" outlineLevel="0" collapsed="false">
      <c r="A1967" s="19" t="s">
        <v>6180</v>
      </c>
      <c r="B1967" s="19" t="s">
        <v>943</v>
      </c>
      <c r="C1967" s="19" t="s">
        <v>944</v>
      </c>
      <c r="D1967" s="19" t="s">
        <v>400</v>
      </c>
      <c r="E1967" s="19" t="s">
        <v>147</v>
      </c>
      <c r="F1967" s="19" t="s">
        <v>511</v>
      </c>
      <c r="G1967" s="19" t="n">
        <v>233</v>
      </c>
      <c r="H1967" s="19" t="s">
        <v>512</v>
      </c>
      <c r="I1967" s="20" t="n">
        <v>48.051</v>
      </c>
      <c r="J1967" s="19" t="n">
        <f aca="false">IF(I1967="","",MIN(Overview!$B$8,MAX(1,CEILING(I1967/Overview!$B$7,1))))</f>
        <v>10</v>
      </c>
      <c r="K1967" s="19" t="n">
        <v>1</v>
      </c>
      <c r="L1967" s="19"/>
      <c r="M1967" s="20" t="n">
        <v>5</v>
      </c>
      <c r="N1967" s="19"/>
      <c r="O1967" s="19" t="s">
        <v>184</v>
      </c>
      <c r="P1967" s="19" t="s">
        <v>6178</v>
      </c>
      <c r="Q1967" s="19" t="s">
        <v>1236</v>
      </c>
      <c r="R1967" s="21" t="n">
        <v>46132</v>
      </c>
      <c r="S1967" s="19" t="s">
        <v>1588</v>
      </c>
      <c r="T1967" s="19" t="s">
        <v>6181</v>
      </c>
      <c r="U1967" s="19" t="str">
        <f aca="false">HYPERLINK("https://macaulaylibrary.org/asset/656695494","Open")</f>
        <v>Open</v>
      </c>
      <c r="V1967" s="19"/>
    </row>
    <row r="1968" customFormat="false" ht="15" hidden="false" customHeight="false" outlineLevel="0" collapsed="false">
      <c r="A1968" s="19" t="s">
        <v>6182</v>
      </c>
      <c r="B1968" s="19" t="s">
        <v>943</v>
      </c>
      <c r="C1968" s="19" t="s">
        <v>944</v>
      </c>
      <c r="D1968" s="19" t="s">
        <v>400</v>
      </c>
      <c r="E1968" s="19" t="s">
        <v>147</v>
      </c>
      <c r="F1968" s="19" t="s">
        <v>511</v>
      </c>
      <c r="G1968" s="19" t="n">
        <v>233</v>
      </c>
      <c r="H1968" s="19" t="s">
        <v>512</v>
      </c>
      <c r="I1968" s="20" t="n">
        <v>28.833</v>
      </c>
      <c r="J1968" s="19" t="n">
        <f aca="false">IF(I1968="","",MIN(Overview!$B$8,MAX(1,CEILING(I1968/Overview!$B$7,1))))</f>
        <v>6</v>
      </c>
      <c r="K1968" s="19" t="n">
        <v>1</v>
      </c>
      <c r="L1968" s="19"/>
      <c r="M1968" s="20" t="n">
        <v>2</v>
      </c>
      <c r="N1968" s="19"/>
      <c r="O1968" s="19"/>
      <c r="P1968" s="19" t="s">
        <v>6183</v>
      </c>
      <c r="Q1968" s="19" t="s">
        <v>4178</v>
      </c>
      <c r="R1968" s="21" t="n">
        <v>43184</v>
      </c>
      <c r="S1968" s="19" t="s">
        <v>6184</v>
      </c>
      <c r="T1968" s="19" t="s">
        <v>6185</v>
      </c>
      <c r="U1968" s="19" t="str">
        <f aca="false">HYPERLINK("https://macaulaylibrary.org/asset/92290261","Open")</f>
        <v>Open</v>
      </c>
      <c r="V1968" s="19"/>
    </row>
    <row r="1969" customFormat="false" ht="15" hidden="false" customHeight="false" outlineLevel="0" collapsed="false">
      <c r="A1969" s="19" t="s">
        <v>6186</v>
      </c>
      <c r="B1969" s="19" t="s">
        <v>943</v>
      </c>
      <c r="C1969" s="19" t="s">
        <v>944</v>
      </c>
      <c r="D1969" s="19" t="s">
        <v>400</v>
      </c>
      <c r="E1969" s="19" t="s">
        <v>147</v>
      </c>
      <c r="F1969" s="19" t="s">
        <v>746</v>
      </c>
      <c r="G1969" s="19" t="n">
        <v>234</v>
      </c>
      <c r="H1969" s="19" t="s">
        <v>747</v>
      </c>
      <c r="I1969" s="20" t="n">
        <v>355.665</v>
      </c>
      <c r="J1969" s="19" t="n">
        <f aca="false">IF(I1969="","",MIN(Overview!$B$8,MAX(1,CEILING(I1969/Overview!$B$7,1))))</f>
        <v>72</v>
      </c>
      <c r="K1969" s="19" t="n">
        <v>1</v>
      </c>
      <c r="L1969" s="19"/>
      <c r="M1969" s="20" t="n">
        <v>2</v>
      </c>
      <c r="N1969" s="19"/>
      <c r="O1969" s="19"/>
      <c r="P1969" s="19" t="s">
        <v>1001</v>
      </c>
      <c r="Q1969" s="19" t="s">
        <v>980</v>
      </c>
      <c r="R1969" s="21" t="n">
        <v>33299</v>
      </c>
      <c r="S1969" s="19" t="s">
        <v>6187</v>
      </c>
      <c r="T1969" s="19" t="s">
        <v>6188</v>
      </c>
      <c r="U1969" s="19" t="str">
        <f aca="false">HYPERLINK("https://macaulaylibrary.org/asset/72648","Open")</f>
        <v>Open</v>
      </c>
      <c r="V1969" s="19"/>
    </row>
    <row r="1970" customFormat="false" ht="15" hidden="false" customHeight="false" outlineLevel="0" collapsed="false">
      <c r="A1970" s="19" t="s">
        <v>6189</v>
      </c>
      <c r="B1970" s="19" t="s">
        <v>943</v>
      </c>
      <c r="C1970" s="19" t="s">
        <v>944</v>
      </c>
      <c r="D1970" s="19" t="s">
        <v>148</v>
      </c>
      <c r="E1970" s="19" t="s">
        <v>147</v>
      </c>
      <c r="F1970" s="19" t="s">
        <v>394</v>
      </c>
      <c r="G1970" s="19" t="n">
        <v>235</v>
      </c>
      <c r="H1970" s="19" t="s">
        <v>395</v>
      </c>
      <c r="I1970" s="20" t="n">
        <v>8.384</v>
      </c>
      <c r="J1970" s="19" t="n">
        <f aca="false">IF(I1970="","",MIN(Overview!$B$8,MAX(1,CEILING(I1970/Overview!$B$7,1))))</f>
        <v>2</v>
      </c>
      <c r="K1970" s="19" t="n">
        <v>1</v>
      </c>
      <c r="L1970" s="19"/>
      <c r="M1970" s="20" t="n">
        <v>3.67</v>
      </c>
      <c r="N1970" s="19"/>
      <c r="O1970" s="19"/>
      <c r="P1970" s="19" t="s">
        <v>2465</v>
      </c>
      <c r="Q1970" s="19" t="s">
        <v>965</v>
      </c>
      <c r="R1970" s="21" t="n">
        <v>43812</v>
      </c>
      <c r="S1970" s="19" t="s">
        <v>2466</v>
      </c>
      <c r="T1970" s="19" t="s">
        <v>6190</v>
      </c>
      <c r="U1970" s="19" t="str">
        <f aca="false">HYPERLINK("https://macaulaylibrary.org/asset/193406801","Open")</f>
        <v>Open</v>
      </c>
      <c r="V1970" s="19"/>
    </row>
    <row r="1971" customFormat="false" ht="15" hidden="false" customHeight="false" outlineLevel="0" collapsed="false">
      <c r="A1971" s="19" t="s">
        <v>6191</v>
      </c>
      <c r="B1971" s="19" t="s">
        <v>943</v>
      </c>
      <c r="C1971" s="19" t="s">
        <v>944</v>
      </c>
      <c r="D1971" s="19" t="s">
        <v>148</v>
      </c>
      <c r="E1971" s="19" t="s">
        <v>147</v>
      </c>
      <c r="F1971" s="19" t="s">
        <v>394</v>
      </c>
      <c r="G1971" s="19" t="n">
        <v>235</v>
      </c>
      <c r="H1971" s="19" t="s">
        <v>395</v>
      </c>
      <c r="I1971" s="20" t="n">
        <v>48.185</v>
      </c>
      <c r="J1971" s="19" t="n">
        <f aca="false">IF(I1971="","",MIN(Overview!$B$8,MAX(1,CEILING(I1971/Overview!$B$7,1))))</f>
        <v>10</v>
      </c>
      <c r="K1971" s="19" t="n">
        <v>1</v>
      </c>
      <c r="L1971" s="19"/>
      <c r="M1971" s="20"/>
      <c r="N1971" s="19"/>
      <c r="O1971" s="19"/>
      <c r="P1971" s="19" t="s">
        <v>1029</v>
      </c>
      <c r="Q1971" s="19" t="s">
        <v>1030</v>
      </c>
      <c r="R1971" s="21" t="n">
        <v>40251</v>
      </c>
      <c r="S1971" s="19" t="s">
        <v>1369</v>
      </c>
      <c r="T1971" s="19" t="s">
        <v>6192</v>
      </c>
      <c r="U1971" s="19" t="str">
        <f aca="false">HYPERLINK("https://macaulaylibrary.org/asset/299620","Open")</f>
        <v>Open</v>
      </c>
      <c r="V1971" s="19"/>
    </row>
    <row r="1972" customFormat="false" ht="15" hidden="false" customHeight="false" outlineLevel="0" collapsed="false">
      <c r="A1972" s="19" t="s">
        <v>6193</v>
      </c>
      <c r="B1972" s="19" t="s">
        <v>943</v>
      </c>
      <c r="C1972" s="19" t="s">
        <v>944</v>
      </c>
      <c r="D1972" s="19" t="s">
        <v>148</v>
      </c>
      <c r="E1972" s="19" t="s">
        <v>147</v>
      </c>
      <c r="F1972" s="19" t="s">
        <v>394</v>
      </c>
      <c r="G1972" s="19" t="n">
        <v>235</v>
      </c>
      <c r="H1972" s="19" t="s">
        <v>395</v>
      </c>
      <c r="I1972" s="20" t="n">
        <v>21.702</v>
      </c>
      <c r="J1972" s="19" t="n">
        <f aca="false">IF(I1972="","",MIN(Overview!$B$8,MAX(1,CEILING(I1972/Overview!$B$7,1))))</f>
        <v>5</v>
      </c>
      <c r="K1972" s="19" t="n">
        <v>1</v>
      </c>
      <c r="L1972" s="19"/>
      <c r="M1972" s="20" t="n">
        <v>4.5</v>
      </c>
      <c r="N1972" s="19"/>
      <c r="O1972" s="19"/>
      <c r="P1972" s="19" t="s">
        <v>2807</v>
      </c>
      <c r="Q1972" s="19" t="s">
        <v>1985</v>
      </c>
      <c r="R1972" s="21" t="n">
        <v>44873</v>
      </c>
      <c r="S1972" s="19" t="s">
        <v>2808</v>
      </c>
      <c r="T1972" s="19" t="s">
        <v>6194</v>
      </c>
      <c r="U1972" s="19" t="str">
        <f aca="false">HYPERLINK("https://macaulaylibrary.org/asset/539536641","Open")</f>
        <v>Open</v>
      </c>
      <c r="V1972" s="19"/>
    </row>
    <row r="1973" customFormat="false" ht="15" hidden="false" customHeight="false" outlineLevel="0" collapsed="false">
      <c r="A1973" s="19" t="s">
        <v>6195</v>
      </c>
      <c r="B1973" s="19" t="s">
        <v>943</v>
      </c>
      <c r="C1973" s="19" t="s">
        <v>944</v>
      </c>
      <c r="D1973" s="19" t="s">
        <v>148</v>
      </c>
      <c r="E1973" s="19" t="s">
        <v>147</v>
      </c>
      <c r="F1973" s="19" t="s">
        <v>394</v>
      </c>
      <c r="G1973" s="19" t="n">
        <v>235</v>
      </c>
      <c r="H1973" s="19" t="s">
        <v>395</v>
      </c>
      <c r="I1973" s="20" t="n">
        <v>8.64</v>
      </c>
      <c r="J1973" s="19" t="n">
        <f aca="false">IF(I1973="","",MIN(Overview!$B$8,MAX(1,CEILING(I1973/Overview!$B$7,1))))</f>
        <v>2</v>
      </c>
      <c r="K1973" s="19" t="n">
        <v>1</v>
      </c>
      <c r="L1973" s="19"/>
      <c r="M1973" s="20" t="n">
        <v>2</v>
      </c>
      <c r="N1973" s="19"/>
      <c r="O1973" s="19"/>
      <c r="P1973" s="19" t="s">
        <v>1165</v>
      </c>
      <c r="Q1973" s="19" t="s">
        <v>1166</v>
      </c>
      <c r="R1973" s="21" t="n">
        <v>44899</v>
      </c>
      <c r="S1973" s="19" t="s">
        <v>1167</v>
      </c>
      <c r="T1973" s="19" t="s">
        <v>6196</v>
      </c>
      <c r="U1973" s="19" t="str">
        <f aca="false">HYPERLINK("https://macaulaylibrary.org/asset/597713311","Open")</f>
        <v>Open</v>
      </c>
      <c r="V1973" s="19"/>
    </row>
    <row r="1974" customFormat="false" ht="15" hidden="false" customHeight="false" outlineLevel="0" collapsed="false">
      <c r="A1974" s="19" t="s">
        <v>6197</v>
      </c>
      <c r="B1974" s="19" t="s">
        <v>943</v>
      </c>
      <c r="C1974" s="19" t="s">
        <v>944</v>
      </c>
      <c r="D1974" s="19" t="s">
        <v>148</v>
      </c>
      <c r="E1974" s="19" t="s">
        <v>147</v>
      </c>
      <c r="F1974" s="19" t="s">
        <v>394</v>
      </c>
      <c r="G1974" s="19" t="n">
        <v>235</v>
      </c>
      <c r="H1974" s="19" t="s">
        <v>395</v>
      </c>
      <c r="I1974" s="20" t="n">
        <v>117.02</v>
      </c>
      <c r="J1974" s="19" t="n">
        <f aca="false">IF(I1974="","",MIN(Overview!$B$8,MAX(1,CEILING(I1974/Overview!$B$7,1))))</f>
        <v>24</v>
      </c>
      <c r="K1974" s="19" t="n">
        <v>1</v>
      </c>
      <c r="L1974" s="19"/>
      <c r="M1974" s="20" t="n">
        <v>4</v>
      </c>
      <c r="N1974" s="19"/>
      <c r="O1974" s="19"/>
      <c r="P1974" s="19" t="s">
        <v>2708</v>
      </c>
      <c r="Q1974" s="19" t="s">
        <v>1258</v>
      </c>
      <c r="R1974" s="21" t="n">
        <v>45229</v>
      </c>
      <c r="S1974" s="19" t="s">
        <v>2542</v>
      </c>
      <c r="T1974" s="19" t="s">
        <v>6198</v>
      </c>
      <c r="U1974" s="19" t="str">
        <f aca="false">HYPERLINK("https://macaulaylibrary.org/asset/621759623","Open")</f>
        <v>Open</v>
      </c>
      <c r="V1974" s="19"/>
    </row>
    <row r="1975" customFormat="false" ht="15" hidden="false" customHeight="false" outlineLevel="0" collapsed="false">
      <c r="A1975" s="19" t="s">
        <v>6199</v>
      </c>
      <c r="B1975" s="19" t="s">
        <v>943</v>
      </c>
      <c r="C1975" s="19" t="s">
        <v>944</v>
      </c>
      <c r="D1975" s="19" t="s">
        <v>148</v>
      </c>
      <c r="E1975" s="19" t="s">
        <v>147</v>
      </c>
      <c r="F1975" s="19" t="s">
        <v>394</v>
      </c>
      <c r="G1975" s="19" t="n">
        <v>235</v>
      </c>
      <c r="H1975" s="19" t="s">
        <v>395</v>
      </c>
      <c r="I1975" s="20" t="n">
        <v>8.93</v>
      </c>
      <c r="J1975" s="19" t="n">
        <f aca="false">IF(I1975="","",MIN(Overview!$B$8,MAX(1,CEILING(I1975/Overview!$B$7,1))))</f>
        <v>2</v>
      </c>
      <c r="K1975" s="19" t="n">
        <v>1</v>
      </c>
      <c r="L1975" s="19"/>
      <c r="M1975" s="20" t="n">
        <v>1</v>
      </c>
      <c r="N1975" s="19"/>
      <c r="O1975" s="19"/>
      <c r="P1975" s="19" t="s">
        <v>1631</v>
      </c>
      <c r="Q1975" s="19" t="s">
        <v>990</v>
      </c>
      <c r="R1975" s="21" t="n">
        <v>46012</v>
      </c>
      <c r="S1975" s="19" t="s">
        <v>1632</v>
      </c>
      <c r="T1975" s="19" t="s">
        <v>6200</v>
      </c>
      <c r="U1975" s="19" t="str">
        <f aca="false">HYPERLINK("https://macaulaylibrary.org/asset/647483796","Open")</f>
        <v>Open</v>
      </c>
      <c r="V1975" s="19"/>
    </row>
    <row r="1976" customFormat="false" ht="15" hidden="false" customHeight="false" outlineLevel="0" collapsed="false">
      <c r="A1976" s="19" t="s">
        <v>6201</v>
      </c>
      <c r="B1976" s="19" t="s">
        <v>943</v>
      </c>
      <c r="C1976" s="19" t="s">
        <v>944</v>
      </c>
      <c r="D1976" s="19" t="s">
        <v>148</v>
      </c>
      <c r="E1976" s="19" t="s">
        <v>147</v>
      </c>
      <c r="F1976" s="19" t="s">
        <v>394</v>
      </c>
      <c r="G1976" s="19" t="n">
        <v>235</v>
      </c>
      <c r="H1976" s="19" t="s">
        <v>395</v>
      </c>
      <c r="I1976" s="20" t="n">
        <v>23.75</v>
      </c>
      <c r="J1976" s="19" t="n">
        <f aca="false">IF(I1976="","",MIN(Overview!$B$8,MAX(1,CEILING(I1976/Overview!$B$7,1))))</f>
        <v>5</v>
      </c>
      <c r="K1976" s="19" t="n">
        <v>1</v>
      </c>
      <c r="L1976" s="19"/>
      <c r="M1976" s="20" t="n">
        <v>4</v>
      </c>
      <c r="N1976" s="19"/>
      <c r="O1976" s="19" t="s">
        <v>172</v>
      </c>
      <c r="P1976" s="19" t="s">
        <v>1631</v>
      </c>
      <c r="Q1976" s="19" t="s">
        <v>990</v>
      </c>
      <c r="R1976" s="21" t="n">
        <v>46012</v>
      </c>
      <c r="S1976" s="19" t="s">
        <v>1632</v>
      </c>
      <c r="T1976" s="19" t="s">
        <v>6202</v>
      </c>
      <c r="U1976" s="19" t="str">
        <f aca="false">HYPERLINK("https://macaulaylibrary.org/asset/647483835","Open")</f>
        <v>Open</v>
      </c>
      <c r="V1976" s="19"/>
    </row>
    <row r="1977" customFormat="false" ht="15" hidden="false" customHeight="false" outlineLevel="0" collapsed="false">
      <c r="A1977" s="19" t="s">
        <v>6203</v>
      </c>
      <c r="B1977" s="19" t="s">
        <v>943</v>
      </c>
      <c r="C1977" s="19" t="s">
        <v>944</v>
      </c>
      <c r="D1977" s="19" t="s">
        <v>148</v>
      </c>
      <c r="E1977" s="19" t="s">
        <v>147</v>
      </c>
      <c r="F1977" s="19" t="s">
        <v>394</v>
      </c>
      <c r="G1977" s="19" t="n">
        <v>235</v>
      </c>
      <c r="H1977" s="19" t="s">
        <v>395</v>
      </c>
      <c r="I1977" s="20" t="n">
        <v>31.52</v>
      </c>
      <c r="J1977" s="19" t="n">
        <f aca="false">IF(I1977="","",MIN(Overview!$B$8,MAX(1,CEILING(I1977/Overview!$B$7,1))))</f>
        <v>7</v>
      </c>
      <c r="K1977" s="19" t="n">
        <v>1</v>
      </c>
      <c r="L1977" s="19"/>
      <c r="M1977" s="20" t="n">
        <v>4.5</v>
      </c>
      <c r="N1977" s="19"/>
      <c r="O1977" s="19"/>
      <c r="P1977" s="19" t="s">
        <v>5104</v>
      </c>
      <c r="Q1977" s="19" t="s">
        <v>965</v>
      </c>
      <c r="R1977" s="21" t="n">
        <v>46010</v>
      </c>
      <c r="S1977" s="19" t="s">
        <v>5105</v>
      </c>
      <c r="T1977" s="19" t="s">
        <v>6204</v>
      </c>
      <c r="U1977" s="19" t="str">
        <f aca="false">HYPERLINK("https://macaulaylibrary.org/asset/647489013","Open")</f>
        <v>Open</v>
      </c>
      <c r="V1977" s="19"/>
    </row>
    <row r="1978" customFormat="false" ht="15" hidden="false" customHeight="false" outlineLevel="0" collapsed="false">
      <c r="A1978" s="19" t="s">
        <v>6205</v>
      </c>
      <c r="B1978" s="19" t="s">
        <v>943</v>
      </c>
      <c r="C1978" s="19" t="s">
        <v>944</v>
      </c>
      <c r="D1978" s="19" t="s">
        <v>400</v>
      </c>
      <c r="E1978" s="19" t="s">
        <v>147</v>
      </c>
      <c r="F1978" s="19" t="s">
        <v>689</v>
      </c>
      <c r="G1978" s="19" t="n">
        <v>236</v>
      </c>
      <c r="H1978" s="19" t="s">
        <v>690</v>
      </c>
      <c r="I1978" s="20" t="n">
        <v>37.692</v>
      </c>
      <c r="J1978" s="19" t="n">
        <f aca="false">IF(I1978="","",MIN(Overview!$B$8,MAX(1,CEILING(I1978/Overview!$B$7,1))))</f>
        <v>8</v>
      </c>
      <c r="K1978" s="19" t="n">
        <v>1</v>
      </c>
      <c r="L1978" s="19"/>
      <c r="M1978" s="20" t="n">
        <v>4.33</v>
      </c>
      <c r="N1978" s="19"/>
      <c r="O1978" s="19"/>
      <c r="P1978" s="19" t="s">
        <v>1964</v>
      </c>
      <c r="Q1978" s="19" t="s">
        <v>1021</v>
      </c>
      <c r="R1978" s="21" t="n">
        <v>36604</v>
      </c>
      <c r="S1978" s="19" t="s">
        <v>1081</v>
      </c>
      <c r="T1978" s="19" t="s">
        <v>6206</v>
      </c>
      <c r="U1978" s="19" t="str">
        <f aca="false">HYPERLINK("https://macaulaylibrary.org/asset/157035341","Open")</f>
        <v>Open</v>
      </c>
      <c r="V1978" s="19"/>
    </row>
    <row r="1979" customFormat="false" ht="15" hidden="false" customHeight="false" outlineLevel="0" collapsed="false">
      <c r="A1979" s="19" t="s">
        <v>6207</v>
      </c>
      <c r="B1979" s="19" t="s">
        <v>943</v>
      </c>
      <c r="C1979" s="19" t="s">
        <v>944</v>
      </c>
      <c r="D1979" s="19" t="s">
        <v>400</v>
      </c>
      <c r="E1979" s="19" t="s">
        <v>147</v>
      </c>
      <c r="F1979" s="19" t="s">
        <v>689</v>
      </c>
      <c r="G1979" s="19" t="n">
        <v>236</v>
      </c>
      <c r="H1979" s="19" t="s">
        <v>690</v>
      </c>
      <c r="I1979" s="20" t="n">
        <v>355.919</v>
      </c>
      <c r="J1979" s="19" t="n">
        <f aca="false">IF(I1979="","",MIN(Overview!$B$8,MAX(1,CEILING(I1979/Overview!$B$7,1))))</f>
        <v>72</v>
      </c>
      <c r="K1979" s="19" t="n">
        <v>1</v>
      </c>
      <c r="L1979" s="19"/>
      <c r="M1979" s="20" t="n">
        <v>4</v>
      </c>
      <c r="N1979" s="19"/>
      <c r="O1979" s="19"/>
      <c r="P1979" s="19" t="s">
        <v>6208</v>
      </c>
      <c r="Q1979" s="19" t="s">
        <v>980</v>
      </c>
      <c r="R1979" s="21" t="n">
        <v>33271</v>
      </c>
      <c r="S1979" s="19"/>
      <c r="T1979" s="19" t="s">
        <v>6209</v>
      </c>
      <c r="U1979" s="19" t="str">
        <f aca="false">HYPERLINK("https://macaulaylibrary.org/asset/57464","Open")</f>
        <v>Open</v>
      </c>
      <c r="V1979" s="19"/>
    </row>
    <row r="1980" customFormat="false" ht="15" hidden="false" customHeight="false" outlineLevel="0" collapsed="false">
      <c r="A1980" s="19" t="s">
        <v>6210</v>
      </c>
      <c r="B1980" s="19" t="s">
        <v>943</v>
      </c>
      <c r="C1980" s="19" t="s">
        <v>944</v>
      </c>
      <c r="D1980" s="19" t="s">
        <v>400</v>
      </c>
      <c r="E1980" s="19" t="s">
        <v>147</v>
      </c>
      <c r="F1980" s="19" t="s">
        <v>632</v>
      </c>
      <c r="G1980" s="19" t="n">
        <v>237</v>
      </c>
      <c r="H1980" s="19" t="s">
        <v>633</v>
      </c>
      <c r="I1980" s="20" t="n">
        <v>50.551</v>
      </c>
      <c r="J1980" s="19" t="n">
        <f aca="false">IF(I1980="","",MIN(Overview!$B$8,MAX(1,CEILING(I1980/Overview!$B$7,1))))</f>
        <v>11</v>
      </c>
      <c r="K1980" s="19" t="n">
        <v>1</v>
      </c>
      <c r="L1980" s="19"/>
      <c r="M1980" s="20" t="n">
        <v>3</v>
      </c>
      <c r="N1980" s="19"/>
      <c r="O1980" s="19"/>
      <c r="P1980" s="19" t="s">
        <v>1356</v>
      </c>
      <c r="Q1980" s="19" t="s">
        <v>1021</v>
      </c>
      <c r="R1980" s="21" t="n">
        <v>36603</v>
      </c>
      <c r="S1980" s="19" t="s">
        <v>1357</v>
      </c>
      <c r="T1980" s="19" t="s">
        <v>6211</v>
      </c>
      <c r="U1980" s="19" t="str">
        <f aca="false">HYPERLINK("https://macaulaylibrary.org/asset/155580631","Open")</f>
        <v>Open</v>
      </c>
      <c r="V1980" s="19"/>
    </row>
    <row r="1981" customFormat="false" ht="15" hidden="false" customHeight="false" outlineLevel="0" collapsed="false">
      <c r="A1981" s="19" t="s">
        <v>6212</v>
      </c>
      <c r="B1981" s="19" t="s">
        <v>943</v>
      </c>
      <c r="C1981" s="19" t="s">
        <v>944</v>
      </c>
      <c r="D1981" s="19" t="s">
        <v>400</v>
      </c>
      <c r="E1981" s="19" t="s">
        <v>147</v>
      </c>
      <c r="F1981" s="19" t="s">
        <v>632</v>
      </c>
      <c r="G1981" s="19" t="n">
        <v>237</v>
      </c>
      <c r="H1981" s="19" t="s">
        <v>633</v>
      </c>
      <c r="I1981" s="20" t="n">
        <v>4.303</v>
      </c>
      <c r="J1981" s="19" t="n">
        <f aca="false">IF(I1981="","",MIN(Overview!$B$8,MAX(1,CEILING(I1981/Overview!$B$7,1))))</f>
        <v>1</v>
      </c>
      <c r="K1981" s="19" t="n">
        <v>1</v>
      </c>
      <c r="L1981" s="19" t="s">
        <v>1048</v>
      </c>
      <c r="M1981" s="20" t="n">
        <v>3</v>
      </c>
      <c r="N1981" s="19"/>
      <c r="O1981" s="19"/>
      <c r="P1981" s="19" t="s">
        <v>1364</v>
      </c>
      <c r="Q1981" s="19" t="s">
        <v>1040</v>
      </c>
      <c r="R1981" s="21" t="n">
        <v>41630</v>
      </c>
      <c r="S1981" s="19" t="s">
        <v>1002</v>
      </c>
      <c r="T1981" s="19" t="s">
        <v>6213</v>
      </c>
      <c r="U1981" s="19" t="str">
        <f aca="false">HYPERLINK("https://macaulaylibrary.org/asset/609061873","Open")</f>
        <v>Open</v>
      </c>
      <c r="V1981" s="19"/>
    </row>
    <row r="1982" customFormat="false" ht="15" hidden="false" customHeight="false" outlineLevel="0" collapsed="false">
      <c r="A1982" s="19" t="s">
        <v>6214</v>
      </c>
      <c r="B1982" s="19" t="s">
        <v>943</v>
      </c>
      <c r="C1982" s="19" t="s">
        <v>944</v>
      </c>
      <c r="D1982" s="19" t="s">
        <v>400</v>
      </c>
      <c r="E1982" s="19" t="s">
        <v>147</v>
      </c>
      <c r="F1982" s="19" t="s">
        <v>632</v>
      </c>
      <c r="G1982" s="19" t="n">
        <v>237</v>
      </c>
      <c r="H1982" s="19" t="s">
        <v>633</v>
      </c>
      <c r="I1982" s="20" t="n">
        <v>12.647</v>
      </c>
      <c r="J1982" s="19" t="n">
        <f aca="false">IF(I1982="","",MIN(Overview!$B$8,MAX(1,CEILING(I1982/Overview!$B$7,1))))</f>
        <v>3</v>
      </c>
      <c r="K1982" s="19" t="n">
        <v>1</v>
      </c>
      <c r="L1982" s="19"/>
      <c r="M1982" s="20" t="n">
        <v>2</v>
      </c>
      <c r="N1982" s="19"/>
      <c r="O1982" s="19"/>
      <c r="P1982" s="19" t="s">
        <v>3401</v>
      </c>
      <c r="Q1982" s="19" t="s">
        <v>980</v>
      </c>
      <c r="R1982" s="21" t="n">
        <v>32223</v>
      </c>
      <c r="S1982" s="19" t="s">
        <v>6215</v>
      </c>
      <c r="T1982" s="19" t="s">
        <v>6216</v>
      </c>
      <c r="U1982" s="19" t="str">
        <f aca="false">HYPERLINK("https://macaulaylibrary.org/asset/74197","Open")</f>
        <v>Open</v>
      </c>
      <c r="V1982" s="19"/>
    </row>
    <row r="1983" customFormat="false" ht="15" hidden="false" customHeight="false" outlineLevel="0" collapsed="false">
      <c r="A1983" s="19" t="s">
        <v>6217</v>
      </c>
      <c r="B1983" s="19" t="s">
        <v>943</v>
      </c>
      <c r="C1983" s="19" t="s">
        <v>944</v>
      </c>
      <c r="D1983" s="19" t="s">
        <v>400</v>
      </c>
      <c r="E1983" s="19" t="s">
        <v>147</v>
      </c>
      <c r="F1983" s="19" t="s">
        <v>635</v>
      </c>
      <c r="G1983" s="19" t="n">
        <v>239</v>
      </c>
      <c r="H1983" s="19" t="s">
        <v>636</v>
      </c>
      <c r="I1983" s="20" t="n">
        <v>130.279</v>
      </c>
      <c r="J1983" s="19" t="n">
        <f aca="false">IF(I1983="","",MIN(Overview!$B$8,MAX(1,CEILING(I1983/Overview!$B$7,1))))</f>
        <v>27</v>
      </c>
      <c r="K1983" s="19" t="n">
        <v>1</v>
      </c>
      <c r="L1983" s="19"/>
      <c r="M1983" s="20" t="n">
        <v>3.83</v>
      </c>
      <c r="N1983" s="19"/>
      <c r="O1983" s="19"/>
      <c r="P1983" s="19" t="s">
        <v>1115</v>
      </c>
      <c r="Q1983" s="19" t="s">
        <v>980</v>
      </c>
      <c r="R1983" s="21" t="n">
        <v>34125</v>
      </c>
      <c r="S1983" s="19" t="s">
        <v>6218</v>
      </c>
      <c r="T1983" s="19" t="s">
        <v>6219</v>
      </c>
      <c r="U1983" s="19" t="str">
        <f aca="false">HYPERLINK("https://macaulaylibrary.org/asset/209479","Open")</f>
        <v>Open</v>
      </c>
      <c r="V1983" s="19" t="s">
        <v>6220</v>
      </c>
    </row>
    <row r="1984" customFormat="false" ht="15" hidden="false" customHeight="false" outlineLevel="0" collapsed="false">
      <c r="A1984" s="19" t="s">
        <v>6221</v>
      </c>
      <c r="B1984" s="19" t="s">
        <v>943</v>
      </c>
      <c r="C1984" s="19" t="s">
        <v>944</v>
      </c>
      <c r="D1984" s="19" t="s">
        <v>400</v>
      </c>
      <c r="E1984" s="19" t="s">
        <v>147</v>
      </c>
      <c r="F1984" s="19" t="s">
        <v>635</v>
      </c>
      <c r="G1984" s="19" t="n">
        <v>239</v>
      </c>
      <c r="H1984" s="19" t="s">
        <v>636</v>
      </c>
      <c r="I1984" s="20" t="n">
        <v>9.723</v>
      </c>
      <c r="J1984" s="19" t="n">
        <f aca="false">IF(I1984="","",MIN(Overview!$B$8,MAX(1,CEILING(I1984/Overview!$B$7,1))))</f>
        <v>2</v>
      </c>
      <c r="K1984" s="19" t="n">
        <v>1</v>
      </c>
      <c r="L1984" s="19"/>
      <c r="M1984" s="20" t="n">
        <v>2</v>
      </c>
      <c r="N1984" s="19"/>
      <c r="O1984" s="19"/>
      <c r="P1984" s="19" t="s">
        <v>1570</v>
      </c>
      <c r="Q1984" s="19" t="s">
        <v>980</v>
      </c>
      <c r="R1984" s="21" t="n">
        <v>33295</v>
      </c>
      <c r="S1984" s="19" t="s">
        <v>1002</v>
      </c>
      <c r="T1984" s="19" t="s">
        <v>6222</v>
      </c>
      <c r="U1984" s="19" t="str">
        <f aca="false">HYPERLINK("https://macaulaylibrary.org/asset/72605","Open")</f>
        <v>Open</v>
      </c>
      <c r="V1984" s="19" t="s">
        <v>6220</v>
      </c>
    </row>
    <row r="1985" customFormat="false" ht="15" hidden="false" customHeight="false" outlineLevel="0" collapsed="false">
      <c r="A1985" s="19" t="s">
        <v>6223</v>
      </c>
      <c r="B1985" s="19" t="s">
        <v>943</v>
      </c>
      <c r="C1985" s="19" t="s">
        <v>944</v>
      </c>
      <c r="D1985" s="19" t="s">
        <v>400</v>
      </c>
      <c r="E1985" s="19" t="s">
        <v>147</v>
      </c>
      <c r="F1985" s="19" t="s">
        <v>635</v>
      </c>
      <c r="G1985" s="19" t="n">
        <v>239</v>
      </c>
      <c r="H1985" s="19" t="s">
        <v>636</v>
      </c>
      <c r="I1985" s="20" t="n">
        <v>18.676</v>
      </c>
      <c r="J1985" s="19" t="n">
        <f aca="false">IF(I1985="","",MIN(Overview!$B$8,MAX(1,CEILING(I1985/Overview!$B$7,1))))</f>
        <v>4</v>
      </c>
      <c r="K1985" s="19" t="n">
        <v>1</v>
      </c>
      <c r="L1985" s="19"/>
      <c r="M1985" s="20" t="n">
        <v>2.6</v>
      </c>
      <c r="N1985" s="19"/>
      <c r="O1985" s="19"/>
      <c r="P1985" s="19" t="s">
        <v>2152</v>
      </c>
      <c r="Q1985" s="19" t="s">
        <v>1218</v>
      </c>
      <c r="R1985" s="21" t="n">
        <v>33329</v>
      </c>
      <c r="S1985" s="19" t="s">
        <v>1002</v>
      </c>
      <c r="T1985" s="19" t="s">
        <v>6224</v>
      </c>
      <c r="U1985" s="19" t="str">
        <f aca="false">HYPERLINK("https://macaulaylibrary.org/asset/76603","Open")</f>
        <v>Open</v>
      </c>
      <c r="V1985" s="19" t="s">
        <v>6220</v>
      </c>
    </row>
    <row r="1986" customFormat="false" ht="15" hidden="false" customHeight="false" outlineLevel="0" collapsed="false">
      <c r="A1986" s="19" t="s">
        <v>6225</v>
      </c>
      <c r="B1986" s="19" t="s">
        <v>943</v>
      </c>
      <c r="C1986" s="19" t="s">
        <v>944</v>
      </c>
      <c r="D1986" s="19" t="s">
        <v>148</v>
      </c>
      <c r="E1986" s="19" t="s">
        <v>147</v>
      </c>
      <c r="F1986" s="19" t="s">
        <v>416</v>
      </c>
      <c r="G1986" s="19" t="n">
        <v>240</v>
      </c>
      <c r="H1986" s="19" t="s">
        <v>417</v>
      </c>
      <c r="I1986" s="20" t="n">
        <v>21.631</v>
      </c>
      <c r="J1986" s="19" t="n">
        <f aca="false">IF(I1986="","",MIN(Overview!$B$8,MAX(1,CEILING(I1986/Overview!$B$7,1))))</f>
        <v>5</v>
      </c>
      <c r="K1986" s="19" t="n">
        <v>1</v>
      </c>
      <c r="L1986" s="19"/>
      <c r="M1986" s="20" t="n">
        <v>2.67</v>
      </c>
      <c r="N1986" s="19"/>
      <c r="O1986" s="19"/>
      <c r="P1986" s="19" t="s">
        <v>2096</v>
      </c>
      <c r="Q1986" s="19" t="s">
        <v>1076</v>
      </c>
      <c r="R1986" s="21" t="n">
        <v>43399</v>
      </c>
      <c r="S1986" s="19" t="s">
        <v>1205</v>
      </c>
      <c r="T1986" s="19" t="s">
        <v>6226</v>
      </c>
      <c r="U1986" s="19" t="str">
        <f aca="false">HYPERLINK("https://macaulaylibrary.org/asset/470124441","Open")</f>
        <v>Open</v>
      </c>
      <c r="V1986" s="19"/>
    </row>
    <row r="1987" customFormat="false" ht="15" hidden="false" customHeight="false" outlineLevel="0" collapsed="false">
      <c r="A1987" s="19" t="s">
        <v>6227</v>
      </c>
      <c r="B1987" s="19" t="s">
        <v>943</v>
      </c>
      <c r="C1987" s="19" t="s">
        <v>944</v>
      </c>
      <c r="D1987" s="19" t="s">
        <v>148</v>
      </c>
      <c r="E1987" s="19" t="s">
        <v>147</v>
      </c>
      <c r="F1987" s="19" t="s">
        <v>416</v>
      </c>
      <c r="G1987" s="19" t="n">
        <v>240</v>
      </c>
      <c r="H1987" s="19" t="s">
        <v>417</v>
      </c>
      <c r="I1987" s="20" t="n">
        <v>13.711</v>
      </c>
      <c r="J1987" s="19" t="n">
        <f aca="false">IF(I1987="","",MIN(Overview!$B$8,MAX(1,CEILING(I1987/Overview!$B$7,1))))</f>
        <v>3</v>
      </c>
      <c r="K1987" s="19" t="n">
        <v>1</v>
      </c>
      <c r="L1987" s="19"/>
      <c r="M1987" s="20" t="n">
        <v>2</v>
      </c>
      <c r="N1987" s="19"/>
      <c r="O1987" s="19"/>
      <c r="P1987" s="19" t="s">
        <v>2528</v>
      </c>
      <c r="Q1987" s="19" t="s">
        <v>951</v>
      </c>
      <c r="R1987" s="21" t="n">
        <v>45222</v>
      </c>
      <c r="S1987" s="19" t="s">
        <v>2529</v>
      </c>
      <c r="T1987" s="19" t="s">
        <v>6228</v>
      </c>
      <c r="U1987" s="19" t="str">
        <f aca="false">HYPERLINK("https://macaulaylibrary.org/asset/610540465","Open")</f>
        <v>Open</v>
      </c>
      <c r="V1987" s="19"/>
    </row>
    <row r="1988" customFormat="false" ht="15" hidden="false" customHeight="false" outlineLevel="0" collapsed="false">
      <c r="A1988" s="19" t="s">
        <v>6229</v>
      </c>
      <c r="B1988" s="19" t="s">
        <v>943</v>
      </c>
      <c r="C1988" s="19" t="s">
        <v>944</v>
      </c>
      <c r="D1988" s="19" t="s">
        <v>148</v>
      </c>
      <c r="E1988" s="19" t="s">
        <v>147</v>
      </c>
      <c r="F1988" s="19" t="s">
        <v>416</v>
      </c>
      <c r="G1988" s="19" t="n">
        <v>240</v>
      </c>
      <c r="H1988" s="19" t="s">
        <v>417</v>
      </c>
      <c r="I1988" s="20" t="n">
        <v>15.221</v>
      </c>
      <c r="J1988" s="19" t="n">
        <f aca="false">IF(I1988="","",MIN(Overview!$B$8,MAX(1,CEILING(I1988/Overview!$B$7,1))))</f>
        <v>4</v>
      </c>
      <c r="K1988" s="19" t="n">
        <v>1</v>
      </c>
      <c r="L1988" s="19"/>
      <c r="M1988" s="20" t="n">
        <v>3</v>
      </c>
      <c r="N1988" s="19"/>
      <c r="O1988" s="19"/>
      <c r="P1988" s="19" t="s">
        <v>5104</v>
      </c>
      <c r="Q1988" s="19" t="s">
        <v>965</v>
      </c>
      <c r="R1988" s="21" t="n">
        <v>46010</v>
      </c>
      <c r="S1988" s="19" t="s">
        <v>5105</v>
      </c>
      <c r="T1988" s="19" t="s">
        <v>6230</v>
      </c>
      <c r="U1988" s="19" t="str">
        <f aca="false">HYPERLINK("https://macaulaylibrary.org/asset/647489658","Open")</f>
        <v>Open</v>
      </c>
      <c r="V1988" s="19"/>
    </row>
    <row r="1989" customFormat="false" ht="15" hidden="false" customHeight="false" outlineLevel="0" collapsed="false">
      <c r="A1989" s="19" t="s">
        <v>6231</v>
      </c>
      <c r="B1989" s="19" t="s">
        <v>943</v>
      </c>
      <c r="C1989" s="19" t="s">
        <v>944</v>
      </c>
      <c r="D1989" s="19" t="s">
        <v>148</v>
      </c>
      <c r="E1989" s="19" t="s">
        <v>147</v>
      </c>
      <c r="F1989" s="19" t="s">
        <v>416</v>
      </c>
      <c r="G1989" s="19" t="n">
        <v>240</v>
      </c>
      <c r="H1989" s="19" t="s">
        <v>417</v>
      </c>
      <c r="I1989" s="20" t="n">
        <v>18.349</v>
      </c>
      <c r="J1989" s="19" t="n">
        <f aca="false">IF(I1989="","",MIN(Overview!$B$8,MAX(1,CEILING(I1989/Overview!$B$7,1))))</f>
        <v>4</v>
      </c>
      <c r="K1989" s="19" t="n">
        <v>1</v>
      </c>
      <c r="L1989" s="19"/>
      <c r="M1989" s="20" t="n">
        <v>4</v>
      </c>
      <c r="N1989" s="19"/>
      <c r="O1989" s="19"/>
      <c r="P1989" s="19" t="s">
        <v>1631</v>
      </c>
      <c r="Q1989" s="19" t="s">
        <v>990</v>
      </c>
      <c r="R1989" s="21" t="n">
        <v>46012</v>
      </c>
      <c r="S1989" s="19" t="s">
        <v>1632</v>
      </c>
      <c r="T1989" s="19" t="s">
        <v>6232</v>
      </c>
      <c r="U1989" s="19" t="str">
        <f aca="false">HYPERLINK("https://macaulaylibrary.org/asset/647566891","Open")</f>
        <v>Open</v>
      </c>
      <c r="V1989" s="19"/>
    </row>
    <row r="1990" customFormat="false" ht="15" hidden="false" customHeight="false" outlineLevel="0" collapsed="false">
      <c r="A1990" s="19" t="s">
        <v>6233</v>
      </c>
      <c r="B1990" s="19" t="s">
        <v>943</v>
      </c>
      <c r="C1990" s="19" t="s">
        <v>944</v>
      </c>
      <c r="D1990" s="19" t="s">
        <v>148</v>
      </c>
      <c r="E1990" s="19" t="s">
        <v>147</v>
      </c>
      <c r="F1990" s="19" t="s">
        <v>416</v>
      </c>
      <c r="G1990" s="19" t="n">
        <v>240</v>
      </c>
      <c r="H1990" s="19" t="s">
        <v>417</v>
      </c>
      <c r="I1990" s="20" t="n">
        <v>14.872</v>
      </c>
      <c r="J1990" s="19" t="n">
        <f aca="false">IF(I1990="","",MIN(Overview!$B$8,MAX(1,CEILING(I1990/Overview!$B$7,1))))</f>
        <v>3</v>
      </c>
      <c r="K1990" s="19" t="n">
        <v>1</v>
      </c>
      <c r="L1990" s="19"/>
      <c r="M1990" s="20" t="n">
        <v>4</v>
      </c>
      <c r="N1990" s="19"/>
      <c r="O1990" s="19"/>
      <c r="P1990" s="19" t="s">
        <v>1631</v>
      </c>
      <c r="Q1990" s="19" t="s">
        <v>990</v>
      </c>
      <c r="R1990" s="21" t="n">
        <v>46012</v>
      </c>
      <c r="S1990" s="19" t="s">
        <v>1632</v>
      </c>
      <c r="T1990" s="19" t="s">
        <v>6234</v>
      </c>
      <c r="U1990" s="19" t="str">
        <f aca="false">HYPERLINK("https://macaulaylibrary.org/asset/647566968","Open")</f>
        <v>Open</v>
      </c>
      <c r="V1990" s="19"/>
    </row>
    <row r="1991" customFormat="false" ht="15" hidden="false" customHeight="false" outlineLevel="0" collapsed="false">
      <c r="A1991" s="19" t="s">
        <v>6235</v>
      </c>
      <c r="B1991" s="19" t="s">
        <v>943</v>
      </c>
      <c r="C1991" s="19" t="s">
        <v>944</v>
      </c>
      <c r="D1991" s="19" t="s">
        <v>148</v>
      </c>
      <c r="E1991" s="19" t="s">
        <v>147</v>
      </c>
      <c r="F1991" s="19" t="s">
        <v>416</v>
      </c>
      <c r="G1991" s="19" t="n">
        <v>240</v>
      </c>
      <c r="H1991" s="19" t="s">
        <v>417</v>
      </c>
      <c r="I1991" s="20" t="n">
        <v>21.105</v>
      </c>
      <c r="J1991" s="19" t="n">
        <f aca="false">IF(I1991="","",MIN(Overview!$B$8,MAX(1,CEILING(I1991/Overview!$B$7,1))))</f>
        <v>5</v>
      </c>
      <c r="K1991" s="19" t="n">
        <v>1</v>
      </c>
      <c r="L1991" s="19"/>
      <c r="M1991" s="20" t="n">
        <v>4</v>
      </c>
      <c r="N1991" s="19"/>
      <c r="O1991" s="19" t="s">
        <v>313</v>
      </c>
      <c r="P1991" s="19" t="s">
        <v>1631</v>
      </c>
      <c r="Q1991" s="19" t="s">
        <v>990</v>
      </c>
      <c r="R1991" s="21" t="n">
        <v>46012</v>
      </c>
      <c r="S1991" s="19" t="s">
        <v>1632</v>
      </c>
      <c r="T1991" s="19" t="s">
        <v>6236</v>
      </c>
      <c r="U1991" s="19" t="str">
        <f aca="false">HYPERLINK("https://macaulaylibrary.org/asset/647567114","Open")</f>
        <v>Open</v>
      </c>
      <c r="V1991" s="19"/>
    </row>
    <row r="1992" customFormat="false" ht="15" hidden="false" customHeight="false" outlineLevel="0" collapsed="false">
      <c r="A1992" s="19" t="s">
        <v>6237</v>
      </c>
      <c r="B1992" s="19" t="s">
        <v>943</v>
      </c>
      <c r="C1992" s="19" t="s">
        <v>944</v>
      </c>
      <c r="D1992" s="19" t="s">
        <v>148</v>
      </c>
      <c r="E1992" s="19" t="s">
        <v>147</v>
      </c>
      <c r="F1992" s="19" t="s">
        <v>416</v>
      </c>
      <c r="G1992" s="19" t="n">
        <v>240</v>
      </c>
      <c r="H1992" s="19" t="s">
        <v>417</v>
      </c>
      <c r="I1992" s="20" t="n">
        <v>19.435</v>
      </c>
      <c r="J1992" s="19" t="n">
        <f aca="false">IF(I1992="","",MIN(Overview!$B$8,MAX(1,CEILING(I1992/Overview!$B$7,1))))</f>
        <v>4</v>
      </c>
      <c r="K1992" s="19" t="n">
        <v>1</v>
      </c>
      <c r="L1992" s="19"/>
      <c r="M1992" s="20" t="n">
        <v>4</v>
      </c>
      <c r="N1992" s="19"/>
      <c r="O1992" s="19" t="s">
        <v>520</v>
      </c>
      <c r="P1992" s="19" t="s">
        <v>1631</v>
      </c>
      <c r="Q1992" s="19" t="s">
        <v>990</v>
      </c>
      <c r="R1992" s="21" t="n">
        <v>46012</v>
      </c>
      <c r="S1992" s="19" t="s">
        <v>1632</v>
      </c>
      <c r="T1992" s="19" t="s">
        <v>6238</v>
      </c>
      <c r="U1992" s="19" t="str">
        <f aca="false">HYPERLINK("https://macaulaylibrary.org/asset/647567119","Open")</f>
        <v>Open</v>
      </c>
      <c r="V1992" s="19"/>
    </row>
    <row r="1993" customFormat="false" ht="15" hidden="false" customHeight="false" outlineLevel="0" collapsed="false">
      <c r="A1993" s="19" t="s">
        <v>6239</v>
      </c>
      <c r="B1993" s="19" t="s">
        <v>1005</v>
      </c>
      <c r="C1993" s="19" t="s">
        <v>944</v>
      </c>
      <c r="D1993" s="19" t="s">
        <v>647</v>
      </c>
      <c r="E1993" s="19" t="s">
        <v>147</v>
      </c>
      <c r="F1993" s="19" t="s">
        <v>898</v>
      </c>
      <c r="G1993" s="19" t="n">
        <v>241</v>
      </c>
      <c r="H1993" s="19" t="s">
        <v>899</v>
      </c>
      <c r="I1993" s="20" t="n">
        <v>36.048</v>
      </c>
      <c r="J1993" s="19" t="n">
        <f aca="false">IF(I1993="","",MIN(Overview!$B$8,MAX(1,CEILING(I1993/Overview!$B$7,1))))</f>
        <v>8</v>
      </c>
      <c r="K1993" s="19" t="n">
        <v>1</v>
      </c>
      <c r="L1993" s="19"/>
      <c r="M1993" s="20"/>
      <c r="N1993" s="19" t="s">
        <v>1656</v>
      </c>
      <c r="O1993" s="19"/>
      <c r="P1993" s="19" t="s">
        <v>2911</v>
      </c>
      <c r="Q1993" s="19" t="s">
        <v>1008</v>
      </c>
      <c r="R1993" s="21" t="n">
        <v>42580</v>
      </c>
      <c r="S1993" s="19" t="s">
        <v>1534</v>
      </c>
      <c r="T1993" s="19" t="s">
        <v>6240</v>
      </c>
      <c r="U1993" s="19" t="str">
        <f aca="false">HYPERLINK("https://xeno-canto.org/332166","Open")</f>
        <v>Open</v>
      </c>
      <c r="V1993" s="19" t="s">
        <v>1660</v>
      </c>
    </row>
    <row r="1994" customFormat="false" ht="15" hidden="false" customHeight="false" outlineLevel="0" collapsed="false">
      <c r="A1994" s="19" t="s">
        <v>6241</v>
      </c>
      <c r="B1994" s="19" t="s">
        <v>943</v>
      </c>
      <c r="C1994" s="19" t="s">
        <v>944</v>
      </c>
      <c r="D1994" s="19" t="s">
        <v>400</v>
      </c>
      <c r="E1994" s="19" t="s">
        <v>147</v>
      </c>
      <c r="F1994" s="19" t="s">
        <v>692</v>
      </c>
      <c r="G1994" s="19" t="n">
        <v>242</v>
      </c>
      <c r="H1994" s="19" t="s">
        <v>693</v>
      </c>
      <c r="I1994" s="20" t="n">
        <v>7.622</v>
      </c>
      <c r="J1994" s="19" t="n">
        <f aca="false">IF(I1994="","",MIN(Overview!$B$8,MAX(1,CEILING(I1994/Overview!$B$7,1))))</f>
        <v>2</v>
      </c>
      <c r="K1994" s="19" t="n">
        <v>1</v>
      </c>
      <c r="L1994" s="19"/>
      <c r="M1994" s="20"/>
      <c r="N1994" s="19"/>
      <c r="O1994" s="19"/>
      <c r="P1994" s="19" t="s">
        <v>1029</v>
      </c>
      <c r="Q1994" s="19" t="s">
        <v>1030</v>
      </c>
      <c r="R1994" s="21" t="n">
        <v>40251</v>
      </c>
      <c r="S1994" s="19" t="s">
        <v>3828</v>
      </c>
      <c r="T1994" s="19" t="s">
        <v>6242</v>
      </c>
      <c r="U1994" s="19" t="str">
        <f aca="false">HYPERLINK("https://macaulaylibrary.org/asset/299652","Open")</f>
        <v>Open</v>
      </c>
      <c r="V1994" s="19"/>
    </row>
    <row r="1995" customFormat="false" ht="15" hidden="false" customHeight="false" outlineLevel="0" collapsed="false">
      <c r="A1995" s="19" t="s">
        <v>6243</v>
      </c>
      <c r="B1995" s="19" t="s">
        <v>943</v>
      </c>
      <c r="C1995" s="19" t="s">
        <v>944</v>
      </c>
      <c r="D1995" s="19" t="s">
        <v>400</v>
      </c>
      <c r="E1995" s="19" t="s">
        <v>147</v>
      </c>
      <c r="F1995" s="19" t="s">
        <v>692</v>
      </c>
      <c r="G1995" s="19" t="n">
        <v>242</v>
      </c>
      <c r="H1995" s="19" t="s">
        <v>693</v>
      </c>
      <c r="I1995" s="20" t="n">
        <v>6.735</v>
      </c>
      <c r="J1995" s="19" t="n">
        <f aca="false">IF(I1995="","",MIN(Overview!$B$8,MAX(1,CEILING(I1995/Overview!$B$7,1))))</f>
        <v>2</v>
      </c>
      <c r="K1995" s="19" t="n">
        <v>1</v>
      </c>
      <c r="L1995" s="19"/>
      <c r="M1995" s="20"/>
      <c r="N1995" s="19"/>
      <c r="O1995" s="19"/>
      <c r="P1995" s="19" t="s">
        <v>1029</v>
      </c>
      <c r="Q1995" s="19" t="s">
        <v>1030</v>
      </c>
      <c r="R1995" s="21" t="n">
        <v>40251</v>
      </c>
      <c r="S1995" s="19" t="s">
        <v>3828</v>
      </c>
      <c r="T1995" s="19" t="s">
        <v>6244</v>
      </c>
      <c r="U1995" s="19" t="str">
        <f aca="false">HYPERLINK("https://macaulaylibrary.org/asset/299653","Open")</f>
        <v>Open</v>
      </c>
      <c r="V1995" s="19"/>
    </row>
    <row r="1996" customFormat="false" ht="15" hidden="false" customHeight="false" outlineLevel="0" collapsed="false">
      <c r="A1996" s="19" t="s">
        <v>6245</v>
      </c>
      <c r="B1996" s="19" t="s">
        <v>943</v>
      </c>
      <c r="C1996" s="19" t="s">
        <v>944</v>
      </c>
      <c r="D1996" s="19" t="s">
        <v>400</v>
      </c>
      <c r="E1996" s="19" t="s">
        <v>147</v>
      </c>
      <c r="F1996" s="19" t="s">
        <v>695</v>
      </c>
      <c r="G1996" s="19" t="n">
        <v>243</v>
      </c>
      <c r="H1996" s="19" t="s">
        <v>696</v>
      </c>
      <c r="I1996" s="20" t="n">
        <v>34.645</v>
      </c>
      <c r="J1996" s="19" t="n">
        <f aca="false">IF(I1996="","",MIN(Overview!$B$8,MAX(1,CEILING(I1996/Overview!$B$7,1))))</f>
        <v>7</v>
      </c>
      <c r="K1996" s="19" t="n">
        <v>1</v>
      </c>
      <c r="L1996" s="19"/>
      <c r="M1996" s="20" t="n">
        <v>3.5</v>
      </c>
      <c r="N1996" s="19"/>
      <c r="O1996" s="19"/>
      <c r="P1996" s="19" t="s">
        <v>5133</v>
      </c>
      <c r="Q1996" s="19" t="s">
        <v>1401</v>
      </c>
      <c r="R1996" s="21" t="n">
        <v>36955</v>
      </c>
      <c r="S1996" s="19" t="s">
        <v>1002</v>
      </c>
      <c r="T1996" s="19" t="s">
        <v>6246</v>
      </c>
      <c r="U1996" s="19" t="str">
        <f aca="false">HYPERLINK("https://macaulaylibrary.org/asset/132789311","Open")</f>
        <v>Open</v>
      </c>
      <c r="V1996" s="19"/>
    </row>
    <row r="1997" customFormat="false" ht="15" hidden="false" customHeight="false" outlineLevel="0" collapsed="false">
      <c r="A1997" s="19" t="s">
        <v>6247</v>
      </c>
      <c r="B1997" s="19" t="s">
        <v>943</v>
      </c>
      <c r="C1997" s="19" t="s">
        <v>944</v>
      </c>
      <c r="D1997" s="19" t="s">
        <v>400</v>
      </c>
      <c r="E1997" s="19" t="s">
        <v>147</v>
      </c>
      <c r="F1997" s="19" t="s">
        <v>695</v>
      </c>
      <c r="G1997" s="19" t="n">
        <v>243</v>
      </c>
      <c r="H1997" s="19" t="s">
        <v>696</v>
      </c>
      <c r="I1997" s="20" t="n">
        <v>159.292</v>
      </c>
      <c r="J1997" s="19" t="n">
        <f aca="false">IF(I1997="","",MIN(Overview!$B$8,MAX(1,CEILING(I1997/Overview!$B$7,1))))</f>
        <v>32</v>
      </c>
      <c r="K1997" s="19" t="n">
        <v>1</v>
      </c>
      <c r="L1997" s="19"/>
      <c r="M1997" s="20" t="n">
        <v>3</v>
      </c>
      <c r="N1997" s="19"/>
      <c r="O1997" s="19" t="s">
        <v>6248</v>
      </c>
      <c r="P1997" s="19" t="s">
        <v>2649</v>
      </c>
      <c r="Q1997" s="19" t="s">
        <v>1218</v>
      </c>
      <c r="R1997" s="21" t="n">
        <v>34783</v>
      </c>
      <c r="S1997" s="19" t="s">
        <v>1715</v>
      </c>
      <c r="T1997" s="19" t="s">
        <v>6249</v>
      </c>
      <c r="U1997" s="19" t="str">
        <f aca="false">HYPERLINK("https://macaulaylibrary.org/asset/184015","Open")</f>
        <v>Open</v>
      </c>
      <c r="V1997" s="19"/>
    </row>
    <row r="1998" customFormat="false" ht="15" hidden="false" customHeight="false" outlineLevel="0" collapsed="false">
      <c r="A1998" s="19" t="s">
        <v>6250</v>
      </c>
      <c r="B1998" s="19" t="s">
        <v>1005</v>
      </c>
      <c r="C1998" s="19" t="s">
        <v>944</v>
      </c>
      <c r="D1998" s="19" t="s">
        <v>647</v>
      </c>
      <c r="E1998" s="19" t="s">
        <v>147</v>
      </c>
      <c r="F1998" s="19" t="s">
        <v>749</v>
      </c>
      <c r="G1998" s="19" t="n">
        <v>244</v>
      </c>
      <c r="H1998" s="19" t="s">
        <v>750</v>
      </c>
      <c r="I1998" s="20" t="n">
        <v>40.464</v>
      </c>
      <c r="J1998" s="19" t="n">
        <f aca="false">IF(I1998="","",MIN(Overview!$B$8,MAX(1,CEILING(I1998/Overview!$B$7,1))))</f>
        <v>9</v>
      </c>
      <c r="K1998" s="19" t="n">
        <v>1</v>
      </c>
      <c r="L1998" s="19"/>
      <c r="M1998" s="20"/>
      <c r="N1998" s="19" t="s">
        <v>1006</v>
      </c>
      <c r="O1998" s="19"/>
      <c r="P1998" s="19" t="s">
        <v>1952</v>
      </c>
      <c r="Q1998" s="19" t="s">
        <v>1008</v>
      </c>
      <c r="R1998" s="21" t="n">
        <v>42581</v>
      </c>
      <c r="S1998" s="19" t="s">
        <v>1369</v>
      </c>
      <c r="T1998" s="19" t="s">
        <v>6251</v>
      </c>
      <c r="U1998" s="19" t="str">
        <f aca="false">HYPERLINK("https://xeno-canto.org/332384","Open")</f>
        <v>Open</v>
      </c>
      <c r="V1998" s="19" t="s">
        <v>2267</v>
      </c>
    </row>
    <row r="1999" customFormat="false" ht="15" hidden="false" customHeight="false" outlineLevel="0" collapsed="false">
      <c r="A1999" s="19" t="s">
        <v>6252</v>
      </c>
      <c r="B1999" s="19" t="s">
        <v>943</v>
      </c>
      <c r="C1999" s="19" t="s">
        <v>944</v>
      </c>
      <c r="D1999" s="19" t="s">
        <v>148</v>
      </c>
      <c r="E1999" s="19" t="s">
        <v>147</v>
      </c>
      <c r="F1999" s="19" t="s">
        <v>151</v>
      </c>
      <c r="G1999" s="19" t="n">
        <v>245</v>
      </c>
      <c r="H1999" s="19" t="s">
        <v>152</v>
      </c>
      <c r="I1999" s="20" t="n">
        <v>24.59</v>
      </c>
      <c r="J1999" s="19" t="n">
        <f aca="false">IF(I1999="","",MIN(Overview!$B$8,MAX(1,CEILING(I1999/Overview!$B$7,1))))</f>
        <v>5</v>
      </c>
      <c r="K1999" s="19" t="n">
        <v>1</v>
      </c>
      <c r="L1999" s="19"/>
      <c r="M1999" s="20" t="n">
        <v>3</v>
      </c>
      <c r="N1999" s="19"/>
      <c r="O1999" s="19"/>
      <c r="P1999" s="19" t="s">
        <v>3940</v>
      </c>
      <c r="Q1999" s="19" t="s">
        <v>2235</v>
      </c>
      <c r="R1999" s="21" t="n">
        <v>43467</v>
      </c>
      <c r="S1999" s="19" t="s">
        <v>3941</v>
      </c>
      <c r="T1999" s="19" t="s">
        <v>6253</v>
      </c>
      <c r="U1999" s="19" t="str">
        <f aca="false">HYPERLINK("https://macaulaylibrary.org/asset/143083321","Open")</f>
        <v>Open</v>
      </c>
      <c r="V1999" s="19"/>
    </row>
    <row r="2000" customFormat="false" ht="15" hidden="false" customHeight="false" outlineLevel="0" collapsed="false">
      <c r="A2000" s="19" t="s">
        <v>6254</v>
      </c>
      <c r="B2000" s="19" t="s">
        <v>943</v>
      </c>
      <c r="C2000" s="19" t="s">
        <v>944</v>
      </c>
      <c r="D2000" s="19" t="s">
        <v>148</v>
      </c>
      <c r="E2000" s="19" t="s">
        <v>147</v>
      </c>
      <c r="F2000" s="19" t="s">
        <v>151</v>
      </c>
      <c r="G2000" s="19" t="n">
        <v>245</v>
      </c>
      <c r="H2000" s="19" t="s">
        <v>152</v>
      </c>
      <c r="I2000" s="20" t="n">
        <v>347.685</v>
      </c>
      <c r="J2000" s="19" t="n">
        <f aca="false">IF(I2000="","",MIN(Overview!$B$8,MAX(1,CEILING(I2000/Overview!$B$7,1))))</f>
        <v>70</v>
      </c>
      <c r="K2000" s="19" t="n">
        <v>1</v>
      </c>
      <c r="L2000" s="19"/>
      <c r="M2000" s="20" t="n">
        <v>3</v>
      </c>
      <c r="N2000" s="19"/>
      <c r="O2000" s="19" t="s">
        <v>6255</v>
      </c>
      <c r="P2000" s="19" t="s">
        <v>4676</v>
      </c>
      <c r="Q2000" s="19" t="s">
        <v>1218</v>
      </c>
      <c r="R2000" s="21" t="n">
        <v>34814</v>
      </c>
      <c r="S2000" s="19" t="s">
        <v>1285</v>
      </c>
      <c r="T2000" s="19" t="s">
        <v>6256</v>
      </c>
      <c r="U2000" s="19" t="str">
        <f aca="false">HYPERLINK("https://macaulaylibrary.org/asset/184278","Open")</f>
        <v>Open</v>
      </c>
      <c r="V2000" s="19" t="s">
        <v>6257</v>
      </c>
    </row>
    <row r="2001" customFormat="false" ht="15" hidden="false" customHeight="false" outlineLevel="0" collapsed="false">
      <c r="A2001" s="19" t="s">
        <v>6258</v>
      </c>
      <c r="B2001" s="19" t="s">
        <v>943</v>
      </c>
      <c r="C2001" s="19" t="s">
        <v>944</v>
      </c>
      <c r="D2001" s="19" t="s">
        <v>148</v>
      </c>
      <c r="E2001" s="19" t="s">
        <v>147</v>
      </c>
      <c r="F2001" s="19" t="s">
        <v>151</v>
      </c>
      <c r="G2001" s="19" t="n">
        <v>245</v>
      </c>
      <c r="H2001" s="19" t="s">
        <v>152</v>
      </c>
      <c r="I2001" s="20" t="n">
        <v>358.621</v>
      </c>
      <c r="J2001" s="19" t="n">
        <f aca="false">IF(I2001="","",MIN(Overview!$B$8,MAX(1,CEILING(I2001/Overview!$B$7,1))))</f>
        <v>72</v>
      </c>
      <c r="K2001" s="19" t="n">
        <v>1</v>
      </c>
      <c r="L2001" s="19"/>
      <c r="M2001" s="20" t="n">
        <v>3</v>
      </c>
      <c r="N2001" s="19"/>
      <c r="O2001" s="19"/>
      <c r="P2001" s="19" t="s">
        <v>6259</v>
      </c>
      <c r="Q2001" s="19" t="s">
        <v>980</v>
      </c>
      <c r="R2001" s="21" t="n">
        <v>32552</v>
      </c>
      <c r="S2001" s="19" t="s">
        <v>1144</v>
      </c>
      <c r="T2001" s="19" t="s">
        <v>6260</v>
      </c>
      <c r="U2001" s="19" t="str">
        <f aca="false">HYPERLINK("https://macaulaylibrary.org/asset/215302","Open")</f>
        <v>Open</v>
      </c>
      <c r="V2001" s="19" t="s">
        <v>6257</v>
      </c>
    </row>
    <row r="2002" customFormat="false" ht="15" hidden="false" customHeight="false" outlineLevel="0" collapsed="false">
      <c r="A2002" s="19" t="s">
        <v>6261</v>
      </c>
      <c r="B2002" s="19" t="s">
        <v>943</v>
      </c>
      <c r="C2002" s="19" t="s">
        <v>944</v>
      </c>
      <c r="D2002" s="19" t="s">
        <v>148</v>
      </c>
      <c r="E2002" s="19" t="s">
        <v>147</v>
      </c>
      <c r="F2002" s="19" t="s">
        <v>151</v>
      </c>
      <c r="G2002" s="19" t="n">
        <v>245</v>
      </c>
      <c r="H2002" s="19" t="s">
        <v>152</v>
      </c>
      <c r="I2002" s="20" t="n">
        <v>217.362</v>
      </c>
      <c r="J2002" s="19" t="n">
        <f aca="false">IF(I2002="","",MIN(Overview!$B$8,MAX(1,CEILING(I2002/Overview!$B$7,1))))</f>
        <v>44</v>
      </c>
      <c r="K2002" s="19" t="n">
        <v>1</v>
      </c>
      <c r="L2002" s="19"/>
      <c r="M2002" s="20" t="n">
        <v>4.33</v>
      </c>
      <c r="N2002" s="19"/>
      <c r="O2002" s="19"/>
      <c r="P2002" s="19" t="s">
        <v>1058</v>
      </c>
      <c r="Q2002" s="19" t="s">
        <v>980</v>
      </c>
      <c r="R2002" s="21" t="n">
        <v>32555</v>
      </c>
      <c r="S2002" s="19" t="s">
        <v>2500</v>
      </c>
      <c r="T2002" s="19" t="s">
        <v>6262</v>
      </c>
      <c r="U2002" s="19" t="str">
        <f aca="false">HYPERLINK("https://macaulaylibrary.org/asset/215352","Open")</f>
        <v>Open</v>
      </c>
      <c r="V2002" s="19" t="s">
        <v>6257</v>
      </c>
    </row>
    <row r="2003" customFormat="false" ht="15" hidden="false" customHeight="false" outlineLevel="0" collapsed="false">
      <c r="A2003" s="19" t="s">
        <v>6263</v>
      </c>
      <c r="B2003" s="19" t="s">
        <v>943</v>
      </c>
      <c r="C2003" s="19" t="s">
        <v>944</v>
      </c>
      <c r="D2003" s="19" t="s">
        <v>148</v>
      </c>
      <c r="E2003" s="19" t="s">
        <v>147</v>
      </c>
      <c r="F2003" s="19" t="s">
        <v>151</v>
      </c>
      <c r="G2003" s="19" t="n">
        <v>245</v>
      </c>
      <c r="H2003" s="19" t="s">
        <v>152</v>
      </c>
      <c r="I2003" s="20" t="n">
        <v>49.923</v>
      </c>
      <c r="J2003" s="19" t="n">
        <f aca="false">IF(I2003="","",MIN(Overview!$B$8,MAX(1,CEILING(I2003/Overview!$B$7,1))))</f>
        <v>10</v>
      </c>
      <c r="K2003" s="19" t="n">
        <v>1</v>
      </c>
      <c r="L2003" s="19"/>
      <c r="M2003" s="20"/>
      <c r="N2003" s="19"/>
      <c r="O2003" s="19"/>
      <c r="P2003" s="19" t="s">
        <v>1029</v>
      </c>
      <c r="Q2003" s="19" t="s">
        <v>1030</v>
      </c>
      <c r="R2003" s="21" t="n">
        <v>40251</v>
      </c>
      <c r="S2003" s="19" t="s">
        <v>1534</v>
      </c>
      <c r="T2003" s="19" t="s">
        <v>6264</v>
      </c>
      <c r="U2003" s="19" t="str">
        <f aca="false">HYPERLINK("https://macaulaylibrary.org/asset/299636","Open")</f>
        <v>Open</v>
      </c>
      <c r="V2003" s="19" t="s">
        <v>6257</v>
      </c>
    </row>
    <row r="2004" customFormat="false" ht="15" hidden="false" customHeight="false" outlineLevel="0" collapsed="false">
      <c r="A2004" s="19" t="s">
        <v>6265</v>
      </c>
      <c r="B2004" s="19" t="s">
        <v>943</v>
      </c>
      <c r="C2004" s="19" t="s">
        <v>944</v>
      </c>
      <c r="D2004" s="19" t="s">
        <v>148</v>
      </c>
      <c r="E2004" s="19" t="s">
        <v>147</v>
      </c>
      <c r="F2004" s="19" t="s">
        <v>151</v>
      </c>
      <c r="G2004" s="19" t="n">
        <v>245</v>
      </c>
      <c r="H2004" s="19" t="s">
        <v>152</v>
      </c>
      <c r="I2004" s="20" t="n">
        <v>72.005</v>
      </c>
      <c r="J2004" s="19" t="n">
        <f aca="false">IF(I2004="","",MIN(Overview!$B$8,MAX(1,CEILING(I2004/Overview!$B$7,1))))</f>
        <v>15</v>
      </c>
      <c r="K2004" s="19" t="n">
        <v>1</v>
      </c>
      <c r="L2004" s="19"/>
      <c r="M2004" s="20"/>
      <c r="N2004" s="19"/>
      <c r="O2004" s="19"/>
      <c r="P2004" s="19" t="s">
        <v>3152</v>
      </c>
      <c r="Q2004" s="19" t="s">
        <v>1408</v>
      </c>
      <c r="R2004" s="21" t="n">
        <v>31807</v>
      </c>
      <c r="S2004" s="19" t="s">
        <v>1009</v>
      </c>
      <c r="T2004" s="19" t="s">
        <v>6266</v>
      </c>
      <c r="U2004" s="19" t="str">
        <f aca="false">HYPERLINK("https://macaulaylibrary.org/asset/306051841","Open")</f>
        <v>Open</v>
      </c>
      <c r="V2004" s="19"/>
    </row>
    <row r="2005" customFormat="false" ht="15" hidden="false" customHeight="false" outlineLevel="0" collapsed="false">
      <c r="A2005" s="19" t="s">
        <v>6267</v>
      </c>
      <c r="B2005" s="19" t="s">
        <v>943</v>
      </c>
      <c r="C2005" s="19" t="s">
        <v>944</v>
      </c>
      <c r="D2005" s="19" t="s">
        <v>148</v>
      </c>
      <c r="E2005" s="19" t="s">
        <v>147</v>
      </c>
      <c r="F2005" s="19" t="s">
        <v>151</v>
      </c>
      <c r="G2005" s="19" t="n">
        <v>245</v>
      </c>
      <c r="H2005" s="19" t="s">
        <v>152</v>
      </c>
      <c r="I2005" s="20" t="n">
        <v>82.808</v>
      </c>
      <c r="J2005" s="19" t="n">
        <f aca="false">IF(I2005="","",MIN(Overview!$B$8,MAX(1,CEILING(I2005/Overview!$B$7,1))))</f>
        <v>17</v>
      </c>
      <c r="K2005" s="19" t="n">
        <v>1</v>
      </c>
      <c r="L2005" s="19"/>
      <c r="M2005" s="20"/>
      <c r="N2005" s="19"/>
      <c r="O2005" s="19"/>
      <c r="P2005" s="19" t="s">
        <v>3152</v>
      </c>
      <c r="Q2005" s="19" t="s">
        <v>1408</v>
      </c>
      <c r="R2005" s="21" t="n">
        <v>31807</v>
      </c>
      <c r="S2005" s="19" t="s">
        <v>1009</v>
      </c>
      <c r="T2005" s="19" t="s">
        <v>6268</v>
      </c>
      <c r="U2005" s="19" t="str">
        <f aca="false">HYPERLINK("https://macaulaylibrary.org/asset/306052831","Open")</f>
        <v>Open</v>
      </c>
      <c r="V2005" s="19"/>
    </row>
    <row r="2006" customFormat="false" ht="15" hidden="false" customHeight="false" outlineLevel="0" collapsed="false">
      <c r="A2006" s="19" t="s">
        <v>6269</v>
      </c>
      <c r="B2006" s="19" t="s">
        <v>943</v>
      </c>
      <c r="C2006" s="19" t="s">
        <v>944</v>
      </c>
      <c r="D2006" s="19" t="s">
        <v>148</v>
      </c>
      <c r="E2006" s="19" t="s">
        <v>147</v>
      </c>
      <c r="F2006" s="19" t="s">
        <v>151</v>
      </c>
      <c r="G2006" s="19" t="n">
        <v>245</v>
      </c>
      <c r="H2006" s="19" t="s">
        <v>152</v>
      </c>
      <c r="I2006" s="20" t="n">
        <v>10.816</v>
      </c>
      <c r="J2006" s="19" t="n">
        <f aca="false">IF(I2006="","",MIN(Overview!$B$8,MAX(1,CEILING(I2006/Overview!$B$7,1))))</f>
        <v>3</v>
      </c>
      <c r="K2006" s="19" t="n">
        <v>1</v>
      </c>
      <c r="L2006" s="19"/>
      <c r="M2006" s="20" t="n">
        <v>4</v>
      </c>
      <c r="N2006" s="19"/>
      <c r="O2006" s="19"/>
      <c r="P2006" s="19" t="s">
        <v>6270</v>
      </c>
      <c r="Q2006" s="19" t="s">
        <v>1148</v>
      </c>
      <c r="R2006" s="21" t="n">
        <v>44447</v>
      </c>
      <c r="S2006" s="19" t="s">
        <v>6271</v>
      </c>
      <c r="T2006" s="19" t="s">
        <v>6272</v>
      </c>
      <c r="U2006" s="19" t="str">
        <f aca="false">HYPERLINK("https://macaulaylibrary.org/asset/368341651","Open")</f>
        <v>Open</v>
      </c>
      <c r="V2006" s="19"/>
    </row>
    <row r="2007" customFormat="false" ht="15" hidden="false" customHeight="false" outlineLevel="0" collapsed="false">
      <c r="A2007" s="19" t="s">
        <v>6273</v>
      </c>
      <c r="B2007" s="19" t="s">
        <v>943</v>
      </c>
      <c r="C2007" s="19" t="s">
        <v>944</v>
      </c>
      <c r="D2007" s="19" t="s">
        <v>148</v>
      </c>
      <c r="E2007" s="19" t="s">
        <v>147</v>
      </c>
      <c r="F2007" s="19" t="s">
        <v>151</v>
      </c>
      <c r="G2007" s="19" t="n">
        <v>245</v>
      </c>
      <c r="H2007" s="19" t="s">
        <v>152</v>
      </c>
      <c r="I2007" s="20" t="n">
        <v>10.345</v>
      </c>
      <c r="J2007" s="19" t="n">
        <f aca="false">IF(I2007="","",MIN(Overview!$B$8,MAX(1,CEILING(I2007/Overview!$B$7,1))))</f>
        <v>3</v>
      </c>
      <c r="K2007" s="19" t="n">
        <v>1</v>
      </c>
      <c r="L2007" s="19"/>
      <c r="M2007" s="20"/>
      <c r="N2007" s="19"/>
      <c r="O2007" s="19"/>
      <c r="P2007" s="19" t="s">
        <v>3749</v>
      </c>
      <c r="Q2007" s="19" t="s">
        <v>1596</v>
      </c>
      <c r="R2007" s="21" t="n">
        <v>44700</v>
      </c>
      <c r="S2007" s="19" t="s">
        <v>3750</v>
      </c>
      <c r="T2007" s="19" t="s">
        <v>6274</v>
      </c>
      <c r="U2007" s="19" t="str">
        <f aca="false">HYPERLINK("https://macaulaylibrary.org/asset/458621431","Open")</f>
        <v>Open</v>
      </c>
      <c r="V2007" s="19"/>
    </row>
    <row r="2008" customFormat="false" ht="15" hidden="false" customHeight="false" outlineLevel="0" collapsed="false">
      <c r="A2008" s="19" t="s">
        <v>6275</v>
      </c>
      <c r="B2008" s="19" t="s">
        <v>943</v>
      </c>
      <c r="C2008" s="19" t="s">
        <v>944</v>
      </c>
      <c r="D2008" s="19" t="s">
        <v>148</v>
      </c>
      <c r="E2008" s="19" t="s">
        <v>147</v>
      </c>
      <c r="F2008" s="19" t="s">
        <v>151</v>
      </c>
      <c r="G2008" s="19" t="n">
        <v>245</v>
      </c>
      <c r="H2008" s="19" t="s">
        <v>152</v>
      </c>
      <c r="I2008" s="20" t="n">
        <v>6.293</v>
      </c>
      <c r="J2008" s="19" t="n">
        <f aca="false">IF(I2008="","",MIN(Overview!$B$8,MAX(1,CEILING(I2008/Overview!$B$7,1))))</f>
        <v>2</v>
      </c>
      <c r="K2008" s="19" t="n">
        <v>1</v>
      </c>
      <c r="L2008" s="19"/>
      <c r="M2008" s="20"/>
      <c r="N2008" s="19"/>
      <c r="O2008" s="19"/>
      <c r="P2008" s="19" t="s">
        <v>1595</v>
      </c>
      <c r="Q2008" s="19" t="s">
        <v>1596</v>
      </c>
      <c r="R2008" s="21" t="n">
        <v>44700</v>
      </c>
      <c r="S2008" s="19" t="s">
        <v>1597</v>
      </c>
      <c r="T2008" s="19" t="s">
        <v>6276</v>
      </c>
      <c r="U2008" s="19" t="str">
        <f aca="false">HYPERLINK("https://macaulaylibrary.org/asset/458625821","Open")</f>
        <v>Open</v>
      </c>
      <c r="V2008" s="19"/>
    </row>
    <row r="2009" customFormat="false" ht="15" hidden="false" customHeight="false" outlineLevel="0" collapsed="false">
      <c r="A2009" s="19" t="s">
        <v>6277</v>
      </c>
      <c r="B2009" s="19" t="s">
        <v>943</v>
      </c>
      <c r="C2009" s="19" t="s">
        <v>944</v>
      </c>
      <c r="D2009" s="19" t="s">
        <v>148</v>
      </c>
      <c r="E2009" s="19" t="s">
        <v>147</v>
      </c>
      <c r="F2009" s="19" t="s">
        <v>151</v>
      </c>
      <c r="G2009" s="19" t="n">
        <v>245</v>
      </c>
      <c r="H2009" s="19" t="s">
        <v>152</v>
      </c>
      <c r="I2009" s="20" t="n">
        <v>12.793</v>
      </c>
      <c r="J2009" s="19" t="n">
        <f aca="false">IF(I2009="","",MIN(Overview!$B$8,MAX(1,CEILING(I2009/Overview!$B$7,1))))</f>
        <v>3</v>
      </c>
      <c r="K2009" s="19" t="n">
        <v>1</v>
      </c>
      <c r="L2009" s="19"/>
      <c r="M2009" s="20" t="n">
        <v>3</v>
      </c>
      <c r="N2009" s="19"/>
      <c r="O2009" s="19"/>
      <c r="P2009" s="19" t="s">
        <v>6278</v>
      </c>
      <c r="Q2009" s="19" t="s">
        <v>2761</v>
      </c>
      <c r="R2009" s="21" t="n">
        <v>42746</v>
      </c>
      <c r="S2009" s="19" t="s">
        <v>1002</v>
      </c>
      <c r="T2009" s="19" t="s">
        <v>6279</v>
      </c>
      <c r="U2009" s="19" t="str">
        <f aca="false">HYPERLINK("https://macaulaylibrary.org/asset/46104241","Open")</f>
        <v>Open</v>
      </c>
      <c r="V2009" s="19" t="s">
        <v>6257</v>
      </c>
    </row>
    <row r="2010" customFormat="false" ht="15" hidden="false" customHeight="false" outlineLevel="0" collapsed="false">
      <c r="A2010" s="19" t="s">
        <v>6280</v>
      </c>
      <c r="B2010" s="19" t="s">
        <v>943</v>
      </c>
      <c r="C2010" s="19" t="s">
        <v>944</v>
      </c>
      <c r="D2010" s="19" t="s">
        <v>148</v>
      </c>
      <c r="E2010" s="19" t="s">
        <v>147</v>
      </c>
      <c r="F2010" s="19" t="s">
        <v>151</v>
      </c>
      <c r="G2010" s="19" t="n">
        <v>245</v>
      </c>
      <c r="H2010" s="19" t="s">
        <v>152</v>
      </c>
      <c r="I2010" s="20" t="n">
        <v>12.309</v>
      </c>
      <c r="J2010" s="19" t="n">
        <f aca="false">IF(I2010="","",MIN(Overview!$B$8,MAX(1,CEILING(I2010/Overview!$B$7,1))))</f>
        <v>3</v>
      </c>
      <c r="K2010" s="19" t="n">
        <v>1</v>
      </c>
      <c r="L2010" s="19"/>
      <c r="M2010" s="20"/>
      <c r="N2010" s="19"/>
      <c r="O2010" s="19"/>
      <c r="P2010" s="19" t="s">
        <v>1414</v>
      </c>
      <c r="Q2010" s="19" t="s">
        <v>1204</v>
      </c>
      <c r="R2010" s="21" t="n">
        <v>44608</v>
      </c>
      <c r="S2010" s="19" t="s">
        <v>1415</v>
      </c>
      <c r="T2010" s="19" t="s">
        <v>6281</v>
      </c>
      <c r="U2010" s="19" t="str">
        <f aca="false">HYPERLINK("https://macaulaylibrary.org/asset/531097511","Open")</f>
        <v>Open</v>
      </c>
      <c r="V2010" s="19"/>
    </row>
    <row r="2011" customFormat="false" ht="15" hidden="false" customHeight="false" outlineLevel="0" collapsed="false">
      <c r="A2011" s="19" t="s">
        <v>6282</v>
      </c>
      <c r="B2011" s="19" t="s">
        <v>943</v>
      </c>
      <c r="C2011" s="19" t="s">
        <v>944</v>
      </c>
      <c r="D2011" s="19" t="s">
        <v>148</v>
      </c>
      <c r="E2011" s="19" t="s">
        <v>147</v>
      </c>
      <c r="F2011" s="19" t="s">
        <v>151</v>
      </c>
      <c r="G2011" s="19" t="n">
        <v>245</v>
      </c>
      <c r="H2011" s="19" t="s">
        <v>152</v>
      </c>
      <c r="I2011" s="20" t="n">
        <v>12.096</v>
      </c>
      <c r="J2011" s="19" t="n">
        <f aca="false">IF(I2011="","",MIN(Overview!$B$8,MAX(1,CEILING(I2011/Overview!$B$7,1))))</f>
        <v>3</v>
      </c>
      <c r="K2011" s="19" t="n">
        <v>1</v>
      </c>
      <c r="L2011" s="19"/>
      <c r="M2011" s="20"/>
      <c r="N2011" s="19"/>
      <c r="O2011" s="19"/>
      <c r="P2011" s="19" t="s">
        <v>1422</v>
      </c>
      <c r="Q2011" s="19" t="s">
        <v>1204</v>
      </c>
      <c r="R2011" s="21" t="n">
        <v>44610</v>
      </c>
      <c r="S2011" s="19" t="s">
        <v>1423</v>
      </c>
      <c r="T2011" s="19" t="s">
        <v>6283</v>
      </c>
      <c r="U2011" s="19" t="str">
        <f aca="false">HYPERLINK("https://macaulaylibrary.org/asset/531224231","Open")</f>
        <v>Open</v>
      </c>
      <c r="V2011" s="19"/>
    </row>
    <row r="2012" customFormat="false" ht="15" hidden="false" customHeight="false" outlineLevel="0" collapsed="false">
      <c r="A2012" s="19" t="s">
        <v>6284</v>
      </c>
      <c r="B2012" s="19" t="s">
        <v>943</v>
      </c>
      <c r="C2012" s="19" t="s">
        <v>944</v>
      </c>
      <c r="D2012" s="19" t="s">
        <v>148</v>
      </c>
      <c r="E2012" s="19" t="s">
        <v>147</v>
      </c>
      <c r="F2012" s="19" t="s">
        <v>151</v>
      </c>
      <c r="G2012" s="19" t="n">
        <v>245</v>
      </c>
      <c r="H2012" s="19" t="s">
        <v>152</v>
      </c>
      <c r="I2012" s="20" t="n">
        <v>8.491</v>
      </c>
      <c r="J2012" s="19" t="n">
        <f aca="false">IF(I2012="","",MIN(Overview!$B$8,MAX(1,CEILING(I2012/Overview!$B$7,1))))</f>
        <v>2</v>
      </c>
      <c r="K2012" s="19" t="n">
        <v>1</v>
      </c>
      <c r="L2012" s="19"/>
      <c r="M2012" s="20"/>
      <c r="N2012" s="19"/>
      <c r="O2012" s="19"/>
      <c r="P2012" s="19" t="s">
        <v>1426</v>
      </c>
      <c r="Q2012" s="19" t="s">
        <v>1204</v>
      </c>
      <c r="R2012" s="21" t="n">
        <v>44611</v>
      </c>
      <c r="S2012" s="19" t="s">
        <v>1259</v>
      </c>
      <c r="T2012" s="19" t="s">
        <v>6285</v>
      </c>
      <c r="U2012" s="19" t="str">
        <f aca="false">HYPERLINK("https://macaulaylibrary.org/asset/531229831","Open")</f>
        <v>Open</v>
      </c>
      <c r="V2012" s="19"/>
    </row>
    <row r="2013" customFormat="false" ht="15" hidden="false" customHeight="false" outlineLevel="0" collapsed="false">
      <c r="A2013" s="19" t="s">
        <v>6286</v>
      </c>
      <c r="B2013" s="19" t="s">
        <v>943</v>
      </c>
      <c r="C2013" s="19" t="s">
        <v>944</v>
      </c>
      <c r="D2013" s="19" t="s">
        <v>148</v>
      </c>
      <c r="E2013" s="19" t="s">
        <v>147</v>
      </c>
      <c r="F2013" s="19" t="s">
        <v>151</v>
      </c>
      <c r="G2013" s="19" t="n">
        <v>245</v>
      </c>
      <c r="H2013" s="19" t="s">
        <v>152</v>
      </c>
      <c r="I2013" s="20" t="n">
        <v>10.094</v>
      </c>
      <c r="J2013" s="19" t="n">
        <f aca="false">IF(I2013="","",MIN(Overview!$B$8,MAX(1,CEILING(I2013/Overview!$B$7,1))))</f>
        <v>3</v>
      </c>
      <c r="K2013" s="19" t="n">
        <v>1</v>
      </c>
      <c r="L2013" s="19"/>
      <c r="M2013" s="20" t="n">
        <v>3</v>
      </c>
      <c r="N2013" s="19"/>
      <c r="O2013" s="19"/>
      <c r="P2013" s="19" t="s">
        <v>1984</v>
      </c>
      <c r="Q2013" s="19" t="s">
        <v>1985</v>
      </c>
      <c r="R2013" s="21" t="n">
        <v>44874</v>
      </c>
      <c r="S2013" s="19" t="s">
        <v>1986</v>
      </c>
      <c r="T2013" s="19" t="s">
        <v>6287</v>
      </c>
      <c r="U2013" s="19" t="str">
        <f aca="false">HYPERLINK("https://macaulaylibrary.org/asset/540257231","Open")</f>
        <v>Open</v>
      </c>
      <c r="V2013" s="19"/>
    </row>
    <row r="2014" customFormat="false" ht="15" hidden="false" customHeight="false" outlineLevel="0" collapsed="false">
      <c r="A2014" s="19" t="s">
        <v>6288</v>
      </c>
      <c r="B2014" s="19" t="s">
        <v>943</v>
      </c>
      <c r="C2014" s="19" t="s">
        <v>944</v>
      </c>
      <c r="D2014" s="19" t="s">
        <v>148</v>
      </c>
      <c r="E2014" s="19" t="s">
        <v>147</v>
      </c>
      <c r="F2014" s="19" t="s">
        <v>151</v>
      </c>
      <c r="G2014" s="19" t="n">
        <v>245</v>
      </c>
      <c r="H2014" s="19" t="s">
        <v>152</v>
      </c>
      <c r="I2014" s="20" t="n">
        <v>4.165</v>
      </c>
      <c r="J2014" s="19" t="n">
        <f aca="false">IF(I2014="","",MIN(Overview!$B$8,MAX(1,CEILING(I2014/Overview!$B$7,1))))</f>
        <v>1</v>
      </c>
      <c r="K2014" s="19" t="n">
        <v>1</v>
      </c>
      <c r="L2014" s="19" t="s">
        <v>1048</v>
      </c>
      <c r="M2014" s="20"/>
      <c r="N2014" s="19"/>
      <c r="O2014" s="19"/>
      <c r="P2014" s="19" t="s">
        <v>1157</v>
      </c>
      <c r="Q2014" s="19" t="s">
        <v>1158</v>
      </c>
      <c r="R2014" s="21" t="n">
        <v>44942</v>
      </c>
      <c r="S2014" s="19" t="s">
        <v>1009</v>
      </c>
      <c r="T2014" s="19" t="s">
        <v>6289</v>
      </c>
      <c r="U2014" s="19" t="str">
        <f aca="false">HYPERLINK("https://macaulaylibrary.org/asset/543398101","Open")</f>
        <v>Open</v>
      </c>
      <c r="V2014" s="19"/>
    </row>
    <row r="2015" customFormat="false" ht="15" hidden="false" customHeight="false" outlineLevel="0" collapsed="false">
      <c r="A2015" s="19" t="s">
        <v>6290</v>
      </c>
      <c r="B2015" s="19" t="s">
        <v>943</v>
      </c>
      <c r="C2015" s="19" t="s">
        <v>944</v>
      </c>
      <c r="D2015" s="19" t="s">
        <v>148</v>
      </c>
      <c r="E2015" s="19" t="s">
        <v>147</v>
      </c>
      <c r="F2015" s="19" t="s">
        <v>151</v>
      </c>
      <c r="G2015" s="19" t="n">
        <v>245</v>
      </c>
      <c r="H2015" s="19" t="s">
        <v>152</v>
      </c>
      <c r="I2015" s="20" t="n">
        <v>3.666</v>
      </c>
      <c r="J2015" s="19" t="n">
        <f aca="false">IF(I2015="","",MIN(Overview!$B$8,MAX(1,CEILING(I2015/Overview!$B$7,1))))</f>
        <v>1</v>
      </c>
      <c r="K2015" s="19" t="n">
        <v>1</v>
      </c>
      <c r="L2015" s="19" t="s">
        <v>1048</v>
      </c>
      <c r="M2015" s="20" t="n">
        <v>3</v>
      </c>
      <c r="N2015" s="19"/>
      <c r="O2015" s="19"/>
      <c r="P2015" s="19" t="s">
        <v>1170</v>
      </c>
      <c r="Q2015" s="19" t="s">
        <v>1166</v>
      </c>
      <c r="R2015" s="21" t="n">
        <v>44900</v>
      </c>
      <c r="S2015" s="19" t="s">
        <v>1092</v>
      </c>
      <c r="T2015" s="19" t="s">
        <v>6291</v>
      </c>
      <c r="U2015" s="19" t="str">
        <f aca="false">HYPERLINK("https://macaulaylibrary.org/asset/597934491","Open")</f>
        <v>Open</v>
      </c>
      <c r="V2015" s="19"/>
    </row>
    <row r="2016" customFormat="false" ht="15" hidden="false" customHeight="false" outlineLevel="0" collapsed="false">
      <c r="A2016" s="19" t="s">
        <v>6292</v>
      </c>
      <c r="B2016" s="19" t="s">
        <v>943</v>
      </c>
      <c r="C2016" s="19" t="s">
        <v>944</v>
      </c>
      <c r="D2016" s="19" t="s">
        <v>148</v>
      </c>
      <c r="E2016" s="19" t="s">
        <v>147</v>
      </c>
      <c r="F2016" s="19" t="s">
        <v>151</v>
      </c>
      <c r="G2016" s="19" t="n">
        <v>245</v>
      </c>
      <c r="H2016" s="19" t="s">
        <v>152</v>
      </c>
      <c r="I2016" s="20" t="n">
        <v>14.636</v>
      </c>
      <c r="J2016" s="19" t="n">
        <f aca="false">IF(I2016="","",MIN(Overview!$B$8,MAX(1,CEILING(I2016/Overview!$B$7,1))))</f>
        <v>3</v>
      </c>
      <c r="K2016" s="19" t="n">
        <v>1</v>
      </c>
      <c r="L2016" s="19"/>
      <c r="M2016" s="20" t="n">
        <v>3.5</v>
      </c>
      <c r="N2016" s="19"/>
      <c r="O2016" s="19"/>
      <c r="P2016" s="19" t="s">
        <v>1170</v>
      </c>
      <c r="Q2016" s="19" t="s">
        <v>1166</v>
      </c>
      <c r="R2016" s="21" t="n">
        <v>44900</v>
      </c>
      <c r="S2016" s="19" t="s">
        <v>1092</v>
      </c>
      <c r="T2016" s="19" t="s">
        <v>6293</v>
      </c>
      <c r="U2016" s="19" t="str">
        <f aca="false">HYPERLINK("https://macaulaylibrary.org/asset/597934771","Open")</f>
        <v>Open</v>
      </c>
      <c r="V2016" s="19"/>
    </row>
    <row r="2017" customFormat="false" ht="15" hidden="false" customHeight="false" outlineLevel="0" collapsed="false">
      <c r="A2017" s="19" t="s">
        <v>6294</v>
      </c>
      <c r="B2017" s="19" t="s">
        <v>943</v>
      </c>
      <c r="C2017" s="19" t="s">
        <v>944</v>
      </c>
      <c r="D2017" s="19" t="s">
        <v>148</v>
      </c>
      <c r="E2017" s="19" t="s">
        <v>147</v>
      </c>
      <c r="F2017" s="19" t="s">
        <v>151</v>
      </c>
      <c r="G2017" s="19" t="n">
        <v>245</v>
      </c>
      <c r="H2017" s="19" t="s">
        <v>152</v>
      </c>
      <c r="I2017" s="20" t="n">
        <v>110.545</v>
      </c>
      <c r="J2017" s="19" t="n">
        <f aca="false">IF(I2017="","",MIN(Overview!$B$8,MAX(1,CEILING(I2017/Overview!$B$7,1))))</f>
        <v>23</v>
      </c>
      <c r="K2017" s="19" t="n">
        <v>1</v>
      </c>
      <c r="L2017" s="19"/>
      <c r="M2017" s="20"/>
      <c r="N2017" s="19"/>
      <c r="O2017" s="19"/>
      <c r="P2017" s="19" t="s">
        <v>1364</v>
      </c>
      <c r="Q2017" s="19" t="s">
        <v>1040</v>
      </c>
      <c r="R2017" s="21" t="n">
        <v>41630</v>
      </c>
      <c r="S2017" s="19" t="s">
        <v>1002</v>
      </c>
      <c r="T2017" s="19" t="s">
        <v>6295</v>
      </c>
      <c r="U2017" s="19" t="str">
        <f aca="false">HYPERLINK("https://macaulaylibrary.org/asset/609061861","Open")</f>
        <v>Open</v>
      </c>
      <c r="V2017" s="19" t="s">
        <v>6257</v>
      </c>
    </row>
    <row r="2018" customFormat="false" ht="15" hidden="false" customHeight="false" outlineLevel="0" collapsed="false">
      <c r="A2018" s="19" t="s">
        <v>6296</v>
      </c>
      <c r="B2018" s="19" t="s">
        <v>943</v>
      </c>
      <c r="C2018" s="19" t="s">
        <v>944</v>
      </c>
      <c r="D2018" s="19" t="s">
        <v>148</v>
      </c>
      <c r="E2018" s="19" t="s">
        <v>147</v>
      </c>
      <c r="F2018" s="19" t="s">
        <v>151</v>
      </c>
      <c r="G2018" s="19" t="n">
        <v>245</v>
      </c>
      <c r="H2018" s="19" t="s">
        <v>152</v>
      </c>
      <c r="I2018" s="20" t="n">
        <v>13.583</v>
      </c>
      <c r="J2018" s="19" t="n">
        <f aca="false">IF(I2018="","",MIN(Overview!$B$8,MAX(1,CEILING(I2018/Overview!$B$7,1))))</f>
        <v>3</v>
      </c>
      <c r="K2018" s="19" t="n">
        <v>1</v>
      </c>
      <c r="L2018" s="19"/>
      <c r="M2018" s="20" t="n">
        <v>4</v>
      </c>
      <c r="N2018" s="19"/>
      <c r="O2018" s="19"/>
      <c r="P2018" s="19" t="s">
        <v>2528</v>
      </c>
      <c r="Q2018" s="19" t="s">
        <v>951</v>
      </c>
      <c r="R2018" s="21" t="n">
        <v>45222</v>
      </c>
      <c r="S2018" s="19" t="s">
        <v>2529</v>
      </c>
      <c r="T2018" s="19" t="s">
        <v>6297</v>
      </c>
      <c r="U2018" s="19" t="str">
        <f aca="false">HYPERLINK("https://macaulaylibrary.org/asset/610540334","Open")</f>
        <v>Open</v>
      </c>
      <c r="V2018" s="19"/>
    </row>
    <row r="2019" customFormat="false" ht="15" hidden="false" customHeight="false" outlineLevel="0" collapsed="false">
      <c r="A2019" s="19" t="s">
        <v>6298</v>
      </c>
      <c r="B2019" s="19" t="s">
        <v>943</v>
      </c>
      <c r="C2019" s="19" t="s">
        <v>944</v>
      </c>
      <c r="D2019" s="19" t="s">
        <v>148</v>
      </c>
      <c r="E2019" s="19" t="s">
        <v>147</v>
      </c>
      <c r="F2019" s="19" t="s">
        <v>151</v>
      </c>
      <c r="G2019" s="19" t="n">
        <v>245</v>
      </c>
      <c r="H2019" s="19" t="s">
        <v>152</v>
      </c>
      <c r="I2019" s="20" t="n">
        <v>20.177</v>
      </c>
      <c r="J2019" s="19" t="n">
        <f aca="false">IF(I2019="","",MIN(Overview!$B$8,MAX(1,CEILING(I2019/Overview!$B$7,1))))</f>
        <v>5</v>
      </c>
      <c r="K2019" s="19" t="n">
        <v>1</v>
      </c>
      <c r="L2019" s="19"/>
      <c r="M2019" s="20" t="n">
        <v>4</v>
      </c>
      <c r="N2019" s="19"/>
      <c r="O2019" s="19"/>
      <c r="P2019" s="19" t="s">
        <v>6299</v>
      </c>
      <c r="Q2019" s="19" t="s">
        <v>5800</v>
      </c>
      <c r="R2019" s="21" t="n">
        <v>45260</v>
      </c>
      <c r="S2019" s="19" t="s">
        <v>4623</v>
      </c>
      <c r="T2019" s="19" t="s">
        <v>6300</v>
      </c>
      <c r="U2019" s="19" t="str">
        <f aca="false">HYPERLINK("https://macaulaylibrary.org/asset/611791341","Open")</f>
        <v>Open</v>
      </c>
      <c r="V2019" s="19"/>
    </row>
    <row r="2020" customFormat="false" ht="15" hidden="false" customHeight="false" outlineLevel="0" collapsed="false">
      <c r="A2020" s="19" t="s">
        <v>6301</v>
      </c>
      <c r="B2020" s="19" t="s">
        <v>943</v>
      </c>
      <c r="C2020" s="19" t="s">
        <v>944</v>
      </c>
      <c r="D2020" s="19" t="s">
        <v>148</v>
      </c>
      <c r="E2020" s="19" t="s">
        <v>147</v>
      </c>
      <c r="F2020" s="19" t="s">
        <v>151</v>
      </c>
      <c r="G2020" s="19" t="n">
        <v>245</v>
      </c>
      <c r="H2020" s="19" t="s">
        <v>152</v>
      </c>
      <c r="I2020" s="20" t="n">
        <v>28.28</v>
      </c>
      <c r="J2020" s="19" t="n">
        <f aca="false">IF(I2020="","",MIN(Overview!$B$8,MAX(1,CEILING(I2020/Overview!$B$7,1))))</f>
        <v>6</v>
      </c>
      <c r="K2020" s="19" t="n">
        <v>1</v>
      </c>
      <c r="L2020" s="19"/>
      <c r="M2020" s="20" t="n">
        <v>4</v>
      </c>
      <c r="N2020" s="19"/>
      <c r="O2020" s="19"/>
      <c r="P2020" s="19" t="s">
        <v>1314</v>
      </c>
      <c r="Q2020" s="19" t="s">
        <v>956</v>
      </c>
      <c r="R2020" s="21" t="n">
        <v>45301</v>
      </c>
      <c r="S2020" s="19" t="s">
        <v>1315</v>
      </c>
      <c r="T2020" s="19" t="s">
        <v>6302</v>
      </c>
      <c r="U2020" s="19" t="str">
        <f aca="false">HYPERLINK("https://macaulaylibrary.org/asset/613430318","Open")</f>
        <v>Open</v>
      </c>
      <c r="V2020" s="19"/>
    </row>
    <row r="2021" customFormat="false" ht="15" hidden="false" customHeight="false" outlineLevel="0" collapsed="false">
      <c r="A2021" s="19" t="s">
        <v>6303</v>
      </c>
      <c r="B2021" s="19" t="s">
        <v>943</v>
      </c>
      <c r="C2021" s="19" t="s">
        <v>944</v>
      </c>
      <c r="D2021" s="19" t="s">
        <v>148</v>
      </c>
      <c r="E2021" s="19" t="s">
        <v>147</v>
      </c>
      <c r="F2021" s="19" t="s">
        <v>151</v>
      </c>
      <c r="G2021" s="19" t="n">
        <v>245</v>
      </c>
      <c r="H2021" s="19" t="s">
        <v>152</v>
      </c>
      <c r="I2021" s="20" t="n">
        <v>15.211</v>
      </c>
      <c r="J2021" s="19" t="n">
        <f aca="false">IF(I2021="","",MIN(Overview!$B$8,MAX(1,CEILING(I2021/Overview!$B$7,1))))</f>
        <v>4</v>
      </c>
      <c r="K2021" s="19" t="n">
        <v>1</v>
      </c>
      <c r="L2021" s="19"/>
      <c r="M2021" s="20" t="n">
        <v>3</v>
      </c>
      <c r="N2021" s="19"/>
      <c r="O2021" s="19"/>
      <c r="P2021" s="19" t="s">
        <v>6304</v>
      </c>
      <c r="Q2021" s="19" t="s">
        <v>6305</v>
      </c>
      <c r="R2021" s="21" t="n">
        <v>44955</v>
      </c>
      <c r="S2021" s="19" t="s">
        <v>3598</v>
      </c>
      <c r="T2021" s="19" t="s">
        <v>6306</v>
      </c>
      <c r="U2021" s="19" t="str">
        <f aca="false">HYPERLINK("https://macaulaylibrary.org/asset/613589387","Open")</f>
        <v>Open</v>
      </c>
      <c r="V2021" s="19"/>
    </row>
    <row r="2022" customFormat="false" ht="15" hidden="false" customHeight="false" outlineLevel="0" collapsed="false">
      <c r="A2022" s="19" t="s">
        <v>6307</v>
      </c>
      <c r="B2022" s="19" t="s">
        <v>943</v>
      </c>
      <c r="C2022" s="19" t="s">
        <v>944</v>
      </c>
      <c r="D2022" s="19" t="s">
        <v>148</v>
      </c>
      <c r="E2022" s="19" t="s">
        <v>147</v>
      </c>
      <c r="F2022" s="19" t="s">
        <v>151</v>
      </c>
      <c r="G2022" s="19" t="n">
        <v>245</v>
      </c>
      <c r="H2022" s="19" t="s">
        <v>152</v>
      </c>
      <c r="I2022" s="20" t="n">
        <v>14.321</v>
      </c>
      <c r="J2022" s="19" t="n">
        <f aca="false">IF(I2022="","",MIN(Overview!$B$8,MAX(1,CEILING(I2022/Overview!$B$7,1))))</f>
        <v>3</v>
      </c>
      <c r="K2022" s="19" t="n">
        <v>1</v>
      </c>
      <c r="L2022" s="19"/>
      <c r="M2022" s="20" t="n">
        <v>5</v>
      </c>
      <c r="N2022" s="19"/>
      <c r="O2022" s="19"/>
      <c r="P2022" s="19" t="s">
        <v>3219</v>
      </c>
      <c r="Q2022" s="19" t="s">
        <v>1086</v>
      </c>
      <c r="R2022" s="21" t="n">
        <v>45296</v>
      </c>
      <c r="S2022" s="19" t="s">
        <v>2319</v>
      </c>
      <c r="T2022" s="19" t="s">
        <v>6308</v>
      </c>
      <c r="U2022" s="19" t="str">
        <f aca="false">HYPERLINK("https://macaulaylibrary.org/asset/614019893","Open")</f>
        <v>Open</v>
      </c>
      <c r="V2022" s="19"/>
    </row>
    <row r="2023" customFormat="false" ht="15" hidden="false" customHeight="false" outlineLevel="0" collapsed="false">
      <c r="A2023" s="19" t="s">
        <v>6309</v>
      </c>
      <c r="B2023" s="19" t="s">
        <v>943</v>
      </c>
      <c r="C2023" s="19" t="s">
        <v>944</v>
      </c>
      <c r="D2023" s="19" t="s">
        <v>148</v>
      </c>
      <c r="E2023" s="19" t="s">
        <v>147</v>
      </c>
      <c r="F2023" s="19" t="s">
        <v>151</v>
      </c>
      <c r="G2023" s="19" t="n">
        <v>245</v>
      </c>
      <c r="H2023" s="19" t="s">
        <v>152</v>
      </c>
      <c r="I2023" s="20" t="n">
        <v>28.4</v>
      </c>
      <c r="J2023" s="19" t="n">
        <f aca="false">IF(I2023="","",MIN(Overview!$B$8,MAX(1,CEILING(I2023/Overview!$B$7,1))))</f>
        <v>6</v>
      </c>
      <c r="K2023" s="19" t="n">
        <v>1</v>
      </c>
      <c r="L2023" s="19"/>
      <c r="M2023" s="20" t="n">
        <v>4</v>
      </c>
      <c r="N2023" s="19"/>
      <c r="O2023" s="19"/>
      <c r="P2023" s="19" t="s">
        <v>6310</v>
      </c>
      <c r="Q2023" s="19" t="s">
        <v>1086</v>
      </c>
      <c r="R2023" s="21" t="n">
        <v>45296</v>
      </c>
      <c r="S2023" s="19" t="s">
        <v>6311</v>
      </c>
      <c r="T2023" s="19" t="s">
        <v>6312</v>
      </c>
      <c r="U2023" s="19" t="str">
        <f aca="false">HYPERLINK("https://macaulaylibrary.org/asset/614019974","Open")</f>
        <v>Open</v>
      </c>
      <c r="V2023" s="19"/>
    </row>
    <row r="2024" customFormat="false" ht="15" hidden="false" customHeight="false" outlineLevel="0" collapsed="false">
      <c r="A2024" s="19" t="s">
        <v>6313</v>
      </c>
      <c r="B2024" s="19" t="s">
        <v>943</v>
      </c>
      <c r="C2024" s="19" t="s">
        <v>944</v>
      </c>
      <c r="D2024" s="19" t="s">
        <v>148</v>
      </c>
      <c r="E2024" s="19" t="s">
        <v>147</v>
      </c>
      <c r="F2024" s="19" t="s">
        <v>151</v>
      </c>
      <c r="G2024" s="19" t="n">
        <v>245</v>
      </c>
      <c r="H2024" s="19" t="s">
        <v>152</v>
      </c>
      <c r="I2024" s="20" t="n">
        <v>47.89</v>
      </c>
      <c r="J2024" s="19" t="n">
        <f aca="false">IF(I2024="","",MIN(Overview!$B$8,MAX(1,CEILING(I2024/Overview!$B$7,1))))</f>
        <v>10</v>
      </c>
      <c r="K2024" s="19" t="n">
        <v>1</v>
      </c>
      <c r="L2024" s="19"/>
      <c r="M2024" s="20"/>
      <c r="N2024" s="19"/>
      <c r="O2024" s="19"/>
      <c r="P2024" s="19" t="s">
        <v>6314</v>
      </c>
      <c r="Q2024" s="19" t="s">
        <v>1035</v>
      </c>
      <c r="R2024" s="21" t="n">
        <v>45231</v>
      </c>
      <c r="S2024" s="19" t="s">
        <v>1259</v>
      </c>
      <c r="T2024" s="19" t="s">
        <v>6315</v>
      </c>
      <c r="U2024" s="19" t="str">
        <f aca="false">HYPERLINK("https://macaulaylibrary.org/asset/615087541","Open")</f>
        <v>Open</v>
      </c>
      <c r="V2024" s="19" t="s">
        <v>6257</v>
      </c>
    </row>
    <row r="2025" customFormat="false" ht="15" hidden="false" customHeight="false" outlineLevel="0" collapsed="false">
      <c r="A2025" s="19" t="s">
        <v>6316</v>
      </c>
      <c r="B2025" s="19" t="s">
        <v>943</v>
      </c>
      <c r="C2025" s="19" t="s">
        <v>944</v>
      </c>
      <c r="D2025" s="19" t="s">
        <v>148</v>
      </c>
      <c r="E2025" s="19" t="s">
        <v>147</v>
      </c>
      <c r="F2025" s="19" t="s">
        <v>151</v>
      </c>
      <c r="G2025" s="19" t="n">
        <v>245</v>
      </c>
      <c r="H2025" s="19" t="s">
        <v>152</v>
      </c>
      <c r="I2025" s="20" t="n">
        <v>108.238</v>
      </c>
      <c r="J2025" s="19" t="n">
        <f aca="false">IF(I2025="","",MIN(Overview!$B$8,MAX(1,CEILING(I2025/Overview!$B$7,1))))</f>
        <v>22</v>
      </c>
      <c r="K2025" s="19" t="n">
        <v>1</v>
      </c>
      <c r="L2025" s="19"/>
      <c r="M2025" s="20" t="n">
        <v>5</v>
      </c>
      <c r="N2025" s="19"/>
      <c r="O2025" s="19" t="s">
        <v>246</v>
      </c>
      <c r="P2025" s="19" t="s">
        <v>6317</v>
      </c>
      <c r="Q2025" s="19" t="s">
        <v>1191</v>
      </c>
      <c r="R2025" s="21" t="n">
        <v>45369</v>
      </c>
      <c r="S2025" s="19" t="s">
        <v>4609</v>
      </c>
      <c r="T2025" s="19" t="s">
        <v>6318</v>
      </c>
      <c r="U2025" s="19" t="str">
        <f aca="false">HYPERLINK("https://macaulaylibrary.org/asset/616235784","Open")</f>
        <v>Open</v>
      </c>
      <c r="V2025" s="19"/>
    </row>
    <row r="2026" customFormat="false" ht="15" hidden="false" customHeight="false" outlineLevel="0" collapsed="false">
      <c r="A2026" s="19" t="s">
        <v>6319</v>
      </c>
      <c r="B2026" s="19" t="s">
        <v>943</v>
      </c>
      <c r="C2026" s="19" t="s">
        <v>944</v>
      </c>
      <c r="D2026" s="19" t="s">
        <v>148</v>
      </c>
      <c r="E2026" s="19" t="s">
        <v>147</v>
      </c>
      <c r="F2026" s="19" t="s">
        <v>151</v>
      </c>
      <c r="G2026" s="19" t="n">
        <v>245</v>
      </c>
      <c r="H2026" s="19" t="s">
        <v>152</v>
      </c>
      <c r="I2026" s="20" t="n">
        <v>11.678</v>
      </c>
      <c r="J2026" s="19" t="n">
        <f aca="false">IF(I2026="","",MIN(Overview!$B$8,MAX(1,CEILING(I2026/Overview!$B$7,1))))</f>
        <v>3</v>
      </c>
      <c r="K2026" s="19" t="n">
        <v>1</v>
      </c>
      <c r="L2026" s="19"/>
      <c r="M2026" s="20" t="n">
        <v>3</v>
      </c>
      <c r="N2026" s="19"/>
      <c r="O2026" s="19"/>
      <c r="P2026" s="19" t="s">
        <v>6320</v>
      </c>
      <c r="Q2026" s="19" t="s">
        <v>2957</v>
      </c>
      <c r="R2026" s="21" t="n">
        <v>45296</v>
      </c>
      <c r="S2026" s="19" t="s">
        <v>6311</v>
      </c>
      <c r="T2026" s="19" t="s">
        <v>6321</v>
      </c>
      <c r="U2026" s="19" t="str">
        <f aca="false">HYPERLINK("https://macaulaylibrary.org/asset/619567891","Open")</f>
        <v>Open</v>
      </c>
      <c r="V2026" s="19"/>
    </row>
    <row r="2027" customFormat="false" ht="15" hidden="false" customHeight="false" outlineLevel="0" collapsed="false">
      <c r="A2027" s="19" t="s">
        <v>6322</v>
      </c>
      <c r="B2027" s="19" t="s">
        <v>943</v>
      </c>
      <c r="C2027" s="19" t="s">
        <v>944</v>
      </c>
      <c r="D2027" s="19" t="s">
        <v>148</v>
      </c>
      <c r="E2027" s="19" t="s">
        <v>147</v>
      </c>
      <c r="F2027" s="19" t="s">
        <v>151</v>
      </c>
      <c r="G2027" s="19" t="n">
        <v>245</v>
      </c>
      <c r="H2027" s="19" t="s">
        <v>152</v>
      </c>
      <c r="I2027" s="20" t="n">
        <v>7</v>
      </c>
      <c r="J2027" s="19" t="n">
        <f aca="false">IF(I2027="","",MIN(Overview!$B$8,MAX(1,CEILING(I2027/Overview!$B$7,1))))</f>
        <v>2</v>
      </c>
      <c r="K2027" s="19" t="n">
        <v>1</v>
      </c>
      <c r="L2027" s="19"/>
      <c r="M2027" s="20" t="n">
        <v>4</v>
      </c>
      <c r="N2027" s="19"/>
      <c r="O2027" s="19"/>
      <c r="P2027" s="19" t="s">
        <v>6323</v>
      </c>
      <c r="Q2027" s="19" t="s">
        <v>2408</v>
      </c>
      <c r="R2027" s="21" t="n">
        <v>45253</v>
      </c>
      <c r="S2027" s="19" t="s">
        <v>3067</v>
      </c>
      <c r="T2027" s="19" t="s">
        <v>6324</v>
      </c>
      <c r="U2027" s="19" t="str">
        <f aca="false">HYPERLINK("https://macaulaylibrary.org/asset/619786334","Open")</f>
        <v>Open</v>
      </c>
      <c r="V2027" s="19"/>
    </row>
    <row r="2028" customFormat="false" ht="15" hidden="false" customHeight="false" outlineLevel="0" collapsed="false">
      <c r="A2028" s="19" t="s">
        <v>6325</v>
      </c>
      <c r="B2028" s="19" t="s">
        <v>943</v>
      </c>
      <c r="C2028" s="19" t="s">
        <v>944</v>
      </c>
      <c r="D2028" s="19" t="s">
        <v>148</v>
      </c>
      <c r="E2028" s="19" t="s">
        <v>147</v>
      </c>
      <c r="F2028" s="19" t="s">
        <v>151</v>
      </c>
      <c r="G2028" s="19" t="n">
        <v>245</v>
      </c>
      <c r="H2028" s="19" t="s">
        <v>152</v>
      </c>
      <c r="I2028" s="20" t="n">
        <v>17.776</v>
      </c>
      <c r="J2028" s="19" t="n">
        <f aca="false">IF(I2028="","",MIN(Overview!$B$8,MAX(1,CEILING(I2028/Overview!$B$7,1))))</f>
        <v>4</v>
      </c>
      <c r="K2028" s="19" t="n">
        <v>1</v>
      </c>
      <c r="L2028" s="19"/>
      <c r="M2028" s="20"/>
      <c r="N2028" s="19"/>
      <c r="O2028" s="19"/>
      <c r="P2028" s="19" t="s">
        <v>3615</v>
      </c>
      <c r="Q2028" s="19" t="s">
        <v>3616</v>
      </c>
      <c r="R2028" s="21" t="n">
        <v>45455</v>
      </c>
      <c r="S2028" s="19" t="s">
        <v>3617</v>
      </c>
      <c r="T2028" s="19" t="s">
        <v>6326</v>
      </c>
      <c r="U2028" s="19" t="str">
        <f aca="false">HYPERLINK("https://macaulaylibrary.org/asset/620357363","Open")</f>
        <v>Open</v>
      </c>
      <c r="V2028" s="19"/>
    </row>
    <row r="2029" customFormat="false" ht="15" hidden="false" customHeight="false" outlineLevel="0" collapsed="false">
      <c r="A2029" s="19" t="s">
        <v>6327</v>
      </c>
      <c r="B2029" s="19" t="s">
        <v>943</v>
      </c>
      <c r="C2029" s="19" t="s">
        <v>944</v>
      </c>
      <c r="D2029" s="19" t="s">
        <v>148</v>
      </c>
      <c r="E2029" s="19" t="s">
        <v>147</v>
      </c>
      <c r="F2029" s="19" t="s">
        <v>151</v>
      </c>
      <c r="G2029" s="19" t="n">
        <v>245</v>
      </c>
      <c r="H2029" s="19" t="s">
        <v>152</v>
      </c>
      <c r="I2029" s="20" t="n">
        <v>20.194</v>
      </c>
      <c r="J2029" s="19" t="n">
        <f aca="false">IF(I2029="","",MIN(Overview!$B$8,MAX(1,CEILING(I2029/Overview!$B$7,1))))</f>
        <v>5</v>
      </c>
      <c r="K2029" s="19" t="n">
        <v>1</v>
      </c>
      <c r="L2029" s="19"/>
      <c r="M2029" s="20"/>
      <c r="N2029" s="19"/>
      <c r="O2029" s="19"/>
      <c r="P2029" s="19" t="s">
        <v>1467</v>
      </c>
      <c r="Q2029" s="19" t="s">
        <v>1258</v>
      </c>
      <c r="R2029" s="21" t="n">
        <v>45230</v>
      </c>
      <c r="S2029" s="19" t="s">
        <v>1306</v>
      </c>
      <c r="T2029" s="19" t="s">
        <v>6328</v>
      </c>
      <c r="U2029" s="19" t="str">
        <f aca="false">HYPERLINK("https://macaulaylibrary.org/asset/621759500","Open")</f>
        <v>Open</v>
      </c>
      <c r="V2029" s="19" t="s">
        <v>6257</v>
      </c>
    </row>
    <row r="2030" customFormat="false" ht="15" hidden="false" customHeight="false" outlineLevel="0" collapsed="false">
      <c r="A2030" s="19" t="s">
        <v>6329</v>
      </c>
      <c r="B2030" s="19" t="s">
        <v>943</v>
      </c>
      <c r="C2030" s="19" t="s">
        <v>944</v>
      </c>
      <c r="D2030" s="19" t="s">
        <v>148</v>
      </c>
      <c r="E2030" s="19" t="s">
        <v>147</v>
      </c>
      <c r="F2030" s="19" t="s">
        <v>151</v>
      </c>
      <c r="G2030" s="19" t="n">
        <v>245</v>
      </c>
      <c r="H2030" s="19" t="s">
        <v>152</v>
      </c>
      <c r="I2030" s="20" t="n">
        <v>48.611</v>
      </c>
      <c r="J2030" s="19" t="n">
        <f aca="false">IF(I2030="","",MIN(Overview!$B$8,MAX(1,CEILING(I2030/Overview!$B$7,1))))</f>
        <v>10</v>
      </c>
      <c r="K2030" s="19" t="n">
        <v>1</v>
      </c>
      <c r="L2030" s="19"/>
      <c r="M2030" s="20"/>
      <c r="N2030" s="19"/>
      <c r="O2030" s="19"/>
      <c r="P2030" s="19" t="s">
        <v>1467</v>
      </c>
      <c r="Q2030" s="19" t="s">
        <v>1258</v>
      </c>
      <c r="R2030" s="21" t="n">
        <v>45230</v>
      </c>
      <c r="S2030" s="19" t="s">
        <v>1306</v>
      </c>
      <c r="T2030" s="19" t="s">
        <v>6330</v>
      </c>
      <c r="U2030" s="19" t="str">
        <f aca="false">HYPERLINK("https://macaulaylibrary.org/asset/621760029","Open")</f>
        <v>Open</v>
      </c>
      <c r="V2030" s="19" t="s">
        <v>6257</v>
      </c>
    </row>
    <row r="2031" customFormat="false" ht="15" hidden="false" customHeight="false" outlineLevel="0" collapsed="false">
      <c r="A2031" s="19" t="s">
        <v>6331</v>
      </c>
      <c r="B2031" s="19" t="s">
        <v>943</v>
      </c>
      <c r="C2031" s="19" t="s">
        <v>944</v>
      </c>
      <c r="D2031" s="19" t="s">
        <v>148</v>
      </c>
      <c r="E2031" s="19" t="s">
        <v>147</v>
      </c>
      <c r="F2031" s="19" t="s">
        <v>151</v>
      </c>
      <c r="G2031" s="19" t="n">
        <v>245</v>
      </c>
      <c r="H2031" s="19" t="s">
        <v>152</v>
      </c>
      <c r="I2031" s="20" t="n">
        <v>65</v>
      </c>
      <c r="J2031" s="19" t="n">
        <f aca="false">IF(I2031="","",MIN(Overview!$B$8,MAX(1,CEILING(I2031/Overview!$B$7,1))))</f>
        <v>13</v>
      </c>
      <c r="K2031" s="19" t="n">
        <v>1</v>
      </c>
      <c r="L2031" s="19"/>
      <c r="M2031" s="20"/>
      <c r="N2031" s="19"/>
      <c r="O2031" s="19"/>
      <c r="P2031" s="19" t="s">
        <v>2532</v>
      </c>
      <c r="Q2031" s="19" t="s">
        <v>1258</v>
      </c>
      <c r="R2031" s="21" t="n">
        <v>45232</v>
      </c>
      <c r="S2031" s="19" t="s">
        <v>2533</v>
      </c>
      <c r="T2031" s="19" t="s">
        <v>6332</v>
      </c>
      <c r="U2031" s="19" t="str">
        <f aca="false">HYPERLINK("https://macaulaylibrary.org/asset/621760382","Open")</f>
        <v>Open</v>
      </c>
      <c r="V2031" s="19" t="s">
        <v>6257</v>
      </c>
    </row>
    <row r="2032" customFormat="false" ht="15" hidden="false" customHeight="false" outlineLevel="0" collapsed="false">
      <c r="A2032" s="19" t="s">
        <v>6333</v>
      </c>
      <c r="B2032" s="19" t="s">
        <v>943</v>
      </c>
      <c r="C2032" s="19" t="s">
        <v>944</v>
      </c>
      <c r="D2032" s="19" t="s">
        <v>148</v>
      </c>
      <c r="E2032" s="19" t="s">
        <v>147</v>
      </c>
      <c r="F2032" s="19" t="s">
        <v>151</v>
      </c>
      <c r="G2032" s="19" t="n">
        <v>245</v>
      </c>
      <c r="H2032" s="19" t="s">
        <v>152</v>
      </c>
      <c r="I2032" s="20" t="n">
        <v>12.289</v>
      </c>
      <c r="J2032" s="19" t="n">
        <f aca="false">IF(I2032="","",MIN(Overview!$B$8,MAX(1,CEILING(I2032/Overview!$B$7,1))))</f>
        <v>3</v>
      </c>
      <c r="K2032" s="19" t="n">
        <v>1</v>
      </c>
      <c r="L2032" s="19"/>
      <c r="M2032" s="20" t="n">
        <v>3</v>
      </c>
      <c r="N2032" s="19"/>
      <c r="O2032" s="19"/>
      <c r="P2032" s="19" t="s">
        <v>1367</v>
      </c>
      <c r="Q2032" s="19" t="s">
        <v>1368</v>
      </c>
      <c r="R2032" s="21" t="n">
        <v>45488</v>
      </c>
      <c r="S2032" s="19" t="s">
        <v>1369</v>
      </c>
      <c r="T2032" s="19" t="s">
        <v>6334</v>
      </c>
      <c r="U2032" s="19" t="str">
        <f aca="false">HYPERLINK("https://macaulaylibrary.org/asset/622575671","Open")</f>
        <v>Open</v>
      </c>
      <c r="V2032" s="19"/>
    </row>
    <row r="2033" customFormat="false" ht="15" hidden="false" customHeight="false" outlineLevel="0" collapsed="false">
      <c r="A2033" s="19" t="s">
        <v>6335</v>
      </c>
      <c r="B2033" s="19" t="s">
        <v>943</v>
      </c>
      <c r="C2033" s="19" t="s">
        <v>944</v>
      </c>
      <c r="D2033" s="19" t="s">
        <v>148</v>
      </c>
      <c r="E2033" s="19" t="s">
        <v>147</v>
      </c>
      <c r="F2033" s="19" t="s">
        <v>151</v>
      </c>
      <c r="G2033" s="19" t="n">
        <v>245</v>
      </c>
      <c r="H2033" s="19" t="s">
        <v>152</v>
      </c>
      <c r="I2033" s="20" t="n">
        <v>20.016</v>
      </c>
      <c r="J2033" s="19" t="n">
        <f aca="false">IF(I2033="","",MIN(Overview!$B$8,MAX(1,CEILING(I2033/Overview!$B$7,1))))</f>
        <v>5</v>
      </c>
      <c r="K2033" s="19" t="n">
        <v>1</v>
      </c>
      <c r="L2033" s="19"/>
      <c r="M2033" s="20" t="n">
        <v>5</v>
      </c>
      <c r="N2033" s="19"/>
      <c r="O2033" s="19"/>
      <c r="P2033" s="19" t="s">
        <v>6336</v>
      </c>
      <c r="Q2033" s="19" t="s">
        <v>6337</v>
      </c>
      <c r="R2033" s="21" t="n">
        <v>45505</v>
      </c>
      <c r="S2033" s="19" t="s">
        <v>4259</v>
      </c>
      <c r="T2033" s="19" t="s">
        <v>6338</v>
      </c>
      <c r="U2033" s="19" t="str">
        <f aca="false">HYPERLINK("https://macaulaylibrary.org/asset/623123833","Open")</f>
        <v>Open</v>
      </c>
      <c r="V2033" s="19"/>
    </row>
    <row r="2034" customFormat="false" ht="15" hidden="false" customHeight="false" outlineLevel="0" collapsed="false">
      <c r="A2034" s="19" t="s">
        <v>6339</v>
      </c>
      <c r="B2034" s="19" t="s">
        <v>943</v>
      </c>
      <c r="C2034" s="19" t="s">
        <v>944</v>
      </c>
      <c r="D2034" s="19" t="s">
        <v>148</v>
      </c>
      <c r="E2034" s="19" t="s">
        <v>147</v>
      </c>
      <c r="F2034" s="19" t="s">
        <v>151</v>
      </c>
      <c r="G2034" s="19" t="n">
        <v>245</v>
      </c>
      <c r="H2034" s="19" t="s">
        <v>152</v>
      </c>
      <c r="I2034" s="20" t="n">
        <v>76.471</v>
      </c>
      <c r="J2034" s="19" t="n">
        <f aca="false">IF(I2034="","",MIN(Overview!$B$8,MAX(1,CEILING(I2034/Overview!$B$7,1))))</f>
        <v>16</v>
      </c>
      <c r="K2034" s="19" t="n">
        <v>1</v>
      </c>
      <c r="L2034" s="19"/>
      <c r="M2034" s="20" t="n">
        <v>4</v>
      </c>
      <c r="N2034" s="19"/>
      <c r="O2034" s="19"/>
      <c r="P2034" s="19" t="s">
        <v>1367</v>
      </c>
      <c r="Q2034" s="19" t="s">
        <v>1368</v>
      </c>
      <c r="R2034" s="21" t="n">
        <v>45488</v>
      </c>
      <c r="S2034" s="19" t="s">
        <v>1369</v>
      </c>
      <c r="T2034" s="19" t="s">
        <v>6340</v>
      </c>
      <c r="U2034" s="19" t="str">
        <f aca="false">HYPERLINK("https://macaulaylibrary.org/asset/624890275","Open")</f>
        <v>Open</v>
      </c>
      <c r="V2034" s="19"/>
    </row>
    <row r="2035" customFormat="false" ht="15" hidden="false" customHeight="false" outlineLevel="0" collapsed="false">
      <c r="A2035" s="19" t="s">
        <v>6341</v>
      </c>
      <c r="B2035" s="19" t="s">
        <v>943</v>
      </c>
      <c r="C2035" s="19" t="s">
        <v>944</v>
      </c>
      <c r="D2035" s="19" t="s">
        <v>148</v>
      </c>
      <c r="E2035" s="19" t="s">
        <v>147</v>
      </c>
      <c r="F2035" s="19" t="s">
        <v>151</v>
      </c>
      <c r="G2035" s="19" t="n">
        <v>245</v>
      </c>
      <c r="H2035" s="19" t="s">
        <v>152</v>
      </c>
      <c r="I2035" s="20" t="n">
        <v>112.299</v>
      </c>
      <c r="J2035" s="19" t="n">
        <f aca="false">IF(I2035="","",MIN(Overview!$B$8,MAX(1,CEILING(I2035/Overview!$B$7,1))))</f>
        <v>23</v>
      </c>
      <c r="K2035" s="19" t="n">
        <v>1</v>
      </c>
      <c r="L2035" s="19"/>
      <c r="M2035" s="20" t="n">
        <v>4</v>
      </c>
      <c r="N2035" s="19"/>
      <c r="O2035" s="19"/>
      <c r="P2035" s="19" t="s">
        <v>1367</v>
      </c>
      <c r="Q2035" s="19" t="s">
        <v>1368</v>
      </c>
      <c r="R2035" s="21" t="n">
        <v>45488</v>
      </c>
      <c r="S2035" s="19" t="s">
        <v>1369</v>
      </c>
      <c r="T2035" s="19" t="s">
        <v>6342</v>
      </c>
      <c r="U2035" s="19" t="str">
        <f aca="false">HYPERLINK("https://macaulaylibrary.org/asset/624890598","Open")</f>
        <v>Open</v>
      </c>
      <c r="V2035" s="19"/>
    </row>
    <row r="2036" customFormat="false" ht="15" hidden="false" customHeight="false" outlineLevel="0" collapsed="false">
      <c r="A2036" s="19" t="s">
        <v>6343</v>
      </c>
      <c r="B2036" s="19" t="s">
        <v>943</v>
      </c>
      <c r="C2036" s="19" t="s">
        <v>944</v>
      </c>
      <c r="D2036" s="19" t="s">
        <v>148</v>
      </c>
      <c r="E2036" s="19" t="s">
        <v>147</v>
      </c>
      <c r="F2036" s="19" t="s">
        <v>151</v>
      </c>
      <c r="G2036" s="19" t="n">
        <v>245</v>
      </c>
      <c r="H2036" s="19" t="s">
        <v>152</v>
      </c>
      <c r="I2036" s="20" t="n">
        <v>318.803</v>
      </c>
      <c r="J2036" s="19" t="n">
        <f aca="false">IF(I2036="","",MIN(Overview!$B$8,MAX(1,CEILING(I2036/Overview!$B$7,1))))</f>
        <v>64</v>
      </c>
      <c r="K2036" s="19" t="n">
        <v>1</v>
      </c>
      <c r="L2036" s="19"/>
      <c r="M2036" s="20" t="n">
        <v>5</v>
      </c>
      <c r="N2036" s="19"/>
      <c r="O2036" s="19"/>
      <c r="P2036" s="19" t="s">
        <v>1367</v>
      </c>
      <c r="Q2036" s="19" t="s">
        <v>1368</v>
      </c>
      <c r="R2036" s="21" t="n">
        <v>45488</v>
      </c>
      <c r="S2036" s="19" t="s">
        <v>1369</v>
      </c>
      <c r="T2036" s="19" t="s">
        <v>6344</v>
      </c>
      <c r="U2036" s="19" t="str">
        <f aca="false">HYPERLINK("https://macaulaylibrary.org/asset/624891261","Open")</f>
        <v>Open</v>
      </c>
      <c r="V2036" s="19"/>
    </row>
    <row r="2037" customFormat="false" ht="15" hidden="false" customHeight="false" outlineLevel="0" collapsed="false">
      <c r="A2037" s="19" t="s">
        <v>6345</v>
      </c>
      <c r="B2037" s="19" t="s">
        <v>943</v>
      </c>
      <c r="C2037" s="19" t="s">
        <v>944</v>
      </c>
      <c r="D2037" s="19" t="s">
        <v>148</v>
      </c>
      <c r="E2037" s="19" t="s">
        <v>147</v>
      </c>
      <c r="F2037" s="19" t="s">
        <v>151</v>
      </c>
      <c r="G2037" s="19" t="n">
        <v>245</v>
      </c>
      <c r="H2037" s="19" t="s">
        <v>152</v>
      </c>
      <c r="I2037" s="20" t="n">
        <v>6.903</v>
      </c>
      <c r="J2037" s="19" t="n">
        <f aca="false">IF(I2037="","",MIN(Overview!$B$8,MAX(1,CEILING(I2037/Overview!$B$7,1))))</f>
        <v>2</v>
      </c>
      <c r="K2037" s="19" t="n">
        <v>1</v>
      </c>
      <c r="L2037" s="19"/>
      <c r="M2037" s="20"/>
      <c r="N2037" s="19"/>
      <c r="O2037" s="19"/>
      <c r="P2037" s="19" t="s">
        <v>1477</v>
      </c>
      <c r="Q2037" s="19" t="s">
        <v>1478</v>
      </c>
      <c r="R2037" s="21" t="n">
        <v>45715</v>
      </c>
      <c r="S2037" s="19" t="s">
        <v>1479</v>
      </c>
      <c r="T2037" s="19" t="s">
        <v>6346</v>
      </c>
      <c r="U2037" s="19" t="str">
        <f aca="false">HYPERLINK("https://macaulaylibrary.org/asset/632692579","Open")</f>
        <v>Open</v>
      </c>
      <c r="V2037" s="19"/>
    </row>
    <row r="2038" customFormat="false" ht="15" hidden="false" customHeight="false" outlineLevel="0" collapsed="false">
      <c r="A2038" s="19" t="s">
        <v>6347</v>
      </c>
      <c r="B2038" s="19" t="s">
        <v>943</v>
      </c>
      <c r="C2038" s="19" t="s">
        <v>944</v>
      </c>
      <c r="D2038" s="19" t="s">
        <v>148</v>
      </c>
      <c r="E2038" s="19" t="s">
        <v>147</v>
      </c>
      <c r="F2038" s="19" t="s">
        <v>151</v>
      </c>
      <c r="G2038" s="19" t="n">
        <v>245</v>
      </c>
      <c r="H2038" s="19" t="s">
        <v>152</v>
      </c>
      <c r="I2038" s="20" t="n">
        <v>12.542</v>
      </c>
      <c r="J2038" s="19" t="n">
        <f aca="false">IF(I2038="","",MIN(Overview!$B$8,MAX(1,CEILING(I2038/Overview!$B$7,1))))</f>
        <v>3</v>
      </c>
      <c r="K2038" s="19" t="n">
        <v>1</v>
      </c>
      <c r="L2038" s="19"/>
      <c r="M2038" s="20"/>
      <c r="N2038" s="19"/>
      <c r="O2038" s="19"/>
      <c r="P2038" s="19" t="s">
        <v>1477</v>
      </c>
      <c r="Q2038" s="19" t="s">
        <v>1478</v>
      </c>
      <c r="R2038" s="21" t="n">
        <v>45715</v>
      </c>
      <c r="S2038" s="19" t="s">
        <v>1479</v>
      </c>
      <c r="T2038" s="19" t="s">
        <v>6348</v>
      </c>
      <c r="U2038" s="19" t="str">
        <f aca="false">HYPERLINK("https://macaulaylibrary.org/asset/632692611","Open")</f>
        <v>Open</v>
      </c>
      <c r="V2038" s="19"/>
    </row>
    <row r="2039" customFormat="false" ht="15" hidden="false" customHeight="false" outlineLevel="0" collapsed="false">
      <c r="A2039" s="19" t="s">
        <v>6349</v>
      </c>
      <c r="B2039" s="19" t="s">
        <v>943</v>
      </c>
      <c r="C2039" s="19" t="s">
        <v>944</v>
      </c>
      <c r="D2039" s="19" t="s">
        <v>148</v>
      </c>
      <c r="E2039" s="19" t="s">
        <v>147</v>
      </c>
      <c r="F2039" s="19" t="s">
        <v>151</v>
      </c>
      <c r="G2039" s="19" t="n">
        <v>245</v>
      </c>
      <c r="H2039" s="19" t="s">
        <v>152</v>
      </c>
      <c r="I2039" s="20" t="n">
        <v>11.069</v>
      </c>
      <c r="J2039" s="19" t="n">
        <f aca="false">IF(I2039="","",MIN(Overview!$B$8,MAX(1,CEILING(I2039/Overview!$B$7,1))))</f>
        <v>3</v>
      </c>
      <c r="K2039" s="19" t="n">
        <v>1</v>
      </c>
      <c r="L2039" s="19"/>
      <c r="M2039" s="20"/>
      <c r="N2039" s="19"/>
      <c r="O2039" s="19"/>
      <c r="P2039" s="19" t="s">
        <v>1477</v>
      </c>
      <c r="Q2039" s="19" t="s">
        <v>1478</v>
      </c>
      <c r="R2039" s="21" t="n">
        <v>45715</v>
      </c>
      <c r="S2039" s="19" t="s">
        <v>1479</v>
      </c>
      <c r="T2039" s="19" t="s">
        <v>6350</v>
      </c>
      <c r="U2039" s="19" t="str">
        <f aca="false">HYPERLINK("https://macaulaylibrary.org/asset/632692637","Open")</f>
        <v>Open</v>
      </c>
      <c r="V2039" s="19"/>
    </row>
    <row r="2040" customFormat="false" ht="15" hidden="false" customHeight="false" outlineLevel="0" collapsed="false">
      <c r="A2040" s="19" t="s">
        <v>6351</v>
      </c>
      <c r="B2040" s="19" t="s">
        <v>943</v>
      </c>
      <c r="C2040" s="19" t="s">
        <v>944</v>
      </c>
      <c r="D2040" s="19" t="s">
        <v>148</v>
      </c>
      <c r="E2040" s="19" t="s">
        <v>147</v>
      </c>
      <c r="F2040" s="19" t="s">
        <v>151</v>
      </c>
      <c r="G2040" s="19" t="n">
        <v>245</v>
      </c>
      <c r="H2040" s="19" t="s">
        <v>152</v>
      </c>
      <c r="I2040" s="20" t="n">
        <v>52.081</v>
      </c>
      <c r="J2040" s="19" t="n">
        <f aca="false">IF(I2040="","",MIN(Overview!$B$8,MAX(1,CEILING(I2040/Overview!$B$7,1))))</f>
        <v>11</v>
      </c>
      <c r="K2040" s="19" t="n">
        <v>1</v>
      </c>
      <c r="L2040" s="19"/>
      <c r="M2040" s="20"/>
      <c r="N2040" s="19"/>
      <c r="O2040" s="19"/>
      <c r="P2040" s="19" t="s">
        <v>2443</v>
      </c>
      <c r="Q2040" s="19" t="s">
        <v>1091</v>
      </c>
      <c r="R2040" s="21" t="n">
        <v>45843</v>
      </c>
      <c r="S2040" s="19" t="s">
        <v>2444</v>
      </c>
      <c r="T2040" s="19" t="s">
        <v>6352</v>
      </c>
      <c r="U2040" s="19" t="str">
        <f aca="false">HYPERLINK("https://macaulaylibrary.org/asset/639170713","Open")</f>
        <v>Open</v>
      </c>
      <c r="V2040" s="19"/>
    </row>
    <row r="2041" customFormat="false" ht="15" hidden="false" customHeight="false" outlineLevel="0" collapsed="false">
      <c r="A2041" s="19" t="s">
        <v>6353</v>
      </c>
      <c r="B2041" s="19" t="s">
        <v>943</v>
      </c>
      <c r="C2041" s="19" t="s">
        <v>944</v>
      </c>
      <c r="D2041" s="19" t="s">
        <v>148</v>
      </c>
      <c r="E2041" s="19" t="s">
        <v>147</v>
      </c>
      <c r="F2041" s="19" t="s">
        <v>151</v>
      </c>
      <c r="G2041" s="19" t="n">
        <v>245</v>
      </c>
      <c r="H2041" s="19" t="s">
        <v>152</v>
      </c>
      <c r="I2041" s="20" t="n">
        <v>26.075</v>
      </c>
      <c r="J2041" s="19" t="n">
        <f aca="false">IF(I2041="","",MIN(Overview!$B$8,MAX(1,CEILING(I2041/Overview!$B$7,1))))</f>
        <v>6</v>
      </c>
      <c r="K2041" s="19" t="n">
        <v>1</v>
      </c>
      <c r="L2041" s="19"/>
      <c r="M2041" s="20" t="n">
        <v>1</v>
      </c>
      <c r="N2041" s="19"/>
      <c r="O2041" s="19"/>
      <c r="P2041" s="19" t="s">
        <v>2443</v>
      </c>
      <c r="Q2041" s="19" t="s">
        <v>1091</v>
      </c>
      <c r="R2041" s="21" t="n">
        <v>45843</v>
      </c>
      <c r="S2041" s="19" t="s">
        <v>2444</v>
      </c>
      <c r="T2041" s="19" t="s">
        <v>6354</v>
      </c>
      <c r="U2041" s="19" t="str">
        <f aca="false">HYPERLINK("https://macaulaylibrary.org/asset/639170782","Open")</f>
        <v>Open</v>
      </c>
      <c r="V2041" s="19"/>
    </row>
    <row r="2042" customFormat="false" ht="15" hidden="false" customHeight="false" outlineLevel="0" collapsed="false">
      <c r="A2042" s="19" t="s">
        <v>6355</v>
      </c>
      <c r="B2042" s="19" t="s">
        <v>943</v>
      </c>
      <c r="C2042" s="19" t="s">
        <v>944</v>
      </c>
      <c r="D2042" s="19" t="s">
        <v>148</v>
      </c>
      <c r="E2042" s="19" t="s">
        <v>147</v>
      </c>
      <c r="F2042" s="19" t="s">
        <v>151</v>
      </c>
      <c r="G2042" s="19" t="n">
        <v>245</v>
      </c>
      <c r="H2042" s="19" t="s">
        <v>152</v>
      </c>
      <c r="I2042" s="20" t="n">
        <v>53.288</v>
      </c>
      <c r="J2042" s="19" t="n">
        <f aca="false">IF(I2042="","",MIN(Overview!$B$8,MAX(1,CEILING(I2042/Overview!$B$7,1))))</f>
        <v>11</v>
      </c>
      <c r="K2042" s="19" t="n">
        <v>1</v>
      </c>
      <c r="L2042" s="19"/>
      <c r="M2042" s="20" t="n">
        <v>3</v>
      </c>
      <c r="N2042" s="19"/>
      <c r="O2042" s="19"/>
      <c r="P2042" s="19" t="s">
        <v>1674</v>
      </c>
      <c r="Q2042" s="19" t="s">
        <v>1091</v>
      </c>
      <c r="R2042" s="21" t="n">
        <v>45843</v>
      </c>
      <c r="S2042" s="19" t="s">
        <v>1009</v>
      </c>
      <c r="T2042" s="19" t="s">
        <v>6356</v>
      </c>
      <c r="U2042" s="19" t="str">
        <f aca="false">HYPERLINK("https://macaulaylibrary.org/asset/639171136","Open")</f>
        <v>Open</v>
      </c>
      <c r="V2042" s="19"/>
    </row>
    <row r="2043" customFormat="false" ht="15" hidden="false" customHeight="false" outlineLevel="0" collapsed="false">
      <c r="A2043" s="19" t="s">
        <v>6357</v>
      </c>
      <c r="B2043" s="19" t="s">
        <v>943</v>
      </c>
      <c r="C2043" s="19" t="s">
        <v>944</v>
      </c>
      <c r="D2043" s="19" t="s">
        <v>148</v>
      </c>
      <c r="E2043" s="19" t="s">
        <v>147</v>
      </c>
      <c r="F2043" s="19" t="s">
        <v>151</v>
      </c>
      <c r="G2043" s="19" t="n">
        <v>245</v>
      </c>
      <c r="H2043" s="19" t="s">
        <v>152</v>
      </c>
      <c r="I2043" s="20" t="n">
        <v>14.95</v>
      </c>
      <c r="J2043" s="19" t="n">
        <f aca="false">IF(I2043="","",MIN(Overview!$B$8,MAX(1,CEILING(I2043/Overview!$B$7,1))))</f>
        <v>3</v>
      </c>
      <c r="K2043" s="19" t="n">
        <v>1</v>
      </c>
      <c r="L2043" s="19"/>
      <c r="M2043" s="20" t="n">
        <v>2</v>
      </c>
      <c r="N2043" s="19"/>
      <c r="O2043" s="19"/>
      <c r="P2043" s="19" t="s">
        <v>1482</v>
      </c>
      <c r="Q2043" s="19" t="s">
        <v>1483</v>
      </c>
      <c r="R2043" s="21" t="n">
        <v>45293</v>
      </c>
      <c r="S2043" s="19" t="s">
        <v>1484</v>
      </c>
      <c r="T2043" s="19" t="s">
        <v>6358</v>
      </c>
      <c r="U2043" s="19" t="str">
        <f aca="false">HYPERLINK("https://macaulaylibrary.org/asset/639219057","Open")</f>
        <v>Open</v>
      </c>
      <c r="V2043" s="19"/>
    </row>
    <row r="2044" customFormat="false" ht="15" hidden="false" customHeight="false" outlineLevel="0" collapsed="false">
      <c r="A2044" s="19" t="s">
        <v>6359</v>
      </c>
      <c r="B2044" s="19" t="s">
        <v>943</v>
      </c>
      <c r="C2044" s="19" t="s">
        <v>944</v>
      </c>
      <c r="D2044" s="19" t="s">
        <v>148</v>
      </c>
      <c r="E2044" s="19" t="s">
        <v>147</v>
      </c>
      <c r="F2044" s="19" t="s">
        <v>151</v>
      </c>
      <c r="G2044" s="19" t="n">
        <v>245</v>
      </c>
      <c r="H2044" s="19" t="s">
        <v>152</v>
      </c>
      <c r="I2044" s="20" t="n">
        <v>17.319</v>
      </c>
      <c r="J2044" s="19" t="n">
        <f aca="false">IF(I2044="","",MIN(Overview!$B$8,MAX(1,CEILING(I2044/Overview!$B$7,1))))</f>
        <v>4</v>
      </c>
      <c r="K2044" s="19" t="n">
        <v>1</v>
      </c>
      <c r="L2044" s="19"/>
      <c r="M2044" s="20"/>
      <c r="N2044" s="19"/>
      <c r="O2044" s="19"/>
      <c r="P2044" s="19" t="s">
        <v>6360</v>
      </c>
      <c r="Q2044" s="19" t="s">
        <v>1488</v>
      </c>
      <c r="R2044" s="21" t="n">
        <v>42378</v>
      </c>
      <c r="S2044" s="19" t="s">
        <v>1884</v>
      </c>
      <c r="T2044" s="19" t="s">
        <v>6361</v>
      </c>
      <c r="U2044" s="19" t="str">
        <f aca="false">HYPERLINK("https://macaulaylibrary.org/asset/642373433","Open")</f>
        <v>Open</v>
      </c>
      <c r="V2044" s="19"/>
    </row>
    <row r="2045" customFormat="false" ht="15" hidden="false" customHeight="false" outlineLevel="0" collapsed="false">
      <c r="A2045" s="19" t="s">
        <v>6362</v>
      </c>
      <c r="B2045" s="19" t="s">
        <v>943</v>
      </c>
      <c r="C2045" s="19" t="s">
        <v>944</v>
      </c>
      <c r="D2045" s="19" t="s">
        <v>148</v>
      </c>
      <c r="E2045" s="19" t="s">
        <v>147</v>
      </c>
      <c r="F2045" s="19" t="s">
        <v>151</v>
      </c>
      <c r="G2045" s="19" t="n">
        <v>245</v>
      </c>
      <c r="H2045" s="19" t="s">
        <v>152</v>
      </c>
      <c r="I2045" s="20" t="n">
        <v>87.189</v>
      </c>
      <c r="J2045" s="19" t="n">
        <f aca="false">IF(I2045="","",MIN(Overview!$B$8,MAX(1,CEILING(I2045/Overview!$B$7,1))))</f>
        <v>18</v>
      </c>
      <c r="K2045" s="19" t="n">
        <v>1</v>
      </c>
      <c r="L2045" s="19"/>
      <c r="M2045" s="20" t="n">
        <v>4</v>
      </c>
      <c r="N2045" s="19"/>
      <c r="O2045" s="19"/>
      <c r="P2045" s="19" t="s">
        <v>1946</v>
      </c>
      <c r="Q2045" s="19" t="s">
        <v>1091</v>
      </c>
      <c r="R2045" s="21" t="n">
        <v>45844</v>
      </c>
      <c r="S2045" s="19" t="s">
        <v>1013</v>
      </c>
      <c r="T2045" s="19" t="s">
        <v>6363</v>
      </c>
      <c r="U2045" s="19" t="str">
        <f aca="false">HYPERLINK("https://macaulaylibrary.org/asset/643643947","Open")</f>
        <v>Open</v>
      </c>
      <c r="V2045" s="19"/>
    </row>
    <row r="2046" customFormat="false" ht="15" hidden="false" customHeight="false" outlineLevel="0" collapsed="false">
      <c r="A2046" s="19" t="s">
        <v>6364</v>
      </c>
      <c r="B2046" s="19" t="s">
        <v>943</v>
      </c>
      <c r="C2046" s="19" t="s">
        <v>944</v>
      </c>
      <c r="D2046" s="19" t="s">
        <v>148</v>
      </c>
      <c r="E2046" s="19" t="s">
        <v>147</v>
      </c>
      <c r="F2046" s="19" t="s">
        <v>151</v>
      </c>
      <c r="G2046" s="19" t="n">
        <v>245</v>
      </c>
      <c r="H2046" s="19" t="s">
        <v>152</v>
      </c>
      <c r="I2046" s="20" t="n">
        <v>90.092</v>
      </c>
      <c r="J2046" s="19" t="n">
        <f aca="false">IF(I2046="","",MIN(Overview!$B$8,MAX(1,CEILING(I2046/Overview!$B$7,1))))</f>
        <v>19</v>
      </c>
      <c r="K2046" s="19" t="n">
        <v>1</v>
      </c>
      <c r="L2046" s="19"/>
      <c r="M2046" s="20"/>
      <c r="N2046" s="19"/>
      <c r="O2046" s="19"/>
      <c r="P2046" s="19" t="s">
        <v>1946</v>
      </c>
      <c r="Q2046" s="19" t="s">
        <v>1091</v>
      </c>
      <c r="R2046" s="21" t="n">
        <v>45844</v>
      </c>
      <c r="S2046" s="19" t="s">
        <v>1013</v>
      </c>
      <c r="T2046" s="19" t="s">
        <v>6365</v>
      </c>
      <c r="U2046" s="19" t="str">
        <f aca="false">HYPERLINK("https://macaulaylibrary.org/asset/643644133","Open")</f>
        <v>Open</v>
      </c>
      <c r="V2046" s="19"/>
    </row>
    <row r="2047" customFormat="false" ht="15" hidden="false" customHeight="false" outlineLevel="0" collapsed="false">
      <c r="A2047" s="19" t="s">
        <v>6366</v>
      </c>
      <c r="B2047" s="19" t="s">
        <v>943</v>
      </c>
      <c r="C2047" s="19" t="s">
        <v>944</v>
      </c>
      <c r="D2047" s="19" t="s">
        <v>148</v>
      </c>
      <c r="E2047" s="19" t="s">
        <v>147</v>
      </c>
      <c r="F2047" s="19" t="s">
        <v>151</v>
      </c>
      <c r="G2047" s="19" t="n">
        <v>245</v>
      </c>
      <c r="H2047" s="19" t="s">
        <v>152</v>
      </c>
      <c r="I2047" s="20" t="n">
        <v>49.689</v>
      </c>
      <c r="J2047" s="19" t="n">
        <f aca="false">IF(I2047="","",MIN(Overview!$B$8,MAX(1,CEILING(I2047/Overview!$B$7,1))))</f>
        <v>10</v>
      </c>
      <c r="K2047" s="19" t="n">
        <v>1</v>
      </c>
      <c r="L2047" s="19"/>
      <c r="M2047" s="20"/>
      <c r="N2047" s="19"/>
      <c r="O2047" s="19"/>
      <c r="P2047" s="19" t="s">
        <v>1946</v>
      </c>
      <c r="Q2047" s="19" t="s">
        <v>1091</v>
      </c>
      <c r="R2047" s="21" t="n">
        <v>45844</v>
      </c>
      <c r="S2047" s="19" t="s">
        <v>1013</v>
      </c>
      <c r="T2047" s="19" t="s">
        <v>6367</v>
      </c>
      <c r="U2047" s="19" t="str">
        <f aca="false">HYPERLINK("https://macaulaylibrary.org/asset/643644333","Open")</f>
        <v>Open</v>
      </c>
      <c r="V2047" s="19"/>
    </row>
    <row r="2048" customFormat="false" ht="15" hidden="false" customHeight="false" outlineLevel="0" collapsed="false">
      <c r="A2048" s="19" t="s">
        <v>6368</v>
      </c>
      <c r="B2048" s="19" t="s">
        <v>943</v>
      </c>
      <c r="C2048" s="19" t="s">
        <v>944</v>
      </c>
      <c r="D2048" s="19" t="s">
        <v>148</v>
      </c>
      <c r="E2048" s="19" t="s">
        <v>147</v>
      </c>
      <c r="F2048" s="19" t="s">
        <v>151</v>
      </c>
      <c r="G2048" s="19" t="n">
        <v>245</v>
      </c>
      <c r="H2048" s="19" t="s">
        <v>152</v>
      </c>
      <c r="I2048" s="20" t="n">
        <v>19.246</v>
      </c>
      <c r="J2048" s="19" t="n">
        <f aca="false">IF(I2048="","",MIN(Overview!$B$8,MAX(1,CEILING(I2048/Overview!$B$7,1))))</f>
        <v>4</v>
      </c>
      <c r="K2048" s="19" t="n">
        <v>1</v>
      </c>
      <c r="L2048" s="19"/>
      <c r="M2048" s="20"/>
      <c r="N2048" s="19"/>
      <c r="O2048" s="19"/>
      <c r="P2048" s="19" t="s">
        <v>2974</v>
      </c>
      <c r="Q2048" s="19" t="s">
        <v>2975</v>
      </c>
      <c r="R2048" s="21" t="n">
        <v>46052</v>
      </c>
      <c r="S2048" s="19" t="s">
        <v>2976</v>
      </c>
      <c r="T2048" s="19" t="s">
        <v>6369</v>
      </c>
      <c r="U2048" s="19" t="str">
        <f aca="false">HYPERLINK("https://macaulaylibrary.org/asset/651374335","Open")</f>
        <v>Open</v>
      </c>
      <c r="V2048" s="19"/>
    </row>
    <row r="2049" customFormat="false" ht="15" hidden="false" customHeight="false" outlineLevel="0" collapsed="false">
      <c r="A2049" s="19" t="s">
        <v>6370</v>
      </c>
      <c r="B2049" s="19" t="s">
        <v>943</v>
      </c>
      <c r="C2049" s="19" t="s">
        <v>944</v>
      </c>
      <c r="D2049" s="19" t="s">
        <v>148</v>
      </c>
      <c r="E2049" s="19" t="s">
        <v>147</v>
      </c>
      <c r="F2049" s="19" t="s">
        <v>151</v>
      </c>
      <c r="G2049" s="19" t="n">
        <v>245</v>
      </c>
      <c r="H2049" s="19" t="s">
        <v>152</v>
      </c>
      <c r="I2049" s="20" t="n">
        <v>10.031</v>
      </c>
      <c r="J2049" s="19" t="n">
        <f aca="false">IF(I2049="","",MIN(Overview!$B$8,MAX(1,CEILING(I2049/Overview!$B$7,1))))</f>
        <v>3</v>
      </c>
      <c r="K2049" s="19" t="n">
        <v>1</v>
      </c>
      <c r="L2049" s="19"/>
      <c r="M2049" s="20"/>
      <c r="N2049" s="19"/>
      <c r="O2049" s="19"/>
      <c r="P2049" s="19" t="s">
        <v>2876</v>
      </c>
      <c r="Q2049" s="19" t="s">
        <v>2877</v>
      </c>
      <c r="R2049" s="21" t="n">
        <v>45679</v>
      </c>
      <c r="S2049" s="19" t="s">
        <v>2878</v>
      </c>
      <c r="T2049" s="19" t="s">
        <v>6371</v>
      </c>
      <c r="U2049" s="19" t="str">
        <f aca="false">HYPERLINK("https://macaulaylibrary.org/asset/663970452","Open")</f>
        <v>Open</v>
      </c>
      <c r="V2049" s="19"/>
    </row>
    <row r="2050" customFormat="false" ht="15" hidden="false" customHeight="false" outlineLevel="0" collapsed="false">
      <c r="A2050" s="19" t="s">
        <v>6372</v>
      </c>
      <c r="B2050" s="19" t="s">
        <v>943</v>
      </c>
      <c r="C2050" s="19" t="s">
        <v>944</v>
      </c>
      <c r="D2050" s="19" t="s">
        <v>148</v>
      </c>
      <c r="E2050" s="19" t="s">
        <v>147</v>
      </c>
      <c r="F2050" s="19" t="s">
        <v>151</v>
      </c>
      <c r="G2050" s="19" t="n">
        <v>245</v>
      </c>
      <c r="H2050" s="19" t="s">
        <v>152</v>
      </c>
      <c r="I2050" s="20" t="n">
        <v>15.279</v>
      </c>
      <c r="J2050" s="19" t="n">
        <f aca="false">IF(I2050="","",MIN(Overview!$B$8,MAX(1,CEILING(I2050/Overview!$B$7,1))))</f>
        <v>4</v>
      </c>
      <c r="K2050" s="19" t="n">
        <v>1</v>
      </c>
      <c r="L2050" s="19"/>
      <c r="M2050" s="20"/>
      <c r="N2050" s="19"/>
      <c r="O2050" s="19"/>
      <c r="P2050" s="19" t="s">
        <v>2876</v>
      </c>
      <c r="Q2050" s="19" t="s">
        <v>2877</v>
      </c>
      <c r="R2050" s="21" t="n">
        <v>45679</v>
      </c>
      <c r="S2050" s="19" t="s">
        <v>2878</v>
      </c>
      <c r="T2050" s="19" t="s">
        <v>6373</v>
      </c>
      <c r="U2050" s="19" t="str">
        <f aca="false">HYPERLINK("https://macaulaylibrary.org/asset/663970550","Open")</f>
        <v>Open</v>
      </c>
      <c r="V2050" s="19"/>
    </row>
    <row r="2051" customFormat="false" ht="15" hidden="false" customHeight="false" outlineLevel="0" collapsed="false">
      <c r="A2051" s="19" t="s">
        <v>6374</v>
      </c>
      <c r="B2051" s="19" t="s">
        <v>943</v>
      </c>
      <c r="C2051" s="19" t="s">
        <v>944</v>
      </c>
      <c r="D2051" s="19" t="s">
        <v>148</v>
      </c>
      <c r="E2051" s="19" t="s">
        <v>147</v>
      </c>
      <c r="F2051" s="19" t="s">
        <v>151</v>
      </c>
      <c r="G2051" s="19" t="n">
        <v>245</v>
      </c>
      <c r="H2051" s="19" t="s">
        <v>152</v>
      </c>
      <c r="I2051" s="20" t="n">
        <v>42.627</v>
      </c>
      <c r="J2051" s="19" t="n">
        <f aca="false">IF(I2051="","",MIN(Overview!$B$8,MAX(1,CEILING(I2051/Overview!$B$7,1))))</f>
        <v>9</v>
      </c>
      <c r="K2051" s="19" t="n">
        <v>1</v>
      </c>
      <c r="L2051" s="19"/>
      <c r="M2051" s="20" t="n">
        <v>3</v>
      </c>
      <c r="N2051" s="19"/>
      <c r="O2051" s="19"/>
      <c r="P2051" s="19" t="s">
        <v>1564</v>
      </c>
      <c r="Q2051" s="19" t="s">
        <v>1226</v>
      </c>
      <c r="R2051" s="21" t="n">
        <v>21273</v>
      </c>
      <c r="S2051" s="19" t="s">
        <v>1002</v>
      </c>
      <c r="T2051" s="19" t="s">
        <v>6375</v>
      </c>
      <c r="U2051" s="19" t="str">
        <f aca="false">HYPERLINK("https://macaulaylibrary.org/asset/6767","Open")</f>
        <v>Open</v>
      </c>
      <c r="V2051" s="19" t="s">
        <v>6257</v>
      </c>
    </row>
    <row r="2052" customFormat="false" ht="15" hidden="false" customHeight="false" outlineLevel="0" collapsed="false">
      <c r="A2052" s="19" t="s">
        <v>6376</v>
      </c>
      <c r="B2052" s="19" t="s">
        <v>943</v>
      </c>
      <c r="C2052" s="19" t="s">
        <v>944</v>
      </c>
      <c r="D2052" s="19" t="s">
        <v>148</v>
      </c>
      <c r="E2052" s="19" t="s">
        <v>147</v>
      </c>
      <c r="F2052" s="19" t="s">
        <v>151</v>
      </c>
      <c r="G2052" s="19" t="n">
        <v>245</v>
      </c>
      <c r="H2052" s="19" t="s">
        <v>152</v>
      </c>
      <c r="I2052" s="20" t="n">
        <v>166.429</v>
      </c>
      <c r="J2052" s="19" t="n">
        <f aca="false">IF(I2052="","",MIN(Overview!$B$8,MAX(1,CEILING(I2052/Overview!$B$7,1))))</f>
        <v>34</v>
      </c>
      <c r="K2052" s="19" t="n">
        <v>1</v>
      </c>
      <c r="L2052" s="19"/>
      <c r="M2052" s="20" t="n">
        <v>2.5</v>
      </c>
      <c r="N2052" s="19"/>
      <c r="O2052" s="19"/>
      <c r="P2052" s="19" t="s">
        <v>1742</v>
      </c>
      <c r="Q2052" s="19" t="s">
        <v>1021</v>
      </c>
      <c r="R2052" s="21" t="n">
        <v>35860</v>
      </c>
      <c r="S2052" s="19" t="s">
        <v>1743</v>
      </c>
      <c r="T2052" s="19" t="s">
        <v>6377</v>
      </c>
      <c r="U2052" s="19" t="str">
        <f aca="false">HYPERLINK("https://macaulaylibrary.org/asset/98859851","Open")</f>
        <v>Open</v>
      </c>
      <c r="V2052" s="19"/>
    </row>
    <row r="2053" customFormat="false" ht="15" hidden="false" customHeight="false" outlineLevel="0" collapsed="false">
      <c r="A2053" s="19" t="s">
        <v>6378</v>
      </c>
      <c r="B2053" s="19" t="s">
        <v>1005</v>
      </c>
      <c r="C2053" s="19" t="s">
        <v>944</v>
      </c>
      <c r="D2053" s="19" t="s">
        <v>647</v>
      </c>
      <c r="E2053" s="19" t="s">
        <v>147</v>
      </c>
      <c r="F2053" s="19" t="s">
        <v>151</v>
      </c>
      <c r="G2053" s="19" t="n">
        <v>245</v>
      </c>
      <c r="H2053" s="19" t="s">
        <v>152</v>
      </c>
      <c r="I2053" s="20" t="n">
        <v>74.544</v>
      </c>
      <c r="J2053" s="19" t="n">
        <f aca="false">IF(I2053="","",MIN(Overview!$B$8,MAX(1,CEILING(I2053/Overview!$B$7,1))))</f>
        <v>15</v>
      </c>
      <c r="K2053" s="19" t="n">
        <v>1</v>
      </c>
      <c r="L2053" s="19"/>
      <c r="M2053" s="20"/>
      <c r="N2053" s="19" t="s">
        <v>1718</v>
      </c>
      <c r="O2053" s="19"/>
      <c r="P2053" s="19" t="s">
        <v>3999</v>
      </c>
      <c r="Q2053" s="19" t="s">
        <v>1008</v>
      </c>
      <c r="R2053" s="21" t="n">
        <v>42576</v>
      </c>
      <c r="S2053" s="19" t="s">
        <v>1017</v>
      </c>
      <c r="T2053" s="19" t="s">
        <v>6379</v>
      </c>
      <c r="U2053" s="19" t="str">
        <f aca="false">HYPERLINK("https://xeno-canto.org/331335","Open")</f>
        <v>Open</v>
      </c>
      <c r="V2053" s="19" t="s">
        <v>1720</v>
      </c>
    </row>
    <row r="2054" customFormat="false" ht="15" hidden="false" customHeight="false" outlineLevel="0" collapsed="false">
      <c r="A2054" s="19" t="s">
        <v>6380</v>
      </c>
      <c r="B2054" s="19" t="s">
        <v>943</v>
      </c>
      <c r="C2054" s="19" t="s">
        <v>944</v>
      </c>
      <c r="D2054" s="19" t="s">
        <v>400</v>
      </c>
      <c r="E2054" s="19" t="s">
        <v>147</v>
      </c>
      <c r="F2054" s="19" t="s">
        <v>469</v>
      </c>
      <c r="G2054" s="19" t="n">
        <v>246</v>
      </c>
      <c r="H2054" s="19" t="s">
        <v>470</v>
      </c>
      <c r="I2054" s="20" t="n">
        <v>10.849</v>
      </c>
      <c r="J2054" s="19" t="n">
        <f aca="false">IF(I2054="","",MIN(Overview!$B$8,MAX(1,CEILING(I2054/Overview!$B$7,1))))</f>
        <v>3</v>
      </c>
      <c r="K2054" s="19" t="n">
        <v>1</v>
      </c>
      <c r="L2054" s="19"/>
      <c r="M2054" s="20" t="n">
        <v>4</v>
      </c>
      <c r="N2054" s="19"/>
      <c r="O2054" s="19"/>
      <c r="P2054" s="19" t="s">
        <v>1140</v>
      </c>
      <c r="Q2054" s="19" t="s">
        <v>1030</v>
      </c>
      <c r="R2054" s="21" t="n">
        <v>40250</v>
      </c>
      <c r="S2054" s="19" t="s">
        <v>1077</v>
      </c>
      <c r="T2054" s="19" t="s">
        <v>6381</v>
      </c>
      <c r="U2054" s="19" t="str">
        <f aca="false">HYPERLINK("https://macaulaylibrary.org/asset/299582","Open")</f>
        <v>Open</v>
      </c>
      <c r="V2054" s="19"/>
    </row>
    <row r="2055" customFormat="false" ht="15" hidden="false" customHeight="false" outlineLevel="0" collapsed="false">
      <c r="A2055" s="19" t="s">
        <v>6382</v>
      </c>
      <c r="B2055" s="19" t="s">
        <v>943</v>
      </c>
      <c r="C2055" s="19" t="s">
        <v>944</v>
      </c>
      <c r="D2055" s="19" t="s">
        <v>400</v>
      </c>
      <c r="E2055" s="19" t="s">
        <v>147</v>
      </c>
      <c r="F2055" s="19" t="s">
        <v>469</v>
      </c>
      <c r="G2055" s="19" t="n">
        <v>246</v>
      </c>
      <c r="H2055" s="19" t="s">
        <v>470</v>
      </c>
      <c r="I2055" s="20" t="n">
        <v>6.823</v>
      </c>
      <c r="J2055" s="19" t="n">
        <f aca="false">IF(I2055="","",MIN(Overview!$B$8,MAX(1,CEILING(I2055/Overview!$B$7,1))))</f>
        <v>2</v>
      </c>
      <c r="K2055" s="19" t="n">
        <v>1</v>
      </c>
      <c r="L2055" s="19"/>
      <c r="M2055" s="20" t="n">
        <v>3.67</v>
      </c>
      <c r="N2055" s="19"/>
      <c r="O2055" s="19"/>
      <c r="P2055" s="19" t="s">
        <v>1140</v>
      </c>
      <c r="Q2055" s="19" t="s">
        <v>1030</v>
      </c>
      <c r="R2055" s="21" t="n">
        <v>40250</v>
      </c>
      <c r="S2055" s="19" t="s">
        <v>1077</v>
      </c>
      <c r="T2055" s="19" t="s">
        <v>6383</v>
      </c>
      <c r="U2055" s="19" t="str">
        <f aca="false">HYPERLINK("https://macaulaylibrary.org/asset/299583","Open")</f>
        <v>Open</v>
      </c>
      <c r="V2055" s="19"/>
    </row>
    <row r="2056" customFormat="false" ht="15" hidden="false" customHeight="false" outlineLevel="0" collapsed="false">
      <c r="A2056" s="19" t="s">
        <v>6384</v>
      </c>
      <c r="B2056" s="19" t="s">
        <v>943</v>
      </c>
      <c r="C2056" s="19" t="s">
        <v>944</v>
      </c>
      <c r="D2056" s="19" t="s">
        <v>400</v>
      </c>
      <c r="E2056" s="19" t="s">
        <v>147</v>
      </c>
      <c r="F2056" s="19" t="s">
        <v>469</v>
      </c>
      <c r="G2056" s="19" t="n">
        <v>246</v>
      </c>
      <c r="H2056" s="19" t="s">
        <v>470</v>
      </c>
      <c r="I2056" s="20" t="n">
        <v>7.053</v>
      </c>
      <c r="J2056" s="19" t="n">
        <f aca="false">IF(I2056="","",MIN(Overview!$B$8,MAX(1,CEILING(I2056/Overview!$B$7,1))))</f>
        <v>2</v>
      </c>
      <c r="K2056" s="19" t="n">
        <v>1</v>
      </c>
      <c r="L2056" s="19"/>
      <c r="M2056" s="20" t="n">
        <v>2</v>
      </c>
      <c r="N2056" s="19"/>
      <c r="O2056" s="19"/>
      <c r="P2056" s="19" t="s">
        <v>1140</v>
      </c>
      <c r="Q2056" s="19" t="s">
        <v>1030</v>
      </c>
      <c r="R2056" s="21" t="n">
        <v>40250</v>
      </c>
      <c r="S2056" s="19" t="s">
        <v>1077</v>
      </c>
      <c r="T2056" s="19" t="s">
        <v>6385</v>
      </c>
      <c r="U2056" s="19" t="str">
        <f aca="false">HYPERLINK("https://macaulaylibrary.org/asset/299584","Open")</f>
        <v>Open</v>
      </c>
      <c r="V2056" s="19"/>
    </row>
    <row r="2057" customFormat="false" ht="15" hidden="false" customHeight="false" outlineLevel="0" collapsed="false">
      <c r="A2057" s="19" t="s">
        <v>6386</v>
      </c>
      <c r="B2057" s="19" t="s">
        <v>943</v>
      </c>
      <c r="C2057" s="19" t="s">
        <v>944</v>
      </c>
      <c r="D2057" s="19" t="s">
        <v>400</v>
      </c>
      <c r="E2057" s="19" t="s">
        <v>147</v>
      </c>
      <c r="F2057" s="19" t="s">
        <v>469</v>
      </c>
      <c r="G2057" s="19" t="n">
        <v>246</v>
      </c>
      <c r="H2057" s="19" t="s">
        <v>470</v>
      </c>
      <c r="I2057" s="20" t="n">
        <v>5.1</v>
      </c>
      <c r="J2057" s="19" t="n">
        <f aca="false">IF(I2057="","",MIN(Overview!$B$8,MAX(1,CEILING(I2057/Overview!$B$7,1))))</f>
        <v>2</v>
      </c>
      <c r="K2057" s="19" t="n">
        <v>1</v>
      </c>
      <c r="L2057" s="19"/>
      <c r="M2057" s="20" t="n">
        <v>3.67</v>
      </c>
      <c r="N2057" s="19"/>
      <c r="O2057" s="19"/>
      <c r="P2057" s="19" t="s">
        <v>1407</v>
      </c>
      <c r="Q2057" s="19" t="s">
        <v>1408</v>
      </c>
      <c r="R2057" s="21" t="n">
        <v>32099</v>
      </c>
      <c r="S2057" s="19" t="s">
        <v>1009</v>
      </c>
      <c r="T2057" s="19" t="s">
        <v>6387</v>
      </c>
      <c r="U2057" s="19" t="str">
        <f aca="false">HYPERLINK("https://macaulaylibrary.org/asset/338509041","Open")</f>
        <v>Open</v>
      </c>
      <c r="V2057" s="19"/>
    </row>
    <row r="2058" customFormat="false" ht="15" hidden="false" customHeight="false" outlineLevel="0" collapsed="false">
      <c r="A2058" s="19" t="s">
        <v>6388</v>
      </c>
      <c r="B2058" s="19" t="s">
        <v>943</v>
      </c>
      <c r="C2058" s="19" t="s">
        <v>944</v>
      </c>
      <c r="D2058" s="19" t="s">
        <v>400</v>
      </c>
      <c r="E2058" s="19" t="s">
        <v>147</v>
      </c>
      <c r="F2058" s="19" t="s">
        <v>469</v>
      </c>
      <c r="G2058" s="19" t="n">
        <v>246</v>
      </c>
      <c r="H2058" s="19" t="s">
        <v>470</v>
      </c>
      <c r="I2058" s="20" t="n">
        <v>3.701</v>
      </c>
      <c r="J2058" s="19" t="n">
        <f aca="false">IF(I2058="","",MIN(Overview!$B$8,MAX(1,CEILING(I2058/Overview!$B$7,1))))</f>
        <v>1</v>
      </c>
      <c r="K2058" s="19" t="n">
        <v>1</v>
      </c>
      <c r="L2058" s="19" t="s">
        <v>1048</v>
      </c>
      <c r="M2058" s="20" t="n">
        <v>2</v>
      </c>
      <c r="N2058" s="19"/>
      <c r="O2058" s="19"/>
      <c r="P2058" s="19" t="s">
        <v>1170</v>
      </c>
      <c r="Q2058" s="19" t="s">
        <v>1166</v>
      </c>
      <c r="R2058" s="21" t="n">
        <v>44900</v>
      </c>
      <c r="S2058" s="19" t="s">
        <v>1092</v>
      </c>
      <c r="T2058" s="19" t="s">
        <v>6389</v>
      </c>
      <c r="U2058" s="19" t="str">
        <f aca="false">HYPERLINK("https://macaulaylibrary.org/asset/597933231","Open")</f>
        <v>Open</v>
      </c>
      <c r="V2058" s="19"/>
    </row>
    <row r="2059" customFormat="false" ht="15" hidden="false" customHeight="false" outlineLevel="0" collapsed="false">
      <c r="A2059" s="19" t="s">
        <v>6390</v>
      </c>
      <c r="B2059" s="19" t="s">
        <v>943</v>
      </c>
      <c r="C2059" s="19" t="s">
        <v>944</v>
      </c>
      <c r="D2059" s="19" t="s">
        <v>400</v>
      </c>
      <c r="E2059" s="19" t="s">
        <v>147</v>
      </c>
      <c r="F2059" s="19" t="s">
        <v>469</v>
      </c>
      <c r="G2059" s="19" t="n">
        <v>246</v>
      </c>
      <c r="H2059" s="19" t="s">
        <v>470</v>
      </c>
      <c r="I2059" s="20" t="n">
        <v>100</v>
      </c>
      <c r="J2059" s="19" t="n">
        <f aca="false">IF(I2059="","",MIN(Overview!$B$8,MAX(1,CEILING(I2059/Overview!$B$7,1))))</f>
        <v>20</v>
      </c>
      <c r="K2059" s="19" t="n">
        <v>1</v>
      </c>
      <c r="L2059" s="19"/>
      <c r="M2059" s="20"/>
      <c r="N2059" s="19"/>
      <c r="O2059" s="19"/>
      <c r="P2059" s="19" t="s">
        <v>1467</v>
      </c>
      <c r="Q2059" s="19" t="s">
        <v>1258</v>
      </c>
      <c r="R2059" s="21" t="n">
        <v>45230</v>
      </c>
      <c r="S2059" s="19" t="s">
        <v>1306</v>
      </c>
      <c r="T2059" s="19" t="s">
        <v>6391</v>
      </c>
      <c r="U2059" s="19" t="str">
        <f aca="false">HYPERLINK("https://macaulaylibrary.org/asset/621759997","Open")</f>
        <v>Open</v>
      </c>
      <c r="V2059" s="19"/>
    </row>
    <row r="2060" customFormat="false" ht="15" hidden="false" customHeight="false" outlineLevel="0" collapsed="false">
      <c r="A2060" s="19" t="s">
        <v>6392</v>
      </c>
      <c r="B2060" s="19" t="s">
        <v>943</v>
      </c>
      <c r="C2060" s="19" t="s">
        <v>944</v>
      </c>
      <c r="D2060" s="19" t="s">
        <v>400</v>
      </c>
      <c r="E2060" s="19" t="s">
        <v>147</v>
      </c>
      <c r="F2060" s="19" t="s">
        <v>469</v>
      </c>
      <c r="G2060" s="19" t="n">
        <v>246</v>
      </c>
      <c r="H2060" s="19" t="s">
        <v>470</v>
      </c>
      <c r="I2060" s="20" t="n">
        <v>8</v>
      </c>
      <c r="J2060" s="19" t="n">
        <f aca="false">IF(I2060="","",MIN(Overview!$B$8,MAX(1,CEILING(I2060/Overview!$B$7,1))))</f>
        <v>2</v>
      </c>
      <c r="K2060" s="19" t="n">
        <v>1</v>
      </c>
      <c r="L2060" s="19"/>
      <c r="M2060" s="20"/>
      <c r="N2060" s="19"/>
      <c r="O2060" s="19"/>
      <c r="P2060" s="19" t="s">
        <v>1257</v>
      </c>
      <c r="Q2060" s="19" t="s">
        <v>1258</v>
      </c>
      <c r="R2060" s="21" t="n">
        <v>45231</v>
      </c>
      <c r="S2060" s="19" t="s">
        <v>1259</v>
      </c>
      <c r="T2060" s="19" t="s">
        <v>6393</v>
      </c>
      <c r="U2060" s="19" t="str">
        <f aca="false">HYPERLINK("https://macaulaylibrary.org/asset/621760273","Open")</f>
        <v>Open</v>
      </c>
      <c r="V2060" s="19"/>
    </row>
    <row r="2061" customFormat="false" ht="15" hidden="false" customHeight="false" outlineLevel="0" collapsed="false">
      <c r="A2061" s="19" t="s">
        <v>6394</v>
      </c>
      <c r="B2061" s="19" t="s">
        <v>943</v>
      </c>
      <c r="C2061" s="19" t="s">
        <v>944</v>
      </c>
      <c r="D2061" s="19" t="s">
        <v>148</v>
      </c>
      <c r="E2061" s="19" t="s">
        <v>911</v>
      </c>
      <c r="F2061" s="19" t="s">
        <v>910</v>
      </c>
      <c r="G2061" s="19" t="n">
        <v>247</v>
      </c>
      <c r="H2061" s="19" t="s">
        <v>6395</v>
      </c>
      <c r="I2061" s="20" t="n">
        <v>53.81</v>
      </c>
      <c r="J2061" s="19" t="n">
        <f aca="false">IF(I2061="","",MIN(Overview!$B$8,MAX(1,CEILING(I2061/Overview!$B$7,1))))</f>
        <v>11</v>
      </c>
      <c r="K2061" s="19" t="n">
        <v>1</v>
      </c>
      <c r="L2061" s="19"/>
      <c r="M2061" s="20"/>
      <c r="N2061" s="19"/>
      <c r="O2061" s="19"/>
      <c r="P2061" s="19" t="s">
        <v>6396</v>
      </c>
      <c r="Q2061" s="19" t="s">
        <v>6397</v>
      </c>
      <c r="R2061" s="21" t="n">
        <v>36715</v>
      </c>
      <c r="S2061" s="19" t="s">
        <v>6398</v>
      </c>
      <c r="T2061" s="19" t="s">
        <v>6399</v>
      </c>
      <c r="U2061" s="19" t="str">
        <f aca="false">HYPERLINK("https://macaulaylibrary.org/asset/104005","Open")</f>
        <v>Open</v>
      </c>
      <c r="V2061" s="19" t="s">
        <v>6400</v>
      </c>
    </row>
    <row r="2062" customFormat="false" ht="15" hidden="false" customHeight="false" outlineLevel="0" collapsed="false">
      <c r="A2062" s="19" t="s">
        <v>6401</v>
      </c>
      <c r="B2062" s="19" t="s">
        <v>943</v>
      </c>
      <c r="C2062" s="19" t="s">
        <v>944</v>
      </c>
      <c r="D2062" s="19" t="s">
        <v>148</v>
      </c>
      <c r="E2062" s="19" t="s">
        <v>911</v>
      </c>
      <c r="F2062" s="19" t="s">
        <v>910</v>
      </c>
      <c r="G2062" s="19" t="n">
        <v>247</v>
      </c>
      <c r="H2062" s="19" t="s">
        <v>6395</v>
      </c>
      <c r="I2062" s="20" t="n">
        <v>98.166</v>
      </c>
      <c r="J2062" s="19" t="n">
        <f aca="false">IF(I2062="","",MIN(Overview!$B$8,MAX(1,CEILING(I2062/Overview!$B$7,1))))</f>
        <v>20</v>
      </c>
      <c r="K2062" s="19" t="n">
        <v>1</v>
      </c>
      <c r="L2062" s="19"/>
      <c r="M2062" s="20"/>
      <c r="N2062" s="19"/>
      <c r="O2062" s="19"/>
      <c r="P2062" s="19" t="s">
        <v>6396</v>
      </c>
      <c r="Q2062" s="19" t="s">
        <v>6397</v>
      </c>
      <c r="R2062" s="21" t="n">
        <v>36715</v>
      </c>
      <c r="S2062" s="19" t="s">
        <v>6402</v>
      </c>
      <c r="T2062" s="19" t="s">
        <v>6403</v>
      </c>
      <c r="U2062" s="19" t="str">
        <f aca="false">HYPERLINK("https://macaulaylibrary.org/asset/104006","Open")</f>
        <v>Open</v>
      </c>
      <c r="V2062" s="19" t="s">
        <v>6400</v>
      </c>
    </row>
    <row r="2063" customFormat="false" ht="15" hidden="false" customHeight="false" outlineLevel="0" collapsed="false">
      <c r="A2063" s="19" t="s">
        <v>6404</v>
      </c>
      <c r="B2063" s="19" t="s">
        <v>943</v>
      </c>
      <c r="C2063" s="19" t="s">
        <v>944</v>
      </c>
      <c r="D2063" s="19" t="s">
        <v>148</v>
      </c>
      <c r="E2063" s="19" t="s">
        <v>911</v>
      </c>
      <c r="F2063" s="19" t="s">
        <v>910</v>
      </c>
      <c r="G2063" s="19" t="n">
        <v>247</v>
      </c>
      <c r="H2063" s="19" t="s">
        <v>6395</v>
      </c>
      <c r="I2063" s="20" t="n">
        <v>104.68</v>
      </c>
      <c r="J2063" s="19" t="n">
        <f aca="false">IF(I2063="","",MIN(Overview!$B$8,MAX(1,CEILING(I2063/Overview!$B$7,1))))</f>
        <v>21</v>
      </c>
      <c r="K2063" s="19" t="n">
        <v>1</v>
      </c>
      <c r="L2063" s="19"/>
      <c r="M2063" s="20"/>
      <c r="N2063" s="19"/>
      <c r="O2063" s="19"/>
      <c r="P2063" s="19" t="s">
        <v>6396</v>
      </c>
      <c r="Q2063" s="19" t="s">
        <v>6397</v>
      </c>
      <c r="R2063" s="21" t="n">
        <v>36715</v>
      </c>
      <c r="S2063" s="19" t="s">
        <v>6402</v>
      </c>
      <c r="T2063" s="19" t="s">
        <v>6405</v>
      </c>
      <c r="U2063" s="19" t="str">
        <f aca="false">HYPERLINK("https://macaulaylibrary.org/asset/104007","Open")</f>
        <v>Open</v>
      </c>
      <c r="V2063" s="19" t="s">
        <v>6400</v>
      </c>
    </row>
    <row r="2064" customFormat="false" ht="15" hidden="false" customHeight="false" outlineLevel="0" collapsed="false">
      <c r="A2064" s="19" t="s">
        <v>6406</v>
      </c>
      <c r="B2064" s="19" t="s">
        <v>943</v>
      </c>
      <c r="C2064" s="19" t="s">
        <v>944</v>
      </c>
      <c r="D2064" s="19" t="s">
        <v>148</v>
      </c>
      <c r="E2064" s="19" t="s">
        <v>911</v>
      </c>
      <c r="F2064" s="19" t="s">
        <v>910</v>
      </c>
      <c r="G2064" s="19" t="n">
        <v>247</v>
      </c>
      <c r="H2064" s="19" t="s">
        <v>6395</v>
      </c>
      <c r="I2064" s="20" t="n">
        <v>89.067</v>
      </c>
      <c r="J2064" s="19" t="n">
        <f aca="false">IF(I2064="","",MIN(Overview!$B$8,MAX(1,CEILING(I2064/Overview!$B$7,1))))</f>
        <v>18</v>
      </c>
      <c r="K2064" s="19" t="n">
        <v>1</v>
      </c>
      <c r="L2064" s="19"/>
      <c r="M2064" s="20"/>
      <c r="N2064" s="19"/>
      <c r="O2064" s="19"/>
      <c r="P2064" s="19" t="s">
        <v>6396</v>
      </c>
      <c r="Q2064" s="19" t="s">
        <v>6397</v>
      </c>
      <c r="R2064" s="21" t="n">
        <v>36715</v>
      </c>
      <c r="S2064" s="19" t="s">
        <v>4011</v>
      </c>
      <c r="T2064" s="19" t="s">
        <v>6407</v>
      </c>
      <c r="U2064" s="19" t="str">
        <f aca="false">HYPERLINK("https://macaulaylibrary.org/asset/104008","Open")</f>
        <v>Open</v>
      </c>
      <c r="V2064" s="19" t="s">
        <v>6400</v>
      </c>
    </row>
    <row r="2065" customFormat="false" ht="15" hidden="false" customHeight="false" outlineLevel="0" collapsed="false">
      <c r="A2065" s="19" t="s">
        <v>6408</v>
      </c>
      <c r="B2065" s="19" t="s">
        <v>943</v>
      </c>
      <c r="C2065" s="19" t="s">
        <v>944</v>
      </c>
      <c r="D2065" s="19" t="s">
        <v>148</v>
      </c>
      <c r="E2065" s="19" t="s">
        <v>911</v>
      </c>
      <c r="F2065" s="19" t="s">
        <v>910</v>
      </c>
      <c r="G2065" s="19" t="n">
        <v>247</v>
      </c>
      <c r="H2065" s="19" t="s">
        <v>6395</v>
      </c>
      <c r="I2065" s="20" t="n">
        <v>55.433</v>
      </c>
      <c r="J2065" s="19" t="n">
        <f aca="false">IF(I2065="","",MIN(Overview!$B$8,MAX(1,CEILING(I2065/Overview!$B$7,1))))</f>
        <v>12</v>
      </c>
      <c r="K2065" s="19" t="n">
        <v>1</v>
      </c>
      <c r="L2065" s="19"/>
      <c r="M2065" s="20"/>
      <c r="N2065" s="19"/>
      <c r="O2065" s="19"/>
      <c r="P2065" s="19" t="s">
        <v>6396</v>
      </c>
      <c r="Q2065" s="19" t="s">
        <v>6397</v>
      </c>
      <c r="R2065" s="21" t="n">
        <v>36715</v>
      </c>
      <c r="S2065" s="19" t="s">
        <v>6409</v>
      </c>
      <c r="T2065" s="19" t="s">
        <v>6410</v>
      </c>
      <c r="U2065" s="19" t="str">
        <f aca="false">HYPERLINK("https://macaulaylibrary.org/asset/104009","Open")</f>
        <v>Open</v>
      </c>
      <c r="V2065" s="19" t="s">
        <v>6400</v>
      </c>
    </row>
    <row r="2066" customFormat="false" ht="15" hidden="false" customHeight="false" outlineLevel="0" collapsed="false">
      <c r="A2066" s="19" t="s">
        <v>6411</v>
      </c>
      <c r="B2066" s="19" t="s">
        <v>943</v>
      </c>
      <c r="C2066" s="19" t="s">
        <v>944</v>
      </c>
      <c r="D2066" s="19" t="s">
        <v>148</v>
      </c>
      <c r="E2066" s="19" t="s">
        <v>911</v>
      </c>
      <c r="F2066" s="19" t="s">
        <v>910</v>
      </c>
      <c r="G2066" s="19" t="n">
        <v>247</v>
      </c>
      <c r="H2066" s="19" t="s">
        <v>6395</v>
      </c>
      <c r="I2066" s="20" t="n">
        <v>48.564</v>
      </c>
      <c r="J2066" s="19" t="n">
        <f aca="false">IF(I2066="","",MIN(Overview!$B$8,MAX(1,CEILING(I2066/Overview!$B$7,1))))</f>
        <v>10</v>
      </c>
      <c r="K2066" s="19" t="n">
        <v>1</v>
      </c>
      <c r="L2066" s="19"/>
      <c r="M2066" s="20"/>
      <c r="N2066" s="19"/>
      <c r="O2066" s="19"/>
      <c r="P2066" s="19" t="s">
        <v>6396</v>
      </c>
      <c r="Q2066" s="19" t="s">
        <v>6397</v>
      </c>
      <c r="R2066" s="21" t="n">
        <v>36715</v>
      </c>
      <c r="S2066" s="19" t="s">
        <v>6412</v>
      </c>
      <c r="T2066" s="19" t="s">
        <v>6413</v>
      </c>
      <c r="U2066" s="19" t="str">
        <f aca="false">HYPERLINK("https://macaulaylibrary.org/asset/104010","Open")</f>
        <v>Open</v>
      </c>
      <c r="V2066" s="19" t="s">
        <v>6400</v>
      </c>
    </row>
    <row r="2067" customFormat="false" ht="15" hidden="false" customHeight="false" outlineLevel="0" collapsed="false">
      <c r="A2067" s="19" t="s">
        <v>6414</v>
      </c>
      <c r="B2067" s="19" t="s">
        <v>943</v>
      </c>
      <c r="C2067" s="19" t="s">
        <v>944</v>
      </c>
      <c r="D2067" s="19" t="s">
        <v>148</v>
      </c>
      <c r="E2067" s="19" t="s">
        <v>911</v>
      </c>
      <c r="F2067" s="19" t="s">
        <v>910</v>
      </c>
      <c r="G2067" s="19" t="n">
        <v>247</v>
      </c>
      <c r="H2067" s="19" t="s">
        <v>6415</v>
      </c>
      <c r="I2067" s="20" t="n">
        <v>26.969</v>
      </c>
      <c r="J2067" s="19" t="n">
        <f aca="false">IF(I2067="","",MIN(Overview!$B$8,MAX(1,CEILING(I2067/Overview!$B$7,1))))</f>
        <v>6</v>
      </c>
      <c r="K2067" s="19" t="n">
        <v>1</v>
      </c>
      <c r="L2067" s="19"/>
      <c r="M2067" s="20"/>
      <c r="N2067" s="19"/>
      <c r="O2067" s="19"/>
      <c r="P2067" s="19" t="s">
        <v>6396</v>
      </c>
      <c r="Q2067" s="19" t="s">
        <v>6397</v>
      </c>
      <c r="R2067" s="21" t="n">
        <v>36715</v>
      </c>
      <c r="S2067" s="19" t="s">
        <v>6412</v>
      </c>
      <c r="T2067" s="19" t="s">
        <v>6416</v>
      </c>
      <c r="U2067" s="19" t="str">
        <f aca="false">HYPERLINK("https://macaulaylibrary.org/asset/104011","Open")</f>
        <v>Open</v>
      </c>
      <c r="V2067" s="19" t="s">
        <v>6417</v>
      </c>
    </row>
    <row r="2068" customFormat="false" ht="15" hidden="false" customHeight="false" outlineLevel="0" collapsed="false">
      <c r="A2068" s="19" t="s">
        <v>6418</v>
      </c>
      <c r="B2068" s="19" t="s">
        <v>943</v>
      </c>
      <c r="C2068" s="19" t="s">
        <v>944</v>
      </c>
      <c r="D2068" s="19" t="s">
        <v>148</v>
      </c>
      <c r="E2068" s="19" t="s">
        <v>911</v>
      </c>
      <c r="F2068" s="19" t="s">
        <v>910</v>
      </c>
      <c r="G2068" s="19" t="n">
        <v>247</v>
      </c>
      <c r="H2068" s="19" t="s">
        <v>6419</v>
      </c>
      <c r="I2068" s="20" t="n">
        <v>77.103</v>
      </c>
      <c r="J2068" s="19" t="n">
        <f aca="false">IF(I2068="","",MIN(Overview!$B$8,MAX(1,CEILING(I2068/Overview!$B$7,1))))</f>
        <v>16</v>
      </c>
      <c r="K2068" s="19" t="n">
        <v>1</v>
      </c>
      <c r="L2068" s="19"/>
      <c r="M2068" s="20"/>
      <c r="N2068" s="19"/>
      <c r="O2068" s="19"/>
      <c r="P2068" s="19" t="s">
        <v>6396</v>
      </c>
      <c r="Q2068" s="19" t="s">
        <v>6397</v>
      </c>
      <c r="R2068" s="21" t="n">
        <v>36715</v>
      </c>
      <c r="S2068" s="19" t="s">
        <v>6420</v>
      </c>
      <c r="T2068" s="19" t="s">
        <v>6421</v>
      </c>
      <c r="U2068" s="19" t="str">
        <f aca="false">HYPERLINK("https://macaulaylibrary.org/asset/104012","Open")</f>
        <v>Open</v>
      </c>
      <c r="V2068" s="19" t="s">
        <v>6422</v>
      </c>
    </row>
    <row r="2069" customFormat="false" ht="15" hidden="false" customHeight="false" outlineLevel="0" collapsed="false">
      <c r="A2069" s="19" t="s">
        <v>6423</v>
      </c>
      <c r="B2069" s="19" t="s">
        <v>943</v>
      </c>
      <c r="C2069" s="19" t="s">
        <v>944</v>
      </c>
      <c r="D2069" s="19" t="s">
        <v>148</v>
      </c>
      <c r="E2069" s="19" t="s">
        <v>911</v>
      </c>
      <c r="F2069" s="19" t="s">
        <v>910</v>
      </c>
      <c r="G2069" s="19" t="n">
        <v>247</v>
      </c>
      <c r="H2069" s="19" t="s">
        <v>6419</v>
      </c>
      <c r="I2069" s="20" t="n">
        <v>82.122</v>
      </c>
      <c r="J2069" s="19" t="n">
        <f aca="false">IF(I2069="","",MIN(Overview!$B$8,MAX(1,CEILING(I2069/Overview!$B$7,1))))</f>
        <v>17</v>
      </c>
      <c r="K2069" s="19" t="n">
        <v>1</v>
      </c>
      <c r="L2069" s="19"/>
      <c r="M2069" s="20"/>
      <c r="N2069" s="19"/>
      <c r="O2069" s="19"/>
      <c r="P2069" s="19" t="s">
        <v>6396</v>
      </c>
      <c r="Q2069" s="19" t="s">
        <v>6397</v>
      </c>
      <c r="R2069" s="21" t="n">
        <v>36715</v>
      </c>
      <c r="S2069" s="19" t="s">
        <v>6424</v>
      </c>
      <c r="T2069" s="19" t="s">
        <v>6425</v>
      </c>
      <c r="U2069" s="19" t="str">
        <f aca="false">HYPERLINK("https://macaulaylibrary.org/asset/104013","Open")</f>
        <v>Open</v>
      </c>
      <c r="V2069" s="19" t="s">
        <v>6422</v>
      </c>
    </row>
    <row r="2070" customFormat="false" ht="15" hidden="false" customHeight="false" outlineLevel="0" collapsed="false">
      <c r="A2070" s="19" t="s">
        <v>6426</v>
      </c>
      <c r="B2070" s="19" t="s">
        <v>943</v>
      </c>
      <c r="C2070" s="19" t="s">
        <v>944</v>
      </c>
      <c r="D2070" s="19" t="s">
        <v>148</v>
      </c>
      <c r="E2070" s="19" t="s">
        <v>911</v>
      </c>
      <c r="F2070" s="19" t="s">
        <v>910</v>
      </c>
      <c r="G2070" s="19" t="n">
        <v>247</v>
      </c>
      <c r="H2070" s="19" t="s">
        <v>6419</v>
      </c>
      <c r="I2070" s="20" t="n">
        <v>100.574</v>
      </c>
      <c r="J2070" s="19" t="n">
        <f aca="false">IF(I2070="","",MIN(Overview!$B$8,MAX(1,CEILING(I2070/Overview!$B$7,1))))</f>
        <v>21</v>
      </c>
      <c r="K2070" s="19" t="n">
        <v>1</v>
      </c>
      <c r="L2070" s="19"/>
      <c r="M2070" s="20"/>
      <c r="N2070" s="19"/>
      <c r="O2070" s="19"/>
      <c r="P2070" s="19" t="s">
        <v>6396</v>
      </c>
      <c r="Q2070" s="19" t="s">
        <v>6397</v>
      </c>
      <c r="R2070" s="21" t="n">
        <v>36715</v>
      </c>
      <c r="S2070" s="19" t="s">
        <v>6427</v>
      </c>
      <c r="T2070" s="19" t="s">
        <v>6428</v>
      </c>
      <c r="U2070" s="19" t="str">
        <f aca="false">HYPERLINK("https://macaulaylibrary.org/asset/104014","Open")</f>
        <v>Open</v>
      </c>
      <c r="V2070" s="19" t="s">
        <v>6422</v>
      </c>
    </row>
    <row r="2071" customFormat="false" ht="15" hidden="false" customHeight="false" outlineLevel="0" collapsed="false">
      <c r="A2071" s="19" t="s">
        <v>6429</v>
      </c>
      <c r="B2071" s="19" t="s">
        <v>943</v>
      </c>
      <c r="C2071" s="19" t="s">
        <v>944</v>
      </c>
      <c r="D2071" s="19" t="s">
        <v>148</v>
      </c>
      <c r="E2071" s="19" t="s">
        <v>911</v>
      </c>
      <c r="F2071" s="19" t="s">
        <v>910</v>
      </c>
      <c r="G2071" s="19" t="n">
        <v>247</v>
      </c>
      <c r="H2071" s="19" t="s">
        <v>6419</v>
      </c>
      <c r="I2071" s="20" t="n">
        <v>100.143</v>
      </c>
      <c r="J2071" s="19" t="n">
        <f aca="false">IF(I2071="","",MIN(Overview!$B$8,MAX(1,CEILING(I2071/Overview!$B$7,1))))</f>
        <v>21</v>
      </c>
      <c r="K2071" s="19" t="n">
        <v>1</v>
      </c>
      <c r="L2071" s="19"/>
      <c r="M2071" s="20"/>
      <c r="N2071" s="19"/>
      <c r="O2071" s="19"/>
      <c r="P2071" s="19" t="s">
        <v>6396</v>
      </c>
      <c r="Q2071" s="19" t="s">
        <v>6397</v>
      </c>
      <c r="R2071" s="21" t="n">
        <v>36715</v>
      </c>
      <c r="S2071" s="19" t="s">
        <v>6430</v>
      </c>
      <c r="T2071" s="19" t="s">
        <v>6431</v>
      </c>
      <c r="U2071" s="19" t="str">
        <f aca="false">HYPERLINK("https://macaulaylibrary.org/asset/104015","Open")</f>
        <v>Open</v>
      </c>
      <c r="V2071" s="19" t="s">
        <v>6422</v>
      </c>
    </row>
    <row r="2072" customFormat="false" ht="15" hidden="false" customHeight="false" outlineLevel="0" collapsed="false">
      <c r="A2072" s="19" t="s">
        <v>6432</v>
      </c>
      <c r="B2072" s="19" t="s">
        <v>943</v>
      </c>
      <c r="C2072" s="19" t="s">
        <v>944</v>
      </c>
      <c r="D2072" s="19" t="s">
        <v>148</v>
      </c>
      <c r="E2072" s="19" t="s">
        <v>911</v>
      </c>
      <c r="F2072" s="19" t="s">
        <v>910</v>
      </c>
      <c r="G2072" s="19" t="n">
        <v>247</v>
      </c>
      <c r="H2072" s="19" t="s">
        <v>6433</v>
      </c>
      <c r="I2072" s="20" t="n">
        <v>18.478</v>
      </c>
      <c r="J2072" s="19" t="n">
        <f aca="false">IF(I2072="","",MIN(Overview!$B$8,MAX(1,CEILING(I2072/Overview!$B$7,1))))</f>
        <v>4</v>
      </c>
      <c r="K2072" s="19" t="n">
        <v>1</v>
      </c>
      <c r="L2072" s="19"/>
      <c r="M2072" s="20"/>
      <c r="N2072" s="19"/>
      <c r="O2072" s="19"/>
      <c r="P2072" s="19" t="s">
        <v>6396</v>
      </c>
      <c r="Q2072" s="19" t="s">
        <v>6397</v>
      </c>
      <c r="R2072" s="21" t="n">
        <v>36715</v>
      </c>
      <c r="S2072" s="19" t="s">
        <v>6434</v>
      </c>
      <c r="T2072" s="19" t="s">
        <v>6435</v>
      </c>
      <c r="U2072" s="19" t="str">
        <f aca="false">HYPERLINK("https://macaulaylibrary.org/asset/104016","Open")</f>
        <v>Open</v>
      </c>
      <c r="V2072" s="19" t="s">
        <v>6436</v>
      </c>
    </row>
    <row r="2073" customFormat="false" ht="15" hidden="false" customHeight="false" outlineLevel="0" collapsed="false">
      <c r="A2073" s="19" t="s">
        <v>6437</v>
      </c>
      <c r="B2073" s="19" t="s">
        <v>943</v>
      </c>
      <c r="C2073" s="19" t="s">
        <v>944</v>
      </c>
      <c r="D2073" s="19" t="s">
        <v>148</v>
      </c>
      <c r="E2073" s="19" t="s">
        <v>911</v>
      </c>
      <c r="F2073" s="19" t="s">
        <v>910</v>
      </c>
      <c r="G2073" s="19" t="n">
        <v>247</v>
      </c>
      <c r="H2073" s="19" t="s">
        <v>6433</v>
      </c>
      <c r="I2073" s="20" t="n">
        <v>48.589</v>
      </c>
      <c r="J2073" s="19" t="n">
        <f aca="false">IF(I2073="","",MIN(Overview!$B$8,MAX(1,CEILING(I2073/Overview!$B$7,1))))</f>
        <v>10</v>
      </c>
      <c r="K2073" s="19" t="n">
        <v>1</v>
      </c>
      <c r="L2073" s="19"/>
      <c r="M2073" s="20"/>
      <c r="N2073" s="19"/>
      <c r="O2073" s="19"/>
      <c r="P2073" s="19" t="s">
        <v>6396</v>
      </c>
      <c r="Q2073" s="19" t="s">
        <v>6397</v>
      </c>
      <c r="R2073" s="21" t="n">
        <v>36715</v>
      </c>
      <c r="S2073" s="19" t="s">
        <v>6438</v>
      </c>
      <c r="T2073" s="19" t="s">
        <v>6439</v>
      </c>
      <c r="U2073" s="19" t="str">
        <f aca="false">HYPERLINK("https://macaulaylibrary.org/asset/104017","Open")</f>
        <v>Open</v>
      </c>
      <c r="V2073" s="19" t="s">
        <v>6436</v>
      </c>
    </row>
    <row r="2074" customFormat="false" ht="15" hidden="false" customHeight="false" outlineLevel="0" collapsed="false">
      <c r="A2074" s="19" t="s">
        <v>6440</v>
      </c>
      <c r="B2074" s="19" t="s">
        <v>943</v>
      </c>
      <c r="C2074" s="19" t="s">
        <v>944</v>
      </c>
      <c r="D2074" s="19" t="s">
        <v>148</v>
      </c>
      <c r="E2074" s="19" t="s">
        <v>911</v>
      </c>
      <c r="F2074" s="19" t="s">
        <v>910</v>
      </c>
      <c r="G2074" s="19" t="n">
        <v>247</v>
      </c>
      <c r="H2074" s="19" t="s">
        <v>6441</v>
      </c>
      <c r="I2074" s="20" t="n">
        <v>593.955</v>
      </c>
      <c r="J2074" s="19" t="n">
        <f aca="false">IF(I2074="","",MIN(Overview!$B$8,MAX(1,CEILING(I2074/Overview!$B$7,1))))</f>
        <v>119</v>
      </c>
      <c r="K2074" s="19" t="n">
        <v>1</v>
      </c>
      <c r="L2074" s="19"/>
      <c r="M2074" s="20"/>
      <c r="N2074" s="19"/>
      <c r="O2074" s="19"/>
      <c r="P2074" s="19" t="s">
        <v>6442</v>
      </c>
      <c r="Q2074" s="19" t="s">
        <v>6397</v>
      </c>
      <c r="R2074" s="21" t="n">
        <v>36720</v>
      </c>
      <c r="S2074" s="19" t="s">
        <v>6443</v>
      </c>
      <c r="T2074" s="19" t="s">
        <v>6444</v>
      </c>
      <c r="U2074" s="19" t="str">
        <f aca="false">HYPERLINK("https://macaulaylibrary.org/asset/104056","Open")</f>
        <v>Open</v>
      </c>
      <c r="V2074" s="19" t="s">
        <v>6445</v>
      </c>
    </row>
    <row r="2075" customFormat="false" ht="15" hidden="false" customHeight="false" outlineLevel="0" collapsed="false">
      <c r="A2075" s="19" t="s">
        <v>6446</v>
      </c>
      <c r="B2075" s="19" t="s">
        <v>943</v>
      </c>
      <c r="C2075" s="19" t="s">
        <v>944</v>
      </c>
      <c r="D2075" s="19" t="s">
        <v>148</v>
      </c>
      <c r="E2075" s="19" t="s">
        <v>911</v>
      </c>
      <c r="F2075" s="19" t="s">
        <v>910</v>
      </c>
      <c r="G2075" s="19" t="n">
        <v>247</v>
      </c>
      <c r="H2075" s="19" t="s">
        <v>6447</v>
      </c>
      <c r="I2075" s="20" t="n">
        <v>43.388</v>
      </c>
      <c r="J2075" s="19" t="n">
        <f aca="false">IF(I2075="","",MIN(Overview!$B$8,MAX(1,CEILING(I2075/Overview!$B$7,1))))</f>
        <v>9</v>
      </c>
      <c r="K2075" s="19" t="n">
        <v>1</v>
      </c>
      <c r="L2075" s="19"/>
      <c r="M2075" s="20"/>
      <c r="N2075" s="19"/>
      <c r="O2075" s="19"/>
      <c r="P2075" s="19" t="s">
        <v>6448</v>
      </c>
      <c r="Q2075" s="19" t="s">
        <v>6397</v>
      </c>
      <c r="R2075" s="21" t="n">
        <v>36713</v>
      </c>
      <c r="S2075" s="19" t="s">
        <v>6449</v>
      </c>
      <c r="T2075" s="19" t="s">
        <v>6450</v>
      </c>
      <c r="U2075" s="19" t="str">
        <f aca="false">HYPERLINK("https://macaulaylibrary.org/asset/104058","Open")</f>
        <v>Open</v>
      </c>
      <c r="V2075" s="19" t="s">
        <v>6451</v>
      </c>
    </row>
    <row r="2076" customFormat="false" ht="15" hidden="false" customHeight="false" outlineLevel="0" collapsed="false">
      <c r="A2076" s="19" t="s">
        <v>6452</v>
      </c>
      <c r="B2076" s="19" t="s">
        <v>943</v>
      </c>
      <c r="C2076" s="19" t="s">
        <v>944</v>
      </c>
      <c r="D2076" s="19" t="s">
        <v>148</v>
      </c>
      <c r="E2076" s="19" t="s">
        <v>911</v>
      </c>
      <c r="F2076" s="19" t="s">
        <v>910</v>
      </c>
      <c r="G2076" s="19" t="n">
        <v>247</v>
      </c>
      <c r="H2076" s="19" t="s">
        <v>6453</v>
      </c>
      <c r="I2076" s="20" t="n">
        <v>40.937</v>
      </c>
      <c r="J2076" s="19" t="n">
        <f aca="false">IF(I2076="","",MIN(Overview!$B$8,MAX(1,CEILING(I2076/Overview!$B$7,1))))</f>
        <v>9</v>
      </c>
      <c r="K2076" s="19" t="n">
        <v>1</v>
      </c>
      <c r="L2076" s="19"/>
      <c r="M2076" s="20"/>
      <c r="N2076" s="19"/>
      <c r="O2076" s="19"/>
      <c r="P2076" s="19" t="s">
        <v>6448</v>
      </c>
      <c r="Q2076" s="19" t="s">
        <v>6397</v>
      </c>
      <c r="R2076" s="21" t="n">
        <v>36713</v>
      </c>
      <c r="S2076" s="19" t="s">
        <v>6449</v>
      </c>
      <c r="T2076" s="19" t="s">
        <v>6454</v>
      </c>
      <c r="U2076" s="19" t="str">
        <f aca="false">HYPERLINK("https://macaulaylibrary.org/asset/104059","Open")</f>
        <v>Open</v>
      </c>
      <c r="V2076" s="19" t="s">
        <v>6455</v>
      </c>
    </row>
    <row r="2077" customFormat="false" ht="15" hidden="false" customHeight="false" outlineLevel="0" collapsed="false">
      <c r="A2077" s="19" t="s">
        <v>6456</v>
      </c>
      <c r="B2077" s="19" t="s">
        <v>943</v>
      </c>
      <c r="C2077" s="19" t="s">
        <v>944</v>
      </c>
      <c r="D2077" s="19" t="s">
        <v>148</v>
      </c>
      <c r="E2077" s="19" t="s">
        <v>911</v>
      </c>
      <c r="F2077" s="19" t="s">
        <v>910</v>
      </c>
      <c r="G2077" s="19" t="n">
        <v>247</v>
      </c>
      <c r="H2077" s="19" t="s">
        <v>6453</v>
      </c>
      <c r="I2077" s="20" t="n">
        <v>24.146</v>
      </c>
      <c r="J2077" s="19" t="n">
        <f aca="false">IF(I2077="","",MIN(Overview!$B$8,MAX(1,CEILING(I2077/Overview!$B$7,1))))</f>
        <v>5</v>
      </c>
      <c r="K2077" s="19" t="n">
        <v>1</v>
      </c>
      <c r="L2077" s="19"/>
      <c r="M2077" s="20"/>
      <c r="N2077" s="19"/>
      <c r="O2077" s="19"/>
      <c r="P2077" s="19" t="s">
        <v>6448</v>
      </c>
      <c r="Q2077" s="19" t="s">
        <v>6397</v>
      </c>
      <c r="R2077" s="21" t="n">
        <v>36713</v>
      </c>
      <c r="S2077" s="19" t="s">
        <v>6449</v>
      </c>
      <c r="T2077" s="19" t="s">
        <v>6457</v>
      </c>
      <c r="U2077" s="19" t="str">
        <f aca="false">HYPERLINK("https://macaulaylibrary.org/asset/104060","Open")</f>
        <v>Open</v>
      </c>
      <c r="V2077" s="19" t="s">
        <v>6455</v>
      </c>
    </row>
    <row r="2078" customFormat="false" ht="15" hidden="false" customHeight="false" outlineLevel="0" collapsed="false">
      <c r="A2078" s="19" t="s">
        <v>6458</v>
      </c>
      <c r="B2078" s="19" t="s">
        <v>943</v>
      </c>
      <c r="C2078" s="19" t="s">
        <v>944</v>
      </c>
      <c r="D2078" s="19" t="s">
        <v>148</v>
      </c>
      <c r="E2078" s="19" t="s">
        <v>911</v>
      </c>
      <c r="F2078" s="19" t="s">
        <v>910</v>
      </c>
      <c r="G2078" s="19" t="n">
        <v>247</v>
      </c>
      <c r="H2078" s="19" t="s">
        <v>6453</v>
      </c>
      <c r="I2078" s="20" t="n">
        <v>26.658</v>
      </c>
      <c r="J2078" s="19" t="n">
        <f aca="false">IF(I2078="","",MIN(Overview!$B$8,MAX(1,CEILING(I2078/Overview!$B$7,1))))</f>
        <v>6</v>
      </c>
      <c r="K2078" s="19" t="n">
        <v>1</v>
      </c>
      <c r="L2078" s="19"/>
      <c r="M2078" s="20"/>
      <c r="N2078" s="19"/>
      <c r="O2078" s="19"/>
      <c r="P2078" s="19" t="s">
        <v>6448</v>
      </c>
      <c r="Q2078" s="19" t="s">
        <v>6397</v>
      </c>
      <c r="R2078" s="21" t="n">
        <v>36713</v>
      </c>
      <c r="S2078" s="19" t="s">
        <v>1715</v>
      </c>
      <c r="T2078" s="19" t="s">
        <v>6459</v>
      </c>
      <c r="U2078" s="19" t="str">
        <f aca="false">HYPERLINK("https://macaulaylibrary.org/asset/104061","Open")</f>
        <v>Open</v>
      </c>
      <c r="V2078" s="19" t="s">
        <v>6455</v>
      </c>
    </row>
    <row r="2079" customFormat="false" ht="15" hidden="false" customHeight="false" outlineLevel="0" collapsed="false">
      <c r="A2079" s="19" t="s">
        <v>6460</v>
      </c>
      <c r="B2079" s="19" t="s">
        <v>943</v>
      </c>
      <c r="C2079" s="19" t="s">
        <v>944</v>
      </c>
      <c r="D2079" s="19" t="s">
        <v>148</v>
      </c>
      <c r="E2079" s="19" t="s">
        <v>911</v>
      </c>
      <c r="F2079" s="19" t="s">
        <v>910</v>
      </c>
      <c r="G2079" s="19" t="n">
        <v>247</v>
      </c>
      <c r="H2079" s="19" t="s">
        <v>6453</v>
      </c>
      <c r="I2079" s="20" t="n">
        <v>28.635</v>
      </c>
      <c r="J2079" s="19" t="n">
        <f aca="false">IF(I2079="","",MIN(Overview!$B$8,MAX(1,CEILING(I2079/Overview!$B$7,1))))</f>
        <v>6</v>
      </c>
      <c r="K2079" s="19" t="n">
        <v>1</v>
      </c>
      <c r="L2079" s="19"/>
      <c r="M2079" s="20"/>
      <c r="N2079" s="19"/>
      <c r="O2079" s="19"/>
      <c r="P2079" s="19" t="s">
        <v>6448</v>
      </c>
      <c r="Q2079" s="19" t="s">
        <v>6397</v>
      </c>
      <c r="R2079" s="21" t="n">
        <v>36713</v>
      </c>
      <c r="S2079" s="19" t="s">
        <v>2088</v>
      </c>
      <c r="T2079" s="19" t="s">
        <v>6461</v>
      </c>
      <c r="U2079" s="19" t="str">
        <f aca="false">HYPERLINK("https://macaulaylibrary.org/asset/104062","Open")</f>
        <v>Open</v>
      </c>
      <c r="V2079" s="19" t="s">
        <v>6455</v>
      </c>
    </row>
    <row r="2080" customFormat="false" ht="15" hidden="false" customHeight="false" outlineLevel="0" collapsed="false">
      <c r="A2080" s="19" t="s">
        <v>6462</v>
      </c>
      <c r="B2080" s="19" t="s">
        <v>943</v>
      </c>
      <c r="C2080" s="19" t="s">
        <v>944</v>
      </c>
      <c r="D2080" s="19" t="s">
        <v>148</v>
      </c>
      <c r="E2080" s="19" t="s">
        <v>911</v>
      </c>
      <c r="F2080" s="19" t="s">
        <v>910</v>
      </c>
      <c r="G2080" s="19" t="n">
        <v>247</v>
      </c>
      <c r="H2080" s="19" t="s">
        <v>6463</v>
      </c>
      <c r="I2080" s="20" t="n">
        <v>32.465</v>
      </c>
      <c r="J2080" s="19" t="n">
        <f aca="false">IF(I2080="","",MIN(Overview!$B$8,MAX(1,CEILING(I2080/Overview!$B$7,1))))</f>
        <v>7</v>
      </c>
      <c r="K2080" s="19" t="n">
        <v>1</v>
      </c>
      <c r="L2080" s="19"/>
      <c r="M2080" s="20"/>
      <c r="N2080" s="19"/>
      <c r="O2080" s="19"/>
      <c r="P2080" s="19" t="s">
        <v>6448</v>
      </c>
      <c r="Q2080" s="19" t="s">
        <v>6397</v>
      </c>
      <c r="R2080" s="21" t="n">
        <v>36713</v>
      </c>
      <c r="S2080" s="19" t="s">
        <v>2088</v>
      </c>
      <c r="T2080" s="19" t="s">
        <v>6464</v>
      </c>
      <c r="U2080" s="19" t="str">
        <f aca="false">HYPERLINK("https://macaulaylibrary.org/asset/104063","Open")</f>
        <v>Open</v>
      </c>
      <c r="V2080" s="19" t="s">
        <v>6465</v>
      </c>
    </row>
    <row r="2081" customFormat="false" ht="15" hidden="false" customHeight="false" outlineLevel="0" collapsed="false">
      <c r="A2081" s="19" t="s">
        <v>6466</v>
      </c>
      <c r="B2081" s="19" t="s">
        <v>943</v>
      </c>
      <c r="C2081" s="19" t="s">
        <v>944</v>
      </c>
      <c r="D2081" s="19" t="s">
        <v>148</v>
      </c>
      <c r="E2081" s="19" t="s">
        <v>911</v>
      </c>
      <c r="F2081" s="19" t="s">
        <v>910</v>
      </c>
      <c r="G2081" s="19" t="n">
        <v>247</v>
      </c>
      <c r="H2081" s="19" t="s">
        <v>6447</v>
      </c>
      <c r="I2081" s="20" t="n">
        <v>53.683</v>
      </c>
      <c r="J2081" s="19" t="n">
        <f aca="false">IF(I2081="","",MIN(Overview!$B$8,MAX(1,CEILING(I2081/Overview!$B$7,1))))</f>
        <v>11</v>
      </c>
      <c r="K2081" s="19" t="n">
        <v>1</v>
      </c>
      <c r="L2081" s="19"/>
      <c r="M2081" s="20"/>
      <c r="N2081" s="19"/>
      <c r="O2081" s="19"/>
      <c r="P2081" s="19" t="s">
        <v>6448</v>
      </c>
      <c r="Q2081" s="19" t="s">
        <v>6397</v>
      </c>
      <c r="R2081" s="21" t="n">
        <v>36713</v>
      </c>
      <c r="S2081" s="19" t="s">
        <v>2088</v>
      </c>
      <c r="T2081" s="19" t="s">
        <v>6467</v>
      </c>
      <c r="U2081" s="19" t="str">
        <f aca="false">HYPERLINK("https://macaulaylibrary.org/asset/104064","Open")</f>
        <v>Open</v>
      </c>
      <c r="V2081" s="19" t="s">
        <v>6451</v>
      </c>
    </row>
    <row r="2082" customFormat="false" ht="15" hidden="false" customHeight="false" outlineLevel="0" collapsed="false">
      <c r="A2082" s="19" t="s">
        <v>6468</v>
      </c>
      <c r="B2082" s="19" t="s">
        <v>943</v>
      </c>
      <c r="C2082" s="19" t="s">
        <v>944</v>
      </c>
      <c r="D2082" s="19" t="s">
        <v>148</v>
      </c>
      <c r="E2082" s="19" t="s">
        <v>911</v>
      </c>
      <c r="F2082" s="19" t="s">
        <v>910</v>
      </c>
      <c r="G2082" s="19" t="n">
        <v>247</v>
      </c>
      <c r="H2082" s="19" t="s">
        <v>6447</v>
      </c>
      <c r="I2082" s="20" t="n">
        <v>29.385</v>
      </c>
      <c r="J2082" s="19" t="n">
        <f aca="false">IF(I2082="","",MIN(Overview!$B$8,MAX(1,CEILING(I2082/Overview!$B$7,1))))</f>
        <v>6</v>
      </c>
      <c r="K2082" s="19" t="n">
        <v>1</v>
      </c>
      <c r="L2082" s="19"/>
      <c r="M2082" s="20"/>
      <c r="N2082" s="19"/>
      <c r="O2082" s="19"/>
      <c r="P2082" s="19" t="s">
        <v>6448</v>
      </c>
      <c r="Q2082" s="19" t="s">
        <v>6397</v>
      </c>
      <c r="R2082" s="21" t="n">
        <v>36713</v>
      </c>
      <c r="S2082" s="19" t="s">
        <v>2088</v>
      </c>
      <c r="T2082" s="19" t="s">
        <v>6469</v>
      </c>
      <c r="U2082" s="19" t="str">
        <f aca="false">HYPERLINK("https://macaulaylibrary.org/asset/104065","Open")</f>
        <v>Open</v>
      </c>
      <c r="V2082" s="19" t="s">
        <v>6451</v>
      </c>
    </row>
    <row r="2083" customFormat="false" ht="15" hidden="false" customHeight="false" outlineLevel="0" collapsed="false">
      <c r="A2083" s="19" t="s">
        <v>6470</v>
      </c>
      <c r="B2083" s="19" t="s">
        <v>943</v>
      </c>
      <c r="C2083" s="19" t="s">
        <v>944</v>
      </c>
      <c r="D2083" s="19" t="s">
        <v>148</v>
      </c>
      <c r="E2083" s="19" t="s">
        <v>911</v>
      </c>
      <c r="F2083" s="19" t="s">
        <v>910</v>
      </c>
      <c r="G2083" s="19" t="n">
        <v>247</v>
      </c>
      <c r="H2083" s="19" t="s">
        <v>6463</v>
      </c>
      <c r="I2083" s="20" t="n">
        <v>47.05</v>
      </c>
      <c r="J2083" s="19" t="n">
        <f aca="false">IF(I2083="","",MIN(Overview!$B$8,MAX(1,CEILING(I2083/Overview!$B$7,1))))</f>
        <v>10</v>
      </c>
      <c r="K2083" s="19" t="n">
        <v>1</v>
      </c>
      <c r="L2083" s="19"/>
      <c r="M2083" s="20"/>
      <c r="N2083" s="19"/>
      <c r="O2083" s="19"/>
      <c r="P2083" s="19" t="s">
        <v>6448</v>
      </c>
      <c r="Q2083" s="19" t="s">
        <v>6397</v>
      </c>
      <c r="R2083" s="21" t="n">
        <v>36713</v>
      </c>
      <c r="S2083" s="19" t="s">
        <v>1774</v>
      </c>
      <c r="T2083" s="19" t="s">
        <v>6471</v>
      </c>
      <c r="U2083" s="19" t="str">
        <f aca="false">HYPERLINK("https://macaulaylibrary.org/asset/104066","Open")</f>
        <v>Open</v>
      </c>
      <c r="V2083" s="19" t="s">
        <v>6465</v>
      </c>
    </row>
    <row r="2084" customFormat="false" ht="15" hidden="false" customHeight="false" outlineLevel="0" collapsed="false">
      <c r="A2084" s="19" t="s">
        <v>6472</v>
      </c>
      <c r="B2084" s="19" t="s">
        <v>943</v>
      </c>
      <c r="C2084" s="19" t="s">
        <v>944</v>
      </c>
      <c r="D2084" s="19" t="s">
        <v>148</v>
      </c>
      <c r="E2084" s="19" t="s">
        <v>911</v>
      </c>
      <c r="F2084" s="19" t="s">
        <v>910</v>
      </c>
      <c r="G2084" s="19" t="n">
        <v>247</v>
      </c>
      <c r="H2084" s="19" t="s">
        <v>6463</v>
      </c>
      <c r="I2084" s="20" t="n">
        <v>54.465</v>
      </c>
      <c r="J2084" s="19" t="n">
        <f aca="false">IF(I2084="","",MIN(Overview!$B$8,MAX(1,CEILING(I2084/Overview!$B$7,1))))</f>
        <v>11</v>
      </c>
      <c r="K2084" s="19" t="n">
        <v>1</v>
      </c>
      <c r="L2084" s="19"/>
      <c r="M2084" s="20"/>
      <c r="N2084" s="19"/>
      <c r="O2084" s="19"/>
      <c r="P2084" s="19" t="s">
        <v>6448</v>
      </c>
      <c r="Q2084" s="19" t="s">
        <v>6397</v>
      </c>
      <c r="R2084" s="21" t="n">
        <v>36713</v>
      </c>
      <c r="S2084" s="19" t="s">
        <v>1774</v>
      </c>
      <c r="T2084" s="19" t="s">
        <v>6473</v>
      </c>
      <c r="U2084" s="19" t="str">
        <f aca="false">HYPERLINK("https://macaulaylibrary.org/asset/104067","Open")</f>
        <v>Open</v>
      </c>
      <c r="V2084" s="19" t="s">
        <v>6465</v>
      </c>
    </row>
    <row r="2085" customFormat="false" ht="15" hidden="false" customHeight="false" outlineLevel="0" collapsed="false">
      <c r="A2085" s="19" t="s">
        <v>6474</v>
      </c>
      <c r="B2085" s="19" t="s">
        <v>943</v>
      </c>
      <c r="C2085" s="19" t="s">
        <v>944</v>
      </c>
      <c r="D2085" s="19" t="s">
        <v>148</v>
      </c>
      <c r="E2085" s="19" t="s">
        <v>911</v>
      </c>
      <c r="F2085" s="19" t="s">
        <v>910</v>
      </c>
      <c r="G2085" s="19" t="n">
        <v>247</v>
      </c>
      <c r="H2085" s="19" t="s">
        <v>6463</v>
      </c>
      <c r="I2085" s="20" t="n">
        <v>94.727</v>
      </c>
      <c r="J2085" s="19" t="n">
        <f aca="false">IF(I2085="","",MIN(Overview!$B$8,MAX(1,CEILING(I2085/Overview!$B$7,1))))</f>
        <v>19</v>
      </c>
      <c r="K2085" s="19" t="n">
        <v>1</v>
      </c>
      <c r="L2085" s="19"/>
      <c r="M2085" s="20"/>
      <c r="N2085" s="19"/>
      <c r="O2085" s="19"/>
      <c r="P2085" s="19" t="s">
        <v>6448</v>
      </c>
      <c r="Q2085" s="19" t="s">
        <v>6397</v>
      </c>
      <c r="R2085" s="21" t="n">
        <v>36713</v>
      </c>
      <c r="S2085" s="19" t="s">
        <v>1550</v>
      </c>
      <c r="T2085" s="19" t="s">
        <v>6475</v>
      </c>
      <c r="U2085" s="19" t="str">
        <f aca="false">HYPERLINK("https://macaulaylibrary.org/asset/104068","Open")</f>
        <v>Open</v>
      </c>
      <c r="V2085" s="19" t="s">
        <v>6465</v>
      </c>
    </row>
    <row r="2086" customFormat="false" ht="15" hidden="false" customHeight="false" outlineLevel="0" collapsed="false">
      <c r="A2086" s="19" t="s">
        <v>6476</v>
      </c>
      <c r="B2086" s="19" t="s">
        <v>943</v>
      </c>
      <c r="C2086" s="19" t="s">
        <v>944</v>
      </c>
      <c r="D2086" s="19" t="s">
        <v>148</v>
      </c>
      <c r="E2086" s="19" t="s">
        <v>911</v>
      </c>
      <c r="F2086" s="19" t="s">
        <v>910</v>
      </c>
      <c r="G2086" s="19" t="n">
        <v>247</v>
      </c>
      <c r="H2086" s="19" t="s">
        <v>6463</v>
      </c>
      <c r="I2086" s="20" t="n">
        <v>33.476</v>
      </c>
      <c r="J2086" s="19" t="n">
        <f aca="false">IF(I2086="","",MIN(Overview!$B$8,MAX(1,CEILING(I2086/Overview!$B$7,1))))</f>
        <v>7</v>
      </c>
      <c r="K2086" s="19" t="n">
        <v>1</v>
      </c>
      <c r="L2086" s="19"/>
      <c r="M2086" s="20"/>
      <c r="N2086" s="19"/>
      <c r="O2086" s="19"/>
      <c r="P2086" s="19" t="s">
        <v>6448</v>
      </c>
      <c r="Q2086" s="19" t="s">
        <v>6397</v>
      </c>
      <c r="R2086" s="21" t="n">
        <v>36713</v>
      </c>
      <c r="S2086" s="19" t="s">
        <v>1550</v>
      </c>
      <c r="T2086" s="19" t="s">
        <v>6477</v>
      </c>
      <c r="U2086" s="19" t="str">
        <f aca="false">HYPERLINK("https://macaulaylibrary.org/asset/104069","Open")</f>
        <v>Open</v>
      </c>
      <c r="V2086" s="19" t="s">
        <v>6465</v>
      </c>
    </row>
    <row r="2087" customFormat="false" ht="15" hidden="false" customHeight="false" outlineLevel="0" collapsed="false">
      <c r="A2087" s="19" t="s">
        <v>6478</v>
      </c>
      <c r="B2087" s="19" t="s">
        <v>943</v>
      </c>
      <c r="C2087" s="19" t="s">
        <v>944</v>
      </c>
      <c r="D2087" s="19" t="s">
        <v>148</v>
      </c>
      <c r="E2087" s="19" t="s">
        <v>911</v>
      </c>
      <c r="F2087" s="19" t="s">
        <v>910</v>
      </c>
      <c r="G2087" s="19" t="n">
        <v>247</v>
      </c>
      <c r="H2087" s="19" t="s">
        <v>6463</v>
      </c>
      <c r="I2087" s="20" t="n">
        <v>57.697</v>
      </c>
      <c r="J2087" s="19" t="n">
        <f aca="false">IF(I2087="","",MIN(Overview!$B$8,MAX(1,CEILING(I2087/Overview!$B$7,1))))</f>
        <v>12</v>
      </c>
      <c r="K2087" s="19" t="n">
        <v>1</v>
      </c>
      <c r="L2087" s="19"/>
      <c r="M2087" s="20"/>
      <c r="N2087" s="19"/>
      <c r="O2087" s="19"/>
      <c r="P2087" s="19" t="s">
        <v>6448</v>
      </c>
      <c r="Q2087" s="19" t="s">
        <v>6397</v>
      </c>
      <c r="R2087" s="21" t="n">
        <v>36713</v>
      </c>
      <c r="S2087" s="19" t="s">
        <v>6479</v>
      </c>
      <c r="T2087" s="19" t="s">
        <v>6480</v>
      </c>
      <c r="U2087" s="19" t="str">
        <f aca="false">HYPERLINK("https://macaulaylibrary.org/asset/104070","Open")</f>
        <v>Open</v>
      </c>
      <c r="V2087" s="19" t="s">
        <v>6465</v>
      </c>
    </row>
    <row r="2088" customFormat="false" ht="15" hidden="false" customHeight="false" outlineLevel="0" collapsed="false">
      <c r="A2088" s="19" t="s">
        <v>6481</v>
      </c>
      <c r="B2088" s="19" t="s">
        <v>943</v>
      </c>
      <c r="C2088" s="19" t="s">
        <v>944</v>
      </c>
      <c r="D2088" s="19" t="s">
        <v>148</v>
      </c>
      <c r="E2088" s="19" t="s">
        <v>911</v>
      </c>
      <c r="F2088" s="19" t="s">
        <v>910</v>
      </c>
      <c r="G2088" s="19" t="n">
        <v>247</v>
      </c>
      <c r="H2088" s="19" t="s">
        <v>6463</v>
      </c>
      <c r="I2088" s="20" t="n">
        <v>54.802</v>
      </c>
      <c r="J2088" s="19" t="n">
        <f aca="false">IF(I2088="","",MIN(Overview!$B$8,MAX(1,CEILING(I2088/Overview!$B$7,1))))</f>
        <v>11</v>
      </c>
      <c r="K2088" s="19" t="n">
        <v>1</v>
      </c>
      <c r="L2088" s="19"/>
      <c r="M2088" s="20"/>
      <c r="N2088" s="19"/>
      <c r="O2088" s="19"/>
      <c r="P2088" s="19" t="s">
        <v>6448</v>
      </c>
      <c r="Q2088" s="19" t="s">
        <v>6397</v>
      </c>
      <c r="R2088" s="21" t="n">
        <v>36713</v>
      </c>
      <c r="S2088" s="19" t="s">
        <v>2933</v>
      </c>
      <c r="T2088" s="19" t="s">
        <v>6482</v>
      </c>
      <c r="U2088" s="19" t="str">
        <f aca="false">HYPERLINK("https://macaulaylibrary.org/asset/104071","Open")</f>
        <v>Open</v>
      </c>
      <c r="V2088" s="19" t="s">
        <v>6465</v>
      </c>
    </row>
    <row r="2089" customFormat="false" ht="15" hidden="false" customHeight="false" outlineLevel="0" collapsed="false">
      <c r="A2089" s="19" t="s">
        <v>6483</v>
      </c>
      <c r="B2089" s="19" t="s">
        <v>943</v>
      </c>
      <c r="C2089" s="19" t="s">
        <v>944</v>
      </c>
      <c r="D2089" s="19" t="s">
        <v>148</v>
      </c>
      <c r="E2089" s="19" t="s">
        <v>911</v>
      </c>
      <c r="F2089" s="19" t="s">
        <v>910</v>
      </c>
      <c r="G2089" s="19" t="n">
        <v>247</v>
      </c>
      <c r="H2089" s="19" t="s">
        <v>6463</v>
      </c>
      <c r="I2089" s="20" t="n">
        <v>52.764</v>
      </c>
      <c r="J2089" s="19" t="n">
        <f aca="false">IF(I2089="","",MIN(Overview!$B$8,MAX(1,CEILING(I2089/Overview!$B$7,1))))</f>
        <v>11</v>
      </c>
      <c r="K2089" s="19" t="n">
        <v>1</v>
      </c>
      <c r="L2089" s="19"/>
      <c r="M2089" s="20"/>
      <c r="N2089" s="19"/>
      <c r="O2089" s="19"/>
      <c r="P2089" s="19" t="s">
        <v>6448</v>
      </c>
      <c r="Q2089" s="19" t="s">
        <v>6397</v>
      </c>
      <c r="R2089" s="21" t="n">
        <v>36713</v>
      </c>
      <c r="S2089" s="19" t="s">
        <v>2820</v>
      </c>
      <c r="T2089" s="19" t="s">
        <v>6484</v>
      </c>
      <c r="U2089" s="19" t="str">
        <f aca="false">HYPERLINK("https://macaulaylibrary.org/asset/104072","Open")</f>
        <v>Open</v>
      </c>
      <c r="V2089" s="19" t="s">
        <v>6465</v>
      </c>
    </row>
    <row r="2090" customFormat="false" ht="15" hidden="false" customHeight="false" outlineLevel="0" collapsed="false">
      <c r="A2090" s="19" t="s">
        <v>6485</v>
      </c>
      <c r="B2090" s="19" t="s">
        <v>943</v>
      </c>
      <c r="C2090" s="19" t="s">
        <v>944</v>
      </c>
      <c r="D2090" s="19" t="s">
        <v>148</v>
      </c>
      <c r="E2090" s="19" t="s">
        <v>911</v>
      </c>
      <c r="F2090" s="19" t="s">
        <v>910</v>
      </c>
      <c r="G2090" s="19" t="n">
        <v>247</v>
      </c>
      <c r="H2090" s="19" t="s">
        <v>6447</v>
      </c>
      <c r="I2090" s="20" t="n">
        <v>55.66</v>
      </c>
      <c r="J2090" s="19" t="n">
        <f aca="false">IF(I2090="","",MIN(Overview!$B$8,MAX(1,CEILING(I2090/Overview!$B$7,1))))</f>
        <v>12</v>
      </c>
      <c r="K2090" s="19" t="n">
        <v>1</v>
      </c>
      <c r="L2090" s="19"/>
      <c r="M2090" s="20"/>
      <c r="N2090" s="19"/>
      <c r="O2090" s="19"/>
      <c r="P2090" s="19" t="s">
        <v>6448</v>
      </c>
      <c r="Q2090" s="19" t="s">
        <v>6397</v>
      </c>
      <c r="R2090" s="21" t="n">
        <v>36713</v>
      </c>
      <c r="S2090" s="19" t="s">
        <v>6486</v>
      </c>
      <c r="T2090" s="19" t="s">
        <v>6487</v>
      </c>
      <c r="U2090" s="19" t="str">
        <f aca="false">HYPERLINK("https://macaulaylibrary.org/asset/104073","Open")</f>
        <v>Open</v>
      </c>
      <c r="V2090" s="19" t="s">
        <v>6451</v>
      </c>
    </row>
    <row r="2091" customFormat="false" ht="15" hidden="false" customHeight="false" outlineLevel="0" collapsed="false">
      <c r="A2091" s="19" t="s">
        <v>6488</v>
      </c>
      <c r="B2091" s="19" t="s">
        <v>943</v>
      </c>
      <c r="C2091" s="19" t="s">
        <v>944</v>
      </c>
      <c r="D2091" s="19" t="s">
        <v>148</v>
      </c>
      <c r="E2091" s="19" t="s">
        <v>911</v>
      </c>
      <c r="F2091" s="19" t="s">
        <v>910</v>
      </c>
      <c r="G2091" s="19" t="n">
        <v>247</v>
      </c>
      <c r="H2091" s="19" t="s">
        <v>6447</v>
      </c>
      <c r="I2091" s="20" t="n">
        <v>54.128</v>
      </c>
      <c r="J2091" s="19" t="n">
        <f aca="false">IF(I2091="","",MIN(Overview!$B$8,MAX(1,CEILING(I2091/Overview!$B$7,1))))</f>
        <v>11</v>
      </c>
      <c r="K2091" s="19" t="n">
        <v>1</v>
      </c>
      <c r="L2091" s="19"/>
      <c r="M2091" s="20"/>
      <c r="N2091" s="19"/>
      <c r="O2091" s="19"/>
      <c r="P2091" s="19" t="s">
        <v>6448</v>
      </c>
      <c r="Q2091" s="19" t="s">
        <v>6397</v>
      </c>
      <c r="R2091" s="21" t="n">
        <v>36713</v>
      </c>
      <c r="S2091" s="19" t="s">
        <v>2804</v>
      </c>
      <c r="T2091" s="19" t="s">
        <v>6489</v>
      </c>
      <c r="U2091" s="19" t="str">
        <f aca="false">HYPERLINK("https://macaulaylibrary.org/asset/104074","Open")</f>
        <v>Open</v>
      </c>
      <c r="V2091" s="19" t="s">
        <v>6451</v>
      </c>
    </row>
    <row r="2092" customFormat="false" ht="15" hidden="false" customHeight="false" outlineLevel="0" collapsed="false">
      <c r="A2092" s="19" t="s">
        <v>6490</v>
      </c>
      <c r="B2092" s="19" t="s">
        <v>943</v>
      </c>
      <c r="C2092" s="19" t="s">
        <v>944</v>
      </c>
      <c r="D2092" s="19" t="s">
        <v>148</v>
      </c>
      <c r="E2092" s="19" t="s">
        <v>911</v>
      </c>
      <c r="F2092" s="19" t="s">
        <v>910</v>
      </c>
      <c r="G2092" s="19" t="n">
        <v>247</v>
      </c>
      <c r="H2092" s="19" t="s">
        <v>6447</v>
      </c>
      <c r="I2092" s="20" t="n">
        <v>54.495</v>
      </c>
      <c r="J2092" s="19" t="n">
        <f aca="false">IF(I2092="","",MIN(Overview!$B$8,MAX(1,CEILING(I2092/Overview!$B$7,1))))</f>
        <v>11</v>
      </c>
      <c r="K2092" s="19" t="n">
        <v>1</v>
      </c>
      <c r="L2092" s="19"/>
      <c r="M2092" s="20"/>
      <c r="N2092" s="19"/>
      <c r="O2092" s="19"/>
      <c r="P2092" s="19" t="s">
        <v>6448</v>
      </c>
      <c r="Q2092" s="19" t="s">
        <v>6397</v>
      </c>
      <c r="R2092" s="21" t="n">
        <v>36713</v>
      </c>
      <c r="S2092" s="19" t="s">
        <v>3678</v>
      </c>
      <c r="T2092" s="19" t="s">
        <v>6491</v>
      </c>
      <c r="U2092" s="19" t="str">
        <f aca="false">HYPERLINK("https://macaulaylibrary.org/asset/104075","Open")</f>
        <v>Open</v>
      </c>
      <c r="V2092" s="19" t="s">
        <v>6451</v>
      </c>
    </row>
    <row r="2093" customFormat="false" ht="15" hidden="false" customHeight="false" outlineLevel="0" collapsed="false">
      <c r="A2093" s="19" t="s">
        <v>6492</v>
      </c>
      <c r="B2093" s="19" t="s">
        <v>943</v>
      </c>
      <c r="C2093" s="19" t="s">
        <v>944</v>
      </c>
      <c r="D2093" s="19" t="s">
        <v>148</v>
      </c>
      <c r="E2093" s="19" t="s">
        <v>911</v>
      </c>
      <c r="F2093" s="19" t="s">
        <v>910</v>
      </c>
      <c r="G2093" s="19" t="n">
        <v>247</v>
      </c>
      <c r="H2093" s="19" t="s">
        <v>6447</v>
      </c>
      <c r="I2093" s="20" t="n">
        <v>51.447</v>
      </c>
      <c r="J2093" s="19" t="n">
        <f aca="false">IF(I2093="","",MIN(Overview!$B$8,MAX(1,CEILING(I2093/Overview!$B$7,1))))</f>
        <v>11</v>
      </c>
      <c r="K2093" s="19" t="n">
        <v>1</v>
      </c>
      <c r="L2093" s="19"/>
      <c r="M2093" s="20"/>
      <c r="N2093" s="19"/>
      <c r="O2093" s="19"/>
      <c r="P2093" s="19" t="s">
        <v>6448</v>
      </c>
      <c r="Q2093" s="19" t="s">
        <v>6397</v>
      </c>
      <c r="R2093" s="21" t="n">
        <v>36713</v>
      </c>
      <c r="S2093" s="19" t="s">
        <v>6493</v>
      </c>
      <c r="T2093" s="19" t="s">
        <v>6494</v>
      </c>
      <c r="U2093" s="19" t="str">
        <f aca="false">HYPERLINK("https://macaulaylibrary.org/asset/104076","Open")</f>
        <v>Open</v>
      </c>
      <c r="V2093" s="19" t="s">
        <v>6451</v>
      </c>
    </row>
    <row r="2094" customFormat="false" ht="15" hidden="false" customHeight="false" outlineLevel="0" collapsed="false">
      <c r="A2094" s="19" t="s">
        <v>6495</v>
      </c>
      <c r="B2094" s="19" t="s">
        <v>943</v>
      </c>
      <c r="C2094" s="19" t="s">
        <v>944</v>
      </c>
      <c r="D2094" s="19" t="s">
        <v>148</v>
      </c>
      <c r="E2094" s="19" t="s">
        <v>911</v>
      </c>
      <c r="F2094" s="19" t="s">
        <v>910</v>
      </c>
      <c r="G2094" s="19" t="n">
        <v>247</v>
      </c>
      <c r="H2094" s="19" t="s">
        <v>6447</v>
      </c>
      <c r="I2094" s="20" t="n">
        <v>53.316</v>
      </c>
      <c r="J2094" s="19" t="n">
        <f aca="false">IF(I2094="","",MIN(Overview!$B$8,MAX(1,CEILING(I2094/Overview!$B$7,1))))</f>
        <v>11</v>
      </c>
      <c r="K2094" s="19" t="n">
        <v>1</v>
      </c>
      <c r="L2094" s="19"/>
      <c r="M2094" s="20"/>
      <c r="N2094" s="19"/>
      <c r="O2094" s="19"/>
      <c r="P2094" s="19" t="s">
        <v>6448</v>
      </c>
      <c r="Q2094" s="19" t="s">
        <v>6397</v>
      </c>
      <c r="R2094" s="21" t="n">
        <v>36713</v>
      </c>
      <c r="S2094" s="19" t="s">
        <v>4458</v>
      </c>
      <c r="T2094" s="19" t="s">
        <v>6496</v>
      </c>
      <c r="U2094" s="19" t="str">
        <f aca="false">HYPERLINK("https://macaulaylibrary.org/asset/104077","Open")</f>
        <v>Open</v>
      </c>
      <c r="V2094" s="19" t="s">
        <v>6451</v>
      </c>
    </row>
    <row r="2095" customFormat="false" ht="15" hidden="false" customHeight="false" outlineLevel="0" collapsed="false">
      <c r="A2095" s="19" t="s">
        <v>6497</v>
      </c>
      <c r="B2095" s="19" t="s">
        <v>943</v>
      </c>
      <c r="C2095" s="19" t="s">
        <v>944</v>
      </c>
      <c r="D2095" s="19" t="s">
        <v>148</v>
      </c>
      <c r="E2095" s="19" t="s">
        <v>911</v>
      </c>
      <c r="F2095" s="19" t="s">
        <v>910</v>
      </c>
      <c r="G2095" s="19" t="n">
        <v>247</v>
      </c>
      <c r="H2095" s="19" t="s">
        <v>6463</v>
      </c>
      <c r="I2095" s="20" t="n">
        <v>72.481</v>
      </c>
      <c r="J2095" s="19" t="n">
        <f aca="false">IF(I2095="","",MIN(Overview!$B$8,MAX(1,CEILING(I2095/Overview!$B$7,1))))</f>
        <v>15</v>
      </c>
      <c r="K2095" s="19" t="n">
        <v>1</v>
      </c>
      <c r="L2095" s="19"/>
      <c r="M2095" s="20"/>
      <c r="N2095" s="19"/>
      <c r="O2095" s="19"/>
      <c r="P2095" s="19" t="s">
        <v>6498</v>
      </c>
      <c r="Q2095" s="19" t="s">
        <v>6397</v>
      </c>
      <c r="R2095" s="21" t="n">
        <v>36714</v>
      </c>
      <c r="S2095" s="19" t="s">
        <v>1774</v>
      </c>
      <c r="T2095" s="19" t="s">
        <v>6499</v>
      </c>
      <c r="U2095" s="19" t="str">
        <f aca="false">HYPERLINK("https://macaulaylibrary.org/asset/104078","Open")</f>
        <v>Open</v>
      </c>
      <c r="V2095" s="19" t="s">
        <v>6465</v>
      </c>
    </row>
    <row r="2096" customFormat="false" ht="15" hidden="false" customHeight="false" outlineLevel="0" collapsed="false">
      <c r="A2096" s="19" t="s">
        <v>6500</v>
      </c>
      <c r="B2096" s="19" t="s">
        <v>943</v>
      </c>
      <c r="C2096" s="19" t="s">
        <v>944</v>
      </c>
      <c r="D2096" s="19" t="s">
        <v>148</v>
      </c>
      <c r="E2096" s="19" t="s">
        <v>911</v>
      </c>
      <c r="F2096" s="19" t="s">
        <v>910</v>
      </c>
      <c r="G2096" s="19" t="n">
        <v>247</v>
      </c>
      <c r="H2096" s="19" t="s">
        <v>6463</v>
      </c>
      <c r="I2096" s="20" t="n">
        <v>120.679</v>
      </c>
      <c r="J2096" s="19" t="n">
        <f aca="false">IF(I2096="","",MIN(Overview!$B$8,MAX(1,CEILING(I2096/Overview!$B$7,1))))</f>
        <v>25</v>
      </c>
      <c r="K2096" s="19" t="n">
        <v>1</v>
      </c>
      <c r="L2096" s="19"/>
      <c r="M2096" s="20"/>
      <c r="N2096" s="19"/>
      <c r="O2096" s="19"/>
      <c r="P2096" s="19" t="s">
        <v>6498</v>
      </c>
      <c r="Q2096" s="19" t="s">
        <v>6397</v>
      </c>
      <c r="R2096" s="21" t="n">
        <v>36714</v>
      </c>
      <c r="S2096" s="19" t="s">
        <v>1774</v>
      </c>
      <c r="T2096" s="19" t="s">
        <v>6501</v>
      </c>
      <c r="U2096" s="19" t="str">
        <f aca="false">HYPERLINK("https://macaulaylibrary.org/asset/104079","Open")</f>
        <v>Open</v>
      </c>
      <c r="V2096" s="19" t="s">
        <v>6465</v>
      </c>
    </row>
    <row r="2097" customFormat="false" ht="15" hidden="false" customHeight="false" outlineLevel="0" collapsed="false">
      <c r="A2097" s="19" t="s">
        <v>6502</v>
      </c>
      <c r="B2097" s="19" t="s">
        <v>943</v>
      </c>
      <c r="C2097" s="19" t="s">
        <v>944</v>
      </c>
      <c r="D2097" s="19" t="s">
        <v>148</v>
      </c>
      <c r="E2097" s="19" t="s">
        <v>911</v>
      </c>
      <c r="F2097" s="19" t="s">
        <v>910</v>
      </c>
      <c r="G2097" s="19" t="n">
        <v>247</v>
      </c>
      <c r="H2097" s="19" t="s">
        <v>6453</v>
      </c>
      <c r="I2097" s="20" t="n">
        <v>14.525</v>
      </c>
      <c r="J2097" s="19" t="n">
        <f aca="false">IF(I2097="","",MIN(Overview!$B$8,MAX(1,CEILING(I2097/Overview!$B$7,1))))</f>
        <v>3</v>
      </c>
      <c r="K2097" s="19" t="n">
        <v>1</v>
      </c>
      <c r="L2097" s="19"/>
      <c r="M2097" s="20"/>
      <c r="N2097" s="19"/>
      <c r="O2097" s="19"/>
      <c r="P2097" s="19" t="s">
        <v>6503</v>
      </c>
      <c r="Q2097" s="19" t="s">
        <v>6397</v>
      </c>
      <c r="R2097" s="21" t="n">
        <v>36716</v>
      </c>
      <c r="S2097" s="19" t="s">
        <v>1884</v>
      </c>
      <c r="T2097" s="19" t="s">
        <v>6504</v>
      </c>
      <c r="U2097" s="19" t="str">
        <f aca="false">HYPERLINK("https://macaulaylibrary.org/asset/104080","Open")</f>
        <v>Open</v>
      </c>
      <c r="V2097" s="19" t="s">
        <v>6455</v>
      </c>
    </row>
    <row r="2098" customFormat="false" ht="15" hidden="false" customHeight="false" outlineLevel="0" collapsed="false">
      <c r="A2098" s="19" t="s">
        <v>6505</v>
      </c>
      <c r="B2098" s="19" t="s">
        <v>943</v>
      </c>
      <c r="C2098" s="19" t="s">
        <v>944</v>
      </c>
      <c r="D2098" s="19" t="s">
        <v>148</v>
      </c>
      <c r="E2098" s="19" t="s">
        <v>911</v>
      </c>
      <c r="F2098" s="19" t="s">
        <v>910</v>
      </c>
      <c r="G2098" s="19" t="n">
        <v>247</v>
      </c>
      <c r="H2098" s="19" t="s">
        <v>6453</v>
      </c>
      <c r="I2098" s="20" t="n">
        <v>43.94</v>
      </c>
      <c r="J2098" s="19" t="n">
        <f aca="false">IF(I2098="","",MIN(Overview!$B$8,MAX(1,CEILING(I2098/Overview!$B$7,1))))</f>
        <v>9</v>
      </c>
      <c r="K2098" s="19" t="n">
        <v>1</v>
      </c>
      <c r="L2098" s="19"/>
      <c r="M2098" s="20"/>
      <c r="N2098" s="19"/>
      <c r="O2098" s="19"/>
      <c r="P2098" s="19" t="s">
        <v>6503</v>
      </c>
      <c r="Q2098" s="19" t="s">
        <v>6397</v>
      </c>
      <c r="R2098" s="21" t="n">
        <v>36716</v>
      </c>
      <c r="S2098" s="19" t="s">
        <v>2542</v>
      </c>
      <c r="T2098" s="19" t="s">
        <v>6506</v>
      </c>
      <c r="U2098" s="19" t="str">
        <f aca="false">HYPERLINK("https://macaulaylibrary.org/asset/104081","Open")</f>
        <v>Open</v>
      </c>
      <c r="V2098" s="19" t="s">
        <v>6455</v>
      </c>
    </row>
    <row r="2099" customFormat="false" ht="15" hidden="false" customHeight="false" outlineLevel="0" collapsed="false">
      <c r="A2099" s="19" t="s">
        <v>6507</v>
      </c>
      <c r="B2099" s="19" t="s">
        <v>943</v>
      </c>
      <c r="C2099" s="19" t="s">
        <v>944</v>
      </c>
      <c r="D2099" s="19" t="s">
        <v>148</v>
      </c>
      <c r="E2099" s="19" t="s">
        <v>911</v>
      </c>
      <c r="F2099" s="19" t="s">
        <v>910</v>
      </c>
      <c r="G2099" s="19" t="n">
        <v>247</v>
      </c>
      <c r="H2099" s="19" t="s">
        <v>6508</v>
      </c>
      <c r="I2099" s="20" t="n">
        <v>32.924</v>
      </c>
      <c r="J2099" s="19" t="n">
        <f aca="false">IF(I2099="","",MIN(Overview!$B$8,MAX(1,CEILING(I2099/Overview!$B$7,1))))</f>
        <v>7</v>
      </c>
      <c r="K2099" s="19" t="n">
        <v>1</v>
      </c>
      <c r="L2099" s="19"/>
      <c r="M2099" s="20"/>
      <c r="N2099" s="19"/>
      <c r="O2099" s="19"/>
      <c r="P2099" s="19" t="s">
        <v>6503</v>
      </c>
      <c r="Q2099" s="19" t="s">
        <v>6397</v>
      </c>
      <c r="R2099" s="21" t="n">
        <v>36716</v>
      </c>
      <c r="S2099" s="19" t="s">
        <v>6509</v>
      </c>
      <c r="T2099" s="19" t="s">
        <v>6510</v>
      </c>
      <c r="U2099" s="19" t="str">
        <f aca="false">HYPERLINK("https://macaulaylibrary.org/asset/104082","Open")</f>
        <v>Open</v>
      </c>
      <c r="V2099" s="19" t="s">
        <v>6511</v>
      </c>
    </row>
    <row r="2100" customFormat="false" ht="15" hidden="false" customHeight="false" outlineLevel="0" collapsed="false">
      <c r="A2100" s="19" t="s">
        <v>6512</v>
      </c>
      <c r="B2100" s="19" t="s">
        <v>943</v>
      </c>
      <c r="C2100" s="19" t="s">
        <v>944</v>
      </c>
      <c r="D2100" s="19" t="s">
        <v>148</v>
      </c>
      <c r="E2100" s="19" t="s">
        <v>911</v>
      </c>
      <c r="F2100" s="19" t="s">
        <v>910</v>
      </c>
      <c r="G2100" s="19" t="n">
        <v>247</v>
      </c>
      <c r="H2100" s="19" t="s">
        <v>6508</v>
      </c>
      <c r="I2100" s="20" t="n">
        <v>14.157</v>
      </c>
      <c r="J2100" s="19" t="n">
        <f aca="false">IF(I2100="","",MIN(Overview!$B$8,MAX(1,CEILING(I2100/Overview!$B$7,1))))</f>
        <v>3</v>
      </c>
      <c r="K2100" s="19" t="n">
        <v>1</v>
      </c>
      <c r="L2100" s="19"/>
      <c r="M2100" s="20"/>
      <c r="N2100" s="19"/>
      <c r="O2100" s="19"/>
      <c r="P2100" s="19" t="s">
        <v>6503</v>
      </c>
      <c r="Q2100" s="19" t="s">
        <v>6397</v>
      </c>
      <c r="R2100" s="21" t="n">
        <v>36716</v>
      </c>
      <c r="S2100" s="19" t="s">
        <v>6513</v>
      </c>
      <c r="T2100" s="19" t="s">
        <v>6514</v>
      </c>
      <c r="U2100" s="19" t="str">
        <f aca="false">HYPERLINK("https://macaulaylibrary.org/asset/104083","Open")</f>
        <v>Open</v>
      </c>
      <c r="V2100" s="19" t="s">
        <v>6511</v>
      </c>
    </row>
    <row r="2101" customFormat="false" ht="15" hidden="false" customHeight="false" outlineLevel="0" collapsed="false">
      <c r="A2101" s="19" t="s">
        <v>6515</v>
      </c>
      <c r="B2101" s="19" t="s">
        <v>943</v>
      </c>
      <c r="C2101" s="19" t="s">
        <v>944</v>
      </c>
      <c r="D2101" s="19" t="s">
        <v>148</v>
      </c>
      <c r="E2101" s="19" t="s">
        <v>911</v>
      </c>
      <c r="F2101" s="19" t="s">
        <v>910</v>
      </c>
      <c r="G2101" s="19" t="n">
        <v>247</v>
      </c>
      <c r="H2101" s="19" t="s">
        <v>6508</v>
      </c>
      <c r="I2101" s="20" t="n">
        <v>17.098</v>
      </c>
      <c r="J2101" s="19" t="n">
        <f aca="false">IF(I2101="","",MIN(Overview!$B$8,MAX(1,CEILING(I2101/Overview!$B$7,1))))</f>
        <v>4</v>
      </c>
      <c r="K2101" s="19" t="n">
        <v>1</v>
      </c>
      <c r="L2101" s="19"/>
      <c r="M2101" s="20"/>
      <c r="N2101" s="19"/>
      <c r="O2101" s="19"/>
      <c r="P2101" s="19" t="s">
        <v>6503</v>
      </c>
      <c r="Q2101" s="19" t="s">
        <v>6397</v>
      </c>
      <c r="R2101" s="21" t="n">
        <v>36716</v>
      </c>
      <c r="S2101" s="19" t="s">
        <v>6513</v>
      </c>
      <c r="T2101" s="19" t="s">
        <v>6516</v>
      </c>
      <c r="U2101" s="19" t="str">
        <f aca="false">HYPERLINK("https://macaulaylibrary.org/asset/104084","Open")</f>
        <v>Open</v>
      </c>
      <c r="V2101" s="19" t="s">
        <v>6511</v>
      </c>
    </row>
    <row r="2102" customFormat="false" ht="15" hidden="false" customHeight="false" outlineLevel="0" collapsed="false">
      <c r="A2102" s="19" t="s">
        <v>6517</v>
      </c>
      <c r="B2102" s="19" t="s">
        <v>943</v>
      </c>
      <c r="C2102" s="19" t="s">
        <v>944</v>
      </c>
      <c r="D2102" s="19" t="s">
        <v>148</v>
      </c>
      <c r="E2102" s="19" t="s">
        <v>911</v>
      </c>
      <c r="F2102" s="19" t="s">
        <v>910</v>
      </c>
      <c r="G2102" s="19" t="n">
        <v>247</v>
      </c>
      <c r="H2102" s="19" t="s">
        <v>6508</v>
      </c>
      <c r="I2102" s="20" t="n">
        <v>13.452</v>
      </c>
      <c r="J2102" s="19" t="n">
        <f aca="false">IF(I2102="","",MIN(Overview!$B$8,MAX(1,CEILING(I2102/Overview!$B$7,1))))</f>
        <v>3</v>
      </c>
      <c r="K2102" s="19" t="n">
        <v>1</v>
      </c>
      <c r="L2102" s="19"/>
      <c r="M2102" s="20"/>
      <c r="N2102" s="19"/>
      <c r="O2102" s="19"/>
      <c r="P2102" s="19" t="s">
        <v>6503</v>
      </c>
      <c r="Q2102" s="19" t="s">
        <v>6397</v>
      </c>
      <c r="R2102" s="21" t="n">
        <v>36716</v>
      </c>
      <c r="S2102" s="19" t="s">
        <v>6513</v>
      </c>
      <c r="T2102" s="19" t="s">
        <v>6518</v>
      </c>
      <c r="U2102" s="19" t="str">
        <f aca="false">HYPERLINK("https://macaulaylibrary.org/asset/104085","Open")</f>
        <v>Open</v>
      </c>
      <c r="V2102" s="19" t="s">
        <v>6511</v>
      </c>
    </row>
    <row r="2103" customFormat="false" ht="15" hidden="false" customHeight="false" outlineLevel="0" collapsed="false">
      <c r="A2103" s="19" t="s">
        <v>6519</v>
      </c>
      <c r="B2103" s="19" t="s">
        <v>943</v>
      </c>
      <c r="C2103" s="19" t="s">
        <v>944</v>
      </c>
      <c r="D2103" s="19" t="s">
        <v>148</v>
      </c>
      <c r="E2103" s="19" t="s">
        <v>911</v>
      </c>
      <c r="F2103" s="19" t="s">
        <v>910</v>
      </c>
      <c r="G2103" s="19" t="n">
        <v>247</v>
      </c>
      <c r="H2103" s="19" t="s">
        <v>6463</v>
      </c>
      <c r="I2103" s="20" t="n">
        <v>33.215</v>
      </c>
      <c r="J2103" s="19" t="n">
        <f aca="false">IF(I2103="","",MIN(Overview!$B$8,MAX(1,CEILING(I2103/Overview!$B$7,1))))</f>
        <v>7</v>
      </c>
      <c r="K2103" s="19" t="n">
        <v>1</v>
      </c>
      <c r="L2103" s="19"/>
      <c r="M2103" s="20"/>
      <c r="N2103" s="19"/>
      <c r="O2103" s="19"/>
      <c r="P2103" s="19" t="s">
        <v>6503</v>
      </c>
      <c r="Q2103" s="19" t="s">
        <v>6397</v>
      </c>
      <c r="R2103" s="21" t="n">
        <v>36716</v>
      </c>
      <c r="S2103" s="19" t="s">
        <v>1550</v>
      </c>
      <c r="T2103" s="19" t="s">
        <v>6520</v>
      </c>
      <c r="U2103" s="19" t="str">
        <f aca="false">HYPERLINK("https://macaulaylibrary.org/asset/104086","Open")</f>
        <v>Open</v>
      </c>
      <c r="V2103" s="19" t="s">
        <v>6465</v>
      </c>
    </row>
    <row r="2104" customFormat="false" ht="15" hidden="false" customHeight="false" outlineLevel="0" collapsed="false">
      <c r="A2104" s="19" t="s">
        <v>6521</v>
      </c>
      <c r="B2104" s="19" t="s">
        <v>943</v>
      </c>
      <c r="C2104" s="19" t="s">
        <v>944</v>
      </c>
      <c r="D2104" s="19" t="s">
        <v>148</v>
      </c>
      <c r="E2104" s="19" t="s">
        <v>911</v>
      </c>
      <c r="F2104" s="19" t="s">
        <v>910</v>
      </c>
      <c r="G2104" s="19" t="n">
        <v>247</v>
      </c>
      <c r="H2104" s="19" t="s">
        <v>6463</v>
      </c>
      <c r="I2104" s="20" t="n">
        <v>51.508</v>
      </c>
      <c r="J2104" s="19" t="n">
        <f aca="false">IF(I2104="","",MIN(Overview!$B$8,MAX(1,CEILING(I2104/Overview!$B$7,1))))</f>
        <v>11</v>
      </c>
      <c r="K2104" s="19" t="n">
        <v>1</v>
      </c>
      <c r="L2104" s="19"/>
      <c r="M2104" s="20"/>
      <c r="N2104" s="19"/>
      <c r="O2104" s="19"/>
      <c r="P2104" s="19" t="s">
        <v>6503</v>
      </c>
      <c r="Q2104" s="19" t="s">
        <v>6397</v>
      </c>
      <c r="R2104" s="21" t="n">
        <v>36716</v>
      </c>
      <c r="S2104" s="19" t="s">
        <v>2933</v>
      </c>
      <c r="T2104" s="19" t="s">
        <v>6522</v>
      </c>
      <c r="U2104" s="19" t="str">
        <f aca="false">HYPERLINK("https://macaulaylibrary.org/asset/104087","Open")</f>
        <v>Open</v>
      </c>
      <c r="V2104" s="19" t="s">
        <v>6465</v>
      </c>
    </row>
    <row r="2105" customFormat="false" ht="15" hidden="false" customHeight="false" outlineLevel="0" collapsed="false">
      <c r="A2105" s="19" t="s">
        <v>6523</v>
      </c>
      <c r="B2105" s="19" t="s">
        <v>943</v>
      </c>
      <c r="C2105" s="19" t="s">
        <v>944</v>
      </c>
      <c r="D2105" s="19" t="s">
        <v>148</v>
      </c>
      <c r="E2105" s="19" t="s">
        <v>911</v>
      </c>
      <c r="F2105" s="19" t="s">
        <v>910</v>
      </c>
      <c r="G2105" s="19" t="n">
        <v>247</v>
      </c>
      <c r="H2105" s="19" t="s">
        <v>6453</v>
      </c>
      <c r="I2105" s="20" t="n">
        <v>32.22</v>
      </c>
      <c r="J2105" s="19" t="n">
        <f aca="false">IF(I2105="","",MIN(Overview!$B$8,MAX(1,CEILING(I2105/Overview!$B$7,1))))</f>
        <v>7</v>
      </c>
      <c r="K2105" s="19" t="n">
        <v>1</v>
      </c>
      <c r="L2105" s="19"/>
      <c r="M2105" s="20"/>
      <c r="N2105" s="19"/>
      <c r="O2105" s="19"/>
      <c r="P2105" s="19" t="s">
        <v>6503</v>
      </c>
      <c r="Q2105" s="19" t="s">
        <v>6397</v>
      </c>
      <c r="R2105" s="21" t="n">
        <v>36716</v>
      </c>
      <c r="S2105" s="19" t="s">
        <v>6524</v>
      </c>
      <c r="T2105" s="19" t="s">
        <v>6525</v>
      </c>
      <c r="U2105" s="19" t="str">
        <f aca="false">HYPERLINK("https://macaulaylibrary.org/asset/104088","Open")</f>
        <v>Open</v>
      </c>
      <c r="V2105" s="19" t="s">
        <v>6455</v>
      </c>
    </row>
    <row r="2106" customFormat="false" ht="15" hidden="false" customHeight="false" outlineLevel="0" collapsed="false">
      <c r="A2106" s="19" t="s">
        <v>6526</v>
      </c>
      <c r="B2106" s="19" t="s">
        <v>943</v>
      </c>
      <c r="C2106" s="19" t="s">
        <v>944</v>
      </c>
      <c r="D2106" s="19" t="s">
        <v>148</v>
      </c>
      <c r="E2106" s="19" t="s">
        <v>911</v>
      </c>
      <c r="F2106" s="19" t="s">
        <v>910</v>
      </c>
      <c r="G2106" s="19" t="n">
        <v>247</v>
      </c>
      <c r="H2106" s="19" t="s">
        <v>6453</v>
      </c>
      <c r="I2106" s="20" t="n">
        <v>48.75</v>
      </c>
      <c r="J2106" s="19" t="n">
        <f aca="false">IF(I2106="","",MIN(Overview!$B$8,MAX(1,CEILING(I2106/Overview!$B$7,1))))</f>
        <v>10</v>
      </c>
      <c r="K2106" s="19" t="n">
        <v>1</v>
      </c>
      <c r="L2106" s="19"/>
      <c r="M2106" s="20"/>
      <c r="N2106" s="19"/>
      <c r="O2106" s="19"/>
      <c r="P2106" s="19" t="s">
        <v>6503</v>
      </c>
      <c r="Q2106" s="19" t="s">
        <v>6397</v>
      </c>
      <c r="R2106" s="21" t="n">
        <v>36716</v>
      </c>
      <c r="S2106" s="19" t="s">
        <v>6524</v>
      </c>
      <c r="T2106" s="19" t="s">
        <v>6527</v>
      </c>
      <c r="U2106" s="19" t="str">
        <f aca="false">HYPERLINK("https://macaulaylibrary.org/asset/104089","Open")</f>
        <v>Open</v>
      </c>
      <c r="V2106" s="19" t="s">
        <v>6455</v>
      </c>
    </row>
    <row r="2107" customFormat="false" ht="15" hidden="false" customHeight="false" outlineLevel="0" collapsed="false">
      <c r="A2107" s="19" t="s">
        <v>6528</v>
      </c>
      <c r="B2107" s="19" t="s">
        <v>943</v>
      </c>
      <c r="C2107" s="19" t="s">
        <v>944</v>
      </c>
      <c r="D2107" s="19" t="s">
        <v>148</v>
      </c>
      <c r="E2107" s="19" t="s">
        <v>911</v>
      </c>
      <c r="F2107" s="19" t="s">
        <v>910</v>
      </c>
      <c r="G2107" s="19" t="n">
        <v>247</v>
      </c>
      <c r="H2107" s="19" t="s">
        <v>6453</v>
      </c>
      <c r="I2107" s="20" t="n">
        <v>50.236</v>
      </c>
      <c r="J2107" s="19" t="n">
        <f aca="false">IF(I2107="","",MIN(Overview!$B$8,MAX(1,CEILING(I2107/Overview!$B$7,1))))</f>
        <v>11</v>
      </c>
      <c r="K2107" s="19" t="n">
        <v>1</v>
      </c>
      <c r="L2107" s="19"/>
      <c r="M2107" s="20"/>
      <c r="N2107" s="19"/>
      <c r="O2107" s="19"/>
      <c r="P2107" s="19" t="s">
        <v>6503</v>
      </c>
      <c r="Q2107" s="19" t="s">
        <v>6397</v>
      </c>
      <c r="R2107" s="21" t="n">
        <v>36716</v>
      </c>
      <c r="S2107" s="19" t="s">
        <v>6529</v>
      </c>
      <c r="T2107" s="19" t="s">
        <v>6530</v>
      </c>
      <c r="U2107" s="19" t="str">
        <f aca="false">HYPERLINK("https://macaulaylibrary.org/asset/104091","Open")</f>
        <v>Open</v>
      </c>
      <c r="V2107" s="19" t="s">
        <v>6455</v>
      </c>
    </row>
    <row r="2108" customFormat="false" ht="15" hidden="false" customHeight="false" outlineLevel="0" collapsed="false">
      <c r="A2108" s="19" t="s">
        <v>6531</v>
      </c>
      <c r="B2108" s="19" t="s">
        <v>943</v>
      </c>
      <c r="C2108" s="19" t="s">
        <v>944</v>
      </c>
      <c r="D2108" s="19" t="s">
        <v>148</v>
      </c>
      <c r="E2108" s="19" t="s">
        <v>911</v>
      </c>
      <c r="F2108" s="19" t="s">
        <v>910</v>
      </c>
      <c r="G2108" s="19" t="n">
        <v>247</v>
      </c>
      <c r="H2108" s="19" t="s">
        <v>6453</v>
      </c>
      <c r="I2108" s="20" t="n">
        <v>45.227</v>
      </c>
      <c r="J2108" s="19" t="n">
        <f aca="false">IF(I2108="","",MIN(Overview!$B$8,MAX(1,CEILING(I2108/Overview!$B$7,1))))</f>
        <v>10</v>
      </c>
      <c r="K2108" s="19" t="n">
        <v>1</v>
      </c>
      <c r="L2108" s="19"/>
      <c r="M2108" s="20"/>
      <c r="N2108" s="19"/>
      <c r="O2108" s="19"/>
      <c r="P2108" s="19" t="s">
        <v>6503</v>
      </c>
      <c r="Q2108" s="19" t="s">
        <v>6397</v>
      </c>
      <c r="R2108" s="21" t="n">
        <v>36716</v>
      </c>
      <c r="S2108" s="19" t="s">
        <v>6532</v>
      </c>
      <c r="T2108" s="19" t="s">
        <v>6533</v>
      </c>
      <c r="U2108" s="19" t="str">
        <f aca="false">HYPERLINK("https://macaulaylibrary.org/asset/104092","Open")</f>
        <v>Open</v>
      </c>
      <c r="V2108" s="19" t="s">
        <v>6455</v>
      </c>
    </row>
    <row r="2109" customFormat="false" ht="15" hidden="false" customHeight="false" outlineLevel="0" collapsed="false">
      <c r="A2109" s="19" t="s">
        <v>6534</v>
      </c>
      <c r="B2109" s="19" t="s">
        <v>943</v>
      </c>
      <c r="C2109" s="19" t="s">
        <v>944</v>
      </c>
      <c r="D2109" s="19" t="s">
        <v>148</v>
      </c>
      <c r="E2109" s="19" t="s">
        <v>911</v>
      </c>
      <c r="F2109" s="19" t="s">
        <v>910</v>
      </c>
      <c r="G2109" s="19" t="n">
        <v>247</v>
      </c>
      <c r="H2109" s="19" t="s">
        <v>6463</v>
      </c>
      <c r="I2109" s="20" t="n">
        <v>99.644</v>
      </c>
      <c r="J2109" s="19" t="n">
        <f aca="false">IF(I2109="","",MIN(Overview!$B$8,MAX(1,CEILING(I2109/Overview!$B$7,1))))</f>
        <v>20</v>
      </c>
      <c r="K2109" s="19" t="n">
        <v>1</v>
      </c>
      <c r="L2109" s="19"/>
      <c r="M2109" s="20"/>
      <c r="N2109" s="19"/>
      <c r="O2109" s="19"/>
      <c r="P2109" s="19" t="s">
        <v>6442</v>
      </c>
      <c r="Q2109" s="19" t="s">
        <v>6397</v>
      </c>
      <c r="R2109" s="21" t="n">
        <v>36720</v>
      </c>
      <c r="S2109" s="19" t="s">
        <v>1550</v>
      </c>
      <c r="T2109" s="19" t="s">
        <v>6535</v>
      </c>
      <c r="U2109" s="19" t="str">
        <f aca="false">HYPERLINK("https://macaulaylibrary.org/asset/104098","Open")</f>
        <v>Open</v>
      </c>
      <c r="V2109" s="19" t="s">
        <v>6465</v>
      </c>
    </row>
    <row r="2110" customFormat="false" ht="15" hidden="false" customHeight="false" outlineLevel="0" collapsed="false">
      <c r="A2110" s="19" t="s">
        <v>6536</v>
      </c>
      <c r="B2110" s="19" t="s">
        <v>943</v>
      </c>
      <c r="C2110" s="19" t="s">
        <v>944</v>
      </c>
      <c r="D2110" s="19" t="s">
        <v>148</v>
      </c>
      <c r="E2110" s="19" t="s">
        <v>911</v>
      </c>
      <c r="F2110" s="19" t="s">
        <v>910</v>
      </c>
      <c r="G2110" s="19" t="n">
        <v>247</v>
      </c>
      <c r="H2110" s="19" t="s">
        <v>6463</v>
      </c>
      <c r="I2110" s="20" t="n">
        <v>76.22</v>
      </c>
      <c r="J2110" s="19" t="n">
        <f aca="false">IF(I2110="","",MIN(Overview!$B$8,MAX(1,CEILING(I2110/Overview!$B$7,1))))</f>
        <v>16</v>
      </c>
      <c r="K2110" s="19" t="n">
        <v>1</v>
      </c>
      <c r="L2110" s="19"/>
      <c r="M2110" s="20"/>
      <c r="N2110" s="19"/>
      <c r="O2110" s="19"/>
      <c r="P2110" s="19" t="s">
        <v>6442</v>
      </c>
      <c r="Q2110" s="19" t="s">
        <v>6397</v>
      </c>
      <c r="R2110" s="21" t="n">
        <v>36720</v>
      </c>
      <c r="S2110" s="19" t="s">
        <v>3577</v>
      </c>
      <c r="T2110" s="19" t="s">
        <v>6537</v>
      </c>
      <c r="U2110" s="19" t="str">
        <f aca="false">HYPERLINK("https://macaulaylibrary.org/asset/104099","Open")</f>
        <v>Open</v>
      </c>
      <c r="V2110" s="19" t="s">
        <v>6465</v>
      </c>
    </row>
    <row r="2111" customFormat="false" ht="15" hidden="false" customHeight="false" outlineLevel="0" collapsed="false">
      <c r="A2111" s="19" t="s">
        <v>6538</v>
      </c>
      <c r="B2111" s="19" t="s">
        <v>943</v>
      </c>
      <c r="C2111" s="19" t="s">
        <v>944</v>
      </c>
      <c r="D2111" s="19" t="s">
        <v>148</v>
      </c>
      <c r="E2111" s="19" t="s">
        <v>911</v>
      </c>
      <c r="F2111" s="19" t="s">
        <v>910</v>
      </c>
      <c r="G2111" s="19" t="n">
        <v>247</v>
      </c>
      <c r="H2111" s="19" t="s">
        <v>6463</v>
      </c>
      <c r="I2111" s="20" t="n">
        <v>40.217</v>
      </c>
      <c r="J2111" s="19" t="n">
        <f aca="false">IF(I2111="","",MIN(Overview!$B$8,MAX(1,CEILING(I2111/Overview!$B$7,1))))</f>
        <v>9</v>
      </c>
      <c r="K2111" s="19" t="n">
        <v>1</v>
      </c>
      <c r="L2111" s="19"/>
      <c r="M2111" s="20"/>
      <c r="N2111" s="19"/>
      <c r="O2111" s="19"/>
      <c r="P2111" s="19" t="s">
        <v>6442</v>
      </c>
      <c r="Q2111" s="19" t="s">
        <v>6397</v>
      </c>
      <c r="R2111" s="21" t="n">
        <v>36720</v>
      </c>
      <c r="S2111" s="19" t="s">
        <v>3577</v>
      </c>
      <c r="T2111" s="19" t="s">
        <v>6539</v>
      </c>
      <c r="U2111" s="19" t="str">
        <f aca="false">HYPERLINK("https://macaulaylibrary.org/asset/104100","Open")</f>
        <v>Open</v>
      </c>
      <c r="V2111" s="19" t="s">
        <v>6465</v>
      </c>
    </row>
    <row r="2112" customFormat="false" ht="15" hidden="false" customHeight="false" outlineLevel="0" collapsed="false">
      <c r="A2112" s="19" t="s">
        <v>6540</v>
      </c>
      <c r="B2112" s="19" t="s">
        <v>943</v>
      </c>
      <c r="C2112" s="19" t="s">
        <v>944</v>
      </c>
      <c r="D2112" s="19" t="s">
        <v>148</v>
      </c>
      <c r="E2112" s="19" t="s">
        <v>911</v>
      </c>
      <c r="F2112" s="19" t="s">
        <v>910</v>
      </c>
      <c r="G2112" s="19" t="n">
        <v>247</v>
      </c>
      <c r="H2112" s="19" t="s">
        <v>6463</v>
      </c>
      <c r="I2112" s="20" t="n">
        <v>105.326</v>
      </c>
      <c r="J2112" s="19" t="n">
        <f aca="false">IF(I2112="","",MIN(Overview!$B$8,MAX(1,CEILING(I2112/Overview!$B$7,1))))</f>
        <v>22</v>
      </c>
      <c r="K2112" s="19" t="n">
        <v>1</v>
      </c>
      <c r="L2112" s="19"/>
      <c r="M2112" s="20"/>
      <c r="N2112" s="19"/>
      <c r="O2112" s="19"/>
      <c r="P2112" s="19" t="s">
        <v>6442</v>
      </c>
      <c r="Q2112" s="19" t="s">
        <v>6397</v>
      </c>
      <c r="R2112" s="21" t="n">
        <v>36720</v>
      </c>
      <c r="S2112" s="19" t="s">
        <v>3577</v>
      </c>
      <c r="T2112" s="19" t="s">
        <v>6541</v>
      </c>
      <c r="U2112" s="19" t="str">
        <f aca="false">HYPERLINK("https://macaulaylibrary.org/asset/104101","Open")</f>
        <v>Open</v>
      </c>
      <c r="V2112" s="19" t="s">
        <v>6465</v>
      </c>
    </row>
    <row r="2113" customFormat="false" ht="15" hidden="false" customHeight="false" outlineLevel="0" collapsed="false">
      <c r="A2113" s="19" t="s">
        <v>6542</v>
      </c>
      <c r="B2113" s="19" t="s">
        <v>943</v>
      </c>
      <c r="C2113" s="19" t="s">
        <v>944</v>
      </c>
      <c r="D2113" s="19" t="s">
        <v>148</v>
      </c>
      <c r="E2113" s="19" t="s">
        <v>911</v>
      </c>
      <c r="F2113" s="19" t="s">
        <v>910</v>
      </c>
      <c r="G2113" s="19" t="n">
        <v>247</v>
      </c>
      <c r="H2113" s="19" t="s">
        <v>6463</v>
      </c>
      <c r="I2113" s="20" t="n">
        <v>106.516</v>
      </c>
      <c r="J2113" s="19" t="n">
        <f aca="false">IF(I2113="","",MIN(Overview!$B$8,MAX(1,CEILING(I2113/Overview!$B$7,1))))</f>
        <v>22</v>
      </c>
      <c r="K2113" s="19" t="n">
        <v>1</v>
      </c>
      <c r="L2113" s="19"/>
      <c r="M2113" s="20"/>
      <c r="N2113" s="19"/>
      <c r="O2113" s="19"/>
      <c r="P2113" s="19" t="s">
        <v>6442</v>
      </c>
      <c r="Q2113" s="19" t="s">
        <v>6397</v>
      </c>
      <c r="R2113" s="21" t="n">
        <v>36720</v>
      </c>
      <c r="S2113" s="19" t="s">
        <v>2804</v>
      </c>
      <c r="T2113" s="19" t="s">
        <v>6543</v>
      </c>
      <c r="U2113" s="19" t="str">
        <f aca="false">HYPERLINK("https://macaulaylibrary.org/asset/104102","Open")</f>
        <v>Open</v>
      </c>
      <c r="V2113" s="19" t="s">
        <v>6465</v>
      </c>
    </row>
    <row r="2114" customFormat="false" ht="15" hidden="false" customHeight="false" outlineLevel="0" collapsed="false">
      <c r="A2114" s="19" t="s">
        <v>6544</v>
      </c>
      <c r="B2114" s="19" t="s">
        <v>943</v>
      </c>
      <c r="C2114" s="19" t="s">
        <v>944</v>
      </c>
      <c r="D2114" s="19" t="s">
        <v>148</v>
      </c>
      <c r="E2114" s="19" t="s">
        <v>911</v>
      </c>
      <c r="F2114" s="19" t="s">
        <v>910</v>
      </c>
      <c r="G2114" s="19" t="n">
        <v>247</v>
      </c>
      <c r="H2114" s="19" t="s">
        <v>6463</v>
      </c>
      <c r="I2114" s="20" t="n">
        <v>143.141</v>
      </c>
      <c r="J2114" s="19" t="n">
        <f aca="false">IF(I2114="","",MIN(Overview!$B$8,MAX(1,CEILING(I2114/Overview!$B$7,1))))</f>
        <v>29</v>
      </c>
      <c r="K2114" s="19" t="n">
        <v>1</v>
      </c>
      <c r="L2114" s="19"/>
      <c r="M2114" s="20"/>
      <c r="N2114" s="19"/>
      <c r="O2114" s="19"/>
      <c r="P2114" s="19" t="s">
        <v>6442</v>
      </c>
      <c r="Q2114" s="19" t="s">
        <v>6397</v>
      </c>
      <c r="R2114" s="21" t="n">
        <v>36720</v>
      </c>
      <c r="S2114" s="19" t="s">
        <v>2804</v>
      </c>
      <c r="T2114" s="19" t="s">
        <v>6545</v>
      </c>
      <c r="U2114" s="19" t="str">
        <f aca="false">HYPERLINK("https://macaulaylibrary.org/asset/104103","Open")</f>
        <v>Open</v>
      </c>
      <c r="V2114" s="19" t="s">
        <v>6465</v>
      </c>
    </row>
    <row r="2115" customFormat="false" ht="15" hidden="false" customHeight="false" outlineLevel="0" collapsed="false">
      <c r="A2115" s="19" t="s">
        <v>6546</v>
      </c>
      <c r="B2115" s="19" t="s">
        <v>943</v>
      </c>
      <c r="C2115" s="19" t="s">
        <v>944</v>
      </c>
      <c r="D2115" s="19" t="s">
        <v>148</v>
      </c>
      <c r="E2115" s="19" t="s">
        <v>911</v>
      </c>
      <c r="F2115" s="19" t="s">
        <v>910</v>
      </c>
      <c r="G2115" s="19" t="n">
        <v>247</v>
      </c>
      <c r="H2115" s="19" t="s">
        <v>6463</v>
      </c>
      <c r="I2115" s="20" t="n">
        <v>106.871</v>
      </c>
      <c r="J2115" s="19" t="n">
        <f aca="false">IF(I2115="","",MIN(Overview!$B$8,MAX(1,CEILING(I2115/Overview!$B$7,1))))</f>
        <v>22</v>
      </c>
      <c r="K2115" s="19" t="n">
        <v>1</v>
      </c>
      <c r="L2115" s="19"/>
      <c r="M2115" s="20"/>
      <c r="N2115" s="19"/>
      <c r="O2115" s="19"/>
      <c r="P2115" s="19" t="s">
        <v>6442</v>
      </c>
      <c r="Q2115" s="19" t="s">
        <v>6397</v>
      </c>
      <c r="R2115" s="21" t="n">
        <v>36720</v>
      </c>
      <c r="S2115" s="19" t="s">
        <v>2804</v>
      </c>
      <c r="T2115" s="19" t="s">
        <v>6547</v>
      </c>
      <c r="U2115" s="19" t="str">
        <f aca="false">HYPERLINK("https://macaulaylibrary.org/asset/104104","Open")</f>
        <v>Open</v>
      </c>
      <c r="V2115" s="19" t="s">
        <v>6465</v>
      </c>
    </row>
    <row r="2116" customFormat="false" ht="15" hidden="false" customHeight="false" outlineLevel="0" collapsed="false">
      <c r="A2116" s="19" t="s">
        <v>6548</v>
      </c>
      <c r="B2116" s="19" t="s">
        <v>943</v>
      </c>
      <c r="C2116" s="19" t="s">
        <v>944</v>
      </c>
      <c r="D2116" s="19" t="s">
        <v>148</v>
      </c>
      <c r="E2116" s="19" t="s">
        <v>911</v>
      </c>
      <c r="F2116" s="19" t="s">
        <v>910</v>
      </c>
      <c r="G2116" s="19" t="n">
        <v>247</v>
      </c>
      <c r="H2116" s="19" t="s">
        <v>6463</v>
      </c>
      <c r="I2116" s="20" t="n">
        <v>106.631</v>
      </c>
      <c r="J2116" s="19" t="n">
        <f aca="false">IF(I2116="","",MIN(Overview!$B$8,MAX(1,CEILING(I2116/Overview!$B$7,1))))</f>
        <v>22</v>
      </c>
      <c r="K2116" s="19" t="n">
        <v>1</v>
      </c>
      <c r="L2116" s="19"/>
      <c r="M2116" s="20"/>
      <c r="N2116" s="19"/>
      <c r="O2116" s="19"/>
      <c r="P2116" s="19" t="s">
        <v>6442</v>
      </c>
      <c r="Q2116" s="19" t="s">
        <v>6397</v>
      </c>
      <c r="R2116" s="21" t="n">
        <v>36720</v>
      </c>
      <c r="S2116" s="19" t="s">
        <v>3678</v>
      </c>
      <c r="T2116" s="19" t="s">
        <v>6549</v>
      </c>
      <c r="U2116" s="19" t="str">
        <f aca="false">HYPERLINK("https://macaulaylibrary.org/asset/104105","Open")</f>
        <v>Open</v>
      </c>
      <c r="V2116" s="19" t="s">
        <v>6465</v>
      </c>
    </row>
    <row r="2117" customFormat="false" ht="15" hidden="false" customHeight="false" outlineLevel="0" collapsed="false">
      <c r="A2117" s="19" t="s">
        <v>6550</v>
      </c>
      <c r="B2117" s="19" t="s">
        <v>943</v>
      </c>
      <c r="C2117" s="19" t="s">
        <v>944</v>
      </c>
      <c r="D2117" s="19" t="s">
        <v>148</v>
      </c>
      <c r="E2117" s="19" t="s">
        <v>911</v>
      </c>
      <c r="F2117" s="19" t="s">
        <v>910</v>
      </c>
      <c r="G2117" s="19" t="n">
        <v>247</v>
      </c>
      <c r="H2117" s="19" t="s">
        <v>6463</v>
      </c>
      <c r="I2117" s="20" t="n">
        <v>104.349</v>
      </c>
      <c r="J2117" s="19" t="n">
        <f aca="false">IF(I2117="","",MIN(Overview!$B$8,MAX(1,CEILING(I2117/Overview!$B$7,1))))</f>
        <v>21</v>
      </c>
      <c r="K2117" s="19" t="n">
        <v>1</v>
      </c>
      <c r="L2117" s="19"/>
      <c r="M2117" s="20"/>
      <c r="N2117" s="19"/>
      <c r="O2117" s="19"/>
      <c r="P2117" s="19" t="s">
        <v>6442</v>
      </c>
      <c r="Q2117" s="19" t="s">
        <v>6397</v>
      </c>
      <c r="R2117" s="21" t="n">
        <v>36720</v>
      </c>
      <c r="S2117" s="19" t="s">
        <v>4186</v>
      </c>
      <c r="T2117" s="19" t="s">
        <v>6551</v>
      </c>
      <c r="U2117" s="19" t="str">
        <f aca="false">HYPERLINK("https://macaulaylibrary.org/asset/104106","Open")</f>
        <v>Open</v>
      </c>
      <c r="V2117" s="19" t="s">
        <v>6465</v>
      </c>
    </row>
    <row r="2118" customFormat="false" ht="15" hidden="false" customHeight="false" outlineLevel="0" collapsed="false">
      <c r="A2118" s="19" t="s">
        <v>6552</v>
      </c>
      <c r="B2118" s="19" t="s">
        <v>943</v>
      </c>
      <c r="C2118" s="19" t="s">
        <v>944</v>
      </c>
      <c r="D2118" s="19" t="s">
        <v>148</v>
      </c>
      <c r="E2118" s="19" t="s">
        <v>911</v>
      </c>
      <c r="F2118" s="19" t="s">
        <v>910</v>
      </c>
      <c r="G2118" s="19" t="n">
        <v>247</v>
      </c>
      <c r="H2118" s="19" t="s">
        <v>6447</v>
      </c>
      <c r="I2118" s="20" t="n">
        <v>39.121</v>
      </c>
      <c r="J2118" s="19" t="n">
        <f aca="false">IF(I2118="","",MIN(Overview!$B$8,MAX(1,CEILING(I2118/Overview!$B$7,1))))</f>
        <v>8</v>
      </c>
      <c r="K2118" s="19" t="n">
        <v>1</v>
      </c>
      <c r="L2118" s="19"/>
      <c r="M2118" s="20"/>
      <c r="N2118" s="19"/>
      <c r="O2118" s="19"/>
      <c r="P2118" s="19" t="s">
        <v>6553</v>
      </c>
      <c r="Q2118" s="19" t="s">
        <v>6397</v>
      </c>
      <c r="R2118" s="21" t="n">
        <v>36721</v>
      </c>
      <c r="S2118" s="19" t="s">
        <v>1550</v>
      </c>
      <c r="T2118" s="19" t="s">
        <v>6554</v>
      </c>
      <c r="U2118" s="19" t="str">
        <f aca="false">HYPERLINK("https://macaulaylibrary.org/asset/104107","Open")</f>
        <v>Open</v>
      </c>
      <c r="V2118" s="19" t="s">
        <v>6451</v>
      </c>
    </row>
    <row r="2119" customFormat="false" ht="15" hidden="false" customHeight="false" outlineLevel="0" collapsed="false">
      <c r="A2119" s="19" t="s">
        <v>6555</v>
      </c>
      <c r="B2119" s="19" t="s">
        <v>943</v>
      </c>
      <c r="C2119" s="19" t="s">
        <v>944</v>
      </c>
      <c r="D2119" s="19" t="s">
        <v>148</v>
      </c>
      <c r="E2119" s="19" t="s">
        <v>911</v>
      </c>
      <c r="F2119" s="19" t="s">
        <v>910</v>
      </c>
      <c r="G2119" s="19" t="n">
        <v>247</v>
      </c>
      <c r="H2119" s="19" t="s">
        <v>6463</v>
      </c>
      <c r="I2119" s="20" t="n">
        <v>101.106</v>
      </c>
      <c r="J2119" s="19" t="n">
        <f aca="false">IF(I2119="","",MIN(Overview!$B$8,MAX(1,CEILING(I2119/Overview!$B$7,1))))</f>
        <v>21</v>
      </c>
      <c r="K2119" s="19" t="n">
        <v>1</v>
      </c>
      <c r="L2119" s="19"/>
      <c r="M2119" s="20"/>
      <c r="N2119" s="19"/>
      <c r="O2119" s="19"/>
      <c r="P2119" s="19" t="s">
        <v>6553</v>
      </c>
      <c r="Q2119" s="19" t="s">
        <v>6397</v>
      </c>
      <c r="R2119" s="21" t="n">
        <v>36721</v>
      </c>
      <c r="S2119" s="19" t="s">
        <v>3577</v>
      </c>
      <c r="T2119" s="19" t="s">
        <v>6556</v>
      </c>
      <c r="U2119" s="19" t="str">
        <f aca="false">HYPERLINK("https://macaulaylibrary.org/asset/104108","Open")</f>
        <v>Open</v>
      </c>
      <c r="V2119" s="19" t="s">
        <v>6465</v>
      </c>
    </row>
    <row r="2120" customFormat="false" ht="15" hidden="false" customHeight="false" outlineLevel="0" collapsed="false">
      <c r="A2120" s="19" t="s">
        <v>6557</v>
      </c>
      <c r="B2120" s="19" t="s">
        <v>943</v>
      </c>
      <c r="C2120" s="19" t="s">
        <v>944</v>
      </c>
      <c r="D2120" s="19" t="s">
        <v>148</v>
      </c>
      <c r="E2120" s="19" t="s">
        <v>911</v>
      </c>
      <c r="F2120" s="19" t="s">
        <v>910</v>
      </c>
      <c r="G2120" s="19" t="n">
        <v>247</v>
      </c>
      <c r="H2120" s="19" t="s">
        <v>6463</v>
      </c>
      <c r="I2120" s="20" t="n">
        <v>70.817</v>
      </c>
      <c r="J2120" s="19" t="n">
        <f aca="false">IF(I2120="","",MIN(Overview!$B$8,MAX(1,CEILING(I2120/Overview!$B$7,1))))</f>
        <v>15</v>
      </c>
      <c r="K2120" s="19" t="n">
        <v>1</v>
      </c>
      <c r="L2120" s="19"/>
      <c r="M2120" s="20"/>
      <c r="N2120" s="19"/>
      <c r="O2120" s="19"/>
      <c r="P2120" s="19" t="s">
        <v>6553</v>
      </c>
      <c r="Q2120" s="19" t="s">
        <v>6397</v>
      </c>
      <c r="R2120" s="21" t="n">
        <v>36721</v>
      </c>
      <c r="S2120" s="19" t="s">
        <v>1002</v>
      </c>
      <c r="T2120" s="19" t="s">
        <v>6558</v>
      </c>
      <c r="U2120" s="19" t="str">
        <f aca="false">HYPERLINK("https://macaulaylibrary.org/asset/104109","Open")</f>
        <v>Open</v>
      </c>
      <c r="V2120" s="19" t="s">
        <v>6465</v>
      </c>
    </row>
    <row r="2121" customFormat="false" ht="15" hidden="false" customHeight="false" outlineLevel="0" collapsed="false">
      <c r="A2121" s="19" t="s">
        <v>6559</v>
      </c>
      <c r="B2121" s="19" t="s">
        <v>943</v>
      </c>
      <c r="C2121" s="19" t="s">
        <v>944</v>
      </c>
      <c r="D2121" s="19" t="s">
        <v>148</v>
      </c>
      <c r="E2121" s="19" t="s">
        <v>911</v>
      </c>
      <c r="F2121" s="19" t="s">
        <v>910</v>
      </c>
      <c r="G2121" s="19" t="n">
        <v>247</v>
      </c>
      <c r="H2121" s="19" t="s">
        <v>6463</v>
      </c>
      <c r="I2121" s="20" t="n">
        <v>96.885</v>
      </c>
      <c r="J2121" s="19" t="n">
        <f aca="false">IF(I2121="","",MIN(Overview!$B$8,MAX(1,CEILING(I2121/Overview!$B$7,1))))</f>
        <v>20</v>
      </c>
      <c r="K2121" s="19" t="n">
        <v>1</v>
      </c>
      <c r="L2121" s="19"/>
      <c r="M2121" s="20"/>
      <c r="N2121" s="19"/>
      <c r="O2121" s="19"/>
      <c r="P2121" s="19" t="s">
        <v>6553</v>
      </c>
      <c r="Q2121" s="19" t="s">
        <v>6397</v>
      </c>
      <c r="R2121" s="21" t="n">
        <v>36721</v>
      </c>
      <c r="S2121" s="19" t="s">
        <v>2804</v>
      </c>
      <c r="T2121" s="19" t="s">
        <v>6560</v>
      </c>
      <c r="U2121" s="19" t="str">
        <f aca="false">HYPERLINK("https://macaulaylibrary.org/asset/104110","Open")</f>
        <v>Open</v>
      </c>
      <c r="V2121" s="19" t="s">
        <v>6465</v>
      </c>
    </row>
    <row r="2122" customFormat="false" ht="15" hidden="false" customHeight="false" outlineLevel="0" collapsed="false">
      <c r="A2122" s="19" t="s">
        <v>6561</v>
      </c>
      <c r="B2122" s="19" t="s">
        <v>943</v>
      </c>
      <c r="C2122" s="19" t="s">
        <v>944</v>
      </c>
      <c r="D2122" s="19" t="s">
        <v>148</v>
      </c>
      <c r="E2122" s="19" t="s">
        <v>911</v>
      </c>
      <c r="F2122" s="19" t="s">
        <v>910</v>
      </c>
      <c r="G2122" s="19" t="n">
        <v>247</v>
      </c>
      <c r="H2122" s="19" t="s">
        <v>6463</v>
      </c>
      <c r="I2122" s="20" t="n">
        <v>74.758</v>
      </c>
      <c r="J2122" s="19" t="n">
        <f aca="false">IF(I2122="","",MIN(Overview!$B$8,MAX(1,CEILING(I2122/Overview!$B$7,1))))</f>
        <v>15</v>
      </c>
      <c r="K2122" s="19" t="n">
        <v>1</v>
      </c>
      <c r="L2122" s="19"/>
      <c r="M2122" s="20"/>
      <c r="N2122" s="19"/>
      <c r="O2122" s="19"/>
      <c r="P2122" s="19" t="s">
        <v>6553</v>
      </c>
      <c r="Q2122" s="19" t="s">
        <v>6397</v>
      </c>
      <c r="R2122" s="21" t="n">
        <v>36721</v>
      </c>
      <c r="S2122" s="19" t="s">
        <v>2804</v>
      </c>
      <c r="T2122" s="19" t="s">
        <v>6562</v>
      </c>
      <c r="U2122" s="19" t="str">
        <f aca="false">HYPERLINK("https://macaulaylibrary.org/asset/104111","Open")</f>
        <v>Open</v>
      </c>
      <c r="V2122" s="19" t="s">
        <v>6465</v>
      </c>
    </row>
    <row r="2123" customFormat="false" ht="15" hidden="false" customHeight="false" outlineLevel="0" collapsed="false">
      <c r="A2123" s="19" t="s">
        <v>6563</v>
      </c>
      <c r="B2123" s="19" t="s">
        <v>943</v>
      </c>
      <c r="C2123" s="19" t="s">
        <v>944</v>
      </c>
      <c r="D2123" s="19" t="s">
        <v>148</v>
      </c>
      <c r="E2123" s="19" t="s">
        <v>911</v>
      </c>
      <c r="F2123" s="19" t="s">
        <v>910</v>
      </c>
      <c r="G2123" s="19" t="n">
        <v>247</v>
      </c>
      <c r="H2123" s="19" t="s">
        <v>6463</v>
      </c>
      <c r="I2123" s="20" t="n">
        <v>96.544</v>
      </c>
      <c r="J2123" s="19" t="n">
        <f aca="false">IF(I2123="","",MIN(Overview!$B$8,MAX(1,CEILING(I2123/Overview!$B$7,1))))</f>
        <v>20</v>
      </c>
      <c r="K2123" s="19" t="n">
        <v>1</v>
      </c>
      <c r="L2123" s="19"/>
      <c r="M2123" s="20"/>
      <c r="N2123" s="19"/>
      <c r="O2123" s="19"/>
      <c r="P2123" s="19" t="s">
        <v>6553</v>
      </c>
      <c r="Q2123" s="19" t="s">
        <v>6397</v>
      </c>
      <c r="R2123" s="21" t="n">
        <v>36721</v>
      </c>
      <c r="S2123" s="19" t="s">
        <v>2804</v>
      </c>
      <c r="T2123" s="19" t="s">
        <v>6564</v>
      </c>
      <c r="U2123" s="19" t="str">
        <f aca="false">HYPERLINK("https://macaulaylibrary.org/asset/104112","Open")</f>
        <v>Open</v>
      </c>
      <c r="V2123" s="19" t="s">
        <v>6465</v>
      </c>
    </row>
    <row r="2124" customFormat="false" ht="15" hidden="false" customHeight="false" outlineLevel="0" collapsed="false">
      <c r="A2124" s="19" t="s">
        <v>6565</v>
      </c>
      <c r="B2124" s="19" t="s">
        <v>943</v>
      </c>
      <c r="C2124" s="19" t="s">
        <v>944</v>
      </c>
      <c r="D2124" s="19" t="s">
        <v>148</v>
      </c>
      <c r="E2124" s="19" t="s">
        <v>911</v>
      </c>
      <c r="F2124" s="19" t="s">
        <v>910</v>
      </c>
      <c r="G2124" s="19" t="n">
        <v>247</v>
      </c>
      <c r="H2124" s="19" t="s">
        <v>6447</v>
      </c>
      <c r="I2124" s="20" t="n">
        <v>54.368</v>
      </c>
      <c r="J2124" s="19" t="n">
        <f aca="false">IF(I2124="","",MIN(Overview!$B$8,MAX(1,CEILING(I2124/Overview!$B$7,1))))</f>
        <v>11</v>
      </c>
      <c r="K2124" s="19" t="n">
        <v>1</v>
      </c>
      <c r="L2124" s="19"/>
      <c r="M2124" s="20"/>
      <c r="N2124" s="19"/>
      <c r="O2124" s="19"/>
      <c r="P2124" s="19" t="s">
        <v>6553</v>
      </c>
      <c r="Q2124" s="19" t="s">
        <v>6397</v>
      </c>
      <c r="R2124" s="21" t="n">
        <v>36721</v>
      </c>
      <c r="S2124" s="19" t="s">
        <v>2804</v>
      </c>
      <c r="T2124" s="19" t="s">
        <v>6566</v>
      </c>
      <c r="U2124" s="19" t="str">
        <f aca="false">HYPERLINK("https://macaulaylibrary.org/asset/104113","Open")</f>
        <v>Open</v>
      </c>
      <c r="V2124" s="19" t="s">
        <v>6451</v>
      </c>
    </row>
    <row r="2125" customFormat="false" ht="15" hidden="false" customHeight="false" outlineLevel="0" collapsed="false">
      <c r="A2125" s="19" t="s">
        <v>6567</v>
      </c>
      <c r="B2125" s="19" t="s">
        <v>943</v>
      </c>
      <c r="C2125" s="19" t="s">
        <v>944</v>
      </c>
      <c r="D2125" s="19" t="s">
        <v>148</v>
      </c>
      <c r="E2125" s="19" t="s">
        <v>911</v>
      </c>
      <c r="F2125" s="19" t="s">
        <v>910</v>
      </c>
      <c r="G2125" s="19" t="n">
        <v>247</v>
      </c>
      <c r="H2125" s="19" t="s">
        <v>6447</v>
      </c>
      <c r="I2125" s="20" t="n">
        <v>37.944</v>
      </c>
      <c r="J2125" s="19" t="n">
        <f aca="false">IF(I2125="","",MIN(Overview!$B$8,MAX(1,CEILING(I2125/Overview!$B$7,1))))</f>
        <v>8</v>
      </c>
      <c r="K2125" s="19" t="n">
        <v>1</v>
      </c>
      <c r="L2125" s="19"/>
      <c r="M2125" s="20"/>
      <c r="N2125" s="19"/>
      <c r="O2125" s="19"/>
      <c r="P2125" s="19" t="s">
        <v>6553</v>
      </c>
      <c r="Q2125" s="19" t="s">
        <v>6397</v>
      </c>
      <c r="R2125" s="21" t="n">
        <v>36721</v>
      </c>
      <c r="S2125" s="19" t="s">
        <v>6568</v>
      </c>
      <c r="T2125" s="19" t="s">
        <v>6569</v>
      </c>
      <c r="U2125" s="19" t="str">
        <f aca="false">HYPERLINK("https://macaulaylibrary.org/asset/104114","Open")</f>
        <v>Open</v>
      </c>
      <c r="V2125" s="19" t="s">
        <v>6451</v>
      </c>
    </row>
    <row r="2126" customFormat="false" ht="15" hidden="false" customHeight="false" outlineLevel="0" collapsed="false">
      <c r="A2126" s="19" t="s">
        <v>6570</v>
      </c>
      <c r="B2126" s="19" t="s">
        <v>943</v>
      </c>
      <c r="C2126" s="19" t="s">
        <v>944</v>
      </c>
      <c r="D2126" s="19" t="s">
        <v>148</v>
      </c>
      <c r="E2126" s="19" t="s">
        <v>911</v>
      </c>
      <c r="F2126" s="19" t="s">
        <v>910</v>
      </c>
      <c r="G2126" s="19" t="n">
        <v>247</v>
      </c>
      <c r="H2126" s="19" t="s">
        <v>6447</v>
      </c>
      <c r="I2126" s="20" t="n">
        <v>55.065</v>
      </c>
      <c r="J2126" s="19" t="n">
        <f aca="false">IF(I2126="","",MIN(Overview!$B$8,MAX(1,CEILING(I2126/Overview!$B$7,1))))</f>
        <v>12</v>
      </c>
      <c r="K2126" s="19" t="n">
        <v>1</v>
      </c>
      <c r="L2126" s="19"/>
      <c r="M2126" s="20"/>
      <c r="N2126" s="19"/>
      <c r="O2126" s="19"/>
      <c r="P2126" s="19" t="s">
        <v>6553</v>
      </c>
      <c r="Q2126" s="19" t="s">
        <v>6397</v>
      </c>
      <c r="R2126" s="21" t="n">
        <v>36721</v>
      </c>
      <c r="S2126" s="19" t="s">
        <v>6571</v>
      </c>
      <c r="T2126" s="19" t="s">
        <v>6572</v>
      </c>
      <c r="U2126" s="19" t="str">
        <f aca="false">HYPERLINK("https://macaulaylibrary.org/asset/104115","Open")</f>
        <v>Open</v>
      </c>
      <c r="V2126" s="19" t="s">
        <v>6451</v>
      </c>
    </row>
    <row r="2127" customFormat="false" ht="15" hidden="false" customHeight="false" outlineLevel="0" collapsed="false">
      <c r="A2127" s="19" t="s">
        <v>6573</v>
      </c>
      <c r="B2127" s="19" t="s">
        <v>943</v>
      </c>
      <c r="C2127" s="19" t="s">
        <v>944</v>
      </c>
      <c r="D2127" s="19" t="s">
        <v>148</v>
      </c>
      <c r="E2127" s="19" t="s">
        <v>911</v>
      </c>
      <c r="F2127" s="19" t="s">
        <v>910</v>
      </c>
      <c r="G2127" s="19" t="n">
        <v>247</v>
      </c>
      <c r="H2127" s="19" t="s">
        <v>6447</v>
      </c>
      <c r="I2127" s="20" t="n">
        <v>54.367</v>
      </c>
      <c r="J2127" s="19" t="n">
        <f aca="false">IF(I2127="","",MIN(Overview!$B$8,MAX(1,CEILING(I2127/Overview!$B$7,1))))</f>
        <v>11</v>
      </c>
      <c r="K2127" s="19" t="n">
        <v>1</v>
      </c>
      <c r="L2127" s="19"/>
      <c r="M2127" s="20"/>
      <c r="N2127" s="19"/>
      <c r="O2127" s="19"/>
      <c r="P2127" s="19" t="s">
        <v>6553</v>
      </c>
      <c r="Q2127" s="19" t="s">
        <v>6397</v>
      </c>
      <c r="R2127" s="21" t="n">
        <v>36721</v>
      </c>
      <c r="S2127" s="19" t="s">
        <v>6532</v>
      </c>
      <c r="T2127" s="19" t="s">
        <v>6574</v>
      </c>
      <c r="U2127" s="19" t="str">
        <f aca="false">HYPERLINK("https://macaulaylibrary.org/asset/104116","Open")</f>
        <v>Open</v>
      </c>
      <c r="V2127" s="19" t="s">
        <v>6451</v>
      </c>
    </row>
    <row r="2128" customFormat="false" ht="15" hidden="false" customHeight="false" outlineLevel="0" collapsed="false">
      <c r="A2128" s="19" t="s">
        <v>6575</v>
      </c>
      <c r="B2128" s="19" t="s">
        <v>943</v>
      </c>
      <c r="C2128" s="19" t="s">
        <v>944</v>
      </c>
      <c r="D2128" s="19" t="s">
        <v>148</v>
      </c>
      <c r="E2128" s="19" t="s">
        <v>911</v>
      </c>
      <c r="F2128" s="19" t="s">
        <v>910</v>
      </c>
      <c r="G2128" s="19" t="n">
        <v>247</v>
      </c>
      <c r="H2128" s="19" t="s">
        <v>6447</v>
      </c>
      <c r="I2128" s="20" t="n">
        <v>53.354</v>
      </c>
      <c r="J2128" s="19" t="n">
        <f aca="false">IF(I2128="","",MIN(Overview!$B$8,MAX(1,CEILING(I2128/Overview!$B$7,1))))</f>
        <v>11</v>
      </c>
      <c r="K2128" s="19" t="n">
        <v>1</v>
      </c>
      <c r="L2128" s="19"/>
      <c r="M2128" s="20"/>
      <c r="N2128" s="19"/>
      <c r="O2128" s="19"/>
      <c r="P2128" s="19" t="s">
        <v>6553</v>
      </c>
      <c r="Q2128" s="19" t="s">
        <v>6397</v>
      </c>
      <c r="R2128" s="21" t="n">
        <v>36721</v>
      </c>
      <c r="S2128" s="19" t="s">
        <v>6532</v>
      </c>
      <c r="T2128" s="19" t="s">
        <v>6576</v>
      </c>
      <c r="U2128" s="19" t="str">
        <f aca="false">HYPERLINK("https://macaulaylibrary.org/asset/104117","Open")</f>
        <v>Open</v>
      </c>
      <c r="V2128" s="19" t="s">
        <v>6451</v>
      </c>
    </row>
    <row r="2129" customFormat="false" ht="15" hidden="false" customHeight="false" outlineLevel="0" collapsed="false">
      <c r="A2129" s="19" t="s">
        <v>6577</v>
      </c>
      <c r="B2129" s="19" t="s">
        <v>943</v>
      </c>
      <c r="C2129" s="19" t="s">
        <v>944</v>
      </c>
      <c r="D2129" s="19" t="s">
        <v>148</v>
      </c>
      <c r="E2129" s="19" t="s">
        <v>911</v>
      </c>
      <c r="F2129" s="19" t="s">
        <v>910</v>
      </c>
      <c r="G2129" s="19" t="n">
        <v>247</v>
      </c>
      <c r="H2129" s="19" t="s">
        <v>6447</v>
      </c>
      <c r="I2129" s="20" t="n">
        <v>106.34</v>
      </c>
      <c r="J2129" s="19" t="n">
        <f aca="false">IF(I2129="","",MIN(Overview!$B$8,MAX(1,CEILING(I2129/Overview!$B$7,1))))</f>
        <v>22</v>
      </c>
      <c r="K2129" s="19" t="n">
        <v>1</v>
      </c>
      <c r="L2129" s="19"/>
      <c r="M2129" s="20"/>
      <c r="N2129" s="19"/>
      <c r="O2129" s="19"/>
      <c r="P2129" s="19" t="s">
        <v>6553</v>
      </c>
      <c r="Q2129" s="19" t="s">
        <v>6397</v>
      </c>
      <c r="R2129" s="21" t="n">
        <v>36721</v>
      </c>
      <c r="S2129" s="19" t="s">
        <v>6578</v>
      </c>
      <c r="T2129" s="19" t="s">
        <v>6579</v>
      </c>
      <c r="U2129" s="19" t="str">
        <f aca="false">HYPERLINK("https://macaulaylibrary.org/asset/104118","Open")</f>
        <v>Open</v>
      </c>
      <c r="V2129" s="19" t="s">
        <v>6451</v>
      </c>
    </row>
    <row r="2130" customFormat="false" ht="15" hidden="false" customHeight="false" outlineLevel="0" collapsed="false">
      <c r="A2130" s="19" t="s">
        <v>6580</v>
      </c>
      <c r="B2130" s="19" t="s">
        <v>943</v>
      </c>
      <c r="C2130" s="19" t="s">
        <v>944</v>
      </c>
      <c r="D2130" s="19" t="s">
        <v>148</v>
      </c>
      <c r="E2130" s="19" t="s">
        <v>911</v>
      </c>
      <c r="F2130" s="19" t="s">
        <v>910</v>
      </c>
      <c r="G2130" s="19" t="n">
        <v>247</v>
      </c>
      <c r="H2130" s="19" t="s">
        <v>6447</v>
      </c>
      <c r="I2130" s="20" t="n">
        <v>54.038</v>
      </c>
      <c r="J2130" s="19" t="n">
        <f aca="false">IF(I2130="","",MIN(Overview!$B$8,MAX(1,CEILING(I2130/Overview!$B$7,1))))</f>
        <v>11</v>
      </c>
      <c r="K2130" s="19" t="n">
        <v>1</v>
      </c>
      <c r="L2130" s="19"/>
      <c r="M2130" s="20"/>
      <c r="N2130" s="19"/>
      <c r="O2130" s="19"/>
      <c r="P2130" s="19" t="s">
        <v>6553</v>
      </c>
      <c r="Q2130" s="19" t="s">
        <v>6397</v>
      </c>
      <c r="R2130" s="21" t="n">
        <v>36721</v>
      </c>
      <c r="S2130" s="19" t="s">
        <v>6532</v>
      </c>
      <c r="T2130" s="19" t="s">
        <v>6581</v>
      </c>
      <c r="U2130" s="19" t="str">
        <f aca="false">HYPERLINK("https://macaulaylibrary.org/asset/104119","Open")</f>
        <v>Open</v>
      </c>
      <c r="V2130" s="19" t="s">
        <v>6451</v>
      </c>
    </row>
    <row r="2131" customFormat="false" ht="15" hidden="false" customHeight="false" outlineLevel="0" collapsed="false">
      <c r="A2131" s="19" t="s">
        <v>6582</v>
      </c>
      <c r="B2131" s="19" t="s">
        <v>943</v>
      </c>
      <c r="C2131" s="19" t="s">
        <v>944</v>
      </c>
      <c r="D2131" s="19" t="s">
        <v>148</v>
      </c>
      <c r="E2131" s="19" t="s">
        <v>911</v>
      </c>
      <c r="F2131" s="19" t="s">
        <v>910</v>
      </c>
      <c r="G2131" s="19" t="n">
        <v>247</v>
      </c>
      <c r="H2131" s="19" t="s">
        <v>6447</v>
      </c>
      <c r="I2131" s="20" t="n">
        <v>54.229</v>
      </c>
      <c r="J2131" s="19" t="n">
        <f aca="false">IF(I2131="","",MIN(Overview!$B$8,MAX(1,CEILING(I2131/Overview!$B$7,1))))</f>
        <v>11</v>
      </c>
      <c r="K2131" s="19" t="n">
        <v>1</v>
      </c>
      <c r="L2131" s="19"/>
      <c r="M2131" s="20"/>
      <c r="N2131" s="19"/>
      <c r="O2131" s="19"/>
      <c r="P2131" s="19" t="s">
        <v>6553</v>
      </c>
      <c r="Q2131" s="19" t="s">
        <v>6397</v>
      </c>
      <c r="R2131" s="21" t="n">
        <v>36721</v>
      </c>
      <c r="S2131" s="19" t="s">
        <v>6578</v>
      </c>
      <c r="T2131" s="19" t="s">
        <v>6583</v>
      </c>
      <c r="U2131" s="19" t="str">
        <f aca="false">HYPERLINK("https://macaulaylibrary.org/asset/104120","Open")</f>
        <v>Open</v>
      </c>
      <c r="V2131" s="19" t="s">
        <v>6451</v>
      </c>
    </row>
    <row r="2132" customFormat="false" ht="15" hidden="false" customHeight="false" outlineLevel="0" collapsed="false">
      <c r="A2132" s="19" t="s">
        <v>6584</v>
      </c>
      <c r="B2132" s="19" t="s">
        <v>943</v>
      </c>
      <c r="C2132" s="19" t="s">
        <v>944</v>
      </c>
      <c r="D2132" s="19" t="s">
        <v>148</v>
      </c>
      <c r="E2132" s="19" t="s">
        <v>911</v>
      </c>
      <c r="F2132" s="19" t="s">
        <v>910</v>
      </c>
      <c r="G2132" s="19" t="n">
        <v>247</v>
      </c>
      <c r="H2132" s="19" t="s">
        <v>6453</v>
      </c>
      <c r="I2132" s="20" t="n">
        <v>101.169</v>
      </c>
      <c r="J2132" s="19" t="n">
        <f aca="false">IF(I2132="","",MIN(Overview!$B$8,MAX(1,CEILING(I2132/Overview!$B$7,1))))</f>
        <v>21</v>
      </c>
      <c r="K2132" s="19" t="n">
        <v>1</v>
      </c>
      <c r="L2132" s="19"/>
      <c r="M2132" s="20"/>
      <c r="N2132" s="19"/>
      <c r="O2132" s="19"/>
      <c r="P2132" s="19" t="s">
        <v>6553</v>
      </c>
      <c r="Q2132" s="19" t="s">
        <v>6397</v>
      </c>
      <c r="R2132" s="21" t="n">
        <v>36721</v>
      </c>
      <c r="S2132" s="19" t="s">
        <v>6578</v>
      </c>
      <c r="T2132" s="19" t="s">
        <v>6585</v>
      </c>
      <c r="U2132" s="19" t="str">
        <f aca="false">HYPERLINK("https://macaulaylibrary.org/asset/104121","Open")</f>
        <v>Open</v>
      </c>
      <c r="V2132" s="19" t="s">
        <v>6455</v>
      </c>
    </row>
    <row r="2133" customFormat="false" ht="15" hidden="false" customHeight="false" outlineLevel="0" collapsed="false">
      <c r="A2133" s="19" t="s">
        <v>6586</v>
      </c>
      <c r="B2133" s="19" t="s">
        <v>943</v>
      </c>
      <c r="C2133" s="19" t="s">
        <v>944</v>
      </c>
      <c r="D2133" s="19" t="s">
        <v>148</v>
      </c>
      <c r="E2133" s="19" t="s">
        <v>911</v>
      </c>
      <c r="F2133" s="19" t="s">
        <v>910</v>
      </c>
      <c r="G2133" s="19" t="n">
        <v>247</v>
      </c>
      <c r="H2133" s="19" t="s">
        <v>6441</v>
      </c>
      <c r="I2133" s="20" t="n">
        <v>125.945</v>
      </c>
      <c r="J2133" s="19" t="n">
        <f aca="false">IF(I2133="","",MIN(Overview!$B$8,MAX(1,CEILING(I2133/Overview!$B$7,1))))</f>
        <v>26</v>
      </c>
      <c r="K2133" s="19" t="n">
        <v>1</v>
      </c>
      <c r="L2133" s="19"/>
      <c r="M2133" s="20"/>
      <c r="N2133" s="19"/>
      <c r="O2133" s="19"/>
      <c r="P2133" s="19" t="s">
        <v>6587</v>
      </c>
      <c r="Q2133" s="19" t="s">
        <v>6397</v>
      </c>
      <c r="R2133" s="21" t="n">
        <v>36722</v>
      </c>
      <c r="S2133" s="19" t="s">
        <v>2335</v>
      </c>
      <c r="T2133" s="19" t="s">
        <v>6588</v>
      </c>
      <c r="U2133" s="19" t="str">
        <f aca="false">HYPERLINK("https://macaulaylibrary.org/asset/104123","Open")</f>
        <v>Open</v>
      </c>
      <c r="V2133" s="19" t="s">
        <v>6445</v>
      </c>
    </row>
    <row r="2134" customFormat="false" ht="15" hidden="false" customHeight="false" outlineLevel="0" collapsed="false">
      <c r="A2134" s="19" t="s">
        <v>6589</v>
      </c>
      <c r="B2134" s="19" t="s">
        <v>943</v>
      </c>
      <c r="C2134" s="19" t="s">
        <v>944</v>
      </c>
      <c r="D2134" s="19" t="s">
        <v>148</v>
      </c>
      <c r="E2134" s="19" t="s">
        <v>911</v>
      </c>
      <c r="F2134" s="19" t="s">
        <v>910</v>
      </c>
      <c r="G2134" s="19" t="n">
        <v>247</v>
      </c>
      <c r="H2134" s="19" t="s">
        <v>6441</v>
      </c>
      <c r="I2134" s="20" t="n">
        <v>126.021</v>
      </c>
      <c r="J2134" s="19" t="n">
        <f aca="false">IF(I2134="","",MIN(Overview!$B$8,MAX(1,CEILING(I2134/Overview!$B$7,1))))</f>
        <v>26</v>
      </c>
      <c r="K2134" s="19" t="n">
        <v>1</v>
      </c>
      <c r="L2134" s="19"/>
      <c r="M2134" s="20"/>
      <c r="N2134" s="19"/>
      <c r="O2134" s="19"/>
      <c r="P2134" s="19" t="s">
        <v>6587</v>
      </c>
      <c r="Q2134" s="19" t="s">
        <v>6397</v>
      </c>
      <c r="R2134" s="21" t="n">
        <v>36722</v>
      </c>
      <c r="S2134" s="19" t="s">
        <v>6590</v>
      </c>
      <c r="T2134" s="19" t="s">
        <v>6591</v>
      </c>
      <c r="U2134" s="19" t="str">
        <f aca="false">HYPERLINK("https://macaulaylibrary.org/asset/104126","Open")</f>
        <v>Open</v>
      </c>
      <c r="V2134" s="19" t="s">
        <v>6445</v>
      </c>
    </row>
    <row r="2135" customFormat="false" ht="15" hidden="false" customHeight="false" outlineLevel="0" collapsed="false">
      <c r="A2135" s="19" t="s">
        <v>6592</v>
      </c>
      <c r="B2135" s="19" t="s">
        <v>943</v>
      </c>
      <c r="C2135" s="19" t="s">
        <v>944</v>
      </c>
      <c r="D2135" s="19" t="s">
        <v>148</v>
      </c>
      <c r="E2135" s="19" t="s">
        <v>911</v>
      </c>
      <c r="F2135" s="19" t="s">
        <v>910</v>
      </c>
      <c r="G2135" s="19" t="n">
        <v>247</v>
      </c>
      <c r="H2135" s="19" t="s">
        <v>6441</v>
      </c>
      <c r="I2135" s="20" t="n">
        <v>34.217</v>
      </c>
      <c r="J2135" s="19" t="n">
        <f aca="false">IF(I2135="","",MIN(Overview!$B$8,MAX(1,CEILING(I2135/Overview!$B$7,1))))</f>
        <v>7</v>
      </c>
      <c r="K2135" s="19" t="n">
        <v>1</v>
      </c>
      <c r="L2135" s="19"/>
      <c r="M2135" s="20"/>
      <c r="N2135" s="19"/>
      <c r="O2135" s="19"/>
      <c r="P2135" s="19" t="s">
        <v>6587</v>
      </c>
      <c r="Q2135" s="19" t="s">
        <v>6397</v>
      </c>
      <c r="R2135" s="21" t="n">
        <v>36722</v>
      </c>
      <c r="S2135" s="19" t="s">
        <v>4065</v>
      </c>
      <c r="T2135" s="19" t="s">
        <v>6593</v>
      </c>
      <c r="U2135" s="19" t="str">
        <f aca="false">HYPERLINK("https://macaulaylibrary.org/asset/104127","Open")</f>
        <v>Open</v>
      </c>
      <c r="V2135" s="19" t="s">
        <v>6445</v>
      </c>
    </row>
    <row r="2136" customFormat="false" ht="15" hidden="false" customHeight="false" outlineLevel="0" collapsed="false">
      <c r="A2136" s="19" t="s">
        <v>6594</v>
      </c>
      <c r="B2136" s="19" t="s">
        <v>943</v>
      </c>
      <c r="C2136" s="19" t="s">
        <v>944</v>
      </c>
      <c r="D2136" s="19" t="s">
        <v>148</v>
      </c>
      <c r="E2136" s="19" t="s">
        <v>911</v>
      </c>
      <c r="F2136" s="19" t="s">
        <v>910</v>
      </c>
      <c r="G2136" s="19" t="n">
        <v>247</v>
      </c>
      <c r="H2136" s="19" t="s">
        <v>6595</v>
      </c>
      <c r="I2136" s="20" t="n">
        <v>548.106</v>
      </c>
      <c r="J2136" s="19" t="n">
        <f aca="false">IF(I2136="","",MIN(Overview!$B$8,MAX(1,CEILING(I2136/Overview!$B$7,1))))</f>
        <v>110</v>
      </c>
      <c r="K2136" s="19" t="n">
        <v>1</v>
      </c>
      <c r="L2136" s="19"/>
      <c r="M2136" s="20"/>
      <c r="N2136" s="19"/>
      <c r="O2136" s="19"/>
      <c r="P2136" s="19" t="s">
        <v>6587</v>
      </c>
      <c r="Q2136" s="19" t="s">
        <v>6397</v>
      </c>
      <c r="R2136" s="21" t="n">
        <v>36722</v>
      </c>
      <c r="S2136" s="19" t="s">
        <v>4014</v>
      </c>
      <c r="T2136" s="19" t="s">
        <v>6596</v>
      </c>
      <c r="U2136" s="19" t="str">
        <f aca="false">HYPERLINK("https://macaulaylibrary.org/asset/104128","Open")</f>
        <v>Open</v>
      </c>
      <c r="V2136" s="19" t="s">
        <v>6597</v>
      </c>
    </row>
    <row r="2137" customFormat="false" ht="15" hidden="false" customHeight="false" outlineLevel="0" collapsed="false">
      <c r="A2137" s="19" t="s">
        <v>6598</v>
      </c>
      <c r="B2137" s="19" t="s">
        <v>943</v>
      </c>
      <c r="C2137" s="19" t="s">
        <v>944</v>
      </c>
      <c r="D2137" s="19" t="s">
        <v>148</v>
      </c>
      <c r="E2137" s="19" t="s">
        <v>911</v>
      </c>
      <c r="F2137" s="19" t="s">
        <v>910</v>
      </c>
      <c r="G2137" s="19" t="n">
        <v>247</v>
      </c>
      <c r="H2137" s="19" t="s">
        <v>6453</v>
      </c>
      <c r="I2137" s="20" t="n">
        <v>46.815</v>
      </c>
      <c r="J2137" s="19" t="n">
        <f aca="false">IF(I2137="","",MIN(Overview!$B$8,MAX(1,CEILING(I2137/Overview!$B$7,1))))</f>
        <v>10</v>
      </c>
      <c r="K2137" s="19" t="n">
        <v>1</v>
      </c>
      <c r="L2137" s="19"/>
      <c r="M2137" s="20"/>
      <c r="N2137" s="19"/>
      <c r="O2137" s="19"/>
      <c r="P2137" s="19" t="s">
        <v>6599</v>
      </c>
      <c r="Q2137" s="19" t="s">
        <v>6397</v>
      </c>
      <c r="R2137" s="21" t="n">
        <v>36724</v>
      </c>
      <c r="S2137" s="19" t="s">
        <v>6600</v>
      </c>
      <c r="T2137" s="19" t="s">
        <v>6601</v>
      </c>
      <c r="U2137" s="19" t="str">
        <f aca="false">HYPERLINK("https://macaulaylibrary.org/asset/104129","Open")</f>
        <v>Open</v>
      </c>
      <c r="V2137" s="19" t="s">
        <v>6455</v>
      </c>
    </row>
    <row r="2138" customFormat="false" ht="15" hidden="false" customHeight="false" outlineLevel="0" collapsed="false">
      <c r="A2138" s="19" t="s">
        <v>6602</v>
      </c>
      <c r="B2138" s="19" t="s">
        <v>943</v>
      </c>
      <c r="C2138" s="19" t="s">
        <v>944</v>
      </c>
      <c r="D2138" s="19" t="s">
        <v>148</v>
      </c>
      <c r="E2138" s="19" t="s">
        <v>911</v>
      </c>
      <c r="F2138" s="19" t="s">
        <v>910</v>
      </c>
      <c r="G2138" s="19" t="n">
        <v>247</v>
      </c>
      <c r="H2138" s="19" t="s">
        <v>6453</v>
      </c>
      <c r="I2138" s="20" t="n">
        <v>95.022</v>
      </c>
      <c r="J2138" s="19" t="n">
        <f aca="false">IF(I2138="","",MIN(Overview!$B$8,MAX(1,CEILING(I2138/Overview!$B$7,1))))</f>
        <v>20</v>
      </c>
      <c r="K2138" s="19" t="n">
        <v>1</v>
      </c>
      <c r="L2138" s="19"/>
      <c r="M2138" s="20"/>
      <c r="N2138" s="19"/>
      <c r="O2138" s="19"/>
      <c r="P2138" s="19" t="s">
        <v>6599</v>
      </c>
      <c r="Q2138" s="19" t="s">
        <v>6397</v>
      </c>
      <c r="R2138" s="21" t="n">
        <v>36724</v>
      </c>
      <c r="S2138" s="19" t="s">
        <v>6603</v>
      </c>
      <c r="T2138" s="19" t="s">
        <v>6604</v>
      </c>
      <c r="U2138" s="19" t="str">
        <f aca="false">HYPERLINK("https://macaulaylibrary.org/asset/104130","Open")</f>
        <v>Open</v>
      </c>
      <c r="V2138" s="19" t="s">
        <v>6455</v>
      </c>
    </row>
    <row r="2139" customFormat="false" ht="15" hidden="false" customHeight="false" outlineLevel="0" collapsed="false">
      <c r="A2139" s="19" t="s">
        <v>6605</v>
      </c>
      <c r="B2139" s="19" t="s">
        <v>943</v>
      </c>
      <c r="C2139" s="19" t="s">
        <v>944</v>
      </c>
      <c r="D2139" s="19" t="s">
        <v>148</v>
      </c>
      <c r="E2139" s="19" t="s">
        <v>911</v>
      </c>
      <c r="F2139" s="19" t="s">
        <v>910</v>
      </c>
      <c r="G2139" s="19" t="n">
        <v>247</v>
      </c>
      <c r="H2139" s="19" t="s">
        <v>6453</v>
      </c>
      <c r="I2139" s="20" t="n">
        <v>64.924</v>
      </c>
      <c r="J2139" s="19" t="n">
        <f aca="false">IF(I2139="","",MIN(Overview!$B$8,MAX(1,CEILING(I2139/Overview!$B$7,1))))</f>
        <v>13</v>
      </c>
      <c r="K2139" s="19" t="n">
        <v>1</v>
      </c>
      <c r="L2139" s="19"/>
      <c r="M2139" s="20"/>
      <c r="N2139" s="19"/>
      <c r="O2139" s="19"/>
      <c r="P2139" s="19" t="s">
        <v>6599</v>
      </c>
      <c r="Q2139" s="19" t="s">
        <v>6397</v>
      </c>
      <c r="R2139" s="21" t="n">
        <v>36724</v>
      </c>
      <c r="S2139" s="19" t="s">
        <v>6606</v>
      </c>
      <c r="T2139" s="19" t="s">
        <v>6607</v>
      </c>
      <c r="U2139" s="19" t="str">
        <f aca="false">HYPERLINK("https://macaulaylibrary.org/asset/104131","Open")</f>
        <v>Open</v>
      </c>
      <c r="V2139" s="19" t="s">
        <v>6455</v>
      </c>
    </row>
    <row r="2140" customFormat="false" ht="15" hidden="false" customHeight="false" outlineLevel="0" collapsed="false">
      <c r="A2140" s="19" t="s">
        <v>6608</v>
      </c>
      <c r="B2140" s="19" t="s">
        <v>943</v>
      </c>
      <c r="C2140" s="19" t="s">
        <v>944</v>
      </c>
      <c r="D2140" s="19" t="s">
        <v>148</v>
      </c>
      <c r="E2140" s="19" t="s">
        <v>911</v>
      </c>
      <c r="F2140" s="19" t="s">
        <v>910</v>
      </c>
      <c r="G2140" s="19" t="n">
        <v>247</v>
      </c>
      <c r="H2140" s="19" t="s">
        <v>6453</v>
      </c>
      <c r="I2140" s="20" t="n">
        <v>25.284</v>
      </c>
      <c r="J2140" s="19" t="n">
        <f aca="false">IF(I2140="","",MIN(Overview!$B$8,MAX(1,CEILING(I2140/Overview!$B$7,1))))</f>
        <v>6</v>
      </c>
      <c r="K2140" s="19" t="n">
        <v>1</v>
      </c>
      <c r="L2140" s="19"/>
      <c r="M2140" s="20"/>
      <c r="N2140" s="19"/>
      <c r="O2140" s="19"/>
      <c r="P2140" s="19" t="s">
        <v>6599</v>
      </c>
      <c r="Q2140" s="19" t="s">
        <v>6397</v>
      </c>
      <c r="R2140" s="21" t="n">
        <v>36724</v>
      </c>
      <c r="S2140" s="19" t="s">
        <v>6609</v>
      </c>
      <c r="T2140" s="19" t="s">
        <v>6610</v>
      </c>
      <c r="U2140" s="19" t="str">
        <f aca="false">HYPERLINK("https://macaulaylibrary.org/asset/104132","Open")</f>
        <v>Open</v>
      </c>
      <c r="V2140" s="19" t="s">
        <v>6455</v>
      </c>
    </row>
    <row r="2141" customFormat="false" ht="15" hidden="false" customHeight="false" outlineLevel="0" collapsed="false">
      <c r="A2141" s="19" t="s">
        <v>6611</v>
      </c>
      <c r="B2141" s="19" t="s">
        <v>943</v>
      </c>
      <c r="C2141" s="19" t="s">
        <v>944</v>
      </c>
      <c r="D2141" s="19" t="s">
        <v>148</v>
      </c>
      <c r="E2141" s="19" t="s">
        <v>911</v>
      </c>
      <c r="F2141" s="19" t="s">
        <v>910</v>
      </c>
      <c r="G2141" s="19" t="n">
        <v>247</v>
      </c>
      <c r="H2141" s="19" t="s">
        <v>6453</v>
      </c>
      <c r="I2141" s="20" t="n">
        <v>59.691</v>
      </c>
      <c r="J2141" s="19" t="n">
        <f aca="false">IF(I2141="","",MIN(Overview!$B$8,MAX(1,CEILING(I2141/Overview!$B$7,1))))</f>
        <v>12</v>
      </c>
      <c r="K2141" s="19" t="n">
        <v>1</v>
      </c>
      <c r="L2141" s="19"/>
      <c r="M2141" s="20"/>
      <c r="N2141" s="19"/>
      <c r="O2141" s="19"/>
      <c r="P2141" s="19" t="s">
        <v>6599</v>
      </c>
      <c r="Q2141" s="19" t="s">
        <v>6397</v>
      </c>
      <c r="R2141" s="21" t="n">
        <v>36724</v>
      </c>
      <c r="S2141" s="19" t="s">
        <v>2995</v>
      </c>
      <c r="T2141" s="19" t="s">
        <v>6612</v>
      </c>
      <c r="U2141" s="19" t="str">
        <f aca="false">HYPERLINK("https://macaulaylibrary.org/asset/104133","Open")</f>
        <v>Open</v>
      </c>
      <c r="V2141" s="19" t="s">
        <v>6455</v>
      </c>
    </row>
    <row r="2142" customFormat="false" ht="15" hidden="false" customHeight="false" outlineLevel="0" collapsed="false">
      <c r="A2142" s="19" t="s">
        <v>6613</v>
      </c>
      <c r="B2142" s="19" t="s">
        <v>943</v>
      </c>
      <c r="C2142" s="19" t="s">
        <v>944</v>
      </c>
      <c r="D2142" s="19" t="s">
        <v>148</v>
      </c>
      <c r="E2142" s="19" t="s">
        <v>911</v>
      </c>
      <c r="F2142" s="19" t="s">
        <v>910</v>
      </c>
      <c r="G2142" s="19" t="n">
        <v>247</v>
      </c>
      <c r="H2142" s="19" t="s">
        <v>6453</v>
      </c>
      <c r="I2142" s="20" t="n">
        <v>215.746</v>
      </c>
      <c r="J2142" s="19" t="n">
        <f aca="false">IF(I2142="","",MIN(Overview!$B$8,MAX(1,CEILING(I2142/Overview!$B$7,1))))</f>
        <v>44</v>
      </c>
      <c r="K2142" s="19" t="n">
        <v>1</v>
      </c>
      <c r="L2142" s="19"/>
      <c r="M2142" s="20"/>
      <c r="N2142" s="19"/>
      <c r="O2142" s="19"/>
      <c r="P2142" s="19" t="s">
        <v>6599</v>
      </c>
      <c r="Q2142" s="19" t="s">
        <v>6397</v>
      </c>
      <c r="R2142" s="21" t="n">
        <v>36724</v>
      </c>
      <c r="S2142" s="19" t="s">
        <v>6614</v>
      </c>
      <c r="T2142" s="19" t="s">
        <v>6615</v>
      </c>
      <c r="U2142" s="19" t="str">
        <f aca="false">HYPERLINK("https://macaulaylibrary.org/asset/104134","Open")</f>
        <v>Open</v>
      </c>
      <c r="V2142" s="19" t="s">
        <v>6455</v>
      </c>
    </row>
    <row r="2143" customFormat="false" ht="15" hidden="false" customHeight="false" outlineLevel="0" collapsed="false">
      <c r="A2143" s="19" t="s">
        <v>6616</v>
      </c>
      <c r="B2143" s="19" t="s">
        <v>943</v>
      </c>
      <c r="C2143" s="19" t="s">
        <v>944</v>
      </c>
      <c r="D2143" s="19" t="s">
        <v>148</v>
      </c>
      <c r="E2143" s="19" t="s">
        <v>911</v>
      </c>
      <c r="F2143" s="19" t="s">
        <v>910</v>
      </c>
      <c r="G2143" s="19" t="n">
        <v>247</v>
      </c>
      <c r="H2143" s="19" t="s">
        <v>6453</v>
      </c>
      <c r="I2143" s="20" t="n">
        <v>60.983</v>
      </c>
      <c r="J2143" s="19" t="n">
        <f aca="false">IF(I2143="","",MIN(Overview!$B$8,MAX(1,CEILING(I2143/Overview!$B$7,1))))</f>
        <v>13</v>
      </c>
      <c r="K2143" s="19" t="n">
        <v>1</v>
      </c>
      <c r="L2143" s="19"/>
      <c r="M2143" s="20"/>
      <c r="N2143" s="19"/>
      <c r="O2143" s="19"/>
      <c r="P2143" s="19" t="s">
        <v>6599</v>
      </c>
      <c r="Q2143" s="19" t="s">
        <v>6397</v>
      </c>
      <c r="R2143" s="21" t="n">
        <v>36724</v>
      </c>
      <c r="S2143" s="19" t="s">
        <v>6617</v>
      </c>
      <c r="T2143" s="19" t="s">
        <v>6618</v>
      </c>
      <c r="U2143" s="19" t="str">
        <f aca="false">HYPERLINK("https://macaulaylibrary.org/asset/104135","Open")</f>
        <v>Open</v>
      </c>
      <c r="V2143" s="19" t="s">
        <v>6455</v>
      </c>
    </row>
    <row r="2144" customFormat="false" ht="15" hidden="false" customHeight="false" outlineLevel="0" collapsed="false">
      <c r="A2144" s="19" t="s">
        <v>6619</v>
      </c>
      <c r="B2144" s="19" t="s">
        <v>943</v>
      </c>
      <c r="C2144" s="19" t="s">
        <v>944</v>
      </c>
      <c r="D2144" s="19" t="s">
        <v>148</v>
      </c>
      <c r="E2144" s="19" t="s">
        <v>911</v>
      </c>
      <c r="F2144" s="19" t="s">
        <v>910</v>
      </c>
      <c r="G2144" s="19" t="n">
        <v>247</v>
      </c>
      <c r="H2144" s="19" t="s">
        <v>6453</v>
      </c>
      <c r="I2144" s="20" t="n">
        <v>81.742</v>
      </c>
      <c r="J2144" s="19" t="n">
        <f aca="false">IF(I2144="","",MIN(Overview!$B$8,MAX(1,CEILING(I2144/Overview!$B$7,1))))</f>
        <v>17</v>
      </c>
      <c r="K2144" s="19" t="n">
        <v>1</v>
      </c>
      <c r="L2144" s="19"/>
      <c r="M2144" s="20"/>
      <c r="N2144" s="19"/>
      <c r="O2144" s="19"/>
      <c r="P2144" s="19" t="s">
        <v>6599</v>
      </c>
      <c r="Q2144" s="19" t="s">
        <v>6397</v>
      </c>
      <c r="R2144" s="21" t="n">
        <v>36724</v>
      </c>
      <c r="S2144" s="19" t="s">
        <v>6620</v>
      </c>
      <c r="T2144" s="19" t="s">
        <v>6621</v>
      </c>
      <c r="U2144" s="19" t="str">
        <f aca="false">HYPERLINK("https://macaulaylibrary.org/asset/104136","Open")</f>
        <v>Open</v>
      </c>
      <c r="V2144" s="19" t="s">
        <v>6455</v>
      </c>
    </row>
    <row r="2145" customFormat="false" ht="15" hidden="false" customHeight="false" outlineLevel="0" collapsed="false">
      <c r="A2145" s="19" t="s">
        <v>6622</v>
      </c>
      <c r="B2145" s="19" t="s">
        <v>943</v>
      </c>
      <c r="C2145" s="19" t="s">
        <v>944</v>
      </c>
      <c r="D2145" s="19" t="s">
        <v>148</v>
      </c>
      <c r="E2145" s="19" t="s">
        <v>911</v>
      </c>
      <c r="F2145" s="19" t="s">
        <v>910</v>
      </c>
      <c r="G2145" s="19" t="n">
        <v>247</v>
      </c>
      <c r="H2145" s="19" t="s">
        <v>6453</v>
      </c>
      <c r="I2145" s="20" t="n">
        <v>47.411</v>
      </c>
      <c r="J2145" s="19" t="n">
        <f aca="false">IF(I2145="","",MIN(Overview!$B$8,MAX(1,CEILING(I2145/Overview!$B$7,1))))</f>
        <v>10</v>
      </c>
      <c r="K2145" s="19" t="n">
        <v>1</v>
      </c>
      <c r="L2145" s="19"/>
      <c r="M2145" s="20"/>
      <c r="N2145" s="19"/>
      <c r="O2145" s="19"/>
      <c r="P2145" s="19" t="s">
        <v>6599</v>
      </c>
      <c r="Q2145" s="19" t="s">
        <v>6397</v>
      </c>
      <c r="R2145" s="21" t="n">
        <v>36724</v>
      </c>
      <c r="S2145" s="19" t="s">
        <v>6623</v>
      </c>
      <c r="T2145" s="19" t="s">
        <v>6624</v>
      </c>
      <c r="U2145" s="19" t="str">
        <f aca="false">HYPERLINK("https://macaulaylibrary.org/asset/104137","Open")</f>
        <v>Open</v>
      </c>
      <c r="V2145" s="19" t="s">
        <v>6455</v>
      </c>
    </row>
    <row r="2146" customFormat="false" ht="15" hidden="false" customHeight="false" outlineLevel="0" collapsed="false">
      <c r="A2146" s="19" t="s">
        <v>6625</v>
      </c>
      <c r="B2146" s="19" t="s">
        <v>943</v>
      </c>
      <c r="C2146" s="19" t="s">
        <v>944</v>
      </c>
      <c r="D2146" s="19" t="s">
        <v>148</v>
      </c>
      <c r="E2146" s="19" t="s">
        <v>911</v>
      </c>
      <c r="F2146" s="19" t="s">
        <v>910</v>
      </c>
      <c r="G2146" s="19" t="n">
        <v>247</v>
      </c>
      <c r="H2146" s="19" t="s">
        <v>6453</v>
      </c>
      <c r="I2146" s="20" t="n">
        <v>136.4</v>
      </c>
      <c r="J2146" s="19" t="n">
        <f aca="false">IF(I2146="","",MIN(Overview!$B$8,MAX(1,CEILING(I2146/Overview!$B$7,1))))</f>
        <v>28</v>
      </c>
      <c r="K2146" s="19" t="n">
        <v>1</v>
      </c>
      <c r="L2146" s="19"/>
      <c r="M2146" s="20"/>
      <c r="N2146" s="19"/>
      <c r="O2146" s="19"/>
      <c r="P2146" s="19" t="s">
        <v>6599</v>
      </c>
      <c r="Q2146" s="19" t="s">
        <v>6397</v>
      </c>
      <c r="R2146" s="21" t="n">
        <v>36724</v>
      </c>
      <c r="S2146" s="19" t="s">
        <v>6626</v>
      </c>
      <c r="T2146" s="19" t="s">
        <v>6627</v>
      </c>
      <c r="U2146" s="19" t="str">
        <f aca="false">HYPERLINK("https://macaulaylibrary.org/asset/104138","Open")</f>
        <v>Open</v>
      </c>
      <c r="V2146" s="19" t="s">
        <v>6455</v>
      </c>
    </row>
    <row r="2147" customFormat="false" ht="15" hidden="false" customHeight="false" outlineLevel="0" collapsed="false">
      <c r="A2147" s="19" t="s">
        <v>6628</v>
      </c>
      <c r="B2147" s="19" t="s">
        <v>943</v>
      </c>
      <c r="C2147" s="19" t="s">
        <v>944</v>
      </c>
      <c r="D2147" s="19" t="s">
        <v>148</v>
      </c>
      <c r="E2147" s="19" t="s">
        <v>911</v>
      </c>
      <c r="F2147" s="19" t="s">
        <v>910</v>
      </c>
      <c r="G2147" s="19" t="n">
        <v>247</v>
      </c>
      <c r="H2147" s="19" t="s">
        <v>6453</v>
      </c>
      <c r="I2147" s="20" t="n">
        <v>51.01</v>
      </c>
      <c r="J2147" s="19" t="n">
        <f aca="false">IF(I2147="","",MIN(Overview!$B$8,MAX(1,CEILING(I2147/Overview!$B$7,1))))</f>
        <v>11</v>
      </c>
      <c r="K2147" s="19" t="n">
        <v>1</v>
      </c>
      <c r="L2147" s="19"/>
      <c r="M2147" s="20"/>
      <c r="N2147" s="19"/>
      <c r="O2147" s="19"/>
      <c r="P2147" s="19" t="s">
        <v>6599</v>
      </c>
      <c r="Q2147" s="19" t="s">
        <v>6397</v>
      </c>
      <c r="R2147" s="21" t="n">
        <v>36724</v>
      </c>
      <c r="S2147" s="19" t="s">
        <v>6629</v>
      </c>
      <c r="T2147" s="19" t="s">
        <v>6630</v>
      </c>
      <c r="U2147" s="19" t="str">
        <f aca="false">HYPERLINK("https://macaulaylibrary.org/asset/104139","Open")</f>
        <v>Open</v>
      </c>
      <c r="V2147" s="19" t="s">
        <v>6455</v>
      </c>
    </row>
    <row r="2148" customFormat="false" ht="15" hidden="false" customHeight="false" outlineLevel="0" collapsed="false">
      <c r="A2148" s="19" t="s">
        <v>6631</v>
      </c>
      <c r="B2148" s="19" t="s">
        <v>943</v>
      </c>
      <c r="C2148" s="19" t="s">
        <v>944</v>
      </c>
      <c r="D2148" s="19" t="s">
        <v>148</v>
      </c>
      <c r="E2148" s="19" t="s">
        <v>911</v>
      </c>
      <c r="F2148" s="19" t="s">
        <v>910</v>
      </c>
      <c r="G2148" s="19" t="n">
        <v>247</v>
      </c>
      <c r="H2148" s="19" t="s">
        <v>6453</v>
      </c>
      <c r="I2148" s="20" t="n">
        <v>168.552</v>
      </c>
      <c r="J2148" s="19" t="n">
        <f aca="false">IF(I2148="","",MIN(Overview!$B$8,MAX(1,CEILING(I2148/Overview!$B$7,1))))</f>
        <v>34</v>
      </c>
      <c r="K2148" s="19" t="n">
        <v>1</v>
      </c>
      <c r="L2148" s="19"/>
      <c r="M2148" s="20"/>
      <c r="N2148" s="19"/>
      <c r="O2148" s="19"/>
      <c r="P2148" s="19" t="s">
        <v>6599</v>
      </c>
      <c r="Q2148" s="19" t="s">
        <v>6397</v>
      </c>
      <c r="R2148" s="21" t="n">
        <v>36724</v>
      </c>
      <c r="S2148" s="19" t="s">
        <v>6632</v>
      </c>
      <c r="T2148" s="19" t="s">
        <v>6633</v>
      </c>
      <c r="U2148" s="19" t="str">
        <f aca="false">HYPERLINK("https://macaulaylibrary.org/asset/104140","Open")</f>
        <v>Open</v>
      </c>
      <c r="V2148" s="19" t="s">
        <v>6455</v>
      </c>
    </row>
    <row r="2149" customFormat="false" ht="15" hidden="false" customHeight="false" outlineLevel="0" collapsed="false">
      <c r="A2149" s="19" t="s">
        <v>6634</v>
      </c>
      <c r="B2149" s="19" t="s">
        <v>943</v>
      </c>
      <c r="C2149" s="19" t="s">
        <v>944</v>
      </c>
      <c r="D2149" s="19" t="s">
        <v>148</v>
      </c>
      <c r="E2149" s="19" t="s">
        <v>911</v>
      </c>
      <c r="F2149" s="19" t="s">
        <v>910</v>
      </c>
      <c r="G2149" s="19" t="n">
        <v>247</v>
      </c>
      <c r="H2149" s="19" t="s">
        <v>6453</v>
      </c>
      <c r="I2149" s="20" t="n">
        <v>196.394</v>
      </c>
      <c r="J2149" s="19" t="n">
        <f aca="false">IF(I2149="","",MIN(Overview!$B$8,MAX(1,CEILING(I2149/Overview!$B$7,1))))</f>
        <v>40</v>
      </c>
      <c r="K2149" s="19" t="n">
        <v>1</v>
      </c>
      <c r="L2149" s="19"/>
      <c r="M2149" s="20"/>
      <c r="N2149" s="19"/>
      <c r="O2149" s="19"/>
      <c r="P2149" s="19" t="s">
        <v>6599</v>
      </c>
      <c r="Q2149" s="19" t="s">
        <v>6397</v>
      </c>
      <c r="R2149" s="21" t="n">
        <v>36724</v>
      </c>
      <c r="S2149" s="19" t="s">
        <v>6635</v>
      </c>
      <c r="T2149" s="19" t="s">
        <v>6636</v>
      </c>
      <c r="U2149" s="19" t="str">
        <f aca="false">HYPERLINK("https://macaulaylibrary.org/asset/104141","Open")</f>
        <v>Open</v>
      </c>
      <c r="V2149" s="19" t="s">
        <v>6455</v>
      </c>
    </row>
    <row r="2150" customFormat="false" ht="15" hidden="false" customHeight="false" outlineLevel="0" collapsed="false">
      <c r="A2150" s="19" t="s">
        <v>6637</v>
      </c>
      <c r="B2150" s="19" t="s">
        <v>943</v>
      </c>
      <c r="C2150" s="19" t="s">
        <v>944</v>
      </c>
      <c r="D2150" s="19" t="s">
        <v>148</v>
      </c>
      <c r="E2150" s="19" t="s">
        <v>911</v>
      </c>
      <c r="F2150" s="19" t="s">
        <v>910</v>
      </c>
      <c r="G2150" s="19" t="n">
        <v>247</v>
      </c>
      <c r="H2150" s="19" t="s">
        <v>6453</v>
      </c>
      <c r="I2150" s="20" t="n">
        <v>80.322</v>
      </c>
      <c r="J2150" s="19" t="n">
        <f aca="false">IF(I2150="","",MIN(Overview!$B$8,MAX(1,CEILING(I2150/Overview!$B$7,1))))</f>
        <v>17</v>
      </c>
      <c r="K2150" s="19" t="n">
        <v>1</v>
      </c>
      <c r="L2150" s="19"/>
      <c r="M2150" s="20"/>
      <c r="N2150" s="19"/>
      <c r="O2150" s="19"/>
      <c r="P2150" s="19" t="s">
        <v>6599</v>
      </c>
      <c r="Q2150" s="19" t="s">
        <v>6397</v>
      </c>
      <c r="R2150" s="21" t="n">
        <v>36724</v>
      </c>
      <c r="S2150" s="19" t="s">
        <v>6638</v>
      </c>
      <c r="T2150" s="19" t="s">
        <v>6639</v>
      </c>
      <c r="U2150" s="19" t="str">
        <f aca="false">HYPERLINK("https://macaulaylibrary.org/asset/104142","Open")</f>
        <v>Open</v>
      </c>
      <c r="V2150" s="19" t="s">
        <v>6455</v>
      </c>
    </row>
    <row r="2151" customFormat="false" ht="15" hidden="false" customHeight="false" outlineLevel="0" collapsed="false">
      <c r="A2151" s="19" t="s">
        <v>6640</v>
      </c>
      <c r="B2151" s="19" t="s">
        <v>943</v>
      </c>
      <c r="C2151" s="19" t="s">
        <v>944</v>
      </c>
      <c r="D2151" s="19" t="s">
        <v>148</v>
      </c>
      <c r="E2151" s="19" t="s">
        <v>911</v>
      </c>
      <c r="F2151" s="19" t="s">
        <v>910</v>
      </c>
      <c r="G2151" s="19" t="n">
        <v>247</v>
      </c>
      <c r="H2151" s="19" t="s">
        <v>6453</v>
      </c>
      <c r="I2151" s="20" t="n">
        <v>89.105</v>
      </c>
      <c r="J2151" s="19" t="n">
        <f aca="false">IF(I2151="","",MIN(Overview!$B$8,MAX(1,CEILING(I2151/Overview!$B$7,1))))</f>
        <v>18</v>
      </c>
      <c r="K2151" s="19" t="n">
        <v>1</v>
      </c>
      <c r="L2151" s="19"/>
      <c r="M2151" s="20"/>
      <c r="N2151" s="19"/>
      <c r="O2151" s="19"/>
      <c r="P2151" s="19" t="s">
        <v>6599</v>
      </c>
      <c r="Q2151" s="19" t="s">
        <v>6397</v>
      </c>
      <c r="R2151" s="21" t="n">
        <v>36724</v>
      </c>
      <c r="S2151" s="19" t="s">
        <v>6641</v>
      </c>
      <c r="T2151" s="19" t="s">
        <v>6642</v>
      </c>
      <c r="U2151" s="19" t="str">
        <f aca="false">HYPERLINK("https://macaulaylibrary.org/asset/104143","Open")</f>
        <v>Open</v>
      </c>
      <c r="V2151" s="19" t="s">
        <v>6455</v>
      </c>
    </row>
    <row r="2152" customFormat="false" ht="15" hidden="false" customHeight="false" outlineLevel="0" collapsed="false">
      <c r="A2152" s="19" t="s">
        <v>6643</v>
      </c>
      <c r="B2152" s="19" t="s">
        <v>943</v>
      </c>
      <c r="C2152" s="19" t="s">
        <v>944</v>
      </c>
      <c r="D2152" s="19" t="s">
        <v>148</v>
      </c>
      <c r="E2152" s="19" t="s">
        <v>911</v>
      </c>
      <c r="F2152" s="19" t="s">
        <v>910</v>
      </c>
      <c r="G2152" s="19" t="n">
        <v>247</v>
      </c>
      <c r="H2152" s="19" t="s">
        <v>6453</v>
      </c>
      <c r="I2152" s="20" t="n">
        <v>38.033</v>
      </c>
      <c r="J2152" s="19" t="n">
        <f aca="false">IF(I2152="","",MIN(Overview!$B$8,MAX(1,CEILING(I2152/Overview!$B$7,1))))</f>
        <v>8</v>
      </c>
      <c r="K2152" s="19" t="n">
        <v>1</v>
      </c>
      <c r="L2152" s="19"/>
      <c r="M2152" s="20"/>
      <c r="N2152" s="19"/>
      <c r="O2152" s="19"/>
      <c r="P2152" s="19" t="s">
        <v>6599</v>
      </c>
      <c r="Q2152" s="19" t="s">
        <v>6397</v>
      </c>
      <c r="R2152" s="21" t="n">
        <v>36724</v>
      </c>
      <c r="S2152" s="19" t="s">
        <v>6644</v>
      </c>
      <c r="T2152" s="19" t="s">
        <v>6645</v>
      </c>
      <c r="U2152" s="19" t="str">
        <f aca="false">HYPERLINK("https://macaulaylibrary.org/asset/104144","Open")</f>
        <v>Open</v>
      </c>
      <c r="V2152" s="19" t="s">
        <v>6455</v>
      </c>
    </row>
    <row r="2153" customFormat="false" ht="15" hidden="false" customHeight="false" outlineLevel="0" collapsed="false">
      <c r="A2153" s="19" t="s">
        <v>6646</v>
      </c>
      <c r="B2153" s="19" t="s">
        <v>943</v>
      </c>
      <c r="C2153" s="19" t="s">
        <v>944</v>
      </c>
      <c r="D2153" s="19" t="s">
        <v>148</v>
      </c>
      <c r="E2153" s="19" t="s">
        <v>911</v>
      </c>
      <c r="F2153" s="19" t="s">
        <v>910</v>
      </c>
      <c r="G2153" s="19" t="n">
        <v>247</v>
      </c>
      <c r="H2153" s="19" t="s">
        <v>6453</v>
      </c>
      <c r="I2153" s="20" t="n">
        <v>61.478</v>
      </c>
      <c r="J2153" s="19" t="n">
        <f aca="false">IF(I2153="","",MIN(Overview!$B$8,MAX(1,CEILING(I2153/Overview!$B$7,1))))</f>
        <v>13</v>
      </c>
      <c r="K2153" s="19" t="n">
        <v>1</v>
      </c>
      <c r="L2153" s="19"/>
      <c r="M2153" s="20"/>
      <c r="N2153" s="19"/>
      <c r="O2153" s="19"/>
      <c r="P2153" s="19" t="s">
        <v>6599</v>
      </c>
      <c r="Q2153" s="19" t="s">
        <v>6397</v>
      </c>
      <c r="R2153" s="21" t="n">
        <v>36724</v>
      </c>
      <c r="S2153" s="19" t="s">
        <v>1597</v>
      </c>
      <c r="T2153" s="19" t="s">
        <v>6647</v>
      </c>
      <c r="U2153" s="19" t="str">
        <f aca="false">HYPERLINK("https://macaulaylibrary.org/asset/104145","Open")</f>
        <v>Open</v>
      </c>
      <c r="V2153" s="19" t="s">
        <v>6455</v>
      </c>
    </row>
    <row r="2154" customFormat="false" ht="15" hidden="false" customHeight="false" outlineLevel="0" collapsed="false">
      <c r="A2154" s="19" t="s">
        <v>6648</v>
      </c>
      <c r="B2154" s="19" t="s">
        <v>943</v>
      </c>
      <c r="C2154" s="19" t="s">
        <v>944</v>
      </c>
      <c r="D2154" s="19" t="s">
        <v>148</v>
      </c>
      <c r="E2154" s="19" t="s">
        <v>911</v>
      </c>
      <c r="F2154" s="19" t="s">
        <v>910</v>
      </c>
      <c r="G2154" s="19" t="n">
        <v>247</v>
      </c>
      <c r="H2154" s="19" t="s">
        <v>6453</v>
      </c>
      <c r="I2154" s="20" t="n">
        <v>88.217</v>
      </c>
      <c r="J2154" s="19" t="n">
        <f aca="false">IF(I2154="","",MIN(Overview!$B$8,MAX(1,CEILING(I2154/Overview!$B$7,1))))</f>
        <v>18</v>
      </c>
      <c r="K2154" s="19" t="n">
        <v>1</v>
      </c>
      <c r="L2154" s="19"/>
      <c r="M2154" s="20"/>
      <c r="N2154" s="19"/>
      <c r="O2154" s="19"/>
      <c r="P2154" s="19" t="s">
        <v>6599</v>
      </c>
      <c r="Q2154" s="19" t="s">
        <v>6397</v>
      </c>
      <c r="R2154" s="21" t="n">
        <v>36724</v>
      </c>
      <c r="S2154" s="19" t="s">
        <v>6649</v>
      </c>
      <c r="T2154" s="19" t="s">
        <v>6650</v>
      </c>
      <c r="U2154" s="19" t="str">
        <f aca="false">HYPERLINK("https://macaulaylibrary.org/asset/104146","Open")</f>
        <v>Open</v>
      </c>
      <c r="V2154" s="19" t="s">
        <v>6455</v>
      </c>
    </row>
    <row r="2155" customFormat="false" ht="15" hidden="false" customHeight="false" outlineLevel="0" collapsed="false">
      <c r="A2155" s="19" t="s">
        <v>6651</v>
      </c>
      <c r="B2155" s="19" t="s">
        <v>943</v>
      </c>
      <c r="C2155" s="19" t="s">
        <v>944</v>
      </c>
      <c r="D2155" s="19" t="s">
        <v>148</v>
      </c>
      <c r="E2155" s="19" t="s">
        <v>911</v>
      </c>
      <c r="F2155" s="19" t="s">
        <v>910</v>
      </c>
      <c r="G2155" s="19" t="n">
        <v>247</v>
      </c>
      <c r="H2155" s="19" t="s">
        <v>6652</v>
      </c>
      <c r="I2155" s="20" t="n">
        <v>1291.34</v>
      </c>
      <c r="J2155" s="19" t="n">
        <f aca="false">IF(I2155="","",MIN(Overview!$B$8,MAX(1,CEILING(I2155/Overview!$B$7,1))))</f>
        <v>120</v>
      </c>
      <c r="K2155" s="19" t="n">
        <v>1</v>
      </c>
      <c r="L2155" s="19"/>
      <c r="M2155" s="20"/>
      <c r="N2155" s="19"/>
      <c r="O2155" s="19"/>
      <c r="P2155" s="19" t="s">
        <v>6599</v>
      </c>
      <c r="Q2155" s="19" t="s">
        <v>6397</v>
      </c>
      <c r="R2155" s="21" t="n">
        <v>36724</v>
      </c>
      <c r="S2155" s="19" t="s">
        <v>6653</v>
      </c>
      <c r="T2155" s="19" t="s">
        <v>6654</v>
      </c>
      <c r="U2155" s="19" t="str">
        <f aca="false">HYPERLINK("https://macaulaylibrary.org/asset/104147","Open")</f>
        <v>Open</v>
      </c>
      <c r="V2155" s="19" t="s">
        <v>6655</v>
      </c>
    </row>
    <row r="2156" customFormat="false" ht="15" hidden="false" customHeight="false" outlineLevel="0" collapsed="false">
      <c r="A2156" s="19" t="s">
        <v>6656</v>
      </c>
      <c r="B2156" s="19" t="s">
        <v>943</v>
      </c>
      <c r="C2156" s="19" t="s">
        <v>944</v>
      </c>
      <c r="D2156" s="19" t="s">
        <v>148</v>
      </c>
      <c r="E2156" s="19" t="s">
        <v>911</v>
      </c>
      <c r="F2156" s="19" t="s">
        <v>910</v>
      </c>
      <c r="G2156" s="19" t="n">
        <v>247</v>
      </c>
      <c r="H2156" s="19" t="s">
        <v>6463</v>
      </c>
      <c r="I2156" s="20" t="n">
        <v>65.216</v>
      </c>
      <c r="J2156" s="19" t="n">
        <f aca="false">IF(I2156="","",MIN(Overview!$B$8,MAX(1,CEILING(I2156/Overview!$B$7,1))))</f>
        <v>14</v>
      </c>
      <c r="K2156" s="19" t="n">
        <v>1</v>
      </c>
      <c r="L2156" s="19"/>
      <c r="M2156" s="20"/>
      <c r="N2156" s="19"/>
      <c r="O2156" s="19"/>
      <c r="P2156" s="19" t="s">
        <v>6657</v>
      </c>
      <c r="Q2156" s="19" t="s">
        <v>6397</v>
      </c>
      <c r="R2156" s="21" t="n">
        <v>36725</v>
      </c>
      <c r="S2156" s="19" t="s">
        <v>6658</v>
      </c>
      <c r="T2156" s="19" t="s">
        <v>6659</v>
      </c>
      <c r="U2156" s="19" t="str">
        <f aca="false">HYPERLINK("https://macaulaylibrary.org/asset/104148","Open")</f>
        <v>Open</v>
      </c>
      <c r="V2156" s="19" t="s">
        <v>6465</v>
      </c>
    </row>
    <row r="2157" customFormat="false" ht="15" hidden="false" customHeight="false" outlineLevel="0" collapsed="false">
      <c r="A2157" s="19" t="s">
        <v>6660</v>
      </c>
      <c r="B2157" s="19" t="s">
        <v>943</v>
      </c>
      <c r="C2157" s="19" t="s">
        <v>944</v>
      </c>
      <c r="D2157" s="19" t="s">
        <v>148</v>
      </c>
      <c r="E2157" s="19" t="s">
        <v>911</v>
      </c>
      <c r="F2157" s="19" t="s">
        <v>910</v>
      </c>
      <c r="G2157" s="19" t="n">
        <v>247</v>
      </c>
      <c r="H2157" s="19" t="s">
        <v>6463</v>
      </c>
      <c r="I2157" s="20" t="n">
        <v>140.569</v>
      </c>
      <c r="J2157" s="19" t="n">
        <f aca="false">IF(I2157="","",MIN(Overview!$B$8,MAX(1,CEILING(I2157/Overview!$B$7,1))))</f>
        <v>29</v>
      </c>
      <c r="K2157" s="19" t="n">
        <v>1</v>
      </c>
      <c r="L2157" s="19"/>
      <c r="M2157" s="20"/>
      <c r="N2157" s="19"/>
      <c r="O2157" s="19"/>
      <c r="P2157" s="19" t="s">
        <v>6657</v>
      </c>
      <c r="Q2157" s="19" t="s">
        <v>6397</v>
      </c>
      <c r="R2157" s="21" t="n">
        <v>36725</v>
      </c>
      <c r="S2157" s="19" t="s">
        <v>3606</v>
      </c>
      <c r="T2157" s="19" t="s">
        <v>6661</v>
      </c>
      <c r="U2157" s="19" t="str">
        <f aca="false">HYPERLINK("https://macaulaylibrary.org/asset/104149","Open")</f>
        <v>Open</v>
      </c>
      <c r="V2157" s="19" t="s">
        <v>6465</v>
      </c>
    </row>
    <row r="2158" customFormat="false" ht="15" hidden="false" customHeight="false" outlineLevel="0" collapsed="false">
      <c r="A2158" s="19" t="s">
        <v>6662</v>
      </c>
      <c r="B2158" s="19" t="s">
        <v>943</v>
      </c>
      <c r="C2158" s="19" t="s">
        <v>944</v>
      </c>
      <c r="D2158" s="19" t="s">
        <v>148</v>
      </c>
      <c r="E2158" s="19" t="s">
        <v>911</v>
      </c>
      <c r="F2158" s="19" t="s">
        <v>910</v>
      </c>
      <c r="G2158" s="19" t="n">
        <v>247</v>
      </c>
      <c r="H2158" s="19" t="s">
        <v>6463</v>
      </c>
      <c r="I2158" s="20" t="n">
        <v>53.316</v>
      </c>
      <c r="J2158" s="19" t="n">
        <f aca="false">IF(I2158="","",MIN(Overview!$B$8,MAX(1,CEILING(I2158/Overview!$B$7,1))))</f>
        <v>11</v>
      </c>
      <c r="K2158" s="19" t="n">
        <v>1</v>
      </c>
      <c r="L2158" s="19"/>
      <c r="M2158" s="20"/>
      <c r="N2158" s="19"/>
      <c r="O2158" s="19"/>
      <c r="P2158" s="19" t="s">
        <v>6657</v>
      </c>
      <c r="Q2158" s="19" t="s">
        <v>6397</v>
      </c>
      <c r="R2158" s="21" t="n">
        <v>36725</v>
      </c>
      <c r="S2158" s="19" t="s">
        <v>5784</v>
      </c>
      <c r="T2158" s="19" t="s">
        <v>6663</v>
      </c>
      <c r="U2158" s="19" t="str">
        <f aca="false">HYPERLINK("https://macaulaylibrary.org/asset/104150","Open")</f>
        <v>Open</v>
      </c>
      <c r="V2158" s="19" t="s">
        <v>6465</v>
      </c>
    </row>
    <row r="2159" customFormat="false" ht="15" hidden="false" customHeight="false" outlineLevel="0" collapsed="false">
      <c r="A2159" s="19" t="s">
        <v>6664</v>
      </c>
      <c r="B2159" s="19" t="s">
        <v>943</v>
      </c>
      <c r="C2159" s="19" t="s">
        <v>944</v>
      </c>
      <c r="D2159" s="19" t="s">
        <v>148</v>
      </c>
      <c r="E2159" s="19" t="s">
        <v>911</v>
      </c>
      <c r="F2159" s="19" t="s">
        <v>910</v>
      </c>
      <c r="G2159" s="19" t="n">
        <v>247</v>
      </c>
      <c r="H2159" s="19" t="s">
        <v>6463</v>
      </c>
      <c r="I2159" s="20" t="n">
        <v>87.521</v>
      </c>
      <c r="J2159" s="19" t="n">
        <f aca="false">IF(I2159="","",MIN(Overview!$B$8,MAX(1,CEILING(I2159/Overview!$B$7,1))))</f>
        <v>18</v>
      </c>
      <c r="K2159" s="19" t="n">
        <v>1</v>
      </c>
      <c r="L2159" s="19"/>
      <c r="M2159" s="20"/>
      <c r="N2159" s="19"/>
      <c r="O2159" s="19"/>
      <c r="P2159" s="19" t="s">
        <v>6657</v>
      </c>
      <c r="Q2159" s="19" t="s">
        <v>6397</v>
      </c>
      <c r="R2159" s="21" t="n">
        <v>36725</v>
      </c>
      <c r="S2159" s="19" t="s">
        <v>6665</v>
      </c>
      <c r="T2159" s="19" t="s">
        <v>6666</v>
      </c>
      <c r="U2159" s="19" t="str">
        <f aca="false">HYPERLINK("https://macaulaylibrary.org/asset/104151","Open")</f>
        <v>Open</v>
      </c>
      <c r="V2159" s="19" t="s">
        <v>6465</v>
      </c>
    </row>
    <row r="2160" customFormat="false" ht="15" hidden="false" customHeight="false" outlineLevel="0" collapsed="false">
      <c r="A2160" s="19" t="s">
        <v>6667</v>
      </c>
      <c r="B2160" s="19" t="s">
        <v>943</v>
      </c>
      <c r="C2160" s="19" t="s">
        <v>944</v>
      </c>
      <c r="D2160" s="19" t="s">
        <v>148</v>
      </c>
      <c r="E2160" s="19" t="s">
        <v>911</v>
      </c>
      <c r="F2160" s="19" t="s">
        <v>910</v>
      </c>
      <c r="G2160" s="19" t="n">
        <v>247</v>
      </c>
      <c r="H2160" s="19" t="s">
        <v>6463</v>
      </c>
      <c r="I2160" s="20" t="n">
        <v>108.33</v>
      </c>
      <c r="J2160" s="19" t="n">
        <f aca="false">IF(I2160="","",MIN(Overview!$B$8,MAX(1,CEILING(I2160/Overview!$B$7,1))))</f>
        <v>22</v>
      </c>
      <c r="K2160" s="19" t="n">
        <v>1</v>
      </c>
      <c r="L2160" s="19"/>
      <c r="M2160" s="20"/>
      <c r="N2160" s="19"/>
      <c r="O2160" s="19"/>
      <c r="P2160" s="19" t="s">
        <v>6657</v>
      </c>
      <c r="Q2160" s="19" t="s">
        <v>6397</v>
      </c>
      <c r="R2160" s="21" t="n">
        <v>36725</v>
      </c>
      <c r="S2160" s="19" t="s">
        <v>6668</v>
      </c>
      <c r="T2160" s="19" t="s">
        <v>6669</v>
      </c>
      <c r="U2160" s="19" t="str">
        <f aca="false">HYPERLINK("https://macaulaylibrary.org/asset/104152","Open")</f>
        <v>Open</v>
      </c>
      <c r="V2160" s="19" t="s">
        <v>6465</v>
      </c>
    </row>
    <row r="2161" customFormat="false" ht="15" hidden="false" customHeight="false" outlineLevel="0" collapsed="false">
      <c r="A2161" s="19" t="s">
        <v>6670</v>
      </c>
      <c r="B2161" s="19" t="s">
        <v>943</v>
      </c>
      <c r="C2161" s="19" t="s">
        <v>944</v>
      </c>
      <c r="D2161" s="19" t="s">
        <v>148</v>
      </c>
      <c r="E2161" s="19" t="s">
        <v>911</v>
      </c>
      <c r="F2161" s="19" t="s">
        <v>910</v>
      </c>
      <c r="G2161" s="19" t="n">
        <v>247</v>
      </c>
      <c r="H2161" s="19" t="s">
        <v>6463</v>
      </c>
      <c r="I2161" s="20" t="n">
        <v>77.534</v>
      </c>
      <c r="J2161" s="19" t="n">
        <f aca="false">IF(I2161="","",MIN(Overview!$B$8,MAX(1,CEILING(I2161/Overview!$B$7,1))))</f>
        <v>16</v>
      </c>
      <c r="K2161" s="19" t="n">
        <v>1</v>
      </c>
      <c r="L2161" s="19"/>
      <c r="M2161" s="20"/>
      <c r="N2161" s="19"/>
      <c r="O2161" s="19"/>
      <c r="P2161" s="19" t="s">
        <v>6657</v>
      </c>
      <c r="Q2161" s="19" t="s">
        <v>6397</v>
      </c>
      <c r="R2161" s="21" t="n">
        <v>36725</v>
      </c>
      <c r="S2161" s="19" t="s">
        <v>6671</v>
      </c>
      <c r="T2161" s="19" t="s">
        <v>6672</v>
      </c>
      <c r="U2161" s="19" t="str">
        <f aca="false">HYPERLINK("https://macaulaylibrary.org/asset/104153","Open")</f>
        <v>Open</v>
      </c>
      <c r="V2161" s="19" t="s">
        <v>6465</v>
      </c>
    </row>
    <row r="2162" customFormat="false" ht="15" hidden="false" customHeight="false" outlineLevel="0" collapsed="false">
      <c r="A2162" s="19" t="s">
        <v>6673</v>
      </c>
      <c r="B2162" s="19" t="s">
        <v>943</v>
      </c>
      <c r="C2162" s="19" t="s">
        <v>944</v>
      </c>
      <c r="D2162" s="19" t="s">
        <v>148</v>
      </c>
      <c r="E2162" s="19" t="s">
        <v>911</v>
      </c>
      <c r="F2162" s="19" t="s">
        <v>910</v>
      </c>
      <c r="G2162" s="19" t="n">
        <v>247</v>
      </c>
      <c r="H2162" s="19" t="s">
        <v>6463</v>
      </c>
      <c r="I2162" s="20" t="n">
        <v>57.676</v>
      </c>
      <c r="J2162" s="19" t="n">
        <f aca="false">IF(I2162="","",MIN(Overview!$B$8,MAX(1,CEILING(I2162/Overview!$B$7,1))))</f>
        <v>12</v>
      </c>
      <c r="K2162" s="19" t="n">
        <v>1</v>
      </c>
      <c r="L2162" s="19"/>
      <c r="M2162" s="20"/>
      <c r="N2162" s="19"/>
      <c r="O2162" s="19"/>
      <c r="P2162" s="19" t="s">
        <v>6657</v>
      </c>
      <c r="Q2162" s="19" t="s">
        <v>6397</v>
      </c>
      <c r="R2162" s="21" t="n">
        <v>36725</v>
      </c>
      <c r="S2162" s="19" t="s">
        <v>6674</v>
      </c>
      <c r="T2162" s="19" t="s">
        <v>6675</v>
      </c>
      <c r="U2162" s="19" t="str">
        <f aca="false">HYPERLINK("https://macaulaylibrary.org/asset/104154","Open")</f>
        <v>Open</v>
      </c>
      <c r="V2162" s="19" t="s">
        <v>6465</v>
      </c>
    </row>
    <row r="2163" customFormat="false" ht="15" hidden="false" customHeight="false" outlineLevel="0" collapsed="false">
      <c r="A2163" s="19" t="s">
        <v>6676</v>
      </c>
      <c r="B2163" s="19" t="s">
        <v>943</v>
      </c>
      <c r="C2163" s="19" t="s">
        <v>944</v>
      </c>
      <c r="D2163" s="19" t="s">
        <v>148</v>
      </c>
      <c r="E2163" s="19" t="s">
        <v>911</v>
      </c>
      <c r="F2163" s="19" t="s">
        <v>910</v>
      </c>
      <c r="G2163" s="19" t="n">
        <v>247</v>
      </c>
      <c r="H2163" s="19" t="s">
        <v>6463</v>
      </c>
      <c r="I2163" s="20" t="n">
        <v>61.87</v>
      </c>
      <c r="J2163" s="19" t="n">
        <f aca="false">IF(I2163="","",MIN(Overview!$B$8,MAX(1,CEILING(I2163/Overview!$B$7,1))))</f>
        <v>13</v>
      </c>
      <c r="K2163" s="19" t="n">
        <v>1</v>
      </c>
      <c r="L2163" s="19"/>
      <c r="M2163" s="20"/>
      <c r="N2163" s="19"/>
      <c r="O2163" s="19"/>
      <c r="P2163" s="19" t="s">
        <v>6657</v>
      </c>
      <c r="Q2163" s="19" t="s">
        <v>6397</v>
      </c>
      <c r="R2163" s="21" t="n">
        <v>36725</v>
      </c>
      <c r="S2163" s="19" t="s">
        <v>6677</v>
      </c>
      <c r="T2163" s="19" t="s">
        <v>6678</v>
      </c>
      <c r="U2163" s="19" t="str">
        <f aca="false">HYPERLINK("https://macaulaylibrary.org/asset/104155","Open")</f>
        <v>Open</v>
      </c>
      <c r="V2163" s="19" t="s">
        <v>6465</v>
      </c>
    </row>
    <row r="2164" customFormat="false" ht="15" hidden="false" customHeight="false" outlineLevel="0" collapsed="false">
      <c r="A2164" s="19" t="s">
        <v>6679</v>
      </c>
      <c r="B2164" s="19" t="s">
        <v>943</v>
      </c>
      <c r="C2164" s="19" t="s">
        <v>944</v>
      </c>
      <c r="D2164" s="19" t="s">
        <v>148</v>
      </c>
      <c r="E2164" s="19" t="s">
        <v>911</v>
      </c>
      <c r="F2164" s="19" t="s">
        <v>910</v>
      </c>
      <c r="G2164" s="19" t="n">
        <v>247</v>
      </c>
      <c r="H2164" s="19" t="s">
        <v>6463</v>
      </c>
      <c r="I2164" s="20" t="n">
        <v>104.013</v>
      </c>
      <c r="J2164" s="19" t="n">
        <f aca="false">IF(I2164="","",MIN(Overview!$B$8,MAX(1,CEILING(I2164/Overview!$B$7,1))))</f>
        <v>21</v>
      </c>
      <c r="K2164" s="19" t="n">
        <v>1</v>
      </c>
      <c r="L2164" s="19"/>
      <c r="M2164" s="20"/>
      <c r="N2164" s="19"/>
      <c r="O2164" s="19"/>
      <c r="P2164" s="19" t="s">
        <v>6657</v>
      </c>
      <c r="Q2164" s="19" t="s">
        <v>6397</v>
      </c>
      <c r="R2164" s="21" t="n">
        <v>36725</v>
      </c>
      <c r="S2164" s="19" t="s">
        <v>6680</v>
      </c>
      <c r="T2164" s="19" t="s">
        <v>6681</v>
      </c>
      <c r="U2164" s="19" t="str">
        <f aca="false">HYPERLINK("https://macaulaylibrary.org/asset/104156","Open")</f>
        <v>Open</v>
      </c>
      <c r="V2164" s="19" t="s">
        <v>6465</v>
      </c>
    </row>
    <row r="2165" customFormat="false" ht="15" hidden="false" customHeight="false" outlineLevel="0" collapsed="false">
      <c r="A2165" s="19" t="s">
        <v>6682</v>
      </c>
      <c r="B2165" s="19" t="s">
        <v>943</v>
      </c>
      <c r="C2165" s="19" t="s">
        <v>944</v>
      </c>
      <c r="D2165" s="19" t="s">
        <v>148</v>
      </c>
      <c r="E2165" s="19" t="s">
        <v>911</v>
      </c>
      <c r="F2165" s="19" t="s">
        <v>910</v>
      </c>
      <c r="G2165" s="19" t="n">
        <v>247</v>
      </c>
      <c r="H2165" s="19" t="s">
        <v>6463</v>
      </c>
      <c r="I2165" s="20" t="n">
        <v>97.836</v>
      </c>
      <c r="J2165" s="19" t="n">
        <f aca="false">IF(I2165="","",MIN(Overview!$B$8,MAX(1,CEILING(I2165/Overview!$B$7,1))))</f>
        <v>20</v>
      </c>
      <c r="K2165" s="19" t="n">
        <v>1</v>
      </c>
      <c r="L2165" s="19"/>
      <c r="M2165" s="20"/>
      <c r="N2165" s="19"/>
      <c r="O2165" s="19"/>
      <c r="P2165" s="19" t="s">
        <v>6657</v>
      </c>
      <c r="Q2165" s="19" t="s">
        <v>6397</v>
      </c>
      <c r="R2165" s="21" t="n">
        <v>36725</v>
      </c>
      <c r="S2165" s="19" t="s">
        <v>6479</v>
      </c>
      <c r="T2165" s="19" t="s">
        <v>6683</v>
      </c>
      <c r="U2165" s="19" t="str">
        <f aca="false">HYPERLINK("https://macaulaylibrary.org/asset/104157","Open")</f>
        <v>Open</v>
      </c>
      <c r="V2165" s="19" t="s">
        <v>6465</v>
      </c>
    </row>
    <row r="2166" customFormat="false" ht="15" hidden="false" customHeight="false" outlineLevel="0" collapsed="false">
      <c r="A2166" s="19" t="s">
        <v>6684</v>
      </c>
      <c r="B2166" s="19" t="s">
        <v>943</v>
      </c>
      <c r="C2166" s="19" t="s">
        <v>944</v>
      </c>
      <c r="D2166" s="19" t="s">
        <v>148</v>
      </c>
      <c r="E2166" s="19" t="s">
        <v>911</v>
      </c>
      <c r="F2166" s="19" t="s">
        <v>910</v>
      </c>
      <c r="G2166" s="19" t="n">
        <v>247</v>
      </c>
      <c r="H2166" s="19" t="s">
        <v>6463</v>
      </c>
      <c r="I2166" s="20" t="n">
        <v>61.794</v>
      </c>
      <c r="J2166" s="19" t="n">
        <f aca="false">IF(I2166="","",MIN(Overview!$B$8,MAX(1,CEILING(I2166/Overview!$B$7,1))))</f>
        <v>13</v>
      </c>
      <c r="K2166" s="19" t="n">
        <v>1</v>
      </c>
      <c r="L2166" s="19"/>
      <c r="M2166" s="20"/>
      <c r="N2166" s="19"/>
      <c r="O2166" s="19"/>
      <c r="P2166" s="19" t="s">
        <v>6657</v>
      </c>
      <c r="Q2166" s="19" t="s">
        <v>6397</v>
      </c>
      <c r="R2166" s="21" t="n">
        <v>36725</v>
      </c>
      <c r="S2166" s="19" t="s">
        <v>6685</v>
      </c>
      <c r="T2166" s="19" t="s">
        <v>6686</v>
      </c>
      <c r="U2166" s="19" t="str">
        <f aca="false">HYPERLINK("https://macaulaylibrary.org/asset/104158","Open")</f>
        <v>Open</v>
      </c>
      <c r="V2166" s="19" t="s">
        <v>6465</v>
      </c>
    </row>
    <row r="2167" customFormat="false" ht="15" hidden="false" customHeight="false" outlineLevel="0" collapsed="false">
      <c r="A2167" s="19" t="s">
        <v>6687</v>
      </c>
      <c r="B2167" s="19" t="s">
        <v>943</v>
      </c>
      <c r="C2167" s="19" t="s">
        <v>944</v>
      </c>
      <c r="D2167" s="19" t="s">
        <v>148</v>
      </c>
      <c r="E2167" s="19" t="s">
        <v>911</v>
      </c>
      <c r="F2167" s="19" t="s">
        <v>910</v>
      </c>
      <c r="G2167" s="19" t="n">
        <v>247</v>
      </c>
      <c r="H2167" s="19" t="s">
        <v>6463</v>
      </c>
      <c r="I2167" s="20" t="n">
        <v>95.061</v>
      </c>
      <c r="J2167" s="19" t="n">
        <f aca="false">IF(I2167="","",MIN(Overview!$B$8,MAX(1,CEILING(I2167/Overview!$B$7,1))))</f>
        <v>20</v>
      </c>
      <c r="K2167" s="19" t="n">
        <v>1</v>
      </c>
      <c r="L2167" s="19"/>
      <c r="M2167" s="20"/>
      <c r="N2167" s="19"/>
      <c r="O2167" s="19"/>
      <c r="P2167" s="19" t="s">
        <v>6657</v>
      </c>
      <c r="Q2167" s="19" t="s">
        <v>6397</v>
      </c>
      <c r="R2167" s="21" t="n">
        <v>36725</v>
      </c>
      <c r="S2167" s="19" t="s">
        <v>2933</v>
      </c>
      <c r="T2167" s="19" t="s">
        <v>6688</v>
      </c>
      <c r="U2167" s="19" t="str">
        <f aca="false">HYPERLINK("https://macaulaylibrary.org/asset/104159","Open")</f>
        <v>Open</v>
      </c>
      <c r="V2167" s="19" t="s">
        <v>6465</v>
      </c>
    </row>
    <row r="2168" customFormat="false" ht="15" hidden="false" customHeight="false" outlineLevel="0" collapsed="false">
      <c r="A2168" s="19" t="s">
        <v>6689</v>
      </c>
      <c r="B2168" s="19" t="s">
        <v>943</v>
      </c>
      <c r="C2168" s="19" t="s">
        <v>944</v>
      </c>
      <c r="D2168" s="19" t="s">
        <v>148</v>
      </c>
      <c r="E2168" s="19" t="s">
        <v>911</v>
      </c>
      <c r="F2168" s="19" t="s">
        <v>910</v>
      </c>
      <c r="G2168" s="19" t="n">
        <v>247</v>
      </c>
      <c r="H2168" s="19" t="s">
        <v>6463</v>
      </c>
      <c r="I2168" s="20" t="n">
        <v>97.545</v>
      </c>
      <c r="J2168" s="19" t="n">
        <f aca="false">IF(I2168="","",MIN(Overview!$B$8,MAX(1,CEILING(I2168/Overview!$B$7,1))))</f>
        <v>20</v>
      </c>
      <c r="K2168" s="19" t="n">
        <v>1</v>
      </c>
      <c r="L2168" s="19"/>
      <c r="M2168" s="20"/>
      <c r="N2168" s="19"/>
      <c r="O2168" s="19"/>
      <c r="P2168" s="19" t="s">
        <v>6657</v>
      </c>
      <c r="Q2168" s="19" t="s">
        <v>6397</v>
      </c>
      <c r="R2168" s="21" t="n">
        <v>36725</v>
      </c>
      <c r="S2168" s="19" t="s">
        <v>6690</v>
      </c>
      <c r="T2168" s="19" t="s">
        <v>6691</v>
      </c>
      <c r="U2168" s="19" t="str">
        <f aca="false">HYPERLINK("https://macaulaylibrary.org/asset/104160","Open")</f>
        <v>Open</v>
      </c>
      <c r="V2168" s="19" t="s">
        <v>6465</v>
      </c>
    </row>
    <row r="2169" customFormat="false" ht="15" hidden="false" customHeight="false" outlineLevel="0" collapsed="false">
      <c r="A2169" s="19" t="s">
        <v>6692</v>
      </c>
      <c r="B2169" s="19" t="s">
        <v>943</v>
      </c>
      <c r="C2169" s="19" t="s">
        <v>944</v>
      </c>
      <c r="D2169" s="19" t="s">
        <v>148</v>
      </c>
      <c r="E2169" s="19" t="s">
        <v>911</v>
      </c>
      <c r="F2169" s="19" t="s">
        <v>910</v>
      </c>
      <c r="G2169" s="19" t="n">
        <v>247</v>
      </c>
      <c r="H2169" s="19" t="s">
        <v>6463</v>
      </c>
      <c r="I2169" s="20" t="n">
        <v>92.526</v>
      </c>
      <c r="J2169" s="19" t="n">
        <f aca="false">IF(I2169="","",MIN(Overview!$B$8,MAX(1,CEILING(I2169/Overview!$B$7,1))))</f>
        <v>19</v>
      </c>
      <c r="K2169" s="19" t="n">
        <v>1</v>
      </c>
      <c r="L2169" s="19"/>
      <c r="M2169" s="20"/>
      <c r="N2169" s="19"/>
      <c r="O2169" s="19"/>
      <c r="P2169" s="19" t="s">
        <v>6657</v>
      </c>
      <c r="Q2169" s="19" t="s">
        <v>6397</v>
      </c>
      <c r="R2169" s="21" t="n">
        <v>36725</v>
      </c>
      <c r="S2169" s="19" t="s">
        <v>6693</v>
      </c>
      <c r="T2169" s="19" t="s">
        <v>6694</v>
      </c>
      <c r="U2169" s="19" t="str">
        <f aca="false">HYPERLINK("https://macaulaylibrary.org/asset/104161","Open")</f>
        <v>Open</v>
      </c>
      <c r="V2169" s="19" t="s">
        <v>6465</v>
      </c>
    </row>
    <row r="2170" customFormat="false" ht="15" hidden="false" customHeight="false" outlineLevel="0" collapsed="false">
      <c r="A2170" s="19" t="s">
        <v>6695</v>
      </c>
      <c r="B2170" s="19" t="s">
        <v>943</v>
      </c>
      <c r="C2170" s="19" t="s">
        <v>944</v>
      </c>
      <c r="D2170" s="19" t="s">
        <v>148</v>
      </c>
      <c r="E2170" s="19" t="s">
        <v>911</v>
      </c>
      <c r="F2170" s="19" t="s">
        <v>910</v>
      </c>
      <c r="G2170" s="19" t="n">
        <v>247</v>
      </c>
      <c r="H2170" s="19" t="s">
        <v>6463</v>
      </c>
      <c r="I2170" s="20" t="n">
        <v>99.028</v>
      </c>
      <c r="J2170" s="19" t="n">
        <f aca="false">IF(I2170="","",MIN(Overview!$B$8,MAX(1,CEILING(I2170/Overview!$B$7,1))))</f>
        <v>20</v>
      </c>
      <c r="K2170" s="19" t="n">
        <v>1</v>
      </c>
      <c r="L2170" s="19"/>
      <c r="M2170" s="20"/>
      <c r="N2170" s="19"/>
      <c r="O2170" s="19"/>
      <c r="P2170" s="19" t="s">
        <v>6657</v>
      </c>
      <c r="Q2170" s="19" t="s">
        <v>6397</v>
      </c>
      <c r="R2170" s="21" t="n">
        <v>36725</v>
      </c>
      <c r="S2170" s="19" t="s">
        <v>2804</v>
      </c>
      <c r="T2170" s="19" t="s">
        <v>6696</v>
      </c>
      <c r="U2170" s="19" t="str">
        <f aca="false">HYPERLINK("https://macaulaylibrary.org/asset/104162","Open")</f>
        <v>Open</v>
      </c>
      <c r="V2170" s="19" t="s">
        <v>6465</v>
      </c>
    </row>
    <row r="2171" customFormat="false" ht="15" hidden="false" customHeight="false" outlineLevel="0" collapsed="false">
      <c r="A2171" s="19" t="s">
        <v>6697</v>
      </c>
      <c r="B2171" s="19" t="s">
        <v>943</v>
      </c>
      <c r="C2171" s="19" t="s">
        <v>944</v>
      </c>
      <c r="D2171" s="19" t="s">
        <v>148</v>
      </c>
      <c r="E2171" s="19" t="s">
        <v>911</v>
      </c>
      <c r="F2171" s="19" t="s">
        <v>910</v>
      </c>
      <c r="G2171" s="19" t="n">
        <v>247</v>
      </c>
      <c r="H2171" s="19" t="s">
        <v>6463</v>
      </c>
      <c r="I2171" s="20" t="n">
        <v>104.338</v>
      </c>
      <c r="J2171" s="19" t="n">
        <f aca="false">IF(I2171="","",MIN(Overview!$B$8,MAX(1,CEILING(I2171/Overview!$B$7,1))))</f>
        <v>21</v>
      </c>
      <c r="K2171" s="19" t="n">
        <v>1</v>
      </c>
      <c r="L2171" s="19"/>
      <c r="M2171" s="20"/>
      <c r="N2171" s="19"/>
      <c r="O2171" s="19"/>
      <c r="P2171" s="19" t="s">
        <v>6657</v>
      </c>
      <c r="Q2171" s="19" t="s">
        <v>6397</v>
      </c>
      <c r="R2171" s="21" t="n">
        <v>36725</v>
      </c>
      <c r="S2171" s="19" t="s">
        <v>6524</v>
      </c>
      <c r="T2171" s="19" t="s">
        <v>6698</v>
      </c>
      <c r="U2171" s="19" t="str">
        <f aca="false">HYPERLINK("https://macaulaylibrary.org/asset/104163","Open")</f>
        <v>Open</v>
      </c>
      <c r="V2171" s="19" t="s">
        <v>6465</v>
      </c>
    </row>
    <row r="2172" customFormat="false" ht="15" hidden="false" customHeight="false" outlineLevel="0" collapsed="false">
      <c r="A2172" s="19" t="s">
        <v>6699</v>
      </c>
      <c r="B2172" s="19" t="s">
        <v>943</v>
      </c>
      <c r="C2172" s="19" t="s">
        <v>944</v>
      </c>
      <c r="D2172" s="19" t="s">
        <v>148</v>
      </c>
      <c r="E2172" s="19" t="s">
        <v>911</v>
      </c>
      <c r="F2172" s="19" t="s">
        <v>910</v>
      </c>
      <c r="G2172" s="19" t="n">
        <v>247</v>
      </c>
      <c r="H2172" s="19" t="s">
        <v>6463</v>
      </c>
      <c r="I2172" s="20" t="n">
        <v>99.294</v>
      </c>
      <c r="J2172" s="19" t="n">
        <f aca="false">IF(I2172="","",MIN(Overview!$B$8,MAX(1,CEILING(I2172/Overview!$B$7,1))))</f>
        <v>20</v>
      </c>
      <c r="K2172" s="19" t="n">
        <v>1</v>
      </c>
      <c r="L2172" s="19"/>
      <c r="M2172" s="20"/>
      <c r="N2172" s="19"/>
      <c r="O2172" s="19"/>
      <c r="P2172" s="19" t="s">
        <v>6657</v>
      </c>
      <c r="Q2172" s="19" t="s">
        <v>6397</v>
      </c>
      <c r="R2172" s="21" t="n">
        <v>36725</v>
      </c>
      <c r="S2172" s="19" t="s">
        <v>3678</v>
      </c>
      <c r="T2172" s="19" t="s">
        <v>6700</v>
      </c>
      <c r="U2172" s="19" t="str">
        <f aca="false">HYPERLINK("https://macaulaylibrary.org/asset/104164","Open")</f>
        <v>Open</v>
      </c>
      <c r="V2172" s="19" t="s">
        <v>6465</v>
      </c>
    </row>
    <row r="2173" customFormat="false" ht="15" hidden="false" customHeight="false" outlineLevel="0" collapsed="false">
      <c r="A2173" s="19" t="s">
        <v>6701</v>
      </c>
      <c r="B2173" s="19" t="s">
        <v>943</v>
      </c>
      <c r="C2173" s="19" t="s">
        <v>944</v>
      </c>
      <c r="D2173" s="19" t="s">
        <v>148</v>
      </c>
      <c r="E2173" s="19" t="s">
        <v>911</v>
      </c>
      <c r="F2173" s="19" t="s">
        <v>910</v>
      </c>
      <c r="G2173" s="19" t="n">
        <v>247</v>
      </c>
      <c r="H2173" s="19" t="s">
        <v>6463</v>
      </c>
      <c r="I2173" s="20" t="n">
        <v>68.27</v>
      </c>
      <c r="J2173" s="19" t="n">
        <f aca="false">IF(I2173="","",MIN(Overview!$B$8,MAX(1,CEILING(I2173/Overview!$B$7,1))))</f>
        <v>14</v>
      </c>
      <c r="K2173" s="19" t="n">
        <v>1</v>
      </c>
      <c r="L2173" s="19"/>
      <c r="M2173" s="20"/>
      <c r="N2173" s="19"/>
      <c r="O2173" s="19"/>
      <c r="P2173" s="19" t="s">
        <v>6657</v>
      </c>
      <c r="Q2173" s="19" t="s">
        <v>6397</v>
      </c>
      <c r="R2173" s="21" t="n">
        <v>36725</v>
      </c>
      <c r="S2173" s="19" t="s">
        <v>6568</v>
      </c>
      <c r="T2173" s="19" t="s">
        <v>6702</v>
      </c>
      <c r="U2173" s="19" t="str">
        <f aca="false">HYPERLINK("https://macaulaylibrary.org/asset/104165","Open")</f>
        <v>Open</v>
      </c>
      <c r="V2173" s="19" t="s">
        <v>6465</v>
      </c>
    </row>
    <row r="2174" customFormat="false" ht="15" hidden="false" customHeight="false" outlineLevel="0" collapsed="false">
      <c r="A2174" s="19" t="s">
        <v>6703</v>
      </c>
      <c r="B2174" s="19" t="s">
        <v>943</v>
      </c>
      <c r="C2174" s="19" t="s">
        <v>944</v>
      </c>
      <c r="D2174" s="19" t="s">
        <v>148</v>
      </c>
      <c r="E2174" s="19" t="s">
        <v>911</v>
      </c>
      <c r="F2174" s="19" t="s">
        <v>910</v>
      </c>
      <c r="G2174" s="19" t="n">
        <v>247</v>
      </c>
      <c r="H2174" s="19" t="s">
        <v>6463</v>
      </c>
      <c r="I2174" s="20" t="n">
        <v>62.339</v>
      </c>
      <c r="J2174" s="19" t="n">
        <f aca="false">IF(I2174="","",MIN(Overview!$B$8,MAX(1,CEILING(I2174/Overview!$B$7,1))))</f>
        <v>13</v>
      </c>
      <c r="K2174" s="19" t="n">
        <v>1</v>
      </c>
      <c r="L2174" s="19"/>
      <c r="M2174" s="20"/>
      <c r="N2174" s="19"/>
      <c r="O2174" s="19"/>
      <c r="P2174" s="19" t="s">
        <v>6704</v>
      </c>
      <c r="Q2174" s="19" t="s">
        <v>6397</v>
      </c>
      <c r="R2174" s="21" t="n">
        <v>36727</v>
      </c>
      <c r="S2174" s="19" t="s">
        <v>1002</v>
      </c>
      <c r="T2174" s="19" t="s">
        <v>6705</v>
      </c>
      <c r="U2174" s="19" t="str">
        <f aca="false">HYPERLINK("https://macaulaylibrary.org/asset/104176","Open")</f>
        <v>Open</v>
      </c>
      <c r="V2174" s="19" t="s">
        <v>6465</v>
      </c>
    </row>
    <row r="2175" customFormat="false" ht="15" hidden="false" customHeight="false" outlineLevel="0" collapsed="false">
      <c r="A2175" s="19" t="s">
        <v>6706</v>
      </c>
      <c r="B2175" s="19" t="s">
        <v>943</v>
      </c>
      <c r="C2175" s="19" t="s">
        <v>944</v>
      </c>
      <c r="D2175" s="19" t="s">
        <v>148</v>
      </c>
      <c r="E2175" s="19" t="s">
        <v>911</v>
      </c>
      <c r="F2175" s="19" t="s">
        <v>910</v>
      </c>
      <c r="G2175" s="19" t="n">
        <v>247</v>
      </c>
      <c r="H2175" s="19" t="s">
        <v>6463</v>
      </c>
      <c r="I2175" s="20" t="n">
        <v>101.271</v>
      </c>
      <c r="J2175" s="19" t="n">
        <f aca="false">IF(I2175="","",MIN(Overview!$B$8,MAX(1,CEILING(I2175/Overview!$B$7,1))))</f>
        <v>21</v>
      </c>
      <c r="K2175" s="19" t="n">
        <v>1</v>
      </c>
      <c r="L2175" s="19"/>
      <c r="M2175" s="20"/>
      <c r="N2175" s="19"/>
      <c r="O2175" s="19"/>
      <c r="P2175" s="19" t="s">
        <v>6704</v>
      </c>
      <c r="Q2175" s="19" t="s">
        <v>6397</v>
      </c>
      <c r="R2175" s="21" t="n">
        <v>36727</v>
      </c>
      <c r="S2175" s="19" t="s">
        <v>1002</v>
      </c>
      <c r="T2175" s="19" t="s">
        <v>6707</v>
      </c>
      <c r="U2175" s="19" t="str">
        <f aca="false">HYPERLINK("https://macaulaylibrary.org/asset/104177","Open")</f>
        <v>Open</v>
      </c>
      <c r="V2175" s="19" t="s">
        <v>6465</v>
      </c>
    </row>
    <row r="2176" customFormat="false" ht="15" hidden="false" customHeight="false" outlineLevel="0" collapsed="false">
      <c r="A2176" s="19" t="s">
        <v>6708</v>
      </c>
      <c r="B2176" s="19" t="s">
        <v>943</v>
      </c>
      <c r="C2176" s="19" t="s">
        <v>944</v>
      </c>
      <c r="D2176" s="19" t="s">
        <v>148</v>
      </c>
      <c r="E2176" s="19" t="s">
        <v>911</v>
      </c>
      <c r="F2176" s="19" t="s">
        <v>910</v>
      </c>
      <c r="G2176" s="19" t="n">
        <v>247</v>
      </c>
      <c r="H2176" s="19" t="s">
        <v>6463</v>
      </c>
      <c r="I2176" s="20" t="n">
        <v>109.47</v>
      </c>
      <c r="J2176" s="19" t="n">
        <f aca="false">IF(I2176="","",MIN(Overview!$B$8,MAX(1,CEILING(I2176/Overview!$B$7,1))))</f>
        <v>22</v>
      </c>
      <c r="K2176" s="19" t="n">
        <v>1</v>
      </c>
      <c r="L2176" s="19"/>
      <c r="M2176" s="20"/>
      <c r="N2176" s="19"/>
      <c r="O2176" s="19"/>
      <c r="P2176" s="19" t="s">
        <v>6704</v>
      </c>
      <c r="Q2176" s="19" t="s">
        <v>6397</v>
      </c>
      <c r="R2176" s="21" t="n">
        <v>36727</v>
      </c>
      <c r="S2176" s="19" t="s">
        <v>1002</v>
      </c>
      <c r="T2176" s="19" t="s">
        <v>6709</v>
      </c>
      <c r="U2176" s="19" t="str">
        <f aca="false">HYPERLINK("https://macaulaylibrary.org/asset/104178","Open")</f>
        <v>Open</v>
      </c>
      <c r="V2176" s="19" t="s">
        <v>6465</v>
      </c>
    </row>
    <row r="2177" customFormat="false" ht="15" hidden="false" customHeight="false" outlineLevel="0" collapsed="false">
      <c r="A2177" s="19" t="s">
        <v>6710</v>
      </c>
      <c r="B2177" s="19" t="s">
        <v>943</v>
      </c>
      <c r="C2177" s="19" t="s">
        <v>944</v>
      </c>
      <c r="D2177" s="19" t="s">
        <v>148</v>
      </c>
      <c r="E2177" s="19" t="s">
        <v>911</v>
      </c>
      <c r="F2177" s="19" t="s">
        <v>910</v>
      </c>
      <c r="G2177" s="19" t="n">
        <v>247</v>
      </c>
      <c r="H2177" s="19" t="s">
        <v>6463</v>
      </c>
      <c r="I2177" s="20" t="n">
        <v>104.287</v>
      </c>
      <c r="J2177" s="19" t="n">
        <f aca="false">IF(I2177="","",MIN(Overview!$B$8,MAX(1,CEILING(I2177/Overview!$B$7,1))))</f>
        <v>21</v>
      </c>
      <c r="K2177" s="19" t="n">
        <v>1</v>
      </c>
      <c r="L2177" s="19"/>
      <c r="M2177" s="20"/>
      <c r="N2177" s="19"/>
      <c r="O2177" s="19"/>
      <c r="P2177" s="19" t="s">
        <v>6704</v>
      </c>
      <c r="Q2177" s="19" t="s">
        <v>6397</v>
      </c>
      <c r="R2177" s="21" t="n">
        <v>36727</v>
      </c>
      <c r="S2177" s="19" t="s">
        <v>1002</v>
      </c>
      <c r="T2177" s="19" t="s">
        <v>6711</v>
      </c>
      <c r="U2177" s="19" t="str">
        <f aca="false">HYPERLINK("https://macaulaylibrary.org/asset/104179","Open")</f>
        <v>Open</v>
      </c>
      <c r="V2177" s="19" t="s">
        <v>6465</v>
      </c>
    </row>
    <row r="2178" customFormat="false" ht="15" hidden="false" customHeight="false" outlineLevel="0" collapsed="false">
      <c r="A2178" s="19" t="s">
        <v>6712</v>
      </c>
      <c r="B2178" s="19" t="s">
        <v>943</v>
      </c>
      <c r="C2178" s="19" t="s">
        <v>944</v>
      </c>
      <c r="D2178" s="19" t="s">
        <v>148</v>
      </c>
      <c r="E2178" s="19" t="s">
        <v>911</v>
      </c>
      <c r="F2178" s="19" t="s">
        <v>910</v>
      </c>
      <c r="G2178" s="19" t="n">
        <v>247</v>
      </c>
      <c r="H2178" s="19" t="s">
        <v>6463</v>
      </c>
      <c r="I2178" s="20" t="n">
        <v>105.073</v>
      </c>
      <c r="J2178" s="19" t="n">
        <f aca="false">IF(I2178="","",MIN(Overview!$B$8,MAX(1,CEILING(I2178/Overview!$B$7,1))))</f>
        <v>22</v>
      </c>
      <c r="K2178" s="19" t="n">
        <v>1</v>
      </c>
      <c r="L2178" s="19"/>
      <c r="M2178" s="20"/>
      <c r="N2178" s="19"/>
      <c r="O2178" s="19"/>
      <c r="P2178" s="19" t="s">
        <v>6704</v>
      </c>
      <c r="Q2178" s="19" t="s">
        <v>6397</v>
      </c>
      <c r="R2178" s="21" t="n">
        <v>36727</v>
      </c>
      <c r="S2178" s="19" t="s">
        <v>1002</v>
      </c>
      <c r="T2178" s="19" t="s">
        <v>6713</v>
      </c>
      <c r="U2178" s="19" t="str">
        <f aca="false">HYPERLINK("https://macaulaylibrary.org/asset/104180","Open")</f>
        <v>Open</v>
      </c>
      <c r="V2178" s="19" t="s">
        <v>6465</v>
      </c>
    </row>
    <row r="2179" customFormat="false" ht="15" hidden="false" customHeight="false" outlineLevel="0" collapsed="false">
      <c r="A2179" s="19" t="s">
        <v>6714</v>
      </c>
      <c r="B2179" s="19" t="s">
        <v>943</v>
      </c>
      <c r="C2179" s="19" t="s">
        <v>944</v>
      </c>
      <c r="D2179" s="19" t="s">
        <v>148</v>
      </c>
      <c r="E2179" s="19" t="s">
        <v>911</v>
      </c>
      <c r="F2179" s="19" t="s">
        <v>910</v>
      </c>
      <c r="G2179" s="19" t="n">
        <v>247</v>
      </c>
      <c r="H2179" s="19" t="s">
        <v>6463</v>
      </c>
      <c r="I2179" s="20" t="n">
        <v>108.051</v>
      </c>
      <c r="J2179" s="19" t="n">
        <f aca="false">IF(I2179="","",MIN(Overview!$B$8,MAX(1,CEILING(I2179/Overview!$B$7,1))))</f>
        <v>22</v>
      </c>
      <c r="K2179" s="19" t="n">
        <v>1</v>
      </c>
      <c r="L2179" s="19"/>
      <c r="M2179" s="20"/>
      <c r="N2179" s="19"/>
      <c r="O2179" s="19"/>
      <c r="P2179" s="19" t="s">
        <v>6704</v>
      </c>
      <c r="Q2179" s="19" t="s">
        <v>6397</v>
      </c>
      <c r="R2179" s="21" t="n">
        <v>36727</v>
      </c>
      <c r="S2179" s="19" t="s">
        <v>1002</v>
      </c>
      <c r="T2179" s="19" t="s">
        <v>6715</v>
      </c>
      <c r="U2179" s="19" t="str">
        <f aca="false">HYPERLINK("https://macaulaylibrary.org/asset/104181","Open")</f>
        <v>Open</v>
      </c>
      <c r="V2179" s="19" t="s">
        <v>6465</v>
      </c>
    </row>
    <row r="2180" customFormat="false" ht="15" hidden="false" customHeight="false" outlineLevel="0" collapsed="false">
      <c r="A2180" s="19" t="s">
        <v>6716</v>
      </c>
      <c r="B2180" s="19" t="s">
        <v>943</v>
      </c>
      <c r="C2180" s="19" t="s">
        <v>944</v>
      </c>
      <c r="D2180" s="19" t="s">
        <v>148</v>
      </c>
      <c r="E2180" s="19" t="s">
        <v>911</v>
      </c>
      <c r="F2180" s="19" t="s">
        <v>910</v>
      </c>
      <c r="G2180" s="19" t="n">
        <v>247</v>
      </c>
      <c r="H2180" s="19" t="s">
        <v>6463</v>
      </c>
      <c r="I2180" s="20" t="n">
        <v>73.263</v>
      </c>
      <c r="J2180" s="19" t="n">
        <f aca="false">IF(I2180="","",MIN(Overview!$B$8,MAX(1,CEILING(I2180/Overview!$B$7,1))))</f>
        <v>15</v>
      </c>
      <c r="K2180" s="19" t="n">
        <v>1</v>
      </c>
      <c r="L2180" s="19"/>
      <c r="M2180" s="20"/>
      <c r="N2180" s="19"/>
      <c r="O2180" s="19"/>
      <c r="P2180" s="19" t="s">
        <v>6704</v>
      </c>
      <c r="Q2180" s="19" t="s">
        <v>6397</v>
      </c>
      <c r="R2180" s="21" t="n">
        <v>36727</v>
      </c>
      <c r="S2180" s="19" t="s">
        <v>1002</v>
      </c>
      <c r="T2180" s="19" t="s">
        <v>6717</v>
      </c>
      <c r="U2180" s="19" t="str">
        <f aca="false">HYPERLINK("https://macaulaylibrary.org/asset/104182","Open")</f>
        <v>Open</v>
      </c>
      <c r="V2180" s="19" t="s">
        <v>6465</v>
      </c>
    </row>
    <row r="2181" customFormat="false" ht="15" hidden="false" customHeight="false" outlineLevel="0" collapsed="false">
      <c r="A2181" s="19" t="s">
        <v>6718</v>
      </c>
      <c r="B2181" s="19" t="s">
        <v>943</v>
      </c>
      <c r="C2181" s="19" t="s">
        <v>944</v>
      </c>
      <c r="D2181" s="19" t="s">
        <v>148</v>
      </c>
      <c r="E2181" s="19" t="s">
        <v>911</v>
      </c>
      <c r="F2181" s="19" t="s">
        <v>910</v>
      </c>
      <c r="G2181" s="19" t="n">
        <v>247</v>
      </c>
      <c r="H2181" s="19" t="s">
        <v>6463</v>
      </c>
      <c r="I2181" s="20" t="n">
        <v>97.05</v>
      </c>
      <c r="J2181" s="19" t="n">
        <f aca="false">IF(I2181="","",MIN(Overview!$B$8,MAX(1,CEILING(I2181/Overview!$B$7,1))))</f>
        <v>20</v>
      </c>
      <c r="K2181" s="19" t="n">
        <v>1</v>
      </c>
      <c r="L2181" s="19"/>
      <c r="M2181" s="20"/>
      <c r="N2181" s="19"/>
      <c r="O2181" s="19"/>
      <c r="P2181" s="19" t="s">
        <v>6704</v>
      </c>
      <c r="Q2181" s="19" t="s">
        <v>6397</v>
      </c>
      <c r="R2181" s="21" t="n">
        <v>36727</v>
      </c>
      <c r="S2181" s="19" t="s">
        <v>1002</v>
      </c>
      <c r="T2181" s="19" t="s">
        <v>6719</v>
      </c>
      <c r="U2181" s="19" t="str">
        <f aca="false">HYPERLINK("https://macaulaylibrary.org/asset/104183","Open")</f>
        <v>Open</v>
      </c>
      <c r="V2181" s="19" t="s">
        <v>6465</v>
      </c>
    </row>
    <row r="2182" customFormat="false" ht="15" hidden="false" customHeight="false" outlineLevel="0" collapsed="false">
      <c r="A2182" s="19" t="s">
        <v>6720</v>
      </c>
      <c r="B2182" s="19" t="s">
        <v>943</v>
      </c>
      <c r="C2182" s="19" t="s">
        <v>944</v>
      </c>
      <c r="D2182" s="19" t="s">
        <v>148</v>
      </c>
      <c r="E2182" s="19" t="s">
        <v>911</v>
      </c>
      <c r="F2182" s="19" t="s">
        <v>910</v>
      </c>
      <c r="G2182" s="19" t="n">
        <v>247</v>
      </c>
      <c r="H2182" s="19" t="s">
        <v>6463</v>
      </c>
      <c r="I2182" s="20" t="n">
        <v>69.031</v>
      </c>
      <c r="J2182" s="19" t="n">
        <f aca="false">IF(I2182="","",MIN(Overview!$B$8,MAX(1,CEILING(I2182/Overview!$B$7,1))))</f>
        <v>14</v>
      </c>
      <c r="K2182" s="19" t="n">
        <v>1</v>
      </c>
      <c r="L2182" s="19"/>
      <c r="M2182" s="20"/>
      <c r="N2182" s="19"/>
      <c r="O2182" s="19"/>
      <c r="P2182" s="19" t="s">
        <v>6704</v>
      </c>
      <c r="Q2182" s="19" t="s">
        <v>6397</v>
      </c>
      <c r="R2182" s="21" t="n">
        <v>36727</v>
      </c>
      <c r="S2182" s="19" t="s">
        <v>1002</v>
      </c>
      <c r="T2182" s="19" t="s">
        <v>6721</v>
      </c>
      <c r="U2182" s="19" t="str">
        <f aca="false">HYPERLINK("https://macaulaylibrary.org/asset/104184","Open")</f>
        <v>Open</v>
      </c>
      <c r="V2182" s="19" t="s">
        <v>6465</v>
      </c>
    </row>
    <row r="2183" customFormat="false" ht="15" hidden="false" customHeight="false" outlineLevel="0" collapsed="false">
      <c r="A2183" s="19" t="s">
        <v>6722</v>
      </c>
      <c r="B2183" s="19" t="s">
        <v>943</v>
      </c>
      <c r="C2183" s="19" t="s">
        <v>944</v>
      </c>
      <c r="D2183" s="19" t="s">
        <v>148</v>
      </c>
      <c r="E2183" s="19" t="s">
        <v>911</v>
      </c>
      <c r="F2183" s="19" t="s">
        <v>910</v>
      </c>
      <c r="G2183" s="19" t="n">
        <v>247</v>
      </c>
      <c r="H2183" s="19" t="s">
        <v>6463</v>
      </c>
      <c r="I2183" s="20" t="n">
        <v>54.736</v>
      </c>
      <c r="J2183" s="19" t="n">
        <f aca="false">IF(I2183="","",MIN(Overview!$B$8,MAX(1,CEILING(I2183/Overview!$B$7,1))))</f>
        <v>11</v>
      </c>
      <c r="K2183" s="19" t="n">
        <v>1</v>
      </c>
      <c r="L2183" s="19"/>
      <c r="M2183" s="20"/>
      <c r="N2183" s="19"/>
      <c r="O2183" s="19"/>
      <c r="P2183" s="19" t="s">
        <v>6704</v>
      </c>
      <c r="Q2183" s="19" t="s">
        <v>6397</v>
      </c>
      <c r="R2183" s="21" t="n">
        <v>36727</v>
      </c>
      <c r="S2183" s="19" t="s">
        <v>1002</v>
      </c>
      <c r="T2183" s="19" t="s">
        <v>6723</v>
      </c>
      <c r="U2183" s="19" t="str">
        <f aca="false">HYPERLINK("https://macaulaylibrary.org/asset/104185","Open")</f>
        <v>Open</v>
      </c>
      <c r="V2183" s="19" t="s">
        <v>6465</v>
      </c>
    </row>
    <row r="2184" customFormat="false" ht="15" hidden="false" customHeight="false" outlineLevel="0" collapsed="false">
      <c r="A2184" s="19" t="s">
        <v>6724</v>
      </c>
      <c r="B2184" s="19" t="s">
        <v>943</v>
      </c>
      <c r="C2184" s="19" t="s">
        <v>944</v>
      </c>
      <c r="D2184" s="19" t="s">
        <v>148</v>
      </c>
      <c r="E2184" s="19" t="s">
        <v>911</v>
      </c>
      <c r="F2184" s="19" t="s">
        <v>910</v>
      </c>
      <c r="G2184" s="19" t="n">
        <v>247</v>
      </c>
      <c r="H2184" s="19" t="s">
        <v>6463</v>
      </c>
      <c r="I2184" s="20" t="n">
        <v>24.257</v>
      </c>
      <c r="J2184" s="19" t="n">
        <f aca="false">IF(I2184="","",MIN(Overview!$B$8,MAX(1,CEILING(I2184/Overview!$B$7,1))))</f>
        <v>5</v>
      </c>
      <c r="K2184" s="19" t="n">
        <v>1</v>
      </c>
      <c r="L2184" s="19"/>
      <c r="M2184" s="20"/>
      <c r="N2184" s="19"/>
      <c r="O2184" s="19"/>
      <c r="P2184" s="19" t="s">
        <v>6704</v>
      </c>
      <c r="Q2184" s="19" t="s">
        <v>6397</v>
      </c>
      <c r="R2184" s="21" t="n">
        <v>36727</v>
      </c>
      <c r="S2184" s="19" t="s">
        <v>1002</v>
      </c>
      <c r="T2184" s="19" t="s">
        <v>6725</v>
      </c>
      <c r="U2184" s="19" t="str">
        <f aca="false">HYPERLINK("https://macaulaylibrary.org/asset/104186","Open")</f>
        <v>Open</v>
      </c>
      <c r="V2184" s="19" t="s">
        <v>6465</v>
      </c>
    </row>
    <row r="2185" customFormat="false" ht="15" hidden="false" customHeight="false" outlineLevel="0" collapsed="false">
      <c r="A2185" s="19" t="s">
        <v>6726</v>
      </c>
      <c r="B2185" s="19" t="s">
        <v>943</v>
      </c>
      <c r="C2185" s="19" t="s">
        <v>944</v>
      </c>
      <c r="D2185" s="19" t="s">
        <v>148</v>
      </c>
      <c r="E2185" s="19" t="s">
        <v>911</v>
      </c>
      <c r="F2185" s="19" t="s">
        <v>910</v>
      </c>
      <c r="G2185" s="19" t="n">
        <v>247</v>
      </c>
      <c r="H2185" s="19" t="s">
        <v>6463</v>
      </c>
      <c r="I2185" s="20" t="n">
        <v>28.959</v>
      </c>
      <c r="J2185" s="19" t="n">
        <f aca="false">IF(I2185="","",MIN(Overview!$B$8,MAX(1,CEILING(I2185/Overview!$B$7,1))))</f>
        <v>6</v>
      </c>
      <c r="K2185" s="19" t="n">
        <v>1</v>
      </c>
      <c r="L2185" s="19"/>
      <c r="M2185" s="20"/>
      <c r="N2185" s="19"/>
      <c r="O2185" s="19"/>
      <c r="P2185" s="19" t="s">
        <v>6704</v>
      </c>
      <c r="Q2185" s="19" t="s">
        <v>6397</v>
      </c>
      <c r="R2185" s="21" t="n">
        <v>36727</v>
      </c>
      <c r="S2185" s="19" t="s">
        <v>1002</v>
      </c>
      <c r="T2185" s="19" t="s">
        <v>6727</v>
      </c>
      <c r="U2185" s="19" t="str">
        <f aca="false">HYPERLINK("https://macaulaylibrary.org/asset/104187","Open")</f>
        <v>Open</v>
      </c>
      <c r="V2185" s="19" t="s">
        <v>6465</v>
      </c>
    </row>
    <row r="2186" customFormat="false" ht="15" hidden="false" customHeight="false" outlineLevel="0" collapsed="false">
      <c r="A2186" s="19" t="s">
        <v>6728</v>
      </c>
      <c r="B2186" s="19" t="s">
        <v>943</v>
      </c>
      <c r="C2186" s="19" t="s">
        <v>944</v>
      </c>
      <c r="D2186" s="19" t="s">
        <v>148</v>
      </c>
      <c r="E2186" s="19" t="s">
        <v>911</v>
      </c>
      <c r="F2186" s="19" t="s">
        <v>910</v>
      </c>
      <c r="G2186" s="19" t="n">
        <v>247</v>
      </c>
      <c r="H2186" s="19" t="s">
        <v>6463</v>
      </c>
      <c r="I2186" s="20" t="n">
        <v>77.914</v>
      </c>
      <c r="J2186" s="19" t="n">
        <f aca="false">IF(I2186="","",MIN(Overview!$B$8,MAX(1,CEILING(I2186/Overview!$B$7,1))))</f>
        <v>16</v>
      </c>
      <c r="K2186" s="19" t="n">
        <v>1</v>
      </c>
      <c r="L2186" s="19"/>
      <c r="M2186" s="20"/>
      <c r="N2186" s="19"/>
      <c r="O2186" s="19"/>
      <c r="P2186" s="19" t="s">
        <v>6704</v>
      </c>
      <c r="Q2186" s="19" t="s">
        <v>6397</v>
      </c>
      <c r="R2186" s="21" t="n">
        <v>36727</v>
      </c>
      <c r="S2186" s="19" t="s">
        <v>1002</v>
      </c>
      <c r="T2186" s="19" t="s">
        <v>6729</v>
      </c>
      <c r="U2186" s="19" t="str">
        <f aca="false">HYPERLINK("https://macaulaylibrary.org/asset/104188","Open")</f>
        <v>Open</v>
      </c>
      <c r="V2186" s="19" t="s">
        <v>6465</v>
      </c>
    </row>
    <row r="2187" customFormat="false" ht="15" hidden="false" customHeight="false" outlineLevel="0" collapsed="false">
      <c r="A2187" s="19" t="s">
        <v>6730</v>
      </c>
      <c r="B2187" s="19" t="s">
        <v>943</v>
      </c>
      <c r="C2187" s="19" t="s">
        <v>944</v>
      </c>
      <c r="D2187" s="19" t="s">
        <v>148</v>
      </c>
      <c r="E2187" s="19" t="s">
        <v>911</v>
      </c>
      <c r="F2187" s="19" t="s">
        <v>912</v>
      </c>
      <c r="G2187" s="19" t="n">
        <v>248</v>
      </c>
      <c r="H2187" s="19" t="s">
        <v>6731</v>
      </c>
      <c r="I2187" s="20" t="n">
        <v>473.094</v>
      </c>
      <c r="J2187" s="19" t="n">
        <f aca="false">IF(I2187="","",MIN(Overview!$B$8,MAX(1,CEILING(I2187/Overview!$B$7,1))))</f>
        <v>95</v>
      </c>
      <c r="K2187" s="19" t="n">
        <v>1</v>
      </c>
      <c r="L2187" s="19"/>
      <c r="M2187" s="20" t="n">
        <v>2</v>
      </c>
      <c r="N2187" s="19"/>
      <c r="O2187" s="19" t="s">
        <v>6732</v>
      </c>
      <c r="P2187" s="19" t="s">
        <v>6733</v>
      </c>
      <c r="Q2187" s="19" t="s">
        <v>980</v>
      </c>
      <c r="R2187" s="21" t="n">
        <v>35196</v>
      </c>
      <c r="S2187" s="19" t="s">
        <v>6734</v>
      </c>
      <c r="T2187" s="19" t="s">
        <v>6735</v>
      </c>
      <c r="U2187" s="19" t="str">
        <f aca="false">HYPERLINK("https://macaulaylibrary.org/asset/166870","Open")</f>
        <v>Open</v>
      </c>
      <c r="V2187" s="19" t="s">
        <v>6736</v>
      </c>
    </row>
    <row r="2188" customFormat="false" ht="15" hidden="false" customHeight="false" outlineLevel="0" collapsed="false">
      <c r="A2188" s="19" t="s">
        <v>6737</v>
      </c>
      <c r="B2188" s="19" t="s">
        <v>943</v>
      </c>
      <c r="C2188" s="19" t="s">
        <v>944</v>
      </c>
      <c r="D2188" s="19" t="s">
        <v>148</v>
      </c>
      <c r="E2188" s="19" t="s">
        <v>911</v>
      </c>
      <c r="F2188" s="19" t="s">
        <v>912</v>
      </c>
      <c r="G2188" s="19" t="n">
        <v>248</v>
      </c>
      <c r="H2188" s="19" t="s">
        <v>6738</v>
      </c>
      <c r="I2188" s="20" t="n">
        <v>1394.925</v>
      </c>
      <c r="J2188" s="19" t="n">
        <f aca="false">IF(I2188="","",MIN(Overview!$B$8,MAX(1,CEILING(I2188/Overview!$B$7,1))))</f>
        <v>120</v>
      </c>
      <c r="K2188" s="19" t="n">
        <v>1</v>
      </c>
      <c r="L2188" s="19"/>
      <c r="M2188" s="20" t="n">
        <v>3</v>
      </c>
      <c r="N2188" s="19"/>
      <c r="O2188" s="19" t="s">
        <v>6739</v>
      </c>
      <c r="P2188" s="19" t="s">
        <v>6733</v>
      </c>
      <c r="Q2188" s="19" t="s">
        <v>980</v>
      </c>
      <c r="R2188" s="21" t="n">
        <v>35196</v>
      </c>
      <c r="S2188" s="19" t="s">
        <v>6740</v>
      </c>
      <c r="T2188" s="19" t="s">
        <v>6741</v>
      </c>
      <c r="U2188" s="19" t="str">
        <f aca="false">HYPERLINK("https://macaulaylibrary.org/asset/166871","Open")</f>
        <v>Open</v>
      </c>
      <c r="V2188" s="19" t="s">
        <v>6742</v>
      </c>
    </row>
    <row r="2189" customFormat="false" ht="15" hidden="false" customHeight="false" outlineLevel="0" collapsed="false">
      <c r="A2189" s="19" t="s">
        <v>6743</v>
      </c>
      <c r="B2189" s="19" t="s">
        <v>943</v>
      </c>
      <c r="C2189" s="19" t="s">
        <v>944</v>
      </c>
      <c r="D2189" s="19" t="s">
        <v>148</v>
      </c>
      <c r="E2189" s="19" t="s">
        <v>911</v>
      </c>
      <c r="F2189" s="19" t="s">
        <v>912</v>
      </c>
      <c r="G2189" s="19" t="n">
        <v>248</v>
      </c>
      <c r="H2189" s="19" t="s">
        <v>6744</v>
      </c>
      <c r="I2189" s="20" t="n">
        <v>291.683</v>
      </c>
      <c r="J2189" s="19" t="n">
        <f aca="false">IF(I2189="","",MIN(Overview!$B$8,MAX(1,CEILING(I2189/Overview!$B$7,1))))</f>
        <v>59</v>
      </c>
      <c r="K2189" s="19" t="n">
        <v>1</v>
      </c>
      <c r="L2189" s="19"/>
      <c r="M2189" s="20" t="n">
        <v>3</v>
      </c>
      <c r="N2189" s="19"/>
      <c r="O2189" s="19"/>
      <c r="P2189" s="19" t="s">
        <v>6733</v>
      </c>
      <c r="Q2189" s="19" t="s">
        <v>980</v>
      </c>
      <c r="R2189" s="21" t="n">
        <v>35196</v>
      </c>
      <c r="S2189" s="19"/>
      <c r="T2189" s="19" t="s">
        <v>6745</v>
      </c>
      <c r="U2189" s="19" t="str">
        <f aca="false">HYPERLINK("https://macaulaylibrary.org/asset/166873","Open")</f>
        <v>Open</v>
      </c>
      <c r="V2189" s="19" t="s">
        <v>6746</v>
      </c>
    </row>
    <row r="2190" customFormat="false" ht="15" hidden="false" customHeight="false" outlineLevel="0" collapsed="false">
      <c r="A2190" s="19" t="s">
        <v>6747</v>
      </c>
      <c r="B2190" s="19" t="s">
        <v>943</v>
      </c>
      <c r="C2190" s="19" t="s">
        <v>944</v>
      </c>
      <c r="D2190" s="19" t="s">
        <v>148</v>
      </c>
      <c r="E2190" s="19" t="s">
        <v>911</v>
      </c>
      <c r="F2190" s="19" t="s">
        <v>912</v>
      </c>
      <c r="G2190" s="19" t="n">
        <v>248</v>
      </c>
      <c r="H2190" s="19" t="s">
        <v>6744</v>
      </c>
      <c r="I2190" s="20" t="n">
        <v>174.5</v>
      </c>
      <c r="J2190" s="19" t="n">
        <f aca="false">IF(I2190="","",MIN(Overview!$B$8,MAX(1,CEILING(I2190/Overview!$B$7,1))))</f>
        <v>35</v>
      </c>
      <c r="K2190" s="19" t="n">
        <v>1</v>
      </c>
      <c r="L2190" s="19"/>
      <c r="M2190" s="20" t="n">
        <v>3</v>
      </c>
      <c r="N2190" s="19"/>
      <c r="O2190" s="19"/>
      <c r="P2190" s="19" t="s">
        <v>6733</v>
      </c>
      <c r="Q2190" s="19" t="s">
        <v>980</v>
      </c>
      <c r="R2190" s="21" t="n">
        <v>35196</v>
      </c>
      <c r="S2190" s="19"/>
      <c r="T2190" s="19" t="s">
        <v>6748</v>
      </c>
      <c r="U2190" s="19" t="str">
        <f aca="false">HYPERLINK("https://macaulaylibrary.org/asset/166874","Open")</f>
        <v>Open</v>
      </c>
      <c r="V2190" s="19" t="s">
        <v>6746</v>
      </c>
    </row>
    <row r="2191" customFormat="false" ht="15" hidden="false" customHeight="false" outlineLevel="0" collapsed="false">
      <c r="A2191" s="19" t="s">
        <v>6749</v>
      </c>
      <c r="B2191" s="19" t="s">
        <v>943</v>
      </c>
      <c r="C2191" s="19" t="s">
        <v>944</v>
      </c>
      <c r="D2191" s="19" t="s">
        <v>148</v>
      </c>
      <c r="E2191" s="19" t="s">
        <v>911</v>
      </c>
      <c r="F2191" s="19" t="s">
        <v>912</v>
      </c>
      <c r="G2191" s="19" t="n">
        <v>248</v>
      </c>
      <c r="H2191" s="19" t="s">
        <v>6750</v>
      </c>
      <c r="I2191" s="20" t="n">
        <v>627.574</v>
      </c>
      <c r="J2191" s="19" t="n">
        <f aca="false">IF(I2191="","",MIN(Overview!$B$8,MAX(1,CEILING(I2191/Overview!$B$7,1))))</f>
        <v>120</v>
      </c>
      <c r="K2191" s="19" t="n">
        <v>1</v>
      </c>
      <c r="L2191" s="19"/>
      <c r="M2191" s="20" t="n">
        <v>3</v>
      </c>
      <c r="N2191" s="19"/>
      <c r="O2191" s="19" t="s">
        <v>6751</v>
      </c>
      <c r="P2191" s="19" t="s">
        <v>6733</v>
      </c>
      <c r="Q2191" s="19" t="s">
        <v>980</v>
      </c>
      <c r="R2191" s="21" t="n">
        <v>35196</v>
      </c>
      <c r="S2191" s="19"/>
      <c r="T2191" s="19" t="s">
        <v>6752</v>
      </c>
      <c r="U2191" s="19" t="str">
        <f aca="false">HYPERLINK("https://macaulaylibrary.org/asset/166876","Open")</f>
        <v>Open</v>
      </c>
      <c r="V2191" s="19" t="s">
        <v>6753</v>
      </c>
    </row>
    <row r="2192" customFormat="false" ht="15" hidden="false" customHeight="false" outlineLevel="0" collapsed="false">
      <c r="A2192" s="19" t="s">
        <v>6754</v>
      </c>
      <c r="B2192" s="19" t="s">
        <v>943</v>
      </c>
      <c r="C2192" s="19" t="s">
        <v>944</v>
      </c>
      <c r="D2192" s="19" t="s">
        <v>148</v>
      </c>
      <c r="E2192" s="19" t="s">
        <v>911</v>
      </c>
      <c r="F2192" s="19" t="s">
        <v>912</v>
      </c>
      <c r="G2192" s="19" t="n">
        <v>248</v>
      </c>
      <c r="H2192" s="19" t="s">
        <v>6750</v>
      </c>
      <c r="I2192" s="20" t="n">
        <v>236.331</v>
      </c>
      <c r="J2192" s="19" t="n">
        <f aca="false">IF(I2192="","",MIN(Overview!$B$8,MAX(1,CEILING(I2192/Overview!$B$7,1))))</f>
        <v>48</v>
      </c>
      <c r="K2192" s="19" t="n">
        <v>1</v>
      </c>
      <c r="L2192" s="19"/>
      <c r="M2192" s="20" t="n">
        <v>3</v>
      </c>
      <c r="N2192" s="19"/>
      <c r="O2192" s="19" t="s">
        <v>6755</v>
      </c>
      <c r="P2192" s="19" t="s">
        <v>6733</v>
      </c>
      <c r="Q2192" s="19" t="s">
        <v>980</v>
      </c>
      <c r="R2192" s="21" t="n">
        <v>35196</v>
      </c>
      <c r="S2192" s="19" t="s">
        <v>6756</v>
      </c>
      <c r="T2192" s="19" t="s">
        <v>6757</v>
      </c>
      <c r="U2192" s="19" t="str">
        <f aca="false">HYPERLINK("https://macaulaylibrary.org/asset/166877","Open")</f>
        <v>Open</v>
      </c>
      <c r="V2192" s="19" t="s">
        <v>6753</v>
      </c>
    </row>
    <row r="2193" customFormat="false" ht="15" hidden="false" customHeight="false" outlineLevel="0" collapsed="false">
      <c r="A2193" s="19" t="s">
        <v>6758</v>
      </c>
      <c r="B2193" s="19" t="s">
        <v>943</v>
      </c>
      <c r="C2193" s="19" t="s">
        <v>944</v>
      </c>
      <c r="D2193" s="19" t="s">
        <v>148</v>
      </c>
      <c r="E2193" s="19" t="s">
        <v>911</v>
      </c>
      <c r="F2193" s="19" t="s">
        <v>912</v>
      </c>
      <c r="G2193" s="19" t="n">
        <v>248</v>
      </c>
      <c r="H2193" s="19" t="s">
        <v>6731</v>
      </c>
      <c r="I2193" s="20" t="n">
        <v>244.294</v>
      </c>
      <c r="J2193" s="19" t="n">
        <f aca="false">IF(I2193="","",MIN(Overview!$B$8,MAX(1,CEILING(I2193/Overview!$B$7,1))))</f>
        <v>49</v>
      </c>
      <c r="K2193" s="19" t="n">
        <v>1</v>
      </c>
      <c r="L2193" s="19"/>
      <c r="M2193" s="20" t="n">
        <v>3</v>
      </c>
      <c r="N2193" s="19"/>
      <c r="O2193" s="19" t="s">
        <v>6759</v>
      </c>
      <c r="P2193" s="19" t="s">
        <v>6733</v>
      </c>
      <c r="Q2193" s="19" t="s">
        <v>980</v>
      </c>
      <c r="R2193" s="21" t="n">
        <v>35196</v>
      </c>
      <c r="S2193" s="19" t="s">
        <v>6760</v>
      </c>
      <c r="T2193" s="19" t="s">
        <v>6761</v>
      </c>
      <c r="U2193" s="19" t="str">
        <f aca="false">HYPERLINK("https://macaulaylibrary.org/asset/166878","Open")</f>
        <v>Open</v>
      </c>
      <c r="V2193" s="19" t="s">
        <v>6736</v>
      </c>
    </row>
    <row r="2194" customFormat="false" ht="15" hidden="false" customHeight="false" outlineLevel="0" collapsed="false">
      <c r="A2194" s="19" t="s">
        <v>6762</v>
      </c>
      <c r="B2194" s="19" t="s">
        <v>943</v>
      </c>
      <c r="C2194" s="19" t="s">
        <v>944</v>
      </c>
      <c r="D2194" s="19" t="s">
        <v>148</v>
      </c>
      <c r="E2194" s="19" t="s">
        <v>911</v>
      </c>
      <c r="F2194" s="19" t="s">
        <v>912</v>
      </c>
      <c r="G2194" s="19" t="n">
        <v>248</v>
      </c>
      <c r="H2194" s="19" t="s">
        <v>6731</v>
      </c>
      <c r="I2194" s="20" t="n">
        <v>1453.773</v>
      </c>
      <c r="J2194" s="19" t="n">
        <f aca="false">IF(I2194="","",MIN(Overview!$B$8,MAX(1,CEILING(I2194/Overview!$B$7,1))))</f>
        <v>120</v>
      </c>
      <c r="K2194" s="19" t="n">
        <v>1</v>
      </c>
      <c r="L2194" s="19"/>
      <c r="M2194" s="20" t="n">
        <v>3</v>
      </c>
      <c r="N2194" s="19"/>
      <c r="O2194" s="19" t="s">
        <v>6763</v>
      </c>
      <c r="P2194" s="19" t="s">
        <v>6733</v>
      </c>
      <c r="Q2194" s="19" t="s">
        <v>980</v>
      </c>
      <c r="R2194" s="21" t="n">
        <v>35196</v>
      </c>
      <c r="S2194" s="19" t="s">
        <v>6764</v>
      </c>
      <c r="T2194" s="19" t="s">
        <v>6765</v>
      </c>
      <c r="U2194" s="19" t="str">
        <f aca="false">HYPERLINK("https://macaulaylibrary.org/asset/166879","Open")</f>
        <v>Open</v>
      </c>
      <c r="V2194" s="19" t="s">
        <v>6736</v>
      </c>
    </row>
    <row r="2195" customFormat="false" ht="15" hidden="false" customHeight="false" outlineLevel="0" collapsed="false">
      <c r="A2195" s="19" t="s">
        <v>6766</v>
      </c>
      <c r="B2195" s="19" t="s">
        <v>943</v>
      </c>
      <c r="C2195" s="19" t="s">
        <v>944</v>
      </c>
      <c r="D2195" s="19" t="s">
        <v>148</v>
      </c>
      <c r="E2195" s="19" t="s">
        <v>911</v>
      </c>
      <c r="F2195" s="19" t="s">
        <v>912</v>
      </c>
      <c r="G2195" s="19" t="n">
        <v>248</v>
      </c>
      <c r="H2195" s="19" t="s">
        <v>6767</v>
      </c>
      <c r="I2195" s="20" t="n">
        <v>716.71</v>
      </c>
      <c r="J2195" s="19" t="n">
        <f aca="false">IF(I2195="","",MIN(Overview!$B$8,MAX(1,CEILING(I2195/Overview!$B$7,1))))</f>
        <v>120</v>
      </c>
      <c r="K2195" s="19" t="n">
        <v>1</v>
      </c>
      <c r="L2195" s="19"/>
      <c r="M2195" s="20" t="n">
        <v>3</v>
      </c>
      <c r="N2195" s="19"/>
      <c r="O2195" s="19" t="s">
        <v>6768</v>
      </c>
      <c r="P2195" s="19" t="s">
        <v>6733</v>
      </c>
      <c r="Q2195" s="19" t="s">
        <v>980</v>
      </c>
      <c r="R2195" s="21" t="n">
        <v>35196</v>
      </c>
      <c r="S2195" s="19" t="s">
        <v>6769</v>
      </c>
      <c r="T2195" s="19" t="s">
        <v>6770</v>
      </c>
      <c r="U2195" s="19" t="str">
        <f aca="false">HYPERLINK("https://macaulaylibrary.org/asset/166880","Open")</f>
        <v>Open</v>
      </c>
      <c r="V2195" s="19" t="s">
        <v>6771</v>
      </c>
    </row>
    <row r="2196" customFormat="false" ht="15" hidden="false" customHeight="false" outlineLevel="0" collapsed="false">
      <c r="A2196" s="19" t="s">
        <v>6772</v>
      </c>
      <c r="B2196" s="19" t="s">
        <v>943</v>
      </c>
      <c r="C2196" s="19" t="s">
        <v>944</v>
      </c>
      <c r="D2196" s="19" t="s">
        <v>148</v>
      </c>
      <c r="E2196" s="19" t="s">
        <v>911</v>
      </c>
      <c r="F2196" s="19" t="s">
        <v>912</v>
      </c>
      <c r="G2196" s="19" t="n">
        <v>248</v>
      </c>
      <c r="H2196" s="19" t="s">
        <v>6744</v>
      </c>
      <c r="I2196" s="20" t="n">
        <v>529.808</v>
      </c>
      <c r="J2196" s="19" t="n">
        <f aca="false">IF(I2196="","",MIN(Overview!$B$8,MAX(1,CEILING(I2196/Overview!$B$7,1))))</f>
        <v>106</v>
      </c>
      <c r="K2196" s="19" t="n">
        <v>1</v>
      </c>
      <c r="L2196" s="19"/>
      <c r="M2196" s="20" t="n">
        <v>2</v>
      </c>
      <c r="N2196" s="19"/>
      <c r="O2196" s="19" t="s">
        <v>6773</v>
      </c>
      <c r="P2196" s="19" t="s">
        <v>6774</v>
      </c>
      <c r="Q2196" s="19" t="s">
        <v>980</v>
      </c>
      <c r="R2196" s="21" t="n">
        <v>35199</v>
      </c>
      <c r="S2196" s="19" t="s">
        <v>6775</v>
      </c>
      <c r="T2196" s="19" t="s">
        <v>6776</v>
      </c>
      <c r="U2196" s="19" t="str">
        <f aca="false">HYPERLINK("https://macaulaylibrary.org/asset/166896","Open")</f>
        <v>Open</v>
      </c>
      <c r="V2196" s="19" t="s">
        <v>6746</v>
      </c>
    </row>
    <row r="2197" customFormat="false" ht="15" hidden="false" customHeight="false" outlineLevel="0" collapsed="false">
      <c r="A2197" s="19" t="s">
        <v>6777</v>
      </c>
      <c r="B2197" s="19" t="s">
        <v>943</v>
      </c>
      <c r="C2197" s="19" t="s">
        <v>944</v>
      </c>
      <c r="D2197" s="19" t="s">
        <v>148</v>
      </c>
      <c r="E2197" s="19" t="s">
        <v>911</v>
      </c>
      <c r="F2197" s="19" t="s">
        <v>912</v>
      </c>
      <c r="G2197" s="19" t="n">
        <v>248</v>
      </c>
      <c r="H2197" s="19" t="s">
        <v>6744</v>
      </c>
      <c r="I2197" s="20" t="n">
        <v>1034.38</v>
      </c>
      <c r="J2197" s="19" t="n">
        <f aca="false">IF(I2197="","",MIN(Overview!$B$8,MAX(1,CEILING(I2197/Overview!$B$7,1))))</f>
        <v>120</v>
      </c>
      <c r="K2197" s="19" t="n">
        <v>1</v>
      </c>
      <c r="L2197" s="19"/>
      <c r="M2197" s="20" t="n">
        <v>2</v>
      </c>
      <c r="N2197" s="19"/>
      <c r="O2197" s="19" t="s">
        <v>6773</v>
      </c>
      <c r="P2197" s="19" t="s">
        <v>6774</v>
      </c>
      <c r="Q2197" s="19" t="s">
        <v>980</v>
      </c>
      <c r="R2197" s="21" t="n">
        <v>35199</v>
      </c>
      <c r="S2197" s="19" t="s">
        <v>6778</v>
      </c>
      <c r="T2197" s="19" t="s">
        <v>6779</v>
      </c>
      <c r="U2197" s="19" t="str">
        <f aca="false">HYPERLINK("https://macaulaylibrary.org/asset/166897","Open")</f>
        <v>Open</v>
      </c>
      <c r="V2197" s="19" t="s">
        <v>6746</v>
      </c>
    </row>
    <row r="2198" customFormat="false" ht="15" hidden="false" customHeight="false" outlineLevel="0" collapsed="false">
      <c r="A2198" s="19" t="s">
        <v>6780</v>
      </c>
      <c r="B2198" s="19" t="s">
        <v>943</v>
      </c>
      <c r="C2198" s="19" t="s">
        <v>944</v>
      </c>
      <c r="D2198" s="19" t="s">
        <v>148</v>
      </c>
      <c r="E2198" s="19" t="s">
        <v>911</v>
      </c>
      <c r="F2198" s="19" t="s">
        <v>912</v>
      </c>
      <c r="G2198" s="19" t="n">
        <v>248</v>
      </c>
      <c r="H2198" s="19" t="s">
        <v>6781</v>
      </c>
      <c r="I2198" s="20" t="n">
        <v>968.963</v>
      </c>
      <c r="J2198" s="19" t="n">
        <f aca="false">IF(I2198="","",MIN(Overview!$B$8,MAX(1,CEILING(I2198/Overview!$B$7,1))))</f>
        <v>120</v>
      </c>
      <c r="K2198" s="19" t="n">
        <v>1</v>
      </c>
      <c r="L2198" s="19"/>
      <c r="M2198" s="20" t="n">
        <v>2</v>
      </c>
      <c r="N2198" s="19"/>
      <c r="O2198" s="19"/>
      <c r="P2198" s="19" t="s">
        <v>6774</v>
      </c>
      <c r="Q2198" s="19" t="s">
        <v>980</v>
      </c>
      <c r="R2198" s="21" t="n">
        <v>35199</v>
      </c>
      <c r="S2198" s="19" t="s">
        <v>6782</v>
      </c>
      <c r="T2198" s="19" t="s">
        <v>6783</v>
      </c>
      <c r="U2198" s="19" t="str">
        <f aca="false">HYPERLINK("https://macaulaylibrary.org/asset/166898","Open")</f>
        <v>Open</v>
      </c>
      <c r="V2198" s="19" t="s">
        <v>6784</v>
      </c>
    </row>
    <row r="2199" customFormat="false" ht="15" hidden="false" customHeight="false" outlineLevel="0" collapsed="false">
      <c r="A2199" s="19" t="s">
        <v>6785</v>
      </c>
      <c r="B2199" s="19" t="s">
        <v>943</v>
      </c>
      <c r="C2199" s="19" t="s">
        <v>944</v>
      </c>
      <c r="D2199" s="19" t="s">
        <v>148</v>
      </c>
      <c r="E2199" s="19" t="s">
        <v>911</v>
      </c>
      <c r="F2199" s="19" t="s">
        <v>912</v>
      </c>
      <c r="G2199" s="19" t="n">
        <v>248</v>
      </c>
      <c r="H2199" s="19" t="s">
        <v>6781</v>
      </c>
      <c r="I2199" s="20" t="n">
        <v>479.006</v>
      </c>
      <c r="J2199" s="19" t="n">
        <f aca="false">IF(I2199="","",MIN(Overview!$B$8,MAX(1,CEILING(I2199/Overview!$B$7,1))))</f>
        <v>96</v>
      </c>
      <c r="K2199" s="19" t="n">
        <v>1</v>
      </c>
      <c r="L2199" s="19"/>
      <c r="M2199" s="20" t="n">
        <v>2</v>
      </c>
      <c r="N2199" s="19"/>
      <c r="O2199" s="19"/>
      <c r="P2199" s="19" t="s">
        <v>6774</v>
      </c>
      <c r="Q2199" s="19" t="s">
        <v>980</v>
      </c>
      <c r="R2199" s="21" t="n">
        <v>35199</v>
      </c>
      <c r="S2199" s="19" t="s">
        <v>6786</v>
      </c>
      <c r="T2199" s="19" t="s">
        <v>6787</v>
      </c>
      <c r="U2199" s="19" t="str">
        <f aca="false">HYPERLINK("https://macaulaylibrary.org/asset/166899","Open")</f>
        <v>Open</v>
      </c>
      <c r="V2199" s="19" t="s">
        <v>6784</v>
      </c>
    </row>
    <row r="2200" customFormat="false" ht="15" hidden="false" customHeight="false" outlineLevel="0" collapsed="false">
      <c r="A2200" s="19" t="s">
        <v>6788</v>
      </c>
      <c r="B2200" s="19" t="s">
        <v>943</v>
      </c>
      <c r="C2200" s="19" t="s">
        <v>944</v>
      </c>
      <c r="D2200" s="19" t="s">
        <v>148</v>
      </c>
      <c r="E2200" s="19" t="s">
        <v>911</v>
      </c>
      <c r="F2200" s="19" t="s">
        <v>912</v>
      </c>
      <c r="G2200" s="19" t="n">
        <v>248</v>
      </c>
      <c r="H2200" s="19" t="s">
        <v>6744</v>
      </c>
      <c r="I2200" s="20" t="n">
        <v>725.167</v>
      </c>
      <c r="J2200" s="19" t="n">
        <f aca="false">IF(I2200="","",MIN(Overview!$B$8,MAX(1,CEILING(I2200/Overview!$B$7,1))))</f>
        <v>120</v>
      </c>
      <c r="K2200" s="19" t="n">
        <v>1</v>
      </c>
      <c r="L2200" s="19"/>
      <c r="M2200" s="20" t="n">
        <v>3</v>
      </c>
      <c r="N2200" s="19"/>
      <c r="O2200" s="19" t="s">
        <v>6763</v>
      </c>
      <c r="P2200" s="19" t="s">
        <v>6789</v>
      </c>
      <c r="Q2200" s="19" t="s">
        <v>980</v>
      </c>
      <c r="R2200" s="21" t="n">
        <v>35203</v>
      </c>
      <c r="S2200" s="19" t="s">
        <v>6790</v>
      </c>
      <c r="T2200" s="19" t="s">
        <v>6791</v>
      </c>
      <c r="U2200" s="19" t="str">
        <f aca="false">HYPERLINK("https://macaulaylibrary.org/asset/184728","Open")</f>
        <v>Open</v>
      </c>
      <c r="V2200" s="19" t="s">
        <v>6746</v>
      </c>
    </row>
    <row r="2201" customFormat="false" ht="15" hidden="false" customHeight="false" outlineLevel="0" collapsed="false">
      <c r="A2201" s="19" t="s">
        <v>6792</v>
      </c>
      <c r="B2201" s="19" t="s">
        <v>943</v>
      </c>
      <c r="C2201" s="19" t="s">
        <v>944</v>
      </c>
      <c r="D2201" s="19" t="s">
        <v>148</v>
      </c>
      <c r="E2201" s="19" t="s">
        <v>911</v>
      </c>
      <c r="F2201" s="19" t="s">
        <v>912</v>
      </c>
      <c r="G2201" s="19" t="n">
        <v>248</v>
      </c>
      <c r="H2201" s="19" t="s">
        <v>6744</v>
      </c>
      <c r="I2201" s="20" t="n">
        <v>887.861</v>
      </c>
      <c r="J2201" s="19" t="n">
        <f aca="false">IF(I2201="","",MIN(Overview!$B$8,MAX(1,CEILING(I2201/Overview!$B$7,1))))</f>
        <v>120</v>
      </c>
      <c r="K2201" s="19" t="n">
        <v>1</v>
      </c>
      <c r="L2201" s="19"/>
      <c r="M2201" s="20" t="n">
        <v>3</v>
      </c>
      <c r="N2201" s="19"/>
      <c r="O2201" s="19" t="s">
        <v>6793</v>
      </c>
      <c r="P2201" s="19" t="s">
        <v>6789</v>
      </c>
      <c r="Q2201" s="19" t="s">
        <v>980</v>
      </c>
      <c r="R2201" s="21" t="n">
        <v>35203</v>
      </c>
      <c r="S2201" s="19" t="s">
        <v>6794</v>
      </c>
      <c r="T2201" s="19" t="s">
        <v>6795</v>
      </c>
      <c r="U2201" s="19" t="str">
        <f aca="false">HYPERLINK("https://macaulaylibrary.org/asset/184729","Open")</f>
        <v>Open</v>
      </c>
      <c r="V2201" s="19" t="s">
        <v>6746</v>
      </c>
    </row>
    <row r="2202" customFormat="false" ht="15" hidden="false" customHeight="false" outlineLevel="0" collapsed="false">
      <c r="A2202" s="19" t="s">
        <v>6796</v>
      </c>
      <c r="B2202" s="19" t="s">
        <v>943</v>
      </c>
      <c r="C2202" s="19" t="s">
        <v>944</v>
      </c>
      <c r="D2202" s="19" t="s">
        <v>148</v>
      </c>
      <c r="E2202" s="19" t="s">
        <v>911</v>
      </c>
      <c r="F2202" s="19" t="s">
        <v>912</v>
      </c>
      <c r="G2202" s="19" t="n">
        <v>248</v>
      </c>
      <c r="H2202" s="19" t="s">
        <v>6744</v>
      </c>
      <c r="I2202" s="20" t="n">
        <v>492.388</v>
      </c>
      <c r="J2202" s="19" t="n">
        <f aca="false">IF(I2202="","",MIN(Overview!$B$8,MAX(1,CEILING(I2202/Overview!$B$7,1))))</f>
        <v>99</v>
      </c>
      <c r="K2202" s="19" t="n">
        <v>1</v>
      </c>
      <c r="L2202" s="19"/>
      <c r="M2202" s="20" t="n">
        <v>3</v>
      </c>
      <c r="N2202" s="19"/>
      <c r="O2202" s="19"/>
      <c r="P2202" s="19" t="s">
        <v>1727</v>
      </c>
      <c r="Q2202" s="19" t="s">
        <v>980</v>
      </c>
      <c r="R2202" s="21" t="n">
        <v>34128</v>
      </c>
      <c r="S2202" s="19" t="s">
        <v>6797</v>
      </c>
      <c r="T2202" s="19" t="s">
        <v>6798</v>
      </c>
      <c r="U2202" s="19" t="str">
        <f aca="false">HYPERLINK("https://macaulaylibrary.org/asset/209702","Open")</f>
        <v>Open</v>
      </c>
      <c r="V2202" s="19" t="s">
        <v>6746</v>
      </c>
    </row>
    <row r="2203" customFormat="false" ht="15" hidden="false" customHeight="false" outlineLevel="0" collapsed="false">
      <c r="A2203" s="19" t="s">
        <v>6799</v>
      </c>
      <c r="B2203" s="19" t="s">
        <v>943</v>
      </c>
      <c r="C2203" s="19" t="s">
        <v>944</v>
      </c>
      <c r="D2203" s="19" t="s">
        <v>148</v>
      </c>
      <c r="E2203" s="19" t="s">
        <v>911</v>
      </c>
      <c r="F2203" s="19" t="s">
        <v>912</v>
      </c>
      <c r="G2203" s="19" t="n">
        <v>248</v>
      </c>
      <c r="H2203" s="19" t="s">
        <v>6744</v>
      </c>
      <c r="I2203" s="20" t="n">
        <v>567.475</v>
      </c>
      <c r="J2203" s="19" t="n">
        <f aca="false">IF(I2203="","",MIN(Overview!$B$8,MAX(1,CEILING(I2203/Overview!$B$7,1))))</f>
        <v>114</v>
      </c>
      <c r="K2203" s="19" t="n">
        <v>1</v>
      </c>
      <c r="L2203" s="19"/>
      <c r="M2203" s="20" t="n">
        <v>3</v>
      </c>
      <c r="N2203" s="19"/>
      <c r="O2203" s="19"/>
      <c r="P2203" s="19" t="s">
        <v>1727</v>
      </c>
      <c r="Q2203" s="19" t="s">
        <v>980</v>
      </c>
      <c r="R2203" s="21" t="n">
        <v>34128</v>
      </c>
      <c r="S2203" s="19"/>
      <c r="T2203" s="19" t="s">
        <v>6800</v>
      </c>
      <c r="U2203" s="19" t="str">
        <f aca="false">HYPERLINK("https://macaulaylibrary.org/asset/209703","Open")</f>
        <v>Open</v>
      </c>
      <c r="V2203" s="19" t="s">
        <v>6746</v>
      </c>
    </row>
    <row r="2204" customFormat="false" ht="15" hidden="false" customHeight="false" outlineLevel="0" collapsed="false">
      <c r="A2204" s="19" t="s">
        <v>6801</v>
      </c>
      <c r="B2204" s="19" t="s">
        <v>943</v>
      </c>
      <c r="C2204" s="19" t="s">
        <v>944</v>
      </c>
      <c r="D2204" s="19" t="s">
        <v>148</v>
      </c>
      <c r="E2204" s="19" t="s">
        <v>911</v>
      </c>
      <c r="F2204" s="19" t="s">
        <v>912</v>
      </c>
      <c r="G2204" s="19" t="n">
        <v>248</v>
      </c>
      <c r="H2204" s="19" t="s">
        <v>6802</v>
      </c>
      <c r="I2204" s="20" t="n">
        <v>239.085</v>
      </c>
      <c r="J2204" s="19" t="n">
        <f aca="false">IF(I2204="","",MIN(Overview!$B$8,MAX(1,CEILING(I2204/Overview!$B$7,1))))</f>
        <v>48</v>
      </c>
      <c r="K2204" s="19" t="n">
        <v>1</v>
      </c>
      <c r="L2204" s="19"/>
      <c r="M2204" s="20" t="n">
        <v>3</v>
      </c>
      <c r="N2204" s="19"/>
      <c r="O2204" s="19"/>
      <c r="P2204" s="19" t="s">
        <v>2987</v>
      </c>
      <c r="Q2204" s="19" t="s">
        <v>980</v>
      </c>
      <c r="R2204" s="21" t="n">
        <v>34129</v>
      </c>
      <c r="S2204" s="19" t="s">
        <v>4011</v>
      </c>
      <c r="T2204" s="19" t="s">
        <v>6803</v>
      </c>
      <c r="U2204" s="19" t="str">
        <f aca="false">HYPERLINK("https://macaulaylibrary.org/asset/211130","Open")</f>
        <v>Open</v>
      </c>
      <c r="V2204" s="19" t="s">
        <v>6804</v>
      </c>
    </row>
    <row r="2205" customFormat="false" ht="15" hidden="false" customHeight="false" outlineLevel="0" collapsed="false">
      <c r="A2205" s="19" t="s">
        <v>6805</v>
      </c>
      <c r="B2205" s="19" t="s">
        <v>943</v>
      </c>
      <c r="C2205" s="19" t="s">
        <v>944</v>
      </c>
      <c r="D2205" s="19" t="s">
        <v>148</v>
      </c>
      <c r="E2205" s="19" t="s">
        <v>911</v>
      </c>
      <c r="F2205" s="19" t="s">
        <v>912</v>
      </c>
      <c r="G2205" s="19" t="n">
        <v>248</v>
      </c>
      <c r="H2205" s="19" t="s">
        <v>6806</v>
      </c>
      <c r="I2205" s="20" t="n">
        <v>492.455</v>
      </c>
      <c r="J2205" s="19" t="n">
        <f aca="false">IF(I2205="","",MIN(Overview!$B$8,MAX(1,CEILING(I2205/Overview!$B$7,1))))</f>
        <v>99</v>
      </c>
      <c r="K2205" s="19" t="n">
        <v>1</v>
      </c>
      <c r="L2205" s="19"/>
      <c r="M2205" s="20" t="n">
        <v>4</v>
      </c>
      <c r="N2205" s="19"/>
      <c r="O2205" s="19"/>
      <c r="P2205" s="19" t="s">
        <v>1555</v>
      </c>
      <c r="Q2205" s="19" t="s">
        <v>980</v>
      </c>
      <c r="R2205" s="21" t="n">
        <v>33291</v>
      </c>
      <c r="S2205" s="19" t="s">
        <v>6807</v>
      </c>
      <c r="T2205" s="19" t="s">
        <v>6808</v>
      </c>
      <c r="U2205" s="19" t="str">
        <f aca="false">HYPERLINK("https://macaulaylibrary.org/asset/57476","Open")</f>
        <v>Open</v>
      </c>
      <c r="V2205" s="19" t="s">
        <v>6809</v>
      </c>
    </row>
    <row r="2206" customFormat="false" ht="15" hidden="false" customHeight="false" outlineLevel="0" collapsed="false">
      <c r="A2206" s="19" t="s">
        <v>6810</v>
      </c>
      <c r="B2206" s="19" t="s">
        <v>943</v>
      </c>
      <c r="C2206" s="19" t="s">
        <v>944</v>
      </c>
      <c r="D2206" s="19" t="s">
        <v>148</v>
      </c>
      <c r="E2206" s="19" t="s">
        <v>911</v>
      </c>
      <c r="F2206" s="19" t="s">
        <v>912</v>
      </c>
      <c r="G2206" s="19" t="n">
        <v>248</v>
      </c>
      <c r="H2206" s="19" t="s">
        <v>6806</v>
      </c>
      <c r="I2206" s="20" t="n">
        <v>769.957</v>
      </c>
      <c r="J2206" s="19" t="n">
        <f aca="false">IF(I2206="","",MIN(Overview!$B$8,MAX(1,CEILING(I2206/Overview!$B$7,1))))</f>
        <v>120</v>
      </c>
      <c r="K2206" s="19" t="n">
        <v>1</v>
      </c>
      <c r="L2206" s="19"/>
      <c r="M2206" s="20" t="n">
        <v>4</v>
      </c>
      <c r="N2206" s="19"/>
      <c r="O2206" s="19"/>
      <c r="P2206" s="19" t="s">
        <v>1161</v>
      </c>
      <c r="Q2206" s="19" t="s">
        <v>980</v>
      </c>
      <c r="R2206" s="21" t="n">
        <v>33292</v>
      </c>
      <c r="S2206" s="19" t="s">
        <v>6811</v>
      </c>
      <c r="T2206" s="19" t="s">
        <v>6812</v>
      </c>
      <c r="U2206" s="19" t="str">
        <f aca="false">HYPERLINK("https://macaulaylibrary.org/asset/57488","Open")</f>
        <v>Open</v>
      </c>
      <c r="V2206" s="19" t="s">
        <v>6809</v>
      </c>
    </row>
    <row r="2207" customFormat="false" ht="15" hidden="false" customHeight="false" outlineLevel="0" collapsed="false">
      <c r="A2207" s="19" t="s">
        <v>6813</v>
      </c>
      <c r="B2207" s="19" t="s">
        <v>943</v>
      </c>
      <c r="C2207" s="19" t="s">
        <v>944</v>
      </c>
      <c r="D2207" s="19" t="s">
        <v>148</v>
      </c>
      <c r="E2207" s="19" t="s">
        <v>911</v>
      </c>
      <c r="F2207" s="19" t="s">
        <v>912</v>
      </c>
      <c r="G2207" s="19" t="n">
        <v>248</v>
      </c>
      <c r="H2207" s="19" t="s">
        <v>6814</v>
      </c>
      <c r="I2207" s="20" t="n">
        <v>30.581</v>
      </c>
      <c r="J2207" s="19" t="n">
        <f aca="false">IF(I2207="","",MIN(Overview!$B$8,MAX(1,CEILING(I2207/Overview!$B$7,1))))</f>
        <v>7</v>
      </c>
      <c r="K2207" s="19" t="n">
        <v>1</v>
      </c>
      <c r="L2207" s="19"/>
      <c r="M2207" s="20" t="n">
        <v>3</v>
      </c>
      <c r="N2207" s="19"/>
      <c r="O2207" s="19"/>
      <c r="P2207" s="19" t="s">
        <v>6815</v>
      </c>
      <c r="Q2207" s="19" t="s">
        <v>1502</v>
      </c>
      <c r="R2207" s="21" t="n">
        <v>45939</v>
      </c>
      <c r="S2207" s="19" t="s">
        <v>2335</v>
      </c>
      <c r="T2207" s="19" t="s">
        <v>6816</v>
      </c>
      <c r="U2207" s="19" t="str">
        <f aca="false">HYPERLINK("https://macaulaylibrary.org/asset/648706166","Open")</f>
        <v>Open</v>
      </c>
      <c r="V2207" s="19" t="s">
        <v>6817</v>
      </c>
    </row>
    <row r="2208" customFormat="false" ht="15" hidden="false" customHeight="false" outlineLevel="0" collapsed="false">
      <c r="A2208" s="19" t="s">
        <v>6818</v>
      </c>
      <c r="B2208" s="19" t="s">
        <v>943</v>
      </c>
      <c r="C2208" s="19" t="s">
        <v>944</v>
      </c>
      <c r="D2208" s="19" t="s">
        <v>148</v>
      </c>
      <c r="E2208" s="19" t="s">
        <v>911</v>
      </c>
      <c r="F2208" s="19" t="s">
        <v>912</v>
      </c>
      <c r="G2208" s="19" t="n">
        <v>248</v>
      </c>
      <c r="H2208" s="19" t="s">
        <v>6814</v>
      </c>
      <c r="I2208" s="20" t="n">
        <v>48.858</v>
      </c>
      <c r="J2208" s="19" t="n">
        <f aca="false">IF(I2208="","",MIN(Overview!$B$8,MAX(1,CEILING(I2208/Overview!$B$7,1))))</f>
        <v>10</v>
      </c>
      <c r="K2208" s="19" t="n">
        <v>1</v>
      </c>
      <c r="L2208" s="19"/>
      <c r="M2208" s="20" t="n">
        <v>3</v>
      </c>
      <c r="N2208" s="19"/>
      <c r="O2208" s="19"/>
      <c r="P2208" s="19" t="s">
        <v>6815</v>
      </c>
      <c r="Q2208" s="19" t="s">
        <v>1502</v>
      </c>
      <c r="R2208" s="21" t="n">
        <v>45939</v>
      </c>
      <c r="S2208" s="19" t="s">
        <v>2335</v>
      </c>
      <c r="T2208" s="19" t="s">
        <v>6819</v>
      </c>
      <c r="U2208" s="19" t="str">
        <f aca="false">HYPERLINK("https://macaulaylibrary.org/asset/648706167","Open")</f>
        <v>Open</v>
      </c>
      <c r="V2208" s="19" t="s">
        <v>6817</v>
      </c>
    </row>
    <row r="2209" customFormat="false" ht="15" hidden="false" customHeight="false" outlineLevel="0" collapsed="false">
      <c r="A2209" s="19" t="s">
        <v>6820</v>
      </c>
      <c r="B2209" s="19" t="s">
        <v>943</v>
      </c>
      <c r="C2209" s="19" t="s">
        <v>944</v>
      </c>
      <c r="D2209" s="19" t="s">
        <v>148</v>
      </c>
      <c r="E2209" s="19" t="s">
        <v>911</v>
      </c>
      <c r="F2209" s="19" t="s">
        <v>912</v>
      </c>
      <c r="G2209" s="19" t="n">
        <v>248</v>
      </c>
      <c r="H2209" s="19" t="s">
        <v>6806</v>
      </c>
      <c r="I2209" s="20" t="n">
        <v>13.198</v>
      </c>
      <c r="J2209" s="19" t="n">
        <f aca="false">IF(I2209="","",MIN(Overview!$B$8,MAX(1,CEILING(I2209/Overview!$B$7,1))))</f>
        <v>3</v>
      </c>
      <c r="K2209" s="19" t="n">
        <v>1</v>
      </c>
      <c r="L2209" s="19"/>
      <c r="M2209" s="20"/>
      <c r="N2209" s="19"/>
      <c r="O2209" s="19"/>
      <c r="P2209" s="19" t="s">
        <v>2494</v>
      </c>
      <c r="Q2209" s="19" t="s">
        <v>1620</v>
      </c>
      <c r="R2209" s="21" t="n">
        <v>46146</v>
      </c>
      <c r="S2209" s="19" t="s">
        <v>1237</v>
      </c>
      <c r="T2209" s="19" t="s">
        <v>6821</v>
      </c>
      <c r="U2209" s="19" t="str">
        <f aca="false">HYPERLINK("https://macaulaylibrary.org/asset/662398905","Open")</f>
        <v>Open</v>
      </c>
      <c r="V2209" s="19" t="s">
        <v>6809</v>
      </c>
    </row>
    <row r="2210" customFormat="false" ht="15" hidden="false" customHeight="false" outlineLevel="0" collapsed="false">
      <c r="A2210" s="19" t="s">
        <v>6822</v>
      </c>
      <c r="B2210" s="19" t="s">
        <v>943</v>
      </c>
      <c r="C2210" s="19" t="s">
        <v>944</v>
      </c>
      <c r="D2210" s="19" t="s">
        <v>148</v>
      </c>
      <c r="E2210" s="19" t="s">
        <v>911</v>
      </c>
      <c r="F2210" s="19" t="s">
        <v>912</v>
      </c>
      <c r="G2210" s="19" t="n">
        <v>248</v>
      </c>
      <c r="H2210" s="19" t="s">
        <v>6806</v>
      </c>
      <c r="I2210" s="20" t="n">
        <v>23.562</v>
      </c>
      <c r="J2210" s="19" t="n">
        <f aca="false">IF(I2210="","",MIN(Overview!$B$8,MAX(1,CEILING(I2210/Overview!$B$7,1))))</f>
        <v>5</v>
      </c>
      <c r="K2210" s="19" t="n">
        <v>1</v>
      </c>
      <c r="L2210" s="19"/>
      <c r="M2210" s="20"/>
      <c r="N2210" s="19"/>
      <c r="O2210" s="19"/>
      <c r="P2210" s="19" t="s">
        <v>2494</v>
      </c>
      <c r="Q2210" s="19" t="s">
        <v>1620</v>
      </c>
      <c r="R2210" s="21" t="n">
        <v>46146</v>
      </c>
      <c r="S2210" s="19" t="s">
        <v>1237</v>
      </c>
      <c r="T2210" s="19" t="s">
        <v>6823</v>
      </c>
      <c r="U2210" s="19" t="str">
        <f aca="false">HYPERLINK("https://macaulaylibrary.org/asset/662398906","Open")</f>
        <v>Open</v>
      </c>
      <c r="V2210" s="19" t="s">
        <v>6809</v>
      </c>
    </row>
    <row r="2211" customFormat="false" ht="15" hidden="false" customHeight="false" outlineLevel="0" collapsed="false">
      <c r="A2211" s="19" t="s">
        <v>6824</v>
      </c>
      <c r="B2211" s="19" t="s">
        <v>943</v>
      </c>
      <c r="C2211" s="19" t="s">
        <v>944</v>
      </c>
      <c r="D2211" s="19" t="s">
        <v>148</v>
      </c>
      <c r="E2211" s="19" t="s">
        <v>911</v>
      </c>
      <c r="F2211" s="19" t="s">
        <v>912</v>
      </c>
      <c r="G2211" s="19" t="n">
        <v>248</v>
      </c>
      <c r="H2211" s="19" t="s">
        <v>6750</v>
      </c>
      <c r="I2211" s="20" t="n">
        <v>117.226</v>
      </c>
      <c r="J2211" s="19" t="n">
        <f aca="false">IF(I2211="","",MIN(Overview!$B$8,MAX(1,CEILING(I2211/Overview!$B$7,1))))</f>
        <v>24</v>
      </c>
      <c r="K2211" s="19" t="n">
        <v>1</v>
      </c>
      <c r="L2211" s="19"/>
      <c r="M2211" s="20" t="n">
        <v>3</v>
      </c>
      <c r="N2211" s="19"/>
      <c r="O2211" s="19"/>
      <c r="P2211" s="19" t="s">
        <v>1208</v>
      </c>
      <c r="Q2211" s="19" t="s">
        <v>980</v>
      </c>
      <c r="R2211" s="21" t="n">
        <v>33297</v>
      </c>
      <c r="S2211" s="19" t="s">
        <v>1002</v>
      </c>
      <c r="T2211" s="19" t="s">
        <v>6825</v>
      </c>
      <c r="U2211" s="19" t="str">
        <f aca="false">HYPERLINK("https://macaulaylibrary.org/asset/72622","Open")</f>
        <v>Open</v>
      </c>
      <c r="V2211" s="19" t="s">
        <v>6753</v>
      </c>
    </row>
    <row r="2212" customFormat="false" ht="15" hidden="false" customHeight="false" outlineLevel="0" collapsed="false">
      <c r="A2212" s="19" t="s">
        <v>6826</v>
      </c>
      <c r="B2212" s="19" t="s">
        <v>943</v>
      </c>
      <c r="C2212" s="19" t="s">
        <v>944</v>
      </c>
      <c r="D2212" s="19" t="s">
        <v>148</v>
      </c>
      <c r="E2212" s="19" t="s">
        <v>911</v>
      </c>
      <c r="F2212" s="19" t="s">
        <v>912</v>
      </c>
      <c r="G2212" s="19" t="n">
        <v>248</v>
      </c>
      <c r="H2212" s="19" t="s">
        <v>6744</v>
      </c>
      <c r="I2212" s="20" t="n">
        <v>129.522</v>
      </c>
      <c r="J2212" s="19" t="n">
        <f aca="false">IF(I2212="","",MIN(Overview!$B$8,MAX(1,CEILING(I2212/Overview!$B$7,1))))</f>
        <v>26</v>
      </c>
      <c r="K2212" s="19" t="n">
        <v>1</v>
      </c>
      <c r="L2212" s="19"/>
      <c r="M2212" s="20" t="n">
        <v>3</v>
      </c>
      <c r="N2212" s="19"/>
      <c r="O2212" s="19"/>
      <c r="P2212" s="19" t="s">
        <v>1208</v>
      </c>
      <c r="Q2212" s="19" t="s">
        <v>980</v>
      </c>
      <c r="R2212" s="21" t="n">
        <v>33297</v>
      </c>
      <c r="S2212" s="19" t="s">
        <v>1002</v>
      </c>
      <c r="T2212" s="19" t="s">
        <v>6827</v>
      </c>
      <c r="U2212" s="19" t="str">
        <f aca="false">HYPERLINK("https://macaulaylibrary.org/asset/72626","Open")</f>
        <v>Open</v>
      </c>
      <c r="V2212" s="19" t="s">
        <v>6746</v>
      </c>
    </row>
    <row r="2213" customFormat="false" ht="15" hidden="false" customHeight="false" outlineLevel="0" collapsed="false">
      <c r="A2213" s="19" t="s">
        <v>6828</v>
      </c>
      <c r="B2213" s="19" t="s">
        <v>943</v>
      </c>
      <c r="C2213" s="19" t="s">
        <v>944</v>
      </c>
      <c r="D2213" s="19" t="s">
        <v>148</v>
      </c>
      <c r="E2213" s="19" t="s">
        <v>911</v>
      </c>
      <c r="F2213" s="19" t="s">
        <v>912</v>
      </c>
      <c r="G2213" s="19" t="n">
        <v>248</v>
      </c>
      <c r="H2213" s="19" t="s">
        <v>6750</v>
      </c>
      <c r="I2213" s="20" t="n">
        <v>129.75</v>
      </c>
      <c r="J2213" s="19" t="n">
        <f aca="false">IF(I2213="","",MIN(Overview!$B$8,MAX(1,CEILING(I2213/Overview!$B$7,1))))</f>
        <v>26</v>
      </c>
      <c r="K2213" s="19" t="n">
        <v>1</v>
      </c>
      <c r="L2213" s="19"/>
      <c r="M2213" s="20" t="n">
        <v>3</v>
      </c>
      <c r="N2213" s="19"/>
      <c r="O2213" s="19"/>
      <c r="P2213" s="19" t="s">
        <v>1520</v>
      </c>
      <c r="Q2213" s="19" t="s">
        <v>980</v>
      </c>
      <c r="R2213" s="21" t="n">
        <v>34759</v>
      </c>
      <c r="S2213" s="19" t="s">
        <v>6829</v>
      </c>
      <c r="T2213" s="19" t="s">
        <v>6830</v>
      </c>
      <c r="U2213" s="19" t="str">
        <f aca="false">HYPERLINK("https://macaulaylibrary.org/asset/72629","Open")</f>
        <v>Open</v>
      </c>
      <c r="V2213" s="19" t="s">
        <v>6753</v>
      </c>
    </row>
    <row r="2214" customFormat="false" ht="15" hidden="false" customHeight="false" outlineLevel="0" collapsed="false">
      <c r="A2214" s="19" t="s">
        <v>6831</v>
      </c>
      <c r="B2214" s="19" t="s">
        <v>943</v>
      </c>
      <c r="C2214" s="19" t="s">
        <v>944</v>
      </c>
      <c r="D2214" s="19" t="s">
        <v>148</v>
      </c>
      <c r="E2214" s="19" t="s">
        <v>911</v>
      </c>
      <c r="F2214" s="19" t="s">
        <v>912</v>
      </c>
      <c r="G2214" s="19" t="n">
        <v>248</v>
      </c>
      <c r="H2214" s="19" t="s">
        <v>6806</v>
      </c>
      <c r="I2214" s="20" t="n">
        <v>1227.449</v>
      </c>
      <c r="J2214" s="19" t="n">
        <f aca="false">IF(I2214="","",MIN(Overview!$B$8,MAX(1,CEILING(I2214/Overview!$B$7,1))))</f>
        <v>120</v>
      </c>
      <c r="K2214" s="19" t="n">
        <v>1</v>
      </c>
      <c r="L2214" s="19"/>
      <c r="M2214" s="20" t="n">
        <v>3</v>
      </c>
      <c r="N2214" s="19"/>
      <c r="O2214" s="19"/>
      <c r="P2214" s="19" t="s">
        <v>1520</v>
      </c>
      <c r="Q2214" s="19" t="s">
        <v>980</v>
      </c>
      <c r="R2214" s="21" t="n">
        <v>34759</v>
      </c>
      <c r="S2214" s="19" t="s">
        <v>6832</v>
      </c>
      <c r="T2214" s="19" t="s">
        <v>6833</v>
      </c>
      <c r="U2214" s="19" t="str">
        <f aca="false">HYPERLINK("https://macaulaylibrary.org/asset/72630","Open")</f>
        <v>Open</v>
      </c>
      <c r="V2214" s="19" t="s">
        <v>6809</v>
      </c>
    </row>
    <row r="2215" customFormat="false" ht="15" hidden="false" customHeight="false" outlineLevel="0" collapsed="false">
      <c r="A2215" s="19" t="s">
        <v>6834</v>
      </c>
      <c r="B2215" s="19" t="s">
        <v>943</v>
      </c>
      <c r="C2215" s="19" t="s">
        <v>944</v>
      </c>
      <c r="D2215" s="19" t="s">
        <v>148</v>
      </c>
      <c r="E2215" s="19" t="s">
        <v>911</v>
      </c>
      <c r="F2215" s="19" t="s">
        <v>912</v>
      </c>
      <c r="G2215" s="19" t="n">
        <v>248</v>
      </c>
      <c r="H2215" s="19" t="s">
        <v>6744</v>
      </c>
      <c r="I2215" s="20" t="n">
        <v>324.512</v>
      </c>
      <c r="J2215" s="19" t="n">
        <f aca="false">IF(I2215="","",MIN(Overview!$B$8,MAX(1,CEILING(I2215/Overview!$B$7,1))))</f>
        <v>65</v>
      </c>
      <c r="K2215" s="19" t="n">
        <v>1</v>
      </c>
      <c r="L2215" s="19"/>
      <c r="M2215" s="20" t="n">
        <v>3</v>
      </c>
      <c r="N2215" s="19"/>
      <c r="O2215" s="19"/>
      <c r="P2215" s="19" t="s">
        <v>2285</v>
      </c>
      <c r="Q2215" s="19" t="s">
        <v>980</v>
      </c>
      <c r="R2215" s="21" t="n">
        <v>33298</v>
      </c>
      <c r="S2215" s="19" t="s">
        <v>1002</v>
      </c>
      <c r="T2215" s="19" t="s">
        <v>6835</v>
      </c>
      <c r="U2215" s="19" t="str">
        <f aca="false">HYPERLINK("https://macaulaylibrary.org/asset/72638","Open")</f>
        <v>Open</v>
      </c>
      <c r="V2215" s="19" t="s">
        <v>6746</v>
      </c>
    </row>
    <row r="2216" customFormat="false" ht="15" hidden="false" customHeight="false" outlineLevel="0" collapsed="false">
      <c r="A2216" s="19" t="s">
        <v>6836</v>
      </c>
      <c r="B2216" s="19" t="s">
        <v>943</v>
      </c>
      <c r="C2216" s="19" t="s">
        <v>944</v>
      </c>
      <c r="D2216" s="19" t="s">
        <v>148</v>
      </c>
      <c r="E2216" s="19" t="s">
        <v>911</v>
      </c>
      <c r="F2216" s="19" t="s">
        <v>912</v>
      </c>
      <c r="G2216" s="19" t="n">
        <v>248</v>
      </c>
      <c r="H2216" s="19" t="s">
        <v>6744</v>
      </c>
      <c r="I2216" s="20" t="n">
        <v>2682.4</v>
      </c>
      <c r="J2216" s="19" t="n">
        <f aca="false">IF(I2216="","",MIN(Overview!$B$8,MAX(1,CEILING(I2216/Overview!$B$7,1))))</f>
        <v>120</v>
      </c>
      <c r="K2216" s="19" t="n">
        <v>1</v>
      </c>
      <c r="L2216" s="19"/>
      <c r="M2216" s="20" t="n">
        <v>3</v>
      </c>
      <c r="N2216" s="19"/>
      <c r="O2216" s="19"/>
      <c r="P2216" s="19" t="s">
        <v>2285</v>
      </c>
      <c r="Q2216" s="19" t="s">
        <v>980</v>
      </c>
      <c r="R2216" s="21" t="n">
        <v>33298</v>
      </c>
      <c r="S2216" s="19" t="s">
        <v>6837</v>
      </c>
      <c r="T2216" s="19" t="s">
        <v>6838</v>
      </c>
      <c r="U2216" s="19" t="str">
        <f aca="false">HYPERLINK("https://macaulaylibrary.org/asset/72640","Open")</f>
        <v>Open</v>
      </c>
      <c r="V2216" s="19" t="s">
        <v>6746</v>
      </c>
    </row>
    <row r="2217" customFormat="false" ht="15" hidden="false" customHeight="false" outlineLevel="0" collapsed="false">
      <c r="A2217" s="19" t="s">
        <v>6839</v>
      </c>
      <c r="B2217" s="19" t="s">
        <v>943</v>
      </c>
      <c r="C2217" s="19" t="s">
        <v>944</v>
      </c>
      <c r="D2217" s="19" t="s">
        <v>400</v>
      </c>
      <c r="E2217" s="19" t="s">
        <v>911</v>
      </c>
      <c r="F2217" s="19" t="s">
        <v>916</v>
      </c>
      <c r="G2217" s="19" t="n">
        <v>249</v>
      </c>
      <c r="H2217" s="19" t="s">
        <v>6840</v>
      </c>
      <c r="I2217" s="20" t="n">
        <v>258.102</v>
      </c>
      <c r="J2217" s="19" t="n">
        <f aca="false">IF(I2217="","",MIN(Overview!$B$8,MAX(1,CEILING(I2217/Overview!$B$7,1))))</f>
        <v>52</v>
      </c>
      <c r="K2217" s="19" t="n">
        <v>1</v>
      </c>
      <c r="L2217" s="19"/>
      <c r="M2217" s="20" t="n">
        <v>3</v>
      </c>
      <c r="N2217" s="19"/>
      <c r="O2217" s="19"/>
      <c r="P2217" s="19" t="s">
        <v>2858</v>
      </c>
      <c r="Q2217" s="19" t="s">
        <v>980</v>
      </c>
      <c r="R2217" s="21" t="n">
        <v>34126</v>
      </c>
      <c r="S2217" s="19" t="s">
        <v>6841</v>
      </c>
      <c r="T2217" s="19" t="s">
        <v>6842</v>
      </c>
      <c r="U2217" s="19" t="str">
        <f aca="false">HYPERLINK("https://macaulaylibrary.org/asset/209490","Open")</f>
        <v>Open</v>
      </c>
      <c r="V2217" s="19" t="s">
        <v>6843</v>
      </c>
    </row>
    <row r="2218" customFormat="false" ht="15" hidden="false" customHeight="false" outlineLevel="0" collapsed="false">
      <c r="A2218" s="19" t="s">
        <v>6844</v>
      </c>
      <c r="B2218" s="19" t="s">
        <v>943</v>
      </c>
      <c r="C2218" s="19" t="s">
        <v>944</v>
      </c>
      <c r="D2218" s="19" t="s">
        <v>400</v>
      </c>
      <c r="E2218" s="19" t="s">
        <v>911</v>
      </c>
      <c r="F2218" s="19" t="s">
        <v>916</v>
      </c>
      <c r="G2218" s="19" t="n">
        <v>249</v>
      </c>
      <c r="H2218" s="19" t="s">
        <v>6840</v>
      </c>
      <c r="I2218" s="20" t="n">
        <v>275.833</v>
      </c>
      <c r="J2218" s="19" t="n">
        <f aca="false">IF(I2218="","",MIN(Overview!$B$8,MAX(1,CEILING(I2218/Overview!$B$7,1))))</f>
        <v>56</v>
      </c>
      <c r="K2218" s="19" t="n">
        <v>1</v>
      </c>
      <c r="L2218" s="19"/>
      <c r="M2218" s="20" t="n">
        <v>4</v>
      </c>
      <c r="N2218" s="19"/>
      <c r="O2218" s="19"/>
      <c r="P2218" s="19" t="s">
        <v>1730</v>
      </c>
      <c r="Q2218" s="19" t="s">
        <v>980</v>
      </c>
      <c r="R2218" s="21" t="n">
        <v>32558</v>
      </c>
      <c r="S2218" s="19"/>
      <c r="T2218" s="19" t="s">
        <v>6845</v>
      </c>
      <c r="U2218" s="19" t="str">
        <f aca="false">HYPERLINK("https://macaulaylibrary.org/asset/215419","Open")</f>
        <v>Open</v>
      </c>
      <c r="V2218" s="19" t="s">
        <v>6843</v>
      </c>
    </row>
    <row r="2219" customFormat="false" ht="15" hidden="false" customHeight="false" outlineLevel="0" collapsed="false">
      <c r="A2219" s="19" t="s">
        <v>6846</v>
      </c>
      <c r="B2219" s="19" t="s">
        <v>943</v>
      </c>
      <c r="C2219" s="19" t="s">
        <v>944</v>
      </c>
      <c r="D2219" s="19" t="s">
        <v>400</v>
      </c>
      <c r="E2219" s="19" t="s">
        <v>911</v>
      </c>
      <c r="F2219" s="19" t="s">
        <v>916</v>
      </c>
      <c r="G2219" s="19" t="n">
        <v>249</v>
      </c>
      <c r="H2219" s="19" t="s">
        <v>6840</v>
      </c>
      <c r="I2219" s="20" t="n">
        <v>136.051</v>
      </c>
      <c r="J2219" s="19" t="n">
        <f aca="false">IF(I2219="","",MIN(Overview!$B$8,MAX(1,CEILING(I2219/Overview!$B$7,1))))</f>
        <v>28</v>
      </c>
      <c r="K2219" s="19" t="n">
        <v>1</v>
      </c>
      <c r="L2219" s="19"/>
      <c r="M2219" s="20" t="n">
        <v>3</v>
      </c>
      <c r="N2219" s="19"/>
      <c r="O2219" s="19"/>
      <c r="P2219" s="19" t="s">
        <v>1730</v>
      </c>
      <c r="Q2219" s="19" t="s">
        <v>980</v>
      </c>
      <c r="R2219" s="21" t="n">
        <v>32558</v>
      </c>
      <c r="S2219" s="19" t="s">
        <v>6769</v>
      </c>
      <c r="T2219" s="19" t="s">
        <v>6847</v>
      </c>
      <c r="U2219" s="19" t="str">
        <f aca="false">HYPERLINK("https://macaulaylibrary.org/asset/215429","Open")</f>
        <v>Open</v>
      </c>
      <c r="V2219" s="19" t="s">
        <v>6843</v>
      </c>
    </row>
    <row r="2220" customFormat="false" ht="15" hidden="false" customHeight="false" outlineLevel="0" collapsed="false">
      <c r="A2220" s="19" t="s">
        <v>6848</v>
      </c>
      <c r="B2220" s="19" t="s">
        <v>943</v>
      </c>
      <c r="C2220" s="19" t="s">
        <v>944</v>
      </c>
      <c r="D2220" s="19" t="s">
        <v>400</v>
      </c>
      <c r="E2220" s="19" t="s">
        <v>911</v>
      </c>
      <c r="F2220" s="19" t="s">
        <v>916</v>
      </c>
      <c r="G2220" s="19" t="n">
        <v>249</v>
      </c>
      <c r="H2220" s="19" t="s">
        <v>6849</v>
      </c>
      <c r="I2220" s="20" t="n">
        <v>58.75</v>
      </c>
      <c r="J2220" s="19" t="n">
        <f aca="false">IF(I2220="","",MIN(Overview!$B$8,MAX(1,CEILING(I2220/Overview!$B$7,1))))</f>
        <v>12</v>
      </c>
      <c r="K2220" s="19" t="n">
        <v>1</v>
      </c>
      <c r="L2220" s="19"/>
      <c r="M2220" s="20" t="n">
        <v>2</v>
      </c>
      <c r="N2220" s="19"/>
      <c r="O2220" s="19"/>
      <c r="P2220" s="19" t="s">
        <v>1555</v>
      </c>
      <c r="Q2220" s="19" t="s">
        <v>980</v>
      </c>
      <c r="R2220" s="21" t="n">
        <v>33291</v>
      </c>
      <c r="S2220" s="19" t="s">
        <v>1002</v>
      </c>
      <c r="T2220" s="19" t="s">
        <v>6850</v>
      </c>
      <c r="U2220" s="19" t="str">
        <f aca="false">HYPERLINK("https://macaulaylibrary.org/asset/57473","Open")</f>
        <v>Open</v>
      </c>
      <c r="V2220" s="19" t="s">
        <v>6851</v>
      </c>
    </row>
    <row r="2221" customFormat="false" ht="15" hidden="false" customHeight="false" outlineLevel="0" collapsed="false">
      <c r="A2221" s="19" t="s">
        <v>6852</v>
      </c>
      <c r="B2221" s="19" t="s">
        <v>943</v>
      </c>
      <c r="C2221" s="19" t="s">
        <v>944</v>
      </c>
      <c r="D2221" s="19" t="s">
        <v>400</v>
      </c>
      <c r="E2221" s="19" t="s">
        <v>911</v>
      </c>
      <c r="F2221" s="19" t="s">
        <v>916</v>
      </c>
      <c r="G2221" s="19" t="n">
        <v>249</v>
      </c>
      <c r="H2221" s="19" t="s">
        <v>6849</v>
      </c>
      <c r="I2221" s="20" t="n">
        <v>244.951</v>
      </c>
      <c r="J2221" s="19" t="n">
        <f aca="false">IF(I2221="","",MIN(Overview!$B$8,MAX(1,CEILING(I2221/Overview!$B$7,1))))</f>
        <v>49</v>
      </c>
      <c r="K2221" s="19" t="n">
        <v>1</v>
      </c>
      <c r="L2221" s="19"/>
      <c r="M2221" s="20" t="n">
        <v>3</v>
      </c>
      <c r="N2221" s="19"/>
      <c r="O2221" s="19"/>
      <c r="P2221" s="19" t="s">
        <v>3586</v>
      </c>
      <c r="Q2221" s="19" t="s">
        <v>980</v>
      </c>
      <c r="R2221" s="21" t="n">
        <v>33293</v>
      </c>
      <c r="S2221" s="19" t="s">
        <v>1002</v>
      </c>
      <c r="T2221" s="19" t="s">
        <v>6853</v>
      </c>
      <c r="U2221" s="19" t="str">
        <f aca="false">HYPERLINK("https://macaulaylibrary.org/asset/57490","Open")</f>
        <v>Open</v>
      </c>
      <c r="V2221" s="19" t="s">
        <v>6851</v>
      </c>
    </row>
    <row r="2222" customFormat="false" ht="15" hidden="false" customHeight="false" outlineLevel="0" collapsed="false">
      <c r="A2222" s="19" t="s">
        <v>6854</v>
      </c>
      <c r="B2222" s="19" t="s">
        <v>943</v>
      </c>
      <c r="C2222" s="19" t="s">
        <v>944</v>
      </c>
      <c r="D2222" s="19" t="s">
        <v>148</v>
      </c>
      <c r="E2222" s="19" t="s">
        <v>911</v>
      </c>
      <c r="F2222" s="19" t="s">
        <v>914</v>
      </c>
      <c r="G2222" s="19" t="n">
        <v>250</v>
      </c>
      <c r="H2222" s="19" t="s">
        <v>6855</v>
      </c>
      <c r="I2222" s="20" t="n">
        <v>41.059</v>
      </c>
      <c r="J2222" s="19" t="n">
        <f aca="false">IF(I2222="","",MIN(Overview!$B$8,MAX(1,CEILING(I2222/Overview!$B$7,1))))</f>
        <v>9</v>
      </c>
      <c r="K2222" s="19" t="n">
        <v>1</v>
      </c>
      <c r="L2222" s="19"/>
      <c r="M2222" s="20" t="n">
        <v>2.6</v>
      </c>
      <c r="N2222" s="19"/>
      <c r="O2222" s="19"/>
      <c r="P2222" s="19" t="s">
        <v>6259</v>
      </c>
      <c r="Q2222" s="19" t="s">
        <v>980</v>
      </c>
      <c r="R2222" s="21" t="n">
        <v>32552</v>
      </c>
      <c r="S2222" s="19"/>
      <c r="T2222" s="19" t="s">
        <v>6856</v>
      </c>
      <c r="U2222" s="19" t="str">
        <f aca="false">HYPERLINK("https://macaulaylibrary.org/asset/215303","Open")</f>
        <v>Open</v>
      </c>
      <c r="V2222" s="19" t="s">
        <v>6857</v>
      </c>
    </row>
    <row r="2223" customFormat="false" ht="15" hidden="false" customHeight="false" outlineLevel="0" collapsed="false">
      <c r="A2223" s="19" t="s">
        <v>6858</v>
      </c>
      <c r="B2223" s="19" t="s">
        <v>943</v>
      </c>
      <c r="C2223" s="19" t="s">
        <v>944</v>
      </c>
      <c r="D2223" s="19" t="s">
        <v>148</v>
      </c>
      <c r="E2223" s="19" t="s">
        <v>911</v>
      </c>
      <c r="F2223" s="19" t="s">
        <v>914</v>
      </c>
      <c r="G2223" s="19" t="n">
        <v>250</v>
      </c>
      <c r="H2223" s="19" t="s">
        <v>6855</v>
      </c>
      <c r="I2223" s="20" t="n">
        <v>161.231</v>
      </c>
      <c r="J2223" s="19" t="n">
        <f aca="false">IF(I2223="","",MIN(Overview!$B$8,MAX(1,CEILING(I2223/Overview!$B$7,1))))</f>
        <v>33</v>
      </c>
      <c r="K2223" s="19" t="n">
        <v>1</v>
      </c>
      <c r="L2223" s="19"/>
      <c r="M2223" s="20" t="n">
        <v>2</v>
      </c>
      <c r="N2223" s="19"/>
      <c r="O2223" s="19"/>
      <c r="P2223" s="19" t="s">
        <v>1097</v>
      </c>
      <c r="Q2223" s="19" t="s">
        <v>980</v>
      </c>
      <c r="R2223" s="21" t="n">
        <v>32553</v>
      </c>
      <c r="S2223" s="19"/>
      <c r="T2223" s="19" t="s">
        <v>6859</v>
      </c>
      <c r="U2223" s="19" t="str">
        <f aca="false">HYPERLINK("https://macaulaylibrary.org/asset/215336","Open")</f>
        <v>Open</v>
      </c>
      <c r="V2223" s="19" t="s">
        <v>6857</v>
      </c>
    </row>
    <row r="2224" customFormat="false" ht="15" hidden="false" customHeight="false" outlineLevel="0" collapsed="false">
      <c r="A2224" s="19" t="s">
        <v>6860</v>
      </c>
      <c r="B2224" s="19" t="s">
        <v>943</v>
      </c>
      <c r="C2224" s="19" t="s">
        <v>944</v>
      </c>
      <c r="D2224" s="19" t="s">
        <v>148</v>
      </c>
      <c r="E2224" s="19" t="s">
        <v>911</v>
      </c>
      <c r="F2224" s="19" t="s">
        <v>914</v>
      </c>
      <c r="G2224" s="19" t="n">
        <v>250</v>
      </c>
      <c r="H2224" s="19" t="s">
        <v>6861</v>
      </c>
      <c r="I2224" s="20" t="n">
        <v>193.31</v>
      </c>
      <c r="J2224" s="19" t="n">
        <f aca="false">IF(I2224="","",MIN(Overview!$B$8,MAX(1,CEILING(I2224/Overview!$B$7,1))))</f>
        <v>39</v>
      </c>
      <c r="K2224" s="19" t="n">
        <v>1</v>
      </c>
      <c r="L2224" s="19"/>
      <c r="M2224" s="20" t="n">
        <v>2</v>
      </c>
      <c r="N2224" s="19"/>
      <c r="O2224" s="19"/>
      <c r="P2224" s="19" t="s">
        <v>1058</v>
      </c>
      <c r="Q2224" s="19" t="s">
        <v>980</v>
      </c>
      <c r="R2224" s="21" t="n">
        <v>32555</v>
      </c>
      <c r="S2224" s="19" t="s">
        <v>6862</v>
      </c>
      <c r="T2224" s="19" t="s">
        <v>6863</v>
      </c>
      <c r="U2224" s="19" t="str">
        <f aca="false">HYPERLINK("https://macaulaylibrary.org/asset/215349","Open")</f>
        <v>Open</v>
      </c>
      <c r="V2224" s="19" t="s">
        <v>6864</v>
      </c>
    </row>
    <row r="2225" customFormat="false" ht="15" hidden="false" customHeight="false" outlineLevel="0" collapsed="false">
      <c r="A2225" s="19" t="s">
        <v>6865</v>
      </c>
      <c r="B2225" s="19" t="s">
        <v>943</v>
      </c>
      <c r="C2225" s="19" t="s">
        <v>944</v>
      </c>
      <c r="D2225" s="19" t="s">
        <v>148</v>
      </c>
      <c r="E2225" s="19" t="s">
        <v>911</v>
      </c>
      <c r="F2225" s="19" t="s">
        <v>914</v>
      </c>
      <c r="G2225" s="19" t="n">
        <v>250</v>
      </c>
      <c r="H2225" s="19" t="s">
        <v>6866</v>
      </c>
      <c r="I2225" s="20" t="n">
        <v>84.127</v>
      </c>
      <c r="J2225" s="19" t="n">
        <f aca="false">IF(I2225="","",MIN(Overview!$B$8,MAX(1,CEILING(I2225/Overview!$B$7,1))))</f>
        <v>17</v>
      </c>
      <c r="K2225" s="19" t="n">
        <v>1</v>
      </c>
      <c r="L2225" s="19"/>
      <c r="M2225" s="20" t="n">
        <v>2</v>
      </c>
      <c r="N2225" s="19"/>
      <c r="O2225" s="19"/>
      <c r="P2225" s="19" t="s">
        <v>1730</v>
      </c>
      <c r="Q2225" s="19" t="s">
        <v>980</v>
      </c>
      <c r="R2225" s="21" t="n">
        <v>32558</v>
      </c>
      <c r="S2225" s="19" t="s">
        <v>3513</v>
      </c>
      <c r="T2225" s="19" t="s">
        <v>6867</v>
      </c>
      <c r="U2225" s="19" t="str">
        <f aca="false">HYPERLINK("https://macaulaylibrary.org/asset/215411","Open")</f>
        <v>Open</v>
      </c>
      <c r="V2225" s="19" t="s">
        <v>6868</v>
      </c>
    </row>
    <row r="2226" customFormat="false" ht="15" hidden="false" customHeight="false" outlineLevel="0" collapsed="false">
      <c r="A2226" s="19" t="s">
        <v>6869</v>
      </c>
      <c r="B2226" s="19" t="s">
        <v>943</v>
      </c>
      <c r="C2226" s="19" t="s">
        <v>944</v>
      </c>
      <c r="D2226" s="19" t="s">
        <v>148</v>
      </c>
      <c r="E2226" s="19" t="s">
        <v>911</v>
      </c>
      <c r="F2226" s="19" t="s">
        <v>914</v>
      </c>
      <c r="G2226" s="19" t="n">
        <v>250</v>
      </c>
      <c r="H2226" s="19" t="s">
        <v>6855</v>
      </c>
      <c r="I2226" s="20" t="n">
        <v>812.699</v>
      </c>
      <c r="J2226" s="19" t="n">
        <f aca="false">IF(I2226="","",MIN(Overview!$B$8,MAX(1,CEILING(I2226/Overview!$B$7,1))))</f>
        <v>120</v>
      </c>
      <c r="K2226" s="19" t="n">
        <v>1</v>
      </c>
      <c r="L2226" s="19"/>
      <c r="M2226" s="20" t="n">
        <v>2</v>
      </c>
      <c r="N2226" s="19"/>
      <c r="O2226" s="19"/>
      <c r="P2226" s="19" t="s">
        <v>1730</v>
      </c>
      <c r="Q2226" s="19" t="s">
        <v>980</v>
      </c>
      <c r="R2226" s="21" t="n">
        <v>32558</v>
      </c>
      <c r="S2226" s="19" t="s">
        <v>2831</v>
      </c>
      <c r="T2226" s="19" t="s">
        <v>6870</v>
      </c>
      <c r="U2226" s="19" t="str">
        <f aca="false">HYPERLINK("https://macaulaylibrary.org/asset/215431","Open")</f>
        <v>Open</v>
      </c>
      <c r="V2226" s="19" t="s">
        <v>6857</v>
      </c>
    </row>
    <row r="2227" customFormat="false" ht="15" hidden="false" customHeight="false" outlineLevel="0" collapsed="false">
      <c r="A2227" s="19" t="s">
        <v>6871</v>
      </c>
      <c r="B2227" s="19" t="s">
        <v>943</v>
      </c>
      <c r="C2227" s="19" t="s">
        <v>944</v>
      </c>
      <c r="D2227" s="19" t="s">
        <v>148</v>
      </c>
      <c r="E2227" s="19" t="s">
        <v>911</v>
      </c>
      <c r="F2227" s="19" t="s">
        <v>914</v>
      </c>
      <c r="G2227" s="19" t="n">
        <v>250</v>
      </c>
      <c r="H2227" s="19" t="s">
        <v>6872</v>
      </c>
      <c r="I2227" s="20" t="n">
        <v>82.812</v>
      </c>
      <c r="J2227" s="19" t="n">
        <f aca="false">IF(I2227="","",MIN(Overview!$B$8,MAX(1,CEILING(I2227/Overview!$B$7,1))))</f>
        <v>17</v>
      </c>
      <c r="K2227" s="19" t="n">
        <v>1</v>
      </c>
      <c r="L2227" s="19"/>
      <c r="M2227" s="20" t="n">
        <v>2</v>
      </c>
      <c r="N2227" s="19"/>
      <c r="O2227" s="19"/>
      <c r="P2227" s="19" t="s">
        <v>1549</v>
      </c>
      <c r="Q2227" s="19" t="s">
        <v>980</v>
      </c>
      <c r="R2227" s="21" t="n">
        <v>32559</v>
      </c>
      <c r="S2227" s="19"/>
      <c r="T2227" s="19" t="s">
        <v>6873</v>
      </c>
      <c r="U2227" s="19" t="str">
        <f aca="false">HYPERLINK("https://macaulaylibrary.org/asset/215439","Open")</f>
        <v>Open</v>
      </c>
      <c r="V2227" s="19" t="s">
        <v>6874</v>
      </c>
    </row>
    <row r="2228" customFormat="false" ht="15" hidden="false" customHeight="false" outlineLevel="0" collapsed="false">
      <c r="A2228" s="19" t="s">
        <v>6875</v>
      </c>
      <c r="B2228" s="19" t="s">
        <v>943</v>
      </c>
      <c r="C2228" s="19" t="s">
        <v>944</v>
      </c>
      <c r="D2228" s="19" t="s">
        <v>148</v>
      </c>
      <c r="E2228" s="19" t="s">
        <v>911</v>
      </c>
      <c r="F2228" s="19" t="s">
        <v>914</v>
      </c>
      <c r="G2228" s="19" t="n">
        <v>250</v>
      </c>
      <c r="H2228" s="19" t="s">
        <v>6876</v>
      </c>
      <c r="I2228" s="20" t="n">
        <v>40.802</v>
      </c>
      <c r="J2228" s="19" t="n">
        <f aca="false">IF(I2228="","",MIN(Overview!$B$8,MAX(1,CEILING(I2228/Overview!$B$7,1))))</f>
        <v>9</v>
      </c>
      <c r="K2228" s="19" t="n">
        <v>1</v>
      </c>
      <c r="L2228" s="19"/>
      <c r="M2228" s="20" t="n">
        <v>2</v>
      </c>
      <c r="N2228" s="19"/>
      <c r="O2228" s="19"/>
      <c r="P2228" s="19" t="s">
        <v>3586</v>
      </c>
      <c r="Q2228" s="19" t="s">
        <v>980</v>
      </c>
      <c r="R2228" s="21" t="n">
        <v>33293</v>
      </c>
      <c r="S2228" s="19" t="s">
        <v>1530</v>
      </c>
      <c r="T2228" s="19" t="s">
        <v>6877</v>
      </c>
      <c r="U2228" s="19" t="str">
        <f aca="false">HYPERLINK("https://macaulaylibrary.org/asset/57495","Open")</f>
        <v>Open</v>
      </c>
      <c r="V2228" s="19" t="s">
        <v>6878</v>
      </c>
    </row>
    <row r="2229" customFormat="false" ht="15" hidden="false" customHeight="false" outlineLevel="0" collapsed="false">
      <c r="A2229" s="19" t="s">
        <v>6879</v>
      </c>
      <c r="B2229" s="19" t="s">
        <v>943</v>
      </c>
      <c r="C2229" s="19" t="s">
        <v>944</v>
      </c>
      <c r="D2229" s="19" t="s">
        <v>400</v>
      </c>
      <c r="E2229" s="19" t="s">
        <v>911</v>
      </c>
      <c r="F2229" s="19" t="s">
        <v>918</v>
      </c>
      <c r="G2229" s="19" t="n">
        <v>251</v>
      </c>
      <c r="H2229" s="19" t="s">
        <v>6880</v>
      </c>
      <c r="I2229" s="20" t="n">
        <v>391.317</v>
      </c>
      <c r="J2229" s="19" t="n">
        <f aca="false">IF(I2229="","",MIN(Overview!$B$8,MAX(1,CEILING(I2229/Overview!$B$7,1))))</f>
        <v>79</v>
      </c>
      <c r="K2229" s="19" t="n">
        <v>1</v>
      </c>
      <c r="L2229" s="19"/>
      <c r="M2229" s="20" t="n">
        <v>3</v>
      </c>
      <c r="N2229" s="19"/>
      <c r="O2229" s="19" t="s">
        <v>6881</v>
      </c>
      <c r="P2229" s="19" t="s">
        <v>1763</v>
      </c>
      <c r="Q2229" s="19" t="s">
        <v>980</v>
      </c>
      <c r="R2229" s="21" t="n">
        <v>34127</v>
      </c>
      <c r="S2229" s="19" t="s">
        <v>6882</v>
      </c>
      <c r="T2229" s="19" t="s">
        <v>6883</v>
      </c>
      <c r="U2229" s="19" t="str">
        <f aca="false">HYPERLINK("https://macaulaylibrary.org/asset/209700","Open")</f>
        <v>Open</v>
      </c>
      <c r="V2229" s="19" t="s">
        <v>6884</v>
      </c>
    </row>
    <row r="2230" customFormat="false" ht="15" hidden="false" customHeight="false" outlineLevel="0" collapsed="false">
      <c r="A2230" s="19" t="s">
        <v>6885</v>
      </c>
      <c r="B2230" s="19" t="s">
        <v>943</v>
      </c>
      <c r="C2230" s="19" t="s">
        <v>944</v>
      </c>
      <c r="D2230" s="19" t="s">
        <v>400</v>
      </c>
      <c r="E2230" s="19" t="s">
        <v>911</v>
      </c>
      <c r="F2230" s="19" t="s">
        <v>918</v>
      </c>
      <c r="G2230" s="19" t="n">
        <v>251</v>
      </c>
      <c r="H2230" s="19" t="s">
        <v>6880</v>
      </c>
      <c r="I2230" s="20" t="n">
        <v>616.898</v>
      </c>
      <c r="J2230" s="19" t="n">
        <f aca="false">IF(I2230="","",MIN(Overview!$B$8,MAX(1,CEILING(I2230/Overview!$B$7,1))))</f>
        <v>120</v>
      </c>
      <c r="K2230" s="19" t="n">
        <v>1</v>
      </c>
      <c r="L2230" s="19"/>
      <c r="M2230" s="20" t="n">
        <v>3</v>
      </c>
      <c r="N2230" s="19"/>
      <c r="O2230" s="19" t="s">
        <v>6881</v>
      </c>
      <c r="P2230" s="19" t="s">
        <v>1763</v>
      </c>
      <c r="Q2230" s="19" t="s">
        <v>980</v>
      </c>
      <c r="R2230" s="21" t="n">
        <v>34127</v>
      </c>
      <c r="S2230" s="19" t="s">
        <v>6886</v>
      </c>
      <c r="T2230" s="19" t="s">
        <v>6887</v>
      </c>
      <c r="U2230" s="19" t="str">
        <f aca="false">HYPERLINK("https://macaulaylibrary.org/asset/209701","Open")</f>
        <v>Open</v>
      </c>
      <c r="V2230" s="19" t="s">
        <v>6884</v>
      </c>
    </row>
    <row r="2231" customFormat="false" ht="15" hidden="false" customHeight="false" outlineLevel="0" collapsed="false">
      <c r="A2231" s="19" t="s">
        <v>6888</v>
      </c>
      <c r="B2231" s="19" t="s">
        <v>943</v>
      </c>
      <c r="C2231" s="19" t="s">
        <v>6889</v>
      </c>
      <c r="D2231" s="19" t="s">
        <v>6890</v>
      </c>
      <c r="E2231" s="19" t="s">
        <v>147</v>
      </c>
      <c r="F2231" s="19" t="s">
        <v>181</v>
      </c>
      <c r="G2231" s="19" t="n">
        <v>38</v>
      </c>
      <c r="H2231" s="19" t="s">
        <v>182</v>
      </c>
      <c r="I2231" s="20" t="n">
        <v>43.722</v>
      </c>
      <c r="J2231" s="19" t="n">
        <f aca="false">IF(I2231="","",MIN(Overview!$B$8,MAX(1,CEILING(I2231/Overview!$B$7,1))))</f>
        <v>9</v>
      </c>
      <c r="K2231" s="19" t="n">
        <v>0</v>
      </c>
      <c r="L2231" s="19" t="s">
        <v>6891</v>
      </c>
      <c r="M2231" s="20"/>
      <c r="N2231" s="19"/>
      <c r="O2231" s="19" t="s">
        <v>6892</v>
      </c>
      <c r="P2231" s="19" t="s">
        <v>5230</v>
      </c>
      <c r="Q2231" s="19" t="s">
        <v>3105</v>
      </c>
      <c r="R2231" s="21" t="n">
        <v>45502</v>
      </c>
      <c r="S2231" s="19" t="s">
        <v>2323</v>
      </c>
      <c r="T2231" s="19" t="s">
        <v>6893</v>
      </c>
      <c r="U2231" s="19" t="str">
        <f aca="false">HYPERLINK("https://macaulaylibrary.org/asset/622517927","Open")</f>
        <v>Open</v>
      </c>
      <c r="V2231" s="19"/>
    </row>
    <row r="2232" customFormat="false" ht="15" hidden="false" customHeight="false" outlineLevel="0" collapsed="false">
      <c r="A2232" s="19" t="s">
        <v>6894</v>
      </c>
      <c r="B2232" s="19" t="s">
        <v>943</v>
      </c>
      <c r="C2232" s="19" t="s">
        <v>6889</v>
      </c>
      <c r="D2232" s="19" t="s">
        <v>6890</v>
      </c>
      <c r="E2232" s="19" t="s">
        <v>147</v>
      </c>
      <c r="F2232" s="19" t="s">
        <v>184</v>
      </c>
      <c r="G2232" s="19" t="n">
        <v>39</v>
      </c>
      <c r="H2232" s="19" t="s">
        <v>185</v>
      </c>
      <c r="I2232" s="20" t="n">
        <v>18.872</v>
      </c>
      <c r="J2232" s="19" t="n">
        <f aca="false">IF(I2232="","",MIN(Overview!$B$8,MAX(1,CEILING(I2232/Overview!$B$7,1))))</f>
        <v>4</v>
      </c>
      <c r="K2232" s="19" t="n">
        <v>0</v>
      </c>
      <c r="L2232" s="19" t="s">
        <v>6895</v>
      </c>
      <c r="M2232" s="20"/>
      <c r="N2232" s="19"/>
      <c r="O2232" s="19"/>
      <c r="P2232" s="19" t="s">
        <v>2854</v>
      </c>
      <c r="Q2232" s="19" t="s">
        <v>2855</v>
      </c>
      <c r="R2232" s="21" t="n">
        <v>46258</v>
      </c>
      <c r="S2232" s="19" t="s">
        <v>2088</v>
      </c>
      <c r="T2232" s="19" t="s">
        <v>6896</v>
      </c>
      <c r="U2232" s="19" t="str">
        <f aca="false">HYPERLINK("https://macaulaylibrary.org/asset/663617771","Open")</f>
        <v>Open</v>
      </c>
      <c r="V2232" s="19"/>
    </row>
    <row r="2233" customFormat="false" ht="15" hidden="false" customHeight="false" outlineLevel="0" collapsed="false">
      <c r="A2233" s="19" t="s">
        <v>6897</v>
      </c>
      <c r="B2233" s="19" t="s">
        <v>943</v>
      </c>
      <c r="C2233" s="19" t="s">
        <v>6889</v>
      </c>
      <c r="D2233" s="19" t="s">
        <v>6890</v>
      </c>
      <c r="E2233" s="19" t="s">
        <v>147</v>
      </c>
      <c r="F2233" s="19" t="s">
        <v>159</v>
      </c>
      <c r="G2233" s="19" t="n">
        <v>58</v>
      </c>
      <c r="H2233" s="19" t="s">
        <v>160</v>
      </c>
      <c r="I2233" s="20" t="n">
        <v>52.544</v>
      </c>
      <c r="J2233" s="19" t="n">
        <f aca="false">IF(I2233="","",MIN(Overview!$B$8,MAX(1,CEILING(I2233/Overview!$B$7,1))))</f>
        <v>11</v>
      </c>
      <c r="K2233" s="19" t="n">
        <v>0</v>
      </c>
      <c r="L2233" s="19" t="s">
        <v>6898</v>
      </c>
      <c r="M2233" s="20" t="n">
        <v>4</v>
      </c>
      <c r="N2233" s="19"/>
      <c r="O2233" s="19"/>
      <c r="P2233" s="19" t="s">
        <v>1323</v>
      </c>
      <c r="Q2233" s="19" t="s">
        <v>1324</v>
      </c>
      <c r="R2233" s="21" t="n">
        <v>45367</v>
      </c>
      <c r="S2233" s="19" t="s">
        <v>1325</v>
      </c>
      <c r="T2233" s="19" t="s">
        <v>6899</v>
      </c>
      <c r="U2233" s="19" t="str">
        <f aca="false">HYPERLINK("https://macaulaylibrary.org/asset/616532869","Open")</f>
        <v>Open</v>
      </c>
      <c r="V2233" s="19"/>
    </row>
    <row r="2234" customFormat="false" ht="15" hidden="false" customHeight="false" outlineLevel="0" collapsed="false">
      <c r="A2234" s="19" t="s">
        <v>6900</v>
      </c>
      <c r="B2234" s="19" t="s">
        <v>943</v>
      </c>
      <c r="C2234" s="19" t="s">
        <v>6889</v>
      </c>
      <c r="D2234" s="19" t="s">
        <v>6890</v>
      </c>
      <c r="E2234" s="19" t="s">
        <v>147</v>
      </c>
      <c r="F2234" s="19" t="s">
        <v>159</v>
      </c>
      <c r="G2234" s="19" t="n">
        <v>58</v>
      </c>
      <c r="H2234" s="19" t="s">
        <v>160</v>
      </c>
      <c r="I2234" s="20" t="n">
        <v>65</v>
      </c>
      <c r="J2234" s="19" t="n">
        <f aca="false">IF(I2234="","",MIN(Overview!$B$8,MAX(1,CEILING(I2234/Overview!$B$7,1))))</f>
        <v>13</v>
      </c>
      <c r="K2234" s="19" t="n">
        <v>0</v>
      </c>
      <c r="L2234" s="19" t="s">
        <v>6901</v>
      </c>
      <c r="M2234" s="20" t="n">
        <v>3</v>
      </c>
      <c r="N2234" s="19"/>
      <c r="O2234" s="19"/>
      <c r="P2234" s="19" t="s">
        <v>1467</v>
      </c>
      <c r="Q2234" s="19" t="s">
        <v>1258</v>
      </c>
      <c r="R2234" s="21" t="n">
        <v>45230</v>
      </c>
      <c r="S2234" s="19" t="s">
        <v>1306</v>
      </c>
      <c r="T2234" s="19" t="s">
        <v>6902</v>
      </c>
      <c r="U2234" s="19" t="str">
        <f aca="false">HYPERLINK("https://macaulaylibrary.org/asset/621759512","Open")</f>
        <v>Open</v>
      </c>
      <c r="V2234" s="19" t="s">
        <v>2639</v>
      </c>
    </row>
    <row r="2235" customFormat="false" ht="15" hidden="false" customHeight="false" outlineLevel="0" collapsed="false">
      <c r="A2235" s="19" t="s">
        <v>6903</v>
      </c>
      <c r="B2235" s="19" t="s">
        <v>943</v>
      </c>
      <c r="C2235" s="19" t="s">
        <v>6889</v>
      </c>
      <c r="D2235" s="19" t="s">
        <v>6890</v>
      </c>
      <c r="E2235" s="19" t="s">
        <v>147</v>
      </c>
      <c r="F2235" s="19" t="s">
        <v>225</v>
      </c>
      <c r="G2235" s="19" t="n">
        <v>76</v>
      </c>
      <c r="H2235" s="19" t="s">
        <v>226</v>
      </c>
      <c r="I2235" s="20" t="n">
        <v>4.272</v>
      </c>
      <c r="J2235" s="19" t="n">
        <f aca="false">IF(I2235="","",MIN(Overview!$B$8,MAX(1,CEILING(I2235/Overview!$B$7,1))))</f>
        <v>1</v>
      </c>
      <c r="K2235" s="19" t="n">
        <v>0</v>
      </c>
      <c r="L2235" s="19" t="s">
        <v>6904</v>
      </c>
      <c r="M2235" s="20"/>
      <c r="N2235" s="19"/>
      <c r="O2235" s="19"/>
      <c r="P2235" s="19" t="s">
        <v>6905</v>
      </c>
      <c r="Q2235" s="19" t="s">
        <v>1483</v>
      </c>
      <c r="R2235" s="21" t="n">
        <v>45292</v>
      </c>
      <c r="S2235" s="19" t="s">
        <v>1926</v>
      </c>
      <c r="T2235" s="19" t="s">
        <v>6906</v>
      </c>
      <c r="U2235" s="19" t="str">
        <f aca="false">HYPERLINK("https://macaulaylibrary.org/asset/639203596","Open")</f>
        <v>Open</v>
      </c>
      <c r="V2235" s="19"/>
    </row>
    <row r="2236" customFormat="false" ht="15" hidden="false" customHeight="false" outlineLevel="0" collapsed="false">
      <c r="A2236" s="19" t="s">
        <v>6907</v>
      </c>
      <c r="B2236" s="19" t="s">
        <v>943</v>
      </c>
      <c r="C2236" s="19" t="s">
        <v>6889</v>
      </c>
      <c r="D2236" s="19" t="s">
        <v>6890</v>
      </c>
      <c r="E2236" s="19" t="s">
        <v>147</v>
      </c>
      <c r="F2236" s="19" t="s">
        <v>265</v>
      </c>
      <c r="G2236" s="19" t="n">
        <v>81</v>
      </c>
      <c r="H2236" s="19" t="s">
        <v>266</v>
      </c>
      <c r="I2236" s="20" t="n">
        <v>16.317</v>
      </c>
      <c r="J2236" s="19" t="n">
        <f aca="false">IF(I2236="","",MIN(Overview!$B$8,MAX(1,CEILING(I2236/Overview!$B$7,1))))</f>
        <v>4</v>
      </c>
      <c r="K2236" s="19" t="n">
        <v>0</v>
      </c>
      <c r="L2236" s="19" t="s">
        <v>6908</v>
      </c>
      <c r="M2236" s="20"/>
      <c r="N2236" s="19"/>
      <c r="O2236" s="19"/>
      <c r="P2236" s="19" t="s">
        <v>6909</v>
      </c>
      <c r="Q2236" s="19" t="s">
        <v>1483</v>
      </c>
      <c r="R2236" s="21" t="n">
        <v>45293</v>
      </c>
      <c r="S2236" s="19" t="s">
        <v>6910</v>
      </c>
      <c r="T2236" s="19" t="s">
        <v>6911</v>
      </c>
      <c r="U2236" s="19" t="str">
        <f aca="false">HYPERLINK("https://macaulaylibrary.org/asset/639218090","Open")</f>
        <v>Open</v>
      </c>
      <c r="V2236" s="19"/>
    </row>
    <row r="2237" customFormat="false" ht="15" hidden="false" customHeight="false" outlineLevel="0" collapsed="false">
      <c r="A2237" s="19" t="s">
        <v>6912</v>
      </c>
      <c r="B2237" s="19" t="s">
        <v>943</v>
      </c>
      <c r="C2237" s="19" t="s">
        <v>6889</v>
      </c>
      <c r="D2237" s="19" t="s">
        <v>6890</v>
      </c>
      <c r="E2237" s="19" t="s">
        <v>147</v>
      </c>
      <c r="F2237" s="19" t="s">
        <v>265</v>
      </c>
      <c r="G2237" s="19" t="n">
        <v>81</v>
      </c>
      <c r="H2237" s="19" t="s">
        <v>266</v>
      </c>
      <c r="I2237" s="20" t="n">
        <v>2.53</v>
      </c>
      <c r="J2237" s="19" t="n">
        <f aca="false">IF(I2237="","",MIN(Overview!$B$8,MAX(1,CEILING(I2237/Overview!$B$7,1))))</f>
        <v>1</v>
      </c>
      <c r="K2237" s="19" t="n">
        <v>0</v>
      </c>
      <c r="L2237" s="19" t="s">
        <v>6904</v>
      </c>
      <c r="M2237" s="20"/>
      <c r="N2237" s="19"/>
      <c r="O2237" s="19"/>
      <c r="P2237" s="19" t="s">
        <v>6909</v>
      </c>
      <c r="Q2237" s="19" t="s">
        <v>1483</v>
      </c>
      <c r="R2237" s="21" t="n">
        <v>45293</v>
      </c>
      <c r="S2237" s="19" t="s">
        <v>6910</v>
      </c>
      <c r="T2237" s="19" t="s">
        <v>6913</v>
      </c>
      <c r="U2237" s="19" t="str">
        <f aca="false">HYPERLINK("https://macaulaylibrary.org/asset/639218091","Open")</f>
        <v>Open</v>
      </c>
      <c r="V2237" s="19"/>
    </row>
    <row r="2238" customFormat="false" ht="15" hidden="false" customHeight="false" outlineLevel="0" collapsed="false">
      <c r="A2238" s="19" t="s">
        <v>6914</v>
      </c>
      <c r="B2238" s="19" t="s">
        <v>943</v>
      </c>
      <c r="C2238" s="19" t="s">
        <v>6889</v>
      </c>
      <c r="D2238" s="19" t="s">
        <v>6890</v>
      </c>
      <c r="E2238" s="19" t="s">
        <v>147</v>
      </c>
      <c r="F2238" s="19" t="s">
        <v>265</v>
      </c>
      <c r="G2238" s="19" t="n">
        <v>81</v>
      </c>
      <c r="H2238" s="19" t="s">
        <v>266</v>
      </c>
      <c r="I2238" s="20" t="n">
        <v>22.107</v>
      </c>
      <c r="J2238" s="19" t="n">
        <f aca="false">IF(I2238="","",MIN(Overview!$B$8,MAX(1,CEILING(I2238/Overview!$B$7,1))))</f>
        <v>5</v>
      </c>
      <c r="K2238" s="19" t="n">
        <v>0</v>
      </c>
      <c r="L2238" s="19" t="s">
        <v>6908</v>
      </c>
      <c r="M2238" s="20"/>
      <c r="N2238" s="19"/>
      <c r="O2238" s="19"/>
      <c r="P2238" s="19" t="s">
        <v>6909</v>
      </c>
      <c r="Q2238" s="19" t="s">
        <v>1483</v>
      </c>
      <c r="R2238" s="21" t="n">
        <v>45293</v>
      </c>
      <c r="S2238" s="19" t="s">
        <v>6910</v>
      </c>
      <c r="T2238" s="19" t="s">
        <v>6915</v>
      </c>
      <c r="U2238" s="19" t="str">
        <f aca="false">HYPERLINK("https://macaulaylibrary.org/asset/639218092","Open")</f>
        <v>Open</v>
      </c>
      <c r="V2238" s="19"/>
    </row>
    <row r="2239" customFormat="false" ht="15" hidden="false" customHeight="false" outlineLevel="0" collapsed="false">
      <c r="A2239" s="19" t="s">
        <v>6916</v>
      </c>
      <c r="B2239" s="19" t="s">
        <v>943</v>
      </c>
      <c r="C2239" s="19" t="s">
        <v>6889</v>
      </c>
      <c r="D2239" s="19" t="s">
        <v>6890</v>
      </c>
      <c r="E2239" s="19" t="s">
        <v>147</v>
      </c>
      <c r="F2239" s="19" t="s">
        <v>265</v>
      </c>
      <c r="G2239" s="19" t="n">
        <v>81</v>
      </c>
      <c r="H2239" s="19" t="s">
        <v>266</v>
      </c>
      <c r="I2239" s="20" t="n">
        <v>5.498</v>
      </c>
      <c r="J2239" s="19" t="n">
        <f aca="false">IF(I2239="","",MIN(Overview!$B$8,MAX(1,CEILING(I2239/Overview!$B$7,1))))</f>
        <v>2</v>
      </c>
      <c r="K2239" s="19" t="n">
        <v>0</v>
      </c>
      <c r="L2239" s="19" t="s">
        <v>6908</v>
      </c>
      <c r="M2239" s="20"/>
      <c r="N2239" s="19"/>
      <c r="O2239" s="19"/>
      <c r="P2239" s="19" t="s">
        <v>6909</v>
      </c>
      <c r="Q2239" s="19" t="s">
        <v>1483</v>
      </c>
      <c r="R2239" s="21" t="n">
        <v>45293</v>
      </c>
      <c r="S2239" s="19" t="s">
        <v>6910</v>
      </c>
      <c r="T2239" s="19" t="s">
        <v>6917</v>
      </c>
      <c r="U2239" s="19" t="str">
        <f aca="false">HYPERLINK("https://macaulaylibrary.org/asset/639218093","Open")</f>
        <v>Open</v>
      </c>
      <c r="V2239" s="19"/>
    </row>
    <row r="2240" customFormat="false" ht="15" hidden="false" customHeight="false" outlineLevel="0" collapsed="false">
      <c r="A2240" s="19" t="s">
        <v>6918</v>
      </c>
      <c r="B2240" s="19" t="s">
        <v>943</v>
      </c>
      <c r="C2240" s="19" t="s">
        <v>6889</v>
      </c>
      <c r="D2240" s="19" t="s">
        <v>6890</v>
      </c>
      <c r="E2240" s="19" t="s">
        <v>147</v>
      </c>
      <c r="F2240" s="19" t="s">
        <v>265</v>
      </c>
      <c r="G2240" s="19" t="n">
        <v>81</v>
      </c>
      <c r="H2240" s="19" t="s">
        <v>266</v>
      </c>
      <c r="I2240" s="20" t="n">
        <v>3.509</v>
      </c>
      <c r="J2240" s="19" t="n">
        <f aca="false">IF(I2240="","",MIN(Overview!$B$8,MAX(1,CEILING(I2240/Overview!$B$7,1))))</f>
        <v>1</v>
      </c>
      <c r="K2240" s="19" t="n">
        <v>0</v>
      </c>
      <c r="L2240" s="19" t="s">
        <v>6904</v>
      </c>
      <c r="M2240" s="20"/>
      <c r="N2240" s="19"/>
      <c r="O2240" s="19"/>
      <c r="P2240" s="19" t="s">
        <v>6909</v>
      </c>
      <c r="Q2240" s="19" t="s">
        <v>1483</v>
      </c>
      <c r="R2240" s="21" t="n">
        <v>45293</v>
      </c>
      <c r="S2240" s="19" t="s">
        <v>6910</v>
      </c>
      <c r="T2240" s="19" t="s">
        <v>6919</v>
      </c>
      <c r="U2240" s="19" t="str">
        <f aca="false">HYPERLINK("https://macaulaylibrary.org/asset/639218094","Open")</f>
        <v>Open</v>
      </c>
      <c r="V2240" s="19"/>
    </row>
    <row r="2241" customFormat="false" ht="15" hidden="false" customHeight="false" outlineLevel="0" collapsed="false">
      <c r="A2241" s="19" t="s">
        <v>6920</v>
      </c>
      <c r="B2241" s="19" t="s">
        <v>943</v>
      </c>
      <c r="C2241" s="19" t="s">
        <v>6889</v>
      </c>
      <c r="D2241" s="19" t="s">
        <v>6890</v>
      </c>
      <c r="E2241" s="19" t="s">
        <v>147</v>
      </c>
      <c r="F2241" s="19" t="s">
        <v>310</v>
      </c>
      <c r="G2241" s="19" t="n">
        <v>83</v>
      </c>
      <c r="H2241" s="19" t="s">
        <v>311</v>
      </c>
      <c r="I2241" s="20" t="n">
        <v>12.428</v>
      </c>
      <c r="J2241" s="19" t="n">
        <f aca="false">IF(I2241="","",MIN(Overview!$B$8,MAX(1,CEILING(I2241/Overview!$B$7,1))))</f>
        <v>3</v>
      </c>
      <c r="K2241" s="19" t="n">
        <v>0</v>
      </c>
      <c r="L2241" s="19" t="s">
        <v>6921</v>
      </c>
      <c r="M2241" s="20" t="n">
        <v>2</v>
      </c>
      <c r="N2241" s="19"/>
      <c r="O2241" s="19" t="s">
        <v>6922</v>
      </c>
      <c r="P2241" s="19" t="s">
        <v>1373</v>
      </c>
      <c r="Q2241" s="19" t="s">
        <v>990</v>
      </c>
      <c r="R2241" s="21" t="n">
        <v>46012</v>
      </c>
      <c r="S2241" s="19" t="s">
        <v>1009</v>
      </c>
      <c r="T2241" s="19" t="s">
        <v>6923</v>
      </c>
      <c r="U2241" s="19" t="str">
        <f aca="false">HYPERLINK("https://macaulaylibrary.org/asset/647328730","Open")</f>
        <v>Open</v>
      </c>
      <c r="V2241" s="19"/>
    </row>
    <row r="2242" customFormat="false" ht="15" hidden="false" customHeight="false" outlineLevel="0" collapsed="false">
      <c r="A2242" s="19" t="s">
        <v>6924</v>
      </c>
      <c r="B2242" s="19" t="s">
        <v>943</v>
      </c>
      <c r="C2242" s="19" t="s">
        <v>6889</v>
      </c>
      <c r="D2242" s="19" t="s">
        <v>6890</v>
      </c>
      <c r="E2242" s="19" t="s">
        <v>147</v>
      </c>
      <c r="F2242" s="19" t="s">
        <v>155</v>
      </c>
      <c r="G2242" s="19" t="n">
        <v>104</v>
      </c>
      <c r="H2242" s="19" t="s">
        <v>156</v>
      </c>
      <c r="I2242" s="20" t="n">
        <v>50.177</v>
      </c>
      <c r="J2242" s="19" t="n">
        <f aca="false">IF(I2242="","",MIN(Overview!$B$8,MAX(1,CEILING(I2242/Overview!$B$7,1))))</f>
        <v>11</v>
      </c>
      <c r="K2242" s="19" t="n">
        <v>0</v>
      </c>
      <c r="L2242" s="19" t="s">
        <v>6925</v>
      </c>
      <c r="M2242" s="20" t="n">
        <v>4</v>
      </c>
      <c r="N2242" s="19"/>
      <c r="O2242" s="19"/>
      <c r="P2242" s="19" t="s">
        <v>1297</v>
      </c>
      <c r="Q2242" s="19" t="s">
        <v>1298</v>
      </c>
      <c r="R2242" s="21" t="n">
        <v>44994</v>
      </c>
      <c r="S2242" s="19" t="s">
        <v>1299</v>
      </c>
      <c r="T2242" s="19" t="s">
        <v>6926</v>
      </c>
      <c r="U2242" s="19" t="str">
        <f aca="false">HYPERLINK("https://macaulaylibrary.org/asset/543765241","Open")</f>
        <v>Open</v>
      </c>
      <c r="V2242" s="19"/>
    </row>
    <row r="2243" customFormat="false" ht="15" hidden="false" customHeight="false" outlineLevel="0" collapsed="false">
      <c r="A2243" s="19" t="s">
        <v>6927</v>
      </c>
      <c r="B2243" s="19" t="s">
        <v>943</v>
      </c>
      <c r="C2243" s="19" t="s">
        <v>6889</v>
      </c>
      <c r="D2243" s="19" t="s">
        <v>6890</v>
      </c>
      <c r="E2243" s="19" t="s">
        <v>147</v>
      </c>
      <c r="F2243" s="19" t="s">
        <v>252</v>
      </c>
      <c r="G2243" s="19" t="n">
        <v>106</v>
      </c>
      <c r="H2243" s="19" t="s">
        <v>253</v>
      </c>
      <c r="I2243" s="20" t="n">
        <v>18.195</v>
      </c>
      <c r="J2243" s="19" t="n">
        <f aca="false">IF(I2243="","",MIN(Overview!$B$8,MAX(1,CEILING(I2243/Overview!$B$7,1))))</f>
        <v>4</v>
      </c>
      <c r="K2243" s="19" t="n">
        <v>0</v>
      </c>
      <c r="L2243" s="19" t="s">
        <v>6928</v>
      </c>
      <c r="M2243" s="20" t="n">
        <v>1</v>
      </c>
      <c r="N2243" s="19"/>
      <c r="O2243" s="19"/>
      <c r="P2243" s="19" t="s">
        <v>1984</v>
      </c>
      <c r="Q2243" s="19" t="s">
        <v>1985</v>
      </c>
      <c r="R2243" s="21" t="n">
        <v>44874</v>
      </c>
      <c r="S2243" s="19" t="s">
        <v>1986</v>
      </c>
      <c r="T2243" s="19" t="s">
        <v>6929</v>
      </c>
      <c r="U2243" s="19" t="str">
        <f aca="false">HYPERLINK("https://macaulaylibrary.org/asset/540345891","Open")</f>
        <v>Open</v>
      </c>
      <c r="V2243" s="19"/>
    </row>
    <row r="2244" customFormat="false" ht="15" hidden="false" customHeight="false" outlineLevel="0" collapsed="false">
      <c r="A2244" s="19" t="s">
        <v>6930</v>
      </c>
      <c r="B2244" s="19" t="s">
        <v>943</v>
      </c>
      <c r="C2244" s="19" t="s">
        <v>6889</v>
      </c>
      <c r="D2244" s="19" t="s">
        <v>6890</v>
      </c>
      <c r="E2244" s="19" t="s">
        <v>147</v>
      </c>
      <c r="F2244" s="19" t="s">
        <v>661</v>
      </c>
      <c r="G2244" s="19" t="n">
        <v>134</v>
      </c>
      <c r="H2244" s="19" t="s">
        <v>662</v>
      </c>
      <c r="I2244" s="20" t="n">
        <v>9.536</v>
      </c>
      <c r="J2244" s="19" t="n">
        <f aca="false">IF(I2244="","",MIN(Overview!$B$8,MAX(1,CEILING(I2244/Overview!$B$7,1))))</f>
        <v>2</v>
      </c>
      <c r="K2244" s="19" t="n">
        <v>0</v>
      </c>
      <c r="L2244" s="19" t="s">
        <v>6908</v>
      </c>
      <c r="M2244" s="20" t="n">
        <v>3</v>
      </c>
      <c r="N2244" s="19"/>
      <c r="O2244" s="19"/>
      <c r="P2244" s="19" t="s">
        <v>2346</v>
      </c>
      <c r="Q2244" s="19" t="s">
        <v>965</v>
      </c>
      <c r="R2244" s="21" t="n">
        <v>44183</v>
      </c>
      <c r="S2244" s="19" t="s">
        <v>2347</v>
      </c>
      <c r="T2244" s="19" t="s">
        <v>6931</v>
      </c>
      <c r="U2244" s="19" t="str">
        <f aca="false">HYPERLINK("https://macaulaylibrary.org/asset/289816801","Open")</f>
        <v>Open</v>
      </c>
      <c r="V2244" s="19"/>
    </row>
    <row r="2245" customFormat="false" ht="15" hidden="false" customHeight="false" outlineLevel="0" collapsed="false">
      <c r="A2245" s="19" t="s">
        <v>6932</v>
      </c>
      <c r="B2245" s="19" t="s">
        <v>943</v>
      </c>
      <c r="C2245" s="19" t="s">
        <v>6889</v>
      </c>
      <c r="D2245" s="19" t="s">
        <v>6890</v>
      </c>
      <c r="E2245" s="19" t="s">
        <v>147</v>
      </c>
      <c r="F2245" s="19" t="s">
        <v>169</v>
      </c>
      <c r="G2245" s="19" t="n">
        <v>141</v>
      </c>
      <c r="H2245" s="19" t="s">
        <v>170</v>
      </c>
      <c r="I2245" s="20" t="n">
        <v>30.44</v>
      </c>
      <c r="J2245" s="19" t="n">
        <f aca="false">IF(I2245="","",MIN(Overview!$B$8,MAX(1,CEILING(I2245/Overview!$B$7,1))))</f>
        <v>7</v>
      </c>
      <c r="K2245" s="19" t="n">
        <v>0</v>
      </c>
      <c r="L2245" s="19" t="s">
        <v>6933</v>
      </c>
      <c r="M2245" s="20" t="n">
        <v>2</v>
      </c>
      <c r="N2245" s="19"/>
      <c r="O2245" s="19" t="s">
        <v>237</v>
      </c>
      <c r="P2245" s="19" t="s">
        <v>1309</v>
      </c>
      <c r="Q2245" s="19" t="s">
        <v>1310</v>
      </c>
      <c r="R2245" s="21" t="n">
        <v>44937</v>
      </c>
      <c r="S2245" s="19" t="s">
        <v>1311</v>
      </c>
      <c r="T2245" s="19" t="s">
        <v>6934</v>
      </c>
      <c r="U2245" s="19" t="str">
        <f aca="false">HYPERLINK("https://macaulaylibrary.org/asset/612714077","Open")</f>
        <v>Open</v>
      </c>
      <c r="V2245" s="19"/>
    </row>
    <row r="2246" customFormat="false" ht="15" hidden="false" customHeight="false" outlineLevel="0" collapsed="false">
      <c r="A2246" s="19" t="s">
        <v>6935</v>
      </c>
      <c r="B2246" s="19" t="s">
        <v>943</v>
      </c>
      <c r="C2246" s="19" t="s">
        <v>6889</v>
      </c>
      <c r="D2246" s="19" t="s">
        <v>6890</v>
      </c>
      <c r="E2246" s="19" t="s">
        <v>147</v>
      </c>
      <c r="F2246" s="19" t="s">
        <v>169</v>
      </c>
      <c r="G2246" s="19" t="n">
        <v>141</v>
      </c>
      <c r="H2246" s="19" t="s">
        <v>170</v>
      </c>
      <c r="I2246" s="20" t="n">
        <v>47.662</v>
      </c>
      <c r="J2246" s="19" t="n">
        <f aca="false">IF(I2246="","",MIN(Overview!$B$8,MAX(1,CEILING(I2246/Overview!$B$7,1))))</f>
        <v>10</v>
      </c>
      <c r="K2246" s="19" t="n">
        <v>0</v>
      </c>
      <c r="L2246" s="19" t="s">
        <v>6936</v>
      </c>
      <c r="M2246" s="20" t="n">
        <v>2.5</v>
      </c>
      <c r="N2246" s="19"/>
      <c r="O2246" s="19"/>
      <c r="P2246" s="19" t="s">
        <v>2119</v>
      </c>
      <c r="Q2246" s="19" t="s">
        <v>1368</v>
      </c>
      <c r="R2246" s="21" t="n">
        <v>45489</v>
      </c>
      <c r="S2246" s="19" t="s">
        <v>1211</v>
      </c>
      <c r="T2246" s="19" t="s">
        <v>6937</v>
      </c>
      <c r="U2246" s="19" t="str">
        <f aca="false">HYPERLINK("https://macaulaylibrary.org/asset/628729171","Open")</f>
        <v>Open</v>
      </c>
      <c r="V2246" s="19"/>
    </row>
    <row r="2247" customFormat="false" ht="15" hidden="false" customHeight="false" outlineLevel="0" collapsed="false">
      <c r="A2247" s="19" t="s">
        <v>6938</v>
      </c>
      <c r="B2247" s="19" t="s">
        <v>943</v>
      </c>
      <c r="C2247" s="19" t="s">
        <v>6889</v>
      </c>
      <c r="D2247" s="19" t="s">
        <v>6890</v>
      </c>
      <c r="E2247" s="19" t="s">
        <v>147</v>
      </c>
      <c r="F2247" s="19" t="s">
        <v>295</v>
      </c>
      <c r="G2247" s="19" t="n">
        <v>157</v>
      </c>
      <c r="H2247" s="19" t="s">
        <v>296</v>
      </c>
      <c r="I2247" s="20" t="n">
        <v>65.971</v>
      </c>
      <c r="J2247" s="19" t="n">
        <f aca="false">IF(I2247="","",MIN(Overview!$B$8,MAX(1,CEILING(I2247/Overview!$B$7,1))))</f>
        <v>14</v>
      </c>
      <c r="K2247" s="19" t="n">
        <v>0</v>
      </c>
      <c r="L2247" s="19" t="s">
        <v>6908</v>
      </c>
      <c r="M2247" s="20" t="n">
        <v>1</v>
      </c>
      <c r="N2247" s="19"/>
      <c r="O2247" s="19"/>
      <c r="P2247" s="19" t="s">
        <v>6909</v>
      </c>
      <c r="Q2247" s="19" t="s">
        <v>1483</v>
      </c>
      <c r="R2247" s="21" t="n">
        <v>45293</v>
      </c>
      <c r="S2247" s="19" t="s">
        <v>6910</v>
      </c>
      <c r="T2247" s="19" t="s">
        <v>6939</v>
      </c>
      <c r="U2247" s="19" t="str">
        <f aca="false">HYPERLINK("https://macaulaylibrary.org/asset/639218084","Open")</f>
        <v>Open</v>
      </c>
      <c r="V2247" s="19"/>
    </row>
    <row r="2248" customFormat="false" ht="15" hidden="false" customHeight="false" outlineLevel="0" collapsed="false">
      <c r="A2248" s="19" t="s">
        <v>6940</v>
      </c>
      <c r="B2248" s="19" t="s">
        <v>943</v>
      </c>
      <c r="C2248" s="19" t="s">
        <v>6889</v>
      </c>
      <c r="D2248" s="19" t="s">
        <v>6890</v>
      </c>
      <c r="E2248" s="19" t="s">
        <v>147</v>
      </c>
      <c r="F2248" s="19" t="s">
        <v>191</v>
      </c>
      <c r="G2248" s="19" t="n">
        <v>160</v>
      </c>
      <c r="H2248" s="19" t="s">
        <v>192</v>
      </c>
      <c r="I2248" s="20" t="n">
        <v>45.632</v>
      </c>
      <c r="J2248" s="19" t="n">
        <f aca="false">IF(I2248="","",MIN(Overview!$B$8,MAX(1,CEILING(I2248/Overview!$B$7,1))))</f>
        <v>10</v>
      </c>
      <c r="K2248" s="19" t="n">
        <v>0</v>
      </c>
      <c r="L2248" s="19" t="s">
        <v>6941</v>
      </c>
      <c r="M2248" s="20" t="n">
        <v>4</v>
      </c>
      <c r="N2248" s="19"/>
      <c r="O2248" s="19"/>
      <c r="P2248" s="19" t="s">
        <v>2684</v>
      </c>
      <c r="Q2248" s="19" t="s">
        <v>1148</v>
      </c>
      <c r="R2248" s="21" t="n">
        <v>44842</v>
      </c>
      <c r="S2248" s="19" t="s">
        <v>2685</v>
      </c>
      <c r="T2248" s="19" t="s">
        <v>6942</v>
      </c>
      <c r="U2248" s="19" t="str">
        <f aca="false">HYPERLINK("https://macaulaylibrary.org/asset/492880521","Open")</f>
        <v>Open</v>
      </c>
      <c r="V2248" s="19"/>
    </row>
    <row r="2249" customFormat="false" ht="15" hidden="false" customHeight="false" outlineLevel="0" collapsed="false">
      <c r="A2249" s="19" t="s">
        <v>6943</v>
      </c>
      <c r="B2249" s="19" t="s">
        <v>943</v>
      </c>
      <c r="C2249" s="19" t="s">
        <v>6889</v>
      </c>
      <c r="D2249" s="19" t="s">
        <v>6890</v>
      </c>
      <c r="E2249" s="19" t="s">
        <v>147</v>
      </c>
      <c r="F2249" s="19" t="s">
        <v>905</v>
      </c>
      <c r="G2249" s="19"/>
      <c r="H2249" s="19" t="s">
        <v>906</v>
      </c>
      <c r="I2249" s="20" t="n">
        <v>73.216</v>
      </c>
      <c r="J2249" s="19" t="n">
        <f aca="false">IF(I2249="","",MIN(Overview!$B$8,MAX(1,CEILING(I2249/Overview!$B$7,1))))</f>
        <v>15</v>
      </c>
      <c r="K2249" s="19" t="n">
        <v>0</v>
      </c>
      <c r="L2249" s="19" t="s">
        <v>6908</v>
      </c>
      <c r="M2249" s="20" t="n">
        <v>2</v>
      </c>
      <c r="N2249" s="19"/>
      <c r="O2249" s="19"/>
      <c r="P2249" s="19" t="s">
        <v>2338</v>
      </c>
      <c r="Q2249" s="19" t="s">
        <v>965</v>
      </c>
      <c r="R2249" s="21" t="n">
        <v>43449</v>
      </c>
      <c r="S2249" s="19" t="s">
        <v>1137</v>
      </c>
      <c r="T2249" s="19" t="s">
        <v>6944</v>
      </c>
      <c r="U2249" s="19" t="str">
        <f aca="false">HYPERLINK("https://macaulaylibrary.org/asset/129888541","Open")</f>
        <v>Open</v>
      </c>
      <c r="V2249" s="19"/>
    </row>
    <row r="2250" customFormat="false" ht="15" hidden="false" customHeight="false" outlineLevel="0" collapsed="false">
      <c r="A2250" s="19" t="s">
        <v>6945</v>
      </c>
      <c r="B2250" s="19" t="s">
        <v>943</v>
      </c>
      <c r="C2250" s="19" t="s">
        <v>6889</v>
      </c>
      <c r="D2250" s="19" t="s">
        <v>6890</v>
      </c>
      <c r="E2250" s="19" t="s">
        <v>147</v>
      </c>
      <c r="F2250" s="19" t="s">
        <v>323</v>
      </c>
      <c r="G2250" s="19" t="n">
        <v>189</v>
      </c>
      <c r="H2250" s="19" t="s">
        <v>324</v>
      </c>
      <c r="I2250" s="20" t="n">
        <v>8.555</v>
      </c>
      <c r="J2250" s="19" t="n">
        <f aca="false">IF(I2250="","",MIN(Overview!$B$8,MAX(1,CEILING(I2250/Overview!$B$7,1))))</f>
        <v>2</v>
      </c>
      <c r="K2250" s="19" t="n">
        <v>0</v>
      </c>
      <c r="L2250" s="19" t="s">
        <v>6946</v>
      </c>
      <c r="M2250" s="20" t="n">
        <v>2</v>
      </c>
      <c r="N2250" s="19"/>
      <c r="O2250" s="19"/>
      <c r="P2250" s="19" t="s">
        <v>6947</v>
      </c>
      <c r="Q2250" s="19" t="s">
        <v>1324</v>
      </c>
      <c r="R2250" s="21" t="n">
        <v>45366</v>
      </c>
      <c r="S2250" s="19" t="s">
        <v>3700</v>
      </c>
      <c r="T2250" s="19" t="s">
        <v>6948</v>
      </c>
      <c r="U2250" s="19" t="str">
        <f aca="false">HYPERLINK("https://macaulaylibrary.org/asset/616532779","Open")</f>
        <v>Open</v>
      </c>
      <c r="V2250" s="19"/>
    </row>
    <row r="2251" customFormat="false" ht="15" hidden="false" customHeight="false" outlineLevel="0" collapsed="false">
      <c r="A2251" s="19" t="s">
        <v>6949</v>
      </c>
      <c r="B2251" s="19" t="s">
        <v>943</v>
      </c>
      <c r="C2251" s="19" t="s">
        <v>6889</v>
      </c>
      <c r="D2251" s="19" t="s">
        <v>6890</v>
      </c>
      <c r="E2251" s="19" t="s">
        <v>147</v>
      </c>
      <c r="F2251" s="19" t="s">
        <v>341</v>
      </c>
      <c r="G2251" s="19" t="n">
        <v>194</v>
      </c>
      <c r="H2251" s="19" t="s">
        <v>342</v>
      </c>
      <c r="I2251" s="20" t="n">
        <v>30</v>
      </c>
      <c r="J2251" s="19" t="n">
        <f aca="false">IF(I2251="","",MIN(Overview!$B$8,MAX(1,CEILING(I2251/Overview!$B$7,1))))</f>
        <v>6</v>
      </c>
      <c r="K2251" s="19" t="n">
        <v>0</v>
      </c>
      <c r="L2251" s="19" t="s">
        <v>6950</v>
      </c>
      <c r="M2251" s="20"/>
      <c r="N2251" s="19"/>
      <c r="O2251" s="19"/>
      <c r="P2251" s="19" t="s">
        <v>2829</v>
      </c>
      <c r="Q2251" s="19" t="s">
        <v>2830</v>
      </c>
      <c r="R2251" s="21" t="n">
        <v>45286</v>
      </c>
      <c r="S2251" s="19" t="s">
        <v>2831</v>
      </c>
      <c r="T2251" s="19" t="s">
        <v>6951</v>
      </c>
      <c r="U2251" s="19" t="str">
        <f aca="false">HYPERLINK("https://macaulaylibrary.org/asset/618271515","Open")</f>
        <v>Open</v>
      </c>
      <c r="V2251" s="19"/>
    </row>
    <row r="2252" customFormat="false" ht="15" hidden="false" customHeight="false" outlineLevel="0" collapsed="false">
      <c r="A2252" s="19" t="s">
        <v>6952</v>
      </c>
      <c r="B2252" s="19" t="s">
        <v>943</v>
      </c>
      <c r="C2252" s="19" t="s">
        <v>6889</v>
      </c>
      <c r="D2252" s="19" t="s">
        <v>6890</v>
      </c>
      <c r="E2252" s="19" t="s">
        <v>147</v>
      </c>
      <c r="F2252" s="19" t="s">
        <v>460</v>
      </c>
      <c r="G2252" s="19" t="n">
        <v>198</v>
      </c>
      <c r="H2252" s="19" t="s">
        <v>461</v>
      </c>
      <c r="I2252" s="20" t="n">
        <v>31.729</v>
      </c>
      <c r="J2252" s="19" t="n">
        <f aca="false">IF(I2252="","",MIN(Overview!$B$8,MAX(1,CEILING(I2252/Overview!$B$7,1))))</f>
        <v>7</v>
      </c>
      <c r="K2252" s="19" t="n">
        <v>0</v>
      </c>
      <c r="L2252" s="19" t="s">
        <v>6953</v>
      </c>
      <c r="M2252" s="20" t="n">
        <v>4</v>
      </c>
      <c r="N2252" s="19"/>
      <c r="O2252" s="19"/>
      <c r="P2252" s="19" t="s">
        <v>1356</v>
      </c>
      <c r="Q2252" s="19" t="s">
        <v>1021</v>
      </c>
      <c r="R2252" s="21" t="n">
        <v>36603</v>
      </c>
      <c r="S2252" s="19" t="s">
        <v>1357</v>
      </c>
      <c r="T2252" s="19" t="s">
        <v>6954</v>
      </c>
      <c r="U2252" s="19" t="str">
        <f aca="false">HYPERLINK("https://macaulaylibrary.org/asset/180020851","Open")</f>
        <v>Open</v>
      </c>
      <c r="V2252" s="19"/>
    </row>
    <row r="2253" customFormat="false" ht="15" hidden="false" customHeight="false" outlineLevel="0" collapsed="false">
      <c r="A2253" s="19" t="s">
        <v>6955</v>
      </c>
      <c r="B2253" s="19" t="s">
        <v>943</v>
      </c>
      <c r="C2253" s="19" t="s">
        <v>6889</v>
      </c>
      <c r="D2253" s="19" t="s">
        <v>6890</v>
      </c>
      <c r="E2253" s="19" t="s">
        <v>147</v>
      </c>
      <c r="F2253" s="19" t="s">
        <v>194</v>
      </c>
      <c r="G2253" s="19" t="n">
        <v>219</v>
      </c>
      <c r="H2253" s="19" t="s">
        <v>195</v>
      </c>
      <c r="I2253" s="20" t="n">
        <v>25.206</v>
      </c>
      <c r="J2253" s="19" t="n">
        <f aca="false">IF(I2253="","",MIN(Overview!$B$8,MAX(1,CEILING(I2253/Overview!$B$7,1))))</f>
        <v>6</v>
      </c>
      <c r="K2253" s="19" t="n">
        <v>0</v>
      </c>
      <c r="L2253" s="19" t="s">
        <v>6956</v>
      </c>
      <c r="M2253" s="20" t="n">
        <v>2</v>
      </c>
      <c r="N2253" s="19"/>
      <c r="O2253" s="19" t="s">
        <v>169</v>
      </c>
      <c r="P2253" s="19" t="s">
        <v>1309</v>
      </c>
      <c r="Q2253" s="19" t="s">
        <v>1310</v>
      </c>
      <c r="R2253" s="21" t="n">
        <v>44937</v>
      </c>
      <c r="S2253" s="19" t="s">
        <v>1311</v>
      </c>
      <c r="T2253" s="19" t="s">
        <v>6957</v>
      </c>
      <c r="U2253" s="19" t="str">
        <f aca="false">HYPERLINK("https://macaulaylibrary.org/asset/612714218","Open")</f>
        <v>Open</v>
      </c>
      <c r="V2253" s="19"/>
    </row>
    <row r="2254" customFormat="false" ht="15" hidden="false" customHeight="false" outlineLevel="0" collapsed="false">
      <c r="A2254" s="19" t="s">
        <v>6958</v>
      </c>
      <c r="B2254" s="19" t="s">
        <v>943</v>
      </c>
      <c r="C2254" s="19" t="s">
        <v>6889</v>
      </c>
      <c r="D2254" s="19" t="s">
        <v>6890</v>
      </c>
      <c r="E2254" s="19" t="s">
        <v>147</v>
      </c>
      <c r="F2254" s="19" t="s">
        <v>882</v>
      </c>
      <c r="G2254" s="19" t="n">
        <v>224</v>
      </c>
      <c r="H2254" s="19" t="s">
        <v>883</v>
      </c>
      <c r="I2254" s="20" t="n">
        <v>23.862</v>
      </c>
      <c r="J2254" s="19" t="n">
        <f aca="false">IF(I2254="","",MIN(Overview!$B$8,MAX(1,CEILING(I2254/Overview!$B$7,1))))</f>
        <v>5</v>
      </c>
      <c r="K2254" s="19" t="n">
        <v>0</v>
      </c>
      <c r="L2254" s="19" t="s">
        <v>6908</v>
      </c>
      <c r="M2254" s="20"/>
      <c r="N2254" s="19"/>
      <c r="O2254" s="19"/>
      <c r="P2254" s="19" t="s">
        <v>6909</v>
      </c>
      <c r="Q2254" s="19" t="s">
        <v>1483</v>
      </c>
      <c r="R2254" s="21" t="n">
        <v>45293</v>
      </c>
      <c r="S2254" s="19" t="s">
        <v>6910</v>
      </c>
      <c r="T2254" s="19" t="s">
        <v>6959</v>
      </c>
      <c r="U2254" s="19" t="str">
        <f aca="false">HYPERLINK("https://macaulaylibrary.org/asset/639218081","Open")</f>
        <v>Open</v>
      </c>
      <c r="V2254" s="19"/>
    </row>
    <row r="2255" customFormat="false" ht="15" hidden="false" customHeight="false" outlineLevel="0" collapsed="false">
      <c r="A2255" s="19" t="s">
        <v>6960</v>
      </c>
      <c r="B2255" s="19" t="s">
        <v>943</v>
      </c>
      <c r="C2255" s="19" t="s">
        <v>6889</v>
      </c>
      <c r="D2255" s="19" t="s">
        <v>6890</v>
      </c>
      <c r="E2255" s="19" t="s">
        <v>147</v>
      </c>
      <c r="F2255" s="19" t="s">
        <v>394</v>
      </c>
      <c r="G2255" s="19" t="n">
        <v>235</v>
      </c>
      <c r="H2255" s="19" t="s">
        <v>395</v>
      </c>
      <c r="I2255" s="20" t="n">
        <v>10.645</v>
      </c>
      <c r="J2255" s="19" t="n">
        <f aca="false">IF(I2255="","",MIN(Overview!$B$8,MAX(1,CEILING(I2255/Overview!$B$7,1))))</f>
        <v>3</v>
      </c>
      <c r="K2255" s="19" t="n">
        <v>0</v>
      </c>
      <c r="L2255" s="19" t="s">
        <v>6961</v>
      </c>
      <c r="M2255" s="20" t="n">
        <v>2</v>
      </c>
      <c r="N2255" s="19"/>
      <c r="O2255" s="19"/>
      <c r="P2255" s="19" t="s">
        <v>3637</v>
      </c>
      <c r="Q2255" s="19" t="s">
        <v>1199</v>
      </c>
      <c r="R2255" s="21" t="n">
        <v>46026</v>
      </c>
      <c r="S2255" s="19" t="s">
        <v>2603</v>
      </c>
      <c r="T2255" s="19" t="s">
        <v>6962</v>
      </c>
      <c r="U2255" s="19" t="str">
        <f aca="false">HYPERLINK("https://macaulaylibrary.org/asset/648568095","Open")</f>
        <v>Open</v>
      </c>
      <c r="V2255" s="19"/>
    </row>
    <row r="2256" customFormat="false" ht="15" hidden="false" customHeight="false" outlineLevel="0" collapsed="false">
      <c r="A2256" s="19" t="s">
        <v>6963</v>
      </c>
      <c r="B2256" s="19" t="s">
        <v>943</v>
      </c>
      <c r="C2256" s="19" t="s">
        <v>6889</v>
      </c>
      <c r="D2256" s="19" t="s">
        <v>6964</v>
      </c>
      <c r="E2256" s="19" t="s">
        <v>6964</v>
      </c>
      <c r="F2256" s="19" t="s">
        <v>6965</v>
      </c>
      <c r="G2256" s="19"/>
      <c r="H2256" s="19" t="s">
        <v>6966</v>
      </c>
      <c r="I2256" s="20" t="n">
        <v>85.884</v>
      </c>
      <c r="J2256" s="19" t="n">
        <f aca="false">IF(I2256="","",MIN(Overview!$B$8,MAX(1,CEILING(I2256/Overview!$B$7,1))))</f>
        <v>18</v>
      </c>
      <c r="K2256" s="19" t="n">
        <v>1</v>
      </c>
      <c r="L2256" s="19"/>
      <c r="M2256" s="20" t="n">
        <v>2</v>
      </c>
      <c r="N2256" s="19"/>
      <c r="O2256" s="19"/>
      <c r="P2256" s="19" t="s">
        <v>1682</v>
      </c>
      <c r="Q2256" s="19" t="s">
        <v>980</v>
      </c>
      <c r="R2256" s="21" t="n">
        <v>35206</v>
      </c>
      <c r="S2256" s="19" t="s">
        <v>1683</v>
      </c>
      <c r="T2256" s="19" t="s">
        <v>6967</v>
      </c>
      <c r="U2256" s="19" t="str">
        <f aca="false">HYPERLINK("https://macaulaylibrary.org/asset/184764","Open")</f>
        <v>Open</v>
      </c>
      <c r="V2256" s="19" t="s">
        <v>6968</v>
      </c>
    </row>
    <row r="2257" customFormat="false" ht="15" hidden="false" customHeight="false" outlineLevel="0" collapsed="false">
      <c r="A2257" s="19" t="s">
        <v>6969</v>
      </c>
      <c r="B2257" s="19" t="s">
        <v>943</v>
      </c>
      <c r="C2257" s="19" t="s">
        <v>6889</v>
      </c>
      <c r="D2257" s="19" t="s">
        <v>6964</v>
      </c>
      <c r="E2257" s="19" t="s">
        <v>6964</v>
      </c>
      <c r="F2257" s="19" t="s">
        <v>6970</v>
      </c>
      <c r="G2257" s="19"/>
      <c r="H2257" s="19" t="s">
        <v>6971</v>
      </c>
      <c r="I2257" s="20" t="n">
        <v>49.169</v>
      </c>
      <c r="J2257" s="19" t="n">
        <f aca="false">IF(I2257="","",MIN(Overview!$B$8,MAX(1,CEILING(I2257/Overview!$B$7,1))))</f>
        <v>10</v>
      </c>
      <c r="K2257" s="19" t="n">
        <v>1</v>
      </c>
      <c r="L2257" s="19"/>
      <c r="M2257" s="20" t="n">
        <v>3</v>
      </c>
      <c r="N2257" s="19"/>
      <c r="O2257" s="19"/>
      <c r="P2257" s="19" t="s">
        <v>1097</v>
      </c>
      <c r="Q2257" s="19" t="s">
        <v>980</v>
      </c>
      <c r="R2257" s="21" t="n">
        <v>32553</v>
      </c>
      <c r="S2257" s="19" t="s">
        <v>6972</v>
      </c>
      <c r="T2257" s="19" t="s">
        <v>6973</v>
      </c>
      <c r="U2257" s="19" t="str">
        <f aca="false">HYPERLINK("https://macaulaylibrary.org/asset/215335","Open")</f>
        <v>Open</v>
      </c>
      <c r="V2257" s="19" t="s">
        <v>6974</v>
      </c>
    </row>
    <row r="2258" customFormat="false" ht="15" hidden="false" customHeight="false" outlineLevel="0" collapsed="false">
      <c r="A2258" s="19" t="s">
        <v>6975</v>
      </c>
      <c r="B2258" s="19" t="s">
        <v>943</v>
      </c>
      <c r="C2258" s="19" t="s">
        <v>6889</v>
      </c>
      <c r="D2258" s="19" t="s">
        <v>6964</v>
      </c>
      <c r="E2258" s="19" t="s">
        <v>6964</v>
      </c>
      <c r="F2258" s="19" t="s">
        <v>6976</v>
      </c>
      <c r="G2258" s="19"/>
      <c r="H2258" s="19" t="s">
        <v>6977</v>
      </c>
      <c r="I2258" s="20" t="n">
        <v>311.824</v>
      </c>
      <c r="J2258" s="19" t="n">
        <f aca="false">IF(I2258="","",MIN(Overview!$B$8,MAX(1,CEILING(I2258/Overview!$B$7,1))))</f>
        <v>63</v>
      </c>
      <c r="K2258" s="19" t="n">
        <v>1</v>
      </c>
      <c r="L2258" s="19"/>
      <c r="M2258" s="20" t="n">
        <v>3</v>
      </c>
      <c r="N2258" s="19"/>
      <c r="O2258" s="19"/>
      <c r="P2258" s="19" t="s">
        <v>1058</v>
      </c>
      <c r="Q2258" s="19" t="s">
        <v>980</v>
      </c>
      <c r="R2258" s="21" t="n">
        <v>32555</v>
      </c>
      <c r="S2258" s="19" t="s">
        <v>6978</v>
      </c>
      <c r="T2258" s="19" t="s">
        <v>6979</v>
      </c>
      <c r="U2258" s="19" t="str">
        <f aca="false">HYPERLINK("https://macaulaylibrary.org/asset/215358","Open")</f>
        <v>Open</v>
      </c>
      <c r="V2258" s="19" t="s">
        <v>6974</v>
      </c>
    </row>
    <row r="2259" customFormat="false" ht="15" hidden="false" customHeight="false" outlineLevel="0" collapsed="false">
      <c r="A2259" s="19" t="s">
        <v>6980</v>
      </c>
      <c r="B2259" s="19" t="s">
        <v>943</v>
      </c>
      <c r="C2259" s="19" t="s">
        <v>6889</v>
      </c>
      <c r="D2259" s="19" t="s">
        <v>6964</v>
      </c>
      <c r="E2259" s="19" t="s">
        <v>6964</v>
      </c>
      <c r="F2259" s="19" t="s">
        <v>6976</v>
      </c>
      <c r="G2259" s="19"/>
      <c r="H2259" s="19" t="s">
        <v>6977</v>
      </c>
      <c r="I2259" s="20" t="n">
        <v>218.78</v>
      </c>
      <c r="J2259" s="19" t="n">
        <f aca="false">IF(I2259="","",MIN(Overview!$B$8,MAX(1,CEILING(I2259/Overview!$B$7,1))))</f>
        <v>44</v>
      </c>
      <c r="K2259" s="19" t="n">
        <v>1</v>
      </c>
      <c r="L2259" s="19"/>
      <c r="M2259" s="20" t="n">
        <v>3</v>
      </c>
      <c r="N2259" s="19"/>
      <c r="O2259" s="19"/>
      <c r="P2259" s="19" t="s">
        <v>1125</v>
      </c>
      <c r="Q2259" s="19" t="s">
        <v>980</v>
      </c>
      <c r="R2259" s="21" t="n">
        <v>32557</v>
      </c>
      <c r="S2259" s="19" t="s">
        <v>1306</v>
      </c>
      <c r="T2259" s="19" t="s">
        <v>6981</v>
      </c>
      <c r="U2259" s="19" t="str">
        <f aca="false">HYPERLINK("https://macaulaylibrary.org/asset/215384","Open")</f>
        <v>Open</v>
      </c>
      <c r="V2259" s="19" t="s">
        <v>6974</v>
      </c>
    </row>
    <row r="2260" customFormat="false" ht="15" hidden="false" customHeight="false" outlineLevel="0" collapsed="false">
      <c r="A2260" s="19" t="s">
        <v>6982</v>
      </c>
      <c r="B2260" s="19" t="s">
        <v>943</v>
      </c>
      <c r="C2260" s="19" t="s">
        <v>6889</v>
      </c>
      <c r="D2260" s="19" t="s">
        <v>6964</v>
      </c>
      <c r="E2260" s="19" t="s">
        <v>6964</v>
      </c>
      <c r="F2260" s="19" t="s">
        <v>6983</v>
      </c>
      <c r="G2260" s="19"/>
      <c r="H2260" s="19" t="s">
        <v>6984</v>
      </c>
      <c r="I2260" s="20" t="n">
        <v>132.996</v>
      </c>
      <c r="J2260" s="19" t="n">
        <f aca="false">IF(I2260="","",MIN(Overview!$B$8,MAX(1,CEILING(I2260/Overview!$B$7,1))))</f>
        <v>27</v>
      </c>
      <c r="K2260" s="19" t="n">
        <v>1</v>
      </c>
      <c r="L2260" s="19"/>
      <c r="M2260" s="20" t="n">
        <v>2</v>
      </c>
      <c r="N2260" s="19"/>
      <c r="O2260" s="19"/>
      <c r="P2260" s="19" t="s">
        <v>1125</v>
      </c>
      <c r="Q2260" s="19" t="s">
        <v>980</v>
      </c>
      <c r="R2260" s="21" t="n">
        <v>32557</v>
      </c>
      <c r="S2260" s="19" t="s">
        <v>6985</v>
      </c>
      <c r="T2260" s="19" t="s">
        <v>6986</v>
      </c>
      <c r="U2260" s="19" t="str">
        <f aca="false">HYPERLINK("https://macaulaylibrary.org/asset/215401","Open")</f>
        <v>Open</v>
      </c>
      <c r="V2260" s="19" t="s">
        <v>6974</v>
      </c>
    </row>
    <row r="2261" customFormat="false" ht="15" hidden="false" customHeight="false" outlineLevel="0" collapsed="false">
      <c r="A2261" s="19" t="s">
        <v>6987</v>
      </c>
      <c r="B2261" s="19" t="s">
        <v>943</v>
      </c>
      <c r="C2261" s="19" t="s">
        <v>6889</v>
      </c>
      <c r="D2261" s="19" t="s">
        <v>6964</v>
      </c>
      <c r="E2261" s="19" t="s">
        <v>6964</v>
      </c>
      <c r="F2261" s="19" t="s">
        <v>6983</v>
      </c>
      <c r="G2261" s="19"/>
      <c r="H2261" s="19" t="s">
        <v>6984</v>
      </c>
      <c r="I2261" s="20" t="n">
        <v>28.465</v>
      </c>
      <c r="J2261" s="19" t="n">
        <f aca="false">IF(I2261="","",MIN(Overview!$B$8,MAX(1,CEILING(I2261/Overview!$B$7,1))))</f>
        <v>6</v>
      </c>
      <c r="K2261" s="19" t="n">
        <v>1</v>
      </c>
      <c r="L2261" s="19"/>
      <c r="M2261" s="20" t="n">
        <v>2</v>
      </c>
      <c r="N2261" s="19"/>
      <c r="O2261" s="19"/>
      <c r="P2261" s="19" t="s">
        <v>1730</v>
      </c>
      <c r="Q2261" s="19" t="s">
        <v>980</v>
      </c>
      <c r="R2261" s="21" t="n">
        <v>32558</v>
      </c>
      <c r="S2261" s="19" t="s">
        <v>1222</v>
      </c>
      <c r="T2261" s="19" t="s">
        <v>6988</v>
      </c>
      <c r="U2261" s="19" t="str">
        <f aca="false">HYPERLINK("https://macaulaylibrary.org/asset/215418","Open")</f>
        <v>Open</v>
      </c>
      <c r="V2261" s="19" t="s">
        <v>6974</v>
      </c>
    </row>
    <row r="2262" customFormat="false" ht="15" hidden="false" customHeight="false" outlineLevel="0" collapsed="false">
      <c r="A2262" s="19" t="s">
        <v>6989</v>
      </c>
      <c r="B2262" s="19" t="s">
        <v>943</v>
      </c>
      <c r="C2262" s="19" t="s">
        <v>6889</v>
      </c>
      <c r="D2262" s="19" t="s">
        <v>6964</v>
      </c>
      <c r="E2262" s="19" t="s">
        <v>6964</v>
      </c>
      <c r="F2262" s="19" t="s">
        <v>6983</v>
      </c>
      <c r="G2262" s="19"/>
      <c r="H2262" s="19" t="s">
        <v>6984</v>
      </c>
      <c r="I2262" s="20" t="n">
        <v>36.964</v>
      </c>
      <c r="J2262" s="19" t="n">
        <f aca="false">IF(I2262="","",MIN(Overview!$B$8,MAX(1,CEILING(I2262/Overview!$B$7,1))))</f>
        <v>8</v>
      </c>
      <c r="K2262" s="19" t="n">
        <v>1</v>
      </c>
      <c r="L2262" s="19"/>
      <c r="M2262" s="20" t="n">
        <v>1</v>
      </c>
      <c r="N2262" s="19"/>
      <c r="O2262" s="19"/>
      <c r="P2262" s="19" t="s">
        <v>3717</v>
      </c>
      <c r="Q2262" s="19" t="s">
        <v>2343</v>
      </c>
      <c r="R2262" s="21" t="n">
        <v>31505</v>
      </c>
      <c r="S2262" s="19" t="s">
        <v>1658</v>
      </c>
      <c r="T2262" s="19" t="s">
        <v>6990</v>
      </c>
      <c r="U2262" s="19" t="str">
        <f aca="false">HYPERLINK("https://macaulaylibrary.org/asset/249442","Open")</f>
        <v>Open</v>
      </c>
      <c r="V2262" s="19" t="s">
        <v>6974</v>
      </c>
    </row>
    <row r="2263" customFormat="false" ht="15" hidden="false" customHeight="false" outlineLevel="0" collapsed="false">
      <c r="A2263" s="19" t="s">
        <v>6991</v>
      </c>
      <c r="B2263" s="19" t="s">
        <v>943</v>
      </c>
      <c r="C2263" s="19" t="s">
        <v>6889</v>
      </c>
      <c r="D2263" s="19" t="s">
        <v>6964</v>
      </c>
      <c r="E2263" s="19" t="s">
        <v>6964</v>
      </c>
      <c r="F2263" s="19" t="s">
        <v>6983</v>
      </c>
      <c r="G2263" s="19"/>
      <c r="H2263" s="19" t="s">
        <v>6984</v>
      </c>
      <c r="I2263" s="20" t="n">
        <v>79.48</v>
      </c>
      <c r="J2263" s="19" t="n">
        <f aca="false">IF(I2263="","",MIN(Overview!$B$8,MAX(1,CEILING(I2263/Overview!$B$7,1))))</f>
        <v>16</v>
      </c>
      <c r="K2263" s="19" t="n">
        <v>1</v>
      </c>
      <c r="L2263" s="19"/>
      <c r="M2263" s="20" t="n">
        <v>1</v>
      </c>
      <c r="N2263" s="19"/>
      <c r="O2263" s="19" t="s">
        <v>6992</v>
      </c>
      <c r="P2263" s="19" t="s">
        <v>1090</v>
      </c>
      <c r="Q2263" s="19" t="s">
        <v>1091</v>
      </c>
      <c r="R2263" s="21" t="n">
        <v>45845</v>
      </c>
      <c r="S2263" s="19" t="s">
        <v>1092</v>
      </c>
      <c r="T2263" s="19" t="s">
        <v>6993</v>
      </c>
      <c r="U2263" s="19" t="str">
        <f aca="false">HYPERLINK("https://macaulaylibrary.org/asset/639175478","Open")</f>
        <v>Open</v>
      </c>
      <c r="V2263" s="19" t="s">
        <v>6974</v>
      </c>
    </row>
    <row r="2264" customFormat="false" ht="15" hidden="false" customHeight="false" outlineLevel="0" collapsed="false">
      <c r="A2264" s="19" t="s">
        <v>6994</v>
      </c>
      <c r="B2264" s="19" t="s">
        <v>943</v>
      </c>
      <c r="C2264" s="19" t="s">
        <v>6889</v>
      </c>
      <c r="D2264" s="19" t="s">
        <v>6964</v>
      </c>
      <c r="E2264" s="19" t="s">
        <v>6964</v>
      </c>
      <c r="F2264" s="19" t="s">
        <v>6983</v>
      </c>
      <c r="G2264" s="19"/>
      <c r="H2264" s="19" t="s">
        <v>6984</v>
      </c>
      <c r="I2264" s="20" t="n">
        <v>74.488</v>
      </c>
      <c r="J2264" s="19" t="n">
        <f aca="false">IF(I2264="","",MIN(Overview!$B$8,MAX(1,CEILING(I2264/Overview!$B$7,1))))</f>
        <v>15</v>
      </c>
      <c r="K2264" s="19" t="n">
        <v>1</v>
      </c>
      <c r="L2264" s="19"/>
      <c r="M2264" s="20"/>
      <c r="N2264" s="19"/>
      <c r="O2264" s="19"/>
      <c r="P2264" s="19" t="s">
        <v>2449</v>
      </c>
      <c r="Q2264" s="19" t="s">
        <v>1091</v>
      </c>
      <c r="R2264" s="21" t="n">
        <v>45844</v>
      </c>
      <c r="S2264" s="19" t="s">
        <v>2123</v>
      </c>
      <c r="T2264" s="19" t="s">
        <v>6995</v>
      </c>
      <c r="U2264" s="19" t="str">
        <f aca="false">HYPERLINK("https://macaulaylibrary.org/asset/643633353","Open")</f>
        <v>Open</v>
      </c>
      <c r="V2264" s="19" t="s">
        <v>6974</v>
      </c>
    </row>
    <row r="2265" customFormat="false" ht="15" hidden="false" customHeight="false" outlineLevel="0" collapsed="false">
      <c r="A2265" s="19" t="s">
        <v>6996</v>
      </c>
      <c r="B2265" s="19" t="s">
        <v>943</v>
      </c>
      <c r="C2265" s="19" t="s">
        <v>6889</v>
      </c>
      <c r="D2265" s="19" t="s">
        <v>6964</v>
      </c>
      <c r="E2265" s="19" t="s">
        <v>6964</v>
      </c>
      <c r="F2265" s="19" t="s">
        <v>6983</v>
      </c>
      <c r="G2265" s="19"/>
      <c r="H2265" s="19" t="s">
        <v>6984</v>
      </c>
      <c r="I2265" s="20" t="n">
        <v>35.084</v>
      </c>
      <c r="J2265" s="19" t="n">
        <f aca="false">IF(I2265="","",MIN(Overview!$B$8,MAX(1,CEILING(I2265/Overview!$B$7,1))))</f>
        <v>8</v>
      </c>
      <c r="K2265" s="19" t="n">
        <v>1</v>
      </c>
      <c r="L2265" s="19"/>
      <c r="M2265" s="20"/>
      <c r="N2265" s="19"/>
      <c r="O2265" s="19"/>
      <c r="P2265" s="19" t="s">
        <v>2449</v>
      </c>
      <c r="Q2265" s="19" t="s">
        <v>1091</v>
      </c>
      <c r="R2265" s="21" t="n">
        <v>45844</v>
      </c>
      <c r="S2265" s="19" t="s">
        <v>2123</v>
      </c>
      <c r="T2265" s="19" t="s">
        <v>6997</v>
      </c>
      <c r="U2265" s="19" t="str">
        <f aca="false">HYPERLINK("https://macaulaylibrary.org/asset/643641291","Open")</f>
        <v>Open</v>
      </c>
      <c r="V2265" s="19" t="s">
        <v>6974</v>
      </c>
    </row>
    <row r="2266" customFormat="false" ht="15" hidden="false" customHeight="false" outlineLevel="0" collapsed="false">
      <c r="A2266" s="19" t="s">
        <v>6998</v>
      </c>
      <c r="B2266" s="19" t="s">
        <v>943</v>
      </c>
      <c r="C2266" s="19" t="s">
        <v>6889</v>
      </c>
      <c r="D2266" s="19" t="s">
        <v>6964</v>
      </c>
      <c r="E2266" s="19" t="s">
        <v>6964</v>
      </c>
      <c r="F2266" s="19" t="s">
        <v>6983</v>
      </c>
      <c r="G2266" s="19"/>
      <c r="H2266" s="19" t="s">
        <v>6984</v>
      </c>
      <c r="I2266" s="20" t="n">
        <v>73.792</v>
      </c>
      <c r="J2266" s="19" t="n">
        <f aca="false">IF(I2266="","",MIN(Overview!$B$8,MAX(1,CEILING(I2266/Overview!$B$7,1))))</f>
        <v>15</v>
      </c>
      <c r="K2266" s="19" t="n">
        <v>1</v>
      </c>
      <c r="L2266" s="19"/>
      <c r="M2266" s="20"/>
      <c r="N2266" s="19"/>
      <c r="O2266" s="19"/>
      <c r="P2266" s="19" t="s">
        <v>2449</v>
      </c>
      <c r="Q2266" s="19" t="s">
        <v>1091</v>
      </c>
      <c r="R2266" s="21" t="n">
        <v>45844</v>
      </c>
      <c r="S2266" s="19" t="s">
        <v>2123</v>
      </c>
      <c r="T2266" s="19" t="s">
        <v>6999</v>
      </c>
      <c r="U2266" s="19" t="str">
        <f aca="false">HYPERLINK("https://macaulaylibrary.org/asset/643641385","Open")</f>
        <v>Open</v>
      </c>
      <c r="V2266" s="19" t="s">
        <v>6974</v>
      </c>
    </row>
    <row r="2267" customFormat="false" ht="15" hidden="false" customHeight="false" outlineLevel="0" collapsed="false">
      <c r="A2267" s="19" t="s">
        <v>7000</v>
      </c>
      <c r="B2267" s="19" t="s">
        <v>943</v>
      </c>
      <c r="C2267" s="19" t="s">
        <v>6889</v>
      </c>
      <c r="D2267" s="19" t="s">
        <v>6964</v>
      </c>
      <c r="E2267" s="19" t="s">
        <v>6964</v>
      </c>
      <c r="F2267" s="19" t="s">
        <v>6983</v>
      </c>
      <c r="G2267" s="19"/>
      <c r="H2267" s="19" t="s">
        <v>6984</v>
      </c>
      <c r="I2267" s="20" t="n">
        <v>64.689</v>
      </c>
      <c r="J2267" s="19" t="n">
        <f aca="false">IF(I2267="","",MIN(Overview!$B$8,MAX(1,CEILING(I2267/Overview!$B$7,1))))</f>
        <v>13</v>
      </c>
      <c r="K2267" s="19" t="n">
        <v>1</v>
      </c>
      <c r="L2267" s="19"/>
      <c r="M2267" s="20"/>
      <c r="N2267" s="19"/>
      <c r="O2267" s="19"/>
      <c r="P2267" s="19" t="s">
        <v>1946</v>
      </c>
      <c r="Q2267" s="19" t="s">
        <v>1091</v>
      </c>
      <c r="R2267" s="21" t="n">
        <v>45844</v>
      </c>
      <c r="S2267" s="19" t="s">
        <v>1013</v>
      </c>
      <c r="T2267" s="19" t="s">
        <v>7001</v>
      </c>
      <c r="U2267" s="19" t="str">
        <f aca="false">HYPERLINK("https://macaulaylibrary.org/asset/643644122","Open")</f>
        <v>Open</v>
      </c>
      <c r="V2267" s="19" t="s">
        <v>6974</v>
      </c>
    </row>
    <row r="2268" customFormat="false" ht="15" hidden="false" customHeight="false" outlineLevel="0" collapsed="false">
      <c r="A2268" s="19" t="s">
        <v>7002</v>
      </c>
      <c r="B2268" s="19" t="s">
        <v>943</v>
      </c>
      <c r="C2268" s="19" t="s">
        <v>6889</v>
      </c>
      <c r="D2268" s="19" t="s">
        <v>6964</v>
      </c>
      <c r="E2268" s="19" t="s">
        <v>6964</v>
      </c>
      <c r="F2268" s="19" t="s">
        <v>6983</v>
      </c>
      <c r="G2268" s="19"/>
      <c r="H2268" s="19" t="s">
        <v>6984</v>
      </c>
      <c r="I2268" s="20" t="n">
        <v>38.381</v>
      </c>
      <c r="J2268" s="19" t="n">
        <f aca="false">IF(I2268="","",MIN(Overview!$B$8,MAX(1,CEILING(I2268/Overview!$B$7,1))))</f>
        <v>8</v>
      </c>
      <c r="K2268" s="19" t="n">
        <v>1</v>
      </c>
      <c r="L2268" s="19"/>
      <c r="M2268" s="20"/>
      <c r="N2268" s="19"/>
      <c r="O2268" s="19"/>
      <c r="P2268" s="19" t="s">
        <v>2443</v>
      </c>
      <c r="Q2268" s="19" t="s">
        <v>1091</v>
      </c>
      <c r="R2268" s="21" t="n">
        <v>45843</v>
      </c>
      <c r="S2268" s="19" t="s">
        <v>2444</v>
      </c>
      <c r="T2268" s="19" t="s">
        <v>7003</v>
      </c>
      <c r="U2268" s="19" t="str">
        <f aca="false">HYPERLINK("https://macaulaylibrary.org/asset/643644678","Open")</f>
        <v>Open</v>
      </c>
      <c r="V2268" s="19" t="s">
        <v>6974</v>
      </c>
    </row>
    <row r="2269" customFormat="false" ht="15" hidden="false" customHeight="false" outlineLevel="0" collapsed="false">
      <c r="A2269" s="19" t="s">
        <v>7004</v>
      </c>
      <c r="B2269" s="19" t="s">
        <v>943</v>
      </c>
      <c r="C2269" s="19" t="s">
        <v>6889</v>
      </c>
      <c r="D2269" s="19" t="s">
        <v>6964</v>
      </c>
      <c r="E2269" s="19" t="s">
        <v>6964</v>
      </c>
      <c r="F2269" s="19" t="s">
        <v>6983</v>
      </c>
      <c r="G2269" s="19"/>
      <c r="H2269" s="19" t="s">
        <v>6984</v>
      </c>
      <c r="I2269" s="20" t="n">
        <v>21.175</v>
      </c>
      <c r="J2269" s="19" t="n">
        <f aca="false">IF(I2269="","",MIN(Overview!$B$8,MAX(1,CEILING(I2269/Overview!$B$7,1))))</f>
        <v>5</v>
      </c>
      <c r="K2269" s="19" t="n">
        <v>1</v>
      </c>
      <c r="L2269" s="19"/>
      <c r="M2269" s="20"/>
      <c r="N2269" s="19"/>
      <c r="O2269" s="19"/>
      <c r="P2269" s="19" t="s">
        <v>1674</v>
      </c>
      <c r="Q2269" s="19" t="s">
        <v>1091</v>
      </c>
      <c r="R2269" s="21" t="n">
        <v>45843</v>
      </c>
      <c r="S2269" s="19" t="s">
        <v>1009</v>
      </c>
      <c r="T2269" s="19" t="s">
        <v>7005</v>
      </c>
      <c r="U2269" s="19" t="str">
        <f aca="false">HYPERLINK("https://macaulaylibrary.org/asset/643658630","Open")</f>
        <v>Open</v>
      </c>
      <c r="V2269" s="19" t="s">
        <v>6974</v>
      </c>
    </row>
    <row r="2270" customFormat="false" ht="15" hidden="false" customHeight="false" outlineLevel="0" collapsed="false">
      <c r="A2270" s="19" t="s">
        <v>7006</v>
      </c>
      <c r="B2270" s="19" t="s">
        <v>943</v>
      </c>
      <c r="C2270" s="19" t="s">
        <v>6889</v>
      </c>
      <c r="D2270" s="19" t="s">
        <v>6964</v>
      </c>
      <c r="E2270" s="19" t="s">
        <v>6964</v>
      </c>
      <c r="F2270" s="19" t="s">
        <v>6983</v>
      </c>
      <c r="G2270" s="19"/>
      <c r="H2270" s="19" t="s">
        <v>6984</v>
      </c>
      <c r="I2270" s="20" t="n">
        <v>116.191</v>
      </c>
      <c r="J2270" s="19" t="n">
        <f aca="false">IF(I2270="","",MIN(Overview!$B$8,MAX(1,CEILING(I2270/Overview!$B$7,1))))</f>
        <v>24</v>
      </c>
      <c r="K2270" s="19" t="n">
        <v>1</v>
      </c>
      <c r="L2270" s="19"/>
      <c r="M2270" s="20"/>
      <c r="N2270" s="19"/>
      <c r="O2270" s="19"/>
      <c r="P2270" s="19" t="s">
        <v>1674</v>
      </c>
      <c r="Q2270" s="19" t="s">
        <v>1091</v>
      </c>
      <c r="R2270" s="21" t="n">
        <v>45843</v>
      </c>
      <c r="S2270" s="19" t="s">
        <v>1009</v>
      </c>
      <c r="T2270" s="19" t="s">
        <v>7007</v>
      </c>
      <c r="U2270" s="19" t="str">
        <f aca="false">HYPERLINK("https://macaulaylibrary.org/asset/643659840","Open")</f>
        <v>Open</v>
      </c>
      <c r="V2270" s="19" t="s">
        <v>6974</v>
      </c>
    </row>
    <row r="2271" customFormat="false" ht="15" hidden="false" customHeight="false" outlineLevel="0" collapsed="false">
      <c r="A2271" s="19" t="s">
        <v>7008</v>
      </c>
      <c r="B2271" s="19" t="s">
        <v>943</v>
      </c>
      <c r="C2271" s="19" t="s">
        <v>6889</v>
      </c>
      <c r="D2271" s="19" t="s">
        <v>6964</v>
      </c>
      <c r="E2271" s="19" t="s">
        <v>6964</v>
      </c>
      <c r="F2271" s="19" t="s">
        <v>7009</v>
      </c>
      <c r="G2271" s="19"/>
      <c r="H2271" s="19" t="s">
        <v>7010</v>
      </c>
      <c r="I2271" s="20" t="n">
        <v>227.071</v>
      </c>
      <c r="J2271" s="19" t="n">
        <f aca="false">IF(I2271="","",MIN(Overview!$B$8,MAX(1,CEILING(I2271/Overview!$B$7,1))))</f>
        <v>46</v>
      </c>
      <c r="K2271" s="19" t="n">
        <v>1</v>
      </c>
      <c r="L2271" s="19"/>
      <c r="M2271" s="20" t="n">
        <v>2</v>
      </c>
      <c r="N2271" s="19"/>
      <c r="O2271" s="19"/>
      <c r="P2271" s="19" t="s">
        <v>1730</v>
      </c>
      <c r="Q2271" s="19" t="s">
        <v>980</v>
      </c>
      <c r="R2271" s="21" t="n">
        <v>32558</v>
      </c>
      <c r="S2271" s="19" t="s">
        <v>4685</v>
      </c>
      <c r="T2271" s="19" t="s">
        <v>7011</v>
      </c>
      <c r="U2271" s="19" t="str">
        <f aca="false">HYPERLINK("https://macaulaylibrary.org/asset/215416","Open")</f>
        <v>Open</v>
      </c>
      <c r="V2271" s="19" t="s">
        <v>6974</v>
      </c>
    </row>
    <row r="2272" customFormat="false" ht="15" hidden="false" customHeight="false" outlineLevel="0" collapsed="false">
      <c r="A2272" s="19" t="s">
        <v>7012</v>
      </c>
      <c r="B2272" s="19" t="s">
        <v>943</v>
      </c>
      <c r="C2272" s="19" t="s">
        <v>6889</v>
      </c>
      <c r="D2272" s="19" t="s">
        <v>6964</v>
      </c>
      <c r="E2272" s="19" t="s">
        <v>6964</v>
      </c>
      <c r="F2272" s="19" t="s">
        <v>7013</v>
      </c>
      <c r="G2272" s="19"/>
      <c r="H2272" s="19" t="s">
        <v>7014</v>
      </c>
      <c r="I2272" s="20" t="n">
        <v>150.604</v>
      </c>
      <c r="J2272" s="19" t="n">
        <f aca="false">IF(I2272="","",MIN(Overview!$B$8,MAX(1,CEILING(I2272/Overview!$B$7,1))))</f>
        <v>31</v>
      </c>
      <c r="K2272" s="19" t="n">
        <v>1</v>
      </c>
      <c r="L2272" s="19"/>
      <c r="M2272" s="20" t="n">
        <v>3</v>
      </c>
      <c r="N2272" s="19"/>
      <c r="O2272" s="19"/>
      <c r="P2272" s="19" t="s">
        <v>2275</v>
      </c>
      <c r="Q2272" s="19" t="s">
        <v>980</v>
      </c>
      <c r="R2272" s="21" t="n">
        <v>34123</v>
      </c>
      <c r="S2272" s="19" t="s">
        <v>1036</v>
      </c>
      <c r="T2272" s="19" t="s">
        <v>7015</v>
      </c>
      <c r="U2272" s="19" t="str">
        <f aca="false">HYPERLINK("https://macaulaylibrary.org/asset/209460","Open")</f>
        <v>Open</v>
      </c>
      <c r="V2272" s="19" t="s">
        <v>6974</v>
      </c>
    </row>
    <row r="2273" customFormat="false" ht="15" hidden="false" customHeight="false" outlineLevel="0" collapsed="false">
      <c r="A2273" s="19" t="s">
        <v>7016</v>
      </c>
      <c r="B2273" s="19" t="s">
        <v>943</v>
      </c>
      <c r="C2273" s="19" t="s">
        <v>6889</v>
      </c>
      <c r="D2273" s="19" t="s">
        <v>6964</v>
      </c>
      <c r="E2273" s="19" t="s">
        <v>6964</v>
      </c>
      <c r="F2273" s="19" t="s">
        <v>7017</v>
      </c>
      <c r="G2273" s="19"/>
      <c r="H2273" s="19" t="s">
        <v>7018</v>
      </c>
      <c r="I2273" s="20" t="n">
        <v>81.513</v>
      </c>
      <c r="J2273" s="19" t="n">
        <f aca="false">IF(I2273="","",MIN(Overview!$B$8,MAX(1,CEILING(I2273/Overview!$B$7,1))))</f>
        <v>17</v>
      </c>
      <c r="K2273" s="19" t="n">
        <v>1</v>
      </c>
      <c r="L2273" s="19"/>
      <c r="M2273" s="20" t="n">
        <v>2</v>
      </c>
      <c r="N2273" s="19"/>
      <c r="O2273" s="19"/>
      <c r="P2273" s="19" t="s">
        <v>1097</v>
      </c>
      <c r="Q2273" s="19" t="s">
        <v>980</v>
      </c>
      <c r="R2273" s="21" t="n">
        <v>32553</v>
      </c>
      <c r="S2273" s="19" t="s">
        <v>4102</v>
      </c>
      <c r="T2273" s="19" t="s">
        <v>7019</v>
      </c>
      <c r="U2273" s="19" t="str">
        <f aca="false">HYPERLINK("https://macaulaylibrary.org/asset/215330","Open")</f>
        <v>Open</v>
      </c>
      <c r="V2273" s="19" t="s">
        <v>6974</v>
      </c>
    </row>
    <row r="2274" customFormat="false" ht="15" hidden="false" customHeight="false" outlineLevel="0" collapsed="false">
      <c r="A2274" s="19" t="s">
        <v>7020</v>
      </c>
      <c r="B2274" s="19" t="s">
        <v>943</v>
      </c>
      <c r="C2274" s="19" t="s">
        <v>6889</v>
      </c>
      <c r="D2274" s="19" t="s">
        <v>6964</v>
      </c>
      <c r="E2274" s="19" t="s">
        <v>6964</v>
      </c>
      <c r="F2274" s="19" t="s">
        <v>7017</v>
      </c>
      <c r="G2274" s="19"/>
      <c r="H2274" s="19" t="s">
        <v>7018</v>
      </c>
      <c r="I2274" s="20" t="n">
        <v>52.057</v>
      </c>
      <c r="J2274" s="19" t="n">
        <f aca="false">IF(I2274="","",MIN(Overview!$B$8,MAX(1,CEILING(I2274/Overview!$B$7,1))))</f>
        <v>11</v>
      </c>
      <c r="K2274" s="19" t="n">
        <v>1</v>
      </c>
      <c r="L2274" s="19"/>
      <c r="M2274" s="20" t="n">
        <v>3</v>
      </c>
      <c r="N2274" s="19"/>
      <c r="O2274" s="19"/>
      <c r="P2274" s="19" t="s">
        <v>5446</v>
      </c>
      <c r="Q2274" s="19" t="s">
        <v>980</v>
      </c>
      <c r="R2274" s="21" t="n">
        <v>32560</v>
      </c>
      <c r="S2274" s="19" t="s">
        <v>7021</v>
      </c>
      <c r="T2274" s="19" t="s">
        <v>7022</v>
      </c>
      <c r="U2274" s="19" t="str">
        <f aca="false">HYPERLINK("https://macaulaylibrary.org/asset/215441","Open")</f>
        <v>Open</v>
      </c>
      <c r="V2274" s="19" t="s">
        <v>6974</v>
      </c>
    </row>
    <row r="2275" customFormat="false" ht="15" hidden="false" customHeight="false" outlineLevel="0" collapsed="false">
      <c r="A2275" s="19" t="s">
        <v>7023</v>
      </c>
      <c r="B2275" s="19" t="s">
        <v>943</v>
      </c>
      <c r="C2275" s="19" t="s">
        <v>6889</v>
      </c>
      <c r="D2275" s="19" t="s">
        <v>6964</v>
      </c>
      <c r="E2275" s="19" t="s">
        <v>6964</v>
      </c>
      <c r="F2275" s="19" t="s">
        <v>7017</v>
      </c>
      <c r="G2275" s="19"/>
      <c r="H2275" s="19" t="s">
        <v>7018</v>
      </c>
      <c r="I2275" s="20" t="n">
        <v>105.143</v>
      </c>
      <c r="J2275" s="19" t="n">
        <f aca="false">IF(I2275="","",MIN(Overview!$B$8,MAX(1,CEILING(I2275/Overview!$B$7,1))))</f>
        <v>22</v>
      </c>
      <c r="K2275" s="19" t="n">
        <v>1</v>
      </c>
      <c r="L2275" s="19"/>
      <c r="M2275" s="20" t="n">
        <v>2</v>
      </c>
      <c r="N2275" s="19"/>
      <c r="O2275" s="19" t="s">
        <v>218</v>
      </c>
      <c r="P2275" s="19" t="s">
        <v>1591</v>
      </c>
      <c r="Q2275" s="19" t="s">
        <v>1592</v>
      </c>
      <c r="R2275" s="21" t="n">
        <v>30404</v>
      </c>
      <c r="S2275" s="19" t="s">
        <v>1002</v>
      </c>
      <c r="T2275" s="19" t="s">
        <v>7024</v>
      </c>
      <c r="U2275" s="19" t="str">
        <f aca="false">HYPERLINK("https://macaulaylibrary.org/asset/39227","Open")</f>
        <v>Open</v>
      </c>
      <c r="V2275" s="19" t="s">
        <v>6974</v>
      </c>
    </row>
    <row r="2276" customFormat="false" ht="15" hidden="false" customHeight="false" outlineLevel="0" collapsed="false">
      <c r="A2276" s="19" t="s">
        <v>7025</v>
      </c>
      <c r="B2276" s="19" t="s">
        <v>943</v>
      </c>
      <c r="C2276" s="19" t="s">
        <v>6889</v>
      </c>
      <c r="D2276" s="19" t="s">
        <v>6964</v>
      </c>
      <c r="E2276" s="19" t="s">
        <v>6964</v>
      </c>
      <c r="F2276" s="19" t="s">
        <v>7026</v>
      </c>
      <c r="G2276" s="19"/>
      <c r="H2276" s="19" t="s">
        <v>7027</v>
      </c>
      <c r="I2276" s="20" t="n">
        <v>83.223</v>
      </c>
      <c r="J2276" s="19" t="n">
        <f aca="false">IF(I2276="","",MIN(Overview!$B$8,MAX(1,CEILING(I2276/Overview!$B$7,1))))</f>
        <v>17</v>
      </c>
      <c r="K2276" s="19" t="n">
        <v>1</v>
      </c>
      <c r="L2276" s="19"/>
      <c r="M2276" s="20" t="n">
        <v>3</v>
      </c>
      <c r="N2276" s="19"/>
      <c r="O2276" s="19"/>
      <c r="P2276" s="19" t="s">
        <v>1125</v>
      </c>
      <c r="Q2276" s="19" t="s">
        <v>980</v>
      </c>
      <c r="R2276" s="21" t="n">
        <v>32557</v>
      </c>
      <c r="S2276" s="19"/>
      <c r="T2276" s="19" t="s">
        <v>7028</v>
      </c>
      <c r="U2276" s="19" t="str">
        <f aca="false">HYPERLINK("https://macaulaylibrary.org/asset/215396","Open")</f>
        <v>Open</v>
      </c>
      <c r="V2276" s="19" t="s">
        <v>6974</v>
      </c>
    </row>
    <row r="2277" customFormat="false" ht="15" hidden="false" customHeight="false" outlineLevel="0" collapsed="false">
      <c r="A2277" s="19" t="s">
        <v>7029</v>
      </c>
      <c r="B2277" s="19" t="s">
        <v>943</v>
      </c>
      <c r="C2277" s="19" t="s">
        <v>6889</v>
      </c>
      <c r="D2277" s="19" t="s">
        <v>6964</v>
      </c>
      <c r="E2277" s="19" t="s">
        <v>6964</v>
      </c>
      <c r="F2277" s="19" t="s">
        <v>7026</v>
      </c>
      <c r="G2277" s="19"/>
      <c r="H2277" s="19" t="s">
        <v>7027</v>
      </c>
      <c r="I2277" s="20" t="n">
        <v>30.928</v>
      </c>
      <c r="J2277" s="19" t="n">
        <f aca="false">IF(I2277="","",MIN(Overview!$B$8,MAX(1,CEILING(I2277/Overview!$B$7,1))))</f>
        <v>7</v>
      </c>
      <c r="K2277" s="19" t="n">
        <v>1</v>
      </c>
      <c r="L2277" s="19"/>
      <c r="M2277" s="20" t="n">
        <v>2</v>
      </c>
      <c r="N2277" s="19"/>
      <c r="O2277" s="19"/>
      <c r="P2277" s="19" t="s">
        <v>7030</v>
      </c>
      <c r="Q2277" s="19" t="s">
        <v>1289</v>
      </c>
      <c r="R2277" s="21" t="n">
        <v>42540</v>
      </c>
      <c r="S2277" s="19" t="s">
        <v>1077</v>
      </c>
      <c r="T2277" s="19" t="s">
        <v>7031</v>
      </c>
      <c r="U2277" s="19" t="str">
        <f aca="false">HYPERLINK("https://macaulaylibrary.org/asset/32449331","Open")</f>
        <v>Open</v>
      </c>
      <c r="V2277" s="19" t="s">
        <v>6974</v>
      </c>
    </row>
    <row r="2278" customFormat="false" ht="15" hidden="false" customHeight="false" outlineLevel="0" collapsed="false">
      <c r="A2278" s="19" t="s">
        <v>7032</v>
      </c>
      <c r="B2278" s="19" t="s">
        <v>943</v>
      </c>
      <c r="C2278" s="19" t="s">
        <v>6889</v>
      </c>
      <c r="D2278" s="19" t="s">
        <v>6964</v>
      </c>
      <c r="E2278" s="19" t="s">
        <v>6964</v>
      </c>
      <c r="F2278" s="19" t="s">
        <v>7026</v>
      </c>
      <c r="G2278" s="19"/>
      <c r="H2278" s="19" t="s">
        <v>7027</v>
      </c>
      <c r="I2278" s="20" t="n">
        <v>1021.491</v>
      </c>
      <c r="J2278" s="19" t="n">
        <f aca="false">IF(I2278="","",MIN(Overview!$B$8,MAX(1,CEILING(I2278/Overview!$B$7,1))))</f>
        <v>120</v>
      </c>
      <c r="K2278" s="19" t="n">
        <v>0</v>
      </c>
      <c r="L2278" s="19" t="s">
        <v>7033</v>
      </c>
      <c r="M2278" s="20"/>
      <c r="N2278" s="19"/>
      <c r="O2278" s="19"/>
      <c r="P2278" s="19" t="s">
        <v>1090</v>
      </c>
      <c r="Q2278" s="19" t="s">
        <v>1091</v>
      </c>
      <c r="R2278" s="21" t="n">
        <v>45845</v>
      </c>
      <c r="S2278" s="19" t="s">
        <v>1092</v>
      </c>
      <c r="T2278" s="19" t="s">
        <v>7034</v>
      </c>
      <c r="U2278" s="19" t="str">
        <f aca="false">HYPERLINK("https://macaulaylibrary.org/asset/639159482","Open")</f>
        <v>Open</v>
      </c>
      <c r="V2278" s="19" t="s">
        <v>6974</v>
      </c>
    </row>
    <row r="2279" customFormat="false" ht="15" hidden="false" customHeight="false" outlineLevel="0" collapsed="false">
      <c r="A2279" s="19" t="s">
        <v>7035</v>
      </c>
      <c r="B2279" s="19" t="s">
        <v>943</v>
      </c>
      <c r="C2279" s="19" t="s">
        <v>6889</v>
      </c>
      <c r="D2279" s="19" t="s">
        <v>6964</v>
      </c>
      <c r="E2279" s="19" t="s">
        <v>6964</v>
      </c>
      <c r="F2279" s="19" t="s">
        <v>7036</v>
      </c>
      <c r="G2279" s="19"/>
      <c r="H2279" s="19" t="s">
        <v>7037</v>
      </c>
      <c r="I2279" s="20" t="n">
        <v>62.182</v>
      </c>
      <c r="J2279" s="19" t="n">
        <f aca="false">IF(I2279="","",MIN(Overview!$B$8,MAX(1,CEILING(I2279/Overview!$B$7,1))))</f>
        <v>13</v>
      </c>
      <c r="K2279" s="19" t="n">
        <v>1</v>
      </c>
      <c r="L2279" s="19"/>
      <c r="M2279" s="20"/>
      <c r="N2279" s="19"/>
      <c r="O2279" s="19"/>
      <c r="P2279" s="19" t="s">
        <v>2443</v>
      </c>
      <c r="Q2279" s="19" t="s">
        <v>1091</v>
      </c>
      <c r="R2279" s="21" t="n">
        <v>45843</v>
      </c>
      <c r="S2279" s="19" t="s">
        <v>2444</v>
      </c>
      <c r="T2279" s="19" t="s">
        <v>7038</v>
      </c>
      <c r="U2279" s="19" t="str">
        <f aca="false">HYPERLINK("https://macaulaylibrary.org/asset/643650439","Open")</f>
        <v>Open</v>
      </c>
      <c r="V2279" s="19" t="s">
        <v>6974</v>
      </c>
    </row>
    <row r="2280" customFormat="false" ht="15" hidden="false" customHeight="false" outlineLevel="0" collapsed="false">
      <c r="A2280" s="19" t="s">
        <v>7039</v>
      </c>
      <c r="B2280" s="19" t="s">
        <v>943</v>
      </c>
      <c r="C2280" s="19" t="s">
        <v>6889</v>
      </c>
      <c r="D2280" s="19" t="s">
        <v>6964</v>
      </c>
      <c r="E2280" s="19" t="s">
        <v>6964</v>
      </c>
      <c r="F2280" s="19" t="s">
        <v>7040</v>
      </c>
      <c r="G2280" s="19"/>
      <c r="H2280" s="19" t="s">
        <v>7041</v>
      </c>
      <c r="I2280" s="20" t="n">
        <v>9.659</v>
      </c>
      <c r="J2280" s="19" t="n">
        <f aca="false">IF(I2280="","",MIN(Overview!$B$8,MAX(1,CEILING(I2280/Overview!$B$7,1))))</f>
        <v>2</v>
      </c>
      <c r="K2280" s="19" t="n">
        <v>1</v>
      </c>
      <c r="L2280" s="19"/>
      <c r="M2280" s="20"/>
      <c r="N2280" s="19"/>
      <c r="O2280" s="19"/>
      <c r="P2280" s="19" t="s">
        <v>2515</v>
      </c>
      <c r="Q2280" s="19" t="s">
        <v>1382</v>
      </c>
      <c r="R2280" s="21" t="n">
        <v>46105</v>
      </c>
      <c r="S2280" s="19" t="s">
        <v>2516</v>
      </c>
      <c r="T2280" s="19" t="s">
        <v>7042</v>
      </c>
      <c r="U2280" s="19" t="str">
        <f aca="false">HYPERLINK("https://macaulaylibrary.org/asset/654748734","Open")</f>
        <v>Open</v>
      </c>
      <c r="V2280" s="19" t="s">
        <v>6974</v>
      </c>
    </row>
    <row r="2281" customFormat="false" ht="15" hidden="false" customHeight="false" outlineLevel="0" collapsed="false">
      <c r="A2281" s="19" t="s">
        <v>7043</v>
      </c>
      <c r="B2281" s="19" t="s">
        <v>943</v>
      </c>
      <c r="C2281" s="19" t="s">
        <v>6889</v>
      </c>
      <c r="D2281" s="19" t="s">
        <v>6964</v>
      </c>
      <c r="E2281" s="19" t="s">
        <v>6964</v>
      </c>
      <c r="F2281" s="19" t="s">
        <v>7040</v>
      </c>
      <c r="G2281" s="19"/>
      <c r="H2281" s="19" t="s">
        <v>7041</v>
      </c>
      <c r="I2281" s="20" t="n">
        <v>4.99</v>
      </c>
      <c r="J2281" s="19" t="n">
        <f aca="false">IF(I2281="","",MIN(Overview!$B$8,MAX(1,CEILING(I2281/Overview!$B$7,1))))</f>
        <v>1</v>
      </c>
      <c r="K2281" s="19" t="n">
        <v>1</v>
      </c>
      <c r="L2281" s="19" t="s">
        <v>1048</v>
      </c>
      <c r="M2281" s="20"/>
      <c r="N2281" s="19"/>
      <c r="O2281" s="19"/>
      <c r="P2281" s="19" t="s">
        <v>4945</v>
      </c>
      <c r="Q2281" s="19" t="s">
        <v>1382</v>
      </c>
      <c r="R2281" s="21" t="n">
        <v>46105</v>
      </c>
      <c r="S2281" s="19" t="s">
        <v>3865</v>
      </c>
      <c r="T2281" s="19" t="s">
        <v>7044</v>
      </c>
      <c r="U2281" s="19" t="str">
        <f aca="false">HYPERLINK("https://macaulaylibrary.org/asset/654980665","Open")</f>
        <v>Open</v>
      </c>
      <c r="V2281" s="19" t="s">
        <v>6974</v>
      </c>
    </row>
    <row r="2282" customFormat="false" ht="15" hidden="false" customHeight="false" outlineLevel="0" collapsed="false">
      <c r="A2282" s="19" t="s">
        <v>7045</v>
      </c>
      <c r="B2282" s="19" t="s">
        <v>943</v>
      </c>
      <c r="C2282" s="19" t="s">
        <v>6889</v>
      </c>
      <c r="D2282" s="19" t="s">
        <v>6964</v>
      </c>
      <c r="E2282" s="19" t="s">
        <v>6964</v>
      </c>
      <c r="F2282" s="19" t="s">
        <v>7046</v>
      </c>
      <c r="G2282" s="19"/>
      <c r="H2282" s="19" t="s">
        <v>7047</v>
      </c>
      <c r="I2282" s="20" t="n">
        <v>35.595</v>
      </c>
      <c r="J2282" s="19" t="n">
        <f aca="false">IF(I2282="","",MIN(Overview!$B$8,MAX(1,CEILING(I2282/Overview!$B$7,1))))</f>
        <v>8</v>
      </c>
      <c r="K2282" s="19" t="n">
        <v>1</v>
      </c>
      <c r="L2282" s="19"/>
      <c r="M2282" s="20" t="n">
        <v>2</v>
      </c>
      <c r="N2282" s="19"/>
      <c r="O2282" s="19"/>
      <c r="P2282" s="19" t="s">
        <v>1058</v>
      </c>
      <c r="Q2282" s="19" t="s">
        <v>980</v>
      </c>
      <c r="R2282" s="21" t="n">
        <v>32555</v>
      </c>
      <c r="S2282" s="19"/>
      <c r="T2282" s="19" t="s">
        <v>7048</v>
      </c>
      <c r="U2282" s="19" t="str">
        <f aca="false">HYPERLINK("https://macaulaylibrary.org/asset/215355","Open")</f>
        <v>Open</v>
      </c>
      <c r="V2282" s="19" t="s">
        <v>6974</v>
      </c>
    </row>
    <row r="2283" customFormat="false" ht="15" hidden="false" customHeight="false" outlineLevel="0" collapsed="false">
      <c r="A2283" s="19" t="s">
        <v>7049</v>
      </c>
      <c r="B2283" s="19" t="s">
        <v>943</v>
      </c>
      <c r="C2283" s="19" t="s">
        <v>6889</v>
      </c>
      <c r="D2283" s="19" t="s">
        <v>6964</v>
      </c>
      <c r="E2283" s="19" t="s">
        <v>6964</v>
      </c>
      <c r="F2283" s="19" t="s">
        <v>7050</v>
      </c>
      <c r="G2283" s="19"/>
      <c r="H2283" s="19" t="s">
        <v>7051</v>
      </c>
      <c r="I2283" s="20" t="n">
        <v>101.421</v>
      </c>
      <c r="J2283" s="19" t="n">
        <f aca="false">IF(I2283="","",MIN(Overview!$B$8,MAX(1,CEILING(I2283/Overview!$B$7,1))))</f>
        <v>21</v>
      </c>
      <c r="K2283" s="19" t="n">
        <v>1</v>
      </c>
      <c r="L2283" s="19"/>
      <c r="M2283" s="20" t="n">
        <v>2</v>
      </c>
      <c r="N2283" s="19"/>
      <c r="O2283" s="19"/>
      <c r="P2283" s="19" t="s">
        <v>1121</v>
      </c>
      <c r="Q2283" s="19" t="s">
        <v>980</v>
      </c>
      <c r="R2283" s="21" t="n">
        <v>32556</v>
      </c>
      <c r="S2283" s="19"/>
      <c r="T2283" s="19" t="s">
        <v>7052</v>
      </c>
      <c r="U2283" s="19" t="str">
        <f aca="false">HYPERLINK("https://macaulaylibrary.org/asset/215364","Open")</f>
        <v>Open</v>
      </c>
      <c r="V2283" s="19" t="s">
        <v>6974</v>
      </c>
    </row>
    <row r="2284" customFormat="false" ht="15" hidden="false" customHeight="false" outlineLevel="0" collapsed="false">
      <c r="A2284" s="19" t="s">
        <v>7053</v>
      </c>
      <c r="B2284" s="19" t="s">
        <v>943</v>
      </c>
      <c r="C2284" s="19" t="s">
        <v>6889</v>
      </c>
      <c r="D2284" s="19" t="s">
        <v>6964</v>
      </c>
      <c r="E2284" s="19" t="s">
        <v>6964</v>
      </c>
      <c r="F2284" s="19" t="s">
        <v>7054</v>
      </c>
      <c r="G2284" s="19"/>
      <c r="H2284" s="19" t="s">
        <v>7055</v>
      </c>
      <c r="I2284" s="20" t="n">
        <v>95.133</v>
      </c>
      <c r="J2284" s="19" t="n">
        <f aca="false">IF(I2284="","",MIN(Overview!$B$8,MAX(1,CEILING(I2284/Overview!$B$7,1))))</f>
        <v>20</v>
      </c>
      <c r="K2284" s="19" t="n">
        <v>1</v>
      </c>
      <c r="L2284" s="19"/>
      <c r="M2284" s="20" t="n">
        <v>2</v>
      </c>
      <c r="N2284" s="19"/>
      <c r="O2284" s="19"/>
      <c r="P2284" s="19" t="s">
        <v>3717</v>
      </c>
      <c r="Q2284" s="19" t="s">
        <v>2343</v>
      </c>
      <c r="R2284" s="21" t="n">
        <v>31505</v>
      </c>
      <c r="S2284" s="19" t="s">
        <v>1081</v>
      </c>
      <c r="T2284" s="19" t="s">
        <v>7056</v>
      </c>
      <c r="U2284" s="19" t="str">
        <f aca="false">HYPERLINK("https://macaulaylibrary.org/asset/249434","Open")</f>
        <v>Open</v>
      </c>
      <c r="V2284" s="19" t="s">
        <v>6974</v>
      </c>
    </row>
    <row r="2285" customFormat="false" ht="15" hidden="false" customHeight="false" outlineLevel="0" collapsed="false">
      <c r="A2285" s="19" t="s">
        <v>7057</v>
      </c>
      <c r="B2285" s="19" t="s">
        <v>943</v>
      </c>
      <c r="C2285" s="19" t="s">
        <v>6889</v>
      </c>
      <c r="D2285" s="19" t="s">
        <v>6964</v>
      </c>
      <c r="E2285" s="19" t="s">
        <v>6964</v>
      </c>
      <c r="F2285" s="19" t="s">
        <v>7058</v>
      </c>
      <c r="G2285" s="19"/>
      <c r="H2285" s="19" t="s">
        <v>7059</v>
      </c>
      <c r="I2285" s="20" t="n">
        <v>5.502</v>
      </c>
      <c r="J2285" s="19" t="n">
        <f aca="false">IF(I2285="","",MIN(Overview!$B$8,MAX(1,CEILING(I2285/Overview!$B$7,1))))</f>
        <v>2</v>
      </c>
      <c r="K2285" s="19" t="n">
        <v>1</v>
      </c>
      <c r="L2285" s="19"/>
      <c r="M2285" s="20"/>
      <c r="N2285" s="19"/>
      <c r="O2285" s="19"/>
      <c r="P2285" s="19" t="s">
        <v>2168</v>
      </c>
      <c r="Q2285" s="19" t="s">
        <v>1382</v>
      </c>
      <c r="R2285" s="21" t="n">
        <v>46104</v>
      </c>
      <c r="S2285" s="19" t="s">
        <v>1259</v>
      </c>
      <c r="T2285" s="19" t="s">
        <v>7060</v>
      </c>
      <c r="U2285" s="19" t="str">
        <f aca="false">HYPERLINK("https://macaulaylibrary.org/asset/654603484","Open")</f>
        <v>Open</v>
      </c>
      <c r="V2285" s="19" t="s">
        <v>6974</v>
      </c>
    </row>
    <row r="2286" customFormat="false" ht="15" hidden="false" customHeight="false" outlineLevel="0" collapsed="false">
      <c r="A2286" s="19" t="s">
        <v>7061</v>
      </c>
      <c r="B2286" s="19" t="s">
        <v>943</v>
      </c>
      <c r="C2286" s="19" t="s">
        <v>6889</v>
      </c>
      <c r="D2286" s="19" t="s">
        <v>6964</v>
      </c>
      <c r="E2286" s="19" t="s">
        <v>6964</v>
      </c>
      <c r="F2286" s="19" t="s">
        <v>7062</v>
      </c>
      <c r="G2286" s="19"/>
      <c r="H2286" s="19" t="s">
        <v>7063</v>
      </c>
      <c r="I2286" s="20" t="n">
        <v>35.502</v>
      </c>
      <c r="J2286" s="19" t="n">
        <f aca="false">IF(I2286="","",MIN(Overview!$B$8,MAX(1,CEILING(I2286/Overview!$B$7,1))))</f>
        <v>8</v>
      </c>
      <c r="K2286" s="19" t="n">
        <v>1</v>
      </c>
      <c r="L2286" s="19"/>
      <c r="M2286" s="20"/>
      <c r="N2286" s="19"/>
      <c r="O2286" s="19"/>
      <c r="P2286" s="19" t="s">
        <v>2096</v>
      </c>
      <c r="Q2286" s="19" t="s">
        <v>1076</v>
      </c>
      <c r="R2286" s="21" t="n">
        <v>43399</v>
      </c>
      <c r="S2286" s="19" t="s">
        <v>1205</v>
      </c>
      <c r="T2286" s="19" t="s">
        <v>7064</v>
      </c>
      <c r="U2286" s="19" t="str">
        <f aca="false">HYPERLINK("https://macaulaylibrary.org/asset/470122201","Open")</f>
        <v>Open</v>
      </c>
      <c r="V2286" s="19" t="s">
        <v>6974</v>
      </c>
    </row>
    <row r="2287" customFormat="false" ht="15" hidden="false" customHeight="false" outlineLevel="0" collapsed="false">
      <c r="A2287" s="19" t="s">
        <v>7065</v>
      </c>
      <c r="B2287" s="19" t="s">
        <v>943</v>
      </c>
      <c r="C2287" s="19" t="s">
        <v>7066</v>
      </c>
      <c r="D2287" s="19" t="s">
        <v>7067</v>
      </c>
      <c r="E2287" s="19" t="s">
        <v>7067</v>
      </c>
      <c r="F2287" s="19" t="s">
        <v>7067</v>
      </c>
      <c r="G2287" s="19"/>
      <c r="H2287" s="19"/>
      <c r="I2287" s="20" t="n">
        <v>475.563</v>
      </c>
      <c r="J2287" s="19" t="n">
        <f aca="false">IF(I2287="","",MIN(Overview!$B$8,MAX(1,CEILING(I2287/Overview!$B$7,1))))</f>
        <v>96</v>
      </c>
      <c r="K2287" s="19" t="n">
        <v>1</v>
      </c>
      <c r="L2287" s="19"/>
      <c r="M2287" s="20" t="n">
        <v>3</v>
      </c>
      <c r="N2287" s="19"/>
      <c r="O2287" s="19" t="s">
        <v>7068</v>
      </c>
      <c r="P2287" s="19" t="s">
        <v>6733</v>
      </c>
      <c r="Q2287" s="19" t="s">
        <v>980</v>
      </c>
      <c r="R2287" s="21" t="n">
        <v>35196</v>
      </c>
      <c r="S2287" s="19" t="s">
        <v>7069</v>
      </c>
      <c r="T2287" s="19" t="s">
        <v>7070</v>
      </c>
      <c r="U2287" s="19" t="str">
        <f aca="false">HYPERLINK("https://macaulaylibrary.org/asset/166869","Open")</f>
        <v>Open</v>
      </c>
      <c r="V2287" s="19"/>
    </row>
    <row r="2288" customFormat="false" ht="15" hidden="false" customHeight="false" outlineLevel="0" collapsed="false">
      <c r="A2288" s="19" t="s">
        <v>7071</v>
      </c>
      <c r="B2288" s="19" t="s">
        <v>943</v>
      </c>
      <c r="C2288" s="19" t="s">
        <v>7066</v>
      </c>
      <c r="D2288" s="19" t="s">
        <v>7067</v>
      </c>
      <c r="E2288" s="19" t="s">
        <v>7067</v>
      </c>
      <c r="F2288" s="19" t="s">
        <v>7067</v>
      </c>
      <c r="G2288" s="19"/>
      <c r="H2288" s="19"/>
      <c r="I2288" s="20" t="n">
        <v>160.98</v>
      </c>
      <c r="J2288" s="19" t="n">
        <f aca="false">IF(I2288="","",MIN(Overview!$B$8,MAX(1,CEILING(I2288/Overview!$B$7,1))))</f>
        <v>33</v>
      </c>
      <c r="K2288" s="19" t="n">
        <v>1</v>
      </c>
      <c r="L2288" s="19"/>
      <c r="M2288" s="20" t="n">
        <v>3</v>
      </c>
      <c r="N2288" s="19"/>
      <c r="O2288" s="19" t="s">
        <v>7072</v>
      </c>
      <c r="P2288" s="19" t="s">
        <v>6733</v>
      </c>
      <c r="Q2288" s="19" t="s">
        <v>980</v>
      </c>
      <c r="R2288" s="21" t="n">
        <v>35196</v>
      </c>
      <c r="S2288" s="19" t="s">
        <v>1936</v>
      </c>
      <c r="T2288" s="19" t="s">
        <v>7073</v>
      </c>
      <c r="U2288" s="19" t="str">
        <f aca="false">HYPERLINK("https://macaulaylibrary.org/asset/166872","Open")</f>
        <v>Open</v>
      </c>
      <c r="V2288" s="19"/>
    </row>
    <row r="2289" customFormat="false" ht="15" hidden="false" customHeight="false" outlineLevel="0" collapsed="false">
      <c r="A2289" s="19" t="s">
        <v>7074</v>
      </c>
      <c r="B2289" s="19" t="s">
        <v>943</v>
      </c>
      <c r="C2289" s="19" t="s">
        <v>7066</v>
      </c>
      <c r="D2289" s="19" t="s">
        <v>7067</v>
      </c>
      <c r="E2289" s="19" t="s">
        <v>7067</v>
      </c>
      <c r="F2289" s="19" t="s">
        <v>7067</v>
      </c>
      <c r="G2289" s="19"/>
      <c r="H2289" s="19"/>
      <c r="I2289" s="20" t="n">
        <v>225.285</v>
      </c>
      <c r="J2289" s="19" t="n">
        <f aca="false">IF(I2289="","",MIN(Overview!$B$8,MAX(1,CEILING(I2289/Overview!$B$7,1))))</f>
        <v>46</v>
      </c>
      <c r="K2289" s="19" t="n">
        <v>1</v>
      </c>
      <c r="L2289" s="19"/>
      <c r="M2289" s="20" t="n">
        <v>3</v>
      </c>
      <c r="N2289" s="19"/>
      <c r="O2289" s="19" t="s">
        <v>7075</v>
      </c>
      <c r="P2289" s="19" t="s">
        <v>6733</v>
      </c>
      <c r="Q2289" s="19" t="s">
        <v>980</v>
      </c>
      <c r="R2289" s="21" t="n">
        <v>35196</v>
      </c>
      <c r="S2289" s="19" t="s">
        <v>7076</v>
      </c>
      <c r="T2289" s="19" t="s">
        <v>7077</v>
      </c>
      <c r="U2289" s="19" t="str">
        <f aca="false">HYPERLINK("https://macaulaylibrary.org/asset/166875","Open")</f>
        <v>Open</v>
      </c>
      <c r="V2289" s="19"/>
    </row>
    <row r="2290" customFormat="false" ht="15" hidden="false" customHeight="false" outlineLevel="0" collapsed="false">
      <c r="A2290" s="19" t="s">
        <v>7078</v>
      </c>
      <c r="B2290" s="19" t="s">
        <v>943</v>
      </c>
      <c r="C2290" s="19" t="s">
        <v>7066</v>
      </c>
      <c r="D2290" s="19" t="s">
        <v>7067</v>
      </c>
      <c r="E2290" s="19" t="s">
        <v>7067</v>
      </c>
      <c r="F2290" s="19" t="s">
        <v>7067</v>
      </c>
      <c r="G2290" s="19"/>
      <c r="H2290" s="19"/>
      <c r="I2290" s="20" t="n">
        <v>1744.107</v>
      </c>
      <c r="J2290" s="19" t="n">
        <f aca="false">IF(I2290="","",MIN(Overview!$B$8,MAX(1,CEILING(I2290/Overview!$B$7,1))))</f>
        <v>120</v>
      </c>
      <c r="K2290" s="19" t="n">
        <v>1</v>
      </c>
      <c r="L2290" s="19"/>
      <c r="M2290" s="20" t="n">
        <v>3</v>
      </c>
      <c r="N2290" s="19"/>
      <c r="O2290" s="19" t="s">
        <v>7079</v>
      </c>
      <c r="P2290" s="19" t="s">
        <v>7080</v>
      </c>
      <c r="Q2290" s="19" t="s">
        <v>980</v>
      </c>
      <c r="R2290" s="21" t="n">
        <v>35197</v>
      </c>
      <c r="S2290" s="19" t="s">
        <v>4565</v>
      </c>
      <c r="T2290" s="19" t="s">
        <v>7081</v>
      </c>
      <c r="U2290" s="19" t="str">
        <f aca="false">HYPERLINK("https://macaulaylibrary.org/asset/166882","Open")</f>
        <v>Open</v>
      </c>
      <c r="V2290" s="19"/>
    </row>
    <row r="2291" customFormat="false" ht="15" hidden="false" customHeight="false" outlineLevel="0" collapsed="false">
      <c r="A2291" s="19" t="s">
        <v>7082</v>
      </c>
      <c r="B2291" s="19" t="s">
        <v>943</v>
      </c>
      <c r="C2291" s="19" t="s">
        <v>7066</v>
      </c>
      <c r="D2291" s="19" t="s">
        <v>7067</v>
      </c>
      <c r="E2291" s="19" t="s">
        <v>7067</v>
      </c>
      <c r="F2291" s="19" t="s">
        <v>7067</v>
      </c>
      <c r="G2291" s="19"/>
      <c r="H2291" s="19"/>
      <c r="I2291" s="20" t="n">
        <v>876.131</v>
      </c>
      <c r="J2291" s="19" t="n">
        <f aca="false">IF(I2291="","",MIN(Overview!$B$8,MAX(1,CEILING(I2291/Overview!$B$7,1))))</f>
        <v>120</v>
      </c>
      <c r="K2291" s="19" t="n">
        <v>1</v>
      </c>
      <c r="L2291" s="19"/>
      <c r="M2291" s="20" t="n">
        <v>3</v>
      </c>
      <c r="N2291" s="19"/>
      <c r="O2291" s="19" t="s">
        <v>7083</v>
      </c>
      <c r="P2291" s="19" t="s">
        <v>7080</v>
      </c>
      <c r="Q2291" s="19" t="s">
        <v>980</v>
      </c>
      <c r="R2291" s="21" t="n">
        <v>35197</v>
      </c>
      <c r="S2291" s="19" t="s">
        <v>7084</v>
      </c>
      <c r="T2291" s="19" t="s">
        <v>7085</v>
      </c>
      <c r="U2291" s="19" t="str">
        <f aca="false">HYPERLINK("https://macaulaylibrary.org/asset/166883","Open")</f>
        <v>Open</v>
      </c>
      <c r="V2291" s="19"/>
    </row>
    <row r="2292" customFormat="false" ht="15" hidden="false" customHeight="false" outlineLevel="0" collapsed="false">
      <c r="A2292" s="19" t="s">
        <v>7086</v>
      </c>
      <c r="B2292" s="19" t="s">
        <v>943</v>
      </c>
      <c r="C2292" s="19" t="s">
        <v>7066</v>
      </c>
      <c r="D2292" s="19" t="s">
        <v>7067</v>
      </c>
      <c r="E2292" s="19" t="s">
        <v>7067</v>
      </c>
      <c r="F2292" s="19" t="s">
        <v>7067</v>
      </c>
      <c r="G2292" s="19"/>
      <c r="H2292" s="19"/>
      <c r="I2292" s="20" t="n">
        <v>239.113</v>
      </c>
      <c r="J2292" s="19" t="n">
        <f aca="false">IF(I2292="","",MIN(Overview!$B$8,MAX(1,CEILING(I2292/Overview!$B$7,1))))</f>
        <v>48</v>
      </c>
      <c r="K2292" s="19" t="n">
        <v>1</v>
      </c>
      <c r="L2292" s="19"/>
      <c r="M2292" s="20" t="n">
        <v>3</v>
      </c>
      <c r="N2292" s="19"/>
      <c r="O2292" s="19" t="s">
        <v>7087</v>
      </c>
      <c r="P2292" s="19" t="s">
        <v>7080</v>
      </c>
      <c r="Q2292" s="19" t="s">
        <v>980</v>
      </c>
      <c r="R2292" s="21" t="n">
        <v>35197</v>
      </c>
      <c r="S2292" s="19" t="s">
        <v>7088</v>
      </c>
      <c r="T2292" s="19" t="s">
        <v>7089</v>
      </c>
      <c r="U2292" s="19" t="str">
        <f aca="false">HYPERLINK("https://macaulaylibrary.org/asset/166885","Open")</f>
        <v>Open</v>
      </c>
      <c r="V2292" s="19"/>
    </row>
    <row r="2293" customFormat="false" ht="15" hidden="false" customHeight="false" outlineLevel="0" collapsed="false">
      <c r="A2293" s="19" t="s">
        <v>7090</v>
      </c>
      <c r="B2293" s="19" t="s">
        <v>943</v>
      </c>
      <c r="C2293" s="19" t="s">
        <v>7066</v>
      </c>
      <c r="D2293" s="19" t="s">
        <v>7067</v>
      </c>
      <c r="E2293" s="19" t="s">
        <v>7067</v>
      </c>
      <c r="F2293" s="19" t="s">
        <v>7067</v>
      </c>
      <c r="G2293" s="19"/>
      <c r="H2293" s="19"/>
      <c r="I2293" s="20" t="n">
        <v>696.726</v>
      </c>
      <c r="J2293" s="19" t="n">
        <f aca="false">IF(I2293="","",MIN(Overview!$B$8,MAX(1,CEILING(I2293/Overview!$B$7,1))))</f>
        <v>120</v>
      </c>
      <c r="K2293" s="19" t="n">
        <v>1</v>
      </c>
      <c r="L2293" s="19"/>
      <c r="M2293" s="20" t="n">
        <v>3</v>
      </c>
      <c r="N2293" s="19"/>
      <c r="O2293" s="19" t="s">
        <v>7091</v>
      </c>
      <c r="P2293" s="19" t="s">
        <v>7092</v>
      </c>
      <c r="Q2293" s="19" t="s">
        <v>980</v>
      </c>
      <c r="R2293" s="21" t="n">
        <v>35198</v>
      </c>
      <c r="S2293" s="19" t="s">
        <v>7093</v>
      </c>
      <c r="T2293" s="19" t="s">
        <v>7094</v>
      </c>
      <c r="U2293" s="19" t="str">
        <f aca="false">HYPERLINK("https://macaulaylibrary.org/asset/166890","Open")</f>
        <v>Open</v>
      </c>
      <c r="V2293" s="19"/>
    </row>
    <row r="2294" customFormat="false" ht="15" hidden="false" customHeight="false" outlineLevel="0" collapsed="false">
      <c r="A2294" s="19" t="s">
        <v>7095</v>
      </c>
      <c r="B2294" s="19" t="s">
        <v>943</v>
      </c>
      <c r="C2294" s="19" t="s">
        <v>7066</v>
      </c>
      <c r="D2294" s="19" t="s">
        <v>7067</v>
      </c>
      <c r="E2294" s="19" t="s">
        <v>7067</v>
      </c>
      <c r="F2294" s="19" t="s">
        <v>7067</v>
      </c>
      <c r="G2294" s="19"/>
      <c r="H2294" s="19"/>
      <c r="I2294" s="20" t="n">
        <v>676.321</v>
      </c>
      <c r="J2294" s="19" t="n">
        <f aca="false">IF(I2294="","",MIN(Overview!$B$8,MAX(1,CEILING(I2294/Overview!$B$7,1))))</f>
        <v>120</v>
      </c>
      <c r="K2294" s="19" t="n">
        <v>1</v>
      </c>
      <c r="L2294" s="19"/>
      <c r="M2294" s="20" t="n">
        <v>3</v>
      </c>
      <c r="N2294" s="19"/>
      <c r="O2294" s="19" t="s">
        <v>7096</v>
      </c>
      <c r="P2294" s="19" t="s">
        <v>7092</v>
      </c>
      <c r="Q2294" s="19" t="s">
        <v>980</v>
      </c>
      <c r="R2294" s="21" t="n">
        <v>35198</v>
      </c>
      <c r="S2294" s="19" t="s">
        <v>7097</v>
      </c>
      <c r="T2294" s="19" t="s">
        <v>7098</v>
      </c>
      <c r="U2294" s="19" t="str">
        <f aca="false">HYPERLINK("https://macaulaylibrary.org/asset/166891","Open")</f>
        <v>Open</v>
      </c>
      <c r="V2294" s="19"/>
    </row>
    <row r="2295" customFormat="false" ht="15" hidden="false" customHeight="false" outlineLevel="0" collapsed="false">
      <c r="A2295" s="19" t="s">
        <v>7099</v>
      </c>
      <c r="B2295" s="19" t="s">
        <v>943</v>
      </c>
      <c r="C2295" s="19" t="s">
        <v>7066</v>
      </c>
      <c r="D2295" s="19" t="s">
        <v>7067</v>
      </c>
      <c r="E2295" s="19" t="s">
        <v>7067</v>
      </c>
      <c r="F2295" s="19" t="s">
        <v>7067</v>
      </c>
      <c r="G2295" s="19"/>
      <c r="H2295" s="19"/>
      <c r="I2295" s="20" t="n">
        <v>143.957</v>
      </c>
      <c r="J2295" s="19" t="n">
        <f aca="false">IF(I2295="","",MIN(Overview!$B$8,MAX(1,CEILING(I2295/Overview!$B$7,1))))</f>
        <v>29</v>
      </c>
      <c r="K2295" s="19" t="n">
        <v>1</v>
      </c>
      <c r="L2295" s="19"/>
      <c r="M2295" s="20" t="n">
        <v>3</v>
      </c>
      <c r="N2295" s="19"/>
      <c r="O2295" s="19" t="s">
        <v>7100</v>
      </c>
      <c r="P2295" s="19" t="s">
        <v>7092</v>
      </c>
      <c r="Q2295" s="19" t="s">
        <v>980</v>
      </c>
      <c r="R2295" s="21" t="n">
        <v>35198</v>
      </c>
      <c r="S2295" s="19" t="s">
        <v>7101</v>
      </c>
      <c r="T2295" s="19" t="s">
        <v>7102</v>
      </c>
      <c r="U2295" s="19" t="str">
        <f aca="false">HYPERLINK("https://macaulaylibrary.org/asset/166892","Open")</f>
        <v>Open</v>
      </c>
      <c r="V2295" s="19"/>
    </row>
    <row r="2296" customFormat="false" ht="15" hidden="false" customHeight="false" outlineLevel="0" collapsed="false">
      <c r="A2296" s="19" t="s">
        <v>7103</v>
      </c>
      <c r="B2296" s="19" t="s">
        <v>943</v>
      </c>
      <c r="C2296" s="19" t="s">
        <v>7066</v>
      </c>
      <c r="D2296" s="19" t="s">
        <v>7067</v>
      </c>
      <c r="E2296" s="19" t="s">
        <v>7067</v>
      </c>
      <c r="F2296" s="19" t="s">
        <v>7067</v>
      </c>
      <c r="G2296" s="19"/>
      <c r="H2296" s="19"/>
      <c r="I2296" s="20" t="n">
        <v>458.128</v>
      </c>
      <c r="J2296" s="19" t="n">
        <f aca="false">IF(I2296="","",MIN(Overview!$B$8,MAX(1,CEILING(I2296/Overview!$B$7,1))))</f>
        <v>92</v>
      </c>
      <c r="K2296" s="19" t="n">
        <v>1</v>
      </c>
      <c r="L2296" s="19"/>
      <c r="M2296" s="20" t="n">
        <v>3</v>
      </c>
      <c r="N2296" s="19"/>
      <c r="O2296" s="19" t="s">
        <v>7104</v>
      </c>
      <c r="P2296" s="19" t="s">
        <v>7092</v>
      </c>
      <c r="Q2296" s="19" t="s">
        <v>980</v>
      </c>
      <c r="R2296" s="21" t="n">
        <v>35198</v>
      </c>
      <c r="S2296" s="19" t="s">
        <v>7105</v>
      </c>
      <c r="T2296" s="19" t="s">
        <v>7106</v>
      </c>
      <c r="U2296" s="19" t="str">
        <f aca="false">HYPERLINK("https://macaulaylibrary.org/asset/166893","Open")</f>
        <v>Open</v>
      </c>
      <c r="V2296" s="19"/>
    </row>
    <row r="2297" customFormat="false" ht="15" hidden="false" customHeight="false" outlineLevel="0" collapsed="false">
      <c r="A2297" s="19" t="s">
        <v>7107</v>
      </c>
      <c r="B2297" s="19" t="s">
        <v>943</v>
      </c>
      <c r="C2297" s="19" t="s">
        <v>7066</v>
      </c>
      <c r="D2297" s="19" t="s">
        <v>7067</v>
      </c>
      <c r="E2297" s="19" t="s">
        <v>7067</v>
      </c>
      <c r="F2297" s="19" t="s">
        <v>7067</v>
      </c>
      <c r="G2297" s="19"/>
      <c r="H2297" s="19"/>
      <c r="I2297" s="20" t="n">
        <v>471.82</v>
      </c>
      <c r="J2297" s="19" t="n">
        <f aca="false">IF(I2297="","",MIN(Overview!$B$8,MAX(1,CEILING(I2297/Overview!$B$7,1))))</f>
        <v>95</v>
      </c>
      <c r="K2297" s="19" t="n">
        <v>1</v>
      </c>
      <c r="L2297" s="19"/>
      <c r="M2297" s="20" t="n">
        <v>3</v>
      </c>
      <c r="N2297" s="19"/>
      <c r="O2297" s="19" t="s">
        <v>7108</v>
      </c>
      <c r="P2297" s="19" t="s">
        <v>4474</v>
      </c>
      <c r="Q2297" s="19" t="s">
        <v>980</v>
      </c>
      <c r="R2297" s="21" t="n">
        <v>35210</v>
      </c>
      <c r="S2297" s="19"/>
      <c r="T2297" s="19" t="s">
        <v>7109</v>
      </c>
      <c r="U2297" s="19" t="str">
        <f aca="false">HYPERLINK("https://macaulaylibrary.org/asset/185577","Open")</f>
        <v>Open</v>
      </c>
      <c r="V2297" s="19"/>
    </row>
    <row r="2298" customFormat="false" ht="15" hidden="false" customHeight="false" outlineLevel="0" collapsed="false">
      <c r="A2298" s="19" t="s">
        <v>7110</v>
      </c>
      <c r="B2298" s="19" t="s">
        <v>943</v>
      </c>
      <c r="C2298" s="19" t="s">
        <v>7066</v>
      </c>
      <c r="D2298" s="19" t="s">
        <v>7067</v>
      </c>
      <c r="E2298" s="19" t="s">
        <v>7067</v>
      </c>
      <c r="F2298" s="19" t="s">
        <v>7067</v>
      </c>
      <c r="G2298" s="19"/>
      <c r="H2298" s="19"/>
      <c r="I2298" s="20" t="n">
        <v>895.858</v>
      </c>
      <c r="J2298" s="19" t="n">
        <f aca="false">IF(I2298="","",MIN(Overview!$B$8,MAX(1,CEILING(I2298/Overview!$B$7,1))))</f>
        <v>120</v>
      </c>
      <c r="K2298" s="19" t="n">
        <v>1</v>
      </c>
      <c r="L2298" s="19"/>
      <c r="M2298" s="20" t="n">
        <v>4</v>
      </c>
      <c r="N2298" s="19"/>
      <c r="O2298" s="19" t="s">
        <v>7111</v>
      </c>
      <c r="P2298" s="19" t="s">
        <v>979</v>
      </c>
      <c r="Q2298" s="19" t="s">
        <v>980</v>
      </c>
      <c r="R2298" s="21" t="n">
        <v>34122</v>
      </c>
      <c r="S2298" s="19" t="s">
        <v>7112</v>
      </c>
      <c r="T2298" s="19" t="s">
        <v>7113</v>
      </c>
      <c r="U2298" s="19" t="str">
        <f aca="false">HYPERLINK("https://macaulaylibrary.org/asset/209455","Open")</f>
        <v>Open</v>
      </c>
      <c r="V2298" s="19"/>
    </row>
    <row r="2299" customFormat="false" ht="15" hidden="false" customHeight="false" outlineLevel="0" collapsed="false">
      <c r="A2299" s="19" t="s">
        <v>7114</v>
      </c>
      <c r="B2299" s="19" t="s">
        <v>943</v>
      </c>
      <c r="C2299" s="19" t="s">
        <v>7066</v>
      </c>
      <c r="D2299" s="19" t="s">
        <v>7067</v>
      </c>
      <c r="E2299" s="19" t="s">
        <v>7067</v>
      </c>
      <c r="F2299" s="19" t="s">
        <v>7067</v>
      </c>
      <c r="G2299" s="19"/>
      <c r="H2299" s="19"/>
      <c r="I2299" s="20" t="n">
        <v>319.51</v>
      </c>
      <c r="J2299" s="19" t="n">
        <f aca="false">IF(I2299="","",MIN(Overview!$B$8,MAX(1,CEILING(I2299/Overview!$B$7,1))))</f>
        <v>64</v>
      </c>
      <c r="K2299" s="19" t="n">
        <v>1</v>
      </c>
      <c r="L2299" s="19"/>
      <c r="M2299" s="20" t="n">
        <v>3</v>
      </c>
      <c r="N2299" s="19"/>
      <c r="O2299" s="19" t="s">
        <v>7115</v>
      </c>
      <c r="P2299" s="19" t="s">
        <v>1115</v>
      </c>
      <c r="Q2299" s="19" t="s">
        <v>980</v>
      </c>
      <c r="R2299" s="21" t="n">
        <v>34125</v>
      </c>
      <c r="S2299" s="19"/>
      <c r="T2299" s="19" t="s">
        <v>7116</v>
      </c>
      <c r="U2299" s="19" t="str">
        <f aca="false">HYPERLINK("https://macaulaylibrary.org/asset/209488","Open")</f>
        <v>Open</v>
      </c>
      <c r="V2299" s="19"/>
    </row>
    <row r="2300" customFormat="false" ht="15" hidden="false" customHeight="false" outlineLevel="0" collapsed="false">
      <c r="A2300" s="19" t="s">
        <v>7117</v>
      </c>
      <c r="B2300" s="19" t="s">
        <v>943</v>
      </c>
      <c r="C2300" s="19" t="s">
        <v>7066</v>
      </c>
      <c r="D2300" s="19" t="s">
        <v>7067</v>
      </c>
      <c r="E2300" s="19" t="s">
        <v>7067</v>
      </c>
      <c r="F2300" s="19" t="s">
        <v>7067</v>
      </c>
      <c r="G2300" s="19"/>
      <c r="H2300" s="19"/>
      <c r="I2300" s="20" t="n">
        <v>340.095</v>
      </c>
      <c r="J2300" s="19" t="n">
        <f aca="false">IF(I2300="","",MIN(Overview!$B$8,MAX(1,CEILING(I2300/Overview!$B$7,1))))</f>
        <v>69</v>
      </c>
      <c r="K2300" s="19" t="n">
        <v>1</v>
      </c>
      <c r="L2300" s="19"/>
      <c r="M2300" s="20" t="n">
        <v>2</v>
      </c>
      <c r="N2300" s="19"/>
      <c r="O2300" s="19"/>
      <c r="P2300" s="19" t="s">
        <v>2858</v>
      </c>
      <c r="Q2300" s="19" t="s">
        <v>980</v>
      </c>
      <c r="R2300" s="21" t="n">
        <v>34126</v>
      </c>
      <c r="S2300" s="19" t="s">
        <v>2425</v>
      </c>
      <c r="T2300" s="19" t="s">
        <v>7118</v>
      </c>
      <c r="U2300" s="19" t="str">
        <f aca="false">HYPERLINK("https://macaulaylibrary.org/asset/209489","Open")</f>
        <v>Open</v>
      </c>
      <c r="V2300" s="19"/>
    </row>
    <row r="2301" customFormat="false" ht="15" hidden="false" customHeight="false" outlineLevel="0" collapsed="false">
      <c r="A2301" s="19" t="s">
        <v>7119</v>
      </c>
      <c r="B2301" s="19" t="s">
        <v>943</v>
      </c>
      <c r="C2301" s="19" t="s">
        <v>7066</v>
      </c>
      <c r="D2301" s="19" t="s">
        <v>7067</v>
      </c>
      <c r="E2301" s="19" t="s">
        <v>7067</v>
      </c>
      <c r="F2301" s="19" t="s">
        <v>7067</v>
      </c>
      <c r="G2301" s="19"/>
      <c r="H2301" s="19"/>
      <c r="I2301" s="20" t="n">
        <v>60.263</v>
      </c>
      <c r="J2301" s="19" t="n">
        <f aca="false">IF(I2301="","",MIN(Overview!$B$8,MAX(1,CEILING(I2301/Overview!$B$7,1))))</f>
        <v>13</v>
      </c>
      <c r="K2301" s="19" t="n">
        <v>1</v>
      </c>
      <c r="L2301" s="19"/>
      <c r="M2301" s="20" t="n">
        <v>3</v>
      </c>
      <c r="N2301" s="19"/>
      <c r="O2301" s="19"/>
      <c r="P2301" s="19" t="s">
        <v>1555</v>
      </c>
      <c r="Q2301" s="19" t="s">
        <v>980</v>
      </c>
      <c r="R2301" s="21" t="n">
        <v>33291</v>
      </c>
      <c r="S2301" s="19" t="s">
        <v>1404</v>
      </c>
      <c r="T2301" s="19" t="s">
        <v>7120</v>
      </c>
      <c r="U2301" s="19" t="str">
        <f aca="false">HYPERLINK("https://macaulaylibrary.org/asset/57478","Open")</f>
        <v>Open</v>
      </c>
      <c r="V2301" s="19"/>
    </row>
    <row r="2302" customFormat="false" ht="15" hidden="false" customHeight="false" outlineLevel="0" collapsed="false">
      <c r="A2302" s="19" t="s">
        <v>7121</v>
      </c>
      <c r="B2302" s="19" t="s">
        <v>943</v>
      </c>
      <c r="C2302" s="19" t="s">
        <v>7066</v>
      </c>
      <c r="D2302" s="19" t="s">
        <v>7067</v>
      </c>
      <c r="E2302" s="19" t="s">
        <v>7067</v>
      </c>
      <c r="F2302" s="19" t="s">
        <v>7067</v>
      </c>
      <c r="G2302" s="19"/>
      <c r="H2302" s="19"/>
      <c r="I2302" s="20" t="n">
        <v>189.984</v>
      </c>
      <c r="J2302" s="19" t="n">
        <f aca="false">IF(I2302="","",MIN(Overview!$B$8,MAX(1,CEILING(I2302/Overview!$B$7,1))))</f>
        <v>38</v>
      </c>
      <c r="K2302" s="19" t="n">
        <v>1</v>
      </c>
      <c r="L2302" s="19"/>
      <c r="M2302" s="20"/>
      <c r="N2302" s="19"/>
      <c r="O2302" s="19" t="s">
        <v>7122</v>
      </c>
      <c r="P2302" s="19" t="s">
        <v>1090</v>
      </c>
      <c r="Q2302" s="19" t="s">
        <v>1091</v>
      </c>
      <c r="R2302" s="21" t="n">
        <v>45845</v>
      </c>
      <c r="S2302" s="19" t="s">
        <v>1092</v>
      </c>
      <c r="T2302" s="19" t="s">
        <v>7123</v>
      </c>
      <c r="U2302" s="19" t="str">
        <f aca="false">HYPERLINK("https://macaulaylibrary.org/asset/639054113","Open")</f>
        <v>Open</v>
      </c>
      <c r="V2302" s="19"/>
    </row>
    <row r="2303" customFormat="false" ht="15" hidden="false" customHeight="false" outlineLevel="0" collapsed="false">
      <c r="A2303" s="19" t="s">
        <v>7124</v>
      </c>
      <c r="B2303" s="19" t="s">
        <v>943</v>
      </c>
      <c r="C2303" s="19" t="s">
        <v>7066</v>
      </c>
      <c r="D2303" s="19" t="s">
        <v>7067</v>
      </c>
      <c r="E2303" s="19" t="s">
        <v>7067</v>
      </c>
      <c r="F2303" s="19" t="s">
        <v>7067</v>
      </c>
      <c r="G2303" s="19"/>
      <c r="H2303" s="19"/>
      <c r="I2303" s="20" t="n">
        <v>1021.491</v>
      </c>
      <c r="J2303" s="19" t="n">
        <f aca="false">IF(I2303="","",MIN(Overview!$B$8,MAX(1,CEILING(I2303/Overview!$B$7,1))))</f>
        <v>120</v>
      </c>
      <c r="K2303" s="19" t="n">
        <v>1</v>
      </c>
      <c r="L2303" s="19"/>
      <c r="M2303" s="20"/>
      <c r="N2303" s="19"/>
      <c r="O2303" s="19" t="s">
        <v>7125</v>
      </c>
      <c r="P2303" s="19" t="s">
        <v>1090</v>
      </c>
      <c r="Q2303" s="19" t="s">
        <v>1091</v>
      </c>
      <c r="R2303" s="21" t="n">
        <v>45845</v>
      </c>
      <c r="S2303" s="19" t="s">
        <v>1092</v>
      </c>
      <c r="T2303" s="19" t="s">
        <v>7126</v>
      </c>
      <c r="U2303" s="19" t="str">
        <f aca="false">HYPERLINK("https://macaulaylibrary.org/asset/639159184","Open")</f>
        <v>Open</v>
      </c>
      <c r="V2303" s="19"/>
    </row>
    <row r="2304" customFormat="false" ht="15" hidden="false" customHeight="false" outlineLevel="0" collapsed="false">
      <c r="A2304" s="19" t="s">
        <v>7127</v>
      </c>
      <c r="B2304" s="19" t="s">
        <v>943</v>
      </c>
      <c r="C2304" s="19" t="s">
        <v>7066</v>
      </c>
      <c r="D2304" s="19" t="s">
        <v>7067</v>
      </c>
      <c r="E2304" s="19" t="s">
        <v>7067</v>
      </c>
      <c r="F2304" s="19" t="s">
        <v>7067</v>
      </c>
      <c r="G2304" s="19"/>
      <c r="H2304" s="19"/>
      <c r="I2304" s="20" t="n">
        <v>72.793</v>
      </c>
      <c r="J2304" s="19" t="n">
        <f aca="false">IF(I2304="","",MIN(Overview!$B$8,MAX(1,CEILING(I2304/Overview!$B$7,1))))</f>
        <v>15</v>
      </c>
      <c r="K2304" s="19" t="n">
        <v>1</v>
      </c>
      <c r="L2304" s="19"/>
      <c r="M2304" s="20"/>
      <c r="N2304" s="19"/>
      <c r="O2304" s="19" t="s">
        <v>7128</v>
      </c>
      <c r="P2304" s="19" t="s">
        <v>1674</v>
      </c>
      <c r="Q2304" s="19" t="s">
        <v>1091</v>
      </c>
      <c r="R2304" s="21" t="n">
        <v>45843</v>
      </c>
      <c r="S2304" s="19" t="s">
        <v>1009</v>
      </c>
      <c r="T2304" s="19" t="s">
        <v>7129</v>
      </c>
      <c r="U2304" s="19" t="str">
        <f aca="false">HYPERLINK("https://macaulaylibrary.org/asset/639162568","Open")</f>
        <v>Open</v>
      </c>
      <c r="V2304" s="19"/>
    </row>
    <row r="2305" customFormat="false" ht="15" hidden="false" customHeight="false" outlineLevel="0" collapsed="false">
      <c r="A2305" s="19" t="s">
        <v>7130</v>
      </c>
      <c r="B2305" s="19" t="s">
        <v>943</v>
      </c>
      <c r="C2305" s="19" t="s">
        <v>7066</v>
      </c>
      <c r="D2305" s="19" t="s">
        <v>7067</v>
      </c>
      <c r="E2305" s="19" t="s">
        <v>7067</v>
      </c>
      <c r="F2305" s="19" t="s">
        <v>7067</v>
      </c>
      <c r="G2305" s="19"/>
      <c r="H2305" s="19"/>
      <c r="I2305" s="20" t="n">
        <v>104.883</v>
      </c>
      <c r="J2305" s="19" t="n">
        <f aca="false">IF(I2305="","",MIN(Overview!$B$8,MAX(1,CEILING(I2305/Overview!$B$7,1))))</f>
        <v>21</v>
      </c>
      <c r="K2305" s="19" t="n">
        <v>1</v>
      </c>
      <c r="L2305" s="19"/>
      <c r="M2305" s="20"/>
      <c r="N2305" s="19"/>
      <c r="O2305" s="19" t="s">
        <v>7131</v>
      </c>
      <c r="P2305" s="19" t="s">
        <v>1674</v>
      </c>
      <c r="Q2305" s="19" t="s">
        <v>1091</v>
      </c>
      <c r="R2305" s="21" t="n">
        <v>45843</v>
      </c>
      <c r="S2305" s="19" t="s">
        <v>1009</v>
      </c>
      <c r="T2305" s="19" t="s">
        <v>7132</v>
      </c>
      <c r="U2305" s="19" t="str">
        <f aca="false">HYPERLINK("https://macaulaylibrary.org/asset/639163011","Open")</f>
        <v>Open</v>
      </c>
      <c r="V2305" s="19"/>
    </row>
    <row r="2306" customFormat="false" ht="15" hidden="false" customHeight="false" outlineLevel="0" collapsed="false">
      <c r="A2306" s="19" t="s">
        <v>7133</v>
      </c>
      <c r="B2306" s="19" t="s">
        <v>943</v>
      </c>
      <c r="C2306" s="19" t="s">
        <v>7066</v>
      </c>
      <c r="D2306" s="19" t="s">
        <v>7067</v>
      </c>
      <c r="E2306" s="19" t="s">
        <v>7067</v>
      </c>
      <c r="F2306" s="19" t="s">
        <v>7067</v>
      </c>
      <c r="G2306" s="19"/>
      <c r="H2306" s="19"/>
      <c r="I2306" s="20" t="n">
        <v>84.984</v>
      </c>
      <c r="J2306" s="19" t="n">
        <f aca="false">IF(I2306="","",MIN(Overview!$B$8,MAX(1,CEILING(I2306/Overview!$B$7,1))))</f>
        <v>17</v>
      </c>
      <c r="K2306" s="19" t="n">
        <v>1</v>
      </c>
      <c r="L2306" s="19"/>
      <c r="M2306" s="20"/>
      <c r="N2306" s="19"/>
      <c r="O2306" s="19" t="s">
        <v>7134</v>
      </c>
      <c r="P2306" s="19" t="s">
        <v>1674</v>
      </c>
      <c r="Q2306" s="19" t="s">
        <v>1091</v>
      </c>
      <c r="R2306" s="21" t="n">
        <v>45843</v>
      </c>
      <c r="S2306" s="19" t="s">
        <v>1009</v>
      </c>
      <c r="T2306" s="19" t="s">
        <v>7135</v>
      </c>
      <c r="U2306" s="19" t="str">
        <f aca="false">HYPERLINK("https://macaulaylibrary.org/asset/639163270","Open")</f>
        <v>Open</v>
      </c>
      <c r="V2306" s="19"/>
    </row>
    <row r="2307" customFormat="false" ht="15" hidden="false" customHeight="false" outlineLevel="0" collapsed="false">
      <c r="A2307" s="19" t="s">
        <v>7136</v>
      </c>
      <c r="B2307" s="19" t="s">
        <v>943</v>
      </c>
      <c r="C2307" s="19" t="s">
        <v>7066</v>
      </c>
      <c r="D2307" s="19" t="s">
        <v>7067</v>
      </c>
      <c r="E2307" s="19" t="s">
        <v>7067</v>
      </c>
      <c r="F2307" s="19" t="s">
        <v>7067</v>
      </c>
      <c r="G2307" s="19"/>
      <c r="H2307" s="19"/>
      <c r="I2307" s="20" t="n">
        <v>30.788</v>
      </c>
      <c r="J2307" s="19" t="n">
        <f aca="false">IF(I2307="","",MIN(Overview!$B$8,MAX(1,CEILING(I2307/Overview!$B$7,1))))</f>
        <v>7</v>
      </c>
      <c r="K2307" s="19" t="n">
        <v>1</v>
      </c>
      <c r="L2307" s="19"/>
      <c r="M2307" s="20"/>
      <c r="N2307" s="19"/>
      <c r="O2307" s="19" t="s">
        <v>7137</v>
      </c>
      <c r="P2307" s="19" t="s">
        <v>1090</v>
      </c>
      <c r="Q2307" s="19" t="s">
        <v>1091</v>
      </c>
      <c r="R2307" s="21" t="n">
        <v>45845</v>
      </c>
      <c r="S2307" s="19" t="s">
        <v>1092</v>
      </c>
      <c r="T2307" s="19" t="s">
        <v>7138</v>
      </c>
      <c r="U2307" s="19" t="str">
        <f aca="false">HYPERLINK("https://macaulaylibrary.org/asset/639176633","Open")</f>
        <v>Open</v>
      </c>
      <c r="V2307" s="19"/>
    </row>
    <row r="2308" customFormat="false" ht="15" hidden="false" customHeight="false" outlineLevel="0" collapsed="false">
      <c r="A2308" s="19" t="s">
        <v>7139</v>
      </c>
      <c r="B2308" s="19" t="s">
        <v>943</v>
      </c>
      <c r="C2308" s="19" t="s">
        <v>7066</v>
      </c>
      <c r="D2308" s="19" t="s">
        <v>7067</v>
      </c>
      <c r="E2308" s="19" t="s">
        <v>7067</v>
      </c>
      <c r="F2308" s="19" t="s">
        <v>7067</v>
      </c>
      <c r="G2308" s="19"/>
      <c r="H2308" s="19"/>
      <c r="I2308" s="20" t="n">
        <v>410.69</v>
      </c>
      <c r="J2308" s="19" t="n">
        <f aca="false">IF(I2308="","",MIN(Overview!$B$8,MAX(1,CEILING(I2308/Overview!$B$7,1))))</f>
        <v>83</v>
      </c>
      <c r="K2308" s="19" t="n">
        <v>1</v>
      </c>
      <c r="L2308" s="19"/>
      <c r="M2308" s="20"/>
      <c r="N2308" s="19"/>
      <c r="O2308" s="19"/>
      <c r="P2308" s="19" t="s">
        <v>1090</v>
      </c>
      <c r="Q2308" s="19" t="s">
        <v>1091</v>
      </c>
      <c r="R2308" s="21" t="n">
        <v>45845</v>
      </c>
      <c r="S2308" s="19" t="s">
        <v>1092</v>
      </c>
      <c r="T2308" s="19" t="s">
        <v>7140</v>
      </c>
      <c r="U2308" s="19" t="str">
        <f aca="false">HYPERLINK("https://macaulaylibrary.org/asset/643527234","Open")</f>
        <v>Open</v>
      </c>
      <c r="V2308" s="19"/>
    </row>
    <row r="2309" customFormat="false" ht="15" hidden="false" customHeight="false" outlineLevel="0" collapsed="false">
      <c r="A2309" s="19" t="s">
        <v>7141</v>
      </c>
      <c r="B2309" s="19" t="s">
        <v>943</v>
      </c>
      <c r="C2309" s="19" t="s">
        <v>7066</v>
      </c>
      <c r="D2309" s="19" t="s">
        <v>7067</v>
      </c>
      <c r="E2309" s="19" t="s">
        <v>7067</v>
      </c>
      <c r="F2309" s="19" t="s">
        <v>7067</v>
      </c>
      <c r="G2309" s="19"/>
      <c r="H2309" s="19"/>
      <c r="I2309" s="20" t="n">
        <v>24.89</v>
      </c>
      <c r="J2309" s="19" t="n">
        <f aca="false">IF(I2309="","",MIN(Overview!$B$8,MAX(1,CEILING(I2309/Overview!$B$7,1))))</f>
        <v>5</v>
      </c>
      <c r="K2309" s="19" t="n">
        <v>1</v>
      </c>
      <c r="L2309" s="19"/>
      <c r="M2309" s="20"/>
      <c r="N2309" s="19"/>
      <c r="O2309" s="19"/>
      <c r="P2309" s="19" t="s">
        <v>1090</v>
      </c>
      <c r="Q2309" s="19" t="s">
        <v>1091</v>
      </c>
      <c r="R2309" s="21" t="n">
        <v>45845</v>
      </c>
      <c r="S2309" s="19" t="s">
        <v>1092</v>
      </c>
      <c r="T2309" s="19" t="s">
        <v>7142</v>
      </c>
      <c r="U2309" s="19" t="str">
        <f aca="false">HYPERLINK("https://macaulaylibrary.org/asset/643527430","Open")</f>
        <v>Open</v>
      </c>
      <c r="V2309" s="19"/>
    </row>
    <row r="2310" customFormat="false" ht="15" hidden="false" customHeight="false" outlineLevel="0" collapsed="false">
      <c r="A2310" s="19" t="s">
        <v>7143</v>
      </c>
      <c r="B2310" s="19" t="s">
        <v>943</v>
      </c>
      <c r="C2310" s="19" t="s">
        <v>7066</v>
      </c>
      <c r="D2310" s="19" t="s">
        <v>7067</v>
      </c>
      <c r="E2310" s="19" t="s">
        <v>7067</v>
      </c>
      <c r="F2310" s="19" t="s">
        <v>7067</v>
      </c>
      <c r="G2310" s="19"/>
      <c r="H2310" s="19"/>
      <c r="I2310" s="20" t="n">
        <v>474.475</v>
      </c>
      <c r="J2310" s="19" t="n">
        <f aca="false">IF(I2310="","",MIN(Overview!$B$8,MAX(1,CEILING(I2310/Overview!$B$7,1))))</f>
        <v>95</v>
      </c>
      <c r="K2310" s="19" t="n">
        <v>1</v>
      </c>
      <c r="L2310" s="19"/>
      <c r="M2310" s="20"/>
      <c r="N2310" s="19"/>
      <c r="O2310" s="19" t="s">
        <v>7144</v>
      </c>
      <c r="P2310" s="19" t="s">
        <v>1946</v>
      </c>
      <c r="Q2310" s="19" t="s">
        <v>1091</v>
      </c>
      <c r="R2310" s="21" t="n">
        <v>45844</v>
      </c>
      <c r="S2310" s="19" t="s">
        <v>1013</v>
      </c>
      <c r="T2310" s="19" t="s">
        <v>7145</v>
      </c>
      <c r="U2310" s="19" t="str">
        <f aca="false">HYPERLINK("https://macaulaylibrary.org/asset/643642069","Open")</f>
        <v>Open</v>
      </c>
      <c r="V2310" s="19"/>
    </row>
    <row r="2311" customFormat="false" ht="15" hidden="false" customHeight="false" outlineLevel="0" collapsed="false">
      <c r="A2311" s="19" t="s">
        <v>7146</v>
      </c>
      <c r="B2311" s="19" t="s">
        <v>943</v>
      </c>
      <c r="C2311" s="19" t="s">
        <v>7066</v>
      </c>
      <c r="D2311" s="19" t="s">
        <v>7067</v>
      </c>
      <c r="E2311" s="19" t="s">
        <v>7067</v>
      </c>
      <c r="F2311" s="19" t="s">
        <v>7067</v>
      </c>
      <c r="G2311" s="19"/>
      <c r="H2311" s="19"/>
      <c r="I2311" s="20" t="n">
        <v>33.575</v>
      </c>
      <c r="J2311" s="19" t="n">
        <f aca="false">IF(I2311="","",MIN(Overview!$B$8,MAX(1,CEILING(I2311/Overview!$B$7,1))))</f>
        <v>7</v>
      </c>
      <c r="K2311" s="19" t="n">
        <v>1</v>
      </c>
      <c r="L2311" s="19"/>
      <c r="M2311" s="20"/>
      <c r="N2311" s="19"/>
      <c r="O2311" s="19"/>
      <c r="P2311" s="19" t="s">
        <v>1946</v>
      </c>
      <c r="Q2311" s="19" t="s">
        <v>1091</v>
      </c>
      <c r="R2311" s="21" t="n">
        <v>45844</v>
      </c>
      <c r="S2311" s="19" t="s">
        <v>1013</v>
      </c>
      <c r="T2311" s="19" t="s">
        <v>7147</v>
      </c>
      <c r="U2311" s="19" t="str">
        <f aca="false">HYPERLINK("https://macaulaylibrary.org/asset/643644220","Open")</f>
        <v>Open</v>
      </c>
      <c r="V2311" s="19"/>
    </row>
    <row r="2312" customFormat="false" ht="15" hidden="false" customHeight="false" outlineLevel="0" collapsed="false">
      <c r="A2312" s="19" t="s">
        <v>7148</v>
      </c>
      <c r="B2312" s="19" t="s">
        <v>943</v>
      </c>
      <c r="C2312" s="19" t="s">
        <v>7066</v>
      </c>
      <c r="D2312" s="19" t="s">
        <v>7067</v>
      </c>
      <c r="E2312" s="19" t="s">
        <v>7067</v>
      </c>
      <c r="F2312" s="19" t="s">
        <v>7067</v>
      </c>
      <c r="G2312" s="19"/>
      <c r="H2312" s="19"/>
      <c r="I2312" s="20" t="n">
        <v>76.09</v>
      </c>
      <c r="J2312" s="19" t="n">
        <f aca="false">IF(I2312="","",MIN(Overview!$B$8,MAX(1,CEILING(I2312/Overview!$B$7,1))))</f>
        <v>16</v>
      </c>
      <c r="K2312" s="19" t="n">
        <v>1</v>
      </c>
      <c r="L2312" s="19"/>
      <c r="M2312" s="20"/>
      <c r="N2312" s="19"/>
      <c r="O2312" s="19"/>
      <c r="P2312" s="19" t="s">
        <v>1674</v>
      </c>
      <c r="Q2312" s="19" t="s">
        <v>1091</v>
      </c>
      <c r="R2312" s="21" t="n">
        <v>45843</v>
      </c>
      <c r="S2312" s="19" t="s">
        <v>1009</v>
      </c>
      <c r="T2312" s="19" t="s">
        <v>7149</v>
      </c>
      <c r="U2312" s="19" t="str">
        <f aca="false">HYPERLINK("https://macaulaylibrary.org/asset/643658397","Open")</f>
        <v>Open</v>
      </c>
      <c r="V2312" s="19"/>
    </row>
    <row r="2313" customFormat="false" ht="15" hidden="false" customHeight="false" outlineLevel="0" collapsed="false">
      <c r="A2313" s="19" t="s">
        <v>7150</v>
      </c>
      <c r="B2313" s="19" t="s">
        <v>943</v>
      </c>
      <c r="C2313" s="19" t="s">
        <v>7066</v>
      </c>
      <c r="D2313" s="19" t="s">
        <v>7067</v>
      </c>
      <c r="E2313" s="19" t="s">
        <v>7067</v>
      </c>
      <c r="F2313" s="19" t="s">
        <v>7067</v>
      </c>
      <c r="G2313" s="19"/>
      <c r="H2313" s="19"/>
      <c r="I2313" s="20" t="n">
        <v>65.688</v>
      </c>
      <c r="J2313" s="19" t="n">
        <f aca="false">IF(I2313="","",MIN(Overview!$B$8,MAX(1,CEILING(I2313/Overview!$B$7,1))))</f>
        <v>14</v>
      </c>
      <c r="K2313" s="19" t="n">
        <v>1</v>
      </c>
      <c r="L2313" s="19"/>
      <c r="M2313" s="20"/>
      <c r="N2313" s="19"/>
      <c r="O2313" s="19"/>
      <c r="P2313" s="19" t="s">
        <v>1674</v>
      </c>
      <c r="Q2313" s="19" t="s">
        <v>1091</v>
      </c>
      <c r="R2313" s="21" t="n">
        <v>45843</v>
      </c>
      <c r="S2313" s="19" t="s">
        <v>1009</v>
      </c>
      <c r="T2313" s="19" t="s">
        <v>7151</v>
      </c>
      <c r="U2313" s="19" t="str">
        <f aca="false">HYPERLINK("https://macaulaylibrary.org/asset/643660928","Open")</f>
        <v>Open</v>
      </c>
      <c r="V2313" s="19"/>
    </row>
    <row r="2314" customFormat="false" ht="15" hidden="false" customHeight="false" outlineLevel="0" collapsed="false">
      <c r="A2314" s="19" t="s">
        <v>7152</v>
      </c>
      <c r="B2314" s="19" t="s">
        <v>943</v>
      </c>
      <c r="C2314" s="19" t="s">
        <v>7066</v>
      </c>
      <c r="D2314" s="19" t="s">
        <v>7067</v>
      </c>
      <c r="E2314" s="19" t="s">
        <v>7067</v>
      </c>
      <c r="F2314" s="19" t="s">
        <v>7067</v>
      </c>
      <c r="G2314" s="19"/>
      <c r="H2314" s="19"/>
      <c r="I2314" s="20" t="n">
        <v>53.59</v>
      </c>
      <c r="J2314" s="19" t="n">
        <f aca="false">IF(I2314="","",MIN(Overview!$B$8,MAX(1,CEILING(I2314/Overview!$B$7,1))))</f>
        <v>11</v>
      </c>
      <c r="K2314" s="19" t="n">
        <v>1</v>
      </c>
      <c r="L2314" s="19"/>
      <c r="M2314" s="20"/>
      <c r="N2314" s="19"/>
      <c r="O2314" s="19"/>
      <c r="P2314" s="19" t="s">
        <v>1674</v>
      </c>
      <c r="Q2314" s="19" t="s">
        <v>1091</v>
      </c>
      <c r="R2314" s="21" t="n">
        <v>45843</v>
      </c>
      <c r="S2314" s="19" t="s">
        <v>1009</v>
      </c>
      <c r="T2314" s="19" t="s">
        <v>7153</v>
      </c>
      <c r="U2314" s="19" t="str">
        <f aca="false">HYPERLINK("https://macaulaylibrary.org/asset/643661070","Open")</f>
        <v>Open</v>
      </c>
      <c r="V2314" s="19"/>
    </row>
    <row r="2315" customFormat="false" ht="15" hidden="false" customHeight="false" outlineLevel="0" collapsed="false">
      <c r="A2315" s="19" t="s">
        <v>7154</v>
      </c>
      <c r="B2315" s="19" t="s">
        <v>943</v>
      </c>
      <c r="C2315" s="19" t="s">
        <v>7066</v>
      </c>
      <c r="D2315" s="19" t="s">
        <v>7067</v>
      </c>
      <c r="E2315" s="19" t="s">
        <v>7067</v>
      </c>
      <c r="F2315" s="19" t="s">
        <v>7067</v>
      </c>
      <c r="G2315" s="19"/>
      <c r="H2315" s="19"/>
      <c r="I2315" s="20" t="n">
        <v>96.083</v>
      </c>
      <c r="J2315" s="19" t="n">
        <f aca="false">IF(I2315="","",MIN(Overview!$B$8,MAX(1,CEILING(I2315/Overview!$B$7,1))))</f>
        <v>20</v>
      </c>
      <c r="K2315" s="19" t="n">
        <v>1</v>
      </c>
      <c r="L2315" s="19"/>
      <c r="M2315" s="20"/>
      <c r="N2315" s="19"/>
      <c r="O2315" s="19"/>
      <c r="P2315" s="19" t="s">
        <v>1674</v>
      </c>
      <c r="Q2315" s="19" t="s">
        <v>1091</v>
      </c>
      <c r="R2315" s="21" t="n">
        <v>45843</v>
      </c>
      <c r="S2315" s="19" t="s">
        <v>1009</v>
      </c>
      <c r="T2315" s="19" t="s">
        <v>7155</v>
      </c>
      <c r="U2315" s="19" t="str">
        <f aca="false">HYPERLINK("https://macaulaylibrary.org/asset/643661181","Open")</f>
        <v>Open</v>
      </c>
      <c r="V2315" s="19"/>
    </row>
    <row r="2316" customFormat="false" ht="15" hidden="false" customHeight="false" outlineLevel="0" collapsed="false">
      <c r="A2316" s="19" t="s">
        <v>7156</v>
      </c>
      <c r="B2316" s="19" t="s">
        <v>943</v>
      </c>
      <c r="C2316" s="19" t="s">
        <v>7066</v>
      </c>
      <c r="D2316" s="19" t="s">
        <v>7067</v>
      </c>
      <c r="E2316" s="19" t="s">
        <v>7067</v>
      </c>
      <c r="F2316" s="19" t="s">
        <v>7067</v>
      </c>
      <c r="G2316" s="19"/>
      <c r="H2316" s="19"/>
      <c r="I2316" s="20" t="n">
        <v>99.758</v>
      </c>
      <c r="J2316" s="19" t="n">
        <f aca="false">IF(I2316="","",MIN(Overview!$B$8,MAX(1,CEILING(I2316/Overview!$B$7,1))))</f>
        <v>20</v>
      </c>
      <c r="K2316" s="19" t="n">
        <v>1</v>
      </c>
      <c r="L2316" s="19"/>
      <c r="M2316" s="20" t="n">
        <v>3</v>
      </c>
      <c r="N2316" s="19"/>
      <c r="O2316" s="19"/>
      <c r="P2316" s="19" t="s">
        <v>7157</v>
      </c>
      <c r="Q2316" s="19" t="s">
        <v>1368</v>
      </c>
      <c r="R2316" s="21" t="n">
        <v>45982</v>
      </c>
      <c r="S2316" s="19" t="s">
        <v>7158</v>
      </c>
      <c r="T2316" s="19" t="s">
        <v>7159</v>
      </c>
      <c r="U2316" s="19" t="str">
        <f aca="false">HYPERLINK("https://macaulaylibrary.org/asset/646193351","Open")</f>
        <v>Open</v>
      </c>
      <c r="V2316" s="19"/>
    </row>
    <row r="2317" customFormat="false" ht="15" hidden="false" customHeight="false" outlineLevel="0" collapsed="false">
      <c r="A2317" s="19" t="s">
        <v>7160</v>
      </c>
      <c r="B2317" s="19" t="s">
        <v>943</v>
      </c>
      <c r="C2317" s="19" t="s">
        <v>7066</v>
      </c>
      <c r="D2317" s="19" t="s">
        <v>7067</v>
      </c>
      <c r="E2317" s="19" t="s">
        <v>7067</v>
      </c>
      <c r="F2317" s="19" t="s">
        <v>7067</v>
      </c>
      <c r="G2317" s="19"/>
      <c r="H2317" s="19"/>
      <c r="I2317" s="20" t="n">
        <v>148.349</v>
      </c>
      <c r="J2317" s="19" t="n">
        <f aca="false">IF(I2317="","",MIN(Overview!$B$8,MAX(1,CEILING(I2317/Overview!$B$7,1))))</f>
        <v>30</v>
      </c>
      <c r="K2317" s="19" t="n">
        <v>1</v>
      </c>
      <c r="L2317" s="19"/>
      <c r="M2317" s="20"/>
      <c r="N2317" s="19"/>
      <c r="O2317" s="19"/>
      <c r="P2317" s="19" t="s">
        <v>7157</v>
      </c>
      <c r="Q2317" s="19" t="s">
        <v>1368</v>
      </c>
      <c r="R2317" s="21" t="n">
        <v>45982</v>
      </c>
      <c r="S2317" s="19" t="s">
        <v>7158</v>
      </c>
      <c r="T2317" s="19" t="s">
        <v>7161</v>
      </c>
      <c r="U2317" s="19" t="str">
        <f aca="false">HYPERLINK("https://macaulaylibrary.org/asset/646522105","Open")</f>
        <v>Open</v>
      </c>
      <c r="V2317" s="19"/>
    </row>
    <row r="2318" customFormat="false" ht="15" hidden="false" customHeight="false" outlineLevel="0" collapsed="false">
      <c r="A2318" s="19" t="s">
        <v>7162</v>
      </c>
      <c r="B2318" s="19" t="s">
        <v>943</v>
      </c>
      <c r="C2318" s="19" t="s">
        <v>7066</v>
      </c>
      <c r="D2318" s="19" t="s">
        <v>7067</v>
      </c>
      <c r="E2318" s="19" t="s">
        <v>7067</v>
      </c>
      <c r="F2318" s="19" t="s">
        <v>7067</v>
      </c>
      <c r="G2318" s="19"/>
      <c r="H2318" s="19"/>
      <c r="I2318" s="20" t="n">
        <v>133.257</v>
      </c>
      <c r="J2318" s="19" t="n">
        <f aca="false">IF(I2318="","",MIN(Overview!$B$8,MAX(1,CEILING(I2318/Overview!$B$7,1))))</f>
        <v>27</v>
      </c>
      <c r="K2318" s="19" t="n">
        <v>1</v>
      </c>
      <c r="L2318" s="19"/>
      <c r="M2318" s="20" t="n">
        <v>3</v>
      </c>
      <c r="N2318" s="19"/>
      <c r="O2318" s="19" t="s">
        <v>7163</v>
      </c>
      <c r="P2318" s="19" t="s">
        <v>1824</v>
      </c>
      <c r="Q2318" s="19" t="s">
        <v>1502</v>
      </c>
      <c r="R2318" s="21" t="n">
        <v>45938</v>
      </c>
      <c r="S2318" s="19" t="s">
        <v>1825</v>
      </c>
      <c r="T2318" s="19" t="s">
        <v>7164</v>
      </c>
      <c r="U2318" s="19" t="str">
        <f aca="false">HYPERLINK("https://macaulaylibrary.org/asset/648628361","Open")</f>
        <v>Open</v>
      </c>
      <c r="V2318" s="19"/>
    </row>
    <row r="2319" customFormat="false" ht="15" hidden="false" customHeight="false" outlineLevel="0" collapsed="false">
      <c r="A2319" s="19" t="s">
        <v>7165</v>
      </c>
      <c r="B2319" s="19" t="s">
        <v>943</v>
      </c>
      <c r="C2319" s="19" t="s">
        <v>7066</v>
      </c>
      <c r="D2319" s="19" t="s">
        <v>7067</v>
      </c>
      <c r="E2319" s="19" t="s">
        <v>7067</v>
      </c>
      <c r="F2319" s="19" t="s">
        <v>7067</v>
      </c>
      <c r="G2319" s="19"/>
      <c r="H2319" s="19"/>
      <c r="I2319" s="20" t="n">
        <v>57.493</v>
      </c>
      <c r="J2319" s="19" t="n">
        <f aca="false">IF(I2319="","",MIN(Overview!$B$8,MAX(1,CEILING(I2319/Overview!$B$7,1))))</f>
        <v>12</v>
      </c>
      <c r="K2319" s="19" t="n">
        <v>1</v>
      </c>
      <c r="L2319" s="19"/>
      <c r="M2319" s="20" t="n">
        <v>3</v>
      </c>
      <c r="N2319" s="19"/>
      <c r="O2319" s="19" t="s">
        <v>7166</v>
      </c>
      <c r="P2319" s="19" t="s">
        <v>1501</v>
      </c>
      <c r="Q2319" s="19" t="s">
        <v>1502</v>
      </c>
      <c r="R2319" s="21" t="n">
        <v>45939</v>
      </c>
      <c r="S2319" s="19" t="s">
        <v>1503</v>
      </c>
      <c r="T2319" s="19" t="s">
        <v>7167</v>
      </c>
      <c r="U2319" s="19" t="str">
        <f aca="false">HYPERLINK("https://macaulaylibrary.org/asset/648704445","Open")</f>
        <v>Open</v>
      </c>
      <c r="V2319" s="19"/>
    </row>
    <row r="2320" customFormat="false" ht="15" hidden="false" customHeight="false" outlineLevel="0" collapsed="false">
      <c r="A2320" s="19" t="s">
        <v>7168</v>
      </c>
      <c r="B2320" s="19" t="s">
        <v>943</v>
      </c>
      <c r="C2320" s="19" t="s">
        <v>7066</v>
      </c>
      <c r="D2320" s="19" t="s">
        <v>7067</v>
      </c>
      <c r="E2320" s="19" t="s">
        <v>7067</v>
      </c>
      <c r="F2320" s="19" t="s">
        <v>7067</v>
      </c>
      <c r="G2320" s="19"/>
      <c r="H2320" s="19"/>
      <c r="I2320" s="20" t="n">
        <v>77.218</v>
      </c>
      <c r="J2320" s="19" t="n">
        <f aca="false">IF(I2320="","",MIN(Overview!$B$8,MAX(1,CEILING(I2320/Overview!$B$7,1))))</f>
        <v>16</v>
      </c>
      <c r="K2320" s="19" t="n">
        <v>1</v>
      </c>
      <c r="L2320" s="19"/>
      <c r="M2320" s="20" t="n">
        <v>3</v>
      </c>
      <c r="N2320" s="19"/>
      <c r="O2320" s="19" t="s">
        <v>7169</v>
      </c>
      <c r="P2320" s="19" t="s">
        <v>1501</v>
      </c>
      <c r="Q2320" s="19" t="s">
        <v>1502</v>
      </c>
      <c r="R2320" s="21" t="n">
        <v>45939</v>
      </c>
      <c r="S2320" s="19" t="s">
        <v>1503</v>
      </c>
      <c r="T2320" s="19" t="s">
        <v>7170</v>
      </c>
      <c r="U2320" s="19" t="str">
        <f aca="false">HYPERLINK("https://macaulaylibrary.org/asset/648704446","Open")</f>
        <v>Open</v>
      </c>
      <c r="V2320" s="19"/>
    </row>
    <row r="2321" customFormat="false" ht="15" hidden="false" customHeight="false" outlineLevel="0" collapsed="false">
      <c r="A2321" s="19" t="s">
        <v>7171</v>
      </c>
      <c r="B2321" s="19" t="s">
        <v>943</v>
      </c>
      <c r="C2321" s="19" t="s">
        <v>7066</v>
      </c>
      <c r="D2321" s="19" t="s">
        <v>7067</v>
      </c>
      <c r="E2321" s="19" t="s">
        <v>7067</v>
      </c>
      <c r="F2321" s="19" t="s">
        <v>7067</v>
      </c>
      <c r="G2321" s="19"/>
      <c r="H2321" s="19"/>
      <c r="I2321" s="20" t="n">
        <v>68.383</v>
      </c>
      <c r="J2321" s="19" t="n">
        <f aca="false">IF(I2321="","",MIN(Overview!$B$8,MAX(1,CEILING(I2321/Overview!$B$7,1))))</f>
        <v>14</v>
      </c>
      <c r="K2321" s="19" t="n">
        <v>1</v>
      </c>
      <c r="L2321" s="19"/>
      <c r="M2321" s="20" t="n">
        <v>3</v>
      </c>
      <c r="N2321" s="19"/>
      <c r="O2321" s="19" t="s">
        <v>7172</v>
      </c>
      <c r="P2321" s="19" t="s">
        <v>1501</v>
      </c>
      <c r="Q2321" s="19" t="s">
        <v>1502</v>
      </c>
      <c r="R2321" s="21" t="n">
        <v>45939</v>
      </c>
      <c r="S2321" s="19" t="s">
        <v>1503</v>
      </c>
      <c r="T2321" s="19" t="s">
        <v>7173</v>
      </c>
      <c r="U2321" s="19" t="str">
        <f aca="false">HYPERLINK("https://macaulaylibrary.org/asset/648704447","Open")</f>
        <v>Open</v>
      </c>
      <c r="V2321" s="19"/>
    </row>
    <row r="2322" customFormat="false" ht="15" hidden="false" customHeight="false" outlineLevel="0" collapsed="false">
      <c r="A2322" s="19" t="s">
        <v>7174</v>
      </c>
      <c r="B2322" s="19" t="s">
        <v>943</v>
      </c>
      <c r="C2322" s="19" t="s">
        <v>7066</v>
      </c>
      <c r="D2322" s="19" t="s">
        <v>7067</v>
      </c>
      <c r="E2322" s="19" t="s">
        <v>7067</v>
      </c>
      <c r="F2322" s="19" t="s">
        <v>7067</v>
      </c>
      <c r="G2322" s="19"/>
      <c r="H2322" s="19"/>
      <c r="I2322" s="20" t="n">
        <v>84.977</v>
      </c>
      <c r="J2322" s="19" t="n">
        <f aca="false">IF(I2322="","",MIN(Overview!$B$8,MAX(1,CEILING(I2322/Overview!$B$7,1))))</f>
        <v>17</v>
      </c>
      <c r="K2322" s="19" t="n">
        <v>1</v>
      </c>
      <c r="L2322" s="19"/>
      <c r="M2322" s="20" t="n">
        <v>3</v>
      </c>
      <c r="N2322" s="19"/>
      <c r="O2322" s="19" t="s">
        <v>7175</v>
      </c>
      <c r="P2322" s="19" t="s">
        <v>3050</v>
      </c>
      <c r="Q2322" s="19" t="s">
        <v>1502</v>
      </c>
      <c r="R2322" s="21" t="n">
        <v>45940</v>
      </c>
      <c r="S2322" s="19" t="s">
        <v>1643</v>
      </c>
      <c r="T2322" s="19" t="s">
        <v>7176</v>
      </c>
      <c r="U2322" s="19" t="str">
        <f aca="false">HYPERLINK("https://macaulaylibrary.org/asset/648780655","Open")</f>
        <v>Open</v>
      </c>
      <c r="V2322" s="19"/>
    </row>
    <row r="2323" customFormat="false" ht="15" hidden="false" customHeight="false" outlineLevel="0" collapsed="false">
      <c r="A2323" s="19" t="s">
        <v>7177</v>
      </c>
      <c r="B2323" s="19" t="s">
        <v>943</v>
      </c>
      <c r="C2323" s="19" t="s">
        <v>7066</v>
      </c>
      <c r="D2323" s="19" t="s">
        <v>7067</v>
      </c>
      <c r="E2323" s="19" t="s">
        <v>7067</v>
      </c>
      <c r="F2323" s="19" t="s">
        <v>7067</v>
      </c>
      <c r="G2323" s="19"/>
      <c r="H2323" s="19"/>
      <c r="I2323" s="20" t="n">
        <v>87.399</v>
      </c>
      <c r="J2323" s="19" t="n">
        <f aca="false">IF(I2323="","",MIN(Overview!$B$8,MAX(1,CEILING(I2323/Overview!$B$7,1))))</f>
        <v>18</v>
      </c>
      <c r="K2323" s="19" t="n">
        <v>1</v>
      </c>
      <c r="L2323" s="19"/>
      <c r="M2323" s="20" t="n">
        <v>3</v>
      </c>
      <c r="N2323" s="19"/>
      <c r="O2323" s="19" t="s">
        <v>7178</v>
      </c>
      <c r="P2323" s="19" t="s">
        <v>3050</v>
      </c>
      <c r="Q2323" s="19" t="s">
        <v>1502</v>
      </c>
      <c r="R2323" s="21" t="n">
        <v>45940</v>
      </c>
      <c r="S2323" s="19" t="s">
        <v>1643</v>
      </c>
      <c r="T2323" s="19" t="s">
        <v>7179</v>
      </c>
      <c r="U2323" s="19" t="str">
        <f aca="false">HYPERLINK("https://macaulaylibrary.org/asset/648780656","Open")</f>
        <v>Open</v>
      </c>
      <c r="V2323" s="19"/>
    </row>
    <row r="2324" customFormat="false" ht="15" hidden="false" customHeight="false" outlineLevel="0" collapsed="false">
      <c r="A2324" s="19" t="s">
        <v>7180</v>
      </c>
      <c r="B2324" s="19" t="s">
        <v>943</v>
      </c>
      <c r="C2324" s="19" t="s">
        <v>7066</v>
      </c>
      <c r="D2324" s="19" t="s">
        <v>7067</v>
      </c>
      <c r="E2324" s="19" t="s">
        <v>7067</v>
      </c>
      <c r="F2324" s="19" t="s">
        <v>7067</v>
      </c>
      <c r="G2324" s="19"/>
      <c r="H2324" s="19"/>
      <c r="I2324" s="20" t="n">
        <v>103.686</v>
      </c>
      <c r="J2324" s="19" t="n">
        <f aca="false">IF(I2324="","",MIN(Overview!$B$8,MAX(1,CEILING(I2324/Overview!$B$7,1))))</f>
        <v>21</v>
      </c>
      <c r="K2324" s="19" t="n">
        <v>1</v>
      </c>
      <c r="L2324" s="19"/>
      <c r="M2324" s="20" t="n">
        <v>4</v>
      </c>
      <c r="N2324" s="19"/>
      <c r="O2324" s="19" t="s">
        <v>7181</v>
      </c>
      <c r="P2324" s="19" t="s">
        <v>3050</v>
      </c>
      <c r="Q2324" s="19" t="s">
        <v>1502</v>
      </c>
      <c r="R2324" s="21" t="n">
        <v>45940</v>
      </c>
      <c r="S2324" s="19" t="s">
        <v>1643</v>
      </c>
      <c r="T2324" s="19" t="s">
        <v>7182</v>
      </c>
      <c r="U2324" s="19" t="str">
        <f aca="false">HYPERLINK("https://macaulaylibrary.org/asset/648780657","Open")</f>
        <v>Open</v>
      </c>
      <c r="V2324" s="19"/>
    </row>
    <row r="2325" customFormat="false" ht="15" hidden="false" customHeight="false" outlineLevel="0" collapsed="false">
      <c r="A2325" s="19" t="s">
        <v>7183</v>
      </c>
      <c r="B2325" s="19" t="s">
        <v>943</v>
      </c>
      <c r="C2325" s="19" t="s">
        <v>7066</v>
      </c>
      <c r="D2325" s="19" t="s">
        <v>7067</v>
      </c>
      <c r="E2325" s="19" t="s">
        <v>7067</v>
      </c>
      <c r="F2325" s="19" t="s">
        <v>7067</v>
      </c>
      <c r="G2325" s="19"/>
      <c r="H2325" s="19"/>
      <c r="I2325" s="20" t="n">
        <v>19.383</v>
      </c>
      <c r="J2325" s="19" t="n">
        <f aca="false">IF(I2325="","",MIN(Overview!$B$8,MAX(1,CEILING(I2325/Overview!$B$7,1))))</f>
        <v>4</v>
      </c>
      <c r="K2325" s="19" t="n">
        <v>1</v>
      </c>
      <c r="L2325" s="19"/>
      <c r="M2325" s="20"/>
      <c r="N2325" s="19"/>
      <c r="O2325" s="19"/>
      <c r="P2325" s="19" t="s">
        <v>5972</v>
      </c>
      <c r="Q2325" s="19" t="s">
        <v>5973</v>
      </c>
      <c r="R2325" s="21" t="n">
        <v>46067</v>
      </c>
      <c r="S2325" s="19" t="s">
        <v>5974</v>
      </c>
      <c r="T2325" s="19" t="s">
        <v>7184</v>
      </c>
      <c r="U2325" s="19" t="str">
        <f aca="false">HYPERLINK("https://macaulaylibrary.org/asset/652408239","Open")</f>
        <v>Open</v>
      </c>
      <c r="V2325" s="19"/>
    </row>
    <row r="2326" customFormat="false" ht="15" hidden="false" customHeight="false" outlineLevel="0" collapsed="false">
      <c r="A2326" s="19" t="s">
        <v>7185</v>
      </c>
      <c r="B2326" s="19" t="s">
        <v>943</v>
      </c>
      <c r="C2326" s="19" t="s">
        <v>7066</v>
      </c>
      <c r="D2326" s="19" t="s">
        <v>7067</v>
      </c>
      <c r="E2326" s="19" t="s">
        <v>7067</v>
      </c>
      <c r="F2326" s="19" t="s">
        <v>7067</v>
      </c>
      <c r="G2326" s="19"/>
      <c r="H2326" s="19"/>
      <c r="I2326" s="20" t="n">
        <v>33.593</v>
      </c>
      <c r="J2326" s="19" t="n">
        <f aca="false">IF(I2326="","",MIN(Overview!$B$8,MAX(1,CEILING(I2326/Overview!$B$7,1))))</f>
        <v>7</v>
      </c>
      <c r="K2326" s="19" t="n">
        <v>1</v>
      </c>
      <c r="L2326" s="19"/>
      <c r="M2326" s="20"/>
      <c r="N2326" s="19"/>
      <c r="O2326" s="19"/>
      <c r="P2326" s="19" t="s">
        <v>5972</v>
      </c>
      <c r="Q2326" s="19" t="s">
        <v>5973</v>
      </c>
      <c r="R2326" s="21" t="n">
        <v>46067</v>
      </c>
      <c r="S2326" s="19" t="s">
        <v>5974</v>
      </c>
      <c r="T2326" s="19" t="s">
        <v>7186</v>
      </c>
      <c r="U2326" s="19" t="str">
        <f aca="false">HYPERLINK("https://macaulaylibrary.org/asset/652408240","Open")</f>
        <v>Open</v>
      </c>
      <c r="V2326" s="19"/>
    </row>
    <row r="2327" customFormat="false" ht="15" hidden="false" customHeight="false" outlineLevel="0" collapsed="false">
      <c r="A2327" s="19" t="s">
        <v>7187</v>
      </c>
      <c r="B2327" s="19" t="s">
        <v>943</v>
      </c>
      <c r="C2327" s="19" t="s">
        <v>7066</v>
      </c>
      <c r="D2327" s="19" t="s">
        <v>7067</v>
      </c>
      <c r="E2327" s="19" t="s">
        <v>7067</v>
      </c>
      <c r="F2327" s="19" t="s">
        <v>7067</v>
      </c>
      <c r="G2327" s="19"/>
      <c r="H2327" s="19"/>
      <c r="I2327" s="20" t="n">
        <v>32.888</v>
      </c>
      <c r="J2327" s="19" t="n">
        <f aca="false">IF(I2327="","",MIN(Overview!$B$8,MAX(1,CEILING(I2327/Overview!$B$7,1))))</f>
        <v>7</v>
      </c>
      <c r="K2327" s="19" t="n">
        <v>1</v>
      </c>
      <c r="L2327" s="19"/>
      <c r="M2327" s="20"/>
      <c r="N2327" s="19"/>
      <c r="O2327" s="19"/>
      <c r="P2327" s="19" t="s">
        <v>5972</v>
      </c>
      <c r="Q2327" s="19" t="s">
        <v>5973</v>
      </c>
      <c r="R2327" s="21" t="n">
        <v>46067</v>
      </c>
      <c r="S2327" s="19" t="s">
        <v>5974</v>
      </c>
      <c r="T2327" s="19" t="s">
        <v>7188</v>
      </c>
      <c r="U2327" s="19" t="str">
        <f aca="false">HYPERLINK("https://macaulaylibrary.org/asset/652408241","Open")</f>
        <v>Open</v>
      </c>
      <c r="V2327" s="19"/>
    </row>
    <row r="2328" customFormat="false" ht="15" hidden="false" customHeight="false" outlineLevel="0" collapsed="false">
      <c r="A2328" s="19" t="s">
        <v>7189</v>
      </c>
      <c r="B2328" s="19" t="s">
        <v>943</v>
      </c>
      <c r="C2328" s="19" t="s">
        <v>7066</v>
      </c>
      <c r="D2328" s="19" t="s">
        <v>7067</v>
      </c>
      <c r="E2328" s="19" t="s">
        <v>7067</v>
      </c>
      <c r="F2328" s="19" t="s">
        <v>7067</v>
      </c>
      <c r="G2328" s="19"/>
      <c r="H2328" s="19"/>
      <c r="I2328" s="20" t="n">
        <v>261.533</v>
      </c>
      <c r="J2328" s="19" t="n">
        <f aca="false">IF(I2328="","",MIN(Overview!$B$8,MAX(1,CEILING(I2328/Overview!$B$7,1))))</f>
        <v>53</v>
      </c>
      <c r="K2328" s="19" t="n">
        <v>1</v>
      </c>
      <c r="L2328" s="19"/>
      <c r="M2328" s="20"/>
      <c r="N2328" s="19"/>
      <c r="O2328" s="19"/>
      <c r="P2328" s="19" t="s">
        <v>7190</v>
      </c>
      <c r="Q2328" s="19" t="s">
        <v>7191</v>
      </c>
      <c r="R2328" s="21" t="n">
        <v>46131</v>
      </c>
      <c r="S2328" s="19" t="s">
        <v>2008</v>
      </c>
      <c r="T2328" s="19" t="s">
        <v>7192</v>
      </c>
      <c r="U2328" s="19" t="str">
        <f aca="false">HYPERLINK("https://macaulaylibrary.org/asset/655329770","Open")</f>
        <v>Open</v>
      </c>
      <c r="V2328" s="19"/>
    </row>
    <row r="2329" customFormat="false" ht="15" hidden="false" customHeight="false" outlineLevel="0" collapsed="false">
      <c r="A2329" s="19" t="s">
        <v>7193</v>
      </c>
      <c r="B2329" s="19" t="s">
        <v>943</v>
      </c>
      <c r="C2329" s="19" t="s">
        <v>7066</v>
      </c>
      <c r="D2329" s="19" t="s">
        <v>7067</v>
      </c>
      <c r="E2329" s="19" t="s">
        <v>7067</v>
      </c>
      <c r="F2329" s="19" t="s">
        <v>7067</v>
      </c>
      <c r="G2329" s="19"/>
      <c r="H2329" s="19"/>
      <c r="I2329" s="20" t="n">
        <v>325.622</v>
      </c>
      <c r="J2329" s="19" t="n">
        <f aca="false">IF(I2329="","",MIN(Overview!$B$8,MAX(1,CEILING(I2329/Overview!$B$7,1))))</f>
        <v>66</v>
      </c>
      <c r="K2329" s="19" t="n">
        <v>1</v>
      </c>
      <c r="L2329" s="19"/>
      <c r="M2329" s="20" t="n">
        <v>3</v>
      </c>
      <c r="N2329" s="19"/>
      <c r="O2329" s="19"/>
      <c r="P2329" s="19" t="s">
        <v>2285</v>
      </c>
      <c r="Q2329" s="19" t="s">
        <v>980</v>
      </c>
      <c r="R2329" s="21" t="n">
        <v>33298</v>
      </c>
      <c r="S2329" s="19" t="s">
        <v>1002</v>
      </c>
      <c r="T2329" s="19" t="s">
        <v>7194</v>
      </c>
      <c r="U2329" s="19" t="str">
        <f aca="false">HYPERLINK("https://macaulaylibrary.org/asset/72639","Open")</f>
        <v>Open</v>
      </c>
      <c r="V2329" s="19"/>
    </row>
    <row r="2330" customFormat="false" ht="15" hidden="false" customHeight="false" outlineLevel="0" collapsed="false">
      <c r="A2330" s="19" t="s">
        <v>7195</v>
      </c>
      <c r="B2330" s="19" t="s">
        <v>943</v>
      </c>
      <c r="C2330" s="19" t="s">
        <v>7066</v>
      </c>
      <c r="D2330" s="19" t="s">
        <v>7067</v>
      </c>
      <c r="E2330" s="19" t="s">
        <v>7067</v>
      </c>
      <c r="F2330" s="19" t="s">
        <v>7067</v>
      </c>
      <c r="G2330" s="19"/>
      <c r="H2330" s="19"/>
      <c r="I2330" s="20" t="n">
        <v>370.935</v>
      </c>
      <c r="J2330" s="19" t="n">
        <f aca="false">IF(I2330="","",MIN(Overview!$B$8,MAX(1,CEILING(I2330/Overview!$B$7,1))))</f>
        <v>75</v>
      </c>
      <c r="K2330" s="19" t="n">
        <v>1</v>
      </c>
      <c r="L2330" s="19"/>
      <c r="M2330" s="20" t="n">
        <v>2</v>
      </c>
      <c r="N2330" s="19"/>
      <c r="O2330" s="19"/>
      <c r="P2330" s="19" t="s">
        <v>1214</v>
      </c>
      <c r="Q2330" s="19" t="s">
        <v>980</v>
      </c>
      <c r="R2330" s="21" t="n">
        <v>33300</v>
      </c>
      <c r="S2330" s="19"/>
      <c r="T2330" s="19" t="s">
        <v>7196</v>
      </c>
      <c r="U2330" s="19" t="str">
        <f aca="false">HYPERLINK("https://macaulaylibrary.org/asset/72668","Open")</f>
        <v>Open</v>
      </c>
      <c r="V2330" s="19"/>
    </row>
    <row r="2331" customFormat="false" ht="15" hidden="false" customHeight="false" outlineLevel="0" collapsed="false">
      <c r="A2331" s="19" t="s">
        <v>7197</v>
      </c>
      <c r="B2331" s="19" t="s">
        <v>943</v>
      </c>
      <c r="C2331" s="19" t="s">
        <v>7066</v>
      </c>
      <c r="D2331" s="19" t="s">
        <v>7067</v>
      </c>
      <c r="E2331" s="19" t="s">
        <v>7067</v>
      </c>
      <c r="F2331" s="19" t="s">
        <v>7067</v>
      </c>
      <c r="G2331" s="19"/>
      <c r="H2331" s="19"/>
      <c r="I2331" s="20" t="n">
        <v>258.644</v>
      </c>
      <c r="J2331" s="19" t="n">
        <f aca="false">IF(I2331="","",MIN(Overview!$B$8,MAX(1,CEILING(I2331/Overview!$B$7,1))))</f>
        <v>52</v>
      </c>
      <c r="K2331" s="19" t="n">
        <v>1</v>
      </c>
      <c r="L2331" s="19"/>
      <c r="M2331" s="20" t="n">
        <v>2</v>
      </c>
      <c r="N2331" s="19"/>
      <c r="O2331" s="19"/>
      <c r="P2331" s="19" t="s">
        <v>1214</v>
      </c>
      <c r="Q2331" s="19" t="s">
        <v>980</v>
      </c>
      <c r="R2331" s="21" t="n">
        <v>33300</v>
      </c>
      <c r="S2331" s="19" t="s">
        <v>1002</v>
      </c>
      <c r="T2331" s="19" t="s">
        <v>7198</v>
      </c>
      <c r="U2331" s="19" t="str">
        <f aca="false">HYPERLINK("https://macaulaylibrary.org/asset/72677","Open")</f>
        <v>Open</v>
      </c>
      <c r="V2331" s="19"/>
    </row>
    <row r="2332" customFormat="false" ht="15" hidden="false" customHeight="false" outlineLevel="0" collapsed="false">
      <c r="A2332" s="19" t="s">
        <v>7199</v>
      </c>
      <c r="B2332" s="19" t="s">
        <v>943</v>
      </c>
      <c r="C2332" s="19" t="s">
        <v>7066</v>
      </c>
      <c r="D2332" s="19" t="s">
        <v>7067</v>
      </c>
      <c r="E2332" s="19" t="s">
        <v>7067</v>
      </c>
      <c r="F2332" s="19" t="s">
        <v>7067</v>
      </c>
      <c r="G2332" s="19"/>
      <c r="H2332" s="19"/>
      <c r="I2332" s="20" t="n">
        <v>34.408</v>
      </c>
      <c r="J2332" s="19" t="n">
        <f aca="false">IF(I2332="","",MIN(Overview!$B$8,MAX(1,CEILING(I2332/Overview!$B$7,1))))</f>
        <v>7</v>
      </c>
      <c r="K2332" s="19" t="n">
        <v>1</v>
      </c>
      <c r="L2332" s="19"/>
      <c r="M2332" s="20" t="n">
        <v>3</v>
      </c>
      <c r="N2332" s="19"/>
      <c r="O2332" s="19"/>
      <c r="P2332" s="19" t="s">
        <v>4463</v>
      </c>
      <c r="Q2332" s="19" t="s">
        <v>980</v>
      </c>
      <c r="R2332" s="21"/>
      <c r="S2332" s="19" t="s">
        <v>1002</v>
      </c>
      <c r="T2332" s="19" t="s">
        <v>7200</v>
      </c>
      <c r="U2332" s="19" t="str">
        <f aca="false">HYPERLINK("https://macaulaylibrary.org/asset/74221","Open")</f>
        <v>Open</v>
      </c>
      <c r="V2332" s="19"/>
    </row>
    <row r="2333" customFormat="false" ht="15" hidden="false" customHeight="false" outlineLevel="0" collapsed="false">
      <c r="A2333" s="19" t="s">
        <v>7201</v>
      </c>
      <c r="B2333" s="19" t="s">
        <v>943</v>
      </c>
      <c r="C2333" s="19" t="s">
        <v>7202</v>
      </c>
      <c r="D2333" s="19" t="s">
        <v>400</v>
      </c>
      <c r="E2333" s="19" t="s">
        <v>147</v>
      </c>
      <c r="F2333" s="19" t="s">
        <v>490</v>
      </c>
      <c r="G2333" s="19" t="n">
        <v>0</v>
      </c>
      <c r="H2333" s="19" t="s">
        <v>491</v>
      </c>
      <c r="I2333" s="20" t="n">
        <v>25.106</v>
      </c>
      <c r="J2333" s="19" t="n">
        <f aca="false">IF(I2333="","",MIN(Overview!$B$8,MAX(1,CEILING(I2333/Overview!$B$7,1))))</f>
        <v>6</v>
      </c>
      <c r="K2333" s="19" t="n">
        <v>1</v>
      </c>
      <c r="L2333" s="19"/>
      <c r="M2333" s="20" t="n">
        <v>4.67</v>
      </c>
      <c r="N2333" s="19"/>
      <c r="O2333" s="19"/>
      <c r="P2333" s="19" t="s">
        <v>2398</v>
      </c>
      <c r="Q2333" s="19" t="s">
        <v>951</v>
      </c>
      <c r="R2333" s="21" t="n">
        <v>45222</v>
      </c>
      <c r="S2333" s="19" t="s">
        <v>1098</v>
      </c>
      <c r="T2333" s="19" t="s">
        <v>7203</v>
      </c>
      <c r="U2333" s="19" t="str">
        <f aca="false">HYPERLINK("https://macaulaylibrary.org/asset/610542366","Open")</f>
        <v>Open</v>
      </c>
      <c r="V2333" s="19"/>
    </row>
    <row r="2334" customFormat="false" ht="15" hidden="false" customHeight="false" outlineLevel="0" collapsed="false">
      <c r="A2334" s="19" t="s">
        <v>7204</v>
      </c>
      <c r="B2334" s="19" t="s">
        <v>943</v>
      </c>
      <c r="C2334" s="19" t="s">
        <v>7202</v>
      </c>
      <c r="D2334" s="19" t="s">
        <v>613</v>
      </c>
      <c r="E2334" s="19" t="s">
        <v>147</v>
      </c>
      <c r="F2334" s="19" t="s">
        <v>752</v>
      </c>
      <c r="G2334" s="19" t="n">
        <v>1</v>
      </c>
      <c r="H2334" s="19" t="s">
        <v>753</v>
      </c>
      <c r="I2334" s="20" t="n">
        <v>158.08</v>
      </c>
      <c r="J2334" s="19" t="n">
        <f aca="false">IF(I2334="","",MIN(Overview!$B$8,MAX(1,CEILING(I2334/Overview!$B$7,1))))</f>
        <v>32</v>
      </c>
      <c r="K2334" s="19" t="n">
        <v>1</v>
      </c>
      <c r="L2334" s="19"/>
      <c r="M2334" s="20" t="n">
        <v>3</v>
      </c>
      <c r="N2334" s="19"/>
      <c r="O2334" s="19"/>
      <c r="P2334" s="19" t="s">
        <v>4608</v>
      </c>
      <c r="Q2334" s="19" t="s">
        <v>1091</v>
      </c>
      <c r="R2334" s="21" t="n">
        <v>45844</v>
      </c>
      <c r="S2334" s="19" t="s">
        <v>4609</v>
      </c>
      <c r="T2334" s="19" t="s">
        <v>7205</v>
      </c>
      <c r="U2334" s="19" t="str">
        <f aca="false">HYPERLINK("https://macaulaylibrary.org/asset/643642013","Open")</f>
        <v>Open</v>
      </c>
      <c r="V2334" s="19"/>
    </row>
    <row r="2335" customFormat="false" ht="15" hidden="false" customHeight="false" outlineLevel="0" collapsed="false">
      <c r="A2335" s="19" t="s">
        <v>7206</v>
      </c>
      <c r="B2335" s="19" t="s">
        <v>943</v>
      </c>
      <c r="C2335" s="19" t="s">
        <v>7202</v>
      </c>
      <c r="D2335" s="19" t="s">
        <v>613</v>
      </c>
      <c r="E2335" s="19" t="s">
        <v>147</v>
      </c>
      <c r="F2335" s="19" t="s">
        <v>755</v>
      </c>
      <c r="G2335" s="19" t="n">
        <v>2</v>
      </c>
      <c r="H2335" s="19" t="s">
        <v>756</v>
      </c>
      <c r="I2335" s="20" t="n">
        <v>7.416</v>
      </c>
      <c r="J2335" s="19" t="n">
        <f aca="false">IF(I2335="","",MIN(Overview!$B$8,MAX(1,CEILING(I2335/Overview!$B$7,1))))</f>
        <v>2</v>
      </c>
      <c r="K2335" s="19" t="n">
        <v>1</v>
      </c>
      <c r="L2335" s="19"/>
      <c r="M2335" s="20" t="n">
        <v>2</v>
      </c>
      <c r="N2335" s="19"/>
      <c r="O2335" s="19" t="s">
        <v>151</v>
      </c>
      <c r="P2335" s="19" t="s">
        <v>3310</v>
      </c>
      <c r="Q2335" s="19" t="s">
        <v>990</v>
      </c>
      <c r="R2335" s="21" t="n">
        <v>46011</v>
      </c>
      <c r="S2335" s="19" t="s">
        <v>3311</v>
      </c>
      <c r="T2335" s="19" t="s">
        <v>7207</v>
      </c>
      <c r="U2335" s="19" t="str">
        <f aca="false">HYPERLINK("https://macaulaylibrary.org/asset/647327714","Open")</f>
        <v>Open</v>
      </c>
      <c r="V2335" s="19"/>
    </row>
    <row r="2336" customFormat="false" ht="15" hidden="false" customHeight="false" outlineLevel="0" collapsed="false">
      <c r="A2336" s="19" t="s">
        <v>7208</v>
      </c>
      <c r="B2336" s="19" t="s">
        <v>943</v>
      </c>
      <c r="C2336" s="19" t="s">
        <v>7202</v>
      </c>
      <c r="D2336" s="19" t="s">
        <v>400</v>
      </c>
      <c r="E2336" s="19" t="s">
        <v>147</v>
      </c>
      <c r="F2336" s="19" t="s">
        <v>397</v>
      </c>
      <c r="G2336" s="19" t="n">
        <v>3</v>
      </c>
      <c r="H2336" s="19" t="s">
        <v>398</v>
      </c>
      <c r="I2336" s="20" t="n">
        <v>118.4</v>
      </c>
      <c r="J2336" s="19" t="n">
        <f aca="false">IF(I2336="","",MIN(Overview!$B$8,MAX(1,CEILING(I2336/Overview!$B$7,1))))</f>
        <v>24</v>
      </c>
      <c r="K2336" s="19" t="n">
        <v>1</v>
      </c>
      <c r="L2336" s="19"/>
      <c r="M2336" s="20" t="n">
        <v>2</v>
      </c>
      <c r="N2336" s="19"/>
      <c r="O2336" s="19"/>
      <c r="P2336" s="19" t="s">
        <v>2152</v>
      </c>
      <c r="Q2336" s="19" t="s">
        <v>1218</v>
      </c>
      <c r="R2336" s="21" t="n">
        <v>33329</v>
      </c>
      <c r="S2336" s="19" t="s">
        <v>1022</v>
      </c>
      <c r="T2336" s="19" t="s">
        <v>7209</v>
      </c>
      <c r="U2336" s="19" t="str">
        <f aca="false">HYPERLINK("https://macaulaylibrary.org/asset/76605","Open")</f>
        <v>Open</v>
      </c>
      <c r="V2336" s="19" t="s">
        <v>983</v>
      </c>
    </row>
    <row r="2337" customFormat="false" ht="15" hidden="false" customHeight="false" outlineLevel="0" collapsed="false">
      <c r="A2337" s="19" t="s">
        <v>7210</v>
      </c>
      <c r="B2337" s="19" t="s">
        <v>943</v>
      </c>
      <c r="C2337" s="19" t="s">
        <v>7202</v>
      </c>
      <c r="D2337" s="19" t="s">
        <v>148</v>
      </c>
      <c r="E2337" s="19" t="s">
        <v>147</v>
      </c>
      <c r="F2337" s="19" t="s">
        <v>370</v>
      </c>
      <c r="G2337" s="19" t="n">
        <v>4</v>
      </c>
      <c r="H2337" s="19" t="s">
        <v>371</v>
      </c>
      <c r="I2337" s="20" t="n">
        <v>25.586</v>
      </c>
      <c r="J2337" s="19" t="n">
        <f aca="false">IF(I2337="","",MIN(Overview!$B$8,MAX(1,CEILING(I2337/Overview!$B$7,1))))</f>
        <v>6</v>
      </c>
      <c r="K2337" s="19" t="n">
        <v>1</v>
      </c>
      <c r="L2337" s="19"/>
      <c r="M2337" s="20" t="n">
        <v>3.5</v>
      </c>
      <c r="N2337" s="19"/>
      <c r="O2337" s="19"/>
      <c r="P2337" s="19" t="s">
        <v>1879</v>
      </c>
      <c r="Q2337" s="19" t="s">
        <v>975</v>
      </c>
      <c r="R2337" s="21" t="n">
        <v>43665</v>
      </c>
      <c r="S2337" s="19" t="s">
        <v>1880</v>
      </c>
      <c r="T2337" s="19" t="s">
        <v>7211</v>
      </c>
      <c r="U2337" s="19" t="str">
        <f aca="false">HYPERLINK("https://macaulaylibrary.org/asset/179453821","Open")</f>
        <v>Open</v>
      </c>
      <c r="V2337" s="19"/>
    </row>
    <row r="2338" customFormat="false" ht="15" hidden="false" customHeight="false" outlineLevel="0" collapsed="false">
      <c r="A2338" s="19" t="s">
        <v>7212</v>
      </c>
      <c r="B2338" s="19" t="s">
        <v>943</v>
      </c>
      <c r="C2338" s="19" t="s">
        <v>7202</v>
      </c>
      <c r="D2338" s="19" t="s">
        <v>148</v>
      </c>
      <c r="E2338" s="19" t="s">
        <v>147</v>
      </c>
      <c r="F2338" s="19" t="s">
        <v>370</v>
      </c>
      <c r="G2338" s="19" t="n">
        <v>4</v>
      </c>
      <c r="H2338" s="19" t="s">
        <v>371</v>
      </c>
      <c r="I2338" s="20" t="n">
        <v>54.68</v>
      </c>
      <c r="J2338" s="19" t="n">
        <f aca="false">IF(I2338="","",MIN(Overview!$B$8,MAX(1,CEILING(I2338/Overview!$B$7,1))))</f>
        <v>11</v>
      </c>
      <c r="K2338" s="19" t="n">
        <v>1</v>
      </c>
      <c r="L2338" s="19"/>
      <c r="M2338" s="20" t="n">
        <v>2</v>
      </c>
      <c r="N2338" s="19"/>
      <c r="O2338" s="19"/>
      <c r="P2338" s="19" t="s">
        <v>1217</v>
      </c>
      <c r="Q2338" s="19" t="s">
        <v>1218</v>
      </c>
      <c r="R2338" s="21" t="n">
        <v>33330</v>
      </c>
      <c r="S2338" s="19" t="s">
        <v>2056</v>
      </c>
      <c r="T2338" s="19" t="s">
        <v>7213</v>
      </c>
      <c r="U2338" s="19" t="str">
        <f aca="false">HYPERLINK("https://macaulaylibrary.org/asset/76614","Open")</f>
        <v>Open</v>
      </c>
      <c r="V2338" s="19"/>
    </row>
    <row r="2339" customFormat="false" ht="15" hidden="false" customHeight="false" outlineLevel="0" collapsed="false">
      <c r="A2339" s="19" t="s">
        <v>7214</v>
      </c>
      <c r="B2339" s="19" t="s">
        <v>943</v>
      </c>
      <c r="C2339" s="19" t="s">
        <v>7202</v>
      </c>
      <c r="D2339" s="19" t="s">
        <v>400</v>
      </c>
      <c r="E2339" s="19" t="s">
        <v>147</v>
      </c>
      <c r="F2339" s="19" t="s">
        <v>514</v>
      </c>
      <c r="G2339" s="19" t="n">
        <v>5</v>
      </c>
      <c r="H2339" s="19" t="s">
        <v>515</v>
      </c>
      <c r="I2339" s="20" t="n">
        <v>287.236</v>
      </c>
      <c r="J2339" s="19" t="n">
        <f aca="false">IF(I2339="","",MIN(Overview!$B$8,MAX(1,CEILING(I2339/Overview!$B$7,1))))</f>
        <v>58</v>
      </c>
      <c r="K2339" s="19" t="n">
        <v>1</v>
      </c>
      <c r="L2339" s="19"/>
      <c r="M2339" s="20" t="n">
        <v>2</v>
      </c>
      <c r="N2339" s="19"/>
      <c r="O2339" s="19"/>
      <c r="P2339" s="19" t="s">
        <v>1125</v>
      </c>
      <c r="Q2339" s="19" t="s">
        <v>980</v>
      </c>
      <c r="R2339" s="21" t="n">
        <v>32557</v>
      </c>
      <c r="S2339" s="19" t="s">
        <v>7215</v>
      </c>
      <c r="T2339" s="19" t="s">
        <v>7216</v>
      </c>
      <c r="U2339" s="19" t="str">
        <f aca="false">HYPERLINK("https://macaulaylibrary.org/asset/215402","Open")</f>
        <v>Open</v>
      </c>
      <c r="V2339" s="19"/>
    </row>
    <row r="2340" customFormat="false" ht="15" hidden="false" customHeight="false" outlineLevel="0" collapsed="false">
      <c r="A2340" s="19" t="s">
        <v>7217</v>
      </c>
      <c r="B2340" s="19" t="s">
        <v>943</v>
      </c>
      <c r="C2340" s="19" t="s">
        <v>7202</v>
      </c>
      <c r="D2340" s="19" t="s">
        <v>400</v>
      </c>
      <c r="E2340" s="19" t="s">
        <v>147</v>
      </c>
      <c r="F2340" s="19" t="s">
        <v>698</v>
      </c>
      <c r="G2340" s="19" t="n">
        <v>6</v>
      </c>
      <c r="H2340" s="19" t="s">
        <v>699</v>
      </c>
      <c r="I2340" s="20" t="n">
        <v>55.83</v>
      </c>
      <c r="J2340" s="19" t="n">
        <f aca="false">IF(I2340="","",MIN(Overview!$B$8,MAX(1,CEILING(I2340/Overview!$B$7,1))))</f>
        <v>12</v>
      </c>
      <c r="K2340" s="19" t="n">
        <v>1</v>
      </c>
      <c r="L2340" s="19"/>
      <c r="M2340" s="20" t="n">
        <v>3.5</v>
      </c>
      <c r="N2340" s="19"/>
      <c r="O2340" s="19"/>
      <c r="P2340" s="19" t="s">
        <v>7218</v>
      </c>
      <c r="Q2340" s="19" t="s">
        <v>7219</v>
      </c>
      <c r="R2340" s="21" t="n">
        <v>43398</v>
      </c>
      <c r="S2340" s="19" t="s">
        <v>1077</v>
      </c>
      <c r="T2340" s="19" t="s">
        <v>7220</v>
      </c>
      <c r="U2340" s="19" t="str">
        <f aca="false">HYPERLINK("https://macaulaylibrary.org/asset/129899381","Open")</f>
        <v>Open</v>
      </c>
      <c r="V2340" s="19"/>
    </row>
    <row r="2341" customFormat="false" ht="15" hidden="false" customHeight="false" outlineLevel="0" collapsed="false">
      <c r="A2341" s="19" t="s">
        <v>7221</v>
      </c>
      <c r="B2341" s="19" t="s">
        <v>943</v>
      </c>
      <c r="C2341" s="19" t="s">
        <v>7202</v>
      </c>
      <c r="D2341" s="19" t="s">
        <v>400</v>
      </c>
      <c r="E2341" s="19" t="s">
        <v>147</v>
      </c>
      <c r="F2341" s="19" t="s">
        <v>547</v>
      </c>
      <c r="G2341" s="19" t="n">
        <v>7</v>
      </c>
      <c r="H2341" s="19" t="s">
        <v>548</v>
      </c>
      <c r="I2341" s="20" t="n">
        <v>27.152</v>
      </c>
      <c r="J2341" s="19" t="n">
        <f aca="false">IF(I2341="","",MIN(Overview!$B$8,MAX(1,CEILING(I2341/Overview!$B$7,1))))</f>
        <v>6</v>
      </c>
      <c r="K2341" s="19" t="n">
        <v>1</v>
      </c>
      <c r="L2341" s="19"/>
      <c r="M2341" s="20"/>
      <c r="N2341" s="19"/>
      <c r="O2341" s="19"/>
      <c r="P2341" s="19" t="s">
        <v>7222</v>
      </c>
      <c r="Q2341" s="19" t="s">
        <v>1458</v>
      </c>
      <c r="R2341" s="21" t="n">
        <v>45174</v>
      </c>
      <c r="S2341" s="19" t="s">
        <v>957</v>
      </c>
      <c r="T2341" s="19" t="s">
        <v>7223</v>
      </c>
      <c r="U2341" s="19" t="str">
        <f aca="false">HYPERLINK("https://macaulaylibrary.org/asset/618154201","Open")</f>
        <v>Open</v>
      </c>
      <c r="V2341" s="19"/>
    </row>
    <row r="2342" customFormat="false" ht="15" hidden="false" customHeight="false" outlineLevel="0" collapsed="false">
      <c r="A2342" s="19" t="s">
        <v>7224</v>
      </c>
      <c r="B2342" s="19" t="s">
        <v>943</v>
      </c>
      <c r="C2342" s="19" t="s">
        <v>7202</v>
      </c>
      <c r="D2342" s="19" t="s">
        <v>400</v>
      </c>
      <c r="E2342" s="19" t="s">
        <v>147</v>
      </c>
      <c r="F2342" s="19" t="s">
        <v>701</v>
      </c>
      <c r="G2342" s="19" t="n">
        <v>8</v>
      </c>
      <c r="H2342" s="19" t="s">
        <v>702</v>
      </c>
      <c r="I2342" s="20" t="n">
        <v>91.515</v>
      </c>
      <c r="J2342" s="19" t="n">
        <f aca="false">IF(I2342="","",MIN(Overview!$B$8,MAX(1,CEILING(I2342/Overview!$B$7,1))))</f>
        <v>19</v>
      </c>
      <c r="K2342" s="19" t="n">
        <v>1</v>
      </c>
      <c r="L2342" s="19"/>
      <c r="M2342" s="20" t="n">
        <v>2</v>
      </c>
      <c r="N2342" s="19"/>
      <c r="O2342" s="19" t="s">
        <v>246</v>
      </c>
      <c r="P2342" s="19" t="s">
        <v>1121</v>
      </c>
      <c r="Q2342" s="19" t="s">
        <v>980</v>
      </c>
      <c r="R2342" s="21" t="n">
        <v>32556</v>
      </c>
      <c r="S2342" s="19" t="s">
        <v>7225</v>
      </c>
      <c r="T2342" s="19" t="s">
        <v>7226</v>
      </c>
      <c r="U2342" s="19" t="str">
        <f aca="false">HYPERLINK("https://macaulaylibrary.org/asset/215372","Open")</f>
        <v>Open</v>
      </c>
      <c r="V2342" s="19"/>
    </row>
    <row r="2343" customFormat="false" ht="15" hidden="false" customHeight="false" outlineLevel="0" collapsed="false">
      <c r="A2343" s="19" t="s">
        <v>7227</v>
      </c>
      <c r="B2343" s="19" t="s">
        <v>943</v>
      </c>
      <c r="C2343" s="19" t="s">
        <v>7202</v>
      </c>
      <c r="D2343" s="19" t="s">
        <v>400</v>
      </c>
      <c r="E2343" s="19" t="s">
        <v>147</v>
      </c>
      <c r="F2343" s="19" t="s">
        <v>704</v>
      </c>
      <c r="G2343" s="19" t="n">
        <v>9</v>
      </c>
      <c r="H2343" s="19" t="s">
        <v>705</v>
      </c>
      <c r="I2343" s="20" t="n">
        <v>15.86</v>
      </c>
      <c r="J2343" s="19" t="n">
        <f aca="false">IF(I2343="","",MIN(Overview!$B$8,MAX(1,CEILING(I2343/Overview!$B$7,1))))</f>
        <v>4</v>
      </c>
      <c r="K2343" s="19" t="n">
        <v>1</v>
      </c>
      <c r="L2343" s="19"/>
      <c r="M2343" s="20" t="n">
        <v>2.75</v>
      </c>
      <c r="N2343" s="19"/>
      <c r="O2343" s="19"/>
      <c r="P2343" s="19" t="s">
        <v>2374</v>
      </c>
      <c r="Q2343" s="19" t="s">
        <v>1289</v>
      </c>
      <c r="R2343" s="21" t="n">
        <v>42548</v>
      </c>
      <c r="S2343" s="19" t="s">
        <v>1092</v>
      </c>
      <c r="T2343" s="19" t="s">
        <v>7228</v>
      </c>
      <c r="U2343" s="19" t="str">
        <f aca="false">HYPERLINK("https://macaulaylibrary.org/asset/32448911","Open")</f>
        <v>Open</v>
      </c>
      <c r="V2343" s="19"/>
    </row>
    <row r="2344" customFormat="false" ht="15" hidden="false" customHeight="false" outlineLevel="0" collapsed="false">
      <c r="A2344" s="19" t="s">
        <v>7229</v>
      </c>
      <c r="B2344" s="19" t="s">
        <v>943</v>
      </c>
      <c r="C2344" s="19" t="s">
        <v>7202</v>
      </c>
      <c r="D2344" s="19" t="s">
        <v>148</v>
      </c>
      <c r="E2344" s="19" t="s">
        <v>147</v>
      </c>
      <c r="F2344" s="19" t="s">
        <v>172</v>
      </c>
      <c r="G2344" s="19" t="n">
        <v>10</v>
      </c>
      <c r="H2344" s="19" t="s">
        <v>173</v>
      </c>
      <c r="I2344" s="20" t="n">
        <v>53.509</v>
      </c>
      <c r="J2344" s="19" t="n">
        <f aca="false">IF(I2344="","",MIN(Overview!$B$8,MAX(1,CEILING(I2344/Overview!$B$7,1))))</f>
        <v>11</v>
      </c>
      <c r="K2344" s="19" t="n">
        <v>1</v>
      </c>
      <c r="L2344" s="19"/>
      <c r="M2344" s="20" t="n">
        <v>4</v>
      </c>
      <c r="N2344" s="19"/>
      <c r="O2344" s="19"/>
      <c r="P2344" s="19" t="s">
        <v>7230</v>
      </c>
      <c r="Q2344" s="19" t="s">
        <v>1063</v>
      </c>
      <c r="R2344" s="21" t="n">
        <v>44086</v>
      </c>
      <c r="S2344" s="19" t="s">
        <v>7231</v>
      </c>
      <c r="T2344" s="19" t="s">
        <v>7232</v>
      </c>
      <c r="U2344" s="19" t="str">
        <f aca="false">HYPERLINK("https://macaulaylibrary.org/asset/266288621","Open")</f>
        <v>Open</v>
      </c>
      <c r="V2344" s="19"/>
    </row>
    <row r="2345" customFormat="false" ht="15" hidden="false" customHeight="false" outlineLevel="0" collapsed="false">
      <c r="A2345" s="19" t="s">
        <v>7233</v>
      </c>
      <c r="B2345" s="19" t="s">
        <v>943</v>
      </c>
      <c r="C2345" s="19" t="s">
        <v>7202</v>
      </c>
      <c r="D2345" s="19" t="s">
        <v>148</v>
      </c>
      <c r="E2345" s="19" t="s">
        <v>147</v>
      </c>
      <c r="F2345" s="19" t="s">
        <v>172</v>
      </c>
      <c r="G2345" s="19" t="n">
        <v>10</v>
      </c>
      <c r="H2345" s="19" t="s">
        <v>173</v>
      </c>
      <c r="I2345" s="20" t="n">
        <v>6.069</v>
      </c>
      <c r="J2345" s="19" t="n">
        <f aca="false">IF(I2345="","",MIN(Overview!$B$8,MAX(1,CEILING(I2345/Overview!$B$7,1))))</f>
        <v>2</v>
      </c>
      <c r="K2345" s="19" t="n">
        <v>1</v>
      </c>
      <c r="L2345" s="19"/>
      <c r="M2345" s="20" t="n">
        <v>3</v>
      </c>
      <c r="N2345" s="19"/>
      <c r="O2345" s="19"/>
      <c r="P2345" s="19" t="s">
        <v>5300</v>
      </c>
      <c r="Q2345" s="19" t="s">
        <v>1408</v>
      </c>
      <c r="R2345" s="21" t="n">
        <v>32456</v>
      </c>
      <c r="S2345" s="19" t="s">
        <v>1009</v>
      </c>
      <c r="T2345" s="19" t="s">
        <v>7234</v>
      </c>
      <c r="U2345" s="19" t="str">
        <f aca="false">HYPERLINK("https://macaulaylibrary.org/asset/347764311","Open")</f>
        <v>Open</v>
      </c>
      <c r="V2345" s="19"/>
    </row>
    <row r="2346" customFormat="false" ht="15" hidden="false" customHeight="false" outlineLevel="0" collapsed="false">
      <c r="A2346" s="19" t="s">
        <v>7235</v>
      </c>
      <c r="B2346" s="19" t="s">
        <v>943</v>
      </c>
      <c r="C2346" s="19" t="s">
        <v>7202</v>
      </c>
      <c r="D2346" s="19" t="s">
        <v>148</v>
      </c>
      <c r="E2346" s="19" t="s">
        <v>147</v>
      </c>
      <c r="F2346" s="19" t="s">
        <v>172</v>
      </c>
      <c r="G2346" s="19" t="n">
        <v>10</v>
      </c>
      <c r="H2346" s="19" t="s">
        <v>173</v>
      </c>
      <c r="I2346" s="20" t="n">
        <v>7.351</v>
      </c>
      <c r="J2346" s="19" t="n">
        <f aca="false">IF(I2346="","",MIN(Overview!$B$8,MAX(1,CEILING(I2346/Overview!$B$7,1))))</f>
        <v>2</v>
      </c>
      <c r="K2346" s="19" t="n">
        <v>1</v>
      </c>
      <c r="L2346" s="19"/>
      <c r="M2346" s="20" t="n">
        <v>3</v>
      </c>
      <c r="N2346" s="19"/>
      <c r="O2346" s="19"/>
      <c r="P2346" s="19" t="s">
        <v>2871</v>
      </c>
      <c r="Q2346" s="19" t="s">
        <v>990</v>
      </c>
      <c r="R2346" s="21" t="n">
        <v>44548</v>
      </c>
      <c r="S2346" s="19" t="s">
        <v>1144</v>
      </c>
      <c r="T2346" s="19" t="s">
        <v>7236</v>
      </c>
      <c r="U2346" s="19" t="str">
        <f aca="false">HYPERLINK("https://macaulaylibrary.org/asset/400106911","Open")</f>
        <v>Open</v>
      </c>
      <c r="V2346" s="19"/>
    </row>
    <row r="2347" customFormat="false" ht="15" hidden="false" customHeight="false" outlineLevel="0" collapsed="false">
      <c r="A2347" s="19" t="s">
        <v>7237</v>
      </c>
      <c r="B2347" s="19" t="s">
        <v>943</v>
      </c>
      <c r="C2347" s="19" t="s">
        <v>7202</v>
      </c>
      <c r="D2347" s="19" t="s">
        <v>148</v>
      </c>
      <c r="E2347" s="19" t="s">
        <v>147</v>
      </c>
      <c r="F2347" s="19" t="s">
        <v>172</v>
      </c>
      <c r="G2347" s="19" t="n">
        <v>10</v>
      </c>
      <c r="H2347" s="19" t="s">
        <v>173</v>
      </c>
      <c r="I2347" s="20" t="n">
        <v>25.417</v>
      </c>
      <c r="J2347" s="19" t="n">
        <f aca="false">IF(I2347="","",MIN(Overview!$B$8,MAX(1,CEILING(I2347/Overview!$B$7,1))))</f>
        <v>6</v>
      </c>
      <c r="K2347" s="19" t="n">
        <v>1</v>
      </c>
      <c r="L2347" s="19"/>
      <c r="M2347" s="20" t="n">
        <v>3</v>
      </c>
      <c r="N2347" s="19"/>
      <c r="O2347" s="19"/>
      <c r="P2347" s="19" t="s">
        <v>1335</v>
      </c>
      <c r="Q2347" s="19" t="s">
        <v>990</v>
      </c>
      <c r="R2347" s="21" t="n">
        <v>46011</v>
      </c>
      <c r="S2347" s="19" t="s">
        <v>966</v>
      </c>
      <c r="T2347" s="19" t="s">
        <v>7238</v>
      </c>
      <c r="U2347" s="19" t="str">
        <f aca="false">HYPERLINK("https://macaulaylibrary.org/asset/647327611","Open")</f>
        <v>Open</v>
      </c>
      <c r="V2347" s="19"/>
    </row>
    <row r="2348" customFormat="false" ht="15" hidden="false" customHeight="false" outlineLevel="0" collapsed="false">
      <c r="A2348" s="19" t="s">
        <v>7239</v>
      </c>
      <c r="B2348" s="19" t="s">
        <v>943</v>
      </c>
      <c r="C2348" s="19" t="s">
        <v>7202</v>
      </c>
      <c r="D2348" s="19" t="s">
        <v>148</v>
      </c>
      <c r="E2348" s="19" t="s">
        <v>147</v>
      </c>
      <c r="F2348" s="19" t="s">
        <v>172</v>
      </c>
      <c r="G2348" s="19" t="n">
        <v>10</v>
      </c>
      <c r="H2348" s="19" t="s">
        <v>173</v>
      </c>
      <c r="I2348" s="20" t="n">
        <v>25.492</v>
      </c>
      <c r="J2348" s="19" t="n">
        <f aca="false">IF(I2348="","",MIN(Overview!$B$8,MAX(1,CEILING(I2348/Overview!$B$7,1))))</f>
        <v>6</v>
      </c>
      <c r="K2348" s="19" t="n">
        <v>1</v>
      </c>
      <c r="L2348" s="19"/>
      <c r="M2348" s="20" t="n">
        <v>4</v>
      </c>
      <c r="N2348" s="19"/>
      <c r="O2348" s="19"/>
      <c r="P2348" s="19" t="s">
        <v>1335</v>
      </c>
      <c r="Q2348" s="19" t="s">
        <v>990</v>
      </c>
      <c r="R2348" s="21" t="n">
        <v>46011</v>
      </c>
      <c r="S2348" s="19" t="s">
        <v>966</v>
      </c>
      <c r="T2348" s="19" t="s">
        <v>7240</v>
      </c>
      <c r="U2348" s="19" t="str">
        <f aca="false">HYPERLINK("https://macaulaylibrary.org/asset/647327651","Open")</f>
        <v>Open</v>
      </c>
      <c r="V2348" s="19"/>
    </row>
    <row r="2349" customFormat="false" ht="15" hidden="false" customHeight="false" outlineLevel="0" collapsed="false">
      <c r="A2349" s="19" t="s">
        <v>7241</v>
      </c>
      <c r="B2349" s="19" t="s">
        <v>943</v>
      </c>
      <c r="C2349" s="19" t="s">
        <v>7202</v>
      </c>
      <c r="D2349" s="19" t="s">
        <v>148</v>
      </c>
      <c r="E2349" s="19" t="s">
        <v>147</v>
      </c>
      <c r="F2349" s="19" t="s">
        <v>172</v>
      </c>
      <c r="G2349" s="19" t="n">
        <v>10</v>
      </c>
      <c r="H2349" s="19" t="s">
        <v>173</v>
      </c>
      <c r="I2349" s="20" t="n">
        <v>28.309</v>
      </c>
      <c r="J2349" s="19" t="n">
        <f aca="false">IF(I2349="","",MIN(Overview!$B$8,MAX(1,CEILING(I2349/Overview!$B$7,1))))</f>
        <v>6</v>
      </c>
      <c r="K2349" s="19" t="n">
        <v>1</v>
      </c>
      <c r="L2349" s="19"/>
      <c r="M2349" s="20" t="n">
        <v>5</v>
      </c>
      <c r="N2349" s="19"/>
      <c r="O2349" s="19" t="s">
        <v>481</v>
      </c>
      <c r="P2349" s="19" t="s">
        <v>1335</v>
      </c>
      <c r="Q2349" s="19" t="s">
        <v>990</v>
      </c>
      <c r="R2349" s="21" t="n">
        <v>46011</v>
      </c>
      <c r="S2349" s="19" t="s">
        <v>966</v>
      </c>
      <c r="T2349" s="19" t="s">
        <v>7242</v>
      </c>
      <c r="U2349" s="19" t="str">
        <f aca="false">HYPERLINK("https://macaulaylibrary.org/asset/647330519","Open")</f>
        <v>Open</v>
      </c>
      <c r="V2349" s="19"/>
    </row>
    <row r="2350" customFormat="false" ht="15" hidden="false" customHeight="false" outlineLevel="0" collapsed="false">
      <c r="A2350" s="19" t="s">
        <v>7243</v>
      </c>
      <c r="B2350" s="19" t="s">
        <v>943</v>
      </c>
      <c r="C2350" s="19" t="s">
        <v>7202</v>
      </c>
      <c r="D2350" s="19" t="s">
        <v>148</v>
      </c>
      <c r="E2350" s="19" t="s">
        <v>147</v>
      </c>
      <c r="F2350" s="19" t="s">
        <v>172</v>
      </c>
      <c r="G2350" s="19" t="n">
        <v>10</v>
      </c>
      <c r="H2350" s="19" t="s">
        <v>173</v>
      </c>
      <c r="I2350" s="20" t="n">
        <v>34.665</v>
      </c>
      <c r="J2350" s="19" t="n">
        <f aca="false">IF(I2350="","",MIN(Overview!$B$8,MAX(1,CEILING(I2350/Overview!$B$7,1))))</f>
        <v>7</v>
      </c>
      <c r="K2350" s="19" t="n">
        <v>1</v>
      </c>
      <c r="L2350" s="19"/>
      <c r="M2350" s="20" t="n">
        <v>3</v>
      </c>
      <c r="N2350" s="19"/>
      <c r="O2350" s="19"/>
      <c r="P2350" s="19" t="s">
        <v>7244</v>
      </c>
      <c r="Q2350" s="19" t="s">
        <v>7245</v>
      </c>
      <c r="R2350" s="21" t="n">
        <v>46098</v>
      </c>
      <c r="S2350" s="19" t="s">
        <v>7246</v>
      </c>
      <c r="T2350" s="19" t="s">
        <v>7247</v>
      </c>
      <c r="U2350" s="19" t="str">
        <f aca="false">HYPERLINK("https://macaulaylibrary.org/asset/653481318","Open")</f>
        <v>Open</v>
      </c>
      <c r="V2350" s="19"/>
    </row>
    <row r="2351" customFormat="false" ht="15" hidden="false" customHeight="false" outlineLevel="0" collapsed="false">
      <c r="A2351" s="19" t="s">
        <v>7248</v>
      </c>
      <c r="B2351" s="19" t="s">
        <v>943</v>
      </c>
      <c r="C2351" s="19" t="s">
        <v>7202</v>
      </c>
      <c r="D2351" s="19" t="s">
        <v>613</v>
      </c>
      <c r="E2351" s="19" t="s">
        <v>147</v>
      </c>
      <c r="F2351" s="19" t="s">
        <v>758</v>
      </c>
      <c r="G2351" s="19" t="n">
        <v>11</v>
      </c>
      <c r="H2351" s="19" t="s">
        <v>759</v>
      </c>
      <c r="I2351" s="20" t="n">
        <v>4.434</v>
      </c>
      <c r="J2351" s="19" t="n">
        <f aca="false">IF(I2351="","",MIN(Overview!$B$8,MAX(1,CEILING(I2351/Overview!$B$7,1))))</f>
        <v>1</v>
      </c>
      <c r="K2351" s="19" t="n">
        <v>1</v>
      </c>
      <c r="L2351" s="19" t="s">
        <v>1048</v>
      </c>
      <c r="M2351" s="20" t="n">
        <v>2.67</v>
      </c>
      <c r="N2351" s="19"/>
      <c r="O2351" s="19"/>
      <c r="P2351" s="19" t="s">
        <v>2398</v>
      </c>
      <c r="Q2351" s="19" t="s">
        <v>951</v>
      </c>
      <c r="R2351" s="21" t="n">
        <v>45222</v>
      </c>
      <c r="S2351" s="19" t="s">
        <v>1098</v>
      </c>
      <c r="T2351" s="19" t="s">
        <v>7249</v>
      </c>
      <c r="U2351" s="19" t="str">
        <f aca="false">HYPERLINK("https://macaulaylibrary.org/asset/610571745","Open")</f>
        <v>Open</v>
      </c>
      <c r="V2351" s="19"/>
    </row>
    <row r="2352" customFormat="false" ht="15" hidden="false" customHeight="false" outlineLevel="0" collapsed="false">
      <c r="A2352" s="19" t="s">
        <v>7250</v>
      </c>
      <c r="B2352" s="19" t="s">
        <v>943</v>
      </c>
      <c r="C2352" s="19" t="s">
        <v>7202</v>
      </c>
      <c r="D2352" s="19" t="s">
        <v>400</v>
      </c>
      <c r="E2352" s="19" t="s">
        <v>147</v>
      </c>
      <c r="F2352" s="19" t="s">
        <v>589</v>
      </c>
      <c r="G2352" s="19" t="n">
        <v>12</v>
      </c>
      <c r="H2352" s="19" t="s">
        <v>590</v>
      </c>
      <c r="I2352" s="20" t="n">
        <v>251.834</v>
      </c>
      <c r="J2352" s="19" t="n">
        <f aca="false">IF(I2352="","",MIN(Overview!$B$8,MAX(1,CEILING(I2352/Overview!$B$7,1))))</f>
        <v>51</v>
      </c>
      <c r="K2352" s="19" t="n">
        <v>1</v>
      </c>
      <c r="L2352" s="19"/>
      <c r="M2352" s="20" t="n">
        <v>1</v>
      </c>
      <c r="N2352" s="19"/>
      <c r="O2352" s="19"/>
      <c r="P2352" s="19" t="s">
        <v>1601</v>
      </c>
      <c r="Q2352" s="19" t="s">
        <v>1071</v>
      </c>
      <c r="R2352" s="21" t="n">
        <v>32942</v>
      </c>
      <c r="S2352" s="19" t="s">
        <v>7251</v>
      </c>
      <c r="T2352" s="19" t="s">
        <v>7252</v>
      </c>
      <c r="U2352" s="19" t="str">
        <f aca="false">HYPERLINK("https://macaulaylibrary.org/asset/51740","Open")</f>
        <v>Open</v>
      </c>
      <c r="V2352" s="19"/>
    </row>
    <row r="2353" customFormat="false" ht="15" hidden="false" customHeight="false" outlineLevel="0" collapsed="false">
      <c r="A2353" s="19" t="s">
        <v>7253</v>
      </c>
      <c r="B2353" s="19" t="s">
        <v>943</v>
      </c>
      <c r="C2353" s="19" t="s">
        <v>7202</v>
      </c>
      <c r="D2353" s="19" t="s">
        <v>613</v>
      </c>
      <c r="E2353" s="19" t="s">
        <v>147</v>
      </c>
      <c r="F2353" s="19" t="s">
        <v>761</v>
      </c>
      <c r="G2353" s="19" t="n">
        <v>13</v>
      </c>
      <c r="H2353" s="19" t="s">
        <v>762</v>
      </c>
      <c r="I2353" s="20" t="n">
        <v>176.629</v>
      </c>
      <c r="J2353" s="19" t="n">
        <f aca="false">IF(I2353="","",MIN(Overview!$B$8,MAX(1,CEILING(I2353/Overview!$B$7,1))))</f>
        <v>36</v>
      </c>
      <c r="K2353" s="19" t="n">
        <v>1</v>
      </c>
      <c r="L2353" s="19"/>
      <c r="M2353" s="20" t="n">
        <v>2</v>
      </c>
      <c r="N2353" s="19"/>
      <c r="O2353" s="19"/>
      <c r="P2353" s="19" t="s">
        <v>1121</v>
      </c>
      <c r="Q2353" s="19" t="s">
        <v>980</v>
      </c>
      <c r="R2353" s="21" t="n">
        <v>32556</v>
      </c>
      <c r="S2353" s="19" t="s">
        <v>1285</v>
      </c>
      <c r="T2353" s="19" t="s">
        <v>7254</v>
      </c>
      <c r="U2353" s="19" t="str">
        <f aca="false">HYPERLINK("https://macaulaylibrary.org/asset/215371","Open")</f>
        <v>Open</v>
      </c>
      <c r="V2353" s="19" t="s">
        <v>7255</v>
      </c>
    </row>
    <row r="2354" customFormat="false" ht="15" hidden="false" customHeight="false" outlineLevel="0" collapsed="false">
      <c r="A2354" s="19" t="s">
        <v>7256</v>
      </c>
      <c r="B2354" s="19" t="s">
        <v>943</v>
      </c>
      <c r="C2354" s="19" t="s">
        <v>7202</v>
      </c>
      <c r="D2354" s="19" t="s">
        <v>400</v>
      </c>
      <c r="E2354" s="19" t="s">
        <v>147</v>
      </c>
      <c r="F2354" s="19" t="s">
        <v>517</v>
      </c>
      <c r="G2354" s="19" t="n">
        <v>14</v>
      </c>
      <c r="H2354" s="19" t="s">
        <v>518</v>
      </c>
      <c r="I2354" s="20" t="n">
        <v>70.753</v>
      </c>
      <c r="J2354" s="19" t="n">
        <f aca="false">IF(I2354="","",MIN(Overview!$B$8,MAX(1,CEILING(I2354/Overview!$B$7,1))))</f>
        <v>15</v>
      </c>
      <c r="K2354" s="19" t="n">
        <v>1</v>
      </c>
      <c r="L2354" s="19"/>
      <c r="M2354" s="20" t="n">
        <v>2</v>
      </c>
      <c r="N2354" s="19"/>
      <c r="O2354" s="19"/>
      <c r="P2354" s="19" t="s">
        <v>1121</v>
      </c>
      <c r="Q2354" s="19" t="s">
        <v>980</v>
      </c>
      <c r="R2354" s="21" t="n">
        <v>32556</v>
      </c>
      <c r="S2354" s="19"/>
      <c r="T2354" s="19" t="s">
        <v>7257</v>
      </c>
      <c r="U2354" s="19" t="str">
        <f aca="false">HYPERLINK("https://macaulaylibrary.org/asset/215374","Open")</f>
        <v>Open</v>
      </c>
      <c r="V2354" s="19"/>
    </row>
    <row r="2355" customFormat="false" ht="15" hidden="false" customHeight="false" outlineLevel="0" collapsed="false">
      <c r="A2355" s="19" t="s">
        <v>7258</v>
      </c>
      <c r="B2355" s="19" t="s">
        <v>943</v>
      </c>
      <c r="C2355" s="19" t="s">
        <v>7202</v>
      </c>
      <c r="D2355" s="19" t="s">
        <v>613</v>
      </c>
      <c r="E2355" s="19" t="s">
        <v>147</v>
      </c>
      <c r="F2355" s="19" t="s">
        <v>764</v>
      </c>
      <c r="G2355" s="19" t="n">
        <v>15</v>
      </c>
      <c r="H2355" s="19" t="s">
        <v>765</v>
      </c>
      <c r="I2355" s="20" t="n">
        <v>16.747</v>
      </c>
      <c r="J2355" s="19" t="n">
        <f aca="false">IF(I2355="","",MIN(Overview!$B$8,MAX(1,CEILING(I2355/Overview!$B$7,1))))</f>
        <v>4</v>
      </c>
      <c r="K2355" s="19" t="n">
        <v>1</v>
      </c>
      <c r="L2355" s="19"/>
      <c r="M2355" s="20" t="n">
        <v>1.96</v>
      </c>
      <c r="N2355" s="19"/>
      <c r="O2355" s="19"/>
      <c r="P2355" s="19" t="s">
        <v>1595</v>
      </c>
      <c r="Q2355" s="19" t="s">
        <v>1596</v>
      </c>
      <c r="R2355" s="21" t="n">
        <v>44700</v>
      </c>
      <c r="S2355" s="19" t="s">
        <v>1597</v>
      </c>
      <c r="T2355" s="19" t="s">
        <v>7259</v>
      </c>
      <c r="U2355" s="19" t="str">
        <f aca="false">HYPERLINK("https://macaulaylibrary.org/asset/458626901","Open")</f>
        <v>Open</v>
      </c>
      <c r="V2355" s="19"/>
    </row>
    <row r="2356" customFormat="false" ht="15" hidden="false" customHeight="false" outlineLevel="0" collapsed="false">
      <c r="A2356" s="19" t="s">
        <v>7260</v>
      </c>
      <c r="B2356" s="19" t="s">
        <v>943</v>
      </c>
      <c r="C2356" s="19" t="s">
        <v>7202</v>
      </c>
      <c r="D2356" s="19" t="s">
        <v>400</v>
      </c>
      <c r="E2356" s="19" t="s">
        <v>147</v>
      </c>
      <c r="F2356" s="19" t="s">
        <v>638</v>
      </c>
      <c r="G2356" s="19" t="n">
        <v>16</v>
      </c>
      <c r="H2356" s="19" t="s">
        <v>639</v>
      </c>
      <c r="I2356" s="20" t="n">
        <v>26.514</v>
      </c>
      <c r="J2356" s="19" t="n">
        <f aca="false">IF(I2356="","",MIN(Overview!$B$8,MAX(1,CEILING(I2356/Overview!$B$7,1))))</f>
        <v>6</v>
      </c>
      <c r="K2356" s="19" t="n">
        <v>1</v>
      </c>
      <c r="L2356" s="19"/>
      <c r="M2356" s="20"/>
      <c r="N2356" s="19"/>
      <c r="O2356" s="19"/>
      <c r="P2356" s="19" t="s">
        <v>7261</v>
      </c>
      <c r="Q2356" s="19" t="s">
        <v>1253</v>
      </c>
      <c r="R2356" s="21" t="n">
        <v>45913</v>
      </c>
      <c r="S2356" s="19" t="s">
        <v>7262</v>
      </c>
      <c r="T2356" s="19" t="s">
        <v>7263</v>
      </c>
      <c r="U2356" s="19" t="str">
        <f aca="false">HYPERLINK("https://macaulaylibrary.org/asset/641788788","Open")</f>
        <v>Open</v>
      </c>
      <c r="V2356" s="19"/>
    </row>
    <row r="2357" customFormat="false" ht="15" hidden="false" customHeight="false" outlineLevel="0" collapsed="false">
      <c r="A2357" s="19" t="s">
        <v>7264</v>
      </c>
      <c r="B2357" s="19" t="s">
        <v>943</v>
      </c>
      <c r="C2357" s="19" t="s">
        <v>7202</v>
      </c>
      <c r="D2357" s="19" t="s">
        <v>613</v>
      </c>
      <c r="E2357" s="19" t="s">
        <v>147</v>
      </c>
      <c r="F2357" s="19" t="s">
        <v>767</v>
      </c>
      <c r="G2357" s="19" t="n">
        <v>17</v>
      </c>
      <c r="H2357" s="19" t="s">
        <v>768</v>
      </c>
      <c r="I2357" s="20" t="n">
        <v>16.212</v>
      </c>
      <c r="J2357" s="19" t="n">
        <f aca="false">IF(I2357="","",MIN(Overview!$B$8,MAX(1,CEILING(I2357/Overview!$B$7,1))))</f>
        <v>4</v>
      </c>
      <c r="K2357" s="19" t="n">
        <v>1</v>
      </c>
      <c r="L2357" s="19"/>
      <c r="M2357" s="20" t="n">
        <v>1</v>
      </c>
      <c r="N2357" s="19"/>
      <c r="O2357" s="19"/>
      <c r="P2357" s="19" t="s">
        <v>3717</v>
      </c>
      <c r="Q2357" s="19" t="s">
        <v>2343</v>
      </c>
      <c r="R2357" s="21" t="n">
        <v>31505</v>
      </c>
      <c r="S2357" s="19"/>
      <c r="T2357" s="19" t="s">
        <v>7265</v>
      </c>
      <c r="U2357" s="19" t="str">
        <f aca="false">HYPERLINK("https://macaulaylibrary.org/asset/249451","Open")</f>
        <v>Open</v>
      </c>
      <c r="V2357" s="19" t="s">
        <v>7266</v>
      </c>
    </row>
    <row r="2358" customFormat="false" ht="15" hidden="false" customHeight="false" outlineLevel="0" collapsed="false">
      <c r="A2358" s="19" t="s">
        <v>7267</v>
      </c>
      <c r="B2358" s="19" t="s">
        <v>943</v>
      </c>
      <c r="C2358" s="19" t="s">
        <v>7202</v>
      </c>
      <c r="D2358" s="19" t="s">
        <v>148</v>
      </c>
      <c r="E2358" s="19" t="s">
        <v>147</v>
      </c>
      <c r="F2358" s="19" t="s">
        <v>237</v>
      </c>
      <c r="G2358" s="19" t="n">
        <v>18</v>
      </c>
      <c r="H2358" s="19" t="s">
        <v>238</v>
      </c>
      <c r="I2358" s="20" t="n">
        <v>36.341</v>
      </c>
      <c r="J2358" s="19" t="n">
        <f aca="false">IF(I2358="","",MIN(Overview!$B$8,MAX(1,CEILING(I2358/Overview!$B$7,1))))</f>
        <v>8</v>
      </c>
      <c r="K2358" s="19" t="n">
        <v>1</v>
      </c>
      <c r="L2358" s="19"/>
      <c r="M2358" s="20" t="n">
        <v>5</v>
      </c>
      <c r="N2358" s="19"/>
      <c r="O2358" s="19"/>
      <c r="P2358" s="19" t="s">
        <v>1577</v>
      </c>
      <c r="Q2358" s="19" t="s">
        <v>1401</v>
      </c>
      <c r="R2358" s="21" t="n">
        <v>35479</v>
      </c>
      <c r="S2358" s="19" t="s">
        <v>1578</v>
      </c>
      <c r="T2358" s="19" t="s">
        <v>7268</v>
      </c>
      <c r="U2358" s="19" t="str">
        <f aca="false">HYPERLINK("https://macaulaylibrary.org/asset/127823151","Open")</f>
        <v>Open</v>
      </c>
      <c r="V2358" s="19"/>
    </row>
    <row r="2359" customFormat="false" ht="15" hidden="false" customHeight="false" outlineLevel="0" collapsed="false">
      <c r="A2359" s="19" t="s">
        <v>7269</v>
      </c>
      <c r="B2359" s="19" t="s">
        <v>943</v>
      </c>
      <c r="C2359" s="19" t="s">
        <v>7202</v>
      </c>
      <c r="D2359" s="19" t="s">
        <v>148</v>
      </c>
      <c r="E2359" s="19" t="s">
        <v>147</v>
      </c>
      <c r="F2359" s="19" t="s">
        <v>237</v>
      </c>
      <c r="G2359" s="19" t="n">
        <v>18</v>
      </c>
      <c r="H2359" s="19" t="s">
        <v>238</v>
      </c>
      <c r="I2359" s="20" t="n">
        <v>158.34</v>
      </c>
      <c r="J2359" s="19" t="n">
        <f aca="false">IF(I2359="","",MIN(Overview!$B$8,MAX(1,CEILING(I2359/Overview!$B$7,1))))</f>
        <v>32</v>
      </c>
      <c r="K2359" s="19" t="n">
        <v>1</v>
      </c>
      <c r="L2359" s="19"/>
      <c r="M2359" s="20" t="n">
        <v>1</v>
      </c>
      <c r="N2359" s="19"/>
      <c r="O2359" s="19" t="s">
        <v>7270</v>
      </c>
      <c r="P2359" s="19" t="s">
        <v>1587</v>
      </c>
      <c r="Q2359" s="19" t="s">
        <v>1136</v>
      </c>
      <c r="R2359" s="21" t="n">
        <v>29733</v>
      </c>
      <c r="S2359" s="19" t="s">
        <v>1102</v>
      </c>
      <c r="T2359" s="19" t="s">
        <v>7271</v>
      </c>
      <c r="U2359" s="19" t="str">
        <f aca="false">HYPERLINK("https://macaulaylibrary.org/asset/28155","Open")</f>
        <v>Open</v>
      </c>
      <c r="V2359" s="19"/>
    </row>
    <row r="2360" customFormat="false" ht="15" hidden="false" customHeight="false" outlineLevel="0" collapsed="false">
      <c r="A2360" s="19" t="s">
        <v>7272</v>
      </c>
      <c r="B2360" s="19" t="s">
        <v>943</v>
      </c>
      <c r="C2360" s="19" t="s">
        <v>7202</v>
      </c>
      <c r="D2360" s="19" t="s">
        <v>148</v>
      </c>
      <c r="E2360" s="19" t="s">
        <v>147</v>
      </c>
      <c r="F2360" s="19" t="s">
        <v>237</v>
      </c>
      <c r="G2360" s="19" t="n">
        <v>18</v>
      </c>
      <c r="H2360" s="19" t="s">
        <v>238</v>
      </c>
      <c r="I2360" s="20" t="n">
        <v>15.883</v>
      </c>
      <c r="J2360" s="19" t="n">
        <f aca="false">IF(I2360="","",MIN(Overview!$B$8,MAX(1,CEILING(I2360/Overview!$B$7,1))))</f>
        <v>4</v>
      </c>
      <c r="K2360" s="19" t="n">
        <v>1</v>
      </c>
      <c r="L2360" s="19"/>
      <c r="M2360" s="20" t="n">
        <v>3</v>
      </c>
      <c r="N2360" s="19"/>
      <c r="O2360" s="19"/>
      <c r="P2360" s="19" t="s">
        <v>2381</v>
      </c>
      <c r="Q2360" s="19" t="s">
        <v>1408</v>
      </c>
      <c r="R2360" s="21" t="n">
        <v>32098</v>
      </c>
      <c r="S2360" s="19" t="s">
        <v>1009</v>
      </c>
      <c r="T2360" s="19" t="s">
        <v>7273</v>
      </c>
      <c r="U2360" s="19" t="str">
        <f aca="false">HYPERLINK("https://macaulaylibrary.org/asset/338503491","Open")</f>
        <v>Open</v>
      </c>
      <c r="V2360" s="19"/>
    </row>
    <row r="2361" customFormat="false" ht="15" hidden="false" customHeight="false" outlineLevel="0" collapsed="false">
      <c r="A2361" s="19" t="s">
        <v>7274</v>
      </c>
      <c r="B2361" s="19" t="s">
        <v>943</v>
      </c>
      <c r="C2361" s="19" t="s">
        <v>7202</v>
      </c>
      <c r="D2361" s="19" t="s">
        <v>148</v>
      </c>
      <c r="E2361" s="19" t="s">
        <v>147</v>
      </c>
      <c r="F2361" s="19" t="s">
        <v>237</v>
      </c>
      <c r="G2361" s="19" t="n">
        <v>18</v>
      </c>
      <c r="H2361" s="19" t="s">
        <v>238</v>
      </c>
      <c r="I2361" s="20" t="n">
        <v>62.999</v>
      </c>
      <c r="J2361" s="19" t="n">
        <f aca="false">IF(I2361="","",MIN(Overview!$B$8,MAX(1,CEILING(I2361/Overview!$B$7,1))))</f>
        <v>13</v>
      </c>
      <c r="K2361" s="19" t="n">
        <v>1</v>
      </c>
      <c r="L2361" s="19"/>
      <c r="M2361" s="20"/>
      <c r="N2361" s="19"/>
      <c r="O2361" s="19"/>
      <c r="P2361" s="19" t="s">
        <v>1650</v>
      </c>
      <c r="Q2361" s="19" t="s">
        <v>1382</v>
      </c>
      <c r="R2361" s="21" t="n">
        <v>46104</v>
      </c>
      <c r="S2361" s="19" t="s">
        <v>1651</v>
      </c>
      <c r="T2361" s="19" t="s">
        <v>7275</v>
      </c>
      <c r="U2361" s="19" t="str">
        <f aca="false">HYPERLINK("https://macaulaylibrary.org/asset/654658111","Open")</f>
        <v>Open</v>
      </c>
      <c r="V2361" s="19"/>
    </row>
    <row r="2362" customFormat="false" ht="15" hidden="false" customHeight="false" outlineLevel="0" collapsed="false">
      <c r="A2362" s="19" t="s">
        <v>7276</v>
      </c>
      <c r="B2362" s="19" t="s">
        <v>943</v>
      </c>
      <c r="C2362" s="19" t="s">
        <v>7202</v>
      </c>
      <c r="D2362" s="19" t="s">
        <v>148</v>
      </c>
      <c r="E2362" s="19" t="s">
        <v>147</v>
      </c>
      <c r="F2362" s="19" t="s">
        <v>347</v>
      </c>
      <c r="G2362" s="19" t="n">
        <v>19</v>
      </c>
      <c r="H2362" s="19" t="s">
        <v>348</v>
      </c>
      <c r="I2362" s="20" t="n">
        <v>132.078</v>
      </c>
      <c r="J2362" s="19" t="n">
        <f aca="false">IF(I2362="","",MIN(Overview!$B$8,MAX(1,CEILING(I2362/Overview!$B$7,1))))</f>
        <v>27</v>
      </c>
      <c r="K2362" s="19" t="n">
        <v>1</v>
      </c>
      <c r="L2362" s="19"/>
      <c r="M2362" s="20" t="n">
        <v>2.86</v>
      </c>
      <c r="N2362" s="19"/>
      <c r="O2362" s="19"/>
      <c r="P2362" s="19" t="s">
        <v>1555</v>
      </c>
      <c r="Q2362" s="19" t="s">
        <v>980</v>
      </c>
      <c r="R2362" s="21" t="n">
        <v>33291</v>
      </c>
      <c r="S2362" s="19"/>
      <c r="T2362" s="19" t="s">
        <v>7277</v>
      </c>
      <c r="U2362" s="19" t="str">
        <f aca="false">HYPERLINK("https://macaulaylibrary.org/asset/57474","Open")</f>
        <v>Open</v>
      </c>
      <c r="V2362" s="19"/>
    </row>
    <row r="2363" customFormat="false" ht="15" hidden="false" customHeight="false" outlineLevel="0" collapsed="false">
      <c r="A2363" s="19" t="s">
        <v>7278</v>
      </c>
      <c r="B2363" s="19" t="s">
        <v>943</v>
      </c>
      <c r="C2363" s="19" t="s">
        <v>7202</v>
      </c>
      <c r="D2363" s="19" t="s">
        <v>148</v>
      </c>
      <c r="E2363" s="19" t="s">
        <v>147</v>
      </c>
      <c r="F2363" s="19" t="s">
        <v>347</v>
      </c>
      <c r="G2363" s="19" t="n">
        <v>19</v>
      </c>
      <c r="H2363" s="19" t="s">
        <v>348</v>
      </c>
      <c r="I2363" s="20" t="n">
        <v>420.849</v>
      </c>
      <c r="J2363" s="19" t="n">
        <f aca="false">IF(I2363="","",MIN(Overview!$B$8,MAX(1,CEILING(I2363/Overview!$B$7,1))))</f>
        <v>85</v>
      </c>
      <c r="K2363" s="19" t="n">
        <v>1</v>
      </c>
      <c r="L2363" s="19"/>
      <c r="M2363" s="20" t="n">
        <v>3</v>
      </c>
      <c r="N2363" s="19"/>
      <c r="O2363" s="19"/>
      <c r="P2363" s="19" t="s">
        <v>1555</v>
      </c>
      <c r="Q2363" s="19" t="s">
        <v>980</v>
      </c>
      <c r="R2363" s="21" t="n">
        <v>33291</v>
      </c>
      <c r="S2363" s="19"/>
      <c r="T2363" s="19" t="s">
        <v>7279</v>
      </c>
      <c r="U2363" s="19" t="str">
        <f aca="false">HYPERLINK("https://macaulaylibrary.org/asset/57475","Open")</f>
        <v>Open</v>
      </c>
      <c r="V2363" s="19"/>
    </row>
    <row r="2364" customFormat="false" ht="15" hidden="false" customHeight="false" outlineLevel="0" collapsed="false">
      <c r="A2364" s="19" t="s">
        <v>7280</v>
      </c>
      <c r="B2364" s="19" t="s">
        <v>943</v>
      </c>
      <c r="C2364" s="19" t="s">
        <v>7202</v>
      </c>
      <c r="D2364" s="19" t="s">
        <v>400</v>
      </c>
      <c r="E2364" s="19" t="s">
        <v>147</v>
      </c>
      <c r="F2364" s="19" t="s">
        <v>592</v>
      </c>
      <c r="G2364" s="19" t="n">
        <v>20</v>
      </c>
      <c r="H2364" s="19" t="s">
        <v>593</v>
      </c>
      <c r="I2364" s="20" t="n">
        <v>27.877</v>
      </c>
      <c r="J2364" s="19" t="n">
        <f aca="false">IF(I2364="","",MIN(Overview!$B$8,MAX(1,CEILING(I2364/Overview!$B$7,1))))</f>
        <v>6</v>
      </c>
      <c r="K2364" s="19" t="n">
        <v>1</v>
      </c>
      <c r="L2364" s="19"/>
      <c r="M2364" s="20"/>
      <c r="N2364" s="19"/>
      <c r="O2364" s="19"/>
      <c r="P2364" s="19" t="s">
        <v>7281</v>
      </c>
      <c r="Q2364" s="19" t="s">
        <v>1352</v>
      </c>
      <c r="R2364" s="21" t="n">
        <v>46217</v>
      </c>
      <c r="S2364" s="19" t="s">
        <v>1137</v>
      </c>
      <c r="T2364" s="19" t="s">
        <v>7282</v>
      </c>
      <c r="U2364" s="19" t="str">
        <f aca="false">HYPERLINK("https://macaulaylibrary.org/asset/661327905","Open")</f>
        <v>Open</v>
      </c>
      <c r="V2364" s="19"/>
    </row>
    <row r="2365" customFormat="false" ht="15" hidden="false" customHeight="false" outlineLevel="0" collapsed="false">
      <c r="A2365" s="19" t="s">
        <v>7283</v>
      </c>
      <c r="B2365" s="19" t="s">
        <v>943</v>
      </c>
      <c r="C2365" s="19" t="s">
        <v>7202</v>
      </c>
      <c r="D2365" s="19" t="s">
        <v>148</v>
      </c>
      <c r="E2365" s="19" t="s">
        <v>147</v>
      </c>
      <c r="F2365" s="19" t="s">
        <v>175</v>
      </c>
      <c r="G2365" s="19" t="n">
        <v>21</v>
      </c>
      <c r="H2365" s="19" t="s">
        <v>176</v>
      </c>
      <c r="I2365" s="20" t="n">
        <v>46.606</v>
      </c>
      <c r="J2365" s="19" t="n">
        <f aca="false">IF(I2365="","",MIN(Overview!$B$8,MAX(1,CEILING(I2365/Overview!$B$7,1))))</f>
        <v>10</v>
      </c>
      <c r="K2365" s="19" t="n">
        <v>1</v>
      </c>
      <c r="L2365" s="19"/>
      <c r="M2365" s="20" t="n">
        <v>1</v>
      </c>
      <c r="N2365" s="19"/>
      <c r="O2365" s="19"/>
      <c r="P2365" s="19" t="s">
        <v>2342</v>
      </c>
      <c r="Q2365" s="19" t="s">
        <v>2343</v>
      </c>
      <c r="R2365" s="21" t="n">
        <v>31506</v>
      </c>
      <c r="S2365" s="19"/>
      <c r="T2365" s="19" t="s">
        <v>7284</v>
      </c>
      <c r="U2365" s="19" t="str">
        <f aca="false">HYPERLINK("https://macaulaylibrary.org/asset/249454","Open")</f>
        <v>Open</v>
      </c>
      <c r="V2365" s="19"/>
    </row>
    <row r="2366" customFormat="false" ht="15" hidden="false" customHeight="false" outlineLevel="0" collapsed="false">
      <c r="A2366" s="19" t="s">
        <v>7285</v>
      </c>
      <c r="B2366" s="19" t="s">
        <v>943</v>
      </c>
      <c r="C2366" s="19" t="s">
        <v>7202</v>
      </c>
      <c r="D2366" s="19" t="s">
        <v>148</v>
      </c>
      <c r="E2366" s="19" t="s">
        <v>147</v>
      </c>
      <c r="F2366" s="19" t="s">
        <v>175</v>
      </c>
      <c r="G2366" s="19" t="n">
        <v>21</v>
      </c>
      <c r="H2366" s="19" t="s">
        <v>176</v>
      </c>
      <c r="I2366" s="20" t="n">
        <v>78.972</v>
      </c>
      <c r="J2366" s="19" t="n">
        <f aca="false">IF(I2366="","",MIN(Overview!$B$8,MAX(1,CEILING(I2366/Overview!$B$7,1))))</f>
        <v>16</v>
      </c>
      <c r="K2366" s="19" t="n">
        <v>1</v>
      </c>
      <c r="L2366" s="19"/>
      <c r="M2366" s="20" t="n">
        <v>3.5</v>
      </c>
      <c r="N2366" s="19"/>
      <c r="O2366" s="19"/>
      <c r="P2366" s="19" t="s">
        <v>2499</v>
      </c>
      <c r="Q2366" s="19" t="s">
        <v>1063</v>
      </c>
      <c r="R2366" s="21" t="n">
        <v>44087</v>
      </c>
      <c r="S2366" s="19" t="s">
        <v>2500</v>
      </c>
      <c r="T2366" s="19" t="s">
        <v>7286</v>
      </c>
      <c r="U2366" s="19" t="str">
        <f aca="false">HYPERLINK("https://macaulaylibrary.org/asset/268167161","Open")</f>
        <v>Open</v>
      </c>
      <c r="V2366" s="19"/>
    </row>
    <row r="2367" customFormat="false" ht="15" hidden="false" customHeight="false" outlineLevel="0" collapsed="false">
      <c r="A2367" s="19" t="s">
        <v>7287</v>
      </c>
      <c r="B2367" s="19" t="s">
        <v>943</v>
      </c>
      <c r="C2367" s="19" t="s">
        <v>7202</v>
      </c>
      <c r="D2367" s="19" t="s">
        <v>148</v>
      </c>
      <c r="E2367" s="19" t="s">
        <v>147</v>
      </c>
      <c r="F2367" s="19" t="s">
        <v>175</v>
      </c>
      <c r="G2367" s="19" t="n">
        <v>21</v>
      </c>
      <c r="H2367" s="19" t="s">
        <v>176</v>
      </c>
      <c r="I2367" s="20" t="n">
        <v>19.903</v>
      </c>
      <c r="J2367" s="19" t="n">
        <f aca="false">IF(I2367="","",MIN(Overview!$B$8,MAX(1,CEILING(I2367/Overview!$B$7,1))))</f>
        <v>4</v>
      </c>
      <c r="K2367" s="19" t="n">
        <v>1</v>
      </c>
      <c r="L2367" s="19"/>
      <c r="M2367" s="20"/>
      <c r="N2367" s="19"/>
      <c r="O2367" s="19"/>
      <c r="P2367" s="19" t="s">
        <v>4351</v>
      </c>
      <c r="Q2367" s="19" t="s">
        <v>4352</v>
      </c>
      <c r="R2367" s="21" t="n">
        <v>43431</v>
      </c>
      <c r="S2367" s="19" t="s">
        <v>2516</v>
      </c>
      <c r="T2367" s="19" t="s">
        <v>7288</v>
      </c>
      <c r="U2367" s="19" t="str">
        <f aca="false">HYPERLINK("https://macaulaylibrary.org/asset/315003501","Open")</f>
        <v>Open</v>
      </c>
      <c r="V2367" s="19"/>
    </row>
    <row r="2368" customFormat="false" ht="15" hidden="false" customHeight="false" outlineLevel="0" collapsed="false">
      <c r="A2368" s="19" t="s">
        <v>7289</v>
      </c>
      <c r="B2368" s="19" t="s">
        <v>943</v>
      </c>
      <c r="C2368" s="19" t="s">
        <v>7202</v>
      </c>
      <c r="D2368" s="19" t="s">
        <v>148</v>
      </c>
      <c r="E2368" s="19" t="s">
        <v>147</v>
      </c>
      <c r="F2368" s="19" t="s">
        <v>175</v>
      </c>
      <c r="G2368" s="19" t="n">
        <v>21</v>
      </c>
      <c r="H2368" s="19" t="s">
        <v>176</v>
      </c>
      <c r="I2368" s="20" t="n">
        <v>25.768</v>
      </c>
      <c r="J2368" s="19" t="n">
        <f aca="false">IF(I2368="","",MIN(Overview!$B$8,MAX(1,CEILING(I2368/Overview!$B$7,1))))</f>
        <v>6</v>
      </c>
      <c r="K2368" s="19" t="n">
        <v>1</v>
      </c>
      <c r="L2368" s="19"/>
      <c r="M2368" s="20"/>
      <c r="N2368" s="19"/>
      <c r="O2368" s="19"/>
      <c r="P2368" s="19" t="s">
        <v>4351</v>
      </c>
      <c r="Q2368" s="19" t="s">
        <v>4352</v>
      </c>
      <c r="R2368" s="21" t="n">
        <v>43431</v>
      </c>
      <c r="S2368" s="19" t="s">
        <v>2516</v>
      </c>
      <c r="T2368" s="19" t="s">
        <v>7290</v>
      </c>
      <c r="U2368" s="19" t="str">
        <f aca="false">HYPERLINK("https://macaulaylibrary.org/asset/315003511","Open")</f>
        <v>Open</v>
      </c>
      <c r="V2368" s="19"/>
    </row>
    <row r="2369" customFormat="false" ht="15" hidden="false" customHeight="false" outlineLevel="0" collapsed="false">
      <c r="A2369" s="19" t="s">
        <v>7291</v>
      </c>
      <c r="B2369" s="19" t="s">
        <v>943</v>
      </c>
      <c r="C2369" s="19" t="s">
        <v>7202</v>
      </c>
      <c r="D2369" s="19" t="s">
        <v>148</v>
      </c>
      <c r="E2369" s="19" t="s">
        <v>147</v>
      </c>
      <c r="F2369" s="19" t="s">
        <v>175</v>
      </c>
      <c r="G2369" s="19" t="n">
        <v>21</v>
      </c>
      <c r="H2369" s="19" t="s">
        <v>176</v>
      </c>
      <c r="I2369" s="20" t="n">
        <v>34.909</v>
      </c>
      <c r="J2369" s="19" t="n">
        <f aca="false">IF(I2369="","",MIN(Overview!$B$8,MAX(1,CEILING(I2369/Overview!$B$7,1))))</f>
        <v>7</v>
      </c>
      <c r="K2369" s="19" t="n">
        <v>1</v>
      </c>
      <c r="L2369" s="19"/>
      <c r="M2369" s="20" t="n">
        <v>3.5</v>
      </c>
      <c r="N2369" s="19"/>
      <c r="O2369" s="19"/>
      <c r="P2369" s="19" t="s">
        <v>7292</v>
      </c>
      <c r="Q2369" s="19" t="s">
        <v>1408</v>
      </c>
      <c r="R2369" s="21" t="n">
        <v>32457</v>
      </c>
      <c r="S2369" s="19" t="s">
        <v>1009</v>
      </c>
      <c r="T2369" s="19" t="s">
        <v>7293</v>
      </c>
      <c r="U2369" s="19" t="str">
        <f aca="false">HYPERLINK("https://macaulaylibrary.org/asset/347766171","Open")</f>
        <v>Open</v>
      </c>
      <c r="V2369" s="19"/>
    </row>
    <row r="2370" customFormat="false" ht="15" hidden="false" customHeight="false" outlineLevel="0" collapsed="false">
      <c r="A2370" s="19" t="s">
        <v>7294</v>
      </c>
      <c r="B2370" s="19" t="s">
        <v>943</v>
      </c>
      <c r="C2370" s="19" t="s">
        <v>7202</v>
      </c>
      <c r="D2370" s="19" t="s">
        <v>148</v>
      </c>
      <c r="E2370" s="19" t="s">
        <v>147</v>
      </c>
      <c r="F2370" s="19" t="s">
        <v>175</v>
      </c>
      <c r="G2370" s="19" t="n">
        <v>21</v>
      </c>
      <c r="H2370" s="19" t="s">
        <v>176</v>
      </c>
      <c r="I2370" s="20" t="n">
        <v>19.561</v>
      </c>
      <c r="J2370" s="19" t="n">
        <f aca="false">IF(I2370="","",MIN(Overview!$B$8,MAX(1,CEILING(I2370/Overview!$B$7,1))))</f>
        <v>4</v>
      </c>
      <c r="K2370" s="19" t="n">
        <v>1</v>
      </c>
      <c r="L2370" s="19"/>
      <c r="M2370" s="20"/>
      <c r="N2370" s="19"/>
      <c r="O2370" s="19"/>
      <c r="P2370" s="19" t="s">
        <v>1203</v>
      </c>
      <c r="Q2370" s="19" t="s">
        <v>1204</v>
      </c>
      <c r="R2370" s="21" t="n">
        <v>46049</v>
      </c>
      <c r="S2370" s="19" t="s">
        <v>1205</v>
      </c>
      <c r="T2370" s="19" t="s">
        <v>7295</v>
      </c>
      <c r="U2370" s="19" t="str">
        <f aca="false">HYPERLINK("https://macaulaylibrary.org/asset/653762496","Open")</f>
        <v>Open</v>
      </c>
      <c r="V2370" s="19"/>
    </row>
    <row r="2371" customFormat="false" ht="15" hidden="false" customHeight="false" outlineLevel="0" collapsed="false">
      <c r="A2371" s="19" t="s">
        <v>7296</v>
      </c>
      <c r="B2371" s="19" t="s">
        <v>943</v>
      </c>
      <c r="C2371" s="19" t="s">
        <v>7202</v>
      </c>
      <c r="D2371" s="19" t="s">
        <v>148</v>
      </c>
      <c r="E2371" s="19" t="s">
        <v>147</v>
      </c>
      <c r="F2371" s="19" t="s">
        <v>175</v>
      </c>
      <c r="G2371" s="19" t="n">
        <v>21</v>
      </c>
      <c r="H2371" s="19" t="s">
        <v>176</v>
      </c>
      <c r="I2371" s="20" t="n">
        <v>11.972</v>
      </c>
      <c r="J2371" s="19" t="n">
        <f aca="false">IF(I2371="","",MIN(Overview!$B$8,MAX(1,CEILING(I2371/Overview!$B$7,1))))</f>
        <v>3</v>
      </c>
      <c r="K2371" s="19" t="n">
        <v>1</v>
      </c>
      <c r="L2371" s="19"/>
      <c r="M2371" s="20"/>
      <c r="N2371" s="19"/>
      <c r="O2371" s="19"/>
      <c r="P2371" s="19" t="s">
        <v>2854</v>
      </c>
      <c r="Q2371" s="19" t="s">
        <v>2855</v>
      </c>
      <c r="R2371" s="21" t="n">
        <v>46258</v>
      </c>
      <c r="S2371" s="19" t="s">
        <v>2088</v>
      </c>
      <c r="T2371" s="19" t="s">
        <v>7297</v>
      </c>
      <c r="U2371" s="19" t="str">
        <f aca="false">HYPERLINK("https://macaulaylibrary.org/asset/663617831","Open")</f>
        <v>Open</v>
      </c>
      <c r="V2371" s="19"/>
    </row>
    <row r="2372" customFormat="false" ht="15" hidden="false" customHeight="false" outlineLevel="0" collapsed="false">
      <c r="A2372" s="19" t="s">
        <v>7298</v>
      </c>
      <c r="B2372" s="19" t="s">
        <v>943</v>
      </c>
      <c r="C2372" s="19" t="s">
        <v>7202</v>
      </c>
      <c r="D2372" s="19" t="s">
        <v>148</v>
      </c>
      <c r="E2372" s="19" t="s">
        <v>147</v>
      </c>
      <c r="F2372" s="19" t="s">
        <v>271</v>
      </c>
      <c r="G2372" s="19" t="n">
        <v>22</v>
      </c>
      <c r="H2372" s="19" t="s">
        <v>272</v>
      </c>
      <c r="I2372" s="20" t="n">
        <v>5.704</v>
      </c>
      <c r="J2372" s="19" t="n">
        <f aca="false">IF(I2372="","",MIN(Overview!$B$8,MAX(1,CEILING(I2372/Overview!$B$7,1))))</f>
        <v>2</v>
      </c>
      <c r="K2372" s="19" t="n">
        <v>1</v>
      </c>
      <c r="L2372" s="19"/>
      <c r="M2372" s="20" t="n">
        <v>2</v>
      </c>
      <c r="N2372" s="19"/>
      <c r="O2372" s="19"/>
      <c r="P2372" s="19" t="s">
        <v>7299</v>
      </c>
      <c r="Q2372" s="19" t="s">
        <v>4764</v>
      </c>
      <c r="R2372" s="21" t="n">
        <v>38424</v>
      </c>
      <c r="S2372" s="19" t="s">
        <v>1002</v>
      </c>
      <c r="T2372" s="19" t="s">
        <v>7300</v>
      </c>
      <c r="U2372" s="19" t="str">
        <f aca="false">HYPERLINK("https://macaulaylibrary.org/asset/228673011","Open")</f>
        <v>Open</v>
      </c>
      <c r="V2372" s="19"/>
    </row>
    <row r="2373" customFormat="false" ht="15" hidden="false" customHeight="false" outlineLevel="0" collapsed="false">
      <c r="A2373" s="19" t="s">
        <v>7301</v>
      </c>
      <c r="B2373" s="19" t="s">
        <v>943</v>
      </c>
      <c r="C2373" s="19" t="s">
        <v>7202</v>
      </c>
      <c r="D2373" s="19" t="s">
        <v>148</v>
      </c>
      <c r="E2373" s="19" t="s">
        <v>147</v>
      </c>
      <c r="F2373" s="19" t="s">
        <v>271</v>
      </c>
      <c r="G2373" s="19" t="n">
        <v>22</v>
      </c>
      <c r="H2373" s="19" t="s">
        <v>272</v>
      </c>
      <c r="I2373" s="20" t="n">
        <v>136.544</v>
      </c>
      <c r="J2373" s="19" t="n">
        <f aca="false">IF(I2373="","",MIN(Overview!$B$8,MAX(1,CEILING(I2373/Overview!$B$7,1))))</f>
        <v>28</v>
      </c>
      <c r="K2373" s="19" t="n">
        <v>1</v>
      </c>
      <c r="L2373" s="19"/>
      <c r="M2373" s="20" t="n">
        <v>2</v>
      </c>
      <c r="N2373" s="19"/>
      <c r="O2373" s="19"/>
      <c r="P2373" s="19" t="s">
        <v>3717</v>
      </c>
      <c r="Q2373" s="19" t="s">
        <v>2343</v>
      </c>
      <c r="R2373" s="21" t="n">
        <v>31505</v>
      </c>
      <c r="S2373" s="19" t="s">
        <v>1290</v>
      </c>
      <c r="T2373" s="19" t="s">
        <v>7302</v>
      </c>
      <c r="U2373" s="19" t="str">
        <f aca="false">HYPERLINK("https://macaulaylibrary.org/asset/249436","Open")</f>
        <v>Open</v>
      </c>
      <c r="V2373" s="19" t="s">
        <v>7303</v>
      </c>
    </row>
    <row r="2374" customFormat="false" ht="15" hidden="false" customHeight="false" outlineLevel="0" collapsed="false">
      <c r="A2374" s="19" t="s">
        <v>7304</v>
      </c>
      <c r="B2374" s="19" t="s">
        <v>943</v>
      </c>
      <c r="C2374" s="19" t="s">
        <v>7202</v>
      </c>
      <c r="D2374" s="19" t="s">
        <v>148</v>
      </c>
      <c r="E2374" s="19" t="s">
        <v>147</v>
      </c>
      <c r="F2374" s="19" t="s">
        <v>271</v>
      </c>
      <c r="G2374" s="19" t="n">
        <v>22</v>
      </c>
      <c r="H2374" s="19" t="s">
        <v>272</v>
      </c>
      <c r="I2374" s="20" t="n">
        <v>77.564</v>
      </c>
      <c r="J2374" s="19" t="n">
        <f aca="false">IF(I2374="","",MIN(Overview!$B$8,MAX(1,CEILING(I2374/Overview!$B$7,1))))</f>
        <v>16</v>
      </c>
      <c r="K2374" s="19" t="n">
        <v>1</v>
      </c>
      <c r="L2374" s="19"/>
      <c r="M2374" s="20" t="n">
        <v>3</v>
      </c>
      <c r="N2374" s="19"/>
      <c r="O2374" s="19"/>
      <c r="P2374" s="19" t="s">
        <v>1710</v>
      </c>
      <c r="Q2374" s="19" t="s">
        <v>1218</v>
      </c>
      <c r="R2374" s="21" t="n">
        <v>33331</v>
      </c>
      <c r="S2374" s="19" t="s">
        <v>5079</v>
      </c>
      <c r="T2374" s="19" t="s">
        <v>7305</v>
      </c>
      <c r="U2374" s="19" t="str">
        <f aca="false">HYPERLINK("https://macaulaylibrary.org/asset/76638","Open")</f>
        <v>Open</v>
      </c>
      <c r="V2374" s="19"/>
    </row>
    <row r="2375" customFormat="false" ht="15" hidden="false" customHeight="false" outlineLevel="0" collapsed="false">
      <c r="A2375" s="19" t="s">
        <v>7306</v>
      </c>
      <c r="B2375" s="19" t="s">
        <v>943</v>
      </c>
      <c r="C2375" s="19" t="s">
        <v>7202</v>
      </c>
      <c r="D2375" s="19" t="s">
        <v>148</v>
      </c>
      <c r="E2375" s="19" t="s">
        <v>147</v>
      </c>
      <c r="F2375" s="19" t="s">
        <v>218</v>
      </c>
      <c r="G2375" s="19" t="n">
        <v>23</v>
      </c>
      <c r="H2375" s="19" t="s">
        <v>219</v>
      </c>
      <c r="I2375" s="20" t="n">
        <v>28.565</v>
      </c>
      <c r="J2375" s="19" t="n">
        <f aca="false">IF(I2375="","",MIN(Overview!$B$8,MAX(1,CEILING(I2375/Overview!$B$7,1))))</f>
        <v>6</v>
      </c>
      <c r="K2375" s="19" t="n">
        <v>1</v>
      </c>
      <c r="L2375" s="19"/>
      <c r="M2375" s="20" t="n">
        <v>4</v>
      </c>
      <c r="N2375" s="19"/>
      <c r="O2375" s="19"/>
      <c r="P2375" s="19" t="s">
        <v>2465</v>
      </c>
      <c r="Q2375" s="19" t="s">
        <v>965</v>
      </c>
      <c r="R2375" s="21" t="n">
        <v>43812</v>
      </c>
      <c r="S2375" s="19" t="s">
        <v>2466</v>
      </c>
      <c r="T2375" s="19" t="s">
        <v>7307</v>
      </c>
      <c r="U2375" s="19" t="str">
        <f aca="false">HYPERLINK("https://macaulaylibrary.org/asset/193406991","Open")</f>
        <v>Open</v>
      </c>
      <c r="V2375" s="19"/>
    </row>
    <row r="2376" customFormat="false" ht="15" hidden="false" customHeight="false" outlineLevel="0" collapsed="false">
      <c r="A2376" s="19" t="s">
        <v>7308</v>
      </c>
      <c r="B2376" s="19" t="s">
        <v>943</v>
      </c>
      <c r="C2376" s="19" t="s">
        <v>7202</v>
      </c>
      <c r="D2376" s="19" t="s">
        <v>148</v>
      </c>
      <c r="E2376" s="19" t="s">
        <v>147</v>
      </c>
      <c r="F2376" s="19" t="s">
        <v>218</v>
      </c>
      <c r="G2376" s="19" t="n">
        <v>23</v>
      </c>
      <c r="H2376" s="19" t="s">
        <v>219</v>
      </c>
      <c r="I2376" s="20" t="n">
        <v>45</v>
      </c>
      <c r="J2376" s="19" t="n">
        <f aca="false">IF(I2376="","",MIN(Overview!$B$8,MAX(1,CEILING(I2376/Overview!$B$7,1))))</f>
        <v>9</v>
      </c>
      <c r="K2376" s="19" t="n">
        <v>1</v>
      </c>
      <c r="L2376" s="19"/>
      <c r="M2376" s="20" t="n">
        <v>2</v>
      </c>
      <c r="N2376" s="19"/>
      <c r="O2376" s="19"/>
      <c r="P2376" s="19" t="s">
        <v>2342</v>
      </c>
      <c r="Q2376" s="19" t="s">
        <v>2343</v>
      </c>
      <c r="R2376" s="21" t="n">
        <v>31506</v>
      </c>
      <c r="S2376" s="19"/>
      <c r="T2376" s="19" t="s">
        <v>7309</v>
      </c>
      <c r="U2376" s="19" t="str">
        <f aca="false">HYPERLINK("https://macaulaylibrary.org/asset/249461","Open")</f>
        <v>Open</v>
      </c>
      <c r="V2376" s="19"/>
    </row>
    <row r="2377" customFormat="false" ht="15" hidden="false" customHeight="false" outlineLevel="0" collapsed="false">
      <c r="A2377" s="19" t="s">
        <v>7310</v>
      </c>
      <c r="B2377" s="19" t="s">
        <v>943</v>
      </c>
      <c r="C2377" s="19" t="s">
        <v>7202</v>
      </c>
      <c r="D2377" s="19" t="s">
        <v>148</v>
      </c>
      <c r="E2377" s="19" t="s">
        <v>147</v>
      </c>
      <c r="F2377" s="19" t="s">
        <v>218</v>
      </c>
      <c r="G2377" s="19" t="n">
        <v>23</v>
      </c>
      <c r="H2377" s="19" t="s">
        <v>219</v>
      </c>
      <c r="I2377" s="20" t="n">
        <v>76.489</v>
      </c>
      <c r="J2377" s="19" t="n">
        <f aca="false">IF(I2377="","",MIN(Overview!$B$8,MAX(1,CEILING(I2377/Overview!$B$7,1))))</f>
        <v>16</v>
      </c>
      <c r="K2377" s="19" t="n">
        <v>1</v>
      </c>
      <c r="L2377" s="19"/>
      <c r="M2377" s="20" t="n">
        <v>3</v>
      </c>
      <c r="N2377" s="19"/>
      <c r="O2377" s="19"/>
      <c r="P2377" s="19" t="s">
        <v>2096</v>
      </c>
      <c r="Q2377" s="19" t="s">
        <v>1076</v>
      </c>
      <c r="R2377" s="21" t="n">
        <v>43399</v>
      </c>
      <c r="S2377" s="19" t="s">
        <v>1205</v>
      </c>
      <c r="T2377" s="19" t="s">
        <v>7311</v>
      </c>
      <c r="U2377" s="19" t="str">
        <f aca="false">HYPERLINK("https://macaulaylibrary.org/asset/470129651","Open")</f>
        <v>Open</v>
      </c>
      <c r="V2377" s="19"/>
    </row>
    <row r="2378" customFormat="false" ht="15" hidden="false" customHeight="false" outlineLevel="0" collapsed="false">
      <c r="A2378" s="19" t="s">
        <v>7312</v>
      </c>
      <c r="B2378" s="19" t="s">
        <v>943</v>
      </c>
      <c r="C2378" s="19" t="s">
        <v>7202</v>
      </c>
      <c r="D2378" s="19" t="s">
        <v>148</v>
      </c>
      <c r="E2378" s="19" t="s">
        <v>147</v>
      </c>
      <c r="F2378" s="19" t="s">
        <v>218</v>
      </c>
      <c r="G2378" s="19" t="n">
        <v>23</v>
      </c>
      <c r="H2378" s="19" t="s">
        <v>219</v>
      </c>
      <c r="I2378" s="20" t="n">
        <v>355.188</v>
      </c>
      <c r="J2378" s="19" t="n">
        <f aca="false">IF(I2378="","",MIN(Overview!$B$8,MAX(1,CEILING(I2378/Overview!$B$7,1))))</f>
        <v>72</v>
      </c>
      <c r="K2378" s="19" t="n">
        <v>1</v>
      </c>
      <c r="L2378" s="19"/>
      <c r="M2378" s="20" t="n">
        <v>3</v>
      </c>
      <c r="N2378" s="19"/>
      <c r="O2378" s="19"/>
      <c r="P2378" s="19" t="s">
        <v>1570</v>
      </c>
      <c r="Q2378" s="19" t="s">
        <v>980</v>
      </c>
      <c r="R2378" s="21" t="n">
        <v>33295</v>
      </c>
      <c r="S2378" s="19" t="s">
        <v>1002</v>
      </c>
      <c r="T2378" s="19" t="s">
        <v>7313</v>
      </c>
      <c r="U2378" s="19" t="str">
        <f aca="false">HYPERLINK("https://macaulaylibrary.org/asset/72607","Open")</f>
        <v>Open</v>
      </c>
      <c r="V2378" s="19"/>
    </row>
    <row r="2379" customFormat="false" ht="15" hidden="false" customHeight="false" outlineLevel="0" collapsed="false">
      <c r="A2379" s="19" t="s">
        <v>7314</v>
      </c>
      <c r="B2379" s="19" t="s">
        <v>943</v>
      </c>
      <c r="C2379" s="19" t="s">
        <v>7202</v>
      </c>
      <c r="D2379" s="19" t="s">
        <v>148</v>
      </c>
      <c r="E2379" s="19" t="s">
        <v>147</v>
      </c>
      <c r="F2379" s="19" t="s">
        <v>218</v>
      </c>
      <c r="G2379" s="19" t="n">
        <v>23</v>
      </c>
      <c r="H2379" s="19" t="s">
        <v>219</v>
      </c>
      <c r="I2379" s="20" t="n">
        <v>73.733</v>
      </c>
      <c r="J2379" s="19" t="n">
        <f aca="false">IF(I2379="","",MIN(Overview!$B$8,MAX(1,CEILING(I2379/Overview!$B$7,1))))</f>
        <v>15</v>
      </c>
      <c r="K2379" s="19" t="n">
        <v>1</v>
      </c>
      <c r="L2379" s="19"/>
      <c r="M2379" s="20" t="n">
        <v>4.2</v>
      </c>
      <c r="N2379" s="19"/>
      <c r="O2379" s="19"/>
      <c r="P2379" s="19" t="s">
        <v>1570</v>
      </c>
      <c r="Q2379" s="19" t="s">
        <v>980</v>
      </c>
      <c r="R2379" s="21" t="n">
        <v>33295</v>
      </c>
      <c r="S2379" s="19" t="s">
        <v>2516</v>
      </c>
      <c r="T2379" s="19" t="s">
        <v>7315</v>
      </c>
      <c r="U2379" s="19" t="str">
        <f aca="false">HYPERLINK("https://macaulaylibrary.org/asset/72611","Open")</f>
        <v>Open</v>
      </c>
      <c r="V2379" s="19"/>
    </row>
    <row r="2380" customFormat="false" ht="15" hidden="false" customHeight="false" outlineLevel="0" collapsed="false">
      <c r="A2380" s="19" t="s">
        <v>7316</v>
      </c>
      <c r="B2380" s="19" t="s">
        <v>943</v>
      </c>
      <c r="C2380" s="19" t="s">
        <v>7202</v>
      </c>
      <c r="D2380" s="19" t="s">
        <v>400</v>
      </c>
      <c r="E2380" s="19" t="s">
        <v>147</v>
      </c>
      <c r="F2380" s="19" t="s">
        <v>493</v>
      </c>
      <c r="G2380" s="19" t="n">
        <v>25</v>
      </c>
      <c r="H2380" s="19" t="s">
        <v>494</v>
      </c>
      <c r="I2380" s="20" t="n">
        <v>65.845</v>
      </c>
      <c r="J2380" s="19" t="n">
        <f aca="false">IF(I2380="","",MIN(Overview!$B$8,MAX(1,CEILING(I2380/Overview!$B$7,1))))</f>
        <v>14</v>
      </c>
      <c r="K2380" s="19" t="n">
        <v>1</v>
      </c>
      <c r="L2380" s="19"/>
      <c r="M2380" s="20" t="n">
        <v>3</v>
      </c>
      <c r="N2380" s="19"/>
      <c r="O2380" s="19"/>
      <c r="P2380" s="19" t="s">
        <v>1217</v>
      </c>
      <c r="Q2380" s="19" t="s">
        <v>1218</v>
      </c>
      <c r="R2380" s="21" t="n">
        <v>33330</v>
      </c>
      <c r="S2380" s="19" t="s">
        <v>5452</v>
      </c>
      <c r="T2380" s="19" t="s">
        <v>7317</v>
      </c>
      <c r="U2380" s="19" t="str">
        <f aca="false">HYPERLINK("https://macaulaylibrary.org/asset/76627","Open")</f>
        <v>Open</v>
      </c>
      <c r="V2380" s="19"/>
    </row>
    <row r="2381" customFormat="false" ht="15" hidden="false" customHeight="false" outlineLevel="0" collapsed="false">
      <c r="A2381" s="19" t="s">
        <v>7318</v>
      </c>
      <c r="B2381" s="19" t="s">
        <v>943</v>
      </c>
      <c r="C2381" s="19" t="s">
        <v>7202</v>
      </c>
      <c r="D2381" s="19" t="s">
        <v>400</v>
      </c>
      <c r="E2381" s="19" t="s">
        <v>147</v>
      </c>
      <c r="F2381" s="19" t="s">
        <v>550</v>
      </c>
      <c r="G2381" s="19" t="n">
        <v>26</v>
      </c>
      <c r="H2381" s="19" t="s">
        <v>551</v>
      </c>
      <c r="I2381" s="20" t="n">
        <v>5.632</v>
      </c>
      <c r="J2381" s="19" t="n">
        <f aca="false">IF(I2381="","",MIN(Overview!$B$8,MAX(1,CEILING(I2381/Overview!$B$7,1))))</f>
        <v>2</v>
      </c>
      <c r="K2381" s="19" t="n">
        <v>1</v>
      </c>
      <c r="L2381" s="19"/>
      <c r="M2381" s="20" t="n">
        <v>3.5</v>
      </c>
      <c r="N2381" s="19"/>
      <c r="O2381" s="19"/>
      <c r="P2381" s="19" t="s">
        <v>1595</v>
      </c>
      <c r="Q2381" s="19" t="s">
        <v>1596</v>
      </c>
      <c r="R2381" s="21" t="n">
        <v>44700</v>
      </c>
      <c r="S2381" s="19" t="s">
        <v>1597</v>
      </c>
      <c r="T2381" s="19" t="s">
        <v>7319</v>
      </c>
      <c r="U2381" s="19" t="str">
        <f aca="false">HYPERLINK("https://macaulaylibrary.org/asset/458626341","Open")</f>
        <v>Open</v>
      </c>
      <c r="V2381" s="19"/>
    </row>
    <row r="2382" customFormat="false" ht="15" hidden="false" customHeight="false" outlineLevel="0" collapsed="false">
      <c r="A2382" s="19" t="s">
        <v>7320</v>
      </c>
      <c r="B2382" s="19" t="s">
        <v>943</v>
      </c>
      <c r="C2382" s="19" t="s">
        <v>7202</v>
      </c>
      <c r="D2382" s="19" t="s">
        <v>148</v>
      </c>
      <c r="E2382" s="19" t="s">
        <v>147</v>
      </c>
      <c r="F2382" s="19" t="s">
        <v>335</v>
      </c>
      <c r="G2382" s="19" t="n">
        <v>27</v>
      </c>
      <c r="H2382" s="19" t="s">
        <v>336</v>
      </c>
      <c r="I2382" s="20" t="n">
        <v>221.796</v>
      </c>
      <c r="J2382" s="19" t="n">
        <f aca="false">IF(I2382="","",MIN(Overview!$B$8,MAX(1,CEILING(I2382/Overview!$B$7,1))))</f>
        <v>45</v>
      </c>
      <c r="K2382" s="19" t="n">
        <v>1</v>
      </c>
      <c r="L2382" s="19"/>
      <c r="M2382" s="20" t="n">
        <v>3.5</v>
      </c>
      <c r="N2382" s="19"/>
      <c r="O2382" s="19"/>
      <c r="P2382" s="19" t="s">
        <v>3831</v>
      </c>
      <c r="Q2382" s="19" t="s">
        <v>1021</v>
      </c>
      <c r="R2382" s="21" t="n">
        <v>35862</v>
      </c>
      <c r="S2382" s="19" t="s">
        <v>1036</v>
      </c>
      <c r="T2382" s="19" t="s">
        <v>7321</v>
      </c>
      <c r="U2382" s="19" t="str">
        <f aca="false">HYPERLINK("https://macaulaylibrary.org/asset/100362431","Open")</f>
        <v>Open</v>
      </c>
      <c r="V2382" s="19"/>
    </row>
    <row r="2383" customFormat="false" ht="15" hidden="false" customHeight="false" outlineLevel="0" collapsed="false">
      <c r="A2383" s="19" t="s">
        <v>7322</v>
      </c>
      <c r="B2383" s="19" t="s">
        <v>943</v>
      </c>
      <c r="C2383" s="19" t="s">
        <v>7202</v>
      </c>
      <c r="D2383" s="19" t="s">
        <v>148</v>
      </c>
      <c r="E2383" s="19" t="s">
        <v>147</v>
      </c>
      <c r="F2383" s="19" t="s">
        <v>335</v>
      </c>
      <c r="G2383" s="19" t="n">
        <v>27</v>
      </c>
      <c r="H2383" s="19" t="s">
        <v>336</v>
      </c>
      <c r="I2383" s="20" t="n">
        <v>109.635</v>
      </c>
      <c r="J2383" s="19" t="n">
        <f aca="false">IF(I2383="","",MIN(Overview!$B$8,MAX(1,CEILING(I2383/Overview!$B$7,1))))</f>
        <v>22</v>
      </c>
      <c r="K2383" s="19" t="n">
        <v>1</v>
      </c>
      <c r="L2383" s="19"/>
      <c r="M2383" s="20" t="n">
        <v>4</v>
      </c>
      <c r="N2383" s="19"/>
      <c r="O2383" s="19"/>
      <c r="P2383" s="19" t="s">
        <v>3831</v>
      </c>
      <c r="Q2383" s="19" t="s">
        <v>1021</v>
      </c>
      <c r="R2383" s="21" t="n">
        <v>35862</v>
      </c>
      <c r="S2383" s="19" t="s">
        <v>1036</v>
      </c>
      <c r="T2383" s="19" t="s">
        <v>7323</v>
      </c>
      <c r="U2383" s="19" t="str">
        <f aca="false">HYPERLINK("https://macaulaylibrary.org/asset/100507081","Open")</f>
        <v>Open</v>
      </c>
      <c r="V2383" s="19"/>
    </row>
    <row r="2384" customFormat="false" ht="15" hidden="false" customHeight="false" outlineLevel="0" collapsed="false">
      <c r="A2384" s="19" t="s">
        <v>7324</v>
      </c>
      <c r="B2384" s="19" t="s">
        <v>943</v>
      </c>
      <c r="C2384" s="19" t="s">
        <v>7202</v>
      </c>
      <c r="D2384" s="19" t="s">
        <v>400</v>
      </c>
      <c r="E2384" s="19" t="s">
        <v>147</v>
      </c>
      <c r="F2384" s="19" t="s">
        <v>434</v>
      </c>
      <c r="G2384" s="19" t="n">
        <v>28</v>
      </c>
      <c r="H2384" s="19" t="s">
        <v>435</v>
      </c>
      <c r="I2384" s="20" t="n">
        <v>68.636</v>
      </c>
      <c r="J2384" s="19" t="n">
        <f aca="false">IF(I2384="","",MIN(Overview!$B$8,MAX(1,CEILING(I2384/Overview!$B$7,1))))</f>
        <v>14</v>
      </c>
      <c r="K2384" s="19" t="n">
        <v>1</v>
      </c>
      <c r="L2384" s="19"/>
      <c r="M2384" s="20" t="n">
        <v>1</v>
      </c>
      <c r="N2384" s="19"/>
      <c r="O2384" s="19" t="s">
        <v>329</v>
      </c>
      <c r="P2384" s="19" t="s">
        <v>1135</v>
      </c>
      <c r="Q2384" s="19" t="s">
        <v>1136</v>
      </c>
      <c r="R2384" s="21" t="n">
        <v>29735</v>
      </c>
      <c r="S2384" s="19" t="s">
        <v>2181</v>
      </c>
      <c r="T2384" s="19" t="s">
        <v>7325</v>
      </c>
      <c r="U2384" s="19" t="str">
        <f aca="false">HYPERLINK("https://macaulaylibrary.org/asset/28139","Open")</f>
        <v>Open</v>
      </c>
      <c r="V2384" s="19"/>
    </row>
    <row r="2385" customFormat="false" ht="15" hidden="false" customHeight="false" outlineLevel="0" collapsed="false">
      <c r="A2385" s="19" t="s">
        <v>7326</v>
      </c>
      <c r="B2385" s="19" t="s">
        <v>943</v>
      </c>
      <c r="C2385" s="19" t="s">
        <v>7202</v>
      </c>
      <c r="D2385" s="19" t="s">
        <v>148</v>
      </c>
      <c r="E2385" s="19" t="s">
        <v>147</v>
      </c>
      <c r="F2385" s="19" t="s">
        <v>178</v>
      </c>
      <c r="G2385" s="19" t="n">
        <v>29</v>
      </c>
      <c r="H2385" s="19" t="s">
        <v>179</v>
      </c>
      <c r="I2385" s="20" t="n">
        <v>101.253</v>
      </c>
      <c r="J2385" s="19" t="n">
        <f aca="false">IF(I2385="","",MIN(Overview!$B$8,MAX(1,CEILING(I2385/Overview!$B$7,1))))</f>
        <v>21</v>
      </c>
      <c r="K2385" s="19" t="n">
        <v>1</v>
      </c>
      <c r="L2385" s="19"/>
      <c r="M2385" s="20" t="n">
        <v>3.5</v>
      </c>
      <c r="N2385" s="19"/>
      <c r="O2385" s="19"/>
      <c r="P2385" s="19" t="s">
        <v>1664</v>
      </c>
      <c r="Q2385" s="19" t="s">
        <v>1021</v>
      </c>
      <c r="R2385" s="21" t="n">
        <v>35866</v>
      </c>
      <c r="S2385" s="19" t="s">
        <v>1279</v>
      </c>
      <c r="T2385" s="19" t="s">
        <v>7327</v>
      </c>
      <c r="U2385" s="19" t="str">
        <f aca="false">HYPERLINK("https://macaulaylibrary.org/asset/102627761","Open")</f>
        <v>Open</v>
      </c>
      <c r="V2385" s="19"/>
    </row>
    <row r="2386" customFormat="false" ht="15" hidden="false" customHeight="false" outlineLevel="0" collapsed="false">
      <c r="A2386" s="19" t="s">
        <v>7328</v>
      </c>
      <c r="B2386" s="19" t="s">
        <v>943</v>
      </c>
      <c r="C2386" s="19" t="s">
        <v>7202</v>
      </c>
      <c r="D2386" s="19" t="s">
        <v>148</v>
      </c>
      <c r="E2386" s="19" t="s">
        <v>147</v>
      </c>
      <c r="F2386" s="19" t="s">
        <v>178</v>
      </c>
      <c r="G2386" s="19" t="n">
        <v>29</v>
      </c>
      <c r="H2386" s="19" t="s">
        <v>179</v>
      </c>
      <c r="I2386" s="20" t="n">
        <v>23.109</v>
      </c>
      <c r="J2386" s="19" t="n">
        <f aca="false">IF(I2386="","",MIN(Overview!$B$8,MAX(1,CEILING(I2386/Overview!$B$7,1))))</f>
        <v>5</v>
      </c>
      <c r="K2386" s="19" t="n">
        <v>1</v>
      </c>
      <c r="L2386" s="19"/>
      <c r="M2386" s="20" t="n">
        <v>4</v>
      </c>
      <c r="N2386" s="19"/>
      <c r="O2386" s="19"/>
      <c r="P2386" s="19" t="s">
        <v>1664</v>
      </c>
      <c r="Q2386" s="19" t="s">
        <v>1021</v>
      </c>
      <c r="R2386" s="21" t="n">
        <v>35866</v>
      </c>
      <c r="S2386" s="19" t="s">
        <v>1279</v>
      </c>
      <c r="T2386" s="19" t="s">
        <v>7329</v>
      </c>
      <c r="U2386" s="19" t="str">
        <f aca="false">HYPERLINK("https://macaulaylibrary.org/asset/102628271","Open")</f>
        <v>Open</v>
      </c>
      <c r="V2386" s="19"/>
    </row>
    <row r="2387" customFormat="false" ht="15" hidden="false" customHeight="false" outlineLevel="0" collapsed="false">
      <c r="A2387" s="19" t="s">
        <v>7330</v>
      </c>
      <c r="B2387" s="19" t="s">
        <v>943</v>
      </c>
      <c r="C2387" s="19" t="s">
        <v>7202</v>
      </c>
      <c r="D2387" s="19" t="s">
        <v>148</v>
      </c>
      <c r="E2387" s="19" t="s">
        <v>147</v>
      </c>
      <c r="F2387" s="19" t="s">
        <v>178</v>
      </c>
      <c r="G2387" s="19" t="n">
        <v>29</v>
      </c>
      <c r="H2387" s="19" t="s">
        <v>179</v>
      </c>
      <c r="I2387" s="20" t="n">
        <v>65.368</v>
      </c>
      <c r="J2387" s="19" t="n">
        <f aca="false">IF(I2387="","",MIN(Overview!$B$8,MAX(1,CEILING(I2387/Overview!$B$7,1))))</f>
        <v>14</v>
      </c>
      <c r="K2387" s="19" t="n">
        <v>1</v>
      </c>
      <c r="L2387" s="19"/>
      <c r="M2387" s="20" t="n">
        <v>3</v>
      </c>
      <c r="N2387" s="19"/>
      <c r="O2387" s="19"/>
      <c r="P2387" s="19" t="s">
        <v>1664</v>
      </c>
      <c r="Q2387" s="19" t="s">
        <v>1021</v>
      </c>
      <c r="R2387" s="21" t="n">
        <v>35866</v>
      </c>
      <c r="S2387" s="19" t="s">
        <v>1279</v>
      </c>
      <c r="T2387" s="19" t="s">
        <v>7331</v>
      </c>
      <c r="U2387" s="19" t="str">
        <f aca="false">HYPERLINK("https://macaulaylibrary.org/asset/102629371","Open")</f>
        <v>Open</v>
      </c>
      <c r="V2387" s="19"/>
    </row>
    <row r="2388" customFormat="false" ht="15" hidden="false" customHeight="false" outlineLevel="0" collapsed="false">
      <c r="A2388" s="19" t="s">
        <v>7332</v>
      </c>
      <c r="B2388" s="19" t="s">
        <v>943</v>
      </c>
      <c r="C2388" s="19" t="s">
        <v>7202</v>
      </c>
      <c r="D2388" s="19" t="s">
        <v>148</v>
      </c>
      <c r="E2388" s="19" t="s">
        <v>147</v>
      </c>
      <c r="F2388" s="19" t="s">
        <v>178</v>
      </c>
      <c r="G2388" s="19" t="n">
        <v>29</v>
      </c>
      <c r="H2388" s="19" t="s">
        <v>179</v>
      </c>
      <c r="I2388" s="20" t="n">
        <v>7.107</v>
      </c>
      <c r="J2388" s="19" t="n">
        <f aca="false">IF(I2388="","",MIN(Overview!$B$8,MAX(1,CEILING(I2388/Overview!$B$7,1))))</f>
        <v>2</v>
      </c>
      <c r="K2388" s="19" t="n">
        <v>1</v>
      </c>
      <c r="L2388" s="19"/>
      <c r="M2388" s="20" t="n">
        <v>2</v>
      </c>
      <c r="N2388" s="19"/>
      <c r="O2388" s="19"/>
      <c r="P2388" s="19" t="s">
        <v>2916</v>
      </c>
      <c r="Q2388" s="19" t="s">
        <v>2235</v>
      </c>
      <c r="R2388" s="21" t="n">
        <v>43469</v>
      </c>
      <c r="S2388" s="19" t="s">
        <v>1484</v>
      </c>
      <c r="T2388" s="19" t="s">
        <v>7333</v>
      </c>
      <c r="U2388" s="19" t="str">
        <f aca="false">HYPERLINK("https://macaulaylibrary.org/asset/143072701","Open")</f>
        <v>Open</v>
      </c>
      <c r="V2388" s="19"/>
    </row>
    <row r="2389" customFormat="false" ht="15" hidden="false" customHeight="false" outlineLevel="0" collapsed="false">
      <c r="A2389" s="19" t="s">
        <v>7334</v>
      </c>
      <c r="B2389" s="19" t="s">
        <v>943</v>
      </c>
      <c r="C2389" s="19" t="s">
        <v>7202</v>
      </c>
      <c r="D2389" s="19" t="s">
        <v>148</v>
      </c>
      <c r="E2389" s="19" t="s">
        <v>147</v>
      </c>
      <c r="F2389" s="19" t="s">
        <v>178</v>
      </c>
      <c r="G2389" s="19" t="n">
        <v>29</v>
      </c>
      <c r="H2389" s="19" t="s">
        <v>179</v>
      </c>
      <c r="I2389" s="20" t="n">
        <v>30.646</v>
      </c>
      <c r="J2389" s="19" t="n">
        <f aca="false">IF(I2389="","",MIN(Overview!$B$8,MAX(1,CEILING(I2389/Overview!$B$7,1))))</f>
        <v>7</v>
      </c>
      <c r="K2389" s="19" t="n">
        <v>1</v>
      </c>
      <c r="L2389" s="19"/>
      <c r="M2389" s="20" t="n">
        <v>1</v>
      </c>
      <c r="N2389" s="19"/>
      <c r="O2389" s="19"/>
      <c r="P2389" s="19" t="s">
        <v>974</v>
      </c>
      <c r="Q2389" s="19" t="s">
        <v>975</v>
      </c>
      <c r="R2389" s="21" t="n">
        <v>43666</v>
      </c>
      <c r="S2389" s="19" t="s">
        <v>976</v>
      </c>
      <c r="T2389" s="19" t="s">
        <v>7335</v>
      </c>
      <c r="U2389" s="19" t="str">
        <f aca="false">HYPERLINK("https://macaulaylibrary.org/asset/179452901","Open")</f>
        <v>Open</v>
      </c>
      <c r="V2389" s="19"/>
    </row>
    <row r="2390" customFormat="false" ht="15" hidden="false" customHeight="false" outlineLevel="0" collapsed="false">
      <c r="A2390" s="19" t="s">
        <v>7336</v>
      </c>
      <c r="B2390" s="19" t="s">
        <v>943</v>
      </c>
      <c r="C2390" s="19" t="s">
        <v>7202</v>
      </c>
      <c r="D2390" s="19" t="s">
        <v>148</v>
      </c>
      <c r="E2390" s="19" t="s">
        <v>147</v>
      </c>
      <c r="F2390" s="19" t="s">
        <v>178</v>
      </c>
      <c r="G2390" s="19" t="n">
        <v>29</v>
      </c>
      <c r="H2390" s="19" t="s">
        <v>179</v>
      </c>
      <c r="I2390" s="20" t="n">
        <v>194.74</v>
      </c>
      <c r="J2390" s="19" t="n">
        <f aca="false">IF(I2390="","",MIN(Overview!$B$8,MAX(1,CEILING(I2390/Overview!$B$7,1))))</f>
        <v>39</v>
      </c>
      <c r="K2390" s="19" t="n">
        <v>1</v>
      </c>
      <c r="L2390" s="19"/>
      <c r="M2390" s="20" t="n">
        <v>2</v>
      </c>
      <c r="N2390" s="19"/>
      <c r="O2390" s="19"/>
      <c r="P2390" s="19" t="s">
        <v>2342</v>
      </c>
      <c r="Q2390" s="19" t="s">
        <v>2343</v>
      </c>
      <c r="R2390" s="21" t="n">
        <v>31506</v>
      </c>
      <c r="S2390" s="19"/>
      <c r="T2390" s="19" t="s">
        <v>7337</v>
      </c>
      <c r="U2390" s="19" t="str">
        <f aca="false">HYPERLINK("https://macaulaylibrary.org/asset/249463","Open")</f>
        <v>Open</v>
      </c>
      <c r="V2390" s="19"/>
    </row>
    <row r="2391" customFormat="false" ht="15" hidden="false" customHeight="false" outlineLevel="0" collapsed="false">
      <c r="A2391" s="19" t="s">
        <v>7338</v>
      </c>
      <c r="B2391" s="19" t="s">
        <v>943</v>
      </c>
      <c r="C2391" s="19" t="s">
        <v>7202</v>
      </c>
      <c r="D2391" s="19" t="s">
        <v>148</v>
      </c>
      <c r="E2391" s="19" t="s">
        <v>147</v>
      </c>
      <c r="F2391" s="19" t="s">
        <v>178</v>
      </c>
      <c r="G2391" s="19" t="n">
        <v>29</v>
      </c>
      <c r="H2391" s="19" t="s">
        <v>179</v>
      </c>
      <c r="I2391" s="20" t="n">
        <v>11.55</v>
      </c>
      <c r="J2391" s="19" t="n">
        <f aca="false">IF(I2391="","",MIN(Overview!$B$8,MAX(1,CEILING(I2391/Overview!$B$7,1))))</f>
        <v>3</v>
      </c>
      <c r="K2391" s="19" t="n">
        <v>1</v>
      </c>
      <c r="L2391" s="19"/>
      <c r="M2391" s="20" t="n">
        <v>2</v>
      </c>
      <c r="N2391" s="19"/>
      <c r="O2391" s="19"/>
      <c r="P2391" s="19" t="s">
        <v>7339</v>
      </c>
      <c r="Q2391" s="19" t="s">
        <v>7340</v>
      </c>
      <c r="R2391" s="21" t="n">
        <v>44367</v>
      </c>
      <c r="S2391" s="19" t="s">
        <v>1013</v>
      </c>
      <c r="T2391" s="19" t="s">
        <v>7341</v>
      </c>
      <c r="U2391" s="19" t="str">
        <f aca="false">HYPERLINK("https://macaulaylibrary.org/asset/349505941","Open")</f>
        <v>Open</v>
      </c>
      <c r="V2391" s="19"/>
    </row>
    <row r="2392" customFormat="false" ht="15" hidden="false" customHeight="false" outlineLevel="0" collapsed="false">
      <c r="A2392" s="19" t="s">
        <v>7342</v>
      </c>
      <c r="B2392" s="19" t="s">
        <v>943</v>
      </c>
      <c r="C2392" s="19" t="s">
        <v>7202</v>
      </c>
      <c r="D2392" s="19" t="s">
        <v>613</v>
      </c>
      <c r="E2392" s="19" t="s">
        <v>147</v>
      </c>
      <c r="F2392" s="19" t="s">
        <v>771</v>
      </c>
      <c r="G2392" s="19" t="n">
        <v>30</v>
      </c>
      <c r="H2392" s="19" t="s">
        <v>772</v>
      </c>
      <c r="I2392" s="20" t="n">
        <v>23.576</v>
      </c>
      <c r="J2392" s="19" t="n">
        <f aca="false">IF(I2392="","",MIN(Overview!$B$8,MAX(1,CEILING(I2392/Overview!$B$7,1))))</f>
        <v>5</v>
      </c>
      <c r="K2392" s="19" t="n">
        <v>1</v>
      </c>
      <c r="L2392" s="19"/>
      <c r="M2392" s="20" t="n">
        <v>2.2</v>
      </c>
      <c r="N2392" s="19"/>
      <c r="O2392" s="19"/>
      <c r="P2392" s="19" t="s">
        <v>1039</v>
      </c>
      <c r="Q2392" s="19" t="s">
        <v>1040</v>
      </c>
      <c r="R2392" s="21" t="n">
        <v>40901</v>
      </c>
      <c r="S2392" s="19" t="s">
        <v>1002</v>
      </c>
      <c r="T2392" s="19" t="s">
        <v>7343</v>
      </c>
      <c r="U2392" s="19" t="str">
        <f aca="false">HYPERLINK("https://macaulaylibrary.org/asset/609056525","Open")</f>
        <v>Open</v>
      </c>
      <c r="V2392" s="19"/>
    </row>
    <row r="2393" customFormat="false" ht="15" hidden="false" customHeight="false" outlineLevel="0" collapsed="false">
      <c r="A2393" s="19" t="s">
        <v>7344</v>
      </c>
      <c r="B2393" s="19" t="s">
        <v>943</v>
      </c>
      <c r="C2393" s="19" t="s">
        <v>7202</v>
      </c>
      <c r="D2393" s="19" t="s">
        <v>400</v>
      </c>
      <c r="E2393" s="19" t="s">
        <v>147</v>
      </c>
      <c r="F2393" s="19" t="s">
        <v>595</v>
      </c>
      <c r="G2393" s="19" t="n">
        <v>31</v>
      </c>
      <c r="H2393" s="19" t="s">
        <v>596</v>
      </c>
      <c r="I2393" s="20" t="n">
        <v>1.47</v>
      </c>
      <c r="J2393" s="19" t="n">
        <f aca="false">IF(I2393="","",MIN(Overview!$B$8,MAX(1,CEILING(I2393/Overview!$B$7,1))))</f>
        <v>1</v>
      </c>
      <c r="K2393" s="19" t="n">
        <v>1</v>
      </c>
      <c r="L2393" s="19" t="s">
        <v>1048</v>
      </c>
      <c r="M2393" s="20"/>
      <c r="N2393" s="19"/>
      <c r="O2393" s="19"/>
      <c r="P2393" s="19" t="s">
        <v>1482</v>
      </c>
      <c r="Q2393" s="19" t="s">
        <v>1483</v>
      </c>
      <c r="R2393" s="21" t="n">
        <v>45293</v>
      </c>
      <c r="S2393" s="19" t="s">
        <v>1484</v>
      </c>
      <c r="T2393" s="19" t="s">
        <v>7345</v>
      </c>
      <c r="U2393" s="19" t="str">
        <f aca="false">HYPERLINK("https://macaulaylibrary.org/asset/639219087","Open")</f>
        <v>Open</v>
      </c>
      <c r="V2393" s="19"/>
    </row>
    <row r="2394" customFormat="false" ht="15" hidden="false" customHeight="false" outlineLevel="0" collapsed="false">
      <c r="A2394" s="19" t="s">
        <v>7346</v>
      </c>
      <c r="B2394" s="19" t="s">
        <v>943</v>
      </c>
      <c r="C2394" s="19" t="s">
        <v>7202</v>
      </c>
      <c r="D2394" s="19" t="s">
        <v>613</v>
      </c>
      <c r="E2394" s="19" t="s">
        <v>147</v>
      </c>
      <c r="F2394" s="19" t="s">
        <v>774</v>
      </c>
      <c r="G2394" s="19" t="n">
        <v>32</v>
      </c>
      <c r="H2394" s="19" t="s">
        <v>775</v>
      </c>
      <c r="I2394" s="20" t="n">
        <v>256.985</v>
      </c>
      <c r="J2394" s="19" t="n">
        <f aca="false">IF(I2394="","",MIN(Overview!$B$8,MAX(1,CEILING(I2394/Overview!$B$7,1))))</f>
        <v>52</v>
      </c>
      <c r="K2394" s="19" t="n">
        <v>1</v>
      </c>
      <c r="L2394" s="19"/>
      <c r="M2394" s="20" t="n">
        <v>4</v>
      </c>
      <c r="N2394" s="19"/>
      <c r="O2394" s="19"/>
      <c r="P2394" s="19" t="s">
        <v>979</v>
      </c>
      <c r="Q2394" s="19" t="s">
        <v>980</v>
      </c>
      <c r="R2394" s="21" t="n">
        <v>34122</v>
      </c>
      <c r="S2394" s="19" t="s">
        <v>7347</v>
      </c>
      <c r="T2394" s="19" t="s">
        <v>7348</v>
      </c>
      <c r="U2394" s="19" t="str">
        <f aca="false">HYPERLINK("https://macaulaylibrary.org/asset/209454","Open")</f>
        <v>Open</v>
      </c>
      <c r="V2394" s="19"/>
    </row>
    <row r="2395" customFormat="false" ht="15" hidden="false" customHeight="false" outlineLevel="0" collapsed="false">
      <c r="A2395" s="19" t="s">
        <v>7349</v>
      </c>
      <c r="B2395" s="19" t="s">
        <v>943</v>
      </c>
      <c r="C2395" s="19" t="s">
        <v>7202</v>
      </c>
      <c r="D2395" s="19" t="s">
        <v>148</v>
      </c>
      <c r="E2395" s="19" t="s">
        <v>147</v>
      </c>
      <c r="F2395" s="19" t="s">
        <v>401</v>
      </c>
      <c r="G2395" s="19" t="n">
        <v>33</v>
      </c>
      <c r="H2395" s="19" t="s">
        <v>402</v>
      </c>
      <c r="I2395" s="20" t="n">
        <v>37.331</v>
      </c>
      <c r="J2395" s="19" t="n">
        <f aca="false">IF(I2395="","",MIN(Overview!$B$8,MAX(1,CEILING(I2395/Overview!$B$7,1))))</f>
        <v>8</v>
      </c>
      <c r="K2395" s="19" t="n">
        <v>1</v>
      </c>
      <c r="L2395" s="19"/>
      <c r="M2395" s="20"/>
      <c r="N2395" s="19"/>
      <c r="O2395" s="19"/>
      <c r="P2395" s="19" t="s">
        <v>1029</v>
      </c>
      <c r="Q2395" s="19" t="s">
        <v>1030</v>
      </c>
      <c r="R2395" s="21" t="n">
        <v>40251</v>
      </c>
      <c r="S2395" s="19" t="s">
        <v>1118</v>
      </c>
      <c r="T2395" s="19" t="s">
        <v>7350</v>
      </c>
      <c r="U2395" s="19" t="str">
        <f aca="false">HYPERLINK("https://macaulaylibrary.org/asset/299627","Open")</f>
        <v>Open</v>
      </c>
      <c r="V2395" s="19"/>
    </row>
    <row r="2396" customFormat="false" ht="15" hidden="false" customHeight="false" outlineLevel="0" collapsed="false">
      <c r="A2396" s="19" t="s">
        <v>7351</v>
      </c>
      <c r="B2396" s="19" t="s">
        <v>943</v>
      </c>
      <c r="C2396" s="19" t="s">
        <v>7202</v>
      </c>
      <c r="D2396" s="19" t="s">
        <v>148</v>
      </c>
      <c r="E2396" s="19" t="s">
        <v>147</v>
      </c>
      <c r="F2396" s="19" t="s">
        <v>401</v>
      </c>
      <c r="G2396" s="19" t="n">
        <v>33</v>
      </c>
      <c r="H2396" s="19" t="s">
        <v>402</v>
      </c>
      <c r="I2396" s="20" t="n">
        <v>42.889</v>
      </c>
      <c r="J2396" s="19" t="n">
        <f aca="false">IF(I2396="","",MIN(Overview!$B$8,MAX(1,CEILING(I2396/Overview!$B$7,1))))</f>
        <v>9</v>
      </c>
      <c r="K2396" s="19" t="n">
        <v>1</v>
      </c>
      <c r="L2396" s="19"/>
      <c r="M2396" s="20" t="n">
        <v>2</v>
      </c>
      <c r="N2396" s="19"/>
      <c r="O2396" s="19"/>
      <c r="P2396" s="19" t="s">
        <v>5616</v>
      </c>
      <c r="Q2396" s="19" t="s">
        <v>990</v>
      </c>
      <c r="R2396" s="21" t="n">
        <v>44547</v>
      </c>
      <c r="S2396" s="19" t="s">
        <v>5617</v>
      </c>
      <c r="T2396" s="19" t="s">
        <v>7352</v>
      </c>
      <c r="U2396" s="19" t="str">
        <f aca="false">HYPERLINK("https://macaulaylibrary.org/asset/403164931","Open")</f>
        <v>Open</v>
      </c>
      <c r="V2396" s="19"/>
    </row>
    <row r="2397" customFormat="false" ht="15" hidden="false" customHeight="false" outlineLevel="0" collapsed="false">
      <c r="A2397" s="19" t="s">
        <v>7353</v>
      </c>
      <c r="B2397" s="19" t="s">
        <v>943</v>
      </c>
      <c r="C2397" s="19" t="s">
        <v>7202</v>
      </c>
      <c r="D2397" s="19" t="s">
        <v>400</v>
      </c>
      <c r="E2397" s="19" t="s">
        <v>147</v>
      </c>
      <c r="F2397" s="19" t="s">
        <v>496</v>
      </c>
      <c r="G2397" s="19" t="n">
        <v>34</v>
      </c>
      <c r="H2397" s="19" t="s">
        <v>497</v>
      </c>
      <c r="I2397" s="20" t="n">
        <v>298.419</v>
      </c>
      <c r="J2397" s="19" t="n">
        <f aca="false">IF(I2397="","",MIN(Overview!$B$8,MAX(1,CEILING(I2397/Overview!$B$7,1))))</f>
        <v>60</v>
      </c>
      <c r="K2397" s="19" t="n">
        <v>1</v>
      </c>
      <c r="L2397" s="19"/>
      <c r="M2397" s="20" t="n">
        <v>3</v>
      </c>
      <c r="N2397" s="19"/>
      <c r="O2397" s="19"/>
      <c r="P2397" s="19" t="s">
        <v>1570</v>
      </c>
      <c r="Q2397" s="19" t="s">
        <v>980</v>
      </c>
      <c r="R2397" s="21" t="n">
        <v>33295</v>
      </c>
      <c r="S2397" s="19" t="s">
        <v>3871</v>
      </c>
      <c r="T2397" s="19" t="s">
        <v>7354</v>
      </c>
      <c r="U2397" s="19" t="str">
        <f aca="false">HYPERLINK("https://macaulaylibrary.org/asset/72604","Open")</f>
        <v>Open</v>
      </c>
      <c r="V2397" s="19"/>
    </row>
    <row r="2398" customFormat="false" ht="15" hidden="false" customHeight="false" outlineLevel="0" collapsed="false">
      <c r="A2398" s="19" t="s">
        <v>7355</v>
      </c>
      <c r="B2398" s="19" t="s">
        <v>943</v>
      </c>
      <c r="C2398" s="19" t="s">
        <v>7202</v>
      </c>
      <c r="D2398" s="19" t="s">
        <v>400</v>
      </c>
      <c r="E2398" s="19" t="s">
        <v>147</v>
      </c>
      <c r="F2398" s="19" t="s">
        <v>553</v>
      </c>
      <c r="G2398" s="19" t="n">
        <v>35</v>
      </c>
      <c r="H2398" s="19" t="s">
        <v>554</v>
      </c>
      <c r="I2398" s="20" t="n">
        <v>14.88</v>
      </c>
      <c r="J2398" s="19" t="n">
        <f aca="false">IF(I2398="","",MIN(Overview!$B$8,MAX(1,CEILING(I2398/Overview!$B$7,1))))</f>
        <v>3</v>
      </c>
      <c r="K2398" s="19" t="n">
        <v>1</v>
      </c>
      <c r="L2398" s="19"/>
      <c r="M2398" s="20" t="n">
        <v>3</v>
      </c>
      <c r="N2398" s="19"/>
      <c r="O2398" s="19"/>
      <c r="P2398" s="19" t="s">
        <v>1605</v>
      </c>
      <c r="Q2398" s="19" t="s">
        <v>1040</v>
      </c>
      <c r="R2398" s="21" t="n">
        <v>40902</v>
      </c>
      <c r="S2398" s="19" t="s">
        <v>1002</v>
      </c>
      <c r="T2398" s="19" t="s">
        <v>7356</v>
      </c>
      <c r="U2398" s="19" t="str">
        <f aca="false">HYPERLINK("https://macaulaylibrary.org/asset/609056577","Open")</f>
        <v>Open</v>
      </c>
      <c r="V2398" s="19"/>
    </row>
    <row r="2399" customFormat="false" ht="15" hidden="false" customHeight="false" outlineLevel="0" collapsed="false">
      <c r="A2399" s="19" t="s">
        <v>7357</v>
      </c>
      <c r="B2399" s="19" t="s">
        <v>943</v>
      </c>
      <c r="C2399" s="19" t="s">
        <v>7202</v>
      </c>
      <c r="D2399" s="19" t="s">
        <v>613</v>
      </c>
      <c r="E2399" s="19" t="s">
        <v>147</v>
      </c>
      <c r="F2399" s="19" t="s">
        <v>777</v>
      </c>
      <c r="G2399" s="19" t="n">
        <v>36</v>
      </c>
      <c r="H2399" s="19" t="s">
        <v>778</v>
      </c>
      <c r="I2399" s="20" t="n">
        <v>70.558</v>
      </c>
      <c r="J2399" s="19" t="n">
        <f aca="false">IF(I2399="","",MIN(Overview!$B$8,MAX(1,CEILING(I2399/Overview!$B$7,1))))</f>
        <v>15</v>
      </c>
      <c r="K2399" s="19" t="n">
        <v>1</v>
      </c>
      <c r="L2399" s="19"/>
      <c r="M2399" s="20"/>
      <c r="N2399" s="19"/>
      <c r="O2399" s="19"/>
      <c r="P2399" s="19" t="s">
        <v>1029</v>
      </c>
      <c r="Q2399" s="19" t="s">
        <v>1030</v>
      </c>
      <c r="R2399" s="21" t="n">
        <v>40251</v>
      </c>
      <c r="S2399" s="19" t="s">
        <v>7358</v>
      </c>
      <c r="T2399" s="19" t="s">
        <v>7359</v>
      </c>
      <c r="U2399" s="19" t="str">
        <f aca="false">HYPERLINK("https://macaulaylibrary.org/asset/299632","Open")</f>
        <v>Open</v>
      </c>
      <c r="V2399" s="19"/>
    </row>
    <row r="2400" customFormat="false" ht="15" hidden="false" customHeight="false" outlineLevel="0" collapsed="false">
      <c r="A2400" s="19" t="s">
        <v>7360</v>
      </c>
      <c r="B2400" s="19" t="s">
        <v>943</v>
      </c>
      <c r="C2400" s="19" t="s">
        <v>7202</v>
      </c>
      <c r="D2400" s="19" t="s">
        <v>148</v>
      </c>
      <c r="E2400" s="19" t="s">
        <v>147</v>
      </c>
      <c r="F2400" s="19" t="s">
        <v>274</v>
      </c>
      <c r="G2400" s="19" t="n">
        <v>37</v>
      </c>
      <c r="H2400" s="19" t="s">
        <v>275</v>
      </c>
      <c r="I2400" s="20" t="n">
        <v>53.48</v>
      </c>
      <c r="J2400" s="19" t="n">
        <f aca="false">IF(I2400="","",MIN(Overview!$B$8,MAX(1,CEILING(I2400/Overview!$B$7,1))))</f>
        <v>11</v>
      </c>
      <c r="K2400" s="19" t="n">
        <v>1</v>
      </c>
      <c r="L2400" s="19"/>
      <c r="M2400" s="20" t="n">
        <v>3</v>
      </c>
      <c r="N2400" s="19"/>
      <c r="O2400" s="19"/>
      <c r="P2400" s="19" t="s">
        <v>2165</v>
      </c>
      <c r="Q2400" s="19" t="s">
        <v>1021</v>
      </c>
      <c r="R2400" s="21" t="n">
        <v>36598</v>
      </c>
      <c r="S2400" s="19" t="s">
        <v>1106</v>
      </c>
      <c r="T2400" s="19" t="s">
        <v>7361</v>
      </c>
      <c r="U2400" s="19" t="str">
        <f aca="false">HYPERLINK("https://macaulaylibrary.org/asset/147719771","Open")</f>
        <v>Open</v>
      </c>
      <c r="V2400" s="19"/>
    </row>
    <row r="2401" customFormat="false" ht="15" hidden="false" customHeight="false" outlineLevel="0" collapsed="false">
      <c r="A2401" s="19" t="s">
        <v>7362</v>
      </c>
      <c r="B2401" s="19" t="s">
        <v>943</v>
      </c>
      <c r="C2401" s="19" t="s">
        <v>7202</v>
      </c>
      <c r="D2401" s="19" t="s">
        <v>148</v>
      </c>
      <c r="E2401" s="19" t="s">
        <v>147</v>
      </c>
      <c r="F2401" s="19" t="s">
        <v>274</v>
      </c>
      <c r="G2401" s="19" t="n">
        <v>37</v>
      </c>
      <c r="H2401" s="19" t="s">
        <v>275</v>
      </c>
      <c r="I2401" s="20" t="n">
        <v>5.865</v>
      </c>
      <c r="J2401" s="19" t="n">
        <f aca="false">IF(I2401="","",MIN(Overview!$B$8,MAX(1,CEILING(I2401/Overview!$B$7,1))))</f>
        <v>2</v>
      </c>
      <c r="K2401" s="19" t="n">
        <v>1</v>
      </c>
      <c r="L2401" s="19"/>
      <c r="M2401" s="20" t="n">
        <v>1</v>
      </c>
      <c r="N2401" s="19"/>
      <c r="O2401" s="19"/>
      <c r="P2401" s="19" t="s">
        <v>1170</v>
      </c>
      <c r="Q2401" s="19" t="s">
        <v>1166</v>
      </c>
      <c r="R2401" s="21" t="n">
        <v>44900</v>
      </c>
      <c r="S2401" s="19" t="s">
        <v>1092</v>
      </c>
      <c r="T2401" s="19" t="s">
        <v>7363</v>
      </c>
      <c r="U2401" s="19" t="str">
        <f aca="false">HYPERLINK("https://macaulaylibrary.org/asset/597933891","Open")</f>
        <v>Open</v>
      </c>
      <c r="V2401" s="19"/>
    </row>
    <row r="2402" customFormat="false" ht="15" hidden="false" customHeight="false" outlineLevel="0" collapsed="false">
      <c r="A2402" s="19" t="s">
        <v>7364</v>
      </c>
      <c r="B2402" s="19" t="s">
        <v>943</v>
      </c>
      <c r="C2402" s="19" t="s">
        <v>7202</v>
      </c>
      <c r="D2402" s="19" t="s">
        <v>148</v>
      </c>
      <c r="E2402" s="19" t="s">
        <v>147</v>
      </c>
      <c r="F2402" s="19" t="s">
        <v>274</v>
      </c>
      <c r="G2402" s="19" t="n">
        <v>37</v>
      </c>
      <c r="H2402" s="19" t="s">
        <v>275</v>
      </c>
      <c r="I2402" s="20" t="n">
        <v>8.506</v>
      </c>
      <c r="J2402" s="19" t="n">
        <f aca="false">IF(I2402="","",MIN(Overview!$B$8,MAX(1,CEILING(I2402/Overview!$B$7,1))))</f>
        <v>2</v>
      </c>
      <c r="K2402" s="19" t="n">
        <v>1</v>
      </c>
      <c r="L2402" s="19"/>
      <c r="M2402" s="20"/>
      <c r="N2402" s="19"/>
      <c r="O2402" s="19"/>
      <c r="P2402" s="19" t="s">
        <v>1170</v>
      </c>
      <c r="Q2402" s="19" t="s">
        <v>1166</v>
      </c>
      <c r="R2402" s="21" t="n">
        <v>44900</v>
      </c>
      <c r="S2402" s="19" t="s">
        <v>1092</v>
      </c>
      <c r="T2402" s="19" t="s">
        <v>7365</v>
      </c>
      <c r="U2402" s="19" t="str">
        <f aca="false">HYPERLINK("https://macaulaylibrary.org/asset/597933901","Open")</f>
        <v>Open</v>
      </c>
      <c r="V2402" s="19"/>
    </row>
    <row r="2403" customFormat="false" ht="15" hidden="false" customHeight="false" outlineLevel="0" collapsed="false">
      <c r="A2403" s="19" t="s">
        <v>7366</v>
      </c>
      <c r="B2403" s="19" t="s">
        <v>943</v>
      </c>
      <c r="C2403" s="19" t="s">
        <v>7202</v>
      </c>
      <c r="D2403" s="19" t="s">
        <v>148</v>
      </c>
      <c r="E2403" s="19" t="s">
        <v>147</v>
      </c>
      <c r="F2403" s="19" t="s">
        <v>181</v>
      </c>
      <c r="G2403" s="19" t="n">
        <v>38</v>
      </c>
      <c r="H2403" s="19" t="s">
        <v>182</v>
      </c>
      <c r="I2403" s="20" t="n">
        <v>134.093</v>
      </c>
      <c r="J2403" s="19" t="n">
        <f aca="false">IF(I2403="","",MIN(Overview!$B$8,MAX(1,CEILING(I2403/Overview!$B$7,1))))</f>
        <v>27</v>
      </c>
      <c r="K2403" s="19" t="n">
        <v>1</v>
      </c>
      <c r="L2403" s="19"/>
      <c r="M2403" s="20" t="n">
        <v>4</v>
      </c>
      <c r="N2403" s="19"/>
      <c r="O2403" s="19"/>
      <c r="P2403" s="19" t="s">
        <v>1020</v>
      </c>
      <c r="Q2403" s="19" t="s">
        <v>1021</v>
      </c>
      <c r="R2403" s="21" t="n">
        <v>35863</v>
      </c>
      <c r="S2403" s="19" t="s">
        <v>1022</v>
      </c>
      <c r="T2403" s="19" t="s">
        <v>7367</v>
      </c>
      <c r="U2403" s="19" t="str">
        <f aca="false">HYPERLINK("https://macaulaylibrary.org/asset/101480431","Open")</f>
        <v>Open</v>
      </c>
      <c r="V2403" s="19"/>
    </row>
    <row r="2404" customFormat="false" ht="15" hidden="false" customHeight="false" outlineLevel="0" collapsed="false">
      <c r="A2404" s="19" t="s">
        <v>7368</v>
      </c>
      <c r="B2404" s="19" t="s">
        <v>943</v>
      </c>
      <c r="C2404" s="19" t="s">
        <v>7202</v>
      </c>
      <c r="D2404" s="19" t="s">
        <v>148</v>
      </c>
      <c r="E2404" s="19" t="s">
        <v>147</v>
      </c>
      <c r="F2404" s="19" t="s">
        <v>181</v>
      </c>
      <c r="G2404" s="19" t="n">
        <v>38</v>
      </c>
      <c r="H2404" s="19" t="s">
        <v>182</v>
      </c>
      <c r="I2404" s="20" t="n">
        <v>67.795</v>
      </c>
      <c r="J2404" s="19" t="n">
        <f aca="false">IF(I2404="","",MIN(Overview!$B$8,MAX(1,CEILING(I2404/Overview!$B$7,1))))</f>
        <v>14</v>
      </c>
      <c r="K2404" s="19" t="n">
        <v>1</v>
      </c>
      <c r="L2404" s="19"/>
      <c r="M2404" s="20" t="n">
        <v>3.5</v>
      </c>
      <c r="N2404" s="19"/>
      <c r="O2404" s="19"/>
      <c r="P2404" s="19" t="s">
        <v>1080</v>
      </c>
      <c r="Q2404" s="19" t="s">
        <v>1021</v>
      </c>
      <c r="R2404" s="21" t="n">
        <v>36602</v>
      </c>
      <c r="S2404" s="19" t="s">
        <v>1081</v>
      </c>
      <c r="T2404" s="19" t="s">
        <v>7369</v>
      </c>
      <c r="U2404" s="19" t="str">
        <f aca="false">HYPERLINK("https://macaulaylibrary.org/asset/154654121","Open")</f>
        <v>Open</v>
      </c>
      <c r="V2404" s="19"/>
    </row>
    <row r="2405" customFormat="false" ht="15" hidden="false" customHeight="false" outlineLevel="0" collapsed="false">
      <c r="A2405" s="19" t="s">
        <v>7370</v>
      </c>
      <c r="B2405" s="19" t="s">
        <v>943</v>
      </c>
      <c r="C2405" s="19" t="s">
        <v>7202</v>
      </c>
      <c r="D2405" s="19" t="s">
        <v>148</v>
      </c>
      <c r="E2405" s="19" t="s">
        <v>147</v>
      </c>
      <c r="F2405" s="19" t="s">
        <v>181</v>
      </c>
      <c r="G2405" s="19" t="n">
        <v>38</v>
      </c>
      <c r="H2405" s="19" t="s">
        <v>182</v>
      </c>
      <c r="I2405" s="20" t="n">
        <v>153.543</v>
      </c>
      <c r="J2405" s="19" t="n">
        <f aca="false">IF(I2405="","",MIN(Overview!$B$8,MAX(1,CEILING(I2405/Overview!$B$7,1))))</f>
        <v>31</v>
      </c>
      <c r="K2405" s="19" t="n">
        <v>1</v>
      </c>
      <c r="L2405" s="19"/>
      <c r="M2405" s="20" t="n">
        <v>2</v>
      </c>
      <c r="N2405" s="19"/>
      <c r="O2405" s="19"/>
      <c r="P2405" s="19" t="s">
        <v>2342</v>
      </c>
      <c r="Q2405" s="19" t="s">
        <v>2343</v>
      </c>
      <c r="R2405" s="21" t="n">
        <v>31506</v>
      </c>
      <c r="S2405" s="19" t="s">
        <v>1769</v>
      </c>
      <c r="T2405" s="19" t="s">
        <v>7371</v>
      </c>
      <c r="U2405" s="19" t="str">
        <f aca="false">HYPERLINK("https://macaulaylibrary.org/asset/249453","Open")</f>
        <v>Open</v>
      </c>
      <c r="V2405" s="19" t="s">
        <v>1971</v>
      </c>
    </row>
    <row r="2406" customFormat="false" ht="15" hidden="false" customHeight="false" outlineLevel="0" collapsed="false">
      <c r="A2406" s="19" t="s">
        <v>7372</v>
      </c>
      <c r="B2406" s="19" t="s">
        <v>943</v>
      </c>
      <c r="C2406" s="19" t="s">
        <v>7202</v>
      </c>
      <c r="D2406" s="19" t="s">
        <v>148</v>
      </c>
      <c r="E2406" s="19" t="s">
        <v>147</v>
      </c>
      <c r="F2406" s="19" t="s">
        <v>181</v>
      </c>
      <c r="G2406" s="19" t="n">
        <v>38</v>
      </c>
      <c r="H2406" s="19" t="s">
        <v>182</v>
      </c>
      <c r="I2406" s="20" t="n">
        <v>43.842</v>
      </c>
      <c r="J2406" s="19" t="n">
        <f aca="false">IF(I2406="","",MIN(Overview!$B$8,MAX(1,CEILING(I2406/Overview!$B$7,1))))</f>
        <v>9</v>
      </c>
      <c r="K2406" s="19" t="n">
        <v>1</v>
      </c>
      <c r="L2406" s="19"/>
      <c r="M2406" s="20"/>
      <c r="N2406" s="19"/>
      <c r="O2406" s="19"/>
      <c r="P2406" s="19" t="s">
        <v>1140</v>
      </c>
      <c r="Q2406" s="19" t="s">
        <v>1030</v>
      </c>
      <c r="R2406" s="21" t="n">
        <v>40250</v>
      </c>
      <c r="S2406" s="19" t="s">
        <v>1081</v>
      </c>
      <c r="T2406" s="19" t="s">
        <v>7373</v>
      </c>
      <c r="U2406" s="19" t="str">
        <f aca="false">HYPERLINK("https://macaulaylibrary.org/asset/299542","Open")</f>
        <v>Open</v>
      </c>
      <c r="V2406" s="19"/>
    </row>
    <row r="2407" customFormat="false" ht="15" hidden="false" customHeight="false" outlineLevel="0" collapsed="false">
      <c r="A2407" s="19" t="s">
        <v>7374</v>
      </c>
      <c r="B2407" s="19" t="s">
        <v>943</v>
      </c>
      <c r="C2407" s="19" t="s">
        <v>7202</v>
      </c>
      <c r="D2407" s="19" t="s">
        <v>148</v>
      </c>
      <c r="E2407" s="19" t="s">
        <v>147</v>
      </c>
      <c r="F2407" s="19" t="s">
        <v>181</v>
      </c>
      <c r="G2407" s="19" t="n">
        <v>38</v>
      </c>
      <c r="H2407" s="19" t="s">
        <v>182</v>
      </c>
      <c r="I2407" s="20" t="n">
        <v>19.167</v>
      </c>
      <c r="J2407" s="19" t="n">
        <f aca="false">IF(I2407="","",MIN(Overview!$B$8,MAX(1,CEILING(I2407/Overview!$B$7,1))))</f>
        <v>4</v>
      </c>
      <c r="K2407" s="19" t="n">
        <v>1</v>
      </c>
      <c r="L2407" s="19"/>
      <c r="M2407" s="20"/>
      <c r="N2407" s="19"/>
      <c r="O2407" s="19"/>
      <c r="P2407" s="19" t="s">
        <v>1140</v>
      </c>
      <c r="Q2407" s="19" t="s">
        <v>1030</v>
      </c>
      <c r="R2407" s="21" t="n">
        <v>40250</v>
      </c>
      <c r="S2407" s="19" t="s">
        <v>1774</v>
      </c>
      <c r="T2407" s="19" t="s">
        <v>7375</v>
      </c>
      <c r="U2407" s="19" t="str">
        <f aca="false">HYPERLINK("https://macaulaylibrary.org/asset/299594","Open")</f>
        <v>Open</v>
      </c>
      <c r="V2407" s="19"/>
    </row>
    <row r="2408" customFormat="false" ht="15" hidden="false" customHeight="false" outlineLevel="0" collapsed="false">
      <c r="A2408" s="19" t="s">
        <v>7376</v>
      </c>
      <c r="B2408" s="19" t="s">
        <v>943</v>
      </c>
      <c r="C2408" s="19" t="s">
        <v>7202</v>
      </c>
      <c r="D2408" s="19" t="s">
        <v>148</v>
      </c>
      <c r="E2408" s="19" t="s">
        <v>147</v>
      </c>
      <c r="F2408" s="19" t="s">
        <v>181</v>
      </c>
      <c r="G2408" s="19" t="n">
        <v>38</v>
      </c>
      <c r="H2408" s="19" t="s">
        <v>182</v>
      </c>
      <c r="I2408" s="20" t="n">
        <v>11.678</v>
      </c>
      <c r="J2408" s="19" t="n">
        <f aca="false">IF(I2408="","",MIN(Overview!$B$8,MAX(1,CEILING(I2408/Overview!$B$7,1))))</f>
        <v>3</v>
      </c>
      <c r="K2408" s="19" t="n">
        <v>1</v>
      </c>
      <c r="L2408" s="19"/>
      <c r="M2408" s="20"/>
      <c r="N2408" s="19"/>
      <c r="O2408" s="19"/>
      <c r="P2408" s="19" t="s">
        <v>1381</v>
      </c>
      <c r="Q2408" s="19" t="s">
        <v>1382</v>
      </c>
      <c r="R2408" s="21" t="n">
        <v>46103</v>
      </c>
      <c r="S2408" s="19" t="s">
        <v>1383</v>
      </c>
      <c r="T2408" s="19" t="s">
        <v>7377</v>
      </c>
      <c r="U2408" s="19" t="str">
        <f aca="false">HYPERLINK("https://macaulaylibrary.org/asset/654112155","Open")</f>
        <v>Open</v>
      </c>
      <c r="V2408" s="19"/>
    </row>
    <row r="2409" customFormat="false" ht="15" hidden="false" customHeight="false" outlineLevel="0" collapsed="false">
      <c r="A2409" s="19" t="s">
        <v>7378</v>
      </c>
      <c r="B2409" s="19" t="s">
        <v>943</v>
      </c>
      <c r="C2409" s="19" t="s">
        <v>7202</v>
      </c>
      <c r="D2409" s="19" t="s">
        <v>148</v>
      </c>
      <c r="E2409" s="19" t="s">
        <v>147</v>
      </c>
      <c r="F2409" s="19" t="s">
        <v>181</v>
      </c>
      <c r="G2409" s="19" t="n">
        <v>38</v>
      </c>
      <c r="H2409" s="19" t="s">
        <v>182</v>
      </c>
      <c r="I2409" s="20" t="n">
        <v>3.707</v>
      </c>
      <c r="J2409" s="19" t="n">
        <f aca="false">IF(I2409="","",MIN(Overview!$B$8,MAX(1,CEILING(I2409/Overview!$B$7,1))))</f>
        <v>1</v>
      </c>
      <c r="K2409" s="19" t="n">
        <v>1</v>
      </c>
      <c r="L2409" s="19" t="s">
        <v>1048</v>
      </c>
      <c r="M2409" s="20"/>
      <c r="N2409" s="19"/>
      <c r="O2409" s="19"/>
      <c r="P2409" s="19" t="s">
        <v>4258</v>
      </c>
      <c r="Q2409" s="19" t="s">
        <v>1348</v>
      </c>
      <c r="R2409" s="21" t="n">
        <v>46100</v>
      </c>
      <c r="S2409" s="19" t="s">
        <v>4259</v>
      </c>
      <c r="T2409" s="19" t="s">
        <v>7379</v>
      </c>
      <c r="U2409" s="19" t="str">
        <f aca="false">HYPERLINK("https://macaulaylibrary.org/asset/654443082","Open")</f>
        <v>Open</v>
      </c>
      <c r="V2409" s="19"/>
    </row>
    <row r="2410" customFormat="false" ht="15" hidden="false" customHeight="false" outlineLevel="0" collapsed="false">
      <c r="A2410" s="19" t="s">
        <v>7380</v>
      </c>
      <c r="B2410" s="19" t="s">
        <v>943</v>
      </c>
      <c r="C2410" s="19" t="s">
        <v>7202</v>
      </c>
      <c r="D2410" s="19" t="s">
        <v>148</v>
      </c>
      <c r="E2410" s="19" t="s">
        <v>147</v>
      </c>
      <c r="F2410" s="19" t="s">
        <v>184</v>
      </c>
      <c r="G2410" s="19" t="n">
        <v>39</v>
      </c>
      <c r="H2410" s="19" t="s">
        <v>185</v>
      </c>
      <c r="I2410" s="20" t="n">
        <v>65.998</v>
      </c>
      <c r="J2410" s="19" t="n">
        <f aca="false">IF(I2410="","",MIN(Overview!$B$8,MAX(1,CEILING(I2410/Overview!$B$7,1))))</f>
        <v>14</v>
      </c>
      <c r="K2410" s="19" t="n">
        <v>1</v>
      </c>
      <c r="L2410" s="19"/>
      <c r="M2410" s="20" t="n">
        <v>3</v>
      </c>
      <c r="N2410" s="19"/>
      <c r="O2410" s="19"/>
      <c r="P2410" s="19" t="s">
        <v>1581</v>
      </c>
      <c r="Q2410" s="19" t="s">
        <v>1021</v>
      </c>
      <c r="R2410" s="21" t="n">
        <v>36595</v>
      </c>
      <c r="S2410" s="19" t="s">
        <v>1459</v>
      </c>
      <c r="T2410" s="19" t="s">
        <v>7381</v>
      </c>
      <c r="U2410" s="19" t="str">
        <f aca="false">HYPERLINK("https://macaulaylibrary.org/asset/144009741","Open")</f>
        <v>Open</v>
      </c>
      <c r="V2410" s="19"/>
    </row>
    <row r="2411" customFormat="false" ht="15" hidden="false" customHeight="false" outlineLevel="0" collapsed="false">
      <c r="A2411" s="19" t="s">
        <v>7382</v>
      </c>
      <c r="B2411" s="19" t="s">
        <v>943</v>
      </c>
      <c r="C2411" s="19" t="s">
        <v>7202</v>
      </c>
      <c r="D2411" s="19" t="s">
        <v>148</v>
      </c>
      <c r="E2411" s="19" t="s">
        <v>147</v>
      </c>
      <c r="F2411" s="19" t="s">
        <v>184</v>
      </c>
      <c r="G2411" s="19" t="n">
        <v>39</v>
      </c>
      <c r="H2411" s="19" t="s">
        <v>185</v>
      </c>
      <c r="I2411" s="20" t="n">
        <v>10.539</v>
      </c>
      <c r="J2411" s="19" t="n">
        <f aca="false">IF(I2411="","",MIN(Overview!$B$8,MAX(1,CEILING(I2411/Overview!$B$7,1))))</f>
        <v>3</v>
      </c>
      <c r="K2411" s="19" t="n">
        <v>1</v>
      </c>
      <c r="L2411" s="19"/>
      <c r="M2411" s="20" t="n">
        <v>3</v>
      </c>
      <c r="N2411" s="19"/>
      <c r="O2411" s="19"/>
      <c r="P2411" s="19" t="s">
        <v>3195</v>
      </c>
      <c r="Q2411" s="19" t="s">
        <v>965</v>
      </c>
      <c r="R2411" s="21" t="n">
        <v>43813</v>
      </c>
      <c r="S2411" s="19" t="s">
        <v>3196</v>
      </c>
      <c r="T2411" s="19" t="s">
        <v>7383</v>
      </c>
      <c r="U2411" s="19" t="str">
        <f aca="false">HYPERLINK("https://macaulaylibrary.org/asset/193418311","Open")</f>
        <v>Open</v>
      </c>
      <c r="V2411" s="19"/>
    </row>
    <row r="2412" customFormat="false" ht="15" hidden="false" customHeight="false" outlineLevel="0" collapsed="false">
      <c r="A2412" s="19" t="s">
        <v>7384</v>
      </c>
      <c r="B2412" s="19" t="s">
        <v>943</v>
      </c>
      <c r="C2412" s="19" t="s">
        <v>7202</v>
      </c>
      <c r="D2412" s="19" t="s">
        <v>148</v>
      </c>
      <c r="E2412" s="19" t="s">
        <v>147</v>
      </c>
      <c r="F2412" s="19" t="s">
        <v>184</v>
      </c>
      <c r="G2412" s="19" t="n">
        <v>39</v>
      </c>
      <c r="H2412" s="19" t="s">
        <v>185</v>
      </c>
      <c r="I2412" s="20" t="n">
        <v>67.394</v>
      </c>
      <c r="J2412" s="19" t="n">
        <f aca="false">IF(I2412="","",MIN(Overview!$B$8,MAX(1,CEILING(I2412/Overview!$B$7,1))))</f>
        <v>14</v>
      </c>
      <c r="K2412" s="19" t="n">
        <v>1</v>
      </c>
      <c r="L2412" s="19"/>
      <c r="M2412" s="20" t="n">
        <v>3.33</v>
      </c>
      <c r="N2412" s="19"/>
      <c r="O2412" s="19"/>
      <c r="P2412" s="19" t="s">
        <v>1787</v>
      </c>
      <c r="Q2412" s="19" t="s">
        <v>1408</v>
      </c>
      <c r="R2412" s="21" t="n">
        <v>32588</v>
      </c>
      <c r="S2412" s="19" t="s">
        <v>1369</v>
      </c>
      <c r="T2412" s="19" t="s">
        <v>7385</v>
      </c>
      <c r="U2412" s="19" t="str">
        <f aca="false">HYPERLINK("https://macaulaylibrary.org/asset/348004141","Open")</f>
        <v>Open</v>
      </c>
      <c r="V2412" s="19"/>
    </row>
    <row r="2413" customFormat="false" ht="15" hidden="false" customHeight="false" outlineLevel="0" collapsed="false">
      <c r="A2413" s="19" t="s">
        <v>7386</v>
      </c>
      <c r="B2413" s="19" t="s">
        <v>943</v>
      </c>
      <c r="C2413" s="19" t="s">
        <v>7202</v>
      </c>
      <c r="D2413" s="19" t="s">
        <v>148</v>
      </c>
      <c r="E2413" s="19" t="s">
        <v>147</v>
      </c>
      <c r="F2413" s="19" t="s">
        <v>184</v>
      </c>
      <c r="G2413" s="19" t="n">
        <v>39</v>
      </c>
      <c r="H2413" s="19" t="s">
        <v>185</v>
      </c>
      <c r="I2413" s="20" t="n">
        <v>73.448</v>
      </c>
      <c r="J2413" s="19" t="n">
        <f aca="false">IF(I2413="","",MIN(Overview!$B$8,MAX(1,CEILING(I2413/Overview!$B$7,1))))</f>
        <v>15</v>
      </c>
      <c r="K2413" s="19" t="n">
        <v>1</v>
      </c>
      <c r="L2413" s="19"/>
      <c r="M2413" s="20" t="n">
        <v>2</v>
      </c>
      <c r="N2413" s="19"/>
      <c r="O2413" s="19"/>
      <c r="P2413" s="19" t="s">
        <v>2523</v>
      </c>
      <c r="Q2413" s="19" t="s">
        <v>1592</v>
      </c>
      <c r="R2413" s="21" t="n">
        <v>30405</v>
      </c>
      <c r="S2413" s="19" t="s">
        <v>1002</v>
      </c>
      <c r="T2413" s="19" t="s">
        <v>7387</v>
      </c>
      <c r="U2413" s="19" t="str">
        <f aca="false">HYPERLINK("https://macaulaylibrary.org/asset/39241","Open")</f>
        <v>Open</v>
      </c>
      <c r="V2413" s="19" t="s">
        <v>2060</v>
      </c>
    </row>
    <row r="2414" customFormat="false" ht="15" hidden="false" customHeight="false" outlineLevel="0" collapsed="false">
      <c r="A2414" s="19" t="s">
        <v>7388</v>
      </c>
      <c r="B2414" s="19" t="s">
        <v>943</v>
      </c>
      <c r="C2414" s="19" t="s">
        <v>7202</v>
      </c>
      <c r="D2414" s="19" t="s">
        <v>148</v>
      </c>
      <c r="E2414" s="19" t="s">
        <v>147</v>
      </c>
      <c r="F2414" s="19" t="s">
        <v>184</v>
      </c>
      <c r="G2414" s="19" t="n">
        <v>39</v>
      </c>
      <c r="H2414" s="19" t="s">
        <v>185</v>
      </c>
      <c r="I2414" s="20" t="n">
        <v>20.764</v>
      </c>
      <c r="J2414" s="19" t="n">
        <f aca="false">IF(I2414="","",MIN(Overview!$B$8,MAX(1,CEILING(I2414/Overview!$B$7,1))))</f>
        <v>5</v>
      </c>
      <c r="K2414" s="19" t="n">
        <v>1</v>
      </c>
      <c r="L2414" s="19"/>
      <c r="M2414" s="20" t="n">
        <v>3.5</v>
      </c>
      <c r="N2414" s="19"/>
      <c r="O2414" s="19"/>
      <c r="P2414" s="19" t="s">
        <v>1335</v>
      </c>
      <c r="Q2414" s="19" t="s">
        <v>990</v>
      </c>
      <c r="R2414" s="21" t="n">
        <v>46011</v>
      </c>
      <c r="S2414" s="19" t="s">
        <v>966</v>
      </c>
      <c r="T2414" s="19" t="s">
        <v>7389</v>
      </c>
      <c r="U2414" s="19" t="str">
        <f aca="false">HYPERLINK("https://macaulaylibrary.org/asset/647330792","Open")</f>
        <v>Open</v>
      </c>
      <c r="V2414" s="19"/>
    </row>
    <row r="2415" customFormat="false" ht="15" hidden="false" customHeight="false" outlineLevel="0" collapsed="false">
      <c r="A2415" s="19" t="s">
        <v>7390</v>
      </c>
      <c r="B2415" s="19" t="s">
        <v>943</v>
      </c>
      <c r="C2415" s="19" t="s">
        <v>7202</v>
      </c>
      <c r="D2415" s="19" t="s">
        <v>148</v>
      </c>
      <c r="E2415" s="19" t="s">
        <v>147</v>
      </c>
      <c r="F2415" s="19" t="s">
        <v>184</v>
      </c>
      <c r="G2415" s="19" t="n">
        <v>39</v>
      </c>
      <c r="H2415" s="19" t="s">
        <v>185</v>
      </c>
      <c r="I2415" s="20" t="n">
        <v>16.916</v>
      </c>
      <c r="J2415" s="19" t="n">
        <f aca="false">IF(I2415="","",MIN(Overview!$B$8,MAX(1,CEILING(I2415/Overview!$B$7,1))))</f>
        <v>4</v>
      </c>
      <c r="K2415" s="19" t="n">
        <v>1</v>
      </c>
      <c r="L2415" s="19"/>
      <c r="M2415" s="20" t="n">
        <v>5</v>
      </c>
      <c r="N2415" s="19"/>
      <c r="O2415" s="19" t="s">
        <v>206</v>
      </c>
      <c r="P2415" s="19" t="s">
        <v>1335</v>
      </c>
      <c r="Q2415" s="19" t="s">
        <v>990</v>
      </c>
      <c r="R2415" s="21" t="n">
        <v>46011</v>
      </c>
      <c r="S2415" s="19" t="s">
        <v>966</v>
      </c>
      <c r="T2415" s="19" t="s">
        <v>7391</v>
      </c>
      <c r="U2415" s="19" t="str">
        <f aca="false">HYPERLINK("https://macaulaylibrary.org/asset/647568520","Open")</f>
        <v>Open</v>
      </c>
      <c r="V2415" s="19"/>
    </row>
    <row r="2416" customFormat="false" ht="15" hidden="false" customHeight="false" outlineLevel="0" collapsed="false">
      <c r="A2416" s="19" t="s">
        <v>7392</v>
      </c>
      <c r="B2416" s="19" t="s">
        <v>943</v>
      </c>
      <c r="C2416" s="19" t="s">
        <v>7202</v>
      </c>
      <c r="D2416" s="19" t="s">
        <v>148</v>
      </c>
      <c r="E2416" s="19" t="s">
        <v>147</v>
      </c>
      <c r="F2416" s="19" t="s">
        <v>184</v>
      </c>
      <c r="G2416" s="19" t="n">
        <v>39</v>
      </c>
      <c r="H2416" s="19" t="s">
        <v>185</v>
      </c>
      <c r="I2416" s="20" t="n">
        <v>13.409</v>
      </c>
      <c r="J2416" s="19" t="n">
        <f aca="false">IF(I2416="","",MIN(Overview!$B$8,MAX(1,CEILING(I2416/Overview!$B$7,1))))</f>
        <v>3</v>
      </c>
      <c r="K2416" s="19" t="n">
        <v>1</v>
      </c>
      <c r="L2416" s="19"/>
      <c r="M2416" s="20" t="n">
        <v>3</v>
      </c>
      <c r="N2416" s="19"/>
      <c r="O2416" s="19" t="s">
        <v>162</v>
      </c>
      <c r="P2416" s="19" t="s">
        <v>1335</v>
      </c>
      <c r="Q2416" s="19" t="s">
        <v>990</v>
      </c>
      <c r="R2416" s="21" t="n">
        <v>46011</v>
      </c>
      <c r="S2416" s="19" t="s">
        <v>966</v>
      </c>
      <c r="T2416" s="19" t="s">
        <v>7393</v>
      </c>
      <c r="U2416" s="19" t="str">
        <f aca="false">HYPERLINK("https://macaulaylibrary.org/asset/647568955","Open")</f>
        <v>Open</v>
      </c>
      <c r="V2416" s="19"/>
    </row>
    <row r="2417" customFormat="false" ht="15" hidden="false" customHeight="false" outlineLevel="0" collapsed="false">
      <c r="A2417" s="19" t="s">
        <v>7394</v>
      </c>
      <c r="B2417" s="19" t="s">
        <v>943</v>
      </c>
      <c r="C2417" s="19" t="s">
        <v>7202</v>
      </c>
      <c r="D2417" s="19" t="s">
        <v>613</v>
      </c>
      <c r="E2417" s="19" t="s">
        <v>147</v>
      </c>
      <c r="F2417" s="19" t="s">
        <v>780</v>
      </c>
      <c r="G2417" s="19" t="n">
        <v>40</v>
      </c>
      <c r="H2417" s="19" t="s">
        <v>781</v>
      </c>
      <c r="I2417" s="20" t="n">
        <v>6.88</v>
      </c>
      <c r="J2417" s="19" t="n">
        <f aca="false">IF(I2417="","",MIN(Overview!$B$8,MAX(1,CEILING(I2417/Overview!$B$7,1))))</f>
        <v>2</v>
      </c>
      <c r="K2417" s="19" t="n">
        <v>1</v>
      </c>
      <c r="L2417" s="19"/>
      <c r="M2417" s="20" t="n">
        <v>4</v>
      </c>
      <c r="N2417" s="19"/>
      <c r="O2417" s="19"/>
      <c r="P2417" s="19" t="s">
        <v>1814</v>
      </c>
      <c r="Q2417" s="19" t="s">
        <v>965</v>
      </c>
      <c r="R2417" s="21" t="n">
        <v>45713</v>
      </c>
      <c r="S2417" s="19" t="s">
        <v>1320</v>
      </c>
      <c r="T2417" s="19" t="s">
        <v>7395</v>
      </c>
      <c r="U2417" s="19" t="str">
        <f aca="false">HYPERLINK("https://macaulaylibrary.org/asset/631297393","Open")</f>
        <v>Open</v>
      </c>
      <c r="V2417" s="19"/>
    </row>
    <row r="2418" customFormat="false" ht="15" hidden="false" customHeight="false" outlineLevel="0" collapsed="false">
      <c r="A2418" s="19" t="s">
        <v>7396</v>
      </c>
      <c r="B2418" s="19" t="s">
        <v>943</v>
      </c>
      <c r="C2418" s="19" t="s">
        <v>7202</v>
      </c>
      <c r="D2418" s="19" t="s">
        <v>613</v>
      </c>
      <c r="E2418" s="19" t="s">
        <v>147</v>
      </c>
      <c r="F2418" s="19" t="s">
        <v>783</v>
      </c>
      <c r="G2418" s="19" t="n">
        <v>41</v>
      </c>
      <c r="H2418" s="19" t="s">
        <v>784</v>
      </c>
      <c r="I2418" s="20" t="n">
        <v>82.186</v>
      </c>
      <c r="J2418" s="19" t="n">
        <f aca="false">IF(I2418="","",MIN(Overview!$B$8,MAX(1,CEILING(I2418/Overview!$B$7,1))))</f>
        <v>17</v>
      </c>
      <c r="K2418" s="19" t="n">
        <v>1</v>
      </c>
      <c r="L2418" s="19"/>
      <c r="M2418" s="20" t="n">
        <v>3</v>
      </c>
      <c r="N2418" s="19"/>
      <c r="O2418" s="19"/>
      <c r="P2418" s="19" t="s">
        <v>1752</v>
      </c>
      <c r="Q2418" s="19" t="s">
        <v>980</v>
      </c>
      <c r="R2418" s="21" t="n">
        <v>35208</v>
      </c>
      <c r="S2418" s="19" t="s">
        <v>4662</v>
      </c>
      <c r="T2418" s="19" t="s">
        <v>7397</v>
      </c>
      <c r="U2418" s="19" t="str">
        <f aca="false">HYPERLINK("https://macaulaylibrary.org/asset/184786","Open")</f>
        <v>Open</v>
      </c>
      <c r="V2418" s="19"/>
    </row>
    <row r="2419" customFormat="false" ht="15" hidden="false" customHeight="false" outlineLevel="0" collapsed="false">
      <c r="A2419" s="19" t="s">
        <v>7398</v>
      </c>
      <c r="B2419" s="19" t="s">
        <v>943</v>
      </c>
      <c r="C2419" s="19" t="s">
        <v>7202</v>
      </c>
      <c r="D2419" s="19" t="s">
        <v>613</v>
      </c>
      <c r="E2419" s="19" t="s">
        <v>147</v>
      </c>
      <c r="F2419" s="19" t="s">
        <v>641</v>
      </c>
      <c r="G2419" s="19" t="n">
        <v>42</v>
      </c>
      <c r="H2419" s="19" t="s">
        <v>642</v>
      </c>
      <c r="I2419" s="20" t="n">
        <v>20.8</v>
      </c>
      <c r="J2419" s="19" t="n">
        <f aca="false">IF(I2419="","",MIN(Overview!$B$8,MAX(1,CEILING(I2419/Overview!$B$7,1))))</f>
        <v>5</v>
      </c>
      <c r="K2419" s="19" t="n">
        <v>1</v>
      </c>
      <c r="L2419" s="19"/>
      <c r="M2419" s="20" t="n">
        <v>3</v>
      </c>
      <c r="N2419" s="19"/>
      <c r="O2419" s="19"/>
      <c r="P2419" s="19" t="s">
        <v>4763</v>
      </c>
      <c r="Q2419" s="19" t="s">
        <v>4764</v>
      </c>
      <c r="R2419" s="21" t="n">
        <v>38422</v>
      </c>
      <c r="S2419" s="19" t="s">
        <v>1002</v>
      </c>
      <c r="T2419" s="19" t="s">
        <v>7399</v>
      </c>
      <c r="U2419" s="19" t="str">
        <f aca="false">HYPERLINK("https://macaulaylibrary.org/asset/228671581","Open")</f>
        <v>Open</v>
      </c>
      <c r="V2419" s="19"/>
    </row>
    <row r="2420" customFormat="false" ht="15" hidden="false" customHeight="false" outlineLevel="0" collapsed="false">
      <c r="A2420" s="19" t="s">
        <v>7400</v>
      </c>
      <c r="B2420" s="19" t="s">
        <v>943</v>
      </c>
      <c r="C2420" s="19" t="s">
        <v>7202</v>
      </c>
      <c r="D2420" s="19" t="s">
        <v>400</v>
      </c>
      <c r="E2420" s="19" t="s">
        <v>147</v>
      </c>
      <c r="F2420" s="19" t="s">
        <v>598</v>
      </c>
      <c r="G2420" s="19" t="n">
        <v>43</v>
      </c>
      <c r="H2420" s="19" t="s">
        <v>599</v>
      </c>
      <c r="I2420" s="20" t="n">
        <v>108.776</v>
      </c>
      <c r="J2420" s="19" t="n">
        <f aca="false">IF(I2420="","",MIN(Overview!$B$8,MAX(1,CEILING(I2420/Overview!$B$7,1))))</f>
        <v>22</v>
      </c>
      <c r="K2420" s="19" t="n">
        <v>1</v>
      </c>
      <c r="L2420" s="19"/>
      <c r="M2420" s="20" t="n">
        <v>3.33</v>
      </c>
      <c r="N2420" s="19"/>
      <c r="O2420" s="19"/>
      <c r="P2420" s="19" t="s">
        <v>1020</v>
      </c>
      <c r="Q2420" s="19" t="s">
        <v>1021</v>
      </c>
      <c r="R2420" s="21" t="n">
        <v>35863</v>
      </c>
      <c r="S2420" s="19" t="s">
        <v>1022</v>
      </c>
      <c r="T2420" s="19" t="s">
        <v>7401</v>
      </c>
      <c r="U2420" s="19" t="str">
        <f aca="false">HYPERLINK("https://macaulaylibrary.org/asset/101884521","Open")</f>
        <v>Open</v>
      </c>
      <c r="V2420" s="19"/>
    </row>
    <row r="2421" customFormat="false" ht="15" hidden="false" customHeight="false" outlineLevel="0" collapsed="false">
      <c r="A2421" s="19" t="s">
        <v>7402</v>
      </c>
      <c r="B2421" s="19" t="s">
        <v>943</v>
      </c>
      <c r="C2421" s="19" t="s">
        <v>7202</v>
      </c>
      <c r="D2421" s="19" t="s">
        <v>148</v>
      </c>
      <c r="E2421" s="19" t="s">
        <v>147</v>
      </c>
      <c r="F2421" s="19" t="s">
        <v>203</v>
      </c>
      <c r="G2421" s="19" t="n">
        <v>44</v>
      </c>
      <c r="H2421" s="19" t="s">
        <v>204</v>
      </c>
      <c r="I2421" s="20" t="n">
        <v>32.347</v>
      </c>
      <c r="J2421" s="19" t="n">
        <f aca="false">IF(I2421="","",MIN(Overview!$B$8,MAX(1,CEILING(I2421/Overview!$B$7,1))))</f>
        <v>7</v>
      </c>
      <c r="K2421" s="19" t="n">
        <v>1</v>
      </c>
      <c r="L2421" s="19"/>
      <c r="M2421" s="20" t="n">
        <v>4.33</v>
      </c>
      <c r="N2421" s="19"/>
      <c r="O2421" s="19"/>
      <c r="P2421" s="19" t="s">
        <v>7403</v>
      </c>
      <c r="Q2421" s="19" t="s">
        <v>3442</v>
      </c>
      <c r="R2421" s="21" t="n">
        <v>43530</v>
      </c>
      <c r="S2421" s="19" t="s">
        <v>2990</v>
      </c>
      <c r="T2421" s="19" t="s">
        <v>7404</v>
      </c>
      <c r="U2421" s="19" t="str">
        <f aca="false">HYPERLINK("https://macaulaylibrary.org/asset/145227841","Open")</f>
        <v>Open</v>
      </c>
      <c r="V2421" s="19"/>
    </row>
    <row r="2422" customFormat="false" ht="15" hidden="false" customHeight="false" outlineLevel="0" collapsed="false">
      <c r="A2422" s="19" t="s">
        <v>7405</v>
      </c>
      <c r="B2422" s="19" t="s">
        <v>943</v>
      </c>
      <c r="C2422" s="19" t="s">
        <v>7202</v>
      </c>
      <c r="D2422" s="19" t="s">
        <v>148</v>
      </c>
      <c r="E2422" s="19" t="s">
        <v>147</v>
      </c>
      <c r="F2422" s="19" t="s">
        <v>203</v>
      </c>
      <c r="G2422" s="19" t="n">
        <v>44</v>
      </c>
      <c r="H2422" s="19" t="s">
        <v>204</v>
      </c>
      <c r="I2422" s="20" t="n">
        <v>57.577</v>
      </c>
      <c r="J2422" s="19" t="n">
        <f aca="false">IF(I2422="","",MIN(Overview!$B$8,MAX(1,CEILING(I2422/Overview!$B$7,1))))</f>
        <v>12</v>
      </c>
      <c r="K2422" s="19" t="n">
        <v>1</v>
      </c>
      <c r="L2422" s="19"/>
      <c r="M2422" s="20" t="n">
        <v>4</v>
      </c>
      <c r="N2422" s="19"/>
      <c r="O2422" s="19"/>
      <c r="P2422" s="19" t="s">
        <v>1768</v>
      </c>
      <c r="Q2422" s="19" t="s">
        <v>1063</v>
      </c>
      <c r="R2422" s="21" t="n">
        <v>44087</v>
      </c>
      <c r="S2422" s="19" t="s">
        <v>1769</v>
      </c>
      <c r="T2422" s="19" t="s">
        <v>7406</v>
      </c>
      <c r="U2422" s="19" t="str">
        <f aca="false">HYPERLINK("https://macaulaylibrary.org/asset/267813611","Open")</f>
        <v>Open</v>
      </c>
      <c r="V2422" s="19"/>
    </row>
    <row r="2423" customFormat="false" ht="15" hidden="false" customHeight="false" outlineLevel="0" collapsed="false">
      <c r="A2423" s="19" t="s">
        <v>7407</v>
      </c>
      <c r="B2423" s="19" t="s">
        <v>943</v>
      </c>
      <c r="C2423" s="19" t="s">
        <v>7202</v>
      </c>
      <c r="D2423" s="19" t="s">
        <v>148</v>
      </c>
      <c r="E2423" s="19" t="s">
        <v>147</v>
      </c>
      <c r="F2423" s="19" t="s">
        <v>203</v>
      </c>
      <c r="G2423" s="19" t="n">
        <v>44</v>
      </c>
      <c r="H2423" s="19" t="s">
        <v>204</v>
      </c>
      <c r="I2423" s="20" t="n">
        <v>18.018</v>
      </c>
      <c r="J2423" s="19" t="n">
        <f aca="false">IF(I2423="","",MIN(Overview!$B$8,MAX(1,CEILING(I2423/Overview!$B$7,1))))</f>
        <v>4</v>
      </c>
      <c r="K2423" s="19" t="n">
        <v>1</v>
      </c>
      <c r="L2423" s="19"/>
      <c r="M2423" s="20"/>
      <c r="N2423" s="19"/>
      <c r="O2423" s="19"/>
      <c r="P2423" s="19" t="s">
        <v>7408</v>
      </c>
      <c r="Q2423" s="19" t="s">
        <v>7409</v>
      </c>
      <c r="R2423" s="21" t="n">
        <v>40545</v>
      </c>
      <c r="S2423" s="19" t="s">
        <v>1002</v>
      </c>
      <c r="T2423" s="19" t="s">
        <v>7410</v>
      </c>
      <c r="U2423" s="19" t="str">
        <f aca="false">HYPERLINK("https://macaulaylibrary.org/asset/609054109","Open")</f>
        <v>Open</v>
      </c>
      <c r="V2423" s="19"/>
    </row>
    <row r="2424" customFormat="false" ht="15" hidden="false" customHeight="false" outlineLevel="0" collapsed="false">
      <c r="A2424" s="19" t="s">
        <v>7411</v>
      </c>
      <c r="B2424" s="19" t="s">
        <v>943</v>
      </c>
      <c r="C2424" s="19" t="s">
        <v>7202</v>
      </c>
      <c r="D2424" s="19" t="s">
        <v>148</v>
      </c>
      <c r="E2424" s="19" t="s">
        <v>147</v>
      </c>
      <c r="F2424" s="19" t="s">
        <v>203</v>
      </c>
      <c r="G2424" s="19" t="n">
        <v>44</v>
      </c>
      <c r="H2424" s="19" t="s">
        <v>204</v>
      </c>
      <c r="I2424" s="20" t="n">
        <v>46.434</v>
      </c>
      <c r="J2424" s="19" t="n">
        <f aca="false">IF(I2424="","",MIN(Overview!$B$8,MAX(1,CEILING(I2424/Overview!$B$7,1))))</f>
        <v>10</v>
      </c>
      <c r="K2424" s="19" t="n">
        <v>1</v>
      </c>
      <c r="L2424" s="19"/>
      <c r="M2424" s="20"/>
      <c r="N2424" s="19"/>
      <c r="O2424" s="19"/>
      <c r="P2424" s="19" t="s">
        <v>7408</v>
      </c>
      <c r="Q2424" s="19" t="s">
        <v>7409</v>
      </c>
      <c r="R2424" s="21" t="n">
        <v>40545</v>
      </c>
      <c r="S2424" s="19" t="s">
        <v>1002</v>
      </c>
      <c r="T2424" s="19" t="s">
        <v>7412</v>
      </c>
      <c r="U2424" s="19" t="str">
        <f aca="false">HYPERLINK("https://macaulaylibrary.org/asset/609054110","Open")</f>
        <v>Open</v>
      </c>
      <c r="V2424" s="19"/>
    </row>
    <row r="2425" customFormat="false" ht="15" hidden="false" customHeight="false" outlineLevel="0" collapsed="false">
      <c r="A2425" s="19" t="s">
        <v>7413</v>
      </c>
      <c r="B2425" s="19" t="s">
        <v>943</v>
      </c>
      <c r="C2425" s="19" t="s">
        <v>7202</v>
      </c>
      <c r="D2425" s="19" t="s">
        <v>148</v>
      </c>
      <c r="E2425" s="19" t="s">
        <v>147</v>
      </c>
      <c r="F2425" s="19" t="s">
        <v>203</v>
      </c>
      <c r="G2425" s="19" t="n">
        <v>44</v>
      </c>
      <c r="H2425" s="19" t="s">
        <v>204</v>
      </c>
      <c r="I2425" s="20" t="n">
        <v>74.958</v>
      </c>
      <c r="J2425" s="19" t="n">
        <f aca="false">IF(I2425="","",MIN(Overview!$B$8,MAX(1,CEILING(I2425/Overview!$B$7,1))))</f>
        <v>15</v>
      </c>
      <c r="K2425" s="19" t="n">
        <v>1</v>
      </c>
      <c r="L2425" s="19"/>
      <c r="M2425" s="20" t="n">
        <v>4</v>
      </c>
      <c r="N2425" s="19"/>
      <c r="O2425" s="19"/>
      <c r="P2425" s="19" t="s">
        <v>1573</v>
      </c>
      <c r="Q2425" s="19" t="s">
        <v>1021</v>
      </c>
      <c r="R2425" s="21" t="n">
        <v>35861</v>
      </c>
      <c r="S2425" s="19" t="s">
        <v>1574</v>
      </c>
      <c r="T2425" s="19" t="s">
        <v>7414</v>
      </c>
      <c r="U2425" s="19" t="str">
        <f aca="false">HYPERLINK("https://macaulaylibrary.org/asset/99564331","Open")</f>
        <v>Open</v>
      </c>
      <c r="V2425" s="19"/>
    </row>
    <row r="2426" customFormat="false" ht="15" hidden="false" customHeight="false" outlineLevel="0" collapsed="false">
      <c r="A2426" s="19" t="s">
        <v>7415</v>
      </c>
      <c r="B2426" s="19" t="s">
        <v>943</v>
      </c>
      <c r="C2426" s="19" t="s">
        <v>7202</v>
      </c>
      <c r="D2426" s="19" t="s">
        <v>148</v>
      </c>
      <c r="E2426" s="19" t="s">
        <v>147</v>
      </c>
      <c r="F2426" s="19" t="s">
        <v>304</v>
      </c>
      <c r="G2426" s="19" t="n">
        <v>45</v>
      </c>
      <c r="H2426" s="19" t="s">
        <v>305</v>
      </c>
      <c r="I2426" s="20" t="n">
        <v>14.817</v>
      </c>
      <c r="J2426" s="19" t="n">
        <f aca="false">IF(I2426="","",MIN(Overview!$B$8,MAX(1,CEILING(I2426/Overview!$B$7,1))))</f>
        <v>3</v>
      </c>
      <c r="K2426" s="19" t="n">
        <v>1</v>
      </c>
      <c r="L2426" s="19"/>
      <c r="M2426" s="20" t="n">
        <v>2.67</v>
      </c>
      <c r="N2426" s="19"/>
      <c r="O2426" s="19"/>
      <c r="P2426" s="19" t="s">
        <v>974</v>
      </c>
      <c r="Q2426" s="19" t="s">
        <v>975</v>
      </c>
      <c r="R2426" s="21" t="n">
        <v>43666</v>
      </c>
      <c r="S2426" s="19" t="s">
        <v>976</v>
      </c>
      <c r="T2426" s="19" t="s">
        <v>7416</v>
      </c>
      <c r="U2426" s="19" t="str">
        <f aca="false">HYPERLINK("https://macaulaylibrary.org/asset/179453261","Open")</f>
        <v>Open</v>
      </c>
      <c r="V2426" s="19"/>
    </row>
    <row r="2427" customFormat="false" ht="15" hidden="false" customHeight="false" outlineLevel="0" collapsed="false">
      <c r="A2427" s="19" t="s">
        <v>7417</v>
      </c>
      <c r="B2427" s="19" t="s">
        <v>943</v>
      </c>
      <c r="C2427" s="19" t="s">
        <v>7202</v>
      </c>
      <c r="D2427" s="19" t="s">
        <v>148</v>
      </c>
      <c r="E2427" s="19" t="s">
        <v>147</v>
      </c>
      <c r="F2427" s="19" t="s">
        <v>304</v>
      </c>
      <c r="G2427" s="19" t="n">
        <v>45</v>
      </c>
      <c r="H2427" s="19" t="s">
        <v>305</v>
      </c>
      <c r="I2427" s="20" t="n">
        <v>48.087</v>
      </c>
      <c r="J2427" s="19" t="n">
        <f aca="false">IF(I2427="","",MIN(Overview!$B$8,MAX(1,CEILING(I2427/Overview!$B$7,1))))</f>
        <v>10</v>
      </c>
      <c r="K2427" s="19" t="n">
        <v>1</v>
      </c>
      <c r="L2427" s="19"/>
      <c r="M2427" s="20" t="n">
        <v>4</v>
      </c>
      <c r="N2427" s="19"/>
      <c r="O2427" s="19"/>
      <c r="P2427" s="19" t="s">
        <v>1674</v>
      </c>
      <c r="Q2427" s="19" t="s">
        <v>1091</v>
      </c>
      <c r="R2427" s="21" t="n">
        <v>45843</v>
      </c>
      <c r="S2427" s="19" t="s">
        <v>1009</v>
      </c>
      <c r="T2427" s="19" t="s">
        <v>7418</v>
      </c>
      <c r="U2427" s="19" t="str">
        <f aca="false">HYPERLINK("https://macaulaylibrary.org/asset/639164887","Open")</f>
        <v>Open</v>
      </c>
      <c r="V2427" s="19"/>
    </row>
    <row r="2428" customFormat="false" ht="15" hidden="false" customHeight="false" outlineLevel="0" collapsed="false">
      <c r="A2428" s="19" t="s">
        <v>7419</v>
      </c>
      <c r="B2428" s="19" t="s">
        <v>943</v>
      </c>
      <c r="C2428" s="19" t="s">
        <v>7202</v>
      </c>
      <c r="D2428" s="19" t="s">
        <v>148</v>
      </c>
      <c r="E2428" s="19" t="s">
        <v>147</v>
      </c>
      <c r="F2428" s="19" t="s">
        <v>304</v>
      </c>
      <c r="G2428" s="19" t="n">
        <v>45</v>
      </c>
      <c r="H2428" s="19" t="s">
        <v>305</v>
      </c>
      <c r="I2428" s="20" t="n">
        <v>59.79</v>
      </c>
      <c r="J2428" s="19" t="n">
        <f aca="false">IF(I2428="","",MIN(Overview!$B$8,MAX(1,CEILING(I2428/Overview!$B$7,1))))</f>
        <v>12</v>
      </c>
      <c r="K2428" s="19" t="n">
        <v>1</v>
      </c>
      <c r="L2428" s="19"/>
      <c r="M2428" s="20"/>
      <c r="N2428" s="19"/>
      <c r="O2428" s="19"/>
      <c r="P2428" s="19" t="s">
        <v>1674</v>
      </c>
      <c r="Q2428" s="19" t="s">
        <v>1091</v>
      </c>
      <c r="R2428" s="21" t="n">
        <v>45843</v>
      </c>
      <c r="S2428" s="19" t="s">
        <v>1009</v>
      </c>
      <c r="T2428" s="19" t="s">
        <v>7420</v>
      </c>
      <c r="U2428" s="19" t="str">
        <f aca="false">HYPERLINK("https://macaulaylibrary.org/asset/643661250","Open")</f>
        <v>Open</v>
      </c>
      <c r="V2428" s="19"/>
    </row>
    <row r="2429" customFormat="false" ht="15" hidden="false" customHeight="false" outlineLevel="0" collapsed="false">
      <c r="A2429" s="19" t="s">
        <v>7421</v>
      </c>
      <c r="B2429" s="19" t="s">
        <v>943</v>
      </c>
      <c r="C2429" s="19" t="s">
        <v>7202</v>
      </c>
      <c r="D2429" s="19" t="s">
        <v>148</v>
      </c>
      <c r="E2429" s="19" t="s">
        <v>147</v>
      </c>
      <c r="F2429" s="19" t="s">
        <v>350</v>
      </c>
      <c r="G2429" s="19" t="n">
        <v>47</v>
      </c>
      <c r="H2429" s="19" t="s">
        <v>351</v>
      </c>
      <c r="I2429" s="20" t="n">
        <v>36.428</v>
      </c>
      <c r="J2429" s="19" t="n">
        <f aca="false">IF(I2429="","",MIN(Overview!$B$8,MAX(1,CEILING(I2429/Overview!$B$7,1))))</f>
        <v>8</v>
      </c>
      <c r="K2429" s="19" t="n">
        <v>1</v>
      </c>
      <c r="L2429" s="19"/>
      <c r="M2429" s="20" t="n">
        <v>4</v>
      </c>
      <c r="N2429" s="19"/>
      <c r="O2429" s="19"/>
      <c r="P2429" s="19" t="s">
        <v>2600</v>
      </c>
      <c r="Q2429" s="19" t="s">
        <v>980</v>
      </c>
      <c r="R2429" s="21" t="n">
        <v>34124</v>
      </c>
      <c r="S2429" s="19" t="s">
        <v>7422</v>
      </c>
      <c r="T2429" s="19" t="s">
        <v>7423</v>
      </c>
      <c r="U2429" s="19" t="str">
        <f aca="false">HYPERLINK("https://macaulaylibrary.org/asset/209474","Open")</f>
        <v>Open</v>
      </c>
      <c r="V2429" s="19"/>
    </row>
    <row r="2430" customFormat="false" ht="15" hidden="false" customHeight="false" outlineLevel="0" collapsed="false">
      <c r="A2430" s="19" t="s">
        <v>7424</v>
      </c>
      <c r="B2430" s="19" t="s">
        <v>943</v>
      </c>
      <c r="C2430" s="19" t="s">
        <v>7202</v>
      </c>
      <c r="D2430" s="19" t="s">
        <v>148</v>
      </c>
      <c r="E2430" s="19" t="s">
        <v>147</v>
      </c>
      <c r="F2430" s="19" t="s">
        <v>350</v>
      </c>
      <c r="G2430" s="19" t="n">
        <v>47</v>
      </c>
      <c r="H2430" s="19" t="s">
        <v>351</v>
      </c>
      <c r="I2430" s="20" t="n">
        <v>235.553</v>
      </c>
      <c r="J2430" s="19" t="n">
        <f aca="false">IF(I2430="","",MIN(Overview!$B$8,MAX(1,CEILING(I2430/Overview!$B$7,1))))</f>
        <v>48</v>
      </c>
      <c r="K2430" s="19" t="n">
        <v>1</v>
      </c>
      <c r="L2430" s="19"/>
      <c r="M2430" s="20" t="n">
        <v>3.8</v>
      </c>
      <c r="N2430" s="19"/>
      <c r="O2430" s="19" t="s">
        <v>466</v>
      </c>
      <c r="P2430" s="19" t="s">
        <v>2600</v>
      </c>
      <c r="Q2430" s="19" t="s">
        <v>980</v>
      </c>
      <c r="R2430" s="21" t="n">
        <v>34124</v>
      </c>
      <c r="S2430" s="19" t="s">
        <v>7425</v>
      </c>
      <c r="T2430" s="19" t="s">
        <v>7426</v>
      </c>
      <c r="U2430" s="19" t="str">
        <f aca="false">HYPERLINK("https://macaulaylibrary.org/asset/209477","Open")</f>
        <v>Open</v>
      </c>
      <c r="V2430" s="19"/>
    </row>
    <row r="2431" customFormat="false" ht="15" hidden="false" customHeight="false" outlineLevel="0" collapsed="false">
      <c r="A2431" s="19" t="s">
        <v>7427</v>
      </c>
      <c r="B2431" s="19" t="s">
        <v>943</v>
      </c>
      <c r="C2431" s="19" t="s">
        <v>7202</v>
      </c>
      <c r="D2431" s="19" t="s">
        <v>148</v>
      </c>
      <c r="E2431" s="19" t="s">
        <v>147</v>
      </c>
      <c r="F2431" s="19" t="s">
        <v>350</v>
      </c>
      <c r="G2431" s="19" t="n">
        <v>47</v>
      </c>
      <c r="H2431" s="19" t="s">
        <v>351</v>
      </c>
      <c r="I2431" s="20" t="n">
        <v>158.963</v>
      </c>
      <c r="J2431" s="19" t="n">
        <f aca="false">IF(I2431="","",MIN(Overview!$B$8,MAX(1,CEILING(I2431/Overview!$B$7,1))))</f>
        <v>32</v>
      </c>
      <c r="K2431" s="19" t="n">
        <v>1</v>
      </c>
      <c r="L2431" s="19"/>
      <c r="M2431" s="20" t="n">
        <v>3.83</v>
      </c>
      <c r="N2431" s="19"/>
      <c r="O2431" s="19"/>
      <c r="P2431" s="19" t="s">
        <v>2600</v>
      </c>
      <c r="Q2431" s="19" t="s">
        <v>980</v>
      </c>
      <c r="R2431" s="21" t="n">
        <v>34124</v>
      </c>
      <c r="S2431" s="19" t="s">
        <v>7428</v>
      </c>
      <c r="T2431" s="19" t="s">
        <v>7429</v>
      </c>
      <c r="U2431" s="19" t="str">
        <f aca="false">HYPERLINK("https://macaulaylibrary.org/asset/209478","Open")</f>
        <v>Open</v>
      </c>
      <c r="V2431" s="19"/>
    </row>
    <row r="2432" customFormat="false" ht="15" hidden="false" customHeight="false" outlineLevel="0" collapsed="false">
      <c r="A2432" s="19" t="s">
        <v>7430</v>
      </c>
      <c r="B2432" s="19" t="s">
        <v>943</v>
      </c>
      <c r="C2432" s="19" t="s">
        <v>7202</v>
      </c>
      <c r="D2432" s="19" t="s">
        <v>148</v>
      </c>
      <c r="E2432" s="19" t="s">
        <v>147</v>
      </c>
      <c r="F2432" s="19" t="s">
        <v>283</v>
      </c>
      <c r="G2432" s="19" t="n">
        <v>48</v>
      </c>
      <c r="H2432" s="19" t="s">
        <v>284</v>
      </c>
      <c r="I2432" s="20" t="n">
        <v>54.288</v>
      </c>
      <c r="J2432" s="19" t="n">
        <f aca="false">IF(I2432="","",MIN(Overview!$B$8,MAX(1,CEILING(I2432/Overview!$B$7,1))))</f>
        <v>11</v>
      </c>
      <c r="K2432" s="19" t="n">
        <v>1</v>
      </c>
      <c r="L2432" s="19"/>
      <c r="M2432" s="20"/>
      <c r="N2432" s="19"/>
      <c r="O2432" s="19"/>
      <c r="P2432" s="19" t="s">
        <v>7431</v>
      </c>
      <c r="Q2432" s="19" t="s">
        <v>7432</v>
      </c>
      <c r="R2432" s="21" t="n">
        <v>44546</v>
      </c>
      <c r="S2432" s="19" t="s">
        <v>1036</v>
      </c>
      <c r="T2432" s="19" t="s">
        <v>7433</v>
      </c>
      <c r="U2432" s="19" t="str">
        <f aca="false">HYPERLINK("https://macaulaylibrary.org/asset/417347391","Open")</f>
        <v>Open</v>
      </c>
      <c r="V2432" s="19"/>
    </row>
    <row r="2433" customFormat="false" ht="15" hidden="false" customHeight="false" outlineLevel="0" collapsed="false">
      <c r="A2433" s="19" t="s">
        <v>7434</v>
      </c>
      <c r="B2433" s="19" t="s">
        <v>943</v>
      </c>
      <c r="C2433" s="19" t="s">
        <v>7202</v>
      </c>
      <c r="D2433" s="19" t="s">
        <v>148</v>
      </c>
      <c r="E2433" s="19" t="s">
        <v>147</v>
      </c>
      <c r="F2433" s="19" t="s">
        <v>283</v>
      </c>
      <c r="G2433" s="19" t="n">
        <v>48</v>
      </c>
      <c r="H2433" s="19" t="s">
        <v>284</v>
      </c>
      <c r="I2433" s="20" t="n">
        <v>13.167</v>
      </c>
      <c r="J2433" s="19" t="n">
        <f aca="false">IF(I2433="","",MIN(Overview!$B$8,MAX(1,CEILING(I2433/Overview!$B$7,1))))</f>
        <v>3</v>
      </c>
      <c r="K2433" s="19" t="n">
        <v>1</v>
      </c>
      <c r="L2433" s="19"/>
      <c r="M2433" s="20" t="n">
        <v>2.75</v>
      </c>
      <c r="N2433" s="19"/>
      <c r="O2433" s="19"/>
      <c r="P2433" s="19" t="s">
        <v>950</v>
      </c>
      <c r="Q2433" s="19" t="s">
        <v>951</v>
      </c>
      <c r="R2433" s="21" t="n">
        <v>45223</v>
      </c>
      <c r="S2433" s="19" t="s">
        <v>952</v>
      </c>
      <c r="T2433" s="19" t="s">
        <v>7435</v>
      </c>
      <c r="U2433" s="19" t="str">
        <f aca="false">HYPERLINK("https://macaulaylibrary.org/asset/610572717","Open")</f>
        <v>Open</v>
      </c>
      <c r="V2433" s="19"/>
    </row>
    <row r="2434" customFormat="false" ht="15" hidden="false" customHeight="false" outlineLevel="0" collapsed="false">
      <c r="A2434" s="19" t="s">
        <v>7436</v>
      </c>
      <c r="B2434" s="19" t="s">
        <v>943</v>
      </c>
      <c r="C2434" s="19" t="s">
        <v>7202</v>
      </c>
      <c r="D2434" s="19" t="s">
        <v>148</v>
      </c>
      <c r="E2434" s="19" t="s">
        <v>147</v>
      </c>
      <c r="F2434" s="19" t="s">
        <v>283</v>
      </c>
      <c r="G2434" s="19" t="n">
        <v>48</v>
      </c>
      <c r="H2434" s="19" t="s">
        <v>284</v>
      </c>
      <c r="I2434" s="20" t="n">
        <v>17.208</v>
      </c>
      <c r="J2434" s="19" t="n">
        <f aca="false">IF(I2434="","",MIN(Overview!$B$8,MAX(1,CEILING(I2434/Overview!$B$7,1))))</f>
        <v>4</v>
      </c>
      <c r="K2434" s="19" t="n">
        <v>1</v>
      </c>
      <c r="L2434" s="19"/>
      <c r="M2434" s="20" t="n">
        <v>3</v>
      </c>
      <c r="N2434" s="19"/>
      <c r="O2434" s="19"/>
      <c r="P2434" s="19" t="s">
        <v>950</v>
      </c>
      <c r="Q2434" s="19" t="s">
        <v>951</v>
      </c>
      <c r="R2434" s="21" t="n">
        <v>45223</v>
      </c>
      <c r="S2434" s="19" t="s">
        <v>952</v>
      </c>
      <c r="T2434" s="19" t="s">
        <v>7437</v>
      </c>
      <c r="U2434" s="19" t="str">
        <f aca="false">HYPERLINK("https://macaulaylibrary.org/asset/610572721","Open")</f>
        <v>Open</v>
      </c>
      <c r="V2434" s="19"/>
    </row>
    <row r="2435" customFormat="false" ht="15" hidden="false" customHeight="false" outlineLevel="0" collapsed="false">
      <c r="A2435" s="19" t="s">
        <v>7438</v>
      </c>
      <c r="B2435" s="19" t="s">
        <v>943</v>
      </c>
      <c r="C2435" s="19" t="s">
        <v>7202</v>
      </c>
      <c r="D2435" s="19" t="s">
        <v>400</v>
      </c>
      <c r="E2435" s="19" t="s">
        <v>147</v>
      </c>
      <c r="F2435" s="19" t="s">
        <v>499</v>
      </c>
      <c r="G2435" s="19" t="n">
        <v>49</v>
      </c>
      <c r="H2435" s="19" t="s">
        <v>500</v>
      </c>
      <c r="I2435" s="20" t="n">
        <v>24.981</v>
      </c>
      <c r="J2435" s="19" t="n">
        <f aca="false">IF(I2435="","",MIN(Overview!$B$8,MAX(1,CEILING(I2435/Overview!$B$7,1))))</f>
        <v>5</v>
      </c>
      <c r="K2435" s="19" t="n">
        <v>1</v>
      </c>
      <c r="L2435" s="19"/>
      <c r="M2435" s="20" t="n">
        <v>3.5</v>
      </c>
      <c r="N2435" s="19"/>
      <c r="O2435" s="19"/>
      <c r="P2435" s="19" t="s">
        <v>1305</v>
      </c>
      <c r="Q2435" s="19" t="s">
        <v>965</v>
      </c>
      <c r="R2435" s="21" t="n">
        <v>45276</v>
      </c>
      <c r="S2435" s="19" t="s">
        <v>1306</v>
      </c>
      <c r="T2435" s="19" t="s">
        <v>7439</v>
      </c>
      <c r="U2435" s="19" t="str">
        <f aca="false">HYPERLINK("https://macaulaylibrary.org/asset/612315942","Open")</f>
        <v>Open</v>
      </c>
      <c r="V2435" s="19"/>
    </row>
    <row r="2436" customFormat="false" ht="15" hidden="false" customHeight="false" outlineLevel="0" collapsed="false">
      <c r="A2436" s="19" t="s">
        <v>7440</v>
      </c>
      <c r="B2436" s="19" t="s">
        <v>943</v>
      </c>
      <c r="C2436" s="19" t="s">
        <v>7202</v>
      </c>
      <c r="D2436" s="19" t="s">
        <v>148</v>
      </c>
      <c r="E2436" s="19" t="s">
        <v>147</v>
      </c>
      <c r="F2436" s="19" t="s">
        <v>165</v>
      </c>
      <c r="G2436" s="19" t="n">
        <v>50</v>
      </c>
      <c r="H2436" s="19" t="s">
        <v>166</v>
      </c>
      <c r="I2436" s="20" t="n">
        <v>220.687</v>
      </c>
      <c r="J2436" s="19" t="n">
        <f aca="false">IF(I2436="","",MIN(Overview!$B$8,MAX(1,CEILING(I2436/Overview!$B$7,1))))</f>
        <v>45</v>
      </c>
      <c r="K2436" s="19" t="n">
        <v>1</v>
      </c>
      <c r="L2436" s="19"/>
      <c r="M2436" s="20" t="n">
        <v>4</v>
      </c>
      <c r="N2436" s="19"/>
      <c r="O2436" s="19"/>
      <c r="P2436" s="19" t="s">
        <v>4191</v>
      </c>
      <c r="Q2436" s="19" t="s">
        <v>1021</v>
      </c>
      <c r="R2436" s="21" t="n">
        <v>35868</v>
      </c>
      <c r="S2436" s="19" t="s">
        <v>2784</v>
      </c>
      <c r="T2436" s="19" t="s">
        <v>7441</v>
      </c>
      <c r="U2436" s="19" t="str">
        <f aca="false">HYPERLINK("https://macaulaylibrary.org/asset/103065681","Open")</f>
        <v>Open</v>
      </c>
      <c r="V2436" s="19"/>
    </row>
    <row r="2437" customFormat="false" ht="15" hidden="false" customHeight="false" outlineLevel="0" collapsed="false">
      <c r="A2437" s="19" t="s">
        <v>7442</v>
      </c>
      <c r="B2437" s="19" t="s">
        <v>943</v>
      </c>
      <c r="C2437" s="19" t="s">
        <v>7202</v>
      </c>
      <c r="D2437" s="19" t="s">
        <v>148</v>
      </c>
      <c r="E2437" s="19" t="s">
        <v>147</v>
      </c>
      <c r="F2437" s="19" t="s">
        <v>165</v>
      </c>
      <c r="G2437" s="19" t="n">
        <v>50</v>
      </c>
      <c r="H2437" s="19" t="s">
        <v>166</v>
      </c>
      <c r="I2437" s="20" t="n">
        <v>7.55</v>
      </c>
      <c r="J2437" s="19" t="n">
        <f aca="false">IF(I2437="","",MIN(Overview!$B$8,MAX(1,CEILING(I2437/Overview!$B$7,1))))</f>
        <v>2</v>
      </c>
      <c r="K2437" s="19" t="n">
        <v>1</v>
      </c>
      <c r="L2437" s="19"/>
      <c r="M2437" s="20" t="n">
        <v>4</v>
      </c>
      <c r="N2437" s="19"/>
      <c r="O2437" s="19"/>
      <c r="P2437" s="19" t="s">
        <v>2165</v>
      </c>
      <c r="Q2437" s="19" t="s">
        <v>1021</v>
      </c>
      <c r="R2437" s="21" t="n">
        <v>36598</v>
      </c>
      <c r="S2437" s="19" t="s">
        <v>1106</v>
      </c>
      <c r="T2437" s="19" t="s">
        <v>7443</v>
      </c>
      <c r="U2437" s="19" t="str">
        <f aca="false">HYPERLINK("https://macaulaylibrary.org/asset/147720521","Open")</f>
        <v>Open</v>
      </c>
      <c r="V2437" s="19"/>
    </row>
    <row r="2438" customFormat="false" ht="15" hidden="false" customHeight="false" outlineLevel="0" collapsed="false">
      <c r="A2438" s="19" t="s">
        <v>7444</v>
      </c>
      <c r="B2438" s="19" t="s">
        <v>943</v>
      </c>
      <c r="C2438" s="19" t="s">
        <v>7202</v>
      </c>
      <c r="D2438" s="19" t="s">
        <v>148</v>
      </c>
      <c r="E2438" s="19" t="s">
        <v>147</v>
      </c>
      <c r="F2438" s="19" t="s">
        <v>165</v>
      </c>
      <c r="G2438" s="19" t="n">
        <v>50</v>
      </c>
      <c r="H2438" s="19" t="s">
        <v>166</v>
      </c>
      <c r="I2438" s="20" t="n">
        <v>126.017</v>
      </c>
      <c r="J2438" s="19" t="n">
        <f aca="false">IF(I2438="","",MIN(Overview!$B$8,MAX(1,CEILING(I2438/Overview!$B$7,1))))</f>
        <v>26</v>
      </c>
      <c r="K2438" s="19" t="n">
        <v>1</v>
      </c>
      <c r="L2438" s="19"/>
      <c r="M2438" s="20" t="n">
        <v>4</v>
      </c>
      <c r="N2438" s="19"/>
      <c r="O2438" s="19"/>
      <c r="P2438" s="19" t="s">
        <v>2165</v>
      </c>
      <c r="Q2438" s="19" t="s">
        <v>1021</v>
      </c>
      <c r="R2438" s="21" t="n">
        <v>36598</v>
      </c>
      <c r="S2438" s="19" t="s">
        <v>1106</v>
      </c>
      <c r="T2438" s="19" t="s">
        <v>7445</v>
      </c>
      <c r="U2438" s="19" t="str">
        <f aca="false">HYPERLINK("https://macaulaylibrary.org/asset/147720921","Open")</f>
        <v>Open</v>
      </c>
      <c r="V2438" s="19"/>
    </row>
    <row r="2439" customFormat="false" ht="15" hidden="false" customHeight="false" outlineLevel="0" collapsed="false">
      <c r="A2439" s="19" t="s">
        <v>7446</v>
      </c>
      <c r="B2439" s="19" t="s">
        <v>943</v>
      </c>
      <c r="C2439" s="19" t="s">
        <v>7202</v>
      </c>
      <c r="D2439" s="19" t="s">
        <v>148</v>
      </c>
      <c r="E2439" s="19" t="s">
        <v>147</v>
      </c>
      <c r="F2439" s="19" t="s">
        <v>165</v>
      </c>
      <c r="G2439" s="19" t="n">
        <v>50</v>
      </c>
      <c r="H2439" s="19" t="s">
        <v>166</v>
      </c>
      <c r="I2439" s="20" t="n">
        <v>73.848</v>
      </c>
      <c r="J2439" s="19" t="n">
        <f aca="false">IF(I2439="","",MIN(Overview!$B$8,MAX(1,CEILING(I2439/Overview!$B$7,1))))</f>
        <v>15</v>
      </c>
      <c r="K2439" s="19" t="n">
        <v>1</v>
      </c>
      <c r="L2439" s="19"/>
      <c r="M2439" s="20" t="n">
        <v>3.5</v>
      </c>
      <c r="N2439" s="19"/>
      <c r="O2439" s="19"/>
      <c r="P2439" s="19" t="s">
        <v>2165</v>
      </c>
      <c r="Q2439" s="19" t="s">
        <v>1021</v>
      </c>
      <c r="R2439" s="21" t="n">
        <v>36598</v>
      </c>
      <c r="S2439" s="19" t="s">
        <v>1106</v>
      </c>
      <c r="T2439" s="19" t="s">
        <v>7447</v>
      </c>
      <c r="U2439" s="19" t="str">
        <f aca="false">HYPERLINK("https://macaulaylibrary.org/asset/148044791","Open")</f>
        <v>Open</v>
      </c>
      <c r="V2439" s="19"/>
    </row>
    <row r="2440" customFormat="false" ht="15" hidden="false" customHeight="false" outlineLevel="0" collapsed="false">
      <c r="A2440" s="19" t="s">
        <v>7448</v>
      </c>
      <c r="B2440" s="19" t="s">
        <v>943</v>
      </c>
      <c r="C2440" s="19" t="s">
        <v>7202</v>
      </c>
      <c r="D2440" s="19" t="s">
        <v>148</v>
      </c>
      <c r="E2440" s="19" t="s">
        <v>147</v>
      </c>
      <c r="F2440" s="19" t="s">
        <v>165</v>
      </c>
      <c r="G2440" s="19" t="n">
        <v>50</v>
      </c>
      <c r="H2440" s="19" t="s">
        <v>166</v>
      </c>
      <c r="I2440" s="20" t="n">
        <v>100.569</v>
      </c>
      <c r="J2440" s="19" t="n">
        <f aca="false">IF(I2440="","",MIN(Overview!$B$8,MAX(1,CEILING(I2440/Overview!$B$7,1))))</f>
        <v>21</v>
      </c>
      <c r="K2440" s="19" t="n">
        <v>1</v>
      </c>
      <c r="L2440" s="19"/>
      <c r="M2440" s="20" t="n">
        <v>2.2</v>
      </c>
      <c r="N2440" s="19"/>
      <c r="O2440" s="19"/>
      <c r="P2440" s="19" t="s">
        <v>2342</v>
      </c>
      <c r="Q2440" s="19" t="s">
        <v>2343</v>
      </c>
      <c r="R2440" s="21" t="n">
        <v>31506</v>
      </c>
      <c r="S2440" s="19" t="s">
        <v>1081</v>
      </c>
      <c r="T2440" s="19" t="s">
        <v>7449</v>
      </c>
      <c r="U2440" s="19" t="str">
        <f aca="false">HYPERLINK("https://macaulaylibrary.org/asset/249455","Open")</f>
        <v>Open</v>
      </c>
      <c r="V2440" s="19" t="s">
        <v>2366</v>
      </c>
    </row>
    <row r="2441" customFormat="false" ht="15" hidden="false" customHeight="false" outlineLevel="0" collapsed="false">
      <c r="A2441" s="19" t="s">
        <v>7450</v>
      </c>
      <c r="B2441" s="19" t="s">
        <v>943</v>
      </c>
      <c r="C2441" s="19" t="s">
        <v>7202</v>
      </c>
      <c r="D2441" s="19" t="s">
        <v>148</v>
      </c>
      <c r="E2441" s="19" t="s">
        <v>147</v>
      </c>
      <c r="F2441" s="19" t="s">
        <v>165</v>
      </c>
      <c r="G2441" s="19" t="n">
        <v>50</v>
      </c>
      <c r="H2441" s="19" t="s">
        <v>166</v>
      </c>
      <c r="I2441" s="20" t="n">
        <v>30.109</v>
      </c>
      <c r="J2441" s="19" t="n">
        <f aca="false">IF(I2441="","",MIN(Overview!$B$8,MAX(1,CEILING(I2441/Overview!$B$7,1))))</f>
        <v>7</v>
      </c>
      <c r="K2441" s="19" t="n">
        <v>1</v>
      </c>
      <c r="L2441" s="19"/>
      <c r="M2441" s="20" t="n">
        <v>5</v>
      </c>
      <c r="N2441" s="19"/>
      <c r="O2441" s="19"/>
      <c r="P2441" s="19" t="s">
        <v>7451</v>
      </c>
      <c r="Q2441" s="19" t="s">
        <v>2085</v>
      </c>
      <c r="R2441" s="21" t="n">
        <v>44183</v>
      </c>
      <c r="S2441" s="19" t="s">
        <v>7452</v>
      </c>
      <c r="T2441" s="19" t="s">
        <v>7453</v>
      </c>
      <c r="U2441" s="19" t="str">
        <f aca="false">HYPERLINK("https://macaulaylibrary.org/asset/297139161","Open")</f>
        <v>Open</v>
      </c>
      <c r="V2441" s="19"/>
    </row>
    <row r="2442" customFormat="false" ht="15" hidden="false" customHeight="false" outlineLevel="0" collapsed="false">
      <c r="A2442" s="19" t="s">
        <v>7454</v>
      </c>
      <c r="B2442" s="19" t="s">
        <v>943</v>
      </c>
      <c r="C2442" s="19" t="s">
        <v>7202</v>
      </c>
      <c r="D2442" s="19" t="s">
        <v>148</v>
      </c>
      <c r="E2442" s="19" t="s">
        <v>147</v>
      </c>
      <c r="F2442" s="19" t="s">
        <v>165</v>
      </c>
      <c r="G2442" s="19" t="n">
        <v>50</v>
      </c>
      <c r="H2442" s="19" t="s">
        <v>166</v>
      </c>
      <c r="I2442" s="20" t="n">
        <v>135.076</v>
      </c>
      <c r="J2442" s="19" t="n">
        <f aca="false">IF(I2442="","",MIN(Overview!$B$8,MAX(1,CEILING(I2442/Overview!$B$7,1))))</f>
        <v>28</v>
      </c>
      <c r="K2442" s="19" t="n">
        <v>1</v>
      </c>
      <c r="L2442" s="19"/>
      <c r="M2442" s="20" t="n">
        <v>5</v>
      </c>
      <c r="N2442" s="19"/>
      <c r="O2442" s="19" t="s">
        <v>7455</v>
      </c>
      <c r="P2442" s="19" t="s">
        <v>3465</v>
      </c>
      <c r="Q2442" s="19" t="s">
        <v>1191</v>
      </c>
      <c r="R2442" s="21" t="n">
        <v>45685</v>
      </c>
      <c r="S2442" s="19" t="s">
        <v>3466</v>
      </c>
      <c r="T2442" s="19" t="s">
        <v>7456</v>
      </c>
      <c r="U2442" s="19" t="str">
        <f aca="false">HYPERLINK("https://macaulaylibrary.org/asset/630391104","Open")</f>
        <v>Open</v>
      </c>
      <c r="V2442" s="19"/>
    </row>
    <row r="2443" customFormat="false" ht="15" hidden="false" customHeight="false" outlineLevel="0" collapsed="false">
      <c r="A2443" s="19" t="s">
        <v>7457</v>
      </c>
      <c r="B2443" s="19" t="s">
        <v>943</v>
      </c>
      <c r="C2443" s="19" t="s">
        <v>7202</v>
      </c>
      <c r="D2443" s="19" t="s">
        <v>148</v>
      </c>
      <c r="E2443" s="19" t="s">
        <v>147</v>
      </c>
      <c r="F2443" s="19" t="s">
        <v>165</v>
      </c>
      <c r="G2443" s="19" t="n">
        <v>50</v>
      </c>
      <c r="H2443" s="19" t="s">
        <v>166</v>
      </c>
      <c r="I2443" s="20" t="n">
        <v>51.763</v>
      </c>
      <c r="J2443" s="19" t="n">
        <f aca="false">IF(I2443="","",MIN(Overview!$B$8,MAX(1,CEILING(I2443/Overview!$B$7,1))))</f>
        <v>11</v>
      </c>
      <c r="K2443" s="19" t="n">
        <v>1</v>
      </c>
      <c r="L2443" s="19"/>
      <c r="M2443" s="20"/>
      <c r="N2443" s="19"/>
      <c r="O2443" s="19"/>
      <c r="P2443" s="19" t="s">
        <v>2512</v>
      </c>
      <c r="Q2443" s="19" t="s">
        <v>1473</v>
      </c>
      <c r="R2443" s="21" t="n">
        <v>46036</v>
      </c>
      <c r="S2443" s="19" t="s">
        <v>1423</v>
      </c>
      <c r="T2443" s="19" t="s">
        <v>7458</v>
      </c>
      <c r="U2443" s="19" t="str">
        <f aca="false">HYPERLINK("https://macaulaylibrary.org/asset/649899679","Open")</f>
        <v>Open</v>
      </c>
      <c r="V2443" s="19"/>
    </row>
    <row r="2444" customFormat="false" ht="15" hidden="false" customHeight="false" outlineLevel="0" collapsed="false">
      <c r="A2444" s="19" t="s">
        <v>7459</v>
      </c>
      <c r="B2444" s="19" t="s">
        <v>943</v>
      </c>
      <c r="C2444" s="19" t="s">
        <v>7202</v>
      </c>
      <c r="D2444" s="19" t="s">
        <v>148</v>
      </c>
      <c r="E2444" s="19" t="s">
        <v>147</v>
      </c>
      <c r="F2444" s="19" t="s">
        <v>277</v>
      </c>
      <c r="G2444" s="19" t="n">
        <v>51</v>
      </c>
      <c r="H2444" s="19" t="s">
        <v>278</v>
      </c>
      <c r="I2444" s="20" t="n">
        <v>23.675</v>
      </c>
      <c r="J2444" s="19" t="n">
        <f aca="false">IF(I2444="","",MIN(Overview!$B$8,MAX(1,CEILING(I2444/Overview!$B$7,1))))</f>
        <v>5</v>
      </c>
      <c r="K2444" s="19" t="n">
        <v>1</v>
      </c>
      <c r="L2444" s="19"/>
      <c r="M2444" s="20" t="n">
        <v>3.5</v>
      </c>
      <c r="N2444" s="19"/>
      <c r="O2444" s="19"/>
      <c r="P2444" s="19" t="s">
        <v>7460</v>
      </c>
      <c r="Q2444" s="19" t="s">
        <v>2085</v>
      </c>
      <c r="R2444" s="21" t="n">
        <v>44185</v>
      </c>
      <c r="S2444" s="19" t="s">
        <v>1254</v>
      </c>
      <c r="T2444" s="19" t="s">
        <v>7461</v>
      </c>
      <c r="U2444" s="19" t="str">
        <f aca="false">HYPERLINK("https://macaulaylibrary.org/asset/297142631","Open")</f>
        <v>Open</v>
      </c>
      <c r="V2444" s="19"/>
    </row>
    <row r="2445" customFormat="false" ht="15" hidden="false" customHeight="false" outlineLevel="0" collapsed="false">
      <c r="A2445" s="19" t="s">
        <v>7462</v>
      </c>
      <c r="B2445" s="19" t="s">
        <v>943</v>
      </c>
      <c r="C2445" s="19" t="s">
        <v>7202</v>
      </c>
      <c r="D2445" s="19" t="s">
        <v>148</v>
      </c>
      <c r="E2445" s="19" t="s">
        <v>147</v>
      </c>
      <c r="F2445" s="19" t="s">
        <v>277</v>
      </c>
      <c r="G2445" s="19" t="n">
        <v>51</v>
      </c>
      <c r="H2445" s="19" t="s">
        <v>278</v>
      </c>
      <c r="I2445" s="20" t="n">
        <v>4.145</v>
      </c>
      <c r="J2445" s="19" t="n">
        <f aca="false">IF(I2445="","",MIN(Overview!$B$8,MAX(1,CEILING(I2445/Overview!$B$7,1))))</f>
        <v>1</v>
      </c>
      <c r="K2445" s="19" t="n">
        <v>1</v>
      </c>
      <c r="L2445" s="19" t="s">
        <v>1048</v>
      </c>
      <c r="M2445" s="20"/>
      <c r="N2445" s="19"/>
      <c r="O2445" s="19"/>
      <c r="P2445" s="19" t="s">
        <v>2564</v>
      </c>
      <c r="Q2445" s="19" t="s">
        <v>2565</v>
      </c>
      <c r="R2445" s="21" t="n">
        <v>46105</v>
      </c>
      <c r="S2445" s="19" t="s">
        <v>2566</v>
      </c>
      <c r="T2445" s="19" t="s">
        <v>7463</v>
      </c>
      <c r="U2445" s="19" t="str">
        <f aca="false">HYPERLINK("https://macaulaylibrary.org/asset/654427070","Open")</f>
        <v>Open</v>
      </c>
      <c r="V2445" s="19"/>
    </row>
    <row r="2446" customFormat="false" ht="15" hidden="false" customHeight="false" outlineLevel="0" collapsed="false">
      <c r="A2446" s="19" t="s">
        <v>7464</v>
      </c>
      <c r="B2446" s="19" t="s">
        <v>943</v>
      </c>
      <c r="C2446" s="19" t="s">
        <v>7202</v>
      </c>
      <c r="D2446" s="19" t="s">
        <v>148</v>
      </c>
      <c r="E2446" s="19" t="s">
        <v>147</v>
      </c>
      <c r="F2446" s="19" t="s">
        <v>277</v>
      </c>
      <c r="G2446" s="19" t="n">
        <v>51</v>
      </c>
      <c r="H2446" s="19" t="s">
        <v>278</v>
      </c>
      <c r="I2446" s="20" t="n">
        <v>4.145</v>
      </c>
      <c r="J2446" s="19" t="n">
        <f aca="false">IF(I2446="","",MIN(Overview!$B$8,MAX(1,CEILING(I2446/Overview!$B$7,1))))</f>
        <v>1</v>
      </c>
      <c r="K2446" s="19" t="n">
        <v>1</v>
      </c>
      <c r="L2446" s="19" t="s">
        <v>1048</v>
      </c>
      <c r="M2446" s="20" t="n">
        <v>2</v>
      </c>
      <c r="N2446" s="19"/>
      <c r="O2446" s="19"/>
      <c r="P2446" s="19" t="s">
        <v>2564</v>
      </c>
      <c r="Q2446" s="19" t="s">
        <v>2565</v>
      </c>
      <c r="R2446" s="21" t="n">
        <v>46105</v>
      </c>
      <c r="S2446" s="19" t="s">
        <v>2566</v>
      </c>
      <c r="T2446" s="19" t="s">
        <v>7465</v>
      </c>
      <c r="U2446" s="19" t="str">
        <f aca="false">HYPERLINK("https://macaulaylibrary.org/asset/654427104","Open")</f>
        <v>Open</v>
      </c>
      <c r="V2446" s="19"/>
    </row>
    <row r="2447" customFormat="false" ht="15" hidden="false" customHeight="false" outlineLevel="0" collapsed="false">
      <c r="A2447" s="19" t="s">
        <v>7466</v>
      </c>
      <c r="B2447" s="19" t="s">
        <v>943</v>
      </c>
      <c r="C2447" s="19" t="s">
        <v>7202</v>
      </c>
      <c r="D2447" s="19" t="s">
        <v>148</v>
      </c>
      <c r="E2447" s="19" t="s">
        <v>147</v>
      </c>
      <c r="F2447" s="19" t="s">
        <v>353</v>
      </c>
      <c r="G2447" s="19" t="n">
        <v>52</v>
      </c>
      <c r="H2447" s="19" t="s">
        <v>354</v>
      </c>
      <c r="I2447" s="20" t="n">
        <v>15.115</v>
      </c>
      <c r="J2447" s="19" t="n">
        <f aca="false">IF(I2447="","",MIN(Overview!$B$8,MAX(1,CEILING(I2447/Overview!$B$7,1))))</f>
        <v>4</v>
      </c>
      <c r="K2447" s="19" t="n">
        <v>1</v>
      </c>
      <c r="L2447" s="19"/>
      <c r="M2447" s="20"/>
      <c r="N2447" s="19"/>
      <c r="O2447" s="19"/>
      <c r="P2447" s="19" t="s">
        <v>1650</v>
      </c>
      <c r="Q2447" s="19" t="s">
        <v>1382</v>
      </c>
      <c r="R2447" s="21" t="n">
        <v>46104</v>
      </c>
      <c r="S2447" s="19" t="s">
        <v>1651</v>
      </c>
      <c r="T2447" s="19" t="s">
        <v>7467</v>
      </c>
      <c r="U2447" s="19" t="str">
        <f aca="false">HYPERLINK("https://macaulaylibrary.org/asset/654658401","Open")</f>
        <v>Open</v>
      </c>
      <c r="V2447" s="19"/>
    </row>
    <row r="2448" customFormat="false" ht="15" hidden="false" customHeight="false" outlineLevel="0" collapsed="false">
      <c r="A2448" s="19" t="s">
        <v>7468</v>
      </c>
      <c r="B2448" s="19" t="s">
        <v>943</v>
      </c>
      <c r="C2448" s="19" t="s">
        <v>7202</v>
      </c>
      <c r="D2448" s="19" t="s">
        <v>148</v>
      </c>
      <c r="E2448" s="19" t="s">
        <v>147</v>
      </c>
      <c r="F2448" s="19" t="s">
        <v>353</v>
      </c>
      <c r="G2448" s="19" t="n">
        <v>52</v>
      </c>
      <c r="H2448" s="19" t="s">
        <v>354</v>
      </c>
      <c r="I2448" s="20" t="n">
        <v>56.502</v>
      </c>
      <c r="J2448" s="19" t="n">
        <f aca="false">IF(I2448="","",MIN(Overview!$B$8,MAX(1,CEILING(I2448/Overview!$B$7,1))))</f>
        <v>12</v>
      </c>
      <c r="K2448" s="19" t="n">
        <v>1</v>
      </c>
      <c r="L2448" s="19"/>
      <c r="M2448" s="20"/>
      <c r="N2448" s="19"/>
      <c r="O2448" s="19"/>
      <c r="P2448" s="19" t="s">
        <v>1650</v>
      </c>
      <c r="Q2448" s="19" t="s">
        <v>1382</v>
      </c>
      <c r="R2448" s="21" t="n">
        <v>46104</v>
      </c>
      <c r="S2448" s="19" t="s">
        <v>1651</v>
      </c>
      <c r="T2448" s="19" t="s">
        <v>7469</v>
      </c>
      <c r="U2448" s="19" t="str">
        <f aca="false">HYPERLINK("https://macaulaylibrary.org/asset/654658718","Open")</f>
        <v>Open</v>
      </c>
      <c r="V2448" s="19"/>
    </row>
    <row r="2449" customFormat="false" ht="15" hidden="false" customHeight="false" outlineLevel="0" collapsed="false">
      <c r="A2449" s="19" t="s">
        <v>7470</v>
      </c>
      <c r="B2449" s="19" t="s">
        <v>943</v>
      </c>
      <c r="C2449" s="19" t="s">
        <v>7202</v>
      </c>
      <c r="D2449" s="19" t="s">
        <v>400</v>
      </c>
      <c r="E2449" s="19" t="s">
        <v>147</v>
      </c>
      <c r="F2449" s="19" t="s">
        <v>520</v>
      </c>
      <c r="G2449" s="19" t="n">
        <v>53</v>
      </c>
      <c r="H2449" s="19" t="s">
        <v>521</v>
      </c>
      <c r="I2449" s="20" t="n">
        <v>14.505</v>
      </c>
      <c r="J2449" s="19" t="n">
        <f aca="false">IF(I2449="","",MIN(Overview!$B$8,MAX(1,CEILING(I2449/Overview!$B$7,1))))</f>
        <v>3</v>
      </c>
      <c r="K2449" s="19" t="n">
        <v>1</v>
      </c>
      <c r="L2449" s="19"/>
      <c r="M2449" s="20" t="n">
        <v>4</v>
      </c>
      <c r="N2449" s="19"/>
      <c r="O2449" s="19"/>
      <c r="P2449" s="19" t="s">
        <v>2398</v>
      </c>
      <c r="Q2449" s="19" t="s">
        <v>951</v>
      </c>
      <c r="R2449" s="21" t="n">
        <v>45222</v>
      </c>
      <c r="S2449" s="19" t="s">
        <v>1098</v>
      </c>
      <c r="T2449" s="19" t="s">
        <v>7471</v>
      </c>
      <c r="U2449" s="19" t="str">
        <f aca="false">HYPERLINK("https://macaulaylibrary.org/asset/610542172","Open")</f>
        <v>Open</v>
      </c>
      <c r="V2449" s="19"/>
    </row>
    <row r="2450" customFormat="false" ht="15" hidden="false" customHeight="false" outlineLevel="0" collapsed="false">
      <c r="A2450" s="19" t="s">
        <v>7472</v>
      </c>
      <c r="B2450" s="19" t="s">
        <v>943</v>
      </c>
      <c r="C2450" s="19" t="s">
        <v>7202</v>
      </c>
      <c r="D2450" s="19" t="s">
        <v>148</v>
      </c>
      <c r="E2450" s="19" t="s">
        <v>147</v>
      </c>
      <c r="F2450" s="19" t="s">
        <v>307</v>
      </c>
      <c r="G2450" s="19" t="n">
        <v>54</v>
      </c>
      <c r="H2450" s="19" t="s">
        <v>308</v>
      </c>
      <c r="I2450" s="20" t="n">
        <v>2.852</v>
      </c>
      <c r="J2450" s="19" t="n">
        <f aca="false">IF(I2450="","",MIN(Overview!$B$8,MAX(1,CEILING(I2450/Overview!$B$7,1))))</f>
        <v>1</v>
      </c>
      <c r="K2450" s="19" t="n">
        <v>1</v>
      </c>
      <c r="L2450" s="19" t="s">
        <v>1048</v>
      </c>
      <c r="M2450" s="20" t="n">
        <v>3</v>
      </c>
      <c r="N2450" s="19"/>
      <c r="O2450" s="19"/>
      <c r="P2450" s="19" t="s">
        <v>7473</v>
      </c>
      <c r="Q2450" s="19" t="s">
        <v>7474</v>
      </c>
      <c r="R2450" s="21" t="n">
        <v>43883</v>
      </c>
      <c r="S2450" s="19" t="s">
        <v>1013</v>
      </c>
      <c r="T2450" s="19" t="s">
        <v>7475</v>
      </c>
      <c r="U2450" s="19" t="str">
        <f aca="false">HYPERLINK("https://macaulaylibrary.org/asset/216201701","Open")</f>
        <v>Open</v>
      </c>
      <c r="V2450" s="19"/>
    </row>
    <row r="2451" customFormat="false" ht="15" hidden="false" customHeight="false" outlineLevel="0" collapsed="false">
      <c r="A2451" s="19" t="s">
        <v>7476</v>
      </c>
      <c r="B2451" s="19" t="s">
        <v>943</v>
      </c>
      <c r="C2451" s="19" t="s">
        <v>7202</v>
      </c>
      <c r="D2451" s="19" t="s">
        <v>148</v>
      </c>
      <c r="E2451" s="19" t="s">
        <v>147</v>
      </c>
      <c r="F2451" s="19" t="s">
        <v>307</v>
      </c>
      <c r="G2451" s="19" t="n">
        <v>54</v>
      </c>
      <c r="H2451" s="19" t="s">
        <v>308</v>
      </c>
      <c r="I2451" s="20" t="n">
        <v>27.25</v>
      </c>
      <c r="J2451" s="19" t="n">
        <f aca="false">IF(I2451="","",MIN(Overview!$B$8,MAX(1,CEILING(I2451/Overview!$B$7,1))))</f>
        <v>6</v>
      </c>
      <c r="K2451" s="19" t="n">
        <v>1</v>
      </c>
      <c r="L2451" s="19"/>
      <c r="M2451" s="20" t="n">
        <v>3</v>
      </c>
      <c r="N2451" s="19"/>
      <c r="O2451" s="19"/>
      <c r="P2451" s="19" t="s">
        <v>1140</v>
      </c>
      <c r="Q2451" s="19" t="s">
        <v>1030</v>
      </c>
      <c r="R2451" s="21" t="n">
        <v>40250</v>
      </c>
      <c r="S2451" s="19" t="s">
        <v>1550</v>
      </c>
      <c r="T2451" s="19" t="s">
        <v>7477</v>
      </c>
      <c r="U2451" s="19" t="str">
        <f aca="false">HYPERLINK("https://macaulaylibrary.org/asset/299603","Open")</f>
        <v>Open</v>
      </c>
      <c r="V2451" s="19"/>
    </row>
    <row r="2452" customFormat="false" ht="15" hidden="false" customHeight="false" outlineLevel="0" collapsed="false">
      <c r="A2452" s="19" t="s">
        <v>7478</v>
      </c>
      <c r="B2452" s="19" t="s">
        <v>943</v>
      </c>
      <c r="C2452" s="19" t="s">
        <v>7202</v>
      </c>
      <c r="D2452" s="19" t="s">
        <v>148</v>
      </c>
      <c r="E2452" s="19" t="s">
        <v>147</v>
      </c>
      <c r="F2452" s="19" t="s">
        <v>307</v>
      </c>
      <c r="G2452" s="19" t="n">
        <v>54</v>
      </c>
      <c r="H2452" s="19" t="s">
        <v>308</v>
      </c>
      <c r="I2452" s="20" t="n">
        <v>5.146</v>
      </c>
      <c r="J2452" s="19" t="n">
        <f aca="false">IF(I2452="","",MIN(Overview!$B$8,MAX(1,CEILING(I2452/Overview!$B$7,1))))</f>
        <v>2</v>
      </c>
      <c r="K2452" s="19" t="n">
        <v>1</v>
      </c>
      <c r="L2452" s="19"/>
      <c r="M2452" s="20" t="n">
        <v>1</v>
      </c>
      <c r="N2452" s="19"/>
      <c r="O2452" s="19"/>
      <c r="P2452" s="19" t="s">
        <v>1140</v>
      </c>
      <c r="Q2452" s="19" t="s">
        <v>1030</v>
      </c>
      <c r="R2452" s="21" t="n">
        <v>40250</v>
      </c>
      <c r="S2452" s="19" t="s">
        <v>6479</v>
      </c>
      <c r="T2452" s="19" t="s">
        <v>7479</v>
      </c>
      <c r="U2452" s="19" t="str">
        <f aca="false">HYPERLINK("https://macaulaylibrary.org/asset/299605","Open")</f>
        <v>Open</v>
      </c>
      <c r="V2452" s="19"/>
    </row>
    <row r="2453" customFormat="false" ht="15" hidden="false" customHeight="false" outlineLevel="0" collapsed="false">
      <c r="A2453" s="19" t="s">
        <v>7480</v>
      </c>
      <c r="B2453" s="19" t="s">
        <v>943</v>
      </c>
      <c r="C2453" s="19" t="s">
        <v>7202</v>
      </c>
      <c r="D2453" s="19" t="s">
        <v>148</v>
      </c>
      <c r="E2453" s="19" t="s">
        <v>147</v>
      </c>
      <c r="F2453" s="19" t="s">
        <v>373</v>
      </c>
      <c r="G2453" s="19" t="n">
        <v>55</v>
      </c>
      <c r="H2453" s="19" t="s">
        <v>374</v>
      </c>
      <c r="I2453" s="20" t="n">
        <v>32.152</v>
      </c>
      <c r="J2453" s="19" t="n">
        <f aca="false">IF(I2453="","",MIN(Overview!$B$8,MAX(1,CEILING(I2453/Overview!$B$7,1))))</f>
        <v>7</v>
      </c>
      <c r="K2453" s="19" t="n">
        <v>1</v>
      </c>
      <c r="L2453" s="19"/>
      <c r="M2453" s="20" t="n">
        <v>1</v>
      </c>
      <c r="N2453" s="19"/>
      <c r="O2453" s="19" t="s">
        <v>607</v>
      </c>
      <c r="P2453" s="19" t="s">
        <v>1883</v>
      </c>
      <c r="Q2453" s="19" t="s">
        <v>1136</v>
      </c>
      <c r="R2453" s="21" t="n">
        <v>29734</v>
      </c>
      <c r="S2453" s="19" t="s">
        <v>7481</v>
      </c>
      <c r="T2453" s="19" t="s">
        <v>7482</v>
      </c>
      <c r="U2453" s="19" t="str">
        <f aca="false">HYPERLINK("https://macaulaylibrary.org/asset/28128","Open")</f>
        <v>Open</v>
      </c>
      <c r="V2453" s="19"/>
    </row>
    <row r="2454" customFormat="false" ht="15" hidden="false" customHeight="false" outlineLevel="0" collapsed="false">
      <c r="A2454" s="19" t="s">
        <v>7483</v>
      </c>
      <c r="B2454" s="19" t="s">
        <v>943</v>
      </c>
      <c r="C2454" s="19" t="s">
        <v>7202</v>
      </c>
      <c r="D2454" s="19" t="s">
        <v>148</v>
      </c>
      <c r="E2454" s="19" t="s">
        <v>147</v>
      </c>
      <c r="F2454" s="19" t="s">
        <v>373</v>
      </c>
      <c r="G2454" s="19" t="n">
        <v>55</v>
      </c>
      <c r="H2454" s="19" t="s">
        <v>374</v>
      </c>
      <c r="I2454" s="20" t="n">
        <v>39.386</v>
      </c>
      <c r="J2454" s="19" t="n">
        <f aca="false">IF(I2454="","",MIN(Overview!$B$8,MAX(1,CEILING(I2454/Overview!$B$7,1))))</f>
        <v>8</v>
      </c>
      <c r="K2454" s="19" t="n">
        <v>1</v>
      </c>
      <c r="L2454" s="19"/>
      <c r="M2454" s="20" t="n">
        <v>3</v>
      </c>
      <c r="N2454" s="19"/>
      <c r="O2454" s="19"/>
      <c r="P2454" s="19" t="s">
        <v>2743</v>
      </c>
      <c r="Q2454" s="19" t="s">
        <v>2744</v>
      </c>
      <c r="R2454" s="21" t="n">
        <v>44469</v>
      </c>
      <c r="S2454" s="19" t="s">
        <v>2745</v>
      </c>
      <c r="T2454" s="19" t="s">
        <v>7484</v>
      </c>
      <c r="U2454" s="19" t="str">
        <f aca="false">HYPERLINK("https://macaulaylibrary.org/asset/655713112","Open")</f>
        <v>Open</v>
      </c>
      <c r="V2454" s="19"/>
    </row>
    <row r="2455" customFormat="false" ht="15" hidden="false" customHeight="false" outlineLevel="0" collapsed="false">
      <c r="A2455" s="19" t="s">
        <v>7485</v>
      </c>
      <c r="B2455" s="19" t="s">
        <v>943</v>
      </c>
      <c r="C2455" s="19" t="s">
        <v>7202</v>
      </c>
      <c r="D2455" s="19" t="s">
        <v>400</v>
      </c>
      <c r="E2455" s="19" t="s">
        <v>147</v>
      </c>
      <c r="F2455" s="19" t="s">
        <v>523</v>
      </c>
      <c r="G2455" s="19" t="n">
        <v>56</v>
      </c>
      <c r="H2455" s="19" t="s">
        <v>524</v>
      </c>
      <c r="I2455" s="20" t="n">
        <v>394.989</v>
      </c>
      <c r="J2455" s="19" t="n">
        <f aca="false">IF(I2455="","",MIN(Overview!$B$8,MAX(1,CEILING(I2455/Overview!$B$7,1))))</f>
        <v>79</v>
      </c>
      <c r="K2455" s="19" t="n">
        <v>1</v>
      </c>
      <c r="L2455" s="19"/>
      <c r="M2455" s="20" t="n">
        <v>5</v>
      </c>
      <c r="N2455" s="19"/>
      <c r="O2455" s="19"/>
      <c r="P2455" s="19" t="s">
        <v>2538</v>
      </c>
      <c r="Q2455" s="19" t="s">
        <v>980</v>
      </c>
      <c r="R2455" s="21" t="n">
        <v>35207</v>
      </c>
      <c r="S2455" s="19" t="s">
        <v>6271</v>
      </c>
      <c r="T2455" s="19" t="s">
        <v>7486</v>
      </c>
      <c r="U2455" s="19" t="str">
        <f aca="false">HYPERLINK("https://macaulaylibrary.org/asset/184773","Open")</f>
        <v>Open</v>
      </c>
      <c r="V2455" s="19"/>
    </row>
    <row r="2456" customFormat="false" ht="15" hidden="false" customHeight="false" outlineLevel="0" collapsed="false">
      <c r="A2456" s="19" t="s">
        <v>7487</v>
      </c>
      <c r="B2456" s="19" t="s">
        <v>943</v>
      </c>
      <c r="C2456" s="19" t="s">
        <v>7202</v>
      </c>
      <c r="D2456" s="19" t="s">
        <v>148</v>
      </c>
      <c r="E2456" s="19" t="s">
        <v>147</v>
      </c>
      <c r="F2456" s="19" t="s">
        <v>326</v>
      </c>
      <c r="G2456" s="19" t="n">
        <v>57</v>
      </c>
      <c r="H2456" s="19" t="s">
        <v>327</v>
      </c>
      <c r="I2456" s="20" t="n">
        <v>47.851</v>
      </c>
      <c r="J2456" s="19" t="n">
        <f aca="false">IF(I2456="","",MIN(Overview!$B$8,MAX(1,CEILING(I2456/Overview!$B$7,1))))</f>
        <v>10</v>
      </c>
      <c r="K2456" s="19" t="n">
        <v>1</v>
      </c>
      <c r="L2456" s="19"/>
      <c r="M2456" s="20" t="n">
        <v>3</v>
      </c>
      <c r="N2456" s="19"/>
      <c r="O2456" s="19"/>
      <c r="P2456" s="19" t="s">
        <v>7488</v>
      </c>
      <c r="Q2456" s="19" t="s">
        <v>965</v>
      </c>
      <c r="R2456" s="21" t="n">
        <v>43448</v>
      </c>
      <c r="S2456" s="19" t="s">
        <v>7489</v>
      </c>
      <c r="T2456" s="19" t="s">
        <v>7490</v>
      </c>
      <c r="U2456" s="19" t="str">
        <f aca="false">HYPERLINK("https://macaulaylibrary.org/asset/128866311","Open")</f>
        <v>Open</v>
      </c>
      <c r="V2456" s="19"/>
    </row>
    <row r="2457" customFormat="false" ht="15" hidden="false" customHeight="false" outlineLevel="0" collapsed="false">
      <c r="A2457" s="19" t="s">
        <v>7491</v>
      </c>
      <c r="B2457" s="19" t="s">
        <v>943</v>
      </c>
      <c r="C2457" s="19" t="s">
        <v>7202</v>
      </c>
      <c r="D2457" s="19" t="s">
        <v>148</v>
      </c>
      <c r="E2457" s="19" t="s">
        <v>147</v>
      </c>
      <c r="F2457" s="19" t="s">
        <v>326</v>
      </c>
      <c r="G2457" s="19" t="n">
        <v>57</v>
      </c>
      <c r="H2457" s="19" t="s">
        <v>327</v>
      </c>
      <c r="I2457" s="20" t="n">
        <v>42.114</v>
      </c>
      <c r="J2457" s="19" t="n">
        <f aca="false">IF(I2457="","",MIN(Overview!$B$8,MAX(1,CEILING(I2457/Overview!$B$7,1))))</f>
        <v>9</v>
      </c>
      <c r="K2457" s="19" t="n">
        <v>1</v>
      </c>
      <c r="L2457" s="19"/>
      <c r="M2457" s="20"/>
      <c r="N2457" s="19"/>
      <c r="O2457" s="19"/>
      <c r="P2457" s="19" t="s">
        <v>1140</v>
      </c>
      <c r="Q2457" s="19" t="s">
        <v>1030</v>
      </c>
      <c r="R2457" s="21" t="n">
        <v>40250</v>
      </c>
      <c r="S2457" s="19" t="s">
        <v>1774</v>
      </c>
      <c r="T2457" s="19" t="s">
        <v>7492</v>
      </c>
      <c r="U2457" s="19" t="str">
        <f aca="false">HYPERLINK("https://macaulaylibrary.org/asset/299593","Open")</f>
        <v>Open</v>
      </c>
      <c r="V2457" s="19"/>
    </row>
    <row r="2458" customFormat="false" ht="15" hidden="false" customHeight="false" outlineLevel="0" collapsed="false">
      <c r="A2458" s="19" t="s">
        <v>7493</v>
      </c>
      <c r="B2458" s="19" t="s">
        <v>943</v>
      </c>
      <c r="C2458" s="19" t="s">
        <v>7202</v>
      </c>
      <c r="D2458" s="19" t="s">
        <v>148</v>
      </c>
      <c r="E2458" s="19" t="s">
        <v>147</v>
      </c>
      <c r="F2458" s="19" t="s">
        <v>159</v>
      </c>
      <c r="G2458" s="19" t="n">
        <v>58</v>
      </c>
      <c r="H2458" s="19" t="s">
        <v>160</v>
      </c>
      <c r="I2458" s="20" t="n">
        <v>247.563</v>
      </c>
      <c r="J2458" s="19" t="n">
        <f aca="false">IF(I2458="","",MIN(Overview!$B$8,MAX(1,CEILING(I2458/Overview!$B$7,1))))</f>
        <v>50</v>
      </c>
      <c r="K2458" s="19" t="n">
        <v>1</v>
      </c>
      <c r="L2458" s="19"/>
      <c r="M2458" s="20" t="n">
        <v>4</v>
      </c>
      <c r="N2458" s="19"/>
      <c r="O2458" s="19"/>
      <c r="P2458" s="19" t="s">
        <v>2271</v>
      </c>
      <c r="Q2458" s="19" t="s">
        <v>1021</v>
      </c>
      <c r="R2458" s="21" t="n">
        <v>35867</v>
      </c>
      <c r="S2458" s="19" t="s">
        <v>2272</v>
      </c>
      <c r="T2458" s="19" t="s">
        <v>7494</v>
      </c>
      <c r="U2458" s="19" t="str">
        <f aca="false">HYPERLINK("https://macaulaylibrary.org/asset/102869261","Open")</f>
        <v>Open</v>
      </c>
      <c r="V2458" s="19"/>
    </row>
    <row r="2459" customFormat="false" ht="15" hidden="false" customHeight="false" outlineLevel="0" collapsed="false">
      <c r="A2459" s="19" t="s">
        <v>7495</v>
      </c>
      <c r="B2459" s="19" t="s">
        <v>943</v>
      </c>
      <c r="C2459" s="19" t="s">
        <v>7202</v>
      </c>
      <c r="D2459" s="19" t="s">
        <v>148</v>
      </c>
      <c r="E2459" s="19" t="s">
        <v>147</v>
      </c>
      <c r="F2459" s="19" t="s">
        <v>159</v>
      </c>
      <c r="G2459" s="19" t="n">
        <v>58</v>
      </c>
      <c r="H2459" s="19" t="s">
        <v>160</v>
      </c>
      <c r="I2459" s="20" t="n">
        <v>91.429</v>
      </c>
      <c r="J2459" s="19" t="n">
        <f aca="false">IF(I2459="","",MIN(Overview!$B$8,MAX(1,CEILING(I2459/Overview!$B$7,1))))</f>
        <v>19</v>
      </c>
      <c r="K2459" s="19" t="n">
        <v>1</v>
      </c>
      <c r="L2459" s="19"/>
      <c r="M2459" s="20" t="n">
        <v>4</v>
      </c>
      <c r="N2459" s="19"/>
      <c r="O2459" s="19"/>
      <c r="P2459" s="19" t="s">
        <v>1356</v>
      </c>
      <c r="Q2459" s="19" t="s">
        <v>1021</v>
      </c>
      <c r="R2459" s="21" t="n">
        <v>36603</v>
      </c>
      <c r="S2459" s="19" t="s">
        <v>1357</v>
      </c>
      <c r="T2459" s="19" t="s">
        <v>7496</v>
      </c>
      <c r="U2459" s="19" t="str">
        <f aca="false">HYPERLINK("https://macaulaylibrary.org/asset/156782341","Open")</f>
        <v>Open</v>
      </c>
      <c r="V2459" s="19"/>
    </row>
    <row r="2460" customFormat="false" ht="15" hidden="false" customHeight="false" outlineLevel="0" collapsed="false">
      <c r="A2460" s="19" t="s">
        <v>7497</v>
      </c>
      <c r="B2460" s="19" t="s">
        <v>943</v>
      </c>
      <c r="C2460" s="19" t="s">
        <v>7202</v>
      </c>
      <c r="D2460" s="19" t="s">
        <v>148</v>
      </c>
      <c r="E2460" s="19" t="s">
        <v>147</v>
      </c>
      <c r="F2460" s="19" t="s">
        <v>159</v>
      </c>
      <c r="G2460" s="19" t="n">
        <v>58</v>
      </c>
      <c r="H2460" s="19" t="s">
        <v>160</v>
      </c>
      <c r="I2460" s="20" t="n">
        <v>16.279</v>
      </c>
      <c r="J2460" s="19" t="n">
        <f aca="false">IF(I2460="","",MIN(Overview!$B$8,MAX(1,CEILING(I2460/Overview!$B$7,1))))</f>
        <v>4</v>
      </c>
      <c r="K2460" s="19" t="n">
        <v>1</v>
      </c>
      <c r="L2460" s="19"/>
      <c r="M2460" s="20" t="n">
        <v>3</v>
      </c>
      <c r="N2460" s="19"/>
      <c r="O2460" s="19"/>
      <c r="P2460" s="19" t="s">
        <v>7498</v>
      </c>
      <c r="Q2460" s="19" t="s">
        <v>7499</v>
      </c>
      <c r="R2460" s="21" t="n">
        <v>43906</v>
      </c>
      <c r="S2460" s="19" t="s">
        <v>3247</v>
      </c>
      <c r="T2460" s="19" t="s">
        <v>7500</v>
      </c>
      <c r="U2460" s="19" t="str">
        <f aca="false">HYPERLINK("https://macaulaylibrary.org/asset/218338871","Open")</f>
        <v>Open</v>
      </c>
      <c r="V2460" s="19"/>
    </row>
    <row r="2461" customFormat="false" ht="15" hidden="false" customHeight="false" outlineLevel="0" collapsed="false">
      <c r="A2461" s="19" t="s">
        <v>7501</v>
      </c>
      <c r="B2461" s="19" t="s">
        <v>943</v>
      </c>
      <c r="C2461" s="19" t="s">
        <v>7202</v>
      </c>
      <c r="D2461" s="19" t="s">
        <v>148</v>
      </c>
      <c r="E2461" s="19" t="s">
        <v>147</v>
      </c>
      <c r="F2461" s="19" t="s">
        <v>159</v>
      </c>
      <c r="G2461" s="19" t="n">
        <v>58</v>
      </c>
      <c r="H2461" s="19" t="s">
        <v>160</v>
      </c>
      <c r="I2461" s="20" t="n">
        <v>156.868</v>
      </c>
      <c r="J2461" s="19" t="n">
        <f aca="false">IF(I2461="","",MIN(Overview!$B$8,MAX(1,CEILING(I2461/Overview!$B$7,1))))</f>
        <v>32</v>
      </c>
      <c r="K2461" s="19" t="n">
        <v>1</v>
      </c>
      <c r="L2461" s="19"/>
      <c r="M2461" s="20" t="n">
        <v>2</v>
      </c>
      <c r="N2461" s="19"/>
      <c r="O2461" s="19"/>
      <c r="P2461" s="19" t="s">
        <v>3803</v>
      </c>
      <c r="Q2461" s="19" t="s">
        <v>2343</v>
      </c>
      <c r="R2461" s="21" t="n">
        <v>32222</v>
      </c>
      <c r="S2461" s="19" t="s">
        <v>1737</v>
      </c>
      <c r="T2461" s="19" t="s">
        <v>7502</v>
      </c>
      <c r="U2461" s="19" t="str">
        <f aca="false">HYPERLINK("https://macaulaylibrary.org/asset/272474","Open")</f>
        <v>Open</v>
      </c>
      <c r="V2461" s="19" t="s">
        <v>2639</v>
      </c>
    </row>
    <row r="2462" customFormat="false" ht="15" hidden="false" customHeight="false" outlineLevel="0" collapsed="false">
      <c r="A2462" s="19" t="s">
        <v>7503</v>
      </c>
      <c r="B2462" s="19" t="s">
        <v>943</v>
      </c>
      <c r="C2462" s="19" t="s">
        <v>7202</v>
      </c>
      <c r="D2462" s="19" t="s">
        <v>148</v>
      </c>
      <c r="E2462" s="19" t="s">
        <v>147</v>
      </c>
      <c r="F2462" s="19" t="s">
        <v>159</v>
      </c>
      <c r="G2462" s="19" t="n">
        <v>58</v>
      </c>
      <c r="H2462" s="19" t="s">
        <v>160</v>
      </c>
      <c r="I2462" s="20" t="n">
        <v>38.922</v>
      </c>
      <c r="J2462" s="19" t="n">
        <f aca="false">IF(I2462="","",MIN(Overview!$B$8,MAX(1,CEILING(I2462/Overview!$B$7,1))))</f>
        <v>8</v>
      </c>
      <c r="K2462" s="19" t="n">
        <v>1</v>
      </c>
      <c r="L2462" s="19"/>
      <c r="M2462" s="20"/>
      <c r="N2462" s="19"/>
      <c r="O2462" s="19"/>
      <c r="P2462" s="19" t="s">
        <v>1140</v>
      </c>
      <c r="Q2462" s="19" t="s">
        <v>1030</v>
      </c>
      <c r="R2462" s="21" t="n">
        <v>40250</v>
      </c>
      <c r="S2462" s="19" t="s">
        <v>1464</v>
      </c>
      <c r="T2462" s="19" t="s">
        <v>7504</v>
      </c>
      <c r="U2462" s="19" t="str">
        <f aca="false">HYPERLINK("https://macaulaylibrary.org/asset/299545","Open")</f>
        <v>Open</v>
      </c>
      <c r="V2462" s="19"/>
    </row>
    <row r="2463" customFormat="false" ht="15" hidden="false" customHeight="false" outlineLevel="0" collapsed="false">
      <c r="A2463" s="19" t="s">
        <v>7505</v>
      </c>
      <c r="B2463" s="19" t="s">
        <v>943</v>
      </c>
      <c r="C2463" s="19" t="s">
        <v>7202</v>
      </c>
      <c r="D2463" s="19" t="s">
        <v>148</v>
      </c>
      <c r="E2463" s="19" t="s">
        <v>147</v>
      </c>
      <c r="F2463" s="19" t="s">
        <v>159</v>
      </c>
      <c r="G2463" s="19" t="n">
        <v>58</v>
      </c>
      <c r="H2463" s="19" t="s">
        <v>160</v>
      </c>
      <c r="I2463" s="20" t="n">
        <v>34.266</v>
      </c>
      <c r="J2463" s="19" t="n">
        <f aca="false">IF(I2463="","",MIN(Overview!$B$8,MAX(1,CEILING(I2463/Overview!$B$7,1))))</f>
        <v>7</v>
      </c>
      <c r="K2463" s="19" t="n">
        <v>1</v>
      </c>
      <c r="L2463" s="19"/>
      <c r="M2463" s="20"/>
      <c r="N2463" s="19"/>
      <c r="O2463" s="19"/>
      <c r="P2463" s="19" t="s">
        <v>1140</v>
      </c>
      <c r="Q2463" s="19" t="s">
        <v>1030</v>
      </c>
      <c r="R2463" s="21" t="n">
        <v>40250</v>
      </c>
      <c r="S2463" s="19" t="s">
        <v>1774</v>
      </c>
      <c r="T2463" s="19" t="s">
        <v>7506</v>
      </c>
      <c r="U2463" s="19" t="str">
        <f aca="false">HYPERLINK("https://macaulaylibrary.org/asset/299588","Open")</f>
        <v>Open</v>
      </c>
      <c r="V2463" s="19"/>
    </row>
    <row r="2464" customFormat="false" ht="15" hidden="false" customHeight="false" outlineLevel="0" collapsed="false">
      <c r="A2464" s="19" t="s">
        <v>7507</v>
      </c>
      <c r="B2464" s="19" t="s">
        <v>943</v>
      </c>
      <c r="C2464" s="19" t="s">
        <v>7202</v>
      </c>
      <c r="D2464" s="19" t="s">
        <v>148</v>
      </c>
      <c r="E2464" s="19" t="s">
        <v>147</v>
      </c>
      <c r="F2464" s="19" t="s">
        <v>159</v>
      </c>
      <c r="G2464" s="19" t="n">
        <v>58</v>
      </c>
      <c r="H2464" s="19" t="s">
        <v>160</v>
      </c>
      <c r="I2464" s="20" t="n">
        <v>47.118</v>
      </c>
      <c r="J2464" s="19" t="n">
        <f aca="false">IF(I2464="","",MIN(Overview!$B$8,MAX(1,CEILING(I2464/Overview!$B$7,1))))</f>
        <v>10</v>
      </c>
      <c r="K2464" s="19" t="n">
        <v>1</v>
      </c>
      <c r="L2464" s="19"/>
      <c r="M2464" s="20"/>
      <c r="N2464" s="19"/>
      <c r="O2464" s="19"/>
      <c r="P2464" s="19" t="s">
        <v>1140</v>
      </c>
      <c r="Q2464" s="19" t="s">
        <v>1030</v>
      </c>
      <c r="R2464" s="21" t="n">
        <v>40250</v>
      </c>
      <c r="S2464" s="19" t="s">
        <v>1774</v>
      </c>
      <c r="T2464" s="19" t="s">
        <v>7508</v>
      </c>
      <c r="U2464" s="19" t="str">
        <f aca="false">HYPERLINK("https://macaulaylibrary.org/asset/299589","Open")</f>
        <v>Open</v>
      </c>
      <c r="V2464" s="19"/>
    </row>
    <row r="2465" customFormat="false" ht="15" hidden="false" customHeight="false" outlineLevel="0" collapsed="false">
      <c r="A2465" s="19" t="s">
        <v>7509</v>
      </c>
      <c r="B2465" s="19" t="s">
        <v>943</v>
      </c>
      <c r="C2465" s="19" t="s">
        <v>7202</v>
      </c>
      <c r="D2465" s="19" t="s">
        <v>148</v>
      </c>
      <c r="E2465" s="19" t="s">
        <v>147</v>
      </c>
      <c r="F2465" s="19" t="s">
        <v>159</v>
      </c>
      <c r="G2465" s="19" t="n">
        <v>58</v>
      </c>
      <c r="H2465" s="19" t="s">
        <v>160</v>
      </c>
      <c r="I2465" s="20" t="n">
        <v>8.14</v>
      </c>
      <c r="J2465" s="19" t="n">
        <f aca="false">IF(I2465="","",MIN(Overview!$B$8,MAX(1,CEILING(I2465/Overview!$B$7,1))))</f>
        <v>2</v>
      </c>
      <c r="K2465" s="19" t="n">
        <v>1</v>
      </c>
      <c r="L2465" s="19"/>
      <c r="M2465" s="20" t="n">
        <v>3.5</v>
      </c>
      <c r="N2465" s="19"/>
      <c r="O2465" s="19"/>
      <c r="P2465" s="19" t="s">
        <v>1542</v>
      </c>
      <c r="Q2465" s="19" t="s">
        <v>1408</v>
      </c>
      <c r="R2465" s="21" t="n">
        <v>31806</v>
      </c>
      <c r="S2465" s="19" t="s">
        <v>1009</v>
      </c>
      <c r="T2465" s="19" t="s">
        <v>7510</v>
      </c>
      <c r="U2465" s="19" t="str">
        <f aca="false">HYPERLINK("https://macaulaylibrary.org/asset/336558321","Open")</f>
        <v>Open</v>
      </c>
      <c r="V2465" s="19"/>
    </row>
    <row r="2466" customFormat="false" ht="15" hidden="false" customHeight="false" outlineLevel="0" collapsed="false">
      <c r="A2466" s="19" t="s">
        <v>7511</v>
      </c>
      <c r="B2466" s="19" t="s">
        <v>943</v>
      </c>
      <c r="C2466" s="19" t="s">
        <v>7202</v>
      </c>
      <c r="D2466" s="19" t="s">
        <v>148</v>
      </c>
      <c r="E2466" s="19" t="s">
        <v>147</v>
      </c>
      <c r="F2466" s="19" t="s">
        <v>159</v>
      </c>
      <c r="G2466" s="19" t="n">
        <v>58</v>
      </c>
      <c r="H2466" s="19" t="s">
        <v>160</v>
      </c>
      <c r="I2466" s="20" t="n">
        <v>18.07</v>
      </c>
      <c r="J2466" s="19" t="n">
        <f aca="false">IF(I2466="","",MIN(Overview!$B$8,MAX(1,CEILING(I2466/Overview!$B$7,1))))</f>
        <v>4</v>
      </c>
      <c r="K2466" s="19" t="n">
        <v>1</v>
      </c>
      <c r="L2466" s="19"/>
      <c r="M2466" s="20"/>
      <c r="N2466" s="19"/>
      <c r="O2466" s="19"/>
      <c r="P2466" s="19" t="s">
        <v>2045</v>
      </c>
      <c r="Q2466" s="19" t="s">
        <v>2046</v>
      </c>
      <c r="R2466" s="21" t="n">
        <v>46104</v>
      </c>
      <c r="S2466" s="19" t="s">
        <v>2047</v>
      </c>
      <c r="T2466" s="19" t="s">
        <v>7512</v>
      </c>
      <c r="U2466" s="19" t="str">
        <f aca="false">HYPERLINK("https://macaulaylibrary.org/asset/654441421","Open")</f>
        <v>Open</v>
      </c>
      <c r="V2466" s="19"/>
    </row>
    <row r="2467" customFormat="false" ht="15" hidden="false" customHeight="false" outlineLevel="0" collapsed="false">
      <c r="A2467" s="19" t="s">
        <v>7513</v>
      </c>
      <c r="B2467" s="19" t="s">
        <v>943</v>
      </c>
      <c r="C2467" s="19" t="s">
        <v>7202</v>
      </c>
      <c r="D2467" s="19" t="s">
        <v>400</v>
      </c>
      <c r="E2467" s="19" t="s">
        <v>147</v>
      </c>
      <c r="F2467" s="19" t="s">
        <v>526</v>
      </c>
      <c r="G2467" s="19" t="n">
        <v>59</v>
      </c>
      <c r="H2467" s="19" t="s">
        <v>527</v>
      </c>
      <c r="I2467" s="20" t="n">
        <v>133.234</v>
      </c>
      <c r="J2467" s="19" t="n">
        <f aca="false">IF(I2467="","",MIN(Overview!$B$8,MAX(1,CEILING(I2467/Overview!$B$7,1))))</f>
        <v>27</v>
      </c>
      <c r="K2467" s="19" t="n">
        <v>1</v>
      </c>
      <c r="L2467" s="19"/>
      <c r="M2467" s="20" t="n">
        <v>2</v>
      </c>
      <c r="N2467" s="19"/>
      <c r="O2467" s="19"/>
      <c r="P2467" s="19" t="s">
        <v>1125</v>
      </c>
      <c r="Q2467" s="19" t="s">
        <v>980</v>
      </c>
      <c r="R2467" s="21" t="n">
        <v>32557</v>
      </c>
      <c r="S2467" s="19" t="s">
        <v>3577</v>
      </c>
      <c r="T2467" s="19" t="s">
        <v>7514</v>
      </c>
      <c r="U2467" s="19" t="str">
        <f aca="false">HYPERLINK("https://macaulaylibrary.org/asset/215403","Open")</f>
        <v>Open</v>
      </c>
      <c r="V2467" s="19" t="s">
        <v>2756</v>
      </c>
    </row>
    <row r="2468" customFormat="false" ht="15" hidden="false" customHeight="false" outlineLevel="0" collapsed="false">
      <c r="A2468" s="19" t="s">
        <v>7515</v>
      </c>
      <c r="B2468" s="19" t="s">
        <v>943</v>
      </c>
      <c r="C2468" s="19" t="s">
        <v>7202</v>
      </c>
      <c r="D2468" s="19" t="s">
        <v>148</v>
      </c>
      <c r="E2468" s="19" t="s">
        <v>147</v>
      </c>
      <c r="F2468" s="19" t="s">
        <v>404</v>
      </c>
      <c r="G2468" s="19" t="n">
        <v>60</v>
      </c>
      <c r="H2468" s="19" t="s">
        <v>405</v>
      </c>
      <c r="I2468" s="20" t="n">
        <v>40.769</v>
      </c>
      <c r="J2468" s="19" t="n">
        <f aca="false">IF(I2468="","",MIN(Overview!$B$8,MAX(1,CEILING(I2468/Overview!$B$7,1))))</f>
        <v>9</v>
      </c>
      <c r="K2468" s="19" t="n">
        <v>1</v>
      </c>
      <c r="L2468" s="19"/>
      <c r="M2468" s="20" t="n">
        <v>4</v>
      </c>
      <c r="N2468" s="19"/>
      <c r="O2468" s="19"/>
      <c r="P2468" s="19" t="s">
        <v>7516</v>
      </c>
      <c r="Q2468" s="19" t="s">
        <v>2085</v>
      </c>
      <c r="R2468" s="21" t="n">
        <v>44185</v>
      </c>
      <c r="S2468" s="19" t="s">
        <v>1106</v>
      </c>
      <c r="T2468" s="19" t="s">
        <v>7517</v>
      </c>
      <c r="U2468" s="19" t="str">
        <f aca="false">HYPERLINK("https://macaulaylibrary.org/asset/297142431","Open")</f>
        <v>Open</v>
      </c>
      <c r="V2468" s="19"/>
    </row>
    <row r="2469" customFormat="false" ht="15" hidden="false" customHeight="false" outlineLevel="0" collapsed="false">
      <c r="A2469" s="19" t="s">
        <v>7518</v>
      </c>
      <c r="B2469" s="19" t="s">
        <v>943</v>
      </c>
      <c r="C2469" s="19" t="s">
        <v>7202</v>
      </c>
      <c r="D2469" s="19" t="s">
        <v>148</v>
      </c>
      <c r="E2469" s="19" t="s">
        <v>147</v>
      </c>
      <c r="F2469" s="19" t="s">
        <v>404</v>
      </c>
      <c r="G2469" s="19" t="n">
        <v>60</v>
      </c>
      <c r="H2469" s="19" t="s">
        <v>405</v>
      </c>
      <c r="I2469" s="20" t="n">
        <v>118.095</v>
      </c>
      <c r="J2469" s="19" t="n">
        <f aca="false">IF(I2469="","",MIN(Overview!$B$8,MAX(1,CEILING(I2469/Overview!$B$7,1))))</f>
        <v>24</v>
      </c>
      <c r="K2469" s="19" t="n">
        <v>1</v>
      </c>
      <c r="L2469" s="19"/>
      <c r="M2469" s="20" t="n">
        <v>4</v>
      </c>
      <c r="N2469" s="19"/>
      <c r="O2469" s="19" t="s">
        <v>7519</v>
      </c>
      <c r="P2469" s="19" t="s">
        <v>1674</v>
      </c>
      <c r="Q2469" s="19" t="s">
        <v>1091</v>
      </c>
      <c r="R2469" s="21" t="n">
        <v>45843</v>
      </c>
      <c r="S2469" s="19" t="s">
        <v>1009</v>
      </c>
      <c r="T2469" s="19" t="s">
        <v>7520</v>
      </c>
      <c r="U2469" s="19" t="str">
        <f aca="false">HYPERLINK("https://macaulaylibrary.org/asset/639162411","Open")</f>
        <v>Open</v>
      </c>
      <c r="V2469" s="19"/>
    </row>
    <row r="2470" customFormat="false" ht="15" hidden="false" customHeight="false" outlineLevel="0" collapsed="false">
      <c r="A2470" s="19" t="s">
        <v>7521</v>
      </c>
      <c r="B2470" s="19" t="s">
        <v>943</v>
      </c>
      <c r="C2470" s="19" t="s">
        <v>7202</v>
      </c>
      <c r="D2470" s="19" t="s">
        <v>613</v>
      </c>
      <c r="E2470" s="19" t="s">
        <v>147</v>
      </c>
      <c r="F2470" s="19" t="s">
        <v>789</v>
      </c>
      <c r="G2470" s="19" t="n">
        <v>62</v>
      </c>
      <c r="H2470" s="19" t="s">
        <v>790</v>
      </c>
      <c r="I2470" s="20" t="n">
        <v>36.547</v>
      </c>
      <c r="J2470" s="19" t="n">
        <f aca="false">IF(I2470="","",MIN(Overview!$B$8,MAX(1,CEILING(I2470/Overview!$B$7,1))))</f>
        <v>8</v>
      </c>
      <c r="K2470" s="19" t="n">
        <v>1</v>
      </c>
      <c r="L2470" s="19"/>
      <c r="M2470" s="20" t="n">
        <v>1</v>
      </c>
      <c r="N2470" s="19"/>
      <c r="O2470" s="19"/>
      <c r="P2470" s="19" t="s">
        <v>1570</v>
      </c>
      <c r="Q2470" s="19" t="s">
        <v>980</v>
      </c>
      <c r="R2470" s="21" t="n">
        <v>33295</v>
      </c>
      <c r="S2470" s="19" t="s">
        <v>1002</v>
      </c>
      <c r="T2470" s="19" t="s">
        <v>7522</v>
      </c>
      <c r="U2470" s="19" t="str">
        <f aca="false">HYPERLINK("https://macaulaylibrary.org/asset/72609","Open")</f>
        <v>Open</v>
      </c>
      <c r="V2470" s="19"/>
    </row>
    <row r="2471" customFormat="false" ht="15" hidden="false" customHeight="false" outlineLevel="0" collapsed="false">
      <c r="A2471" s="19" t="s">
        <v>7523</v>
      </c>
      <c r="B2471" s="19" t="s">
        <v>943</v>
      </c>
      <c r="C2471" s="19" t="s">
        <v>7202</v>
      </c>
      <c r="D2471" s="19" t="s">
        <v>148</v>
      </c>
      <c r="E2471" s="19" t="s">
        <v>147</v>
      </c>
      <c r="F2471" s="19" t="s">
        <v>234</v>
      </c>
      <c r="G2471" s="19" t="n">
        <v>63</v>
      </c>
      <c r="H2471" s="19" t="s">
        <v>235</v>
      </c>
      <c r="I2471" s="20" t="n">
        <v>30.165</v>
      </c>
      <c r="J2471" s="19" t="n">
        <f aca="false">IF(I2471="","",MIN(Overview!$B$8,MAX(1,CEILING(I2471/Overview!$B$7,1))))</f>
        <v>7</v>
      </c>
      <c r="K2471" s="19" t="n">
        <v>1</v>
      </c>
      <c r="L2471" s="19"/>
      <c r="M2471" s="20" t="n">
        <v>4.5</v>
      </c>
      <c r="N2471" s="19"/>
      <c r="O2471" s="19"/>
      <c r="P2471" s="19" t="s">
        <v>7488</v>
      </c>
      <c r="Q2471" s="19" t="s">
        <v>965</v>
      </c>
      <c r="R2471" s="21" t="n">
        <v>43448</v>
      </c>
      <c r="S2471" s="19" t="s">
        <v>7489</v>
      </c>
      <c r="T2471" s="19" t="s">
        <v>7524</v>
      </c>
      <c r="U2471" s="19" t="str">
        <f aca="false">HYPERLINK("https://macaulaylibrary.org/asset/128865661","Open")</f>
        <v>Open</v>
      </c>
      <c r="V2471" s="19"/>
    </row>
    <row r="2472" customFormat="false" ht="15" hidden="false" customHeight="false" outlineLevel="0" collapsed="false">
      <c r="A2472" s="19" t="s">
        <v>7525</v>
      </c>
      <c r="B2472" s="19" t="s">
        <v>943</v>
      </c>
      <c r="C2472" s="19" t="s">
        <v>7202</v>
      </c>
      <c r="D2472" s="19" t="s">
        <v>148</v>
      </c>
      <c r="E2472" s="19" t="s">
        <v>147</v>
      </c>
      <c r="F2472" s="19" t="s">
        <v>234</v>
      </c>
      <c r="G2472" s="19" t="n">
        <v>63</v>
      </c>
      <c r="H2472" s="19" t="s">
        <v>235</v>
      </c>
      <c r="I2472" s="20" t="n">
        <v>34.005</v>
      </c>
      <c r="J2472" s="19" t="n">
        <f aca="false">IF(I2472="","",MIN(Overview!$B$8,MAX(1,CEILING(I2472/Overview!$B$7,1))))</f>
        <v>7</v>
      </c>
      <c r="K2472" s="19" t="n">
        <v>1</v>
      </c>
      <c r="L2472" s="19"/>
      <c r="M2472" s="20" t="n">
        <v>4</v>
      </c>
      <c r="N2472" s="19"/>
      <c r="O2472" s="19"/>
      <c r="P2472" s="19" t="s">
        <v>7526</v>
      </c>
      <c r="Q2472" s="19" t="s">
        <v>965</v>
      </c>
      <c r="R2472" s="21" t="n">
        <v>44182</v>
      </c>
      <c r="S2472" s="19" t="s">
        <v>7527</v>
      </c>
      <c r="T2472" s="19" t="s">
        <v>7528</v>
      </c>
      <c r="U2472" s="19" t="str">
        <f aca="false">HYPERLINK("https://macaulaylibrary.org/asset/289812861","Open")</f>
        <v>Open</v>
      </c>
      <c r="V2472" s="19"/>
    </row>
    <row r="2473" customFormat="false" ht="15" hidden="false" customHeight="false" outlineLevel="0" collapsed="false">
      <c r="A2473" s="19" t="s">
        <v>7529</v>
      </c>
      <c r="B2473" s="19" t="s">
        <v>943</v>
      </c>
      <c r="C2473" s="19" t="s">
        <v>7202</v>
      </c>
      <c r="D2473" s="19" t="s">
        <v>148</v>
      </c>
      <c r="E2473" s="19" t="s">
        <v>147</v>
      </c>
      <c r="F2473" s="19" t="s">
        <v>234</v>
      </c>
      <c r="G2473" s="19" t="n">
        <v>63</v>
      </c>
      <c r="H2473" s="19" t="s">
        <v>235</v>
      </c>
      <c r="I2473" s="20" t="n">
        <v>46.15</v>
      </c>
      <c r="J2473" s="19" t="n">
        <f aca="false">IF(I2473="","",MIN(Overview!$B$8,MAX(1,CEILING(I2473/Overview!$B$7,1))))</f>
        <v>10</v>
      </c>
      <c r="K2473" s="19" t="n">
        <v>1</v>
      </c>
      <c r="L2473" s="19"/>
      <c r="M2473" s="20" t="n">
        <v>4</v>
      </c>
      <c r="N2473" s="19"/>
      <c r="O2473" s="19"/>
      <c r="P2473" s="19" t="s">
        <v>1225</v>
      </c>
      <c r="Q2473" s="19" t="s">
        <v>1226</v>
      </c>
      <c r="R2473" s="21" t="n">
        <v>21274</v>
      </c>
      <c r="S2473" s="19" t="s">
        <v>4014</v>
      </c>
      <c r="T2473" s="19" t="s">
        <v>7530</v>
      </c>
      <c r="U2473" s="19" t="str">
        <f aca="false">HYPERLINK("https://macaulaylibrary.org/asset/5929","Open")</f>
        <v>Open</v>
      </c>
      <c r="V2473" s="19"/>
    </row>
    <row r="2474" customFormat="false" ht="15" hidden="false" customHeight="false" outlineLevel="0" collapsed="false">
      <c r="A2474" s="19" t="s">
        <v>7531</v>
      </c>
      <c r="B2474" s="19" t="s">
        <v>943</v>
      </c>
      <c r="C2474" s="19" t="s">
        <v>7202</v>
      </c>
      <c r="D2474" s="19" t="s">
        <v>148</v>
      </c>
      <c r="E2474" s="19" t="s">
        <v>147</v>
      </c>
      <c r="F2474" s="19" t="s">
        <v>234</v>
      </c>
      <c r="G2474" s="19" t="n">
        <v>63</v>
      </c>
      <c r="H2474" s="19" t="s">
        <v>235</v>
      </c>
      <c r="I2474" s="20" t="n">
        <v>9.407</v>
      </c>
      <c r="J2474" s="19" t="n">
        <f aca="false">IF(I2474="","",MIN(Overview!$B$8,MAX(1,CEILING(I2474/Overview!$B$7,1))))</f>
        <v>2</v>
      </c>
      <c r="K2474" s="19" t="n">
        <v>1</v>
      </c>
      <c r="L2474" s="19"/>
      <c r="M2474" s="20"/>
      <c r="N2474" s="19"/>
      <c r="O2474" s="19"/>
      <c r="P2474" s="19" t="s">
        <v>2142</v>
      </c>
      <c r="Q2474" s="19" t="s">
        <v>1204</v>
      </c>
      <c r="R2474" s="21" t="n">
        <v>46047</v>
      </c>
      <c r="S2474" s="19" t="s">
        <v>2143</v>
      </c>
      <c r="T2474" s="19" t="s">
        <v>7532</v>
      </c>
      <c r="U2474" s="19" t="str">
        <f aca="false">HYPERLINK("https://macaulaylibrary.org/asset/653762092","Open")</f>
        <v>Open</v>
      </c>
      <c r="V2474" s="19"/>
    </row>
    <row r="2475" customFormat="false" ht="15" hidden="false" customHeight="false" outlineLevel="0" collapsed="false">
      <c r="A2475" s="19" t="s">
        <v>7533</v>
      </c>
      <c r="B2475" s="19" t="s">
        <v>943</v>
      </c>
      <c r="C2475" s="19" t="s">
        <v>7202</v>
      </c>
      <c r="D2475" s="19" t="s">
        <v>148</v>
      </c>
      <c r="E2475" s="19" t="s">
        <v>147</v>
      </c>
      <c r="F2475" s="19" t="s">
        <v>234</v>
      </c>
      <c r="G2475" s="19" t="n">
        <v>63</v>
      </c>
      <c r="H2475" s="19" t="s">
        <v>235</v>
      </c>
      <c r="I2475" s="20" t="n">
        <v>17.181</v>
      </c>
      <c r="J2475" s="19" t="n">
        <f aca="false">IF(I2475="","",MIN(Overview!$B$8,MAX(1,CEILING(I2475/Overview!$B$7,1))))</f>
        <v>4</v>
      </c>
      <c r="K2475" s="19" t="n">
        <v>1</v>
      </c>
      <c r="L2475" s="19"/>
      <c r="M2475" s="20"/>
      <c r="N2475" s="19"/>
      <c r="O2475" s="19"/>
      <c r="P2475" s="19" t="s">
        <v>7534</v>
      </c>
      <c r="Q2475" s="19" t="s">
        <v>1382</v>
      </c>
      <c r="R2475" s="21" t="n">
        <v>46103</v>
      </c>
      <c r="S2475" s="19" t="s">
        <v>7535</v>
      </c>
      <c r="T2475" s="19" t="s">
        <v>7536</v>
      </c>
      <c r="U2475" s="19" t="str">
        <f aca="false">HYPERLINK("https://macaulaylibrary.org/asset/654321630","Open")</f>
        <v>Open</v>
      </c>
      <c r="V2475" s="19"/>
    </row>
    <row r="2476" customFormat="false" ht="15" hidden="false" customHeight="false" outlineLevel="0" collapsed="false">
      <c r="A2476" s="19" t="s">
        <v>7537</v>
      </c>
      <c r="B2476" s="19" t="s">
        <v>943</v>
      </c>
      <c r="C2476" s="19" t="s">
        <v>7202</v>
      </c>
      <c r="D2476" s="19" t="s">
        <v>400</v>
      </c>
      <c r="E2476" s="19" t="s">
        <v>147</v>
      </c>
      <c r="F2476" s="19" t="s">
        <v>601</v>
      </c>
      <c r="G2476" s="19" t="n">
        <v>64</v>
      </c>
      <c r="H2476" s="19" t="s">
        <v>602</v>
      </c>
      <c r="I2476" s="20" t="n">
        <v>124.241</v>
      </c>
      <c r="J2476" s="19" t="n">
        <f aca="false">IF(I2476="","",MIN(Overview!$B$8,MAX(1,CEILING(I2476/Overview!$B$7,1))))</f>
        <v>25</v>
      </c>
      <c r="K2476" s="19" t="n">
        <v>1</v>
      </c>
      <c r="L2476" s="19"/>
      <c r="M2476" s="20" t="n">
        <v>2</v>
      </c>
      <c r="N2476" s="19"/>
      <c r="O2476" s="19"/>
      <c r="P2476" s="19" t="s">
        <v>1125</v>
      </c>
      <c r="Q2476" s="19" t="s">
        <v>980</v>
      </c>
      <c r="R2476" s="21" t="n">
        <v>32557</v>
      </c>
      <c r="S2476" s="19" t="s">
        <v>2859</v>
      </c>
      <c r="T2476" s="19" t="s">
        <v>7538</v>
      </c>
      <c r="U2476" s="19" t="str">
        <f aca="false">HYPERLINK("https://macaulaylibrary.org/asset/215404","Open")</f>
        <v>Open</v>
      </c>
      <c r="V2476" s="19"/>
    </row>
    <row r="2477" customFormat="false" ht="15" hidden="false" customHeight="false" outlineLevel="0" collapsed="false">
      <c r="A2477" s="19" t="s">
        <v>7539</v>
      </c>
      <c r="B2477" s="19" t="s">
        <v>943</v>
      </c>
      <c r="C2477" s="19" t="s">
        <v>7202</v>
      </c>
      <c r="D2477" s="19" t="s">
        <v>400</v>
      </c>
      <c r="E2477" s="19" t="s">
        <v>147</v>
      </c>
      <c r="F2477" s="19" t="s">
        <v>556</v>
      </c>
      <c r="G2477" s="19" t="n">
        <v>65</v>
      </c>
      <c r="H2477" s="19" t="s">
        <v>557</v>
      </c>
      <c r="I2477" s="20" t="n">
        <v>4.676</v>
      </c>
      <c r="J2477" s="19" t="n">
        <f aca="false">IF(I2477="","",MIN(Overview!$B$8,MAX(1,CEILING(I2477/Overview!$B$7,1))))</f>
        <v>1</v>
      </c>
      <c r="K2477" s="19" t="n">
        <v>1</v>
      </c>
      <c r="L2477" s="19" t="s">
        <v>1048</v>
      </c>
      <c r="M2477" s="20" t="n">
        <v>3.5</v>
      </c>
      <c r="N2477" s="19"/>
      <c r="O2477" s="19"/>
      <c r="P2477" s="19" t="s">
        <v>2122</v>
      </c>
      <c r="Q2477" s="19" t="s">
        <v>1158</v>
      </c>
      <c r="R2477" s="21" t="n">
        <v>45656</v>
      </c>
      <c r="S2477" s="19" t="s">
        <v>2123</v>
      </c>
      <c r="T2477" s="19" t="s">
        <v>7540</v>
      </c>
      <c r="U2477" s="19" t="str">
        <f aca="false">HYPERLINK("https://macaulaylibrary.org/asset/630087411","Open")</f>
        <v>Open</v>
      </c>
      <c r="V2477" s="19"/>
    </row>
    <row r="2478" customFormat="false" ht="15" hidden="false" customHeight="false" outlineLevel="0" collapsed="false">
      <c r="A2478" s="19" t="s">
        <v>7541</v>
      </c>
      <c r="B2478" s="19" t="s">
        <v>943</v>
      </c>
      <c r="C2478" s="19" t="s">
        <v>7202</v>
      </c>
      <c r="D2478" s="19" t="s">
        <v>148</v>
      </c>
      <c r="E2478" s="19" t="s">
        <v>147</v>
      </c>
      <c r="F2478" s="19" t="s">
        <v>298</v>
      </c>
      <c r="G2478" s="19" t="n">
        <v>66</v>
      </c>
      <c r="H2478" s="19" t="s">
        <v>299</v>
      </c>
      <c r="I2478" s="20" t="n">
        <v>24.634</v>
      </c>
      <c r="J2478" s="19" t="n">
        <f aca="false">IF(I2478="","",MIN(Overview!$B$8,MAX(1,CEILING(I2478/Overview!$B$7,1))))</f>
        <v>5</v>
      </c>
      <c r="K2478" s="19" t="n">
        <v>1</v>
      </c>
      <c r="L2478" s="19"/>
      <c r="M2478" s="20" t="n">
        <v>4</v>
      </c>
      <c r="N2478" s="19"/>
      <c r="O2478" s="19"/>
      <c r="P2478" s="19" t="s">
        <v>1964</v>
      </c>
      <c r="Q2478" s="19" t="s">
        <v>1021</v>
      </c>
      <c r="R2478" s="21" t="n">
        <v>36604</v>
      </c>
      <c r="S2478" s="19" t="s">
        <v>1081</v>
      </c>
      <c r="T2478" s="19" t="s">
        <v>7542</v>
      </c>
      <c r="U2478" s="19" t="str">
        <f aca="false">HYPERLINK("https://macaulaylibrary.org/asset/156787661","Open")</f>
        <v>Open</v>
      </c>
      <c r="V2478" s="19"/>
    </row>
    <row r="2479" customFormat="false" ht="15" hidden="false" customHeight="false" outlineLevel="0" collapsed="false">
      <c r="A2479" s="19" t="s">
        <v>7543</v>
      </c>
      <c r="B2479" s="19" t="s">
        <v>943</v>
      </c>
      <c r="C2479" s="19" t="s">
        <v>7202</v>
      </c>
      <c r="D2479" s="19" t="s">
        <v>148</v>
      </c>
      <c r="E2479" s="19" t="s">
        <v>147</v>
      </c>
      <c r="F2479" s="19" t="s">
        <v>298</v>
      </c>
      <c r="G2479" s="19" t="n">
        <v>66</v>
      </c>
      <c r="H2479" s="19" t="s">
        <v>299</v>
      </c>
      <c r="I2479" s="20" t="n">
        <v>390.865</v>
      </c>
      <c r="J2479" s="19" t="n">
        <f aca="false">IF(I2479="","",MIN(Overview!$B$8,MAX(1,CEILING(I2479/Overview!$B$7,1))))</f>
        <v>79</v>
      </c>
      <c r="K2479" s="19" t="n">
        <v>1</v>
      </c>
      <c r="L2479" s="19"/>
      <c r="M2479" s="20" t="n">
        <v>3.8</v>
      </c>
      <c r="N2479" s="19"/>
      <c r="O2479" s="19"/>
      <c r="P2479" s="19" t="s">
        <v>2275</v>
      </c>
      <c r="Q2479" s="19" t="s">
        <v>980</v>
      </c>
      <c r="R2479" s="21" t="n">
        <v>34123</v>
      </c>
      <c r="S2479" s="19" t="s">
        <v>3216</v>
      </c>
      <c r="T2479" s="19" t="s">
        <v>7544</v>
      </c>
      <c r="U2479" s="19" t="str">
        <f aca="false">HYPERLINK("https://macaulaylibrary.org/asset/209457","Open")</f>
        <v>Open</v>
      </c>
      <c r="V2479" s="19"/>
    </row>
    <row r="2480" customFormat="false" ht="15" hidden="false" customHeight="false" outlineLevel="0" collapsed="false">
      <c r="A2480" s="19" t="s">
        <v>7545</v>
      </c>
      <c r="B2480" s="19" t="s">
        <v>943</v>
      </c>
      <c r="C2480" s="19" t="s">
        <v>7202</v>
      </c>
      <c r="D2480" s="19" t="s">
        <v>148</v>
      </c>
      <c r="E2480" s="19" t="s">
        <v>147</v>
      </c>
      <c r="F2480" s="19" t="s">
        <v>298</v>
      </c>
      <c r="G2480" s="19" t="n">
        <v>66</v>
      </c>
      <c r="H2480" s="19" t="s">
        <v>299</v>
      </c>
      <c r="I2480" s="20" t="n">
        <v>307.854</v>
      </c>
      <c r="J2480" s="19" t="n">
        <f aca="false">IF(I2480="","",MIN(Overview!$B$8,MAX(1,CEILING(I2480/Overview!$B$7,1))))</f>
        <v>62</v>
      </c>
      <c r="K2480" s="19" t="n">
        <v>1</v>
      </c>
      <c r="L2480" s="19"/>
      <c r="M2480" s="20" t="n">
        <v>3.6</v>
      </c>
      <c r="N2480" s="19"/>
      <c r="O2480" s="19"/>
      <c r="P2480" s="19" t="s">
        <v>2275</v>
      </c>
      <c r="Q2480" s="19" t="s">
        <v>980</v>
      </c>
      <c r="R2480" s="21" t="n">
        <v>34123</v>
      </c>
      <c r="S2480" s="19" t="s">
        <v>7546</v>
      </c>
      <c r="T2480" s="19" t="s">
        <v>7547</v>
      </c>
      <c r="U2480" s="19" t="str">
        <f aca="false">HYPERLINK("https://macaulaylibrary.org/asset/209461","Open")</f>
        <v>Open</v>
      </c>
      <c r="V2480" s="19"/>
    </row>
    <row r="2481" customFormat="false" ht="15" hidden="false" customHeight="false" outlineLevel="0" collapsed="false">
      <c r="A2481" s="19" t="s">
        <v>7548</v>
      </c>
      <c r="B2481" s="19" t="s">
        <v>943</v>
      </c>
      <c r="C2481" s="19" t="s">
        <v>7202</v>
      </c>
      <c r="D2481" s="19" t="s">
        <v>613</v>
      </c>
      <c r="E2481" s="19" t="s">
        <v>147</v>
      </c>
      <c r="F2481" s="19" t="s">
        <v>796</v>
      </c>
      <c r="G2481" s="19" t="n">
        <v>69</v>
      </c>
      <c r="H2481" s="19" t="s">
        <v>797</v>
      </c>
      <c r="I2481" s="20" t="n">
        <v>17.569</v>
      </c>
      <c r="J2481" s="19" t="n">
        <f aca="false">IF(I2481="","",MIN(Overview!$B$8,MAX(1,CEILING(I2481/Overview!$B$7,1))))</f>
        <v>4</v>
      </c>
      <c r="K2481" s="19" t="n">
        <v>1</v>
      </c>
      <c r="L2481" s="19"/>
      <c r="M2481" s="20" t="n">
        <v>2</v>
      </c>
      <c r="N2481" s="19"/>
      <c r="O2481" s="19" t="s">
        <v>7549</v>
      </c>
      <c r="P2481" s="19" t="s">
        <v>2871</v>
      </c>
      <c r="Q2481" s="19" t="s">
        <v>990</v>
      </c>
      <c r="R2481" s="21" t="n">
        <v>44548</v>
      </c>
      <c r="S2481" s="19" t="s">
        <v>1144</v>
      </c>
      <c r="T2481" s="19" t="s">
        <v>7550</v>
      </c>
      <c r="U2481" s="19" t="str">
        <f aca="false">HYPERLINK("https://macaulaylibrary.org/asset/400103191","Open")</f>
        <v>Open</v>
      </c>
      <c r="V2481" s="19"/>
    </row>
    <row r="2482" customFormat="false" ht="15" hidden="false" customHeight="false" outlineLevel="0" collapsed="false">
      <c r="A2482" s="19" t="s">
        <v>7551</v>
      </c>
      <c r="B2482" s="19" t="s">
        <v>943</v>
      </c>
      <c r="C2482" s="19" t="s">
        <v>7202</v>
      </c>
      <c r="D2482" s="19" t="s">
        <v>148</v>
      </c>
      <c r="E2482" s="19" t="s">
        <v>147</v>
      </c>
      <c r="F2482" s="19" t="s">
        <v>200</v>
      </c>
      <c r="G2482" s="19" t="n">
        <v>70</v>
      </c>
      <c r="H2482" s="19" t="s">
        <v>201</v>
      </c>
      <c r="I2482" s="20" t="n">
        <v>89.884</v>
      </c>
      <c r="J2482" s="19" t="n">
        <f aca="false">IF(I2482="","",MIN(Overview!$B$8,MAX(1,CEILING(I2482/Overview!$B$7,1))))</f>
        <v>18</v>
      </c>
      <c r="K2482" s="19" t="n">
        <v>1</v>
      </c>
      <c r="L2482" s="19"/>
      <c r="M2482" s="20" t="n">
        <v>3</v>
      </c>
      <c r="N2482" s="19"/>
      <c r="O2482" s="19"/>
      <c r="P2482" s="19" t="s">
        <v>1105</v>
      </c>
      <c r="Q2482" s="19" t="s">
        <v>1021</v>
      </c>
      <c r="R2482" s="21" t="n">
        <v>36597</v>
      </c>
      <c r="S2482" s="19" t="s">
        <v>1106</v>
      </c>
      <c r="T2482" s="19" t="s">
        <v>7552</v>
      </c>
      <c r="U2482" s="19" t="str">
        <f aca="false">HYPERLINK("https://macaulaylibrary.org/asset/145620091","Open")</f>
        <v>Open</v>
      </c>
      <c r="V2482" s="19"/>
    </row>
    <row r="2483" customFormat="false" ht="15" hidden="false" customHeight="false" outlineLevel="0" collapsed="false">
      <c r="A2483" s="19" t="s">
        <v>7553</v>
      </c>
      <c r="B2483" s="19" t="s">
        <v>943</v>
      </c>
      <c r="C2483" s="19" t="s">
        <v>7202</v>
      </c>
      <c r="D2483" s="19" t="s">
        <v>148</v>
      </c>
      <c r="E2483" s="19" t="s">
        <v>147</v>
      </c>
      <c r="F2483" s="19" t="s">
        <v>200</v>
      </c>
      <c r="G2483" s="19" t="n">
        <v>70</v>
      </c>
      <c r="H2483" s="19" t="s">
        <v>201</v>
      </c>
      <c r="I2483" s="20" t="n">
        <v>73.519</v>
      </c>
      <c r="J2483" s="19" t="n">
        <f aca="false">IF(I2483="","",MIN(Overview!$B$8,MAX(1,CEILING(I2483/Overview!$B$7,1))))</f>
        <v>15</v>
      </c>
      <c r="K2483" s="19" t="n">
        <v>1</v>
      </c>
      <c r="L2483" s="19"/>
      <c r="M2483" s="20" t="n">
        <v>2</v>
      </c>
      <c r="N2483" s="19"/>
      <c r="O2483" s="19"/>
      <c r="P2483" s="19" t="s">
        <v>3717</v>
      </c>
      <c r="Q2483" s="19" t="s">
        <v>2343</v>
      </c>
      <c r="R2483" s="21" t="n">
        <v>31505</v>
      </c>
      <c r="S2483" s="19" t="s">
        <v>1369</v>
      </c>
      <c r="T2483" s="19" t="s">
        <v>7554</v>
      </c>
      <c r="U2483" s="19" t="str">
        <f aca="false">HYPERLINK("https://macaulaylibrary.org/asset/249435","Open")</f>
        <v>Open</v>
      </c>
      <c r="V2483" s="19"/>
    </row>
    <row r="2484" customFormat="false" ht="15" hidden="false" customHeight="false" outlineLevel="0" collapsed="false">
      <c r="A2484" s="19" t="s">
        <v>7555</v>
      </c>
      <c r="B2484" s="19" t="s">
        <v>943</v>
      </c>
      <c r="C2484" s="19" t="s">
        <v>7202</v>
      </c>
      <c r="D2484" s="19" t="s">
        <v>148</v>
      </c>
      <c r="E2484" s="19" t="s">
        <v>147</v>
      </c>
      <c r="F2484" s="19" t="s">
        <v>200</v>
      </c>
      <c r="G2484" s="19" t="n">
        <v>70</v>
      </c>
      <c r="H2484" s="19" t="s">
        <v>201</v>
      </c>
      <c r="I2484" s="20" t="n">
        <v>31.602</v>
      </c>
      <c r="J2484" s="19" t="n">
        <f aca="false">IF(I2484="","",MIN(Overview!$B$8,MAX(1,CEILING(I2484/Overview!$B$7,1))))</f>
        <v>7</v>
      </c>
      <c r="K2484" s="19" t="n">
        <v>1</v>
      </c>
      <c r="L2484" s="19"/>
      <c r="M2484" s="20" t="n">
        <v>3.5</v>
      </c>
      <c r="N2484" s="19"/>
      <c r="O2484" s="19"/>
      <c r="P2484" s="19" t="s">
        <v>3319</v>
      </c>
      <c r="Q2484" s="19" t="s">
        <v>2085</v>
      </c>
      <c r="R2484" s="21" t="n">
        <v>44913</v>
      </c>
      <c r="S2484" s="19" t="s">
        <v>1245</v>
      </c>
      <c r="T2484" s="19" t="s">
        <v>7556</v>
      </c>
      <c r="U2484" s="19" t="str">
        <f aca="false">HYPERLINK("https://macaulaylibrary.org/asset/515649251","Open")</f>
        <v>Open</v>
      </c>
      <c r="V2484" s="19"/>
    </row>
    <row r="2485" customFormat="false" ht="15" hidden="false" customHeight="false" outlineLevel="0" collapsed="false">
      <c r="A2485" s="19" t="s">
        <v>7557</v>
      </c>
      <c r="B2485" s="19" t="s">
        <v>943</v>
      </c>
      <c r="C2485" s="19" t="s">
        <v>7202</v>
      </c>
      <c r="D2485" s="19" t="s">
        <v>148</v>
      </c>
      <c r="E2485" s="19" t="s">
        <v>147</v>
      </c>
      <c r="F2485" s="19" t="s">
        <v>200</v>
      </c>
      <c r="G2485" s="19" t="n">
        <v>70</v>
      </c>
      <c r="H2485" s="19" t="s">
        <v>201</v>
      </c>
      <c r="I2485" s="20" t="n">
        <v>5.823</v>
      </c>
      <c r="J2485" s="19" t="n">
        <f aca="false">IF(I2485="","",MIN(Overview!$B$8,MAX(1,CEILING(I2485/Overview!$B$7,1))))</f>
        <v>2</v>
      </c>
      <c r="K2485" s="19" t="n">
        <v>1</v>
      </c>
      <c r="L2485" s="19"/>
      <c r="M2485" s="20" t="n">
        <v>3.5</v>
      </c>
      <c r="N2485" s="19"/>
      <c r="O2485" s="19"/>
      <c r="P2485" s="19" t="s">
        <v>3319</v>
      </c>
      <c r="Q2485" s="19" t="s">
        <v>2085</v>
      </c>
      <c r="R2485" s="21" t="n">
        <v>44913</v>
      </c>
      <c r="S2485" s="19" t="s">
        <v>1245</v>
      </c>
      <c r="T2485" s="19" t="s">
        <v>7558</v>
      </c>
      <c r="U2485" s="19" t="str">
        <f aca="false">HYPERLINK("https://macaulaylibrary.org/asset/516014821","Open")</f>
        <v>Open</v>
      </c>
      <c r="V2485" s="19"/>
    </row>
    <row r="2486" customFormat="false" ht="15" hidden="false" customHeight="false" outlineLevel="0" collapsed="false">
      <c r="A2486" s="19" t="s">
        <v>7559</v>
      </c>
      <c r="B2486" s="19" t="s">
        <v>943</v>
      </c>
      <c r="C2486" s="19" t="s">
        <v>7202</v>
      </c>
      <c r="D2486" s="19" t="s">
        <v>148</v>
      </c>
      <c r="E2486" s="19" t="s">
        <v>147</v>
      </c>
      <c r="F2486" s="19" t="s">
        <v>200</v>
      </c>
      <c r="G2486" s="19" t="n">
        <v>70</v>
      </c>
      <c r="H2486" s="19" t="s">
        <v>201</v>
      </c>
      <c r="I2486" s="20" t="n">
        <v>12.092</v>
      </c>
      <c r="J2486" s="19" t="n">
        <f aca="false">IF(I2486="","",MIN(Overview!$B$8,MAX(1,CEILING(I2486/Overview!$B$7,1))))</f>
        <v>3</v>
      </c>
      <c r="K2486" s="19" t="n">
        <v>1</v>
      </c>
      <c r="L2486" s="19"/>
      <c r="M2486" s="20"/>
      <c r="N2486" s="19"/>
      <c r="O2486" s="19"/>
      <c r="P2486" s="19" t="s">
        <v>4821</v>
      </c>
      <c r="Q2486" s="19" t="s">
        <v>1517</v>
      </c>
      <c r="R2486" s="21" t="n">
        <v>46106</v>
      </c>
      <c r="S2486" s="19" t="s">
        <v>4822</v>
      </c>
      <c r="T2486" s="19" t="s">
        <v>7560</v>
      </c>
      <c r="U2486" s="19" t="str">
        <f aca="false">HYPERLINK("https://macaulaylibrary.org/asset/654361429","Open")</f>
        <v>Open</v>
      </c>
      <c r="V2486" s="19"/>
    </row>
    <row r="2487" customFormat="false" ht="15" hidden="false" customHeight="false" outlineLevel="0" collapsed="false">
      <c r="A2487" s="19" t="s">
        <v>7561</v>
      </c>
      <c r="B2487" s="19" t="s">
        <v>943</v>
      </c>
      <c r="C2487" s="19" t="s">
        <v>7202</v>
      </c>
      <c r="D2487" s="19" t="s">
        <v>148</v>
      </c>
      <c r="E2487" s="19" t="s">
        <v>147</v>
      </c>
      <c r="F2487" s="19" t="s">
        <v>301</v>
      </c>
      <c r="G2487" s="19" t="n">
        <v>71</v>
      </c>
      <c r="H2487" s="19" t="s">
        <v>302</v>
      </c>
      <c r="I2487" s="20" t="n">
        <v>28.693</v>
      </c>
      <c r="J2487" s="19" t="n">
        <f aca="false">IF(I2487="","",MIN(Overview!$B$8,MAX(1,CEILING(I2487/Overview!$B$7,1))))</f>
        <v>6</v>
      </c>
      <c r="K2487" s="19" t="n">
        <v>1</v>
      </c>
      <c r="L2487" s="19"/>
      <c r="M2487" s="20" t="n">
        <v>2</v>
      </c>
      <c r="N2487" s="19"/>
      <c r="O2487" s="19"/>
      <c r="P2487" s="19" t="s">
        <v>7562</v>
      </c>
      <c r="Q2487" s="19" t="s">
        <v>965</v>
      </c>
      <c r="R2487" s="21" t="n">
        <v>44547</v>
      </c>
      <c r="S2487" s="19" t="s">
        <v>7563</v>
      </c>
      <c r="T2487" s="19" t="s">
        <v>7564</v>
      </c>
      <c r="U2487" s="19" t="str">
        <f aca="false">HYPERLINK("https://macaulaylibrary.org/asset/398110401","Open")</f>
        <v>Open</v>
      </c>
      <c r="V2487" s="19"/>
    </row>
    <row r="2488" customFormat="false" ht="15" hidden="false" customHeight="false" outlineLevel="0" collapsed="false">
      <c r="A2488" s="19" t="s">
        <v>7565</v>
      </c>
      <c r="B2488" s="19" t="s">
        <v>943</v>
      </c>
      <c r="C2488" s="19" t="s">
        <v>7202</v>
      </c>
      <c r="D2488" s="19" t="s">
        <v>148</v>
      </c>
      <c r="E2488" s="19" t="s">
        <v>147</v>
      </c>
      <c r="F2488" s="19" t="s">
        <v>301</v>
      </c>
      <c r="G2488" s="19" t="n">
        <v>71</v>
      </c>
      <c r="H2488" s="19" t="s">
        <v>302</v>
      </c>
      <c r="I2488" s="20" t="n">
        <v>41.217</v>
      </c>
      <c r="J2488" s="19" t="n">
        <f aca="false">IF(I2488="","",MIN(Overview!$B$8,MAX(1,CEILING(I2488/Overview!$B$7,1))))</f>
        <v>9</v>
      </c>
      <c r="K2488" s="19" t="n">
        <v>1</v>
      </c>
      <c r="L2488" s="19"/>
      <c r="M2488" s="20" t="n">
        <v>3</v>
      </c>
      <c r="N2488" s="19"/>
      <c r="O2488" s="19"/>
      <c r="P2488" s="19" t="s">
        <v>7566</v>
      </c>
      <c r="Q2488" s="19" t="s">
        <v>946</v>
      </c>
      <c r="R2488" s="21" t="n">
        <v>44675</v>
      </c>
      <c r="S2488" s="19" t="s">
        <v>7567</v>
      </c>
      <c r="T2488" s="19" t="s">
        <v>7568</v>
      </c>
      <c r="U2488" s="19" t="str">
        <f aca="false">HYPERLINK("https://macaulaylibrary.org/asset/451262481","Open")</f>
        <v>Open</v>
      </c>
      <c r="V2488" s="19"/>
    </row>
    <row r="2489" customFormat="false" ht="15" hidden="false" customHeight="false" outlineLevel="0" collapsed="false">
      <c r="A2489" s="19" t="s">
        <v>7569</v>
      </c>
      <c r="B2489" s="19" t="s">
        <v>943</v>
      </c>
      <c r="C2489" s="19" t="s">
        <v>7202</v>
      </c>
      <c r="D2489" s="19" t="s">
        <v>148</v>
      </c>
      <c r="E2489" s="19" t="s">
        <v>147</v>
      </c>
      <c r="F2489" s="19" t="s">
        <v>301</v>
      </c>
      <c r="G2489" s="19" t="n">
        <v>71</v>
      </c>
      <c r="H2489" s="19" t="s">
        <v>302</v>
      </c>
      <c r="I2489" s="20" t="n">
        <v>41.877</v>
      </c>
      <c r="J2489" s="19" t="n">
        <f aca="false">IF(I2489="","",MIN(Overview!$B$8,MAX(1,CEILING(I2489/Overview!$B$7,1))))</f>
        <v>9</v>
      </c>
      <c r="K2489" s="19" t="n">
        <v>1</v>
      </c>
      <c r="L2489" s="19"/>
      <c r="M2489" s="20" t="n">
        <v>3</v>
      </c>
      <c r="N2489" s="19"/>
      <c r="O2489" s="19"/>
      <c r="P2489" s="19" t="s">
        <v>7566</v>
      </c>
      <c r="Q2489" s="19" t="s">
        <v>946</v>
      </c>
      <c r="R2489" s="21" t="n">
        <v>44675</v>
      </c>
      <c r="S2489" s="19" t="s">
        <v>7567</v>
      </c>
      <c r="T2489" s="19" t="s">
        <v>7570</v>
      </c>
      <c r="U2489" s="19" t="str">
        <f aca="false">HYPERLINK("https://macaulaylibrary.org/asset/451262581","Open")</f>
        <v>Open</v>
      </c>
      <c r="V2489" s="19"/>
    </row>
    <row r="2490" customFormat="false" ht="15" hidden="false" customHeight="false" outlineLevel="0" collapsed="false">
      <c r="A2490" s="19" t="s">
        <v>7571</v>
      </c>
      <c r="B2490" s="19" t="s">
        <v>943</v>
      </c>
      <c r="C2490" s="19" t="s">
        <v>7202</v>
      </c>
      <c r="D2490" s="19" t="s">
        <v>400</v>
      </c>
      <c r="E2490" s="19" t="s">
        <v>147</v>
      </c>
      <c r="F2490" s="19" t="s">
        <v>529</v>
      </c>
      <c r="G2490" s="19" t="n">
        <v>72</v>
      </c>
      <c r="H2490" s="19" t="s">
        <v>530</v>
      </c>
      <c r="I2490" s="20" t="n">
        <v>83.548</v>
      </c>
      <c r="J2490" s="19" t="n">
        <f aca="false">IF(I2490="","",MIN(Overview!$B$8,MAX(1,CEILING(I2490/Overview!$B$7,1))))</f>
        <v>17</v>
      </c>
      <c r="K2490" s="19" t="n">
        <v>1</v>
      </c>
      <c r="L2490" s="19"/>
      <c r="M2490" s="20" t="n">
        <v>3</v>
      </c>
      <c r="N2490" s="19"/>
      <c r="O2490" s="19"/>
      <c r="P2490" s="19" t="s">
        <v>1567</v>
      </c>
      <c r="Q2490" s="19" t="s">
        <v>980</v>
      </c>
      <c r="R2490" s="21" t="n">
        <v>33294</v>
      </c>
      <c r="S2490" s="19"/>
      <c r="T2490" s="19" t="s">
        <v>7572</v>
      </c>
      <c r="U2490" s="19" t="str">
        <f aca="false">HYPERLINK("https://macaulaylibrary.org/asset/57498","Open")</f>
        <v>Open</v>
      </c>
      <c r="V2490" s="19"/>
    </row>
    <row r="2491" customFormat="false" ht="15" hidden="false" customHeight="false" outlineLevel="0" collapsed="false">
      <c r="A2491" s="19" t="s">
        <v>7573</v>
      </c>
      <c r="B2491" s="19" t="s">
        <v>943</v>
      </c>
      <c r="C2491" s="19" t="s">
        <v>7202</v>
      </c>
      <c r="D2491" s="19" t="s">
        <v>400</v>
      </c>
      <c r="E2491" s="19" t="s">
        <v>147</v>
      </c>
      <c r="F2491" s="19" t="s">
        <v>559</v>
      </c>
      <c r="G2491" s="19" t="n">
        <v>73</v>
      </c>
      <c r="H2491" s="19" t="s">
        <v>560</v>
      </c>
      <c r="I2491" s="20" t="n">
        <v>104.865</v>
      </c>
      <c r="J2491" s="19" t="n">
        <f aca="false">IF(I2491="","",MIN(Overview!$B$8,MAX(1,CEILING(I2491/Overview!$B$7,1))))</f>
        <v>21</v>
      </c>
      <c r="K2491" s="19" t="n">
        <v>1</v>
      </c>
      <c r="L2491" s="19"/>
      <c r="M2491" s="20" t="n">
        <v>3</v>
      </c>
      <c r="N2491" s="19"/>
      <c r="O2491" s="19"/>
      <c r="P2491" s="19" t="s">
        <v>1001</v>
      </c>
      <c r="Q2491" s="19" t="s">
        <v>980</v>
      </c>
      <c r="R2491" s="21" t="n">
        <v>33299</v>
      </c>
      <c r="S2491" s="19" t="s">
        <v>1002</v>
      </c>
      <c r="T2491" s="19" t="s">
        <v>7574</v>
      </c>
      <c r="U2491" s="19" t="str">
        <f aca="false">HYPERLINK("https://macaulaylibrary.org/asset/72658","Open")</f>
        <v>Open</v>
      </c>
      <c r="V2491" s="19"/>
    </row>
    <row r="2492" customFormat="false" ht="15" hidden="false" customHeight="false" outlineLevel="0" collapsed="false">
      <c r="A2492" s="19" t="s">
        <v>7575</v>
      </c>
      <c r="B2492" s="19" t="s">
        <v>943</v>
      </c>
      <c r="C2492" s="19" t="s">
        <v>7202</v>
      </c>
      <c r="D2492" s="19" t="s">
        <v>613</v>
      </c>
      <c r="E2492" s="19" t="s">
        <v>147</v>
      </c>
      <c r="F2492" s="19" t="s">
        <v>799</v>
      </c>
      <c r="G2492" s="19" t="n">
        <v>74</v>
      </c>
      <c r="H2492" s="19" t="s">
        <v>800</v>
      </c>
      <c r="I2492" s="20" t="n">
        <v>26.215</v>
      </c>
      <c r="J2492" s="19" t="n">
        <f aca="false">IF(I2492="","",MIN(Overview!$B$8,MAX(1,CEILING(I2492/Overview!$B$7,1))))</f>
        <v>6</v>
      </c>
      <c r="K2492" s="19" t="n">
        <v>1</v>
      </c>
      <c r="L2492" s="19"/>
      <c r="M2492" s="20" t="n">
        <v>1.5</v>
      </c>
      <c r="N2492" s="19"/>
      <c r="O2492" s="19"/>
      <c r="P2492" s="19" t="s">
        <v>974</v>
      </c>
      <c r="Q2492" s="19" t="s">
        <v>975</v>
      </c>
      <c r="R2492" s="21" t="n">
        <v>43666</v>
      </c>
      <c r="S2492" s="19" t="s">
        <v>976</v>
      </c>
      <c r="T2492" s="19" t="s">
        <v>7576</v>
      </c>
      <c r="U2492" s="19" t="str">
        <f aca="false">HYPERLINK("https://macaulaylibrary.org/asset/179453201","Open")</f>
        <v>Open</v>
      </c>
      <c r="V2492" s="19"/>
    </row>
    <row r="2493" customFormat="false" ht="15" hidden="false" customHeight="false" outlineLevel="0" collapsed="false">
      <c r="A2493" s="19" t="s">
        <v>7577</v>
      </c>
      <c r="B2493" s="19" t="s">
        <v>943</v>
      </c>
      <c r="C2493" s="19" t="s">
        <v>7202</v>
      </c>
      <c r="D2493" s="19" t="s">
        <v>613</v>
      </c>
      <c r="E2493" s="19" t="s">
        <v>147</v>
      </c>
      <c r="F2493" s="19" t="s">
        <v>802</v>
      </c>
      <c r="G2493" s="19" t="n">
        <v>75</v>
      </c>
      <c r="H2493" s="19" t="s">
        <v>803</v>
      </c>
      <c r="I2493" s="20" t="n">
        <v>105.559</v>
      </c>
      <c r="J2493" s="19" t="n">
        <f aca="false">IF(I2493="","",MIN(Overview!$B$8,MAX(1,CEILING(I2493/Overview!$B$7,1))))</f>
        <v>22</v>
      </c>
      <c r="K2493" s="19" t="n">
        <v>1</v>
      </c>
      <c r="L2493" s="19"/>
      <c r="M2493" s="20" t="n">
        <v>2.2</v>
      </c>
      <c r="N2493" s="19"/>
      <c r="O2493" s="19"/>
      <c r="P2493" s="19" t="s">
        <v>1555</v>
      </c>
      <c r="Q2493" s="19" t="s">
        <v>980</v>
      </c>
      <c r="R2493" s="21" t="n">
        <v>33291</v>
      </c>
      <c r="S2493" s="19" t="s">
        <v>1404</v>
      </c>
      <c r="T2493" s="19" t="s">
        <v>7578</v>
      </c>
      <c r="U2493" s="19" t="str">
        <f aca="false">HYPERLINK("https://macaulaylibrary.org/asset/57477","Open")</f>
        <v>Open</v>
      </c>
      <c r="V2493" s="19"/>
    </row>
    <row r="2494" customFormat="false" ht="15" hidden="false" customHeight="false" outlineLevel="0" collapsed="false">
      <c r="A2494" s="19" t="s">
        <v>7579</v>
      </c>
      <c r="B2494" s="19" t="s">
        <v>943</v>
      </c>
      <c r="C2494" s="19" t="s">
        <v>7202</v>
      </c>
      <c r="D2494" s="19" t="s">
        <v>148</v>
      </c>
      <c r="E2494" s="19" t="s">
        <v>147</v>
      </c>
      <c r="F2494" s="19" t="s">
        <v>225</v>
      </c>
      <c r="G2494" s="19" t="n">
        <v>76</v>
      </c>
      <c r="H2494" s="19" t="s">
        <v>226</v>
      </c>
      <c r="I2494" s="20" t="n">
        <v>96.058</v>
      </c>
      <c r="J2494" s="19" t="n">
        <f aca="false">IF(I2494="","",MIN(Overview!$B$8,MAX(1,CEILING(I2494/Overview!$B$7,1))))</f>
        <v>20</v>
      </c>
      <c r="K2494" s="19" t="n">
        <v>1</v>
      </c>
      <c r="L2494" s="19"/>
      <c r="M2494" s="20" t="n">
        <v>3</v>
      </c>
      <c r="N2494" s="19"/>
      <c r="O2494" s="19"/>
      <c r="P2494" s="19" t="s">
        <v>2078</v>
      </c>
      <c r="Q2494" s="19" t="s">
        <v>2079</v>
      </c>
      <c r="R2494" s="21" t="n">
        <v>43511</v>
      </c>
      <c r="S2494" s="19" t="s">
        <v>2056</v>
      </c>
      <c r="T2494" s="19" t="s">
        <v>7580</v>
      </c>
      <c r="U2494" s="19" t="str">
        <f aca="false">HYPERLINK("https://macaulaylibrary.org/asset/246391871","Open")</f>
        <v>Open</v>
      </c>
      <c r="V2494" s="19"/>
    </row>
    <row r="2495" customFormat="false" ht="15" hidden="false" customHeight="false" outlineLevel="0" collapsed="false">
      <c r="A2495" s="19" t="s">
        <v>7581</v>
      </c>
      <c r="B2495" s="19" t="s">
        <v>943</v>
      </c>
      <c r="C2495" s="19" t="s">
        <v>7202</v>
      </c>
      <c r="D2495" s="19" t="s">
        <v>148</v>
      </c>
      <c r="E2495" s="19" t="s">
        <v>147</v>
      </c>
      <c r="F2495" s="19" t="s">
        <v>225</v>
      </c>
      <c r="G2495" s="19" t="n">
        <v>76</v>
      </c>
      <c r="H2495" s="19" t="s">
        <v>226</v>
      </c>
      <c r="I2495" s="20" t="n">
        <v>24.441</v>
      </c>
      <c r="J2495" s="19" t="n">
        <f aca="false">IF(I2495="","",MIN(Overview!$B$8,MAX(1,CEILING(I2495/Overview!$B$7,1))))</f>
        <v>5</v>
      </c>
      <c r="K2495" s="19" t="n">
        <v>1</v>
      </c>
      <c r="L2495" s="19"/>
      <c r="M2495" s="20" t="n">
        <v>3</v>
      </c>
      <c r="N2495" s="19"/>
      <c r="O2495" s="19"/>
      <c r="P2495" s="19" t="s">
        <v>2499</v>
      </c>
      <c r="Q2495" s="19" t="s">
        <v>1063</v>
      </c>
      <c r="R2495" s="21" t="n">
        <v>44087</v>
      </c>
      <c r="S2495" s="19" t="s">
        <v>2500</v>
      </c>
      <c r="T2495" s="19" t="s">
        <v>7582</v>
      </c>
      <c r="U2495" s="19" t="str">
        <f aca="false">HYPERLINK("https://macaulaylibrary.org/asset/267819911","Open")</f>
        <v>Open</v>
      </c>
      <c r="V2495" s="19"/>
    </row>
    <row r="2496" customFormat="false" ht="15" hidden="false" customHeight="false" outlineLevel="0" collapsed="false">
      <c r="A2496" s="19" t="s">
        <v>7583</v>
      </c>
      <c r="B2496" s="19" t="s">
        <v>943</v>
      </c>
      <c r="C2496" s="19" t="s">
        <v>7202</v>
      </c>
      <c r="D2496" s="19" t="s">
        <v>148</v>
      </c>
      <c r="E2496" s="19" t="s">
        <v>147</v>
      </c>
      <c r="F2496" s="19" t="s">
        <v>225</v>
      </c>
      <c r="G2496" s="19" t="n">
        <v>76</v>
      </c>
      <c r="H2496" s="19" t="s">
        <v>226</v>
      </c>
      <c r="I2496" s="20" t="n">
        <v>21.454</v>
      </c>
      <c r="J2496" s="19" t="n">
        <f aca="false">IF(I2496="","",MIN(Overview!$B$8,MAX(1,CEILING(I2496/Overview!$B$7,1))))</f>
        <v>5</v>
      </c>
      <c r="K2496" s="19" t="n">
        <v>1</v>
      </c>
      <c r="L2496" s="19"/>
      <c r="M2496" s="20"/>
      <c r="N2496" s="19"/>
      <c r="O2496" s="19"/>
      <c r="P2496" s="19" t="s">
        <v>2532</v>
      </c>
      <c r="Q2496" s="19" t="s">
        <v>1258</v>
      </c>
      <c r="R2496" s="21" t="n">
        <v>45232</v>
      </c>
      <c r="S2496" s="19" t="s">
        <v>2533</v>
      </c>
      <c r="T2496" s="19" t="s">
        <v>7584</v>
      </c>
      <c r="U2496" s="19" t="str">
        <f aca="false">HYPERLINK("https://macaulaylibrary.org/asset/621760376","Open")</f>
        <v>Open</v>
      </c>
      <c r="V2496" s="19" t="s">
        <v>3057</v>
      </c>
    </row>
    <row r="2497" customFormat="false" ht="15" hidden="false" customHeight="false" outlineLevel="0" collapsed="false">
      <c r="A2497" s="19" t="s">
        <v>7585</v>
      </c>
      <c r="B2497" s="19" t="s">
        <v>943</v>
      </c>
      <c r="C2497" s="19" t="s">
        <v>7202</v>
      </c>
      <c r="D2497" s="19" t="s">
        <v>148</v>
      </c>
      <c r="E2497" s="19" t="s">
        <v>147</v>
      </c>
      <c r="F2497" s="19" t="s">
        <v>225</v>
      </c>
      <c r="G2497" s="19" t="n">
        <v>76</v>
      </c>
      <c r="H2497" s="19" t="s">
        <v>226</v>
      </c>
      <c r="I2497" s="20" t="n">
        <v>80</v>
      </c>
      <c r="J2497" s="19" t="n">
        <f aca="false">IF(I2497="","",MIN(Overview!$B$8,MAX(1,CEILING(I2497/Overview!$B$7,1))))</f>
        <v>16</v>
      </c>
      <c r="K2497" s="19" t="n">
        <v>1</v>
      </c>
      <c r="L2497" s="19"/>
      <c r="M2497" s="20" t="n">
        <v>4</v>
      </c>
      <c r="N2497" s="19"/>
      <c r="O2497" s="19"/>
      <c r="P2497" s="19" t="s">
        <v>2532</v>
      </c>
      <c r="Q2497" s="19" t="s">
        <v>1258</v>
      </c>
      <c r="R2497" s="21" t="n">
        <v>45232</v>
      </c>
      <c r="S2497" s="19" t="s">
        <v>2533</v>
      </c>
      <c r="T2497" s="19" t="s">
        <v>7586</v>
      </c>
      <c r="U2497" s="19" t="str">
        <f aca="false">HYPERLINK("https://macaulaylibrary.org/asset/621760394","Open")</f>
        <v>Open</v>
      </c>
      <c r="V2497" s="19" t="s">
        <v>3057</v>
      </c>
    </row>
    <row r="2498" customFormat="false" ht="15" hidden="false" customHeight="false" outlineLevel="0" collapsed="false">
      <c r="A2498" s="19" t="s">
        <v>7587</v>
      </c>
      <c r="B2498" s="19" t="s">
        <v>943</v>
      </c>
      <c r="C2498" s="19" t="s">
        <v>7202</v>
      </c>
      <c r="D2498" s="19" t="s">
        <v>148</v>
      </c>
      <c r="E2498" s="19" t="s">
        <v>147</v>
      </c>
      <c r="F2498" s="19" t="s">
        <v>225</v>
      </c>
      <c r="G2498" s="19" t="n">
        <v>76</v>
      </c>
      <c r="H2498" s="19" t="s">
        <v>226</v>
      </c>
      <c r="I2498" s="20" t="n">
        <v>4.013</v>
      </c>
      <c r="J2498" s="19" t="n">
        <f aca="false">IF(I2498="","",MIN(Overview!$B$8,MAX(1,CEILING(I2498/Overview!$B$7,1))))</f>
        <v>1</v>
      </c>
      <c r="K2498" s="19" t="n">
        <v>1</v>
      </c>
      <c r="L2498" s="19" t="s">
        <v>1048</v>
      </c>
      <c r="M2498" s="20"/>
      <c r="N2498" s="19"/>
      <c r="O2498" s="19"/>
      <c r="P2498" s="19" t="s">
        <v>6131</v>
      </c>
      <c r="Q2498" s="19" t="s">
        <v>1348</v>
      </c>
      <c r="R2498" s="21" t="n">
        <v>46101</v>
      </c>
      <c r="S2498" s="19" t="s">
        <v>1419</v>
      </c>
      <c r="T2498" s="19" t="s">
        <v>7588</v>
      </c>
      <c r="U2498" s="19" t="str">
        <f aca="false">HYPERLINK("https://macaulaylibrary.org/asset/654470051","Open")</f>
        <v>Open</v>
      </c>
      <c r="V2498" s="19"/>
    </row>
    <row r="2499" customFormat="false" ht="15" hidden="false" customHeight="false" outlineLevel="0" collapsed="false">
      <c r="A2499" s="19" t="s">
        <v>7589</v>
      </c>
      <c r="B2499" s="19" t="s">
        <v>943</v>
      </c>
      <c r="C2499" s="19" t="s">
        <v>7202</v>
      </c>
      <c r="D2499" s="19" t="s">
        <v>400</v>
      </c>
      <c r="E2499" s="19" t="s">
        <v>147</v>
      </c>
      <c r="F2499" s="19" t="s">
        <v>502</v>
      </c>
      <c r="G2499" s="19" t="n">
        <v>77</v>
      </c>
      <c r="H2499" s="19" t="s">
        <v>503</v>
      </c>
      <c r="I2499" s="20" t="n">
        <v>35.958</v>
      </c>
      <c r="J2499" s="19" t="n">
        <f aca="false">IF(I2499="","",MIN(Overview!$B$8,MAX(1,CEILING(I2499/Overview!$B$7,1))))</f>
        <v>8</v>
      </c>
      <c r="K2499" s="19" t="n">
        <v>1</v>
      </c>
      <c r="L2499" s="19"/>
      <c r="M2499" s="20"/>
      <c r="N2499" s="19"/>
      <c r="O2499" s="19"/>
      <c r="P2499" s="19" t="s">
        <v>1029</v>
      </c>
      <c r="Q2499" s="19" t="s">
        <v>1030</v>
      </c>
      <c r="R2499" s="21" t="n">
        <v>40251</v>
      </c>
      <c r="S2499" s="19" t="s">
        <v>1530</v>
      </c>
      <c r="T2499" s="19" t="s">
        <v>7590</v>
      </c>
      <c r="U2499" s="19" t="str">
        <f aca="false">HYPERLINK("https://macaulaylibrary.org/asset/299657","Open")</f>
        <v>Open</v>
      </c>
      <c r="V2499" s="19"/>
    </row>
    <row r="2500" customFormat="false" ht="15" hidden="false" customHeight="false" outlineLevel="0" collapsed="false">
      <c r="A2500" s="19" t="s">
        <v>7591</v>
      </c>
      <c r="B2500" s="19" t="s">
        <v>943</v>
      </c>
      <c r="C2500" s="19" t="s">
        <v>7202</v>
      </c>
      <c r="D2500" s="19" t="s">
        <v>148</v>
      </c>
      <c r="E2500" s="19" t="s">
        <v>147</v>
      </c>
      <c r="F2500" s="19" t="s">
        <v>280</v>
      </c>
      <c r="G2500" s="19" t="n">
        <v>78</v>
      </c>
      <c r="H2500" s="19" t="s">
        <v>281</v>
      </c>
      <c r="I2500" s="20" t="n">
        <v>207.554</v>
      </c>
      <c r="J2500" s="19" t="n">
        <f aca="false">IF(I2500="","",MIN(Overview!$B$8,MAX(1,CEILING(I2500/Overview!$B$7,1))))</f>
        <v>42</v>
      </c>
      <c r="K2500" s="19" t="n">
        <v>1</v>
      </c>
      <c r="L2500" s="19"/>
      <c r="M2500" s="20" t="n">
        <v>3</v>
      </c>
      <c r="N2500" s="19"/>
      <c r="O2500" s="19"/>
      <c r="P2500" s="19" t="s">
        <v>1752</v>
      </c>
      <c r="Q2500" s="19" t="s">
        <v>980</v>
      </c>
      <c r="R2500" s="21" t="n">
        <v>35208</v>
      </c>
      <c r="S2500" s="19" t="s">
        <v>1769</v>
      </c>
      <c r="T2500" s="19" t="s">
        <v>7592</v>
      </c>
      <c r="U2500" s="19" t="str">
        <f aca="false">HYPERLINK("https://macaulaylibrary.org/asset/184778","Open")</f>
        <v>Open</v>
      </c>
      <c r="V2500" s="19"/>
    </row>
    <row r="2501" customFormat="false" ht="15" hidden="false" customHeight="false" outlineLevel="0" collapsed="false">
      <c r="A2501" s="19" t="s">
        <v>7593</v>
      </c>
      <c r="B2501" s="19" t="s">
        <v>943</v>
      </c>
      <c r="C2501" s="19" t="s">
        <v>7202</v>
      </c>
      <c r="D2501" s="19" t="s">
        <v>148</v>
      </c>
      <c r="E2501" s="19" t="s">
        <v>147</v>
      </c>
      <c r="F2501" s="19" t="s">
        <v>280</v>
      </c>
      <c r="G2501" s="19" t="n">
        <v>78</v>
      </c>
      <c r="H2501" s="19" t="s">
        <v>281</v>
      </c>
      <c r="I2501" s="20" t="n">
        <v>35.817</v>
      </c>
      <c r="J2501" s="19" t="n">
        <f aca="false">IF(I2501="","",MIN(Overview!$B$8,MAX(1,CEILING(I2501/Overview!$B$7,1))))</f>
        <v>8</v>
      </c>
      <c r="K2501" s="19" t="n">
        <v>1</v>
      </c>
      <c r="L2501" s="19"/>
      <c r="M2501" s="20" t="n">
        <v>2</v>
      </c>
      <c r="N2501" s="19"/>
      <c r="O2501" s="19" t="s">
        <v>635</v>
      </c>
      <c r="P2501" s="19" t="s">
        <v>3717</v>
      </c>
      <c r="Q2501" s="19" t="s">
        <v>2343</v>
      </c>
      <c r="R2501" s="21" t="n">
        <v>31505</v>
      </c>
      <c r="S2501" s="19" t="s">
        <v>4102</v>
      </c>
      <c r="T2501" s="19" t="s">
        <v>7594</v>
      </c>
      <c r="U2501" s="19" t="str">
        <f aca="false">HYPERLINK("https://macaulaylibrary.org/asset/249444","Open")</f>
        <v>Open</v>
      </c>
      <c r="V2501" s="19"/>
    </row>
    <row r="2502" customFormat="false" ht="15" hidden="false" customHeight="false" outlineLevel="0" collapsed="false">
      <c r="A2502" s="19" t="s">
        <v>7595</v>
      </c>
      <c r="B2502" s="19" t="s">
        <v>943</v>
      </c>
      <c r="C2502" s="19" t="s">
        <v>7202</v>
      </c>
      <c r="D2502" s="19" t="s">
        <v>148</v>
      </c>
      <c r="E2502" s="19" t="s">
        <v>147</v>
      </c>
      <c r="F2502" s="19" t="s">
        <v>280</v>
      </c>
      <c r="G2502" s="19" t="n">
        <v>78</v>
      </c>
      <c r="H2502" s="19" t="s">
        <v>281</v>
      </c>
      <c r="I2502" s="20" t="n">
        <v>37.254</v>
      </c>
      <c r="J2502" s="19" t="n">
        <f aca="false">IF(I2502="","",MIN(Overview!$B$8,MAX(1,CEILING(I2502/Overview!$B$7,1))))</f>
        <v>8</v>
      </c>
      <c r="K2502" s="19" t="n">
        <v>1</v>
      </c>
      <c r="L2502" s="19"/>
      <c r="M2502" s="20" t="n">
        <v>4</v>
      </c>
      <c r="N2502" s="19"/>
      <c r="O2502" s="19"/>
      <c r="P2502" s="19" t="s">
        <v>7292</v>
      </c>
      <c r="Q2502" s="19" t="s">
        <v>1408</v>
      </c>
      <c r="R2502" s="21" t="n">
        <v>32457</v>
      </c>
      <c r="S2502" s="19" t="s">
        <v>1009</v>
      </c>
      <c r="T2502" s="19" t="s">
        <v>7596</v>
      </c>
      <c r="U2502" s="19" t="str">
        <f aca="false">HYPERLINK("https://macaulaylibrary.org/asset/347767121","Open")</f>
        <v>Open</v>
      </c>
      <c r="V2502" s="19"/>
    </row>
    <row r="2503" customFormat="false" ht="15" hidden="false" customHeight="false" outlineLevel="0" collapsed="false">
      <c r="A2503" s="19" t="s">
        <v>7597</v>
      </c>
      <c r="B2503" s="19" t="s">
        <v>943</v>
      </c>
      <c r="C2503" s="19" t="s">
        <v>7202</v>
      </c>
      <c r="D2503" s="19" t="s">
        <v>400</v>
      </c>
      <c r="E2503" s="19" t="s">
        <v>147</v>
      </c>
      <c r="F2503" s="19" t="s">
        <v>649</v>
      </c>
      <c r="G2503" s="19" t="n">
        <v>79</v>
      </c>
      <c r="H2503" s="19" t="s">
        <v>650</v>
      </c>
      <c r="I2503" s="20" t="n">
        <v>28.21</v>
      </c>
      <c r="J2503" s="19" t="n">
        <f aca="false">IF(I2503="","",MIN(Overview!$B$8,MAX(1,CEILING(I2503/Overview!$B$7,1))))</f>
        <v>6</v>
      </c>
      <c r="K2503" s="19" t="n">
        <v>1</v>
      </c>
      <c r="L2503" s="19"/>
      <c r="M2503" s="20" t="n">
        <v>3</v>
      </c>
      <c r="N2503" s="19"/>
      <c r="O2503" s="19"/>
      <c r="P2503" s="19" t="s">
        <v>2398</v>
      </c>
      <c r="Q2503" s="19" t="s">
        <v>951</v>
      </c>
      <c r="R2503" s="21" t="n">
        <v>45222</v>
      </c>
      <c r="S2503" s="19" t="s">
        <v>1098</v>
      </c>
      <c r="T2503" s="19" t="s">
        <v>7598</v>
      </c>
      <c r="U2503" s="19" t="str">
        <f aca="false">HYPERLINK("https://macaulaylibrary.org/asset/610296789","Open")</f>
        <v>Open</v>
      </c>
      <c r="V2503" s="19"/>
    </row>
    <row r="2504" customFormat="false" ht="15" hidden="false" customHeight="false" outlineLevel="0" collapsed="false">
      <c r="A2504" s="19" t="s">
        <v>7599</v>
      </c>
      <c r="B2504" s="19" t="s">
        <v>943</v>
      </c>
      <c r="C2504" s="19" t="s">
        <v>7202</v>
      </c>
      <c r="D2504" s="19" t="s">
        <v>400</v>
      </c>
      <c r="E2504" s="19" t="s">
        <v>147</v>
      </c>
      <c r="F2504" s="19" t="s">
        <v>562</v>
      </c>
      <c r="G2504" s="19" t="n">
        <v>80</v>
      </c>
      <c r="H2504" s="19" t="s">
        <v>563</v>
      </c>
      <c r="I2504" s="20" t="n">
        <v>127.038</v>
      </c>
      <c r="J2504" s="19" t="n">
        <f aca="false">IF(I2504="","",MIN(Overview!$B$8,MAX(1,CEILING(I2504/Overview!$B$7,1))))</f>
        <v>26</v>
      </c>
      <c r="K2504" s="19" t="n">
        <v>1</v>
      </c>
      <c r="L2504" s="19"/>
      <c r="M2504" s="20" t="n">
        <v>2</v>
      </c>
      <c r="N2504" s="19"/>
      <c r="O2504" s="19"/>
      <c r="P2504" s="19" t="s">
        <v>1710</v>
      </c>
      <c r="Q2504" s="19" t="s">
        <v>1218</v>
      </c>
      <c r="R2504" s="21" t="n">
        <v>33331</v>
      </c>
      <c r="S2504" s="19" t="s">
        <v>7600</v>
      </c>
      <c r="T2504" s="19" t="s">
        <v>7601</v>
      </c>
      <c r="U2504" s="19" t="str">
        <f aca="false">HYPERLINK("https://macaulaylibrary.org/asset/76635","Open")</f>
        <v>Open</v>
      </c>
      <c r="V2504" s="19"/>
    </row>
    <row r="2505" customFormat="false" ht="15" hidden="false" customHeight="false" outlineLevel="0" collapsed="false">
      <c r="A2505" s="19" t="s">
        <v>7602</v>
      </c>
      <c r="B2505" s="19" t="s">
        <v>943</v>
      </c>
      <c r="C2505" s="19" t="s">
        <v>7202</v>
      </c>
      <c r="D2505" s="19" t="s">
        <v>148</v>
      </c>
      <c r="E2505" s="19" t="s">
        <v>147</v>
      </c>
      <c r="F2505" s="19" t="s">
        <v>265</v>
      </c>
      <c r="G2505" s="19" t="n">
        <v>81</v>
      </c>
      <c r="H2505" s="19" t="s">
        <v>266</v>
      </c>
      <c r="I2505" s="20" t="n">
        <v>123.196</v>
      </c>
      <c r="J2505" s="19" t="n">
        <f aca="false">IF(I2505="","",MIN(Overview!$B$8,MAX(1,CEILING(I2505/Overview!$B$7,1))))</f>
        <v>25</v>
      </c>
      <c r="K2505" s="19" t="n">
        <v>1</v>
      </c>
      <c r="L2505" s="19"/>
      <c r="M2505" s="20" t="n">
        <v>1</v>
      </c>
      <c r="N2505" s="19"/>
      <c r="O2505" s="19"/>
      <c r="P2505" s="19" t="s">
        <v>2342</v>
      </c>
      <c r="Q2505" s="19" t="s">
        <v>2343</v>
      </c>
      <c r="R2505" s="21" t="n">
        <v>31506</v>
      </c>
      <c r="S2505" s="19"/>
      <c r="T2505" s="19" t="s">
        <v>7603</v>
      </c>
      <c r="U2505" s="19" t="str">
        <f aca="false">HYPERLINK("https://macaulaylibrary.org/asset/249459","Open")</f>
        <v>Open</v>
      </c>
      <c r="V2505" s="19"/>
    </row>
    <row r="2506" customFormat="false" ht="15" hidden="false" customHeight="false" outlineLevel="0" collapsed="false">
      <c r="A2506" s="19" t="s">
        <v>7604</v>
      </c>
      <c r="B2506" s="19" t="s">
        <v>943</v>
      </c>
      <c r="C2506" s="19" t="s">
        <v>7202</v>
      </c>
      <c r="D2506" s="19" t="s">
        <v>148</v>
      </c>
      <c r="E2506" s="19" t="s">
        <v>147</v>
      </c>
      <c r="F2506" s="19" t="s">
        <v>265</v>
      </c>
      <c r="G2506" s="19" t="n">
        <v>81</v>
      </c>
      <c r="H2506" s="19" t="s">
        <v>266</v>
      </c>
      <c r="I2506" s="20" t="n">
        <v>40.162</v>
      </c>
      <c r="J2506" s="19" t="n">
        <f aca="false">IF(I2506="","",MIN(Overview!$B$8,MAX(1,CEILING(I2506/Overview!$B$7,1))))</f>
        <v>9</v>
      </c>
      <c r="K2506" s="19" t="n">
        <v>1</v>
      </c>
      <c r="L2506" s="19"/>
      <c r="M2506" s="20" t="n">
        <v>2</v>
      </c>
      <c r="N2506" s="19"/>
      <c r="O2506" s="19"/>
      <c r="P2506" s="19" t="s">
        <v>1140</v>
      </c>
      <c r="Q2506" s="19" t="s">
        <v>1030</v>
      </c>
      <c r="R2506" s="21" t="n">
        <v>40250</v>
      </c>
      <c r="S2506" s="19" t="s">
        <v>1118</v>
      </c>
      <c r="T2506" s="19" t="s">
        <v>7605</v>
      </c>
      <c r="U2506" s="19" t="str">
        <f aca="false">HYPERLINK("https://macaulaylibrary.org/asset/299547","Open")</f>
        <v>Open</v>
      </c>
      <c r="V2506" s="19"/>
    </row>
    <row r="2507" customFormat="false" ht="15" hidden="false" customHeight="false" outlineLevel="0" collapsed="false">
      <c r="A2507" s="19" t="s">
        <v>7606</v>
      </c>
      <c r="B2507" s="19" t="s">
        <v>943</v>
      </c>
      <c r="C2507" s="19" t="s">
        <v>7202</v>
      </c>
      <c r="D2507" s="19" t="s">
        <v>148</v>
      </c>
      <c r="E2507" s="19" t="s">
        <v>147</v>
      </c>
      <c r="F2507" s="19" t="s">
        <v>265</v>
      </c>
      <c r="G2507" s="19" t="n">
        <v>81</v>
      </c>
      <c r="H2507" s="19" t="s">
        <v>266</v>
      </c>
      <c r="I2507" s="20" t="n">
        <v>58.486</v>
      </c>
      <c r="J2507" s="19" t="n">
        <f aca="false">IF(I2507="","",MIN(Overview!$B$8,MAX(1,CEILING(I2507/Overview!$B$7,1))))</f>
        <v>12</v>
      </c>
      <c r="K2507" s="19" t="n">
        <v>1</v>
      </c>
      <c r="L2507" s="19"/>
      <c r="M2507" s="20"/>
      <c r="N2507" s="19"/>
      <c r="O2507" s="19"/>
      <c r="P2507" s="19" t="s">
        <v>1140</v>
      </c>
      <c r="Q2507" s="19" t="s">
        <v>1030</v>
      </c>
      <c r="R2507" s="21" t="n">
        <v>40250</v>
      </c>
      <c r="S2507" s="19" t="s">
        <v>1578</v>
      </c>
      <c r="T2507" s="19" t="s">
        <v>7607</v>
      </c>
      <c r="U2507" s="19" t="str">
        <f aca="false">HYPERLINK("https://macaulaylibrary.org/asset/299549","Open")</f>
        <v>Open</v>
      </c>
      <c r="V2507" s="19"/>
    </row>
    <row r="2508" customFormat="false" ht="15" hidden="false" customHeight="false" outlineLevel="0" collapsed="false">
      <c r="A2508" s="19" t="s">
        <v>7608</v>
      </c>
      <c r="B2508" s="19" t="s">
        <v>943</v>
      </c>
      <c r="C2508" s="19" t="s">
        <v>7202</v>
      </c>
      <c r="D2508" s="19" t="s">
        <v>148</v>
      </c>
      <c r="E2508" s="19" t="s">
        <v>147</v>
      </c>
      <c r="F2508" s="19" t="s">
        <v>419</v>
      </c>
      <c r="G2508" s="19" t="n">
        <v>82</v>
      </c>
      <c r="H2508" s="19" t="s">
        <v>420</v>
      </c>
      <c r="I2508" s="20" t="n">
        <v>41.783</v>
      </c>
      <c r="J2508" s="19" t="n">
        <f aca="false">IF(I2508="","",MIN(Overview!$B$8,MAX(1,CEILING(I2508/Overview!$B$7,1))))</f>
        <v>9</v>
      </c>
      <c r="K2508" s="19" t="n">
        <v>1</v>
      </c>
      <c r="L2508" s="19"/>
      <c r="M2508" s="20" t="n">
        <v>1</v>
      </c>
      <c r="N2508" s="19"/>
      <c r="O2508" s="19"/>
      <c r="P2508" s="19" t="s">
        <v>3803</v>
      </c>
      <c r="Q2508" s="19" t="s">
        <v>2343</v>
      </c>
      <c r="R2508" s="21" t="n">
        <v>32222</v>
      </c>
      <c r="S2508" s="19" t="s">
        <v>1658</v>
      </c>
      <c r="T2508" s="19" t="s">
        <v>7609</v>
      </c>
      <c r="U2508" s="19" t="str">
        <f aca="false">HYPERLINK("https://macaulaylibrary.org/asset/272470","Open")</f>
        <v>Open</v>
      </c>
      <c r="V2508" s="19" t="s">
        <v>3238</v>
      </c>
    </row>
    <row r="2509" customFormat="false" ht="15" hidden="false" customHeight="false" outlineLevel="0" collapsed="false">
      <c r="A2509" s="19" t="s">
        <v>7610</v>
      </c>
      <c r="B2509" s="19" t="s">
        <v>943</v>
      </c>
      <c r="C2509" s="19" t="s">
        <v>7202</v>
      </c>
      <c r="D2509" s="19" t="s">
        <v>148</v>
      </c>
      <c r="E2509" s="19" t="s">
        <v>147</v>
      </c>
      <c r="F2509" s="19" t="s">
        <v>419</v>
      </c>
      <c r="G2509" s="19" t="n">
        <v>82</v>
      </c>
      <c r="H2509" s="19" t="s">
        <v>420</v>
      </c>
      <c r="I2509" s="20" t="n">
        <v>69.443</v>
      </c>
      <c r="J2509" s="19" t="n">
        <f aca="false">IF(I2509="","",MIN(Overview!$B$8,MAX(1,CEILING(I2509/Overview!$B$7,1))))</f>
        <v>14</v>
      </c>
      <c r="K2509" s="19" t="n">
        <v>1</v>
      </c>
      <c r="L2509" s="19"/>
      <c r="M2509" s="20" t="n">
        <v>3</v>
      </c>
      <c r="N2509" s="19"/>
      <c r="O2509" s="19" t="s">
        <v>144</v>
      </c>
      <c r="P2509" s="19" t="s">
        <v>1733</v>
      </c>
      <c r="Q2509" s="19" t="s">
        <v>1136</v>
      </c>
      <c r="R2509" s="21" t="n">
        <v>29732</v>
      </c>
      <c r="S2509" s="19" t="s">
        <v>3577</v>
      </c>
      <c r="T2509" s="19" t="s">
        <v>7611</v>
      </c>
      <c r="U2509" s="19" t="str">
        <f aca="false">HYPERLINK("https://macaulaylibrary.org/asset/28152","Open")</f>
        <v>Open</v>
      </c>
      <c r="V2509" s="19" t="s">
        <v>3238</v>
      </c>
    </row>
    <row r="2510" customFormat="false" ht="15" hidden="false" customHeight="false" outlineLevel="0" collapsed="false">
      <c r="A2510" s="19" t="s">
        <v>7612</v>
      </c>
      <c r="B2510" s="19" t="s">
        <v>943</v>
      </c>
      <c r="C2510" s="19" t="s">
        <v>7202</v>
      </c>
      <c r="D2510" s="19" t="s">
        <v>148</v>
      </c>
      <c r="E2510" s="19" t="s">
        <v>147</v>
      </c>
      <c r="F2510" s="19" t="s">
        <v>310</v>
      </c>
      <c r="G2510" s="19" t="n">
        <v>83</v>
      </c>
      <c r="H2510" s="19" t="s">
        <v>311</v>
      </c>
      <c r="I2510" s="20" t="n">
        <v>194.667</v>
      </c>
      <c r="J2510" s="19" t="n">
        <f aca="false">IF(I2510="","",MIN(Overview!$B$8,MAX(1,CEILING(I2510/Overview!$B$7,1))))</f>
        <v>39</v>
      </c>
      <c r="K2510" s="19" t="n">
        <v>1</v>
      </c>
      <c r="L2510" s="19"/>
      <c r="M2510" s="20" t="n">
        <v>2</v>
      </c>
      <c r="N2510" s="19"/>
      <c r="O2510" s="19" t="s">
        <v>243</v>
      </c>
      <c r="P2510" s="19" t="s">
        <v>4672</v>
      </c>
      <c r="Q2510" s="19" t="s">
        <v>1218</v>
      </c>
      <c r="R2510" s="21" t="n">
        <v>34806</v>
      </c>
      <c r="S2510" s="19" t="s">
        <v>1122</v>
      </c>
      <c r="T2510" s="19" t="s">
        <v>7613</v>
      </c>
      <c r="U2510" s="19" t="str">
        <f aca="false">HYPERLINK("https://macaulaylibrary.org/asset/184209","Open")</f>
        <v>Open</v>
      </c>
      <c r="V2510" s="19"/>
    </row>
    <row r="2511" customFormat="false" ht="15" hidden="false" customHeight="false" outlineLevel="0" collapsed="false">
      <c r="A2511" s="19" t="s">
        <v>7614</v>
      </c>
      <c r="B2511" s="19" t="s">
        <v>943</v>
      </c>
      <c r="C2511" s="19" t="s">
        <v>7202</v>
      </c>
      <c r="D2511" s="19" t="s">
        <v>148</v>
      </c>
      <c r="E2511" s="19" t="s">
        <v>147</v>
      </c>
      <c r="F2511" s="19" t="s">
        <v>310</v>
      </c>
      <c r="G2511" s="19" t="n">
        <v>83</v>
      </c>
      <c r="H2511" s="19" t="s">
        <v>311</v>
      </c>
      <c r="I2511" s="20" t="n">
        <v>43.423</v>
      </c>
      <c r="J2511" s="19" t="n">
        <f aca="false">IF(I2511="","",MIN(Overview!$B$8,MAX(1,CEILING(I2511/Overview!$B$7,1))))</f>
        <v>9</v>
      </c>
      <c r="K2511" s="19" t="n">
        <v>1</v>
      </c>
      <c r="L2511" s="19"/>
      <c r="M2511" s="20" t="n">
        <v>2</v>
      </c>
      <c r="N2511" s="19"/>
      <c r="O2511" s="19" t="s">
        <v>144</v>
      </c>
      <c r="P2511" s="19" t="s">
        <v>2078</v>
      </c>
      <c r="Q2511" s="19" t="s">
        <v>2079</v>
      </c>
      <c r="R2511" s="21" t="n">
        <v>43511</v>
      </c>
      <c r="S2511" s="19" t="s">
        <v>2056</v>
      </c>
      <c r="T2511" s="19" t="s">
        <v>7615</v>
      </c>
      <c r="U2511" s="19" t="str">
        <f aca="false">HYPERLINK("https://macaulaylibrary.org/asset/246391741","Open")</f>
        <v>Open</v>
      </c>
      <c r="V2511" s="19"/>
    </row>
    <row r="2512" customFormat="false" ht="15" hidden="false" customHeight="false" outlineLevel="0" collapsed="false">
      <c r="A2512" s="19" t="s">
        <v>7616</v>
      </c>
      <c r="B2512" s="19" t="s">
        <v>943</v>
      </c>
      <c r="C2512" s="19" t="s">
        <v>7202</v>
      </c>
      <c r="D2512" s="19" t="s">
        <v>148</v>
      </c>
      <c r="E2512" s="19" t="s">
        <v>147</v>
      </c>
      <c r="F2512" s="19" t="s">
        <v>310</v>
      </c>
      <c r="G2512" s="19" t="n">
        <v>83</v>
      </c>
      <c r="H2512" s="19" t="s">
        <v>311</v>
      </c>
      <c r="I2512" s="20" t="n">
        <v>77.382</v>
      </c>
      <c r="J2512" s="19" t="n">
        <f aca="false">IF(I2512="","",MIN(Overview!$B$8,MAX(1,CEILING(I2512/Overview!$B$7,1))))</f>
        <v>16</v>
      </c>
      <c r="K2512" s="19" t="n">
        <v>1</v>
      </c>
      <c r="L2512" s="19"/>
      <c r="M2512" s="20" t="n">
        <v>4</v>
      </c>
      <c r="N2512" s="19"/>
      <c r="O2512" s="19"/>
      <c r="P2512" s="19" t="s">
        <v>2743</v>
      </c>
      <c r="Q2512" s="19" t="s">
        <v>2744</v>
      </c>
      <c r="R2512" s="21" t="n">
        <v>44469</v>
      </c>
      <c r="S2512" s="19" t="s">
        <v>2745</v>
      </c>
      <c r="T2512" s="19" t="s">
        <v>7617</v>
      </c>
      <c r="U2512" s="19" t="str">
        <f aca="false">HYPERLINK("https://macaulaylibrary.org/asset/655764134","Open")</f>
        <v>Open</v>
      </c>
      <c r="V2512" s="19"/>
    </row>
    <row r="2513" customFormat="false" ht="15" hidden="false" customHeight="false" outlineLevel="0" collapsed="false">
      <c r="A2513" s="19" t="s">
        <v>7618</v>
      </c>
      <c r="B2513" s="19" t="s">
        <v>943</v>
      </c>
      <c r="C2513" s="19" t="s">
        <v>7202</v>
      </c>
      <c r="D2513" s="19" t="s">
        <v>613</v>
      </c>
      <c r="E2513" s="19" t="s">
        <v>147</v>
      </c>
      <c r="F2513" s="19" t="s">
        <v>805</v>
      </c>
      <c r="G2513" s="19" t="n">
        <v>84</v>
      </c>
      <c r="H2513" s="19" t="s">
        <v>806</v>
      </c>
      <c r="I2513" s="20" t="n">
        <v>165.763</v>
      </c>
      <c r="J2513" s="19" t="n">
        <f aca="false">IF(I2513="","",MIN(Overview!$B$8,MAX(1,CEILING(I2513/Overview!$B$7,1))))</f>
        <v>34</v>
      </c>
      <c r="K2513" s="19" t="n">
        <v>1</v>
      </c>
      <c r="L2513" s="19"/>
      <c r="M2513" s="20" t="n">
        <v>2.4</v>
      </c>
      <c r="N2513" s="19"/>
      <c r="O2513" s="19"/>
      <c r="P2513" s="19" t="s">
        <v>3382</v>
      </c>
      <c r="Q2513" s="19" t="s">
        <v>980</v>
      </c>
      <c r="R2513" s="21" t="n">
        <v>32229</v>
      </c>
      <c r="S2513" s="19" t="s">
        <v>2787</v>
      </c>
      <c r="T2513" s="19" t="s">
        <v>7619</v>
      </c>
      <c r="U2513" s="19" t="str">
        <f aca="false">HYPERLINK("https://macaulaylibrary.org/asset/74216","Open")</f>
        <v>Open</v>
      </c>
      <c r="V2513" s="19"/>
    </row>
    <row r="2514" customFormat="false" ht="15" hidden="false" customHeight="false" outlineLevel="0" collapsed="false">
      <c r="A2514" s="19" t="s">
        <v>7620</v>
      </c>
      <c r="B2514" s="19" t="s">
        <v>943</v>
      </c>
      <c r="C2514" s="19" t="s">
        <v>7202</v>
      </c>
      <c r="D2514" s="19" t="s">
        <v>148</v>
      </c>
      <c r="E2514" s="19" t="s">
        <v>147</v>
      </c>
      <c r="F2514" s="19" t="s">
        <v>286</v>
      </c>
      <c r="G2514" s="19" t="n">
        <v>85</v>
      </c>
      <c r="H2514" s="19" t="s">
        <v>287</v>
      </c>
      <c r="I2514" s="20" t="n">
        <v>28.647</v>
      </c>
      <c r="J2514" s="19" t="n">
        <f aca="false">IF(I2514="","",MIN(Overview!$B$8,MAX(1,CEILING(I2514/Overview!$B$7,1))))</f>
        <v>6</v>
      </c>
      <c r="K2514" s="19" t="n">
        <v>1</v>
      </c>
      <c r="L2514" s="19"/>
      <c r="M2514" s="20" t="n">
        <v>2</v>
      </c>
      <c r="N2514" s="19"/>
      <c r="O2514" s="19"/>
      <c r="P2514" s="19" t="s">
        <v>2523</v>
      </c>
      <c r="Q2514" s="19" t="s">
        <v>1592</v>
      </c>
      <c r="R2514" s="21" t="n">
        <v>30405</v>
      </c>
      <c r="S2514" s="19" t="s">
        <v>1002</v>
      </c>
      <c r="T2514" s="19" t="s">
        <v>7621</v>
      </c>
      <c r="U2514" s="19" t="str">
        <f aca="false">HYPERLINK("https://macaulaylibrary.org/asset/39238","Open")</f>
        <v>Open</v>
      </c>
      <c r="V2514" s="19"/>
    </row>
    <row r="2515" customFormat="false" ht="15" hidden="false" customHeight="false" outlineLevel="0" collapsed="false">
      <c r="A2515" s="19" t="s">
        <v>7622</v>
      </c>
      <c r="B2515" s="19" t="s">
        <v>943</v>
      </c>
      <c r="C2515" s="19" t="s">
        <v>7202</v>
      </c>
      <c r="D2515" s="19" t="s">
        <v>148</v>
      </c>
      <c r="E2515" s="19" t="s">
        <v>147</v>
      </c>
      <c r="F2515" s="19" t="s">
        <v>286</v>
      </c>
      <c r="G2515" s="19" t="n">
        <v>85</v>
      </c>
      <c r="H2515" s="19" t="s">
        <v>287</v>
      </c>
      <c r="I2515" s="20" t="n">
        <v>17.92</v>
      </c>
      <c r="J2515" s="19" t="n">
        <f aca="false">IF(I2515="","",MIN(Overview!$B$8,MAX(1,CEILING(I2515/Overview!$B$7,1))))</f>
        <v>4</v>
      </c>
      <c r="K2515" s="19" t="n">
        <v>1</v>
      </c>
      <c r="L2515" s="19"/>
      <c r="M2515" s="20" t="n">
        <v>3.5</v>
      </c>
      <c r="N2515" s="19"/>
      <c r="O2515" s="19"/>
      <c r="P2515" s="19" t="s">
        <v>3170</v>
      </c>
      <c r="Q2515" s="19" t="s">
        <v>965</v>
      </c>
      <c r="R2515" s="21" t="n">
        <v>45641</v>
      </c>
      <c r="S2515" s="19" t="s">
        <v>966</v>
      </c>
      <c r="T2515" s="19" t="s">
        <v>7623</v>
      </c>
      <c r="U2515" s="19" t="str">
        <f aca="false">HYPERLINK("https://macaulaylibrary.org/asset/627958299","Open")</f>
        <v>Open</v>
      </c>
      <c r="V2515" s="19"/>
    </row>
    <row r="2516" customFormat="false" ht="15" hidden="false" customHeight="false" outlineLevel="0" collapsed="false">
      <c r="A2516" s="19" t="s">
        <v>7624</v>
      </c>
      <c r="B2516" s="19" t="s">
        <v>943</v>
      </c>
      <c r="C2516" s="19" t="s">
        <v>7202</v>
      </c>
      <c r="D2516" s="19" t="s">
        <v>148</v>
      </c>
      <c r="E2516" s="19" t="s">
        <v>147</v>
      </c>
      <c r="F2516" s="19" t="s">
        <v>286</v>
      </c>
      <c r="G2516" s="19" t="n">
        <v>85</v>
      </c>
      <c r="H2516" s="19" t="s">
        <v>287</v>
      </c>
      <c r="I2516" s="20" t="n">
        <v>12.32</v>
      </c>
      <c r="J2516" s="19" t="n">
        <f aca="false">IF(I2516="","",MIN(Overview!$B$8,MAX(1,CEILING(I2516/Overview!$B$7,1))))</f>
        <v>3</v>
      </c>
      <c r="K2516" s="19" t="n">
        <v>1</v>
      </c>
      <c r="L2516" s="19"/>
      <c r="M2516" s="20" t="n">
        <v>2.67</v>
      </c>
      <c r="N2516" s="19"/>
      <c r="O2516" s="19"/>
      <c r="P2516" s="19" t="s">
        <v>3170</v>
      </c>
      <c r="Q2516" s="19" t="s">
        <v>965</v>
      </c>
      <c r="R2516" s="21" t="n">
        <v>45641</v>
      </c>
      <c r="S2516" s="19" t="s">
        <v>966</v>
      </c>
      <c r="T2516" s="19" t="s">
        <v>7625</v>
      </c>
      <c r="U2516" s="19" t="str">
        <f aca="false">HYPERLINK("https://macaulaylibrary.org/asset/627958300","Open")</f>
        <v>Open</v>
      </c>
      <c r="V2516" s="19"/>
    </row>
    <row r="2517" customFormat="false" ht="15" hidden="false" customHeight="false" outlineLevel="0" collapsed="false">
      <c r="A2517" s="19" t="s">
        <v>7626</v>
      </c>
      <c r="B2517" s="19" t="s">
        <v>943</v>
      </c>
      <c r="C2517" s="19" t="s">
        <v>7202</v>
      </c>
      <c r="D2517" s="19" t="s">
        <v>148</v>
      </c>
      <c r="E2517" s="19" t="s">
        <v>147</v>
      </c>
      <c r="F2517" s="19" t="s">
        <v>316</v>
      </c>
      <c r="G2517" s="19" t="n">
        <v>86</v>
      </c>
      <c r="H2517" s="19" t="s">
        <v>317</v>
      </c>
      <c r="I2517" s="20" t="n">
        <v>20.233</v>
      </c>
      <c r="J2517" s="19" t="n">
        <f aca="false">IF(I2517="","",MIN(Overview!$B$8,MAX(1,CEILING(I2517/Overview!$B$7,1))))</f>
        <v>5</v>
      </c>
      <c r="K2517" s="19" t="n">
        <v>1</v>
      </c>
      <c r="L2517" s="19"/>
      <c r="M2517" s="20" t="n">
        <v>3</v>
      </c>
      <c r="N2517" s="19"/>
      <c r="O2517" s="19"/>
      <c r="P2517" s="19" t="s">
        <v>1062</v>
      </c>
      <c r="Q2517" s="19" t="s">
        <v>1063</v>
      </c>
      <c r="R2517" s="21" t="n">
        <v>44086</v>
      </c>
      <c r="S2517" s="19" t="s">
        <v>1064</v>
      </c>
      <c r="T2517" s="19" t="s">
        <v>7627</v>
      </c>
      <c r="U2517" s="19" t="str">
        <f aca="false">HYPERLINK("https://macaulaylibrary.org/asset/266214141","Open")</f>
        <v>Open</v>
      </c>
      <c r="V2517" s="19"/>
    </row>
    <row r="2518" customFormat="false" ht="15" hidden="false" customHeight="false" outlineLevel="0" collapsed="false">
      <c r="A2518" s="19" t="s">
        <v>7628</v>
      </c>
      <c r="B2518" s="19" t="s">
        <v>943</v>
      </c>
      <c r="C2518" s="19" t="s">
        <v>7202</v>
      </c>
      <c r="D2518" s="19" t="s">
        <v>148</v>
      </c>
      <c r="E2518" s="19" t="s">
        <v>147</v>
      </c>
      <c r="F2518" s="19" t="s">
        <v>316</v>
      </c>
      <c r="G2518" s="19" t="n">
        <v>86</v>
      </c>
      <c r="H2518" s="19" t="s">
        <v>317</v>
      </c>
      <c r="I2518" s="20" t="n">
        <v>21.682</v>
      </c>
      <c r="J2518" s="19" t="n">
        <f aca="false">IF(I2518="","",MIN(Overview!$B$8,MAX(1,CEILING(I2518/Overview!$B$7,1))))</f>
        <v>5</v>
      </c>
      <c r="K2518" s="19" t="n">
        <v>1</v>
      </c>
      <c r="L2518" s="19"/>
      <c r="M2518" s="20"/>
      <c r="N2518" s="19"/>
      <c r="O2518" s="19"/>
      <c r="P2518" s="19" t="s">
        <v>1278</v>
      </c>
      <c r="Q2518" s="19" t="s">
        <v>1030</v>
      </c>
      <c r="R2518" s="21" t="n">
        <v>33597</v>
      </c>
      <c r="S2518" s="19" t="s">
        <v>1013</v>
      </c>
      <c r="T2518" s="19" t="s">
        <v>7629</v>
      </c>
      <c r="U2518" s="19" t="str">
        <f aca="false">HYPERLINK("https://macaulaylibrary.org/asset/285620","Open")</f>
        <v>Open</v>
      </c>
      <c r="V2518" s="19"/>
    </row>
    <row r="2519" customFormat="false" ht="15" hidden="false" customHeight="false" outlineLevel="0" collapsed="false">
      <c r="A2519" s="19" t="s">
        <v>7630</v>
      </c>
      <c r="B2519" s="19" t="s">
        <v>943</v>
      </c>
      <c r="C2519" s="19" t="s">
        <v>7202</v>
      </c>
      <c r="D2519" s="19" t="s">
        <v>148</v>
      </c>
      <c r="E2519" s="19" t="s">
        <v>147</v>
      </c>
      <c r="F2519" s="19" t="s">
        <v>316</v>
      </c>
      <c r="G2519" s="19" t="n">
        <v>86</v>
      </c>
      <c r="H2519" s="19" t="s">
        <v>317</v>
      </c>
      <c r="I2519" s="20" t="n">
        <v>20.062</v>
      </c>
      <c r="J2519" s="19" t="n">
        <f aca="false">IF(I2519="","",MIN(Overview!$B$8,MAX(1,CEILING(I2519/Overview!$B$7,1))))</f>
        <v>5</v>
      </c>
      <c r="K2519" s="19" t="n">
        <v>1</v>
      </c>
      <c r="L2519" s="19"/>
      <c r="M2519" s="20" t="n">
        <v>3.33</v>
      </c>
      <c r="N2519" s="19"/>
      <c r="O2519" s="19"/>
      <c r="P2519" s="19" t="s">
        <v>7631</v>
      </c>
      <c r="Q2519" s="19" t="s">
        <v>2761</v>
      </c>
      <c r="R2519" s="21" t="n">
        <v>42751</v>
      </c>
      <c r="S2519" s="19" t="s">
        <v>1002</v>
      </c>
      <c r="T2519" s="19" t="s">
        <v>7632</v>
      </c>
      <c r="U2519" s="19" t="str">
        <f aca="false">HYPERLINK("https://macaulaylibrary.org/asset/65099511","Open")</f>
        <v>Open</v>
      </c>
      <c r="V2519" s="19"/>
    </row>
    <row r="2520" customFormat="false" ht="15" hidden="false" customHeight="false" outlineLevel="0" collapsed="false">
      <c r="A2520" s="19" t="s">
        <v>7633</v>
      </c>
      <c r="B2520" s="19" t="s">
        <v>943</v>
      </c>
      <c r="C2520" s="19" t="s">
        <v>7202</v>
      </c>
      <c r="D2520" s="19" t="s">
        <v>613</v>
      </c>
      <c r="E2520" s="19" t="s">
        <v>147</v>
      </c>
      <c r="F2520" s="19" t="s">
        <v>808</v>
      </c>
      <c r="G2520" s="19" t="n">
        <v>87</v>
      </c>
      <c r="H2520" s="19" t="s">
        <v>809</v>
      </c>
      <c r="I2520" s="20" t="n">
        <v>3.438</v>
      </c>
      <c r="J2520" s="19" t="n">
        <f aca="false">IF(I2520="","",MIN(Overview!$B$8,MAX(1,CEILING(I2520/Overview!$B$7,1))))</f>
        <v>1</v>
      </c>
      <c r="K2520" s="19" t="n">
        <v>1</v>
      </c>
      <c r="L2520" s="19" t="s">
        <v>1048</v>
      </c>
      <c r="M2520" s="20" t="n">
        <v>3</v>
      </c>
      <c r="N2520" s="19"/>
      <c r="O2520" s="19"/>
      <c r="P2520" s="19" t="s">
        <v>2119</v>
      </c>
      <c r="Q2520" s="19" t="s">
        <v>1368</v>
      </c>
      <c r="R2520" s="21" t="n">
        <v>45489</v>
      </c>
      <c r="S2520" s="19" t="s">
        <v>1211</v>
      </c>
      <c r="T2520" s="19" t="s">
        <v>7634</v>
      </c>
      <c r="U2520" s="19" t="str">
        <f aca="false">HYPERLINK("https://macaulaylibrary.org/asset/631664544","Open")</f>
        <v>Open</v>
      </c>
      <c r="V2520" s="19"/>
    </row>
    <row r="2521" customFormat="false" ht="15" hidden="false" customHeight="false" outlineLevel="0" collapsed="false">
      <c r="A2521" s="19" t="s">
        <v>7635</v>
      </c>
      <c r="B2521" s="19" t="s">
        <v>943</v>
      </c>
      <c r="C2521" s="19" t="s">
        <v>7202</v>
      </c>
      <c r="D2521" s="19" t="s">
        <v>148</v>
      </c>
      <c r="E2521" s="19" t="s">
        <v>147</v>
      </c>
      <c r="F2521" s="19" t="s">
        <v>249</v>
      </c>
      <c r="G2521" s="19" t="n">
        <v>90</v>
      </c>
      <c r="H2521" s="19" t="s">
        <v>250</v>
      </c>
      <c r="I2521" s="20" t="n">
        <v>40.686</v>
      </c>
      <c r="J2521" s="19" t="n">
        <f aca="false">IF(I2521="","",MIN(Overview!$B$8,MAX(1,CEILING(I2521/Overview!$B$7,1))))</f>
        <v>9</v>
      </c>
      <c r="K2521" s="19" t="n">
        <v>1</v>
      </c>
      <c r="L2521" s="19"/>
      <c r="M2521" s="20" t="n">
        <v>3.5</v>
      </c>
      <c r="N2521" s="19"/>
      <c r="O2521" s="19"/>
      <c r="P2521" s="19" t="s">
        <v>1664</v>
      </c>
      <c r="Q2521" s="19" t="s">
        <v>1021</v>
      </c>
      <c r="R2521" s="21" t="n">
        <v>35866</v>
      </c>
      <c r="S2521" s="19" t="s">
        <v>1279</v>
      </c>
      <c r="T2521" s="19" t="s">
        <v>7636</v>
      </c>
      <c r="U2521" s="19" t="str">
        <f aca="false">HYPERLINK("https://macaulaylibrary.org/asset/102627011","Open")</f>
        <v>Open</v>
      </c>
      <c r="V2521" s="19"/>
    </row>
    <row r="2522" customFormat="false" ht="15" hidden="false" customHeight="false" outlineLevel="0" collapsed="false">
      <c r="A2522" s="19" t="s">
        <v>7637</v>
      </c>
      <c r="B2522" s="19" t="s">
        <v>943</v>
      </c>
      <c r="C2522" s="19" t="s">
        <v>7202</v>
      </c>
      <c r="D2522" s="19" t="s">
        <v>148</v>
      </c>
      <c r="E2522" s="19" t="s">
        <v>147</v>
      </c>
      <c r="F2522" s="19" t="s">
        <v>249</v>
      </c>
      <c r="G2522" s="19" t="n">
        <v>90</v>
      </c>
      <c r="H2522" s="19" t="s">
        <v>250</v>
      </c>
      <c r="I2522" s="20" t="n">
        <v>81.153</v>
      </c>
      <c r="J2522" s="19" t="n">
        <f aca="false">IF(I2522="","",MIN(Overview!$B$8,MAX(1,CEILING(I2522/Overview!$B$7,1))))</f>
        <v>17</v>
      </c>
      <c r="K2522" s="19" t="n">
        <v>1</v>
      </c>
      <c r="L2522" s="19"/>
      <c r="M2522" s="20" t="n">
        <v>3.67</v>
      </c>
      <c r="N2522" s="19"/>
      <c r="O2522" s="19"/>
      <c r="P2522" s="19" t="s">
        <v>1390</v>
      </c>
      <c r="Q2522" s="19" t="s">
        <v>1021</v>
      </c>
      <c r="R2522" s="21" t="n">
        <v>36596</v>
      </c>
      <c r="S2522" s="19" t="s">
        <v>1137</v>
      </c>
      <c r="T2522" s="19" t="s">
        <v>7638</v>
      </c>
      <c r="U2522" s="19" t="str">
        <f aca="false">HYPERLINK("https://macaulaylibrary.org/asset/145178641","Open")</f>
        <v>Open</v>
      </c>
      <c r="V2522" s="19"/>
    </row>
    <row r="2523" customFormat="false" ht="15" hidden="false" customHeight="false" outlineLevel="0" collapsed="false">
      <c r="A2523" s="19" t="s">
        <v>7639</v>
      </c>
      <c r="B2523" s="19" t="s">
        <v>943</v>
      </c>
      <c r="C2523" s="19" t="s">
        <v>7202</v>
      </c>
      <c r="D2523" s="19" t="s">
        <v>148</v>
      </c>
      <c r="E2523" s="19" t="s">
        <v>147</v>
      </c>
      <c r="F2523" s="19" t="s">
        <v>249</v>
      </c>
      <c r="G2523" s="19" t="n">
        <v>90</v>
      </c>
      <c r="H2523" s="19" t="s">
        <v>250</v>
      </c>
      <c r="I2523" s="20" t="n">
        <v>25.722</v>
      </c>
      <c r="J2523" s="19" t="n">
        <f aca="false">IF(I2523="","",MIN(Overview!$B$8,MAX(1,CEILING(I2523/Overview!$B$7,1))))</f>
        <v>6</v>
      </c>
      <c r="K2523" s="19" t="n">
        <v>1</v>
      </c>
      <c r="L2523" s="19"/>
      <c r="M2523" s="20" t="n">
        <v>2.5</v>
      </c>
      <c r="N2523" s="19"/>
      <c r="O2523" s="19"/>
      <c r="P2523" s="19" t="s">
        <v>2613</v>
      </c>
      <c r="Q2523" s="19" t="s">
        <v>1368</v>
      </c>
      <c r="R2523" s="21" t="n">
        <v>45490</v>
      </c>
      <c r="S2523" s="19" t="s">
        <v>1137</v>
      </c>
      <c r="T2523" s="19" t="s">
        <v>7640</v>
      </c>
      <c r="U2523" s="19" t="str">
        <f aca="false">HYPERLINK("https://macaulaylibrary.org/asset/623042223","Open")</f>
        <v>Open</v>
      </c>
      <c r="V2523" s="19"/>
    </row>
    <row r="2524" customFormat="false" ht="15" hidden="false" customHeight="false" outlineLevel="0" collapsed="false">
      <c r="A2524" s="19" t="s">
        <v>7641</v>
      </c>
      <c r="B2524" s="19" t="s">
        <v>943</v>
      </c>
      <c r="C2524" s="19" t="s">
        <v>7202</v>
      </c>
      <c r="D2524" s="19" t="s">
        <v>148</v>
      </c>
      <c r="E2524" s="19" t="s">
        <v>147</v>
      </c>
      <c r="F2524" s="19" t="s">
        <v>249</v>
      </c>
      <c r="G2524" s="19" t="n">
        <v>90</v>
      </c>
      <c r="H2524" s="19" t="s">
        <v>250</v>
      </c>
      <c r="I2524" s="20" t="n">
        <v>17.889</v>
      </c>
      <c r="J2524" s="19" t="n">
        <f aca="false">IF(I2524="","",MIN(Overview!$B$8,MAX(1,CEILING(I2524/Overview!$B$7,1))))</f>
        <v>4</v>
      </c>
      <c r="K2524" s="19" t="n">
        <v>1</v>
      </c>
      <c r="L2524" s="19"/>
      <c r="M2524" s="20" t="n">
        <v>3.33</v>
      </c>
      <c r="N2524" s="19"/>
      <c r="O2524" s="19"/>
      <c r="P2524" s="19" t="s">
        <v>2613</v>
      </c>
      <c r="Q2524" s="19" t="s">
        <v>1368</v>
      </c>
      <c r="R2524" s="21" t="n">
        <v>45490</v>
      </c>
      <c r="S2524" s="19" t="s">
        <v>1137</v>
      </c>
      <c r="T2524" s="19" t="s">
        <v>7642</v>
      </c>
      <c r="U2524" s="19" t="str">
        <f aca="false">HYPERLINK("https://macaulaylibrary.org/asset/623042663","Open")</f>
        <v>Open</v>
      </c>
      <c r="V2524" s="19"/>
    </row>
    <row r="2525" customFormat="false" ht="15" hidden="false" customHeight="false" outlineLevel="0" collapsed="false">
      <c r="A2525" s="19" t="s">
        <v>7643</v>
      </c>
      <c r="B2525" s="19" t="s">
        <v>943</v>
      </c>
      <c r="C2525" s="19" t="s">
        <v>7202</v>
      </c>
      <c r="D2525" s="19" t="s">
        <v>400</v>
      </c>
      <c r="E2525" s="19" t="s">
        <v>147</v>
      </c>
      <c r="F2525" s="19" t="s">
        <v>532</v>
      </c>
      <c r="G2525" s="19" t="n">
        <v>91</v>
      </c>
      <c r="H2525" s="19" t="s">
        <v>533</v>
      </c>
      <c r="I2525" s="20" t="n">
        <v>40.48</v>
      </c>
      <c r="J2525" s="19" t="n">
        <f aca="false">IF(I2525="","",MIN(Overview!$B$8,MAX(1,CEILING(I2525/Overview!$B$7,1))))</f>
        <v>9</v>
      </c>
      <c r="K2525" s="19" t="n">
        <v>1</v>
      </c>
      <c r="L2525" s="19"/>
      <c r="M2525" s="20" t="n">
        <v>3</v>
      </c>
      <c r="N2525" s="19"/>
      <c r="O2525" s="19"/>
      <c r="P2525" s="19" t="s">
        <v>4408</v>
      </c>
      <c r="Q2525" s="19" t="s">
        <v>965</v>
      </c>
      <c r="R2525" s="21" t="n">
        <v>46012</v>
      </c>
      <c r="S2525" s="19" t="s">
        <v>4409</v>
      </c>
      <c r="T2525" s="19" t="s">
        <v>7644</v>
      </c>
      <c r="U2525" s="19" t="str">
        <f aca="false">HYPERLINK("https://macaulaylibrary.org/asset/647390438","Open")</f>
        <v>Open</v>
      </c>
      <c r="V2525" s="19"/>
    </row>
    <row r="2526" customFormat="false" ht="15" hidden="false" customHeight="false" outlineLevel="0" collapsed="false">
      <c r="A2526" s="19" t="s">
        <v>7645</v>
      </c>
      <c r="B2526" s="19" t="s">
        <v>943</v>
      </c>
      <c r="C2526" s="19" t="s">
        <v>7202</v>
      </c>
      <c r="D2526" s="19" t="s">
        <v>400</v>
      </c>
      <c r="E2526" s="19" t="s">
        <v>147</v>
      </c>
      <c r="F2526" s="19" t="s">
        <v>652</v>
      </c>
      <c r="G2526" s="19" t="n">
        <v>92</v>
      </c>
      <c r="H2526" s="19" t="s">
        <v>653</v>
      </c>
      <c r="I2526" s="20" t="n">
        <v>99.43</v>
      </c>
      <c r="J2526" s="19" t="n">
        <f aca="false">IF(I2526="","",MIN(Overview!$B$8,MAX(1,CEILING(I2526/Overview!$B$7,1))))</f>
        <v>20</v>
      </c>
      <c r="K2526" s="19" t="n">
        <v>1</v>
      </c>
      <c r="L2526" s="19"/>
      <c r="M2526" s="20" t="n">
        <v>3</v>
      </c>
      <c r="N2526" s="19"/>
      <c r="O2526" s="19"/>
      <c r="P2526" s="19" t="s">
        <v>1570</v>
      </c>
      <c r="Q2526" s="19" t="s">
        <v>980</v>
      </c>
      <c r="R2526" s="21" t="n">
        <v>33295</v>
      </c>
      <c r="S2526" s="19" t="s">
        <v>1002</v>
      </c>
      <c r="T2526" s="19" t="s">
        <v>7646</v>
      </c>
      <c r="U2526" s="19" t="str">
        <f aca="false">HYPERLINK("https://macaulaylibrary.org/asset/72608","Open")</f>
        <v>Open</v>
      </c>
      <c r="V2526" s="19"/>
    </row>
    <row r="2527" customFormat="false" ht="15" hidden="false" customHeight="false" outlineLevel="0" collapsed="false">
      <c r="A2527" s="19" t="s">
        <v>7647</v>
      </c>
      <c r="B2527" s="19" t="s">
        <v>943</v>
      </c>
      <c r="C2527" s="19" t="s">
        <v>7202</v>
      </c>
      <c r="D2527" s="19" t="s">
        <v>613</v>
      </c>
      <c r="E2527" s="19" t="s">
        <v>147</v>
      </c>
      <c r="F2527" s="19" t="s">
        <v>811</v>
      </c>
      <c r="G2527" s="19" t="n">
        <v>93</v>
      </c>
      <c r="H2527" s="19" t="s">
        <v>812</v>
      </c>
      <c r="I2527" s="20" t="n">
        <v>127.952</v>
      </c>
      <c r="J2527" s="19" t="n">
        <f aca="false">IF(I2527="","",MIN(Overview!$B$8,MAX(1,CEILING(I2527/Overview!$B$7,1))))</f>
        <v>26</v>
      </c>
      <c r="K2527" s="19" t="n">
        <v>1</v>
      </c>
      <c r="L2527" s="19"/>
      <c r="M2527" s="20" t="n">
        <v>2</v>
      </c>
      <c r="N2527" s="19"/>
      <c r="O2527" s="19"/>
      <c r="P2527" s="19" t="s">
        <v>1115</v>
      </c>
      <c r="Q2527" s="19" t="s">
        <v>980</v>
      </c>
      <c r="R2527" s="21" t="n">
        <v>34125</v>
      </c>
      <c r="S2527" s="19"/>
      <c r="T2527" s="19" t="s">
        <v>7648</v>
      </c>
      <c r="U2527" s="19" t="str">
        <f aca="false">HYPERLINK("https://macaulaylibrary.org/asset/209484","Open")</f>
        <v>Open</v>
      </c>
      <c r="V2527" s="19"/>
    </row>
    <row r="2528" customFormat="false" ht="15" hidden="false" customHeight="false" outlineLevel="0" collapsed="false">
      <c r="A2528" s="19" t="s">
        <v>7649</v>
      </c>
      <c r="B2528" s="19" t="s">
        <v>943</v>
      </c>
      <c r="C2528" s="19" t="s">
        <v>7202</v>
      </c>
      <c r="D2528" s="19" t="s">
        <v>400</v>
      </c>
      <c r="E2528" s="19" t="s">
        <v>147</v>
      </c>
      <c r="F2528" s="19" t="s">
        <v>565</v>
      </c>
      <c r="G2528" s="19" t="n">
        <v>94</v>
      </c>
      <c r="H2528" s="19" t="s">
        <v>566</v>
      </c>
      <c r="I2528" s="20" t="n">
        <v>310.587</v>
      </c>
      <c r="J2528" s="19" t="n">
        <f aca="false">IF(I2528="","",MIN(Overview!$B$8,MAX(1,CEILING(I2528/Overview!$B$7,1))))</f>
        <v>63</v>
      </c>
      <c r="K2528" s="19" t="n">
        <v>1</v>
      </c>
      <c r="L2528" s="19"/>
      <c r="M2528" s="20" t="n">
        <v>3</v>
      </c>
      <c r="N2528" s="19"/>
      <c r="O2528" s="19"/>
      <c r="P2528" s="19" t="s">
        <v>1832</v>
      </c>
      <c r="Q2528" s="19" t="s">
        <v>980</v>
      </c>
      <c r="R2528" s="21" t="n">
        <v>33296</v>
      </c>
      <c r="S2528" s="19" t="s">
        <v>952</v>
      </c>
      <c r="T2528" s="19" t="s">
        <v>7650</v>
      </c>
      <c r="U2528" s="19" t="str">
        <f aca="false">HYPERLINK("https://macaulaylibrary.org/asset/72614","Open")</f>
        <v>Open</v>
      </c>
      <c r="V2528" s="19"/>
    </row>
    <row r="2529" customFormat="false" ht="15" hidden="false" customHeight="false" outlineLevel="0" collapsed="false">
      <c r="A2529" s="19" t="s">
        <v>7651</v>
      </c>
      <c r="B2529" s="19" t="s">
        <v>943</v>
      </c>
      <c r="C2529" s="19" t="s">
        <v>7202</v>
      </c>
      <c r="D2529" s="19" t="s">
        <v>400</v>
      </c>
      <c r="E2529" s="19" t="s">
        <v>147</v>
      </c>
      <c r="F2529" s="19" t="s">
        <v>472</v>
      </c>
      <c r="G2529" s="19" t="n">
        <v>95</v>
      </c>
      <c r="H2529" s="19" t="s">
        <v>473</v>
      </c>
      <c r="I2529" s="20" t="n">
        <v>17.008</v>
      </c>
      <c r="J2529" s="19" t="n">
        <f aca="false">IF(I2529="","",MIN(Overview!$B$8,MAX(1,CEILING(I2529/Overview!$B$7,1))))</f>
        <v>4</v>
      </c>
      <c r="K2529" s="19" t="n">
        <v>1</v>
      </c>
      <c r="L2529" s="19"/>
      <c r="M2529" s="20" t="n">
        <v>1</v>
      </c>
      <c r="N2529" s="19"/>
      <c r="O2529" s="19"/>
      <c r="P2529" s="19" t="s">
        <v>3144</v>
      </c>
      <c r="Q2529" s="19" t="s">
        <v>1136</v>
      </c>
      <c r="R2529" s="21" t="n">
        <v>29736</v>
      </c>
      <c r="S2529" s="19" t="s">
        <v>1534</v>
      </c>
      <c r="T2529" s="19" t="s">
        <v>7652</v>
      </c>
      <c r="U2529" s="19" t="str">
        <f aca="false">HYPERLINK("https://macaulaylibrary.org/asset/28176","Open")</f>
        <v>Open</v>
      </c>
      <c r="V2529" s="19"/>
    </row>
    <row r="2530" customFormat="false" ht="15" hidden="false" customHeight="false" outlineLevel="0" collapsed="false">
      <c r="A2530" s="19" t="s">
        <v>7653</v>
      </c>
      <c r="B2530" s="19" t="s">
        <v>943</v>
      </c>
      <c r="C2530" s="19" t="s">
        <v>7202</v>
      </c>
      <c r="D2530" s="19" t="s">
        <v>613</v>
      </c>
      <c r="E2530" s="19" t="s">
        <v>147</v>
      </c>
      <c r="F2530" s="19" t="s">
        <v>814</v>
      </c>
      <c r="G2530" s="19" t="n">
        <v>96</v>
      </c>
      <c r="H2530" s="19" t="s">
        <v>815</v>
      </c>
      <c r="I2530" s="20" t="n">
        <v>348.459</v>
      </c>
      <c r="J2530" s="19" t="n">
        <f aca="false">IF(I2530="","",MIN(Overview!$B$8,MAX(1,CEILING(I2530/Overview!$B$7,1))))</f>
        <v>70</v>
      </c>
      <c r="K2530" s="19" t="n">
        <v>1</v>
      </c>
      <c r="L2530" s="19"/>
      <c r="M2530" s="20" t="n">
        <v>2</v>
      </c>
      <c r="N2530" s="19"/>
      <c r="O2530" s="19"/>
      <c r="P2530" s="19" t="s">
        <v>3201</v>
      </c>
      <c r="Q2530" s="19" t="s">
        <v>1136</v>
      </c>
      <c r="R2530" s="21" t="n">
        <v>29739</v>
      </c>
      <c r="S2530" s="19" t="s">
        <v>1530</v>
      </c>
      <c r="T2530" s="19" t="s">
        <v>7654</v>
      </c>
      <c r="U2530" s="19" t="str">
        <f aca="false">HYPERLINK("https://macaulaylibrary.org/asset/28110","Open")</f>
        <v>Open</v>
      </c>
      <c r="V2530" s="19"/>
    </row>
    <row r="2531" customFormat="false" ht="15" hidden="false" customHeight="false" outlineLevel="0" collapsed="false">
      <c r="A2531" s="19" t="s">
        <v>7655</v>
      </c>
      <c r="B2531" s="19" t="s">
        <v>943</v>
      </c>
      <c r="C2531" s="19" t="s">
        <v>7202</v>
      </c>
      <c r="D2531" s="19" t="s">
        <v>400</v>
      </c>
      <c r="E2531" s="19" t="s">
        <v>147</v>
      </c>
      <c r="F2531" s="19" t="s">
        <v>604</v>
      </c>
      <c r="G2531" s="19" t="n">
        <v>97</v>
      </c>
      <c r="H2531" s="19" t="s">
        <v>605</v>
      </c>
      <c r="I2531" s="20" t="n">
        <v>10.482</v>
      </c>
      <c r="J2531" s="19" t="n">
        <f aca="false">IF(I2531="","",MIN(Overview!$B$8,MAX(1,CEILING(I2531/Overview!$B$7,1))))</f>
        <v>3</v>
      </c>
      <c r="K2531" s="19" t="n">
        <v>1</v>
      </c>
      <c r="L2531" s="19"/>
      <c r="M2531" s="20" t="n">
        <v>1</v>
      </c>
      <c r="N2531" s="19"/>
      <c r="O2531" s="19" t="s">
        <v>7656</v>
      </c>
      <c r="P2531" s="19" t="s">
        <v>1631</v>
      </c>
      <c r="Q2531" s="19" t="s">
        <v>990</v>
      </c>
      <c r="R2531" s="21" t="n">
        <v>46012</v>
      </c>
      <c r="S2531" s="19" t="s">
        <v>1632</v>
      </c>
      <c r="T2531" s="19" t="s">
        <v>7657</v>
      </c>
      <c r="U2531" s="19" t="str">
        <f aca="false">HYPERLINK("https://macaulaylibrary.org/asset/647565908","Open")</f>
        <v>Open</v>
      </c>
      <c r="V2531" s="19"/>
    </row>
    <row r="2532" customFormat="false" ht="15" hidden="false" customHeight="false" outlineLevel="0" collapsed="false">
      <c r="A2532" s="19" t="s">
        <v>7658</v>
      </c>
      <c r="B2532" s="19" t="s">
        <v>943</v>
      </c>
      <c r="C2532" s="19" t="s">
        <v>7202</v>
      </c>
      <c r="D2532" s="19" t="s">
        <v>400</v>
      </c>
      <c r="E2532" s="19" t="s">
        <v>147</v>
      </c>
      <c r="F2532" s="19" t="s">
        <v>475</v>
      </c>
      <c r="G2532" s="19" t="n">
        <v>98</v>
      </c>
      <c r="H2532" s="19" t="s">
        <v>476</v>
      </c>
      <c r="I2532" s="20" t="n">
        <v>152.775</v>
      </c>
      <c r="J2532" s="19" t="n">
        <f aca="false">IF(I2532="","",MIN(Overview!$B$8,MAX(1,CEILING(I2532/Overview!$B$7,1))))</f>
        <v>31</v>
      </c>
      <c r="K2532" s="19" t="n">
        <v>1</v>
      </c>
      <c r="L2532" s="19"/>
      <c r="M2532" s="20" t="n">
        <v>2</v>
      </c>
      <c r="N2532" s="19"/>
      <c r="O2532" s="19"/>
      <c r="P2532" s="19" t="s">
        <v>2152</v>
      </c>
      <c r="Q2532" s="19" t="s">
        <v>1218</v>
      </c>
      <c r="R2532" s="21" t="n">
        <v>33329</v>
      </c>
      <c r="S2532" s="19" t="s">
        <v>3466</v>
      </c>
      <c r="T2532" s="19" t="s">
        <v>7659</v>
      </c>
      <c r="U2532" s="19" t="str">
        <f aca="false">HYPERLINK("https://macaulaylibrary.org/asset/76608","Open")</f>
        <v>Open</v>
      </c>
      <c r="V2532" s="19"/>
    </row>
    <row r="2533" customFormat="false" ht="15" hidden="false" customHeight="false" outlineLevel="0" collapsed="false">
      <c r="A2533" s="19" t="s">
        <v>7660</v>
      </c>
      <c r="B2533" s="19" t="s">
        <v>943</v>
      </c>
      <c r="C2533" s="19" t="s">
        <v>7202</v>
      </c>
      <c r="D2533" s="19" t="s">
        <v>400</v>
      </c>
      <c r="E2533" s="19" t="s">
        <v>147</v>
      </c>
      <c r="F2533" s="19" t="s">
        <v>505</v>
      </c>
      <c r="G2533" s="19" t="n">
        <v>99</v>
      </c>
      <c r="H2533" s="19" t="s">
        <v>506</v>
      </c>
      <c r="I2533" s="20" t="n">
        <v>29.448</v>
      </c>
      <c r="J2533" s="19" t="n">
        <f aca="false">IF(I2533="","",MIN(Overview!$B$8,MAX(1,CEILING(I2533/Overview!$B$7,1))))</f>
        <v>6</v>
      </c>
      <c r="K2533" s="19" t="n">
        <v>1</v>
      </c>
      <c r="L2533" s="19"/>
      <c r="M2533" s="20" t="n">
        <v>3.5</v>
      </c>
      <c r="N2533" s="19"/>
      <c r="O2533" s="19"/>
      <c r="P2533" s="19" t="s">
        <v>1935</v>
      </c>
      <c r="Q2533" s="19" t="s">
        <v>1158</v>
      </c>
      <c r="R2533" s="21" t="n">
        <v>44942</v>
      </c>
      <c r="S2533" s="19" t="s">
        <v>1936</v>
      </c>
      <c r="T2533" s="19" t="s">
        <v>7661</v>
      </c>
      <c r="U2533" s="19" t="str">
        <f aca="false">HYPERLINK("https://macaulaylibrary.org/asset/543401031","Open")</f>
        <v>Open</v>
      </c>
      <c r="V2533" s="19"/>
    </row>
    <row r="2534" customFormat="false" ht="15" hidden="false" customHeight="false" outlineLevel="0" collapsed="false">
      <c r="A2534" s="19" t="s">
        <v>7662</v>
      </c>
      <c r="B2534" s="19" t="s">
        <v>943</v>
      </c>
      <c r="C2534" s="19" t="s">
        <v>7202</v>
      </c>
      <c r="D2534" s="19" t="s">
        <v>400</v>
      </c>
      <c r="E2534" s="19" t="s">
        <v>147</v>
      </c>
      <c r="F2534" s="19" t="s">
        <v>535</v>
      </c>
      <c r="G2534" s="19" t="n">
        <v>100</v>
      </c>
      <c r="H2534" s="19" t="s">
        <v>536</v>
      </c>
      <c r="I2534" s="20" t="n">
        <v>126.387</v>
      </c>
      <c r="J2534" s="19" t="n">
        <f aca="false">IF(I2534="","",MIN(Overview!$B$8,MAX(1,CEILING(I2534/Overview!$B$7,1))))</f>
        <v>26</v>
      </c>
      <c r="K2534" s="19" t="n">
        <v>1</v>
      </c>
      <c r="L2534" s="19"/>
      <c r="M2534" s="20" t="n">
        <v>3.5</v>
      </c>
      <c r="N2534" s="19"/>
      <c r="O2534" s="19"/>
      <c r="P2534" s="19" t="s">
        <v>1140</v>
      </c>
      <c r="Q2534" s="19" t="s">
        <v>1030</v>
      </c>
      <c r="R2534" s="21" t="n">
        <v>40250</v>
      </c>
      <c r="S2534" s="19" t="s">
        <v>1459</v>
      </c>
      <c r="T2534" s="19" t="s">
        <v>7663</v>
      </c>
      <c r="U2534" s="19" t="str">
        <f aca="false">HYPERLINK("https://macaulaylibrary.org/asset/299572","Open")</f>
        <v>Open</v>
      </c>
      <c r="V2534" s="19"/>
    </row>
    <row r="2535" customFormat="false" ht="15" hidden="false" customHeight="false" outlineLevel="0" collapsed="false">
      <c r="A2535" s="19" t="s">
        <v>7664</v>
      </c>
      <c r="B2535" s="19" t="s">
        <v>943</v>
      </c>
      <c r="C2535" s="19" t="s">
        <v>7202</v>
      </c>
      <c r="D2535" s="19" t="s">
        <v>613</v>
      </c>
      <c r="E2535" s="19" t="s">
        <v>147</v>
      </c>
      <c r="F2535" s="19" t="s">
        <v>817</v>
      </c>
      <c r="G2535" s="19" t="n">
        <v>101</v>
      </c>
      <c r="H2535" s="19" t="s">
        <v>818</v>
      </c>
      <c r="I2535" s="20" t="n">
        <v>34.366</v>
      </c>
      <c r="J2535" s="19" t="n">
        <f aca="false">IF(I2535="","",MIN(Overview!$B$8,MAX(1,CEILING(I2535/Overview!$B$7,1))))</f>
        <v>7</v>
      </c>
      <c r="K2535" s="19" t="n">
        <v>1</v>
      </c>
      <c r="L2535" s="19"/>
      <c r="M2535" s="20" t="n">
        <v>1.33</v>
      </c>
      <c r="N2535" s="19"/>
      <c r="O2535" s="19"/>
      <c r="P2535" s="19" t="s">
        <v>3144</v>
      </c>
      <c r="Q2535" s="19" t="s">
        <v>1136</v>
      </c>
      <c r="R2535" s="21" t="n">
        <v>29736</v>
      </c>
      <c r="S2535" s="19" t="s">
        <v>4432</v>
      </c>
      <c r="T2535" s="19" t="s">
        <v>7665</v>
      </c>
      <c r="U2535" s="19" t="str">
        <f aca="false">HYPERLINK("https://macaulaylibrary.org/asset/28177","Open")</f>
        <v>Open</v>
      </c>
      <c r="V2535" s="19"/>
    </row>
    <row r="2536" customFormat="false" ht="15" hidden="false" customHeight="false" outlineLevel="0" collapsed="false">
      <c r="A2536" s="19" t="s">
        <v>7666</v>
      </c>
      <c r="B2536" s="19" t="s">
        <v>943</v>
      </c>
      <c r="C2536" s="19" t="s">
        <v>7202</v>
      </c>
      <c r="D2536" s="19" t="s">
        <v>148</v>
      </c>
      <c r="E2536" s="19" t="s">
        <v>147</v>
      </c>
      <c r="F2536" s="19" t="s">
        <v>289</v>
      </c>
      <c r="G2536" s="19" t="n">
        <v>102</v>
      </c>
      <c r="H2536" s="19" t="s">
        <v>290</v>
      </c>
      <c r="I2536" s="20" t="n">
        <v>5.145</v>
      </c>
      <c r="J2536" s="19" t="n">
        <f aca="false">IF(I2536="","",MIN(Overview!$B$8,MAX(1,CEILING(I2536/Overview!$B$7,1))))</f>
        <v>2</v>
      </c>
      <c r="K2536" s="19" t="n">
        <v>1</v>
      </c>
      <c r="L2536" s="19"/>
      <c r="M2536" s="20" t="n">
        <v>2</v>
      </c>
      <c r="N2536" s="19"/>
      <c r="O2536" s="19"/>
      <c r="P2536" s="19" t="s">
        <v>2916</v>
      </c>
      <c r="Q2536" s="19" t="s">
        <v>2235</v>
      </c>
      <c r="R2536" s="21" t="n">
        <v>43469</v>
      </c>
      <c r="S2536" s="19" t="s">
        <v>1484</v>
      </c>
      <c r="T2536" s="19" t="s">
        <v>7667</v>
      </c>
      <c r="U2536" s="19" t="str">
        <f aca="false">HYPERLINK("https://macaulaylibrary.org/asset/143078251","Open")</f>
        <v>Open</v>
      </c>
      <c r="V2536" s="19"/>
    </row>
    <row r="2537" customFormat="false" ht="15" hidden="false" customHeight="false" outlineLevel="0" collapsed="false">
      <c r="A2537" s="19" t="s">
        <v>7668</v>
      </c>
      <c r="B2537" s="19" t="s">
        <v>943</v>
      </c>
      <c r="C2537" s="19" t="s">
        <v>7202</v>
      </c>
      <c r="D2537" s="19" t="s">
        <v>148</v>
      </c>
      <c r="E2537" s="19" t="s">
        <v>147</v>
      </c>
      <c r="F2537" s="19" t="s">
        <v>289</v>
      </c>
      <c r="G2537" s="19" t="n">
        <v>102</v>
      </c>
      <c r="H2537" s="19" t="s">
        <v>290</v>
      </c>
      <c r="I2537" s="20" t="n">
        <v>9.374</v>
      </c>
      <c r="J2537" s="19" t="n">
        <f aca="false">IF(I2537="","",MIN(Overview!$B$8,MAX(1,CEILING(I2537/Overview!$B$7,1))))</f>
        <v>2</v>
      </c>
      <c r="K2537" s="19" t="n">
        <v>1</v>
      </c>
      <c r="L2537" s="19"/>
      <c r="M2537" s="20" t="n">
        <v>2</v>
      </c>
      <c r="N2537" s="19"/>
      <c r="O2537" s="19"/>
      <c r="P2537" s="19" t="s">
        <v>2642</v>
      </c>
      <c r="Q2537" s="19" t="s">
        <v>1218</v>
      </c>
      <c r="R2537" s="21" t="n">
        <v>34782</v>
      </c>
      <c r="S2537" s="19" t="s">
        <v>4645</v>
      </c>
      <c r="T2537" s="19" t="s">
        <v>7669</v>
      </c>
      <c r="U2537" s="19" t="str">
        <f aca="false">HYPERLINK("https://macaulaylibrary.org/asset/184009","Open")</f>
        <v>Open</v>
      </c>
      <c r="V2537" s="19"/>
    </row>
    <row r="2538" customFormat="false" ht="15" hidden="false" customHeight="false" outlineLevel="0" collapsed="false">
      <c r="A2538" s="19" t="s">
        <v>7670</v>
      </c>
      <c r="B2538" s="19" t="s">
        <v>943</v>
      </c>
      <c r="C2538" s="19" t="s">
        <v>7202</v>
      </c>
      <c r="D2538" s="19" t="s">
        <v>148</v>
      </c>
      <c r="E2538" s="19" t="s">
        <v>147</v>
      </c>
      <c r="F2538" s="19" t="s">
        <v>289</v>
      </c>
      <c r="G2538" s="19" t="n">
        <v>102</v>
      </c>
      <c r="H2538" s="19" t="s">
        <v>290</v>
      </c>
      <c r="I2538" s="20" t="n">
        <v>18.178</v>
      </c>
      <c r="J2538" s="19" t="n">
        <f aca="false">IF(I2538="","",MIN(Overview!$B$8,MAX(1,CEILING(I2538/Overview!$B$7,1))))</f>
        <v>4</v>
      </c>
      <c r="K2538" s="19" t="n">
        <v>1</v>
      </c>
      <c r="L2538" s="19"/>
      <c r="M2538" s="20" t="n">
        <v>4.33</v>
      </c>
      <c r="N2538" s="19"/>
      <c r="O2538" s="19"/>
      <c r="P2538" s="19" t="s">
        <v>7671</v>
      </c>
      <c r="Q2538" s="19" t="s">
        <v>7672</v>
      </c>
      <c r="R2538" s="21" t="n">
        <v>44273</v>
      </c>
      <c r="S2538" s="19" t="s">
        <v>1442</v>
      </c>
      <c r="T2538" s="19" t="s">
        <v>7673</v>
      </c>
      <c r="U2538" s="19" t="str">
        <f aca="false">HYPERLINK("https://macaulaylibrary.org/asset/322224611","Open")</f>
        <v>Open</v>
      </c>
      <c r="V2538" s="19"/>
    </row>
    <row r="2539" customFormat="false" ht="15" hidden="false" customHeight="false" outlineLevel="0" collapsed="false">
      <c r="A2539" s="19" t="s">
        <v>7674</v>
      </c>
      <c r="B2539" s="19" t="s">
        <v>943</v>
      </c>
      <c r="C2539" s="19" t="s">
        <v>7202</v>
      </c>
      <c r="D2539" s="19" t="s">
        <v>148</v>
      </c>
      <c r="E2539" s="19" t="s">
        <v>147</v>
      </c>
      <c r="F2539" s="19" t="s">
        <v>422</v>
      </c>
      <c r="G2539" s="19" t="n">
        <v>103</v>
      </c>
      <c r="H2539" s="19" t="s">
        <v>423</v>
      </c>
      <c r="I2539" s="20" t="n">
        <v>139.635</v>
      </c>
      <c r="J2539" s="19" t="n">
        <f aca="false">IF(I2539="","",MIN(Overview!$B$8,MAX(1,CEILING(I2539/Overview!$B$7,1))))</f>
        <v>28</v>
      </c>
      <c r="K2539" s="19" t="n">
        <v>1</v>
      </c>
      <c r="L2539" s="19"/>
      <c r="M2539" s="20" t="n">
        <v>1</v>
      </c>
      <c r="N2539" s="19"/>
      <c r="O2539" s="19"/>
      <c r="P2539" s="19" t="s">
        <v>1135</v>
      </c>
      <c r="Q2539" s="19" t="s">
        <v>1136</v>
      </c>
      <c r="R2539" s="21" t="n">
        <v>29735</v>
      </c>
      <c r="S2539" s="19" t="s">
        <v>7675</v>
      </c>
      <c r="T2539" s="19" t="s">
        <v>7676</v>
      </c>
      <c r="U2539" s="19" t="str">
        <f aca="false">HYPERLINK("https://macaulaylibrary.org/asset/28133","Open")</f>
        <v>Open</v>
      </c>
      <c r="V2539" s="19"/>
    </row>
    <row r="2540" customFormat="false" ht="15" hidden="false" customHeight="false" outlineLevel="0" collapsed="false">
      <c r="A2540" s="19" t="s">
        <v>7677</v>
      </c>
      <c r="B2540" s="19" t="s">
        <v>943</v>
      </c>
      <c r="C2540" s="19" t="s">
        <v>7202</v>
      </c>
      <c r="D2540" s="19" t="s">
        <v>148</v>
      </c>
      <c r="E2540" s="19" t="s">
        <v>147</v>
      </c>
      <c r="F2540" s="19" t="s">
        <v>422</v>
      </c>
      <c r="G2540" s="19" t="n">
        <v>103</v>
      </c>
      <c r="H2540" s="19" t="s">
        <v>423</v>
      </c>
      <c r="I2540" s="20" t="n">
        <v>24.163</v>
      </c>
      <c r="J2540" s="19" t="n">
        <f aca="false">IF(I2540="","",MIN(Overview!$B$8,MAX(1,CEILING(I2540/Overview!$B$7,1))))</f>
        <v>5</v>
      </c>
      <c r="K2540" s="19" t="n">
        <v>1</v>
      </c>
      <c r="L2540" s="19"/>
      <c r="M2540" s="20"/>
      <c r="N2540" s="19"/>
      <c r="O2540" s="19"/>
      <c r="P2540" s="19" t="s">
        <v>7678</v>
      </c>
      <c r="Q2540" s="19" t="s">
        <v>7679</v>
      </c>
      <c r="R2540" s="21" t="n">
        <v>46075</v>
      </c>
      <c r="S2540" s="19" t="s">
        <v>3700</v>
      </c>
      <c r="T2540" s="19" t="s">
        <v>7680</v>
      </c>
      <c r="U2540" s="19" t="str">
        <f aca="false">HYPERLINK("https://macaulaylibrary.org/asset/653361329","Open")</f>
        <v>Open</v>
      </c>
      <c r="V2540" s="19"/>
    </row>
    <row r="2541" customFormat="false" ht="15" hidden="false" customHeight="false" outlineLevel="0" collapsed="false">
      <c r="A2541" s="19" t="s">
        <v>7681</v>
      </c>
      <c r="B2541" s="19" t="s">
        <v>943</v>
      </c>
      <c r="C2541" s="19" t="s">
        <v>7202</v>
      </c>
      <c r="D2541" s="19" t="s">
        <v>148</v>
      </c>
      <c r="E2541" s="19" t="s">
        <v>147</v>
      </c>
      <c r="F2541" s="19" t="s">
        <v>155</v>
      </c>
      <c r="G2541" s="19" t="n">
        <v>104</v>
      </c>
      <c r="H2541" s="19" t="s">
        <v>156</v>
      </c>
      <c r="I2541" s="20" t="n">
        <v>7.176</v>
      </c>
      <c r="J2541" s="19" t="n">
        <f aca="false">IF(I2541="","",MIN(Overview!$B$8,MAX(1,CEILING(I2541/Overview!$B$7,1))))</f>
        <v>2</v>
      </c>
      <c r="K2541" s="19" t="n">
        <v>1</v>
      </c>
      <c r="L2541" s="19"/>
      <c r="M2541" s="20" t="n">
        <v>3</v>
      </c>
      <c r="N2541" s="19"/>
      <c r="O2541" s="19"/>
      <c r="P2541" s="19" t="s">
        <v>1143</v>
      </c>
      <c r="Q2541" s="19" t="s">
        <v>965</v>
      </c>
      <c r="R2541" s="21" t="n">
        <v>44548</v>
      </c>
      <c r="S2541" s="19" t="s">
        <v>1144</v>
      </c>
      <c r="T2541" s="19" t="s">
        <v>7682</v>
      </c>
      <c r="U2541" s="19" t="str">
        <f aca="false">HYPERLINK("https://macaulaylibrary.org/asset/398719001","Open")</f>
        <v>Open</v>
      </c>
      <c r="V2541" s="19"/>
    </row>
    <row r="2542" customFormat="false" ht="15" hidden="false" customHeight="false" outlineLevel="0" collapsed="false">
      <c r="A2542" s="19" t="s">
        <v>7683</v>
      </c>
      <c r="B2542" s="19" t="s">
        <v>943</v>
      </c>
      <c r="C2542" s="19" t="s">
        <v>7202</v>
      </c>
      <c r="D2542" s="19" t="s">
        <v>148</v>
      </c>
      <c r="E2542" s="19" t="s">
        <v>147</v>
      </c>
      <c r="F2542" s="19" t="s">
        <v>155</v>
      </c>
      <c r="G2542" s="19" t="n">
        <v>104</v>
      </c>
      <c r="H2542" s="19" t="s">
        <v>156</v>
      </c>
      <c r="I2542" s="20" t="n">
        <v>44.256</v>
      </c>
      <c r="J2542" s="19" t="n">
        <f aca="false">IF(I2542="","",MIN(Overview!$B$8,MAX(1,CEILING(I2542/Overview!$B$7,1))))</f>
        <v>9</v>
      </c>
      <c r="K2542" s="19" t="n">
        <v>1</v>
      </c>
      <c r="L2542" s="19"/>
      <c r="M2542" s="20" t="n">
        <v>3</v>
      </c>
      <c r="N2542" s="19"/>
      <c r="O2542" s="19"/>
      <c r="P2542" s="19" t="s">
        <v>7684</v>
      </c>
      <c r="Q2542" s="19" t="s">
        <v>2761</v>
      </c>
      <c r="R2542" s="21" t="n">
        <v>42750</v>
      </c>
      <c r="S2542" s="19" t="s">
        <v>1002</v>
      </c>
      <c r="T2542" s="19" t="s">
        <v>7685</v>
      </c>
      <c r="U2542" s="19" t="str">
        <f aca="false">HYPERLINK("https://macaulaylibrary.org/asset/46104311","Open")</f>
        <v>Open</v>
      </c>
      <c r="V2542" s="19"/>
    </row>
    <row r="2543" customFormat="false" ht="15" hidden="false" customHeight="false" outlineLevel="0" collapsed="false">
      <c r="A2543" s="19" t="s">
        <v>7686</v>
      </c>
      <c r="B2543" s="19" t="s">
        <v>943</v>
      </c>
      <c r="C2543" s="19" t="s">
        <v>7202</v>
      </c>
      <c r="D2543" s="19" t="s">
        <v>148</v>
      </c>
      <c r="E2543" s="19" t="s">
        <v>147</v>
      </c>
      <c r="F2543" s="19" t="s">
        <v>155</v>
      </c>
      <c r="G2543" s="19" t="n">
        <v>104</v>
      </c>
      <c r="H2543" s="19" t="s">
        <v>156</v>
      </c>
      <c r="I2543" s="20" t="n">
        <v>17.331</v>
      </c>
      <c r="J2543" s="19" t="n">
        <f aca="false">IF(I2543="","",MIN(Overview!$B$8,MAX(1,CEILING(I2543/Overview!$B$7,1))))</f>
        <v>4</v>
      </c>
      <c r="K2543" s="19" t="n">
        <v>1</v>
      </c>
      <c r="L2543" s="19"/>
      <c r="M2543" s="20" t="n">
        <v>3</v>
      </c>
      <c r="N2543" s="19"/>
      <c r="O2543" s="19"/>
      <c r="P2543" s="19" t="s">
        <v>1367</v>
      </c>
      <c r="Q2543" s="19" t="s">
        <v>1368</v>
      </c>
      <c r="R2543" s="21" t="n">
        <v>45488</v>
      </c>
      <c r="S2543" s="19" t="s">
        <v>1369</v>
      </c>
      <c r="T2543" s="19" t="s">
        <v>7687</v>
      </c>
      <c r="U2543" s="19" t="str">
        <f aca="false">HYPERLINK("https://macaulaylibrary.org/asset/622575813","Open")</f>
        <v>Open</v>
      </c>
      <c r="V2543" s="19"/>
    </row>
    <row r="2544" customFormat="false" ht="15" hidden="false" customHeight="false" outlineLevel="0" collapsed="false">
      <c r="A2544" s="19" t="s">
        <v>7688</v>
      </c>
      <c r="B2544" s="19" t="s">
        <v>943</v>
      </c>
      <c r="C2544" s="19" t="s">
        <v>7202</v>
      </c>
      <c r="D2544" s="19" t="s">
        <v>148</v>
      </c>
      <c r="E2544" s="19" t="s">
        <v>147</v>
      </c>
      <c r="F2544" s="19" t="s">
        <v>155</v>
      </c>
      <c r="G2544" s="19" t="n">
        <v>104</v>
      </c>
      <c r="H2544" s="19" t="s">
        <v>156</v>
      </c>
      <c r="I2544" s="20" t="n">
        <v>12.973</v>
      </c>
      <c r="J2544" s="19" t="n">
        <f aca="false">IF(I2544="","",MIN(Overview!$B$8,MAX(1,CEILING(I2544/Overview!$B$7,1))))</f>
        <v>3</v>
      </c>
      <c r="K2544" s="19" t="n">
        <v>1</v>
      </c>
      <c r="L2544" s="19"/>
      <c r="M2544" s="20" t="n">
        <v>4.33</v>
      </c>
      <c r="N2544" s="19"/>
      <c r="O2544" s="19"/>
      <c r="P2544" s="19" t="s">
        <v>1367</v>
      </c>
      <c r="Q2544" s="19" t="s">
        <v>1368</v>
      </c>
      <c r="R2544" s="21" t="n">
        <v>45488</v>
      </c>
      <c r="S2544" s="19" t="s">
        <v>1369</v>
      </c>
      <c r="T2544" s="19" t="s">
        <v>7689</v>
      </c>
      <c r="U2544" s="19" t="str">
        <f aca="false">HYPERLINK("https://macaulaylibrary.org/asset/622576050","Open")</f>
        <v>Open</v>
      </c>
      <c r="V2544" s="19"/>
    </row>
    <row r="2545" customFormat="false" ht="15" hidden="false" customHeight="false" outlineLevel="0" collapsed="false">
      <c r="A2545" s="19" t="s">
        <v>7690</v>
      </c>
      <c r="B2545" s="19" t="s">
        <v>943</v>
      </c>
      <c r="C2545" s="19" t="s">
        <v>7202</v>
      </c>
      <c r="D2545" s="19" t="s">
        <v>148</v>
      </c>
      <c r="E2545" s="19" t="s">
        <v>147</v>
      </c>
      <c r="F2545" s="19" t="s">
        <v>155</v>
      </c>
      <c r="G2545" s="19" t="n">
        <v>104</v>
      </c>
      <c r="H2545" s="19" t="s">
        <v>156</v>
      </c>
      <c r="I2545" s="20" t="n">
        <v>10.505</v>
      </c>
      <c r="J2545" s="19" t="n">
        <f aca="false">IF(I2545="","",MIN(Overview!$B$8,MAX(1,CEILING(I2545/Overview!$B$7,1))))</f>
        <v>3</v>
      </c>
      <c r="K2545" s="19" t="n">
        <v>1</v>
      </c>
      <c r="L2545" s="19"/>
      <c r="M2545" s="20" t="n">
        <v>2</v>
      </c>
      <c r="N2545" s="19"/>
      <c r="O2545" s="19"/>
      <c r="P2545" s="19" t="s">
        <v>3843</v>
      </c>
      <c r="Q2545" s="19" t="s">
        <v>2012</v>
      </c>
      <c r="R2545" s="21" t="n">
        <v>45676</v>
      </c>
      <c r="S2545" s="19" t="s">
        <v>1578</v>
      </c>
      <c r="T2545" s="19" t="s">
        <v>7691</v>
      </c>
      <c r="U2545" s="19" t="str">
        <f aca="false">HYPERLINK("https://macaulaylibrary.org/asset/630168778","Open")</f>
        <v>Open</v>
      </c>
      <c r="V2545" s="19"/>
    </row>
    <row r="2546" customFormat="false" ht="15" hidden="false" customHeight="false" outlineLevel="0" collapsed="false">
      <c r="A2546" s="19" t="s">
        <v>7692</v>
      </c>
      <c r="B2546" s="19" t="s">
        <v>943</v>
      </c>
      <c r="C2546" s="19" t="s">
        <v>7202</v>
      </c>
      <c r="D2546" s="19" t="s">
        <v>148</v>
      </c>
      <c r="E2546" s="19" t="s">
        <v>147</v>
      </c>
      <c r="F2546" s="19" t="s">
        <v>155</v>
      </c>
      <c r="G2546" s="19" t="n">
        <v>104</v>
      </c>
      <c r="H2546" s="19" t="s">
        <v>156</v>
      </c>
      <c r="I2546" s="20" t="n">
        <v>48.273</v>
      </c>
      <c r="J2546" s="19" t="n">
        <f aca="false">IF(I2546="","",MIN(Overview!$B$8,MAX(1,CEILING(I2546/Overview!$B$7,1))))</f>
        <v>10</v>
      </c>
      <c r="K2546" s="19" t="n">
        <v>1</v>
      </c>
      <c r="L2546" s="19"/>
      <c r="M2546" s="20" t="n">
        <v>2</v>
      </c>
      <c r="N2546" s="19"/>
      <c r="O2546" s="19" t="s">
        <v>231</v>
      </c>
      <c r="P2546" s="19" t="s">
        <v>1090</v>
      </c>
      <c r="Q2546" s="19" t="s">
        <v>1091</v>
      </c>
      <c r="R2546" s="21" t="n">
        <v>45845</v>
      </c>
      <c r="S2546" s="19" t="s">
        <v>1092</v>
      </c>
      <c r="T2546" s="19" t="s">
        <v>7693</v>
      </c>
      <c r="U2546" s="19" t="str">
        <f aca="false">HYPERLINK("https://macaulaylibrary.org/asset/639054168","Open")</f>
        <v>Open</v>
      </c>
      <c r="V2546" s="19"/>
    </row>
    <row r="2547" customFormat="false" ht="15" hidden="false" customHeight="false" outlineLevel="0" collapsed="false">
      <c r="A2547" s="19" t="s">
        <v>7694</v>
      </c>
      <c r="B2547" s="19" t="s">
        <v>943</v>
      </c>
      <c r="C2547" s="19" t="s">
        <v>7202</v>
      </c>
      <c r="D2547" s="19" t="s">
        <v>148</v>
      </c>
      <c r="E2547" s="19" t="s">
        <v>147</v>
      </c>
      <c r="F2547" s="19" t="s">
        <v>155</v>
      </c>
      <c r="G2547" s="19" t="n">
        <v>104</v>
      </c>
      <c r="H2547" s="19" t="s">
        <v>156</v>
      </c>
      <c r="I2547" s="20" t="n">
        <v>35.323</v>
      </c>
      <c r="J2547" s="19" t="n">
        <f aca="false">IF(I2547="","",MIN(Overview!$B$8,MAX(1,CEILING(I2547/Overview!$B$7,1))))</f>
        <v>8</v>
      </c>
      <c r="K2547" s="19" t="n">
        <v>1</v>
      </c>
      <c r="L2547" s="19"/>
      <c r="M2547" s="20"/>
      <c r="N2547" s="19"/>
      <c r="O2547" s="19"/>
      <c r="P2547" s="19" t="s">
        <v>1367</v>
      </c>
      <c r="Q2547" s="19" t="s">
        <v>1368</v>
      </c>
      <c r="R2547" s="21" t="n">
        <v>45488</v>
      </c>
      <c r="S2547" s="19" t="s">
        <v>1369</v>
      </c>
      <c r="T2547" s="19" t="s">
        <v>7695</v>
      </c>
      <c r="U2547" s="19" t="str">
        <f aca="false">HYPERLINK("https://macaulaylibrary.org/asset/642978600","Open")</f>
        <v>Open</v>
      </c>
      <c r="V2547" s="19"/>
    </row>
    <row r="2548" customFormat="false" ht="15" hidden="false" customHeight="false" outlineLevel="0" collapsed="false">
      <c r="A2548" s="19" t="s">
        <v>7696</v>
      </c>
      <c r="B2548" s="19" t="s">
        <v>943</v>
      </c>
      <c r="C2548" s="19" t="s">
        <v>7202</v>
      </c>
      <c r="D2548" s="19" t="s">
        <v>148</v>
      </c>
      <c r="E2548" s="19" t="s">
        <v>147</v>
      </c>
      <c r="F2548" s="19" t="s">
        <v>155</v>
      </c>
      <c r="G2548" s="19" t="n">
        <v>104</v>
      </c>
      <c r="H2548" s="19" t="s">
        <v>156</v>
      </c>
      <c r="I2548" s="20" t="n">
        <v>15.825</v>
      </c>
      <c r="J2548" s="19" t="n">
        <f aca="false">IF(I2548="","",MIN(Overview!$B$8,MAX(1,CEILING(I2548/Overview!$B$7,1))))</f>
        <v>4</v>
      </c>
      <c r="K2548" s="19" t="n">
        <v>1</v>
      </c>
      <c r="L2548" s="19"/>
      <c r="M2548" s="20"/>
      <c r="N2548" s="19"/>
      <c r="O2548" s="19"/>
      <c r="P2548" s="19" t="s">
        <v>3173</v>
      </c>
      <c r="Q2548" s="19" t="s">
        <v>3174</v>
      </c>
      <c r="R2548" s="21" t="n">
        <v>46072</v>
      </c>
      <c r="S2548" s="19" t="s">
        <v>3175</v>
      </c>
      <c r="T2548" s="19" t="s">
        <v>7697</v>
      </c>
      <c r="U2548" s="19" t="str">
        <f aca="false">HYPERLINK("https://macaulaylibrary.org/asset/651311471","Open")</f>
        <v>Open</v>
      </c>
      <c r="V2548" s="19"/>
    </row>
    <row r="2549" customFormat="false" ht="15" hidden="false" customHeight="false" outlineLevel="0" collapsed="false">
      <c r="A2549" s="19" t="s">
        <v>7698</v>
      </c>
      <c r="B2549" s="19" t="s">
        <v>943</v>
      </c>
      <c r="C2549" s="19" t="s">
        <v>7202</v>
      </c>
      <c r="D2549" s="19" t="s">
        <v>148</v>
      </c>
      <c r="E2549" s="19" t="s">
        <v>147</v>
      </c>
      <c r="F2549" s="19" t="s">
        <v>155</v>
      </c>
      <c r="G2549" s="19" t="n">
        <v>104</v>
      </c>
      <c r="H2549" s="19" t="s">
        <v>156</v>
      </c>
      <c r="I2549" s="20" t="n">
        <v>11.976</v>
      </c>
      <c r="J2549" s="19" t="n">
        <f aca="false">IF(I2549="","",MIN(Overview!$B$8,MAX(1,CEILING(I2549/Overview!$B$7,1))))</f>
        <v>3</v>
      </c>
      <c r="K2549" s="19" t="n">
        <v>1</v>
      </c>
      <c r="L2549" s="19"/>
      <c r="M2549" s="20" t="n">
        <v>4.5</v>
      </c>
      <c r="N2549" s="19"/>
      <c r="O2549" s="19"/>
      <c r="P2549" s="19" t="s">
        <v>1742</v>
      </c>
      <c r="Q2549" s="19" t="s">
        <v>1021</v>
      </c>
      <c r="R2549" s="21" t="n">
        <v>35860</v>
      </c>
      <c r="S2549" s="19" t="s">
        <v>1743</v>
      </c>
      <c r="T2549" s="19" t="s">
        <v>7699</v>
      </c>
      <c r="U2549" s="19" t="str">
        <f aca="false">HYPERLINK("https://macaulaylibrary.org/asset/98857551","Open")</f>
        <v>Open</v>
      </c>
      <c r="V2549" s="19"/>
    </row>
    <row r="2550" customFormat="false" ht="15" hidden="false" customHeight="false" outlineLevel="0" collapsed="false">
      <c r="A2550" s="19" t="s">
        <v>7700</v>
      </c>
      <c r="B2550" s="19" t="s">
        <v>943</v>
      </c>
      <c r="C2550" s="19" t="s">
        <v>7202</v>
      </c>
      <c r="D2550" s="19" t="s">
        <v>400</v>
      </c>
      <c r="E2550" s="19" t="s">
        <v>147</v>
      </c>
      <c r="F2550" s="19" t="s">
        <v>478</v>
      </c>
      <c r="G2550" s="19" t="n">
        <v>105</v>
      </c>
      <c r="H2550" s="19" t="s">
        <v>479</v>
      </c>
      <c r="I2550" s="20" t="n">
        <v>37.74</v>
      </c>
      <c r="J2550" s="19" t="n">
        <f aca="false">IF(I2550="","",MIN(Overview!$B$8,MAX(1,CEILING(I2550/Overview!$B$7,1))))</f>
        <v>8</v>
      </c>
      <c r="K2550" s="19" t="n">
        <v>1</v>
      </c>
      <c r="L2550" s="19"/>
      <c r="M2550" s="20" t="n">
        <v>3.25</v>
      </c>
      <c r="N2550" s="19"/>
      <c r="O2550" s="19"/>
      <c r="P2550" s="19" t="s">
        <v>1039</v>
      </c>
      <c r="Q2550" s="19" t="s">
        <v>1040</v>
      </c>
      <c r="R2550" s="21" t="n">
        <v>40901</v>
      </c>
      <c r="S2550" s="19" t="s">
        <v>1002</v>
      </c>
      <c r="T2550" s="19" t="s">
        <v>7701</v>
      </c>
      <c r="U2550" s="19" t="str">
        <f aca="false">HYPERLINK("https://macaulaylibrary.org/asset/609056510","Open")</f>
        <v>Open</v>
      </c>
      <c r="V2550" s="19"/>
    </row>
    <row r="2551" customFormat="false" ht="15" hidden="false" customHeight="false" outlineLevel="0" collapsed="false">
      <c r="A2551" s="19" t="s">
        <v>7702</v>
      </c>
      <c r="B2551" s="19" t="s">
        <v>943</v>
      </c>
      <c r="C2551" s="19" t="s">
        <v>7202</v>
      </c>
      <c r="D2551" s="19" t="s">
        <v>148</v>
      </c>
      <c r="E2551" s="19" t="s">
        <v>147</v>
      </c>
      <c r="F2551" s="19" t="s">
        <v>252</v>
      </c>
      <c r="G2551" s="19" t="n">
        <v>106</v>
      </c>
      <c r="H2551" s="19" t="s">
        <v>253</v>
      </c>
      <c r="I2551" s="20" t="n">
        <v>64.617</v>
      </c>
      <c r="J2551" s="19" t="n">
        <f aca="false">IF(I2551="","",MIN(Overview!$B$8,MAX(1,CEILING(I2551/Overview!$B$7,1))))</f>
        <v>13</v>
      </c>
      <c r="K2551" s="19" t="n">
        <v>1</v>
      </c>
      <c r="L2551" s="19"/>
      <c r="M2551" s="20" t="n">
        <v>2.75</v>
      </c>
      <c r="N2551" s="19"/>
      <c r="O2551" s="19"/>
      <c r="P2551" s="19" t="s">
        <v>7703</v>
      </c>
      <c r="Q2551" s="19" t="s">
        <v>7704</v>
      </c>
      <c r="R2551" s="21" t="n">
        <v>43188</v>
      </c>
      <c r="S2551" s="19" t="s">
        <v>1009</v>
      </c>
      <c r="T2551" s="19" t="s">
        <v>7705</v>
      </c>
      <c r="U2551" s="19" t="str">
        <f aca="false">HYPERLINK("https://macaulaylibrary.org/asset/111002371","Open")</f>
        <v>Open</v>
      </c>
      <c r="V2551" s="19"/>
    </row>
    <row r="2552" customFormat="false" ht="15" hidden="false" customHeight="false" outlineLevel="0" collapsed="false">
      <c r="A2552" s="19" t="s">
        <v>7706</v>
      </c>
      <c r="B2552" s="19" t="s">
        <v>943</v>
      </c>
      <c r="C2552" s="19" t="s">
        <v>7202</v>
      </c>
      <c r="D2552" s="19" t="s">
        <v>148</v>
      </c>
      <c r="E2552" s="19" t="s">
        <v>147</v>
      </c>
      <c r="F2552" s="19" t="s">
        <v>252</v>
      </c>
      <c r="G2552" s="19" t="n">
        <v>106</v>
      </c>
      <c r="H2552" s="19" t="s">
        <v>253</v>
      </c>
      <c r="I2552" s="20" t="n">
        <v>3.792</v>
      </c>
      <c r="J2552" s="19" t="n">
        <f aca="false">IF(I2552="","",MIN(Overview!$B$8,MAX(1,CEILING(I2552/Overview!$B$7,1))))</f>
        <v>1</v>
      </c>
      <c r="K2552" s="19" t="n">
        <v>1</v>
      </c>
      <c r="L2552" s="19" t="s">
        <v>1048</v>
      </c>
      <c r="M2552" s="20" t="n">
        <v>2</v>
      </c>
      <c r="N2552" s="19"/>
      <c r="O2552" s="19" t="s">
        <v>155</v>
      </c>
      <c r="P2552" s="19" t="s">
        <v>5616</v>
      </c>
      <c r="Q2552" s="19" t="s">
        <v>990</v>
      </c>
      <c r="R2552" s="21" t="n">
        <v>44547</v>
      </c>
      <c r="S2552" s="19" t="s">
        <v>5617</v>
      </c>
      <c r="T2552" s="19" t="s">
        <v>7707</v>
      </c>
      <c r="U2552" s="19" t="str">
        <f aca="false">HYPERLINK("https://macaulaylibrary.org/asset/403166811","Open")</f>
        <v>Open</v>
      </c>
      <c r="V2552" s="19"/>
    </row>
    <row r="2553" customFormat="false" ht="15" hidden="false" customHeight="false" outlineLevel="0" collapsed="false">
      <c r="A2553" s="19" t="s">
        <v>7708</v>
      </c>
      <c r="B2553" s="19" t="s">
        <v>943</v>
      </c>
      <c r="C2553" s="19" t="s">
        <v>7202</v>
      </c>
      <c r="D2553" s="19" t="s">
        <v>148</v>
      </c>
      <c r="E2553" s="19" t="s">
        <v>147</v>
      </c>
      <c r="F2553" s="19" t="s">
        <v>252</v>
      </c>
      <c r="G2553" s="19" t="n">
        <v>106</v>
      </c>
      <c r="H2553" s="19" t="s">
        <v>253</v>
      </c>
      <c r="I2553" s="20" t="n">
        <v>139.897</v>
      </c>
      <c r="J2553" s="19" t="n">
        <f aca="false">IF(I2553="","",MIN(Overview!$B$8,MAX(1,CEILING(I2553/Overview!$B$7,1))))</f>
        <v>28</v>
      </c>
      <c r="K2553" s="19" t="n">
        <v>1</v>
      </c>
      <c r="L2553" s="19"/>
      <c r="M2553" s="20" t="n">
        <v>2</v>
      </c>
      <c r="N2553" s="19"/>
      <c r="O2553" s="19"/>
      <c r="P2553" s="19" t="s">
        <v>5313</v>
      </c>
      <c r="Q2553" s="19" t="s">
        <v>980</v>
      </c>
      <c r="R2553" s="21" t="n">
        <v>33290</v>
      </c>
      <c r="S2553" s="19"/>
      <c r="T2553" s="19" t="s">
        <v>7709</v>
      </c>
      <c r="U2553" s="19" t="str">
        <f aca="false">HYPERLINK("https://macaulaylibrary.org/asset/57469","Open")</f>
        <v>Open</v>
      </c>
      <c r="V2553" s="19"/>
    </row>
    <row r="2554" customFormat="false" ht="15" hidden="false" customHeight="false" outlineLevel="0" collapsed="false">
      <c r="A2554" s="19" t="s">
        <v>7710</v>
      </c>
      <c r="B2554" s="19" t="s">
        <v>943</v>
      </c>
      <c r="C2554" s="19" t="s">
        <v>7202</v>
      </c>
      <c r="D2554" s="19" t="s">
        <v>148</v>
      </c>
      <c r="E2554" s="19" t="s">
        <v>147</v>
      </c>
      <c r="F2554" s="19" t="s">
        <v>252</v>
      </c>
      <c r="G2554" s="19" t="n">
        <v>106</v>
      </c>
      <c r="H2554" s="19" t="s">
        <v>253</v>
      </c>
      <c r="I2554" s="20" t="n">
        <v>20.864</v>
      </c>
      <c r="J2554" s="19" t="n">
        <f aca="false">IF(I2554="","",MIN(Overview!$B$8,MAX(1,CEILING(I2554/Overview!$B$7,1))))</f>
        <v>5</v>
      </c>
      <c r="K2554" s="19" t="n">
        <v>1</v>
      </c>
      <c r="L2554" s="19"/>
      <c r="M2554" s="20" t="n">
        <v>2</v>
      </c>
      <c r="N2554" s="19"/>
      <c r="O2554" s="19"/>
      <c r="P2554" s="19" t="s">
        <v>1892</v>
      </c>
      <c r="Q2554" s="19" t="s">
        <v>1893</v>
      </c>
      <c r="R2554" s="21" t="n">
        <v>45556</v>
      </c>
      <c r="S2554" s="19" t="s">
        <v>1769</v>
      </c>
      <c r="T2554" s="19" t="s">
        <v>7711</v>
      </c>
      <c r="U2554" s="19" t="str">
        <f aca="false">HYPERLINK("https://macaulaylibrary.org/asset/624011424","Open")</f>
        <v>Open</v>
      </c>
      <c r="V2554" s="19"/>
    </row>
    <row r="2555" customFormat="false" ht="15" hidden="false" customHeight="false" outlineLevel="0" collapsed="false">
      <c r="A2555" s="19" t="s">
        <v>7712</v>
      </c>
      <c r="B2555" s="19" t="s">
        <v>943</v>
      </c>
      <c r="C2555" s="19" t="s">
        <v>7202</v>
      </c>
      <c r="D2555" s="19" t="s">
        <v>400</v>
      </c>
      <c r="E2555" s="19" t="s">
        <v>147</v>
      </c>
      <c r="F2555" s="19" t="s">
        <v>655</v>
      </c>
      <c r="G2555" s="19" t="n">
        <v>107</v>
      </c>
      <c r="H2555" s="19" t="s">
        <v>656</v>
      </c>
      <c r="I2555" s="20" t="n">
        <v>12.8</v>
      </c>
      <c r="J2555" s="19" t="n">
        <f aca="false">IF(I2555="","",MIN(Overview!$B$8,MAX(1,CEILING(I2555/Overview!$B$7,1))))</f>
        <v>3</v>
      </c>
      <c r="K2555" s="19" t="n">
        <v>1</v>
      </c>
      <c r="L2555" s="19"/>
      <c r="M2555" s="20" t="n">
        <v>3</v>
      </c>
      <c r="N2555" s="19"/>
      <c r="O2555" s="19"/>
      <c r="P2555" s="19" t="s">
        <v>4408</v>
      </c>
      <c r="Q2555" s="19" t="s">
        <v>965</v>
      </c>
      <c r="R2555" s="21" t="n">
        <v>46012</v>
      </c>
      <c r="S2555" s="19" t="s">
        <v>4409</v>
      </c>
      <c r="T2555" s="19" t="s">
        <v>7713</v>
      </c>
      <c r="U2555" s="19" t="str">
        <f aca="false">HYPERLINK("https://macaulaylibrary.org/asset/647390533","Open")</f>
        <v>Open</v>
      </c>
      <c r="V2555" s="19"/>
    </row>
    <row r="2556" customFormat="false" ht="15" hidden="false" customHeight="false" outlineLevel="0" collapsed="false">
      <c r="A2556" s="19" t="s">
        <v>7714</v>
      </c>
      <c r="B2556" s="19" t="s">
        <v>943</v>
      </c>
      <c r="C2556" s="19" t="s">
        <v>7202</v>
      </c>
      <c r="D2556" s="19" t="s">
        <v>400</v>
      </c>
      <c r="E2556" s="19" t="s">
        <v>147</v>
      </c>
      <c r="F2556" s="19" t="s">
        <v>607</v>
      </c>
      <c r="G2556" s="19" t="n">
        <v>108</v>
      </c>
      <c r="H2556" s="19" t="s">
        <v>608</v>
      </c>
      <c r="I2556" s="20" t="n">
        <v>70.689</v>
      </c>
      <c r="J2556" s="19" t="n">
        <f aca="false">IF(I2556="","",MIN(Overview!$B$8,MAX(1,CEILING(I2556/Overview!$B$7,1))))</f>
        <v>15</v>
      </c>
      <c r="K2556" s="19" t="n">
        <v>1</v>
      </c>
      <c r="L2556" s="19"/>
      <c r="M2556" s="20" t="n">
        <v>3</v>
      </c>
      <c r="N2556" s="19"/>
      <c r="O2556" s="19"/>
      <c r="P2556" s="19" t="s">
        <v>2523</v>
      </c>
      <c r="Q2556" s="19" t="s">
        <v>1592</v>
      </c>
      <c r="R2556" s="21" t="n">
        <v>30405</v>
      </c>
      <c r="S2556" s="19" t="s">
        <v>1002</v>
      </c>
      <c r="T2556" s="19" t="s">
        <v>7715</v>
      </c>
      <c r="U2556" s="19" t="str">
        <f aca="false">HYPERLINK("https://macaulaylibrary.org/asset/39235","Open")</f>
        <v>Open</v>
      </c>
      <c r="V2556" s="19"/>
    </row>
    <row r="2557" customFormat="false" ht="15" hidden="false" customHeight="false" outlineLevel="0" collapsed="false">
      <c r="A2557" s="19" t="s">
        <v>7716</v>
      </c>
      <c r="B2557" s="19" t="s">
        <v>943</v>
      </c>
      <c r="C2557" s="19" t="s">
        <v>7202</v>
      </c>
      <c r="D2557" s="19" t="s">
        <v>613</v>
      </c>
      <c r="E2557" s="19" t="s">
        <v>147</v>
      </c>
      <c r="F2557" s="19" t="s">
        <v>820</v>
      </c>
      <c r="G2557" s="19" t="n">
        <v>109</v>
      </c>
      <c r="H2557" s="19" t="s">
        <v>821</v>
      </c>
      <c r="I2557" s="20" t="n">
        <v>26.242</v>
      </c>
      <c r="J2557" s="19" t="n">
        <f aca="false">IF(I2557="","",MIN(Overview!$B$8,MAX(1,CEILING(I2557/Overview!$B$7,1))))</f>
        <v>6</v>
      </c>
      <c r="K2557" s="19" t="n">
        <v>1</v>
      </c>
      <c r="L2557" s="19"/>
      <c r="M2557" s="20" t="n">
        <v>3</v>
      </c>
      <c r="N2557" s="19"/>
      <c r="O2557" s="19"/>
      <c r="P2557" s="19" t="s">
        <v>5297</v>
      </c>
      <c r="Q2557" s="19" t="s">
        <v>1050</v>
      </c>
      <c r="R2557" s="21" t="n">
        <v>43406</v>
      </c>
      <c r="S2557" s="19" t="s">
        <v>3042</v>
      </c>
      <c r="T2557" s="19" t="s">
        <v>7717</v>
      </c>
      <c r="U2557" s="19" t="str">
        <f aca="false">HYPERLINK("https://macaulaylibrary.org/asset/293055121","Open")</f>
        <v>Open</v>
      </c>
      <c r="V2557" s="19"/>
    </row>
    <row r="2558" customFormat="false" ht="15" hidden="false" customHeight="false" outlineLevel="0" collapsed="false">
      <c r="A2558" s="19" t="s">
        <v>7718</v>
      </c>
      <c r="B2558" s="19" t="s">
        <v>943</v>
      </c>
      <c r="C2558" s="19" t="s">
        <v>7202</v>
      </c>
      <c r="D2558" s="19" t="s">
        <v>400</v>
      </c>
      <c r="E2558" s="19" t="s">
        <v>147</v>
      </c>
      <c r="F2558" s="19" t="s">
        <v>717</v>
      </c>
      <c r="G2558" s="19" t="n">
        <v>110</v>
      </c>
      <c r="H2558" s="19" t="s">
        <v>718</v>
      </c>
      <c r="I2558" s="20" t="n">
        <v>13.717</v>
      </c>
      <c r="J2558" s="19" t="n">
        <f aca="false">IF(I2558="","",MIN(Overview!$B$8,MAX(1,CEILING(I2558/Overview!$B$7,1))))</f>
        <v>3</v>
      </c>
      <c r="K2558" s="19" t="n">
        <v>1</v>
      </c>
      <c r="L2558" s="19"/>
      <c r="M2558" s="20" t="n">
        <v>5</v>
      </c>
      <c r="N2558" s="19"/>
      <c r="O2558" s="19"/>
      <c r="P2558" s="19" t="s">
        <v>7719</v>
      </c>
      <c r="Q2558" s="19" t="s">
        <v>965</v>
      </c>
      <c r="R2558" s="21" t="n">
        <v>44549</v>
      </c>
      <c r="S2558" s="19" t="s">
        <v>957</v>
      </c>
      <c r="T2558" s="19" t="s">
        <v>7720</v>
      </c>
      <c r="U2558" s="19" t="str">
        <f aca="false">HYPERLINK("https://macaulaylibrary.org/asset/398721331","Open")</f>
        <v>Open</v>
      </c>
      <c r="V2558" s="19"/>
    </row>
    <row r="2559" customFormat="false" ht="15" hidden="false" customHeight="false" outlineLevel="0" collapsed="false">
      <c r="A2559" s="19" t="s">
        <v>7721</v>
      </c>
      <c r="B2559" s="19" t="s">
        <v>943</v>
      </c>
      <c r="C2559" s="19" t="s">
        <v>7202</v>
      </c>
      <c r="D2559" s="19" t="s">
        <v>400</v>
      </c>
      <c r="E2559" s="19" t="s">
        <v>147</v>
      </c>
      <c r="F2559" s="19" t="s">
        <v>538</v>
      </c>
      <c r="G2559" s="19" t="n">
        <v>111</v>
      </c>
      <c r="H2559" s="19" t="s">
        <v>539</v>
      </c>
      <c r="I2559" s="20" t="n">
        <v>13.76</v>
      </c>
      <c r="J2559" s="19" t="n">
        <f aca="false">IF(I2559="","",MIN(Overview!$B$8,MAX(1,CEILING(I2559/Overview!$B$7,1))))</f>
        <v>3</v>
      </c>
      <c r="K2559" s="19" t="n">
        <v>1</v>
      </c>
      <c r="L2559" s="19"/>
      <c r="M2559" s="20" t="n">
        <v>2</v>
      </c>
      <c r="N2559" s="19"/>
      <c r="O2559" s="19"/>
      <c r="P2559" s="19" t="s">
        <v>1305</v>
      </c>
      <c r="Q2559" s="19" t="s">
        <v>965</v>
      </c>
      <c r="R2559" s="21" t="n">
        <v>45276</v>
      </c>
      <c r="S2559" s="19" t="s">
        <v>1306</v>
      </c>
      <c r="T2559" s="19" t="s">
        <v>7722</v>
      </c>
      <c r="U2559" s="19" t="str">
        <f aca="false">HYPERLINK("https://macaulaylibrary.org/asset/612315796","Open")</f>
        <v>Open</v>
      </c>
      <c r="V2559" s="19"/>
    </row>
    <row r="2560" customFormat="false" ht="15" hidden="false" customHeight="false" outlineLevel="0" collapsed="false">
      <c r="A2560" s="19" t="s">
        <v>7723</v>
      </c>
      <c r="B2560" s="19" t="s">
        <v>943</v>
      </c>
      <c r="C2560" s="19" t="s">
        <v>7202</v>
      </c>
      <c r="D2560" s="19" t="s">
        <v>148</v>
      </c>
      <c r="E2560" s="19" t="s">
        <v>147</v>
      </c>
      <c r="F2560" s="19" t="s">
        <v>243</v>
      </c>
      <c r="G2560" s="19" t="n">
        <v>112</v>
      </c>
      <c r="H2560" s="19" t="s">
        <v>244</v>
      </c>
      <c r="I2560" s="20" t="n">
        <v>49.226</v>
      </c>
      <c r="J2560" s="19" t="n">
        <f aca="false">IF(I2560="","",MIN(Overview!$B$8,MAX(1,CEILING(I2560/Overview!$B$7,1))))</f>
        <v>10</v>
      </c>
      <c r="K2560" s="19" t="n">
        <v>1</v>
      </c>
      <c r="L2560" s="19"/>
      <c r="M2560" s="20" t="n">
        <v>5</v>
      </c>
      <c r="N2560" s="19"/>
      <c r="O2560" s="19"/>
      <c r="P2560" s="19" t="s">
        <v>1542</v>
      </c>
      <c r="Q2560" s="19" t="s">
        <v>1408</v>
      </c>
      <c r="R2560" s="21" t="n">
        <v>31806</v>
      </c>
      <c r="S2560" s="19" t="s">
        <v>1009</v>
      </c>
      <c r="T2560" s="19" t="s">
        <v>7724</v>
      </c>
      <c r="U2560" s="19" t="str">
        <f aca="false">HYPERLINK("https://macaulaylibrary.org/asset/336529841","Open")</f>
        <v>Open</v>
      </c>
      <c r="V2560" s="19"/>
    </row>
    <row r="2561" customFormat="false" ht="15" hidden="false" customHeight="false" outlineLevel="0" collapsed="false">
      <c r="A2561" s="19" t="s">
        <v>7725</v>
      </c>
      <c r="B2561" s="19" t="s">
        <v>943</v>
      </c>
      <c r="C2561" s="19" t="s">
        <v>7202</v>
      </c>
      <c r="D2561" s="19" t="s">
        <v>148</v>
      </c>
      <c r="E2561" s="19" t="s">
        <v>147</v>
      </c>
      <c r="F2561" s="19" t="s">
        <v>243</v>
      </c>
      <c r="G2561" s="19" t="n">
        <v>112</v>
      </c>
      <c r="H2561" s="19" t="s">
        <v>244</v>
      </c>
      <c r="I2561" s="20" t="n">
        <v>12.701</v>
      </c>
      <c r="J2561" s="19" t="n">
        <f aca="false">IF(I2561="","",MIN(Overview!$B$8,MAX(1,CEILING(I2561/Overview!$B$7,1))))</f>
        <v>3</v>
      </c>
      <c r="K2561" s="19" t="n">
        <v>1</v>
      </c>
      <c r="L2561" s="19"/>
      <c r="M2561" s="20" t="n">
        <v>3</v>
      </c>
      <c r="N2561" s="19"/>
      <c r="O2561" s="19"/>
      <c r="P2561" s="19" t="s">
        <v>1170</v>
      </c>
      <c r="Q2561" s="19" t="s">
        <v>1166</v>
      </c>
      <c r="R2561" s="21" t="n">
        <v>44900</v>
      </c>
      <c r="S2561" s="19" t="s">
        <v>1092</v>
      </c>
      <c r="T2561" s="19" t="s">
        <v>7726</v>
      </c>
      <c r="U2561" s="19" t="str">
        <f aca="false">HYPERLINK("https://macaulaylibrary.org/asset/597933351","Open")</f>
        <v>Open</v>
      </c>
      <c r="V2561" s="19"/>
    </row>
    <row r="2562" customFormat="false" ht="15" hidden="false" customHeight="false" outlineLevel="0" collapsed="false">
      <c r="A2562" s="19" t="s">
        <v>7727</v>
      </c>
      <c r="B2562" s="19" t="s">
        <v>943</v>
      </c>
      <c r="C2562" s="19" t="s">
        <v>7202</v>
      </c>
      <c r="D2562" s="19" t="s">
        <v>148</v>
      </c>
      <c r="E2562" s="19" t="s">
        <v>147</v>
      </c>
      <c r="F2562" s="19" t="s">
        <v>243</v>
      </c>
      <c r="G2562" s="19" t="n">
        <v>112</v>
      </c>
      <c r="H2562" s="19" t="s">
        <v>244</v>
      </c>
      <c r="I2562" s="20" t="n">
        <v>19.46</v>
      </c>
      <c r="J2562" s="19" t="n">
        <f aca="false">IF(I2562="","",MIN(Overview!$B$8,MAX(1,CEILING(I2562/Overview!$B$7,1))))</f>
        <v>4</v>
      </c>
      <c r="K2562" s="19" t="n">
        <v>1</v>
      </c>
      <c r="L2562" s="19"/>
      <c r="M2562" s="20" t="n">
        <v>4.5</v>
      </c>
      <c r="N2562" s="19"/>
      <c r="O2562" s="19"/>
      <c r="P2562" s="19" t="s">
        <v>1170</v>
      </c>
      <c r="Q2562" s="19" t="s">
        <v>1166</v>
      </c>
      <c r="R2562" s="21" t="n">
        <v>44900</v>
      </c>
      <c r="S2562" s="19" t="s">
        <v>1092</v>
      </c>
      <c r="T2562" s="19" t="s">
        <v>7728</v>
      </c>
      <c r="U2562" s="19" t="str">
        <f aca="false">HYPERLINK("https://macaulaylibrary.org/asset/597934851","Open")</f>
        <v>Open</v>
      </c>
      <c r="V2562" s="19"/>
    </row>
    <row r="2563" customFormat="false" ht="15" hidden="false" customHeight="false" outlineLevel="0" collapsed="false">
      <c r="A2563" s="19" t="s">
        <v>7729</v>
      </c>
      <c r="B2563" s="19" t="s">
        <v>943</v>
      </c>
      <c r="C2563" s="19" t="s">
        <v>7202</v>
      </c>
      <c r="D2563" s="19" t="s">
        <v>148</v>
      </c>
      <c r="E2563" s="19" t="s">
        <v>147</v>
      </c>
      <c r="F2563" s="19" t="s">
        <v>243</v>
      </c>
      <c r="G2563" s="19" t="n">
        <v>112</v>
      </c>
      <c r="H2563" s="19" t="s">
        <v>244</v>
      </c>
      <c r="I2563" s="20" t="n">
        <v>140.662</v>
      </c>
      <c r="J2563" s="19" t="n">
        <f aca="false">IF(I2563="","",MIN(Overview!$B$8,MAX(1,CEILING(I2563/Overview!$B$7,1))))</f>
        <v>29</v>
      </c>
      <c r="K2563" s="19" t="n">
        <v>1</v>
      </c>
      <c r="L2563" s="19"/>
      <c r="M2563" s="20" t="n">
        <v>3.5</v>
      </c>
      <c r="N2563" s="19"/>
      <c r="O2563" s="19"/>
      <c r="P2563" s="19" t="s">
        <v>1573</v>
      </c>
      <c r="Q2563" s="19" t="s">
        <v>1021</v>
      </c>
      <c r="R2563" s="21" t="n">
        <v>35861</v>
      </c>
      <c r="S2563" s="19" t="s">
        <v>1574</v>
      </c>
      <c r="T2563" s="19" t="s">
        <v>7730</v>
      </c>
      <c r="U2563" s="19" t="str">
        <f aca="false">HYPERLINK("https://macaulaylibrary.org/asset/99567781","Open")</f>
        <v>Open</v>
      </c>
      <c r="V2563" s="19"/>
    </row>
    <row r="2564" customFormat="false" ht="15" hidden="false" customHeight="false" outlineLevel="0" collapsed="false">
      <c r="A2564" s="19" t="s">
        <v>7731</v>
      </c>
      <c r="B2564" s="19" t="s">
        <v>943</v>
      </c>
      <c r="C2564" s="19" t="s">
        <v>7202</v>
      </c>
      <c r="D2564" s="19" t="s">
        <v>400</v>
      </c>
      <c r="E2564" s="19" t="s">
        <v>147</v>
      </c>
      <c r="F2564" s="19" t="s">
        <v>481</v>
      </c>
      <c r="G2564" s="19" t="n">
        <v>113</v>
      </c>
      <c r="H2564" s="19" t="s">
        <v>482</v>
      </c>
      <c r="I2564" s="20" t="n">
        <v>86.14</v>
      </c>
      <c r="J2564" s="19" t="n">
        <f aca="false">IF(I2564="","",MIN(Overview!$B$8,MAX(1,CEILING(I2564/Overview!$B$7,1))))</f>
        <v>18</v>
      </c>
      <c r="K2564" s="19" t="n">
        <v>1</v>
      </c>
      <c r="L2564" s="19"/>
      <c r="M2564" s="20" t="n">
        <v>3</v>
      </c>
      <c r="N2564" s="19"/>
      <c r="O2564" s="19"/>
      <c r="P2564" s="19" t="s">
        <v>1214</v>
      </c>
      <c r="Q2564" s="19" t="s">
        <v>980</v>
      </c>
      <c r="R2564" s="21" t="n">
        <v>33300</v>
      </c>
      <c r="S2564" s="19" t="s">
        <v>5781</v>
      </c>
      <c r="T2564" s="19" t="s">
        <v>7732</v>
      </c>
      <c r="U2564" s="19" t="str">
        <f aca="false">HYPERLINK("https://macaulaylibrary.org/asset/72664","Open")</f>
        <v>Open</v>
      </c>
      <c r="V2564" s="19"/>
    </row>
    <row r="2565" customFormat="false" ht="15" hidden="false" customHeight="false" outlineLevel="0" collapsed="false">
      <c r="A2565" s="19" t="s">
        <v>7733</v>
      </c>
      <c r="B2565" s="19" t="s">
        <v>943</v>
      </c>
      <c r="C2565" s="19" t="s">
        <v>7202</v>
      </c>
      <c r="D2565" s="19" t="s">
        <v>400</v>
      </c>
      <c r="E2565" s="19" t="s">
        <v>147</v>
      </c>
      <c r="F2565" s="19" t="s">
        <v>568</v>
      </c>
      <c r="G2565" s="19" t="n">
        <v>114</v>
      </c>
      <c r="H2565" s="19" t="s">
        <v>569</v>
      </c>
      <c r="I2565" s="20" t="n">
        <v>107.521</v>
      </c>
      <c r="J2565" s="19" t="n">
        <f aca="false">IF(I2565="","",MIN(Overview!$B$8,MAX(1,CEILING(I2565/Overview!$B$7,1))))</f>
        <v>22</v>
      </c>
      <c r="K2565" s="19" t="n">
        <v>1</v>
      </c>
      <c r="L2565" s="19"/>
      <c r="M2565" s="20" t="n">
        <v>1</v>
      </c>
      <c r="N2565" s="19"/>
      <c r="O2565" s="19"/>
      <c r="P2565" s="19" t="s">
        <v>7734</v>
      </c>
      <c r="Q2565" s="19" t="s">
        <v>1218</v>
      </c>
      <c r="R2565" s="21" t="n">
        <v>34800</v>
      </c>
      <c r="S2565" s="19" t="s">
        <v>7735</v>
      </c>
      <c r="T2565" s="19" t="s">
        <v>7736</v>
      </c>
      <c r="U2565" s="19" t="str">
        <f aca="false">HYPERLINK("https://macaulaylibrary.org/asset/184144","Open")</f>
        <v>Open</v>
      </c>
      <c r="V2565" s="19"/>
    </row>
    <row r="2566" customFormat="false" ht="15" hidden="false" customHeight="false" outlineLevel="0" collapsed="false">
      <c r="A2566" s="19" t="s">
        <v>7737</v>
      </c>
      <c r="B2566" s="19" t="s">
        <v>943</v>
      </c>
      <c r="C2566" s="19" t="s">
        <v>7202</v>
      </c>
      <c r="D2566" s="19" t="s">
        <v>148</v>
      </c>
      <c r="E2566" s="19" t="s">
        <v>147</v>
      </c>
      <c r="F2566" s="19" t="s">
        <v>376</v>
      </c>
      <c r="G2566" s="19" t="n">
        <v>115</v>
      </c>
      <c r="H2566" s="19" t="s">
        <v>377</v>
      </c>
      <c r="I2566" s="20" t="n">
        <v>11.912</v>
      </c>
      <c r="J2566" s="19" t="n">
        <f aca="false">IF(I2566="","",MIN(Overview!$B$8,MAX(1,CEILING(I2566/Overview!$B$7,1))))</f>
        <v>3</v>
      </c>
      <c r="K2566" s="19" t="n">
        <v>1</v>
      </c>
      <c r="L2566" s="19"/>
      <c r="M2566" s="20" t="n">
        <v>3</v>
      </c>
      <c r="N2566" s="19"/>
      <c r="O2566" s="19"/>
      <c r="P2566" s="19" t="s">
        <v>7738</v>
      </c>
      <c r="Q2566" s="19" t="s">
        <v>7739</v>
      </c>
      <c r="R2566" s="21" t="n">
        <v>44542</v>
      </c>
      <c r="S2566" s="19" t="s">
        <v>1769</v>
      </c>
      <c r="T2566" s="19" t="s">
        <v>7740</v>
      </c>
      <c r="U2566" s="19" t="str">
        <f aca="false">HYPERLINK("https://macaulaylibrary.org/asset/402227291","Open")</f>
        <v>Open</v>
      </c>
      <c r="V2566" s="19"/>
    </row>
    <row r="2567" customFormat="false" ht="15" hidden="false" customHeight="false" outlineLevel="0" collapsed="false">
      <c r="A2567" s="19" t="s">
        <v>7741</v>
      </c>
      <c r="B2567" s="19" t="s">
        <v>943</v>
      </c>
      <c r="C2567" s="19" t="s">
        <v>7202</v>
      </c>
      <c r="D2567" s="19" t="s">
        <v>148</v>
      </c>
      <c r="E2567" s="19" t="s">
        <v>147</v>
      </c>
      <c r="F2567" s="19" t="s">
        <v>376</v>
      </c>
      <c r="G2567" s="19" t="n">
        <v>115</v>
      </c>
      <c r="H2567" s="19" t="s">
        <v>377</v>
      </c>
      <c r="I2567" s="20" t="n">
        <v>15.695</v>
      </c>
      <c r="J2567" s="19" t="n">
        <f aca="false">IF(I2567="","",MIN(Overview!$B$8,MAX(1,CEILING(I2567/Overview!$B$7,1))))</f>
        <v>4</v>
      </c>
      <c r="K2567" s="19" t="n">
        <v>1</v>
      </c>
      <c r="L2567" s="19"/>
      <c r="M2567" s="20"/>
      <c r="N2567" s="19"/>
      <c r="O2567" s="19"/>
      <c r="P2567" s="19" t="s">
        <v>2807</v>
      </c>
      <c r="Q2567" s="19" t="s">
        <v>1985</v>
      </c>
      <c r="R2567" s="21" t="n">
        <v>44873</v>
      </c>
      <c r="S2567" s="19" t="s">
        <v>2808</v>
      </c>
      <c r="T2567" s="19" t="s">
        <v>7742</v>
      </c>
      <c r="U2567" s="19" t="str">
        <f aca="false">HYPERLINK("https://macaulaylibrary.org/asset/539975261","Open")</f>
        <v>Open</v>
      </c>
      <c r="V2567" s="19"/>
    </row>
    <row r="2568" customFormat="false" ht="15" hidden="false" customHeight="false" outlineLevel="0" collapsed="false">
      <c r="A2568" s="19" t="s">
        <v>7743</v>
      </c>
      <c r="B2568" s="19" t="s">
        <v>943</v>
      </c>
      <c r="C2568" s="19" t="s">
        <v>7202</v>
      </c>
      <c r="D2568" s="19" t="s">
        <v>148</v>
      </c>
      <c r="E2568" s="19" t="s">
        <v>147</v>
      </c>
      <c r="F2568" s="19" t="s">
        <v>329</v>
      </c>
      <c r="G2568" s="19" t="n">
        <v>116</v>
      </c>
      <c r="H2568" s="19" t="s">
        <v>330</v>
      </c>
      <c r="I2568" s="20" t="n">
        <v>40.699</v>
      </c>
      <c r="J2568" s="19" t="n">
        <f aca="false">IF(I2568="","",MIN(Overview!$B$8,MAX(1,CEILING(I2568/Overview!$B$7,1))))</f>
        <v>9</v>
      </c>
      <c r="K2568" s="19" t="n">
        <v>1</v>
      </c>
      <c r="L2568" s="19"/>
      <c r="M2568" s="20" t="n">
        <v>4</v>
      </c>
      <c r="N2568" s="19"/>
      <c r="O2568" s="19"/>
      <c r="P2568" s="19" t="s">
        <v>1698</v>
      </c>
      <c r="Q2568" s="19" t="s">
        <v>1021</v>
      </c>
      <c r="R2568" s="21" t="n">
        <v>36599</v>
      </c>
      <c r="S2568" s="19" t="s">
        <v>1036</v>
      </c>
      <c r="T2568" s="19" t="s">
        <v>7744</v>
      </c>
      <c r="U2568" s="19" t="str">
        <f aca="false">HYPERLINK("https://macaulaylibrary.org/asset/148850631","Open")</f>
        <v>Open</v>
      </c>
      <c r="V2568" s="19"/>
    </row>
    <row r="2569" customFormat="false" ht="15" hidden="false" customHeight="false" outlineLevel="0" collapsed="false">
      <c r="A2569" s="19" t="s">
        <v>7745</v>
      </c>
      <c r="B2569" s="19" t="s">
        <v>943</v>
      </c>
      <c r="C2569" s="19" t="s">
        <v>7202</v>
      </c>
      <c r="D2569" s="19" t="s">
        <v>148</v>
      </c>
      <c r="E2569" s="19" t="s">
        <v>147</v>
      </c>
      <c r="F2569" s="19" t="s">
        <v>329</v>
      </c>
      <c r="G2569" s="19" t="n">
        <v>116</v>
      </c>
      <c r="H2569" s="19" t="s">
        <v>330</v>
      </c>
      <c r="I2569" s="20" t="n">
        <v>65.183</v>
      </c>
      <c r="J2569" s="19" t="n">
        <f aca="false">IF(I2569="","",MIN(Overview!$B$8,MAX(1,CEILING(I2569/Overview!$B$7,1))))</f>
        <v>14</v>
      </c>
      <c r="K2569" s="19" t="n">
        <v>1</v>
      </c>
      <c r="L2569" s="19"/>
      <c r="M2569" s="20" t="n">
        <v>3</v>
      </c>
      <c r="N2569" s="19"/>
      <c r="O2569" s="19" t="s">
        <v>438</v>
      </c>
      <c r="P2569" s="19" t="s">
        <v>2538</v>
      </c>
      <c r="Q2569" s="19" t="s">
        <v>980</v>
      </c>
      <c r="R2569" s="21" t="n">
        <v>35207</v>
      </c>
      <c r="S2569" s="19" t="s">
        <v>7746</v>
      </c>
      <c r="T2569" s="19" t="s">
        <v>7747</v>
      </c>
      <c r="U2569" s="19" t="str">
        <f aca="false">HYPERLINK("https://macaulaylibrary.org/asset/184771","Open")</f>
        <v>Open</v>
      </c>
      <c r="V2569" s="19" t="s">
        <v>7748</v>
      </c>
    </row>
    <row r="2570" customFormat="false" ht="15" hidden="false" customHeight="false" outlineLevel="0" collapsed="false">
      <c r="A2570" s="19" t="s">
        <v>7749</v>
      </c>
      <c r="B2570" s="19" t="s">
        <v>943</v>
      </c>
      <c r="C2570" s="19" t="s">
        <v>7202</v>
      </c>
      <c r="D2570" s="19" t="s">
        <v>148</v>
      </c>
      <c r="E2570" s="19" t="s">
        <v>147</v>
      </c>
      <c r="F2570" s="19" t="s">
        <v>357</v>
      </c>
      <c r="G2570" s="19" t="n">
        <v>117</v>
      </c>
      <c r="H2570" s="19" t="s">
        <v>358</v>
      </c>
      <c r="I2570" s="20" t="n">
        <v>16.161</v>
      </c>
      <c r="J2570" s="19" t="n">
        <f aca="false">IF(I2570="","",MIN(Overview!$B$8,MAX(1,CEILING(I2570/Overview!$B$7,1))))</f>
        <v>4</v>
      </c>
      <c r="K2570" s="19" t="n">
        <v>1</v>
      </c>
      <c r="L2570" s="19"/>
      <c r="M2570" s="20" t="n">
        <v>3</v>
      </c>
      <c r="N2570" s="19"/>
      <c r="O2570" s="19"/>
      <c r="P2570" s="19" t="s">
        <v>1080</v>
      </c>
      <c r="Q2570" s="19" t="s">
        <v>1021</v>
      </c>
      <c r="R2570" s="21" t="n">
        <v>36602</v>
      </c>
      <c r="S2570" s="19" t="s">
        <v>1081</v>
      </c>
      <c r="T2570" s="19" t="s">
        <v>7750</v>
      </c>
      <c r="U2570" s="19" t="str">
        <f aca="false">HYPERLINK("https://macaulaylibrary.org/asset/154145711","Open")</f>
        <v>Open</v>
      </c>
      <c r="V2570" s="19"/>
    </row>
    <row r="2571" customFormat="false" ht="15" hidden="false" customHeight="false" outlineLevel="0" collapsed="false">
      <c r="A2571" s="19" t="s">
        <v>7751</v>
      </c>
      <c r="B2571" s="19" t="s">
        <v>943</v>
      </c>
      <c r="C2571" s="19" t="s">
        <v>7202</v>
      </c>
      <c r="D2571" s="19" t="s">
        <v>148</v>
      </c>
      <c r="E2571" s="19" t="s">
        <v>147</v>
      </c>
      <c r="F2571" s="19" t="s">
        <v>357</v>
      </c>
      <c r="G2571" s="19" t="n">
        <v>117</v>
      </c>
      <c r="H2571" s="19" t="s">
        <v>358</v>
      </c>
      <c r="I2571" s="20" t="n">
        <v>105.767</v>
      </c>
      <c r="J2571" s="19" t="n">
        <f aca="false">IF(I2571="","",MIN(Overview!$B$8,MAX(1,CEILING(I2571/Overview!$B$7,1))))</f>
        <v>22</v>
      </c>
      <c r="K2571" s="19" t="n">
        <v>1</v>
      </c>
      <c r="L2571" s="19"/>
      <c r="M2571" s="20" t="n">
        <v>3.5</v>
      </c>
      <c r="N2571" s="19"/>
      <c r="O2571" s="19"/>
      <c r="P2571" s="19" t="s">
        <v>1080</v>
      </c>
      <c r="Q2571" s="19" t="s">
        <v>1021</v>
      </c>
      <c r="R2571" s="21" t="n">
        <v>36602</v>
      </c>
      <c r="S2571" s="19" t="s">
        <v>1081</v>
      </c>
      <c r="T2571" s="19" t="s">
        <v>7752</v>
      </c>
      <c r="U2571" s="19" t="str">
        <f aca="false">HYPERLINK("https://macaulaylibrary.org/asset/154146281","Open")</f>
        <v>Open</v>
      </c>
      <c r="V2571" s="19"/>
    </row>
    <row r="2572" customFormat="false" ht="15" hidden="false" customHeight="false" outlineLevel="0" collapsed="false">
      <c r="A2572" s="19" t="s">
        <v>7753</v>
      </c>
      <c r="B2572" s="19" t="s">
        <v>943</v>
      </c>
      <c r="C2572" s="19" t="s">
        <v>7202</v>
      </c>
      <c r="D2572" s="19" t="s">
        <v>148</v>
      </c>
      <c r="E2572" s="19" t="s">
        <v>147</v>
      </c>
      <c r="F2572" s="19" t="s">
        <v>332</v>
      </c>
      <c r="G2572" s="19" t="n">
        <v>118</v>
      </c>
      <c r="H2572" s="19" t="s">
        <v>333</v>
      </c>
      <c r="I2572" s="20" t="n">
        <v>9.27</v>
      </c>
      <c r="J2572" s="19" t="n">
        <f aca="false">IF(I2572="","",MIN(Overview!$B$8,MAX(1,CEILING(I2572/Overview!$B$7,1))))</f>
        <v>2</v>
      </c>
      <c r="K2572" s="19" t="n">
        <v>1</v>
      </c>
      <c r="L2572" s="19"/>
      <c r="M2572" s="20" t="n">
        <v>3</v>
      </c>
      <c r="N2572" s="19"/>
      <c r="O2572" s="19"/>
      <c r="P2572" s="19" t="s">
        <v>7339</v>
      </c>
      <c r="Q2572" s="19" t="s">
        <v>7340</v>
      </c>
      <c r="R2572" s="21" t="n">
        <v>44367</v>
      </c>
      <c r="S2572" s="19" t="s">
        <v>1013</v>
      </c>
      <c r="T2572" s="19" t="s">
        <v>7754</v>
      </c>
      <c r="U2572" s="19" t="str">
        <f aca="false">HYPERLINK("https://macaulaylibrary.org/asset/349506341","Open")</f>
        <v>Open</v>
      </c>
      <c r="V2572" s="19"/>
    </row>
    <row r="2573" customFormat="false" ht="15" hidden="false" customHeight="false" outlineLevel="0" collapsed="false">
      <c r="A2573" s="19" t="s">
        <v>7755</v>
      </c>
      <c r="B2573" s="19" t="s">
        <v>943</v>
      </c>
      <c r="C2573" s="19" t="s">
        <v>7202</v>
      </c>
      <c r="D2573" s="19" t="s">
        <v>148</v>
      </c>
      <c r="E2573" s="19" t="s">
        <v>147</v>
      </c>
      <c r="F2573" s="19" t="s">
        <v>332</v>
      </c>
      <c r="G2573" s="19" t="n">
        <v>118</v>
      </c>
      <c r="H2573" s="19" t="s">
        <v>333</v>
      </c>
      <c r="I2573" s="20" t="n">
        <v>3.2</v>
      </c>
      <c r="J2573" s="19" t="n">
        <f aca="false">IF(I2573="","",MIN(Overview!$B$8,MAX(1,CEILING(I2573/Overview!$B$7,1))))</f>
        <v>1</v>
      </c>
      <c r="K2573" s="19" t="n">
        <v>1</v>
      </c>
      <c r="L2573" s="19" t="s">
        <v>1048</v>
      </c>
      <c r="M2573" s="20"/>
      <c r="N2573" s="19"/>
      <c r="O2573" s="19"/>
      <c r="P2573" s="19" t="s">
        <v>1418</v>
      </c>
      <c r="Q2573" s="19" t="s">
        <v>1204</v>
      </c>
      <c r="R2573" s="21" t="n">
        <v>44609</v>
      </c>
      <c r="S2573" s="19" t="s">
        <v>1419</v>
      </c>
      <c r="T2573" s="19" t="s">
        <v>7756</v>
      </c>
      <c r="U2573" s="19" t="str">
        <f aca="false">HYPERLINK("https://macaulaylibrary.org/asset/531101881","Open")</f>
        <v>Open</v>
      </c>
      <c r="V2573" s="19"/>
    </row>
    <row r="2574" customFormat="false" ht="15" hidden="false" customHeight="false" outlineLevel="0" collapsed="false">
      <c r="A2574" s="19" t="s">
        <v>7757</v>
      </c>
      <c r="B2574" s="19" t="s">
        <v>943</v>
      </c>
      <c r="C2574" s="19" t="s">
        <v>7202</v>
      </c>
      <c r="D2574" s="19" t="s">
        <v>148</v>
      </c>
      <c r="E2574" s="19" t="s">
        <v>147</v>
      </c>
      <c r="F2574" s="19" t="s">
        <v>379</v>
      </c>
      <c r="G2574" s="19" t="n">
        <v>119</v>
      </c>
      <c r="H2574" s="19" t="s">
        <v>380</v>
      </c>
      <c r="I2574" s="20" t="n">
        <v>221.83</v>
      </c>
      <c r="J2574" s="19" t="n">
        <f aca="false">IF(I2574="","",MIN(Overview!$B$8,MAX(1,CEILING(I2574/Overview!$B$7,1))))</f>
        <v>45</v>
      </c>
      <c r="K2574" s="19" t="n">
        <v>1</v>
      </c>
      <c r="L2574" s="19"/>
      <c r="M2574" s="20" t="n">
        <v>3.17</v>
      </c>
      <c r="N2574" s="19"/>
      <c r="O2574" s="19"/>
      <c r="P2574" s="19" t="s">
        <v>1763</v>
      </c>
      <c r="Q2574" s="19" t="s">
        <v>980</v>
      </c>
      <c r="R2574" s="21" t="n">
        <v>34127</v>
      </c>
      <c r="S2574" s="19" t="s">
        <v>7758</v>
      </c>
      <c r="T2574" s="19" t="s">
        <v>7759</v>
      </c>
      <c r="U2574" s="19" t="str">
        <f aca="false">HYPERLINK("https://macaulaylibrary.org/asset/209496","Open")</f>
        <v>Open</v>
      </c>
      <c r="V2574" s="19" t="s">
        <v>3930</v>
      </c>
    </row>
    <row r="2575" customFormat="false" ht="15" hidden="false" customHeight="false" outlineLevel="0" collapsed="false">
      <c r="A2575" s="19" t="s">
        <v>7760</v>
      </c>
      <c r="B2575" s="19" t="s">
        <v>943</v>
      </c>
      <c r="C2575" s="19" t="s">
        <v>7202</v>
      </c>
      <c r="D2575" s="19" t="s">
        <v>148</v>
      </c>
      <c r="E2575" s="19" t="s">
        <v>147</v>
      </c>
      <c r="F2575" s="19" t="s">
        <v>379</v>
      </c>
      <c r="G2575" s="19" t="n">
        <v>119</v>
      </c>
      <c r="H2575" s="19" t="s">
        <v>380</v>
      </c>
      <c r="I2575" s="20" t="n">
        <v>26.928</v>
      </c>
      <c r="J2575" s="19" t="n">
        <f aca="false">IF(I2575="","",MIN(Overview!$B$8,MAX(1,CEILING(I2575/Overview!$B$7,1))))</f>
        <v>6</v>
      </c>
      <c r="K2575" s="19" t="n">
        <v>1</v>
      </c>
      <c r="L2575" s="19"/>
      <c r="M2575" s="20" t="n">
        <v>3</v>
      </c>
      <c r="N2575" s="19"/>
      <c r="O2575" s="19"/>
      <c r="P2575" s="19" t="s">
        <v>1787</v>
      </c>
      <c r="Q2575" s="19" t="s">
        <v>1408</v>
      </c>
      <c r="R2575" s="21" t="n">
        <v>32588</v>
      </c>
      <c r="S2575" s="19" t="s">
        <v>1369</v>
      </c>
      <c r="T2575" s="19" t="s">
        <v>7761</v>
      </c>
      <c r="U2575" s="19" t="str">
        <f aca="false">HYPERLINK("https://macaulaylibrary.org/asset/348003581","Open")</f>
        <v>Open</v>
      </c>
      <c r="V2575" s="19"/>
    </row>
    <row r="2576" customFormat="false" ht="15" hidden="false" customHeight="false" outlineLevel="0" collapsed="false">
      <c r="A2576" s="19" t="s">
        <v>7762</v>
      </c>
      <c r="B2576" s="19" t="s">
        <v>943</v>
      </c>
      <c r="C2576" s="19" t="s">
        <v>7202</v>
      </c>
      <c r="D2576" s="19" t="s">
        <v>148</v>
      </c>
      <c r="E2576" s="19" t="s">
        <v>147</v>
      </c>
      <c r="F2576" s="19" t="s">
        <v>338</v>
      </c>
      <c r="G2576" s="19" t="n">
        <v>121</v>
      </c>
      <c r="H2576" s="19" t="s">
        <v>339</v>
      </c>
      <c r="I2576" s="20" t="n">
        <v>114.772</v>
      </c>
      <c r="J2576" s="19" t="n">
        <f aca="false">IF(I2576="","",MIN(Overview!$B$8,MAX(1,CEILING(I2576/Overview!$B$7,1))))</f>
        <v>23</v>
      </c>
      <c r="K2576" s="19" t="n">
        <v>1</v>
      </c>
      <c r="L2576" s="19"/>
      <c r="M2576" s="20" t="n">
        <v>4.5</v>
      </c>
      <c r="N2576" s="19"/>
      <c r="O2576" s="19"/>
      <c r="P2576" s="19" t="s">
        <v>3152</v>
      </c>
      <c r="Q2576" s="19" t="s">
        <v>1408</v>
      </c>
      <c r="R2576" s="21" t="n">
        <v>31807</v>
      </c>
      <c r="S2576" s="19" t="s">
        <v>1009</v>
      </c>
      <c r="T2576" s="19" t="s">
        <v>7763</v>
      </c>
      <c r="U2576" s="19" t="str">
        <f aca="false">HYPERLINK("https://macaulaylibrary.org/asset/306062001","Open")</f>
        <v>Open</v>
      </c>
      <c r="V2576" s="19"/>
    </row>
    <row r="2577" customFormat="false" ht="15" hidden="false" customHeight="false" outlineLevel="0" collapsed="false">
      <c r="A2577" s="19" t="s">
        <v>7764</v>
      </c>
      <c r="B2577" s="19" t="s">
        <v>943</v>
      </c>
      <c r="C2577" s="19" t="s">
        <v>7202</v>
      </c>
      <c r="D2577" s="19" t="s">
        <v>148</v>
      </c>
      <c r="E2577" s="19" t="s">
        <v>147</v>
      </c>
      <c r="F2577" s="19" t="s">
        <v>338</v>
      </c>
      <c r="G2577" s="19" t="n">
        <v>121</v>
      </c>
      <c r="H2577" s="19" t="s">
        <v>339</v>
      </c>
      <c r="I2577" s="20" t="n">
        <v>172.685</v>
      </c>
      <c r="J2577" s="19" t="n">
        <f aca="false">IF(I2577="","",MIN(Overview!$B$8,MAX(1,CEILING(I2577/Overview!$B$7,1))))</f>
        <v>35</v>
      </c>
      <c r="K2577" s="19" t="n">
        <v>1</v>
      </c>
      <c r="L2577" s="19"/>
      <c r="M2577" s="20" t="n">
        <v>3</v>
      </c>
      <c r="N2577" s="19"/>
      <c r="O2577" s="19"/>
      <c r="P2577" s="19" t="s">
        <v>1001</v>
      </c>
      <c r="Q2577" s="19" t="s">
        <v>980</v>
      </c>
      <c r="R2577" s="21" t="n">
        <v>33299</v>
      </c>
      <c r="S2577" s="19" t="s">
        <v>1002</v>
      </c>
      <c r="T2577" s="19" t="s">
        <v>7765</v>
      </c>
      <c r="U2577" s="19" t="str">
        <f aca="false">HYPERLINK("https://macaulaylibrary.org/asset/72656","Open")</f>
        <v>Open</v>
      </c>
      <c r="V2577" s="19"/>
    </row>
    <row r="2578" customFormat="false" ht="15" hidden="false" customHeight="false" outlineLevel="0" collapsed="false">
      <c r="A2578" s="19" t="s">
        <v>7766</v>
      </c>
      <c r="B2578" s="19" t="s">
        <v>943</v>
      </c>
      <c r="C2578" s="19" t="s">
        <v>7202</v>
      </c>
      <c r="D2578" s="19" t="s">
        <v>400</v>
      </c>
      <c r="E2578" s="19" t="s">
        <v>147</v>
      </c>
      <c r="F2578" s="19" t="s">
        <v>722</v>
      </c>
      <c r="G2578" s="19" t="n">
        <v>122</v>
      </c>
      <c r="H2578" s="19" t="s">
        <v>723</v>
      </c>
      <c r="I2578" s="20" t="n">
        <v>51.541</v>
      </c>
      <c r="J2578" s="19" t="n">
        <f aca="false">IF(I2578="","",MIN(Overview!$B$8,MAX(1,CEILING(I2578/Overview!$B$7,1))))</f>
        <v>11</v>
      </c>
      <c r="K2578" s="19" t="n">
        <v>1</v>
      </c>
      <c r="L2578" s="19"/>
      <c r="M2578" s="20" t="n">
        <v>3.67</v>
      </c>
      <c r="N2578" s="19"/>
      <c r="O2578" s="19"/>
      <c r="P2578" s="19" t="s">
        <v>3147</v>
      </c>
      <c r="Q2578" s="19" t="s">
        <v>965</v>
      </c>
      <c r="R2578" s="21" t="n">
        <v>44184</v>
      </c>
      <c r="S2578" s="19" t="s">
        <v>1137</v>
      </c>
      <c r="T2578" s="19" t="s">
        <v>7767</v>
      </c>
      <c r="U2578" s="19" t="str">
        <f aca="false">HYPERLINK("https://macaulaylibrary.org/asset/289817631","Open")</f>
        <v>Open</v>
      </c>
      <c r="V2578" s="19"/>
    </row>
    <row r="2579" customFormat="false" ht="15" hidden="false" customHeight="false" outlineLevel="0" collapsed="false">
      <c r="A2579" s="19" t="s">
        <v>7768</v>
      </c>
      <c r="B2579" s="19" t="s">
        <v>943</v>
      </c>
      <c r="C2579" s="19" t="s">
        <v>7202</v>
      </c>
      <c r="D2579" s="19" t="s">
        <v>400</v>
      </c>
      <c r="E2579" s="19" t="s">
        <v>147</v>
      </c>
      <c r="F2579" s="19" t="s">
        <v>658</v>
      </c>
      <c r="G2579" s="19" t="n">
        <v>123</v>
      </c>
      <c r="H2579" s="19" t="s">
        <v>659</v>
      </c>
      <c r="I2579" s="20" t="n">
        <v>22.003</v>
      </c>
      <c r="J2579" s="19" t="n">
        <f aca="false">IF(I2579="","",MIN(Overview!$B$8,MAX(1,CEILING(I2579/Overview!$B$7,1))))</f>
        <v>5</v>
      </c>
      <c r="K2579" s="19" t="n">
        <v>1</v>
      </c>
      <c r="L2579" s="19"/>
      <c r="M2579" s="20" t="n">
        <v>3.67</v>
      </c>
      <c r="N2579" s="19"/>
      <c r="O2579" s="19"/>
      <c r="P2579" s="19" t="s">
        <v>1140</v>
      </c>
      <c r="Q2579" s="19" t="s">
        <v>1030</v>
      </c>
      <c r="R2579" s="21" t="n">
        <v>40250</v>
      </c>
      <c r="S2579" s="19" t="s">
        <v>2787</v>
      </c>
      <c r="T2579" s="19" t="s">
        <v>7769</v>
      </c>
      <c r="U2579" s="19" t="str">
        <f aca="false">HYPERLINK("https://macaulaylibrary.org/asset/299573","Open")</f>
        <v>Open</v>
      </c>
      <c r="V2579" s="19"/>
    </row>
    <row r="2580" customFormat="false" ht="15" hidden="false" customHeight="false" outlineLevel="0" collapsed="false">
      <c r="A2580" s="19" t="s">
        <v>7770</v>
      </c>
      <c r="B2580" s="19" t="s">
        <v>943</v>
      </c>
      <c r="C2580" s="19" t="s">
        <v>7202</v>
      </c>
      <c r="D2580" s="19" t="s">
        <v>148</v>
      </c>
      <c r="E2580" s="19" t="s">
        <v>147</v>
      </c>
      <c r="F2580" s="19" t="s">
        <v>319</v>
      </c>
      <c r="G2580" s="19" t="n">
        <v>124</v>
      </c>
      <c r="H2580" s="19" t="s">
        <v>320</v>
      </c>
      <c r="I2580" s="20" t="n">
        <v>205.177</v>
      </c>
      <c r="J2580" s="19" t="n">
        <f aca="false">IF(I2580="","",MIN(Overview!$B$8,MAX(1,CEILING(I2580/Overview!$B$7,1))))</f>
        <v>42</v>
      </c>
      <c r="K2580" s="19" t="n">
        <v>1</v>
      </c>
      <c r="L2580" s="19"/>
      <c r="M2580" s="20" t="n">
        <v>3.67</v>
      </c>
      <c r="N2580" s="19"/>
      <c r="O2580" s="19" t="s">
        <v>388</v>
      </c>
      <c r="P2580" s="19" t="s">
        <v>1131</v>
      </c>
      <c r="Q2580" s="19" t="s">
        <v>1063</v>
      </c>
      <c r="R2580" s="21" t="n">
        <v>44086</v>
      </c>
      <c r="S2580" s="19" t="s">
        <v>1132</v>
      </c>
      <c r="T2580" s="19" t="s">
        <v>7771</v>
      </c>
      <c r="U2580" s="19" t="str">
        <f aca="false">HYPERLINK("https://macaulaylibrary.org/asset/266305561","Open")</f>
        <v>Open</v>
      </c>
      <c r="V2580" s="19"/>
    </row>
    <row r="2581" customFormat="false" ht="15" hidden="false" customHeight="false" outlineLevel="0" collapsed="false">
      <c r="A2581" s="19" t="s">
        <v>7772</v>
      </c>
      <c r="B2581" s="19" t="s">
        <v>943</v>
      </c>
      <c r="C2581" s="19" t="s">
        <v>7202</v>
      </c>
      <c r="D2581" s="19" t="s">
        <v>148</v>
      </c>
      <c r="E2581" s="19" t="s">
        <v>147</v>
      </c>
      <c r="F2581" s="19" t="s">
        <v>319</v>
      </c>
      <c r="G2581" s="19" t="n">
        <v>124</v>
      </c>
      <c r="H2581" s="19" t="s">
        <v>320</v>
      </c>
      <c r="I2581" s="20" t="n">
        <v>26.743</v>
      </c>
      <c r="J2581" s="19" t="n">
        <f aca="false">IF(I2581="","",MIN(Overview!$B$8,MAX(1,CEILING(I2581/Overview!$B$7,1))))</f>
        <v>6</v>
      </c>
      <c r="K2581" s="19" t="n">
        <v>1</v>
      </c>
      <c r="L2581" s="19"/>
      <c r="M2581" s="20"/>
      <c r="N2581" s="19"/>
      <c r="O2581" s="19"/>
      <c r="P2581" s="19" t="s">
        <v>1029</v>
      </c>
      <c r="Q2581" s="19" t="s">
        <v>1030</v>
      </c>
      <c r="R2581" s="21" t="n">
        <v>40251</v>
      </c>
      <c r="S2581" s="19" t="s">
        <v>1077</v>
      </c>
      <c r="T2581" s="19" t="s">
        <v>7773</v>
      </c>
      <c r="U2581" s="19" t="str">
        <f aca="false">HYPERLINK("https://macaulaylibrary.org/asset/299668","Open")</f>
        <v>Open</v>
      </c>
      <c r="V2581" s="19" t="s">
        <v>7774</v>
      </c>
    </row>
    <row r="2582" customFormat="false" ht="15" hidden="false" customHeight="false" outlineLevel="0" collapsed="false">
      <c r="A2582" s="19" t="s">
        <v>7775</v>
      </c>
      <c r="B2582" s="19" t="s">
        <v>943</v>
      </c>
      <c r="C2582" s="19" t="s">
        <v>7202</v>
      </c>
      <c r="D2582" s="19" t="s">
        <v>148</v>
      </c>
      <c r="E2582" s="19" t="s">
        <v>147</v>
      </c>
      <c r="F2582" s="19" t="s">
        <v>319</v>
      </c>
      <c r="G2582" s="19" t="n">
        <v>124</v>
      </c>
      <c r="H2582" s="19" t="s">
        <v>320</v>
      </c>
      <c r="I2582" s="20" t="n">
        <v>207.716</v>
      </c>
      <c r="J2582" s="19" t="n">
        <f aca="false">IF(I2582="","",MIN(Overview!$B$8,MAX(1,CEILING(I2582/Overview!$B$7,1))))</f>
        <v>42</v>
      </c>
      <c r="K2582" s="19" t="n">
        <v>1</v>
      </c>
      <c r="L2582" s="19"/>
      <c r="M2582" s="20" t="n">
        <v>4</v>
      </c>
      <c r="N2582" s="19"/>
      <c r="O2582" s="19"/>
      <c r="P2582" s="19" t="s">
        <v>1742</v>
      </c>
      <c r="Q2582" s="19" t="s">
        <v>1021</v>
      </c>
      <c r="R2582" s="21" t="n">
        <v>35860</v>
      </c>
      <c r="S2582" s="19" t="s">
        <v>1743</v>
      </c>
      <c r="T2582" s="19" t="s">
        <v>7776</v>
      </c>
      <c r="U2582" s="19" t="str">
        <f aca="false">HYPERLINK("https://macaulaylibrary.org/asset/98494831","Open")</f>
        <v>Open</v>
      </c>
      <c r="V2582" s="19"/>
    </row>
    <row r="2583" customFormat="false" ht="15" hidden="false" customHeight="false" outlineLevel="0" collapsed="false">
      <c r="A2583" s="19" t="s">
        <v>7777</v>
      </c>
      <c r="B2583" s="19" t="s">
        <v>943</v>
      </c>
      <c r="C2583" s="19" t="s">
        <v>7202</v>
      </c>
      <c r="D2583" s="19" t="s">
        <v>613</v>
      </c>
      <c r="E2583" s="19" t="s">
        <v>147</v>
      </c>
      <c r="F2583" s="19" t="s">
        <v>610</v>
      </c>
      <c r="G2583" s="19" t="n">
        <v>125</v>
      </c>
      <c r="H2583" s="19" t="s">
        <v>611</v>
      </c>
      <c r="I2583" s="20" t="n">
        <v>5.239</v>
      </c>
      <c r="J2583" s="19" t="n">
        <f aca="false">IF(I2583="","",MIN(Overview!$B$8,MAX(1,CEILING(I2583/Overview!$B$7,1))))</f>
        <v>2</v>
      </c>
      <c r="K2583" s="19" t="n">
        <v>1</v>
      </c>
      <c r="L2583" s="19"/>
      <c r="M2583" s="20" t="n">
        <v>2</v>
      </c>
      <c r="N2583" s="19"/>
      <c r="O2583" s="19"/>
      <c r="P2583" s="19" t="s">
        <v>2871</v>
      </c>
      <c r="Q2583" s="19" t="s">
        <v>990</v>
      </c>
      <c r="R2583" s="21" t="n">
        <v>44548</v>
      </c>
      <c r="S2583" s="19" t="s">
        <v>1144</v>
      </c>
      <c r="T2583" s="19" t="s">
        <v>7778</v>
      </c>
      <c r="U2583" s="19" t="str">
        <f aca="false">HYPERLINK("https://macaulaylibrary.org/asset/400104221","Open")</f>
        <v>Open</v>
      </c>
      <c r="V2583" s="19"/>
    </row>
    <row r="2584" customFormat="false" ht="15" hidden="false" customHeight="false" outlineLevel="0" collapsed="false">
      <c r="A2584" s="19" t="s">
        <v>7779</v>
      </c>
      <c r="B2584" s="19" t="s">
        <v>943</v>
      </c>
      <c r="C2584" s="19" t="s">
        <v>7202</v>
      </c>
      <c r="D2584" s="19" t="s">
        <v>148</v>
      </c>
      <c r="E2584" s="19" t="s">
        <v>147</v>
      </c>
      <c r="F2584" s="19" t="s">
        <v>212</v>
      </c>
      <c r="G2584" s="19" t="n">
        <v>126</v>
      </c>
      <c r="H2584" s="19" t="s">
        <v>213</v>
      </c>
      <c r="I2584" s="20" t="n">
        <v>15.996</v>
      </c>
      <c r="J2584" s="19" t="n">
        <f aca="false">IF(I2584="","",MIN(Overview!$B$8,MAX(1,CEILING(I2584/Overview!$B$7,1))))</f>
        <v>4</v>
      </c>
      <c r="K2584" s="19" t="n">
        <v>1</v>
      </c>
      <c r="L2584" s="19"/>
      <c r="M2584" s="20" t="n">
        <v>4.5</v>
      </c>
      <c r="N2584" s="19"/>
      <c r="O2584" s="19"/>
      <c r="P2584" s="19" t="s">
        <v>7780</v>
      </c>
      <c r="Q2584" s="19" t="s">
        <v>2085</v>
      </c>
      <c r="R2584" s="21" t="n">
        <v>42804</v>
      </c>
      <c r="S2584" s="19" t="s">
        <v>6769</v>
      </c>
      <c r="T2584" s="19" t="s">
        <v>7781</v>
      </c>
      <c r="U2584" s="19" t="str">
        <f aca="false">HYPERLINK("https://macaulaylibrary.org/asset/213096511","Open")</f>
        <v>Open</v>
      </c>
      <c r="V2584" s="19"/>
    </row>
    <row r="2585" customFormat="false" ht="15" hidden="false" customHeight="false" outlineLevel="0" collapsed="false">
      <c r="A2585" s="19" t="s">
        <v>7782</v>
      </c>
      <c r="B2585" s="19" t="s">
        <v>943</v>
      </c>
      <c r="C2585" s="19" t="s">
        <v>7202</v>
      </c>
      <c r="D2585" s="19" t="s">
        <v>148</v>
      </c>
      <c r="E2585" s="19" t="s">
        <v>147</v>
      </c>
      <c r="F2585" s="19" t="s">
        <v>212</v>
      </c>
      <c r="G2585" s="19" t="n">
        <v>126</v>
      </c>
      <c r="H2585" s="19" t="s">
        <v>213</v>
      </c>
      <c r="I2585" s="20" t="n">
        <v>67.392</v>
      </c>
      <c r="J2585" s="19" t="n">
        <f aca="false">IF(I2585="","",MIN(Overview!$B$8,MAX(1,CEILING(I2585/Overview!$B$7,1))))</f>
        <v>14</v>
      </c>
      <c r="K2585" s="19" t="n">
        <v>1</v>
      </c>
      <c r="L2585" s="19"/>
      <c r="M2585" s="20" t="n">
        <v>2</v>
      </c>
      <c r="N2585" s="19"/>
      <c r="O2585" s="19"/>
      <c r="P2585" s="19" t="s">
        <v>7783</v>
      </c>
      <c r="Q2585" s="19" t="s">
        <v>965</v>
      </c>
      <c r="R2585" s="21" t="n">
        <v>44547</v>
      </c>
      <c r="S2585" s="19" t="s">
        <v>4030</v>
      </c>
      <c r="T2585" s="19" t="s">
        <v>7784</v>
      </c>
      <c r="U2585" s="19" t="str">
        <f aca="false">HYPERLINK("https://macaulaylibrary.org/asset/398109831","Open")</f>
        <v>Open</v>
      </c>
      <c r="V2585" s="19"/>
    </row>
    <row r="2586" customFormat="false" ht="15" hidden="false" customHeight="false" outlineLevel="0" collapsed="false">
      <c r="A2586" s="19" t="s">
        <v>7785</v>
      </c>
      <c r="B2586" s="19" t="s">
        <v>943</v>
      </c>
      <c r="C2586" s="19" t="s">
        <v>7202</v>
      </c>
      <c r="D2586" s="19" t="s">
        <v>148</v>
      </c>
      <c r="E2586" s="19" t="s">
        <v>147</v>
      </c>
      <c r="F2586" s="19" t="s">
        <v>212</v>
      </c>
      <c r="G2586" s="19" t="n">
        <v>126</v>
      </c>
      <c r="H2586" s="19" t="s">
        <v>213</v>
      </c>
      <c r="I2586" s="20" t="n">
        <v>21.211</v>
      </c>
      <c r="J2586" s="19" t="n">
        <f aca="false">IF(I2586="","",MIN(Overview!$B$8,MAX(1,CEILING(I2586/Overview!$B$7,1))))</f>
        <v>5</v>
      </c>
      <c r="K2586" s="19" t="n">
        <v>1</v>
      </c>
      <c r="L2586" s="19"/>
      <c r="M2586" s="20" t="n">
        <v>2</v>
      </c>
      <c r="N2586" s="19"/>
      <c r="O2586" s="19"/>
      <c r="P2586" s="19" t="s">
        <v>2326</v>
      </c>
      <c r="Q2586" s="19" t="s">
        <v>990</v>
      </c>
      <c r="R2586" s="21" t="n">
        <v>46011</v>
      </c>
      <c r="S2586" s="19" t="s">
        <v>2327</v>
      </c>
      <c r="T2586" s="19" t="s">
        <v>7786</v>
      </c>
      <c r="U2586" s="19" t="str">
        <f aca="false">HYPERLINK("https://macaulaylibrary.org/asset/647484436","Open")</f>
        <v>Open</v>
      </c>
      <c r="V2586" s="19"/>
    </row>
    <row r="2587" customFormat="false" ht="15" hidden="false" customHeight="false" outlineLevel="0" collapsed="false">
      <c r="A2587" s="19" t="s">
        <v>7787</v>
      </c>
      <c r="B2587" s="19" t="s">
        <v>943</v>
      </c>
      <c r="C2587" s="19" t="s">
        <v>7202</v>
      </c>
      <c r="D2587" s="19" t="s">
        <v>148</v>
      </c>
      <c r="E2587" s="19" t="s">
        <v>147</v>
      </c>
      <c r="F2587" s="19" t="s">
        <v>212</v>
      </c>
      <c r="G2587" s="19" t="n">
        <v>126</v>
      </c>
      <c r="H2587" s="19" t="s">
        <v>213</v>
      </c>
      <c r="I2587" s="20" t="n">
        <v>46.513</v>
      </c>
      <c r="J2587" s="19" t="n">
        <f aca="false">IF(I2587="","",MIN(Overview!$B$8,MAX(1,CEILING(I2587/Overview!$B$7,1))))</f>
        <v>10</v>
      </c>
      <c r="K2587" s="19" t="n">
        <v>1</v>
      </c>
      <c r="L2587" s="19"/>
      <c r="M2587" s="20" t="n">
        <v>4</v>
      </c>
      <c r="N2587" s="19"/>
      <c r="O2587" s="19"/>
      <c r="P2587" s="19" t="s">
        <v>2326</v>
      </c>
      <c r="Q2587" s="19" t="s">
        <v>990</v>
      </c>
      <c r="R2587" s="21" t="n">
        <v>46011</v>
      </c>
      <c r="S2587" s="19" t="s">
        <v>2327</v>
      </c>
      <c r="T2587" s="19" t="s">
        <v>7788</v>
      </c>
      <c r="U2587" s="19" t="str">
        <f aca="false">HYPERLINK("https://macaulaylibrary.org/asset/647484454","Open")</f>
        <v>Open</v>
      </c>
      <c r="V2587" s="19"/>
    </row>
    <row r="2588" customFormat="false" ht="15" hidden="false" customHeight="false" outlineLevel="0" collapsed="false">
      <c r="A2588" s="19" t="s">
        <v>7789</v>
      </c>
      <c r="B2588" s="19" t="s">
        <v>943</v>
      </c>
      <c r="C2588" s="19" t="s">
        <v>7202</v>
      </c>
      <c r="D2588" s="19" t="s">
        <v>148</v>
      </c>
      <c r="E2588" s="19" t="s">
        <v>147</v>
      </c>
      <c r="F2588" s="19" t="s">
        <v>212</v>
      </c>
      <c r="G2588" s="19" t="n">
        <v>126</v>
      </c>
      <c r="H2588" s="19" t="s">
        <v>213</v>
      </c>
      <c r="I2588" s="20" t="n">
        <v>11.598</v>
      </c>
      <c r="J2588" s="19" t="n">
        <f aca="false">IF(I2588="","",MIN(Overview!$B$8,MAX(1,CEILING(I2588/Overview!$B$7,1))))</f>
        <v>3</v>
      </c>
      <c r="K2588" s="19" t="n">
        <v>1</v>
      </c>
      <c r="L2588" s="19"/>
      <c r="M2588" s="20" t="n">
        <v>2</v>
      </c>
      <c r="N2588" s="19"/>
      <c r="O2588" s="19"/>
      <c r="P2588" s="19" t="s">
        <v>2326</v>
      </c>
      <c r="Q2588" s="19" t="s">
        <v>990</v>
      </c>
      <c r="R2588" s="21" t="n">
        <v>46011</v>
      </c>
      <c r="S2588" s="19" t="s">
        <v>2327</v>
      </c>
      <c r="T2588" s="19" t="s">
        <v>7790</v>
      </c>
      <c r="U2588" s="19" t="str">
        <f aca="false">HYPERLINK("https://macaulaylibrary.org/asset/647484503","Open")</f>
        <v>Open</v>
      </c>
      <c r="V2588" s="19"/>
    </row>
    <row r="2589" customFormat="false" ht="15" hidden="false" customHeight="false" outlineLevel="0" collapsed="false">
      <c r="A2589" s="19" t="s">
        <v>7791</v>
      </c>
      <c r="B2589" s="19" t="s">
        <v>943</v>
      </c>
      <c r="C2589" s="19" t="s">
        <v>7202</v>
      </c>
      <c r="D2589" s="19" t="s">
        <v>400</v>
      </c>
      <c r="E2589" s="19" t="s">
        <v>147</v>
      </c>
      <c r="F2589" s="19" t="s">
        <v>438</v>
      </c>
      <c r="G2589" s="19" t="n">
        <v>127</v>
      </c>
      <c r="H2589" s="19" t="s">
        <v>439</v>
      </c>
      <c r="I2589" s="20" t="n">
        <v>25.369</v>
      </c>
      <c r="J2589" s="19" t="n">
        <f aca="false">IF(I2589="","",MIN(Overview!$B$8,MAX(1,CEILING(I2589/Overview!$B$7,1))))</f>
        <v>6</v>
      </c>
      <c r="K2589" s="19" t="n">
        <v>1</v>
      </c>
      <c r="L2589" s="19"/>
      <c r="M2589" s="20" t="n">
        <v>3.33</v>
      </c>
      <c r="N2589" s="19"/>
      <c r="O2589" s="19"/>
      <c r="P2589" s="19" t="s">
        <v>1140</v>
      </c>
      <c r="Q2589" s="19" t="s">
        <v>1030</v>
      </c>
      <c r="R2589" s="21" t="n">
        <v>40250</v>
      </c>
      <c r="S2589" s="19" t="s">
        <v>1737</v>
      </c>
      <c r="T2589" s="19" t="s">
        <v>7792</v>
      </c>
      <c r="U2589" s="19" t="str">
        <f aca="false">HYPERLINK("https://macaulaylibrary.org/asset/299601","Open")</f>
        <v>Open</v>
      </c>
      <c r="V2589" s="19"/>
    </row>
    <row r="2590" customFormat="false" ht="15" hidden="false" customHeight="false" outlineLevel="0" collapsed="false">
      <c r="A2590" s="19" t="s">
        <v>7793</v>
      </c>
      <c r="B2590" s="19" t="s">
        <v>943</v>
      </c>
      <c r="C2590" s="19" t="s">
        <v>7202</v>
      </c>
      <c r="D2590" s="19" t="s">
        <v>148</v>
      </c>
      <c r="E2590" s="19" t="s">
        <v>147</v>
      </c>
      <c r="F2590" s="19" t="s">
        <v>206</v>
      </c>
      <c r="G2590" s="19" t="n">
        <v>128</v>
      </c>
      <c r="H2590" s="19" t="s">
        <v>207</v>
      </c>
      <c r="I2590" s="20" t="n">
        <v>7.054</v>
      </c>
      <c r="J2590" s="19" t="n">
        <f aca="false">IF(I2590="","",MIN(Overview!$B$8,MAX(1,CEILING(I2590/Overview!$B$7,1))))</f>
        <v>2</v>
      </c>
      <c r="K2590" s="19" t="n">
        <v>1</v>
      </c>
      <c r="L2590" s="19"/>
      <c r="M2590" s="20" t="n">
        <v>2</v>
      </c>
      <c r="N2590" s="19"/>
      <c r="O2590" s="19"/>
      <c r="P2590" s="19" t="s">
        <v>2871</v>
      </c>
      <c r="Q2590" s="19" t="s">
        <v>990</v>
      </c>
      <c r="R2590" s="21" t="n">
        <v>44548</v>
      </c>
      <c r="S2590" s="19" t="s">
        <v>1144</v>
      </c>
      <c r="T2590" s="19" t="s">
        <v>7794</v>
      </c>
      <c r="U2590" s="19" t="str">
        <f aca="false">HYPERLINK("https://macaulaylibrary.org/asset/400108181","Open")</f>
        <v>Open</v>
      </c>
      <c r="V2590" s="19"/>
    </row>
    <row r="2591" customFormat="false" ht="15" hidden="false" customHeight="false" outlineLevel="0" collapsed="false">
      <c r="A2591" s="19" t="s">
        <v>7795</v>
      </c>
      <c r="B2591" s="19" t="s">
        <v>943</v>
      </c>
      <c r="C2591" s="19" t="s">
        <v>7202</v>
      </c>
      <c r="D2591" s="19" t="s">
        <v>148</v>
      </c>
      <c r="E2591" s="19" t="s">
        <v>147</v>
      </c>
      <c r="F2591" s="19" t="s">
        <v>206</v>
      </c>
      <c r="G2591" s="19" t="n">
        <v>128</v>
      </c>
      <c r="H2591" s="19" t="s">
        <v>207</v>
      </c>
      <c r="I2591" s="20" t="n">
        <v>3.699</v>
      </c>
      <c r="J2591" s="19" t="n">
        <f aca="false">IF(I2591="","",MIN(Overview!$B$8,MAX(1,CEILING(I2591/Overview!$B$7,1))))</f>
        <v>1</v>
      </c>
      <c r="K2591" s="19" t="n">
        <v>1</v>
      </c>
      <c r="L2591" s="19" t="s">
        <v>1048</v>
      </c>
      <c r="M2591" s="20" t="n">
        <v>2</v>
      </c>
      <c r="N2591" s="19"/>
      <c r="O2591" s="19"/>
      <c r="P2591" s="19" t="s">
        <v>1360</v>
      </c>
      <c r="Q2591" s="19" t="s">
        <v>1076</v>
      </c>
      <c r="R2591" s="21" t="n">
        <v>43399</v>
      </c>
      <c r="S2591" s="19" t="s">
        <v>1361</v>
      </c>
      <c r="T2591" s="19" t="s">
        <v>7796</v>
      </c>
      <c r="U2591" s="19" t="str">
        <f aca="false">HYPERLINK("https://macaulaylibrary.org/asset/471206911","Open")</f>
        <v>Open</v>
      </c>
      <c r="V2591" s="19"/>
    </row>
    <row r="2592" customFormat="false" ht="15" hidden="false" customHeight="false" outlineLevel="0" collapsed="false">
      <c r="A2592" s="19" t="s">
        <v>7797</v>
      </c>
      <c r="B2592" s="19" t="s">
        <v>943</v>
      </c>
      <c r="C2592" s="19" t="s">
        <v>7202</v>
      </c>
      <c r="D2592" s="19" t="s">
        <v>148</v>
      </c>
      <c r="E2592" s="19" t="s">
        <v>147</v>
      </c>
      <c r="F2592" s="19" t="s">
        <v>206</v>
      </c>
      <c r="G2592" s="19" t="n">
        <v>128</v>
      </c>
      <c r="H2592" s="19" t="s">
        <v>207</v>
      </c>
      <c r="I2592" s="20" t="n">
        <v>19.995</v>
      </c>
      <c r="J2592" s="19" t="n">
        <f aca="false">IF(I2592="","",MIN(Overview!$B$8,MAX(1,CEILING(I2592/Overview!$B$7,1))))</f>
        <v>4</v>
      </c>
      <c r="K2592" s="19" t="n">
        <v>1</v>
      </c>
      <c r="L2592" s="19"/>
      <c r="M2592" s="20" t="n">
        <v>4.5</v>
      </c>
      <c r="N2592" s="19"/>
      <c r="O2592" s="19" t="s">
        <v>472</v>
      </c>
      <c r="P2592" s="19" t="s">
        <v>1335</v>
      </c>
      <c r="Q2592" s="19" t="s">
        <v>990</v>
      </c>
      <c r="R2592" s="21" t="n">
        <v>46011</v>
      </c>
      <c r="S2592" s="19" t="s">
        <v>966</v>
      </c>
      <c r="T2592" s="19" t="s">
        <v>7798</v>
      </c>
      <c r="U2592" s="19" t="str">
        <f aca="false">HYPERLINK("https://macaulaylibrary.org/asset/647331024","Open")</f>
        <v>Open</v>
      </c>
      <c r="V2592" s="19"/>
    </row>
    <row r="2593" customFormat="false" ht="15" hidden="false" customHeight="false" outlineLevel="0" collapsed="false">
      <c r="A2593" s="19" t="s">
        <v>7799</v>
      </c>
      <c r="B2593" s="19" t="s">
        <v>943</v>
      </c>
      <c r="C2593" s="19" t="s">
        <v>7202</v>
      </c>
      <c r="D2593" s="19" t="s">
        <v>148</v>
      </c>
      <c r="E2593" s="19" t="s">
        <v>147</v>
      </c>
      <c r="F2593" s="19" t="s">
        <v>206</v>
      </c>
      <c r="G2593" s="19" t="n">
        <v>128</v>
      </c>
      <c r="H2593" s="19" t="s">
        <v>207</v>
      </c>
      <c r="I2593" s="20" t="n">
        <v>10.578</v>
      </c>
      <c r="J2593" s="19" t="n">
        <f aca="false">IF(I2593="","",MIN(Overview!$B$8,MAX(1,CEILING(I2593/Overview!$B$7,1))))</f>
        <v>3</v>
      </c>
      <c r="K2593" s="19" t="n">
        <v>1</v>
      </c>
      <c r="L2593" s="19"/>
      <c r="M2593" s="20" t="n">
        <v>4</v>
      </c>
      <c r="N2593" s="19"/>
      <c r="O2593" s="19" t="s">
        <v>162</v>
      </c>
      <c r="P2593" s="19" t="s">
        <v>1335</v>
      </c>
      <c r="Q2593" s="19" t="s">
        <v>990</v>
      </c>
      <c r="R2593" s="21" t="n">
        <v>46011</v>
      </c>
      <c r="S2593" s="19" t="s">
        <v>966</v>
      </c>
      <c r="T2593" s="19" t="s">
        <v>7800</v>
      </c>
      <c r="U2593" s="19" t="str">
        <f aca="false">HYPERLINK("https://macaulaylibrary.org/asset/647568034","Open")</f>
        <v>Open</v>
      </c>
      <c r="V2593" s="19"/>
    </row>
    <row r="2594" customFormat="false" ht="15" hidden="false" customHeight="false" outlineLevel="0" collapsed="false">
      <c r="A2594" s="19" t="s">
        <v>7801</v>
      </c>
      <c r="B2594" s="19" t="s">
        <v>943</v>
      </c>
      <c r="C2594" s="19" t="s">
        <v>7202</v>
      </c>
      <c r="D2594" s="19" t="s">
        <v>148</v>
      </c>
      <c r="E2594" s="19" t="s">
        <v>147</v>
      </c>
      <c r="F2594" s="19" t="s">
        <v>206</v>
      </c>
      <c r="G2594" s="19" t="n">
        <v>128</v>
      </c>
      <c r="H2594" s="19" t="s">
        <v>207</v>
      </c>
      <c r="I2594" s="20" t="n">
        <v>10.133</v>
      </c>
      <c r="J2594" s="19" t="n">
        <f aca="false">IF(I2594="","",MIN(Overview!$B$8,MAX(1,CEILING(I2594/Overview!$B$7,1))))</f>
        <v>3</v>
      </c>
      <c r="K2594" s="19" t="n">
        <v>1</v>
      </c>
      <c r="L2594" s="19"/>
      <c r="M2594" s="20" t="n">
        <v>2</v>
      </c>
      <c r="N2594" s="19"/>
      <c r="O2594" s="19"/>
      <c r="P2594" s="19" t="s">
        <v>1335</v>
      </c>
      <c r="Q2594" s="19" t="s">
        <v>990</v>
      </c>
      <c r="R2594" s="21" t="n">
        <v>46011</v>
      </c>
      <c r="S2594" s="19" t="s">
        <v>966</v>
      </c>
      <c r="T2594" s="19" t="s">
        <v>7802</v>
      </c>
      <c r="U2594" s="19" t="str">
        <f aca="false">HYPERLINK("https://macaulaylibrary.org/asset/647568198","Open")</f>
        <v>Open</v>
      </c>
      <c r="V2594" s="19"/>
    </row>
    <row r="2595" customFormat="false" ht="15" hidden="false" customHeight="false" outlineLevel="0" collapsed="false">
      <c r="A2595" s="19" t="s">
        <v>7803</v>
      </c>
      <c r="B2595" s="19" t="s">
        <v>943</v>
      </c>
      <c r="C2595" s="19" t="s">
        <v>7202</v>
      </c>
      <c r="D2595" s="19" t="s">
        <v>400</v>
      </c>
      <c r="E2595" s="19" t="s">
        <v>147</v>
      </c>
      <c r="F2595" s="19" t="s">
        <v>441</v>
      </c>
      <c r="G2595" s="19" t="n">
        <v>129</v>
      </c>
      <c r="H2595" s="19" t="s">
        <v>442</v>
      </c>
      <c r="I2595" s="20" t="n">
        <v>16.126</v>
      </c>
      <c r="J2595" s="19" t="n">
        <f aca="false">IF(I2595="","",MIN(Overview!$B$8,MAX(1,CEILING(I2595/Overview!$B$7,1))))</f>
        <v>4</v>
      </c>
      <c r="K2595" s="19" t="n">
        <v>1</v>
      </c>
      <c r="L2595" s="19"/>
      <c r="M2595" s="20" t="n">
        <v>1</v>
      </c>
      <c r="N2595" s="19"/>
      <c r="O2595" s="19"/>
      <c r="P2595" s="19" t="s">
        <v>7804</v>
      </c>
      <c r="Q2595" s="19" t="s">
        <v>990</v>
      </c>
      <c r="R2595" s="21" t="n">
        <v>44695</v>
      </c>
      <c r="S2595" s="19" t="s">
        <v>7805</v>
      </c>
      <c r="T2595" s="19" t="s">
        <v>7806</v>
      </c>
      <c r="U2595" s="19" t="str">
        <f aca="false">HYPERLINK("https://macaulaylibrary.org/asset/645563435","Open")</f>
        <v>Open</v>
      </c>
      <c r="V2595" s="19"/>
    </row>
    <row r="2596" customFormat="false" ht="15" hidden="false" customHeight="false" outlineLevel="0" collapsed="false">
      <c r="A2596" s="19" t="s">
        <v>7807</v>
      </c>
      <c r="B2596" s="19" t="s">
        <v>943</v>
      </c>
      <c r="C2596" s="19" t="s">
        <v>7202</v>
      </c>
      <c r="D2596" s="19" t="s">
        <v>613</v>
      </c>
      <c r="E2596" s="19" t="s">
        <v>147</v>
      </c>
      <c r="F2596" s="19" t="s">
        <v>823</v>
      </c>
      <c r="G2596" s="19" t="n">
        <v>130</v>
      </c>
      <c r="H2596" s="19" t="s">
        <v>824</v>
      </c>
      <c r="I2596" s="20" t="n">
        <v>31.529</v>
      </c>
      <c r="J2596" s="19" t="n">
        <f aca="false">IF(I2596="","",MIN(Overview!$B$8,MAX(1,CEILING(I2596/Overview!$B$7,1))))</f>
        <v>7</v>
      </c>
      <c r="K2596" s="19" t="n">
        <v>1</v>
      </c>
      <c r="L2596" s="19"/>
      <c r="M2596" s="20" t="n">
        <v>2</v>
      </c>
      <c r="N2596" s="19"/>
      <c r="O2596" s="19"/>
      <c r="P2596" s="19" t="s">
        <v>4969</v>
      </c>
      <c r="Q2596" s="19" t="s">
        <v>1050</v>
      </c>
      <c r="R2596" s="21" t="n">
        <v>43407</v>
      </c>
      <c r="S2596" s="19" t="s">
        <v>4970</v>
      </c>
      <c r="T2596" s="19" t="s">
        <v>7808</v>
      </c>
      <c r="U2596" s="19" t="str">
        <f aca="false">HYPERLINK("https://macaulaylibrary.org/asset/642601153","Open")</f>
        <v>Open</v>
      </c>
      <c r="V2596" s="19"/>
    </row>
    <row r="2597" customFormat="false" ht="15" hidden="false" customHeight="false" outlineLevel="0" collapsed="false">
      <c r="A2597" s="19" t="s">
        <v>7809</v>
      </c>
      <c r="B2597" s="19" t="s">
        <v>943</v>
      </c>
      <c r="C2597" s="19" t="s">
        <v>7202</v>
      </c>
      <c r="D2597" s="19" t="s">
        <v>400</v>
      </c>
      <c r="E2597" s="19" t="s">
        <v>147</v>
      </c>
      <c r="F2597" s="19" t="s">
        <v>614</v>
      </c>
      <c r="G2597" s="19" t="n">
        <v>131</v>
      </c>
      <c r="H2597" s="19" t="s">
        <v>615</v>
      </c>
      <c r="I2597" s="20" t="n">
        <v>242.765</v>
      </c>
      <c r="J2597" s="19" t="n">
        <f aca="false">IF(I2597="","",MIN(Overview!$B$8,MAX(1,CEILING(I2597/Overview!$B$7,1))))</f>
        <v>49</v>
      </c>
      <c r="K2597" s="19" t="n">
        <v>1</v>
      </c>
      <c r="L2597" s="19"/>
      <c r="M2597" s="20" t="n">
        <v>1</v>
      </c>
      <c r="N2597" s="19"/>
      <c r="O2597" s="19" t="s">
        <v>7810</v>
      </c>
      <c r="P2597" s="19" t="s">
        <v>1601</v>
      </c>
      <c r="Q2597" s="19" t="s">
        <v>1071</v>
      </c>
      <c r="R2597" s="21" t="n">
        <v>32942</v>
      </c>
      <c r="S2597" s="19" t="s">
        <v>3255</v>
      </c>
      <c r="T2597" s="19" t="s">
        <v>7811</v>
      </c>
      <c r="U2597" s="19" t="str">
        <f aca="false">HYPERLINK("https://macaulaylibrary.org/asset/51737","Open")</f>
        <v>Open</v>
      </c>
      <c r="V2597" s="19"/>
    </row>
    <row r="2598" customFormat="false" ht="15" hidden="false" customHeight="false" outlineLevel="0" collapsed="false">
      <c r="A2598" s="19" t="s">
        <v>7812</v>
      </c>
      <c r="B2598" s="19" t="s">
        <v>943</v>
      </c>
      <c r="C2598" s="19" t="s">
        <v>7202</v>
      </c>
      <c r="D2598" s="19" t="s">
        <v>400</v>
      </c>
      <c r="E2598" s="19" t="s">
        <v>147</v>
      </c>
      <c r="F2598" s="19" t="s">
        <v>508</v>
      </c>
      <c r="G2598" s="19" t="n">
        <v>132</v>
      </c>
      <c r="H2598" s="19" t="s">
        <v>509</v>
      </c>
      <c r="I2598" s="20" t="n">
        <v>125.895</v>
      </c>
      <c r="J2598" s="19" t="n">
        <f aca="false">IF(I2598="","",MIN(Overview!$B$8,MAX(1,CEILING(I2598/Overview!$B$7,1))))</f>
        <v>26</v>
      </c>
      <c r="K2598" s="19" t="n">
        <v>1</v>
      </c>
      <c r="L2598" s="19"/>
      <c r="M2598" s="20" t="n">
        <v>2</v>
      </c>
      <c r="N2598" s="19"/>
      <c r="O2598" s="19"/>
      <c r="P2598" s="19" t="s">
        <v>1125</v>
      </c>
      <c r="Q2598" s="19" t="s">
        <v>980</v>
      </c>
      <c r="R2598" s="21" t="n">
        <v>32557</v>
      </c>
      <c r="S2598" s="19" t="s">
        <v>7813</v>
      </c>
      <c r="T2598" s="19" t="s">
        <v>7814</v>
      </c>
      <c r="U2598" s="19" t="str">
        <f aca="false">HYPERLINK("https://macaulaylibrary.org/asset/215394","Open")</f>
        <v>Open</v>
      </c>
      <c r="V2598" s="19"/>
    </row>
    <row r="2599" customFormat="false" ht="15" hidden="false" customHeight="false" outlineLevel="0" collapsed="false">
      <c r="A2599" s="19" t="s">
        <v>7815</v>
      </c>
      <c r="B2599" s="19" t="s">
        <v>943</v>
      </c>
      <c r="C2599" s="19" t="s">
        <v>7202</v>
      </c>
      <c r="D2599" s="19" t="s">
        <v>148</v>
      </c>
      <c r="E2599" s="19" t="s">
        <v>147</v>
      </c>
      <c r="F2599" s="19" t="s">
        <v>292</v>
      </c>
      <c r="G2599" s="19" t="n">
        <v>133</v>
      </c>
      <c r="H2599" s="19" t="s">
        <v>293</v>
      </c>
      <c r="I2599" s="20" t="n">
        <v>2.984</v>
      </c>
      <c r="J2599" s="19" t="n">
        <f aca="false">IF(I2599="","",MIN(Overview!$B$8,MAX(1,CEILING(I2599/Overview!$B$7,1))))</f>
        <v>1</v>
      </c>
      <c r="K2599" s="19" t="n">
        <v>1</v>
      </c>
      <c r="L2599" s="19" t="s">
        <v>1048</v>
      </c>
      <c r="M2599" s="20" t="n">
        <v>3</v>
      </c>
      <c r="N2599" s="19"/>
      <c r="O2599" s="19"/>
      <c r="P2599" s="19" t="s">
        <v>1278</v>
      </c>
      <c r="Q2599" s="19" t="s">
        <v>1030</v>
      </c>
      <c r="R2599" s="21" t="n">
        <v>33597</v>
      </c>
      <c r="S2599" s="19" t="s">
        <v>1279</v>
      </c>
      <c r="T2599" s="19" t="s">
        <v>7816</v>
      </c>
      <c r="U2599" s="19" t="str">
        <f aca="false">HYPERLINK("https://macaulaylibrary.org/asset/285632","Open")</f>
        <v>Open</v>
      </c>
      <c r="V2599" s="19"/>
    </row>
    <row r="2600" customFormat="false" ht="15" hidden="false" customHeight="false" outlineLevel="0" collapsed="false">
      <c r="A2600" s="19" t="s">
        <v>7817</v>
      </c>
      <c r="B2600" s="19" t="s">
        <v>943</v>
      </c>
      <c r="C2600" s="19" t="s">
        <v>7202</v>
      </c>
      <c r="D2600" s="19" t="s">
        <v>148</v>
      </c>
      <c r="E2600" s="19" t="s">
        <v>147</v>
      </c>
      <c r="F2600" s="19" t="s">
        <v>292</v>
      </c>
      <c r="G2600" s="19" t="n">
        <v>133</v>
      </c>
      <c r="H2600" s="19" t="s">
        <v>293</v>
      </c>
      <c r="I2600" s="20" t="n">
        <v>26.092</v>
      </c>
      <c r="J2600" s="19" t="n">
        <f aca="false">IF(I2600="","",MIN(Overview!$B$8,MAX(1,CEILING(I2600/Overview!$B$7,1))))</f>
        <v>6</v>
      </c>
      <c r="K2600" s="19" t="n">
        <v>1</v>
      </c>
      <c r="L2600" s="19"/>
      <c r="M2600" s="20" t="n">
        <v>3</v>
      </c>
      <c r="N2600" s="19"/>
      <c r="O2600" s="19"/>
      <c r="P2600" s="19" t="s">
        <v>1278</v>
      </c>
      <c r="Q2600" s="19" t="s">
        <v>1030</v>
      </c>
      <c r="R2600" s="21" t="n">
        <v>33597</v>
      </c>
      <c r="S2600" s="19" t="s">
        <v>1279</v>
      </c>
      <c r="T2600" s="19" t="s">
        <v>7818</v>
      </c>
      <c r="U2600" s="19" t="str">
        <f aca="false">HYPERLINK("https://macaulaylibrary.org/asset/285634","Open")</f>
        <v>Open</v>
      </c>
      <c r="V2600" s="19"/>
    </row>
    <row r="2601" customFormat="false" ht="15" hidden="false" customHeight="false" outlineLevel="0" collapsed="false">
      <c r="A2601" s="19" t="s">
        <v>7819</v>
      </c>
      <c r="B2601" s="19" t="s">
        <v>943</v>
      </c>
      <c r="C2601" s="19" t="s">
        <v>7202</v>
      </c>
      <c r="D2601" s="19" t="s">
        <v>148</v>
      </c>
      <c r="E2601" s="19" t="s">
        <v>147</v>
      </c>
      <c r="F2601" s="19" t="s">
        <v>292</v>
      </c>
      <c r="G2601" s="19" t="n">
        <v>133</v>
      </c>
      <c r="H2601" s="19" t="s">
        <v>293</v>
      </c>
      <c r="I2601" s="20" t="n">
        <v>59.691</v>
      </c>
      <c r="J2601" s="19" t="n">
        <f aca="false">IF(I2601="","",MIN(Overview!$B$8,MAX(1,CEILING(I2601/Overview!$B$7,1))))</f>
        <v>12</v>
      </c>
      <c r="K2601" s="19" t="n">
        <v>1</v>
      </c>
      <c r="L2601" s="19"/>
      <c r="M2601" s="20" t="n">
        <v>3</v>
      </c>
      <c r="N2601" s="19"/>
      <c r="O2601" s="19"/>
      <c r="P2601" s="19" t="s">
        <v>4859</v>
      </c>
      <c r="Q2601" s="19" t="s">
        <v>1408</v>
      </c>
      <c r="R2601" s="21" t="n">
        <v>31807</v>
      </c>
      <c r="S2601" s="19" t="s">
        <v>1009</v>
      </c>
      <c r="T2601" s="19" t="s">
        <v>7820</v>
      </c>
      <c r="U2601" s="19" t="str">
        <f aca="false">HYPERLINK("https://macaulaylibrary.org/asset/336565991","Open")</f>
        <v>Open</v>
      </c>
      <c r="V2601" s="19"/>
    </row>
    <row r="2602" customFormat="false" ht="15" hidden="false" customHeight="false" outlineLevel="0" collapsed="false">
      <c r="A2602" s="19" t="s">
        <v>7821</v>
      </c>
      <c r="B2602" s="19" t="s">
        <v>943</v>
      </c>
      <c r="C2602" s="19" t="s">
        <v>7202</v>
      </c>
      <c r="D2602" s="19" t="s">
        <v>400</v>
      </c>
      <c r="E2602" s="19" t="s">
        <v>147</v>
      </c>
      <c r="F2602" s="19" t="s">
        <v>661</v>
      </c>
      <c r="G2602" s="19" t="n">
        <v>134</v>
      </c>
      <c r="H2602" s="19" t="s">
        <v>662</v>
      </c>
      <c r="I2602" s="20" t="n">
        <v>24.084</v>
      </c>
      <c r="J2602" s="19" t="n">
        <f aca="false">IF(I2602="","",MIN(Overview!$B$8,MAX(1,CEILING(I2602/Overview!$B$7,1))))</f>
        <v>5</v>
      </c>
      <c r="K2602" s="19" t="n">
        <v>1</v>
      </c>
      <c r="L2602" s="19"/>
      <c r="M2602" s="20" t="n">
        <v>2</v>
      </c>
      <c r="N2602" s="19"/>
      <c r="O2602" s="19"/>
      <c r="P2602" s="19" t="s">
        <v>2523</v>
      </c>
      <c r="Q2602" s="19" t="s">
        <v>1592</v>
      </c>
      <c r="R2602" s="21" t="n">
        <v>30405</v>
      </c>
      <c r="S2602" s="19" t="s">
        <v>1002</v>
      </c>
      <c r="T2602" s="19" t="s">
        <v>7822</v>
      </c>
      <c r="U2602" s="19" t="str">
        <f aca="false">HYPERLINK("https://macaulaylibrary.org/asset/39230","Open")</f>
        <v>Open</v>
      </c>
      <c r="V2602" s="19"/>
    </row>
    <row r="2603" customFormat="false" ht="15" hidden="false" customHeight="false" outlineLevel="0" collapsed="false">
      <c r="A2603" s="19" t="s">
        <v>7823</v>
      </c>
      <c r="B2603" s="19" t="s">
        <v>943</v>
      </c>
      <c r="C2603" s="19" t="s">
        <v>7202</v>
      </c>
      <c r="D2603" s="19" t="s">
        <v>148</v>
      </c>
      <c r="E2603" s="19" t="s">
        <v>147</v>
      </c>
      <c r="F2603" s="19" t="s">
        <v>382</v>
      </c>
      <c r="G2603" s="19" t="n">
        <v>135</v>
      </c>
      <c r="H2603" s="19" t="s">
        <v>383</v>
      </c>
      <c r="I2603" s="20" t="n">
        <v>12.637</v>
      </c>
      <c r="J2603" s="19" t="n">
        <f aca="false">IF(I2603="","",MIN(Overview!$B$8,MAX(1,CEILING(I2603/Overview!$B$7,1))))</f>
        <v>3</v>
      </c>
      <c r="K2603" s="19" t="n">
        <v>1</v>
      </c>
      <c r="L2603" s="19"/>
      <c r="M2603" s="20" t="n">
        <v>4.5</v>
      </c>
      <c r="N2603" s="19"/>
      <c r="O2603" s="19"/>
      <c r="P2603" s="19" t="s">
        <v>7824</v>
      </c>
      <c r="Q2603" s="19" t="s">
        <v>3109</v>
      </c>
      <c r="R2603" s="21" t="n">
        <v>45564</v>
      </c>
      <c r="S2603" s="19" t="s">
        <v>2409</v>
      </c>
      <c r="T2603" s="19" t="s">
        <v>7825</v>
      </c>
      <c r="U2603" s="19" t="str">
        <f aca="false">HYPERLINK("https://macaulaylibrary.org/asset/624308380","Open")</f>
        <v>Open</v>
      </c>
      <c r="V2603" s="19"/>
    </row>
    <row r="2604" customFormat="false" ht="15" hidden="false" customHeight="false" outlineLevel="0" collapsed="false">
      <c r="A2604" s="19" t="s">
        <v>7826</v>
      </c>
      <c r="B2604" s="19" t="s">
        <v>943</v>
      </c>
      <c r="C2604" s="19" t="s">
        <v>7202</v>
      </c>
      <c r="D2604" s="19" t="s">
        <v>148</v>
      </c>
      <c r="E2604" s="19" t="s">
        <v>147</v>
      </c>
      <c r="F2604" s="19" t="s">
        <v>382</v>
      </c>
      <c r="G2604" s="19" t="n">
        <v>135</v>
      </c>
      <c r="H2604" s="19" t="s">
        <v>383</v>
      </c>
      <c r="I2604" s="20" t="n">
        <v>15.702</v>
      </c>
      <c r="J2604" s="19" t="n">
        <f aca="false">IF(I2604="","",MIN(Overview!$B$8,MAX(1,CEILING(I2604/Overview!$B$7,1))))</f>
        <v>4</v>
      </c>
      <c r="K2604" s="19" t="n">
        <v>1</v>
      </c>
      <c r="L2604" s="19"/>
      <c r="M2604" s="20" t="n">
        <v>1</v>
      </c>
      <c r="N2604" s="19"/>
      <c r="O2604" s="19"/>
      <c r="P2604" s="19" t="s">
        <v>7824</v>
      </c>
      <c r="Q2604" s="19" t="s">
        <v>3109</v>
      </c>
      <c r="R2604" s="21" t="n">
        <v>45564</v>
      </c>
      <c r="S2604" s="19" t="s">
        <v>2409</v>
      </c>
      <c r="T2604" s="19" t="s">
        <v>7827</v>
      </c>
      <c r="U2604" s="19" t="str">
        <f aca="false">HYPERLINK("https://macaulaylibrary.org/asset/624308381","Open")</f>
        <v>Open</v>
      </c>
      <c r="V2604" s="19"/>
    </row>
    <row r="2605" customFormat="false" ht="15" hidden="false" customHeight="false" outlineLevel="0" collapsed="false">
      <c r="A2605" s="19" t="s">
        <v>7828</v>
      </c>
      <c r="B2605" s="19" t="s">
        <v>943</v>
      </c>
      <c r="C2605" s="19" t="s">
        <v>7202</v>
      </c>
      <c r="D2605" s="19" t="s">
        <v>400</v>
      </c>
      <c r="E2605" s="19" t="s">
        <v>147</v>
      </c>
      <c r="F2605" s="19" t="s">
        <v>571</v>
      </c>
      <c r="G2605" s="19" t="n">
        <v>136</v>
      </c>
      <c r="H2605" s="19" t="s">
        <v>572</v>
      </c>
      <c r="I2605" s="20" t="n">
        <v>110.3</v>
      </c>
      <c r="J2605" s="19" t="n">
        <f aca="false">IF(I2605="","",MIN(Overview!$B$8,MAX(1,CEILING(I2605/Overview!$B$7,1))))</f>
        <v>23</v>
      </c>
      <c r="K2605" s="19" t="n">
        <v>1</v>
      </c>
      <c r="L2605" s="19"/>
      <c r="M2605" s="20" t="n">
        <v>2</v>
      </c>
      <c r="N2605" s="19"/>
      <c r="O2605" s="19" t="s">
        <v>774</v>
      </c>
      <c r="P2605" s="19" t="s">
        <v>2275</v>
      </c>
      <c r="Q2605" s="19" t="s">
        <v>980</v>
      </c>
      <c r="R2605" s="21" t="n">
        <v>34123</v>
      </c>
      <c r="S2605" s="19" t="s">
        <v>1306</v>
      </c>
      <c r="T2605" s="19" t="s">
        <v>7829</v>
      </c>
      <c r="U2605" s="19" t="str">
        <f aca="false">HYPERLINK("https://macaulaylibrary.org/asset/209462","Open")</f>
        <v>Open</v>
      </c>
      <c r="V2605" s="19"/>
    </row>
    <row r="2606" customFormat="false" ht="15" hidden="false" customHeight="false" outlineLevel="0" collapsed="false">
      <c r="A2606" s="19" t="s">
        <v>7830</v>
      </c>
      <c r="B2606" s="19" t="s">
        <v>943</v>
      </c>
      <c r="C2606" s="19" t="s">
        <v>7202</v>
      </c>
      <c r="D2606" s="19" t="s">
        <v>613</v>
      </c>
      <c r="E2606" s="19" t="s">
        <v>147</v>
      </c>
      <c r="F2606" s="19" t="s">
        <v>826</v>
      </c>
      <c r="G2606" s="19" t="n">
        <v>137</v>
      </c>
      <c r="H2606" s="19" t="s">
        <v>827</v>
      </c>
      <c r="I2606" s="20" t="n">
        <v>2.361</v>
      </c>
      <c r="J2606" s="19" t="n">
        <f aca="false">IF(I2606="","",MIN(Overview!$B$8,MAX(1,CEILING(I2606/Overview!$B$7,1))))</f>
        <v>1</v>
      </c>
      <c r="K2606" s="19" t="n">
        <v>1</v>
      </c>
      <c r="L2606" s="19" t="s">
        <v>1048</v>
      </c>
      <c r="M2606" s="20"/>
      <c r="N2606" s="19"/>
      <c r="O2606" s="19"/>
      <c r="P2606" s="19" t="s">
        <v>1438</v>
      </c>
      <c r="Q2606" s="19" t="s">
        <v>1040</v>
      </c>
      <c r="R2606" s="21" t="n">
        <v>41267</v>
      </c>
      <c r="S2606" s="19" t="s">
        <v>1002</v>
      </c>
      <c r="T2606" s="19" t="s">
        <v>7831</v>
      </c>
      <c r="U2606" s="19" t="str">
        <f aca="false">HYPERLINK("https://macaulaylibrary.org/asset/609059103","Open")</f>
        <v>Open</v>
      </c>
      <c r="V2606" s="19"/>
    </row>
    <row r="2607" customFormat="false" ht="15" hidden="false" customHeight="false" outlineLevel="0" collapsed="false">
      <c r="A2607" s="19" t="s">
        <v>7832</v>
      </c>
      <c r="B2607" s="19" t="s">
        <v>943</v>
      </c>
      <c r="C2607" s="19" t="s">
        <v>7202</v>
      </c>
      <c r="D2607" s="19" t="s">
        <v>400</v>
      </c>
      <c r="E2607" s="19" t="s">
        <v>147</v>
      </c>
      <c r="F2607" s="19" t="s">
        <v>484</v>
      </c>
      <c r="G2607" s="19" t="n">
        <v>138</v>
      </c>
      <c r="H2607" s="19" t="s">
        <v>485</v>
      </c>
      <c r="I2607" s="20" t="n">
        <v>12.544</v>
      </c>
      <c r="J2607" s="19" t="n">
        <f aca="false">IF(I2607="","",MIN(Overview!$B$8,MAX(1,CEILING(I2607/Overview!$B$7,1))))</f>
        <v>3</v>
      </c>
      <c r="K2607" s="19" t="n">
        <v>1</v>
      </c>
      <c r="L2607" s="19"/>
      <c r="M2607" s="20"/>
      <c r="N2607" s="19"/>
      <c r="O2607" s="19"/>
      <c r="P2607" s="19" t="s">
        <v>7833</v>
      </c>
      <c r="Q2607" s="19" t="s">
        <v>3692</v>
      </c>
      <c r="R2607" s="21" t="n">
        <v>45326</v>
      </c>
      <c r="S2607" s="19" t="s">
        <v>1415</v>
      </c>
      <c r="T2607" s="19" t="s">
        <v>7834</v>
      </c>
      <c r="U2607" s="19" t="str">
        <f aca="false">HYPERLINK("https://macaulaylibrary.org/asset/614545483","Open")</f>
        <v>Open</v>
      </c>
      <c r="V2607" s="19"/>
    </row>
    <row r="2608" customFormat="false" ht="15" hidden="false" customHeight="false" outlineLevel="0" collapsed="false">
      <c r="A2608" s="19" t="s">
        <v>7835</v>
      </c>
      <c r="B2608" s="19" t="s">
        <v>943</v>
      </c>
      <c r="C2608" s="19" t="s">
        <v>7202</v>
      </c>
      <c r="D2608" s="19" t="s">
        <v>148</v>
      </c>
      <c r="E2608" s="19" t="s">
        <v>147</v>
      </c>
      <c r="F2608" s="19" t="s">
        <v>228</v>
      </c>
      <c r="G2608" s="19" t="n">
        <v>139</v>
      </c>
      <c r="H2608" s="19" t="s">
        <v>229</v>
      </c>
      <c r="I2608" s="20" t="n">
        <v>77.726</v>
      </c>
      <c r="J2608" s="19" t="n">
        <f aca="false">IF(I2608="","",MIN(Overview!$B$8,MAX(1,CEILING(I2608/Overview!$B$7,1))))</f>
        <v>16</v>
      </c>
      <c r="K2608" s="19" t="n">
        <v>1</v>
      </c>
      <c r="L2608" s="19"/>
      <c r="M2608" s="20" t="n">
        <v>3</v>
      </c>
      <c r="N2608" s="19"/>
      <c r="O2608" s="19"/>
      <c r="P2608" s="19" t="s">
        <v>1703</v>
      </c>
      <c r="Q2608" s="19" t="s">
        <v>1021</v>
      </c>
      <c r="R2608" s="21" t="n">
        <v>36601</v>
      </c>
      <c r="S2608" s="19" t="s">
        <v>1036</v>
      </c>
      <c r="T2608" s="19" t="s">
        <v>7836</v>
      </c>
      <c r="U2608" s="19" t="str">
        <f aca="false">HYPERLINK("https://macaulaylibrary.org/asset/152251591","Open")</f>
        <v>Open</v>
      </c>
      <c r="V2608" s="19"/>
    </row>
    <row r="2609" customFormat="false" ht="15" hidden="false" customHeight="false" outlineLevel="0" collapsed="false">
      <c r="A2609" s="19" t="s">
        <v>7837</v>
      </c>
      <c r="B2609" s="19" t="s">
        <v>943</v>
      </c>
      <c r="C2609" s="19" t="s">
        <v>7202</v>
      </c>
      <c r="D2609" s="19" t="s">
        <v>148</v>
      </c>
      <c r="E2609" s="19" t="s">
        <v>147</v>
      </c>
      <c r="F2609" s="19" t="s">
        <v>228</v>
      </c>
      <c r="G2609" s="19" t="n">
        <v>139</v>
      </c>
      <c r="H2609" s="19" t="s">
        <v>229</v>
      </c>
      <c r="I2609" s="20" t="n">
        <v>43.978</v>
      </c>
      <c r="J2609" s="19" t="n">
        <f aca="false">IF(I2609="","",MIN(Overview!$B$8,MAX(1,CEILING(I2609/Overview!$B$7,1))))</f>
        <v>9</v>
      </c>
      <c r="K2609" s="19" t="n">
        <v>1</v>
      </c>
      <c r="L2609" s="19"/>
      <c r="M2609" s="20" t="n">
        <v>2</v>
      </c>
      <c r="N2609" s="19"/>
      <c r="O2609" s="19"/>
      <c r="P2609" s="19" t="s">
        <v>3717</v>
      </c>
      <c r="Q2609" s="19" t="s">
        <v>2343</v>
      </c>
      <c r="R2609" s="21" t="n">
        <v>31505</v>
      </c>
      <c r="S2609" s="19"/>
      <c r="T2609" s="19" t="s">
        <v>7838</v>
      </c>
      <c r="U2609" s="19" t="str">
        <f aca="false">HYPERLINK("https://macaulaylibrary.org/asset/249450","Open")</f>
        <v>Open</v>
      </c>
      <c r="V2609" s="19"/>
    </row>
    <row r="2610" customFormat="false" ht="15" hidden="false" customHeight="false" outlineLevel="0" collapsed="false">
      <c r="A2610" s="19" t="s">
        <v>7839</v>
      </c>
      <c r="B2610" s="19" t="s">
        <v>943</v>
      </c>
      <c r="C2610" s="19" t="s">
        <v>7202</v>
      </c>
      <c r="D2610" s="19" t="s">
        <v>148</v>
      </c>
      <c r="E2610" s="19" t="s">
        <v>147</v>
      </c>
      <c r="F2610" s="19" t="s">
        <v>228</v>
      </c>
      <c r="G2610" s="19" t="n">
        <v>139</v>
      </c>
      <c r="H2610" s="19" t="s">
        <v>229</v>
      </c>
      <c r="I2610" s="20" t="n">
        <v>65.632</v>
      </c>
      <c r="J2610" s="19" t="n">
        <f aca="false">IF(I2610="","",MIN(Overview!$B$8,MAX(1,CEILING(I2610/Overview!$B$7,1))))</f>
        <v>14</v>
      </c>
      <c r="K2610" s="19" t="n">
        <v>1</v>
      </c>
      <c r="L2610" s="19"/>
      <c r="M2610" s="20" t="n">
        <v>2</v>
      </c>
      <c r="N2610" s="19"/>
      <c r="O2610" s="19"/>
      <c r="P2610" s="19" t="s">
        <v>1029</v>
      </c>
      <c r="Q2610" s="19" t="s">
        <v>1030</v>
      </c>
      <c r="R2610" s="21" t="n">
        <v>40251</v>
      </c>
      <c r="S2610" s="19" t="s">
        <v>1369</v>
      </c>
      <c r="T2610" s="19" t="s">
        <v>7840</v>
      </c>
      <c r="U2610" s="19" t="str">
        <f aca="false">HYPERLINK("https://macaulaylibrary.org/asset/299618","Open")</f>
        <v>Open</v>
      </c>
      <c r="V2610" s="19"/>
    </row>
    <row r="2611" customFormat="false" ht="15" hidden="false" customHeight="false" outlineLevel="0" collapsed="false">
      <c r="A2611" s="19" t="s">
        <v>7841</v>
      </c>
      <c r="B2611" s="19" t="s">
        <v>943</v>
      </c>
      <c r="C2611" s="19" t="s">
        <v>7202</v>
      </c>
      <c r="D2611" s="19" t="s">
        <v>148</v>
      </c>
      <c r="E2611" s="19" t="s">
        <v>147</v>
      </c>
      <c r="F2611" s="19" t="s">
        <v>228</v>
      </c>
      <c r="G2611" s="19" t="n">
        <v>139</v>
      </c>
      <c r="H2611" s="19" t="s">
        <v>229</v>
      </c>
      <c r="I2611" s="20" t="n">
        <v>76.98</v>
      </c>
      <c r="J2611" s="19" t="n">
        <f aca="false">IF(I2611="","",MIN(Overview!$B$8,MAX(1,CEILING(I2611/Overview!$B$7,1))))</f>
        <v>16</v>
      </c>
      <c r="K2611" s="19" t="n">
        <v>1</v>
      </c>
      <c r="L2611" s="19"/>
      <c r="M2611" s="20" t="n">
        <v>4</v>
      </c>
      <c r="N2611" s="19"/>
      <c r="O2611" s="19"/>
      <c r="P2611" s="19" t="s">
        <v>1029</v>
      </c>
      <c r="Q2611" s="19" t="s">
        <v>1030</v>
      </c>
      <c r="R2611" s="21" t="n">
        <v>40251</v>
      </c>
      <c r="S2611" s="19" t="s">
        <v>971</v>
      </c>
      <c r="T2611" s="19" t="s">
        <v>7842</v>
      </c>
      <c r="U2611" s="19" t="str">
        <f aca="false">HYPERLINK("https://macaulaylibrary.org/asset/299643","Open")</f>
        <v>Open</v>
      </c>
      <c r="V2611" s="19"/>
    </row>
    <row r="2612" customFormat="false" ht="15" hidden="false" customHeight="false" outlineLevel="0" collapsed="false">
      <c r="A2612" s="19" t="s">
        <v>7843</v>
      </c>
      <c r="B2612" s="19" t="s">
        <v>943</v>
      </c>
      <c r="C2612" s="19" t="s">
        <v>7202</v>
      </c>
      <c r="D2612" s="19" t="s">
        <v>148</v>
      </c>
      <c r="E2612" s="19" t="s">
        <v>147</v>
      </c>
      <c r="F2612" s="19" t="s">
        <v>228</v>
      </c>
      <c r="G2612" s="19" t="n">
        <v>139</v>
      </c>
      <c r="H2612" s="19" t="s">
        <v>229</v>
      </c>
      <c r="I2612" s="20" t="n">
        <v>18.912</v>
      </c>
      <c r="J2612" s="19" t="n">
        <f aca="false">IF(I2612="","",MIN(Overview!$B$8,MAX(1,CEILING(I2612/Overview!$B$7,1))))</f>
        <v>4</v>
      </c>
      <c r="K2612" s="19" t="n">
        <v>1</v>
      </c>
      <c r="L2612" s="19"/>
      <c r="M2612" s="20" t="n">
        <v>2</v>
      </c>
      <c r="N2612" s="19"/>
      <c r="O2612" s="19"/>
      <c r="P2612" s="19" t="s">
        <v>3152</v>
      </c>
      <c r="Q2612" s="19" t="s">
        <v>1408</v>
      </c>
      <c r="R2612" s="21" t="n">
        <v>31807</v>
      </c>
      <c r="S2612" s="19" t="s">
        <v>1009</v>
      </c>
      <c r="T2612" s="19" t="s">
        <v>7844</v>
      </c>
      <c r="U2612" s="19" t="str">
        <f aca="false">HYPERLINK("https://macaulaylibrary.org/asset/306060101","Open")</f>
        <v>Open</v>
      </c>
      <c r="V2612" s="19"/>
    </row>
    <row r="2613" customFormat="false" ht="15" hidden="false" customHeight="false" outlineLevel="0" collapsed="false">
      <c r="A2613" s="19" t="s">
        <v>7845</v>
      </c>
      <c r="B2613" s="19" t="s">
        <v>943</v>
      </c>
      <c r="C2613" s="19" t="s">
        <v>7202</v>
      </c>
      <c r="D2613" s="19" t="s">
        <v>613</v>
      </c>
      <c r="E2613" s="19" t="s">
        <v>147</v>
      </c>
      <c r="F2613" s="19" t="s">
        <v>829</v>
      </c>
      <c r="G2613" s="19" t="n">
        <v>140</v>
      </c>
      <c r="H2613" s="19" t="s">
        <v>830</v>
      </c>
      <c r="I2613" s="20" t="n">
        <v>75.491</v>
      </c>
      <c r="J2613" s="19" t="n">
        <f aca="false">IF(I2613="","",MIN(Overview!$B$8,MAX(1,CEILING(I2613/Overview!$B$7,1))))</f>
        <v>16</v>
      </c>
      <c r="K2613" s="19" t="n">
        <v>1</v>
      </c>
      <c r="L2613" s="19"/>
      <c r="M2613" s="20" t="n">
        <v>2</v>
      </c>
      <c r="N2613" s="19"/>
      <c r="O2613" s="19"/>
      <c r="P2613" s="19" t="s">
        <v>3717</v>
      </c>
      <c r="Q2613" s="19" t="s">
        <v>2343</v>
      </c>
      <c r="R2613" s="21" t="n">
        <v>31505</v>
      </c>
      <c r="S2613" s="19" t="s">
        <v>1302</v>
      </c>
      <c r="T2613" s="19" t="s">
        <v>7846</v>
      </c>
      <c r="U2613" s="19" t="str">
        <f aca="false">HYPERLINK("https://macaulaylibrary.org/asset/249439","Open")</f>
        <v>Open</v>
      </c>
      <c r="V2613" s="19" t="s">
        <v>7847</v>
      </c>
    </row>
    <row r="2614" customFormat="false" ht="15" hidden="false" customHeight="false" outlineLevel="0" collapsed="false">
      <c r="A2614" s="19" t="s">
        <v>7848</v>
      </c>
      <c r="B2614" s="19" t="s">
        <v>943</v>
      </c>
      <c r="C2614" s="19" t="s">
        <v>7202</v>
      </c>
      <c r="D2614" s="19" t="s">
        <v>148</v>
      </c>
      <c r="E2614" s="19" t="s">
        <v>147</v>
      </c>
      <c r="F2614" s="19" t="s">
        <v>169</v>
      </c>
      <c r="G2614" s="19" t="n">
        <v>141</v>
      </c>
      <c r="H2614" s="19" t="s">
        <v>170</v>
      </c>
      <c r="I2614" s="20" t="n">
        <v>14.207</v>
      </c>
      <c r="J2614" s="19" t="n">
        <f aca="false">IF(I2614="","",MIN(Overview!$B$8,MAX(1,CEILING(I2614/Overview!$B$7,1))))</f>
        <v>3</v>
      </c>
      <c r="K2614" s="19" t="n">
        <v>1</v>
      </c>
      <c r="L2614" s="19"/>
      <c r="M2614" s="20" t="n">
        <v>2.5</v>
      </c>
      <c r="N2614" s="19"/>
      <c r="O2614" s="19"/>
      <c r="P2614" s="19" t="s">
        <v>7849</v>
      </c>
      <c r="Q2614" s="19" t="s">
        <v>3041</v>
      </c>
      <c r="R2614" s="21" t="n">
        <v>43406</v>
      </c>
      <c r="S2614" s="19" t="s">
        <v>1051</v>
      </c>
      <c r="T2614" s="19" t="s">
        <v>7850</v>
      </c>
      <c r="U2614" s="19" t="str">
        <f aca="false">HYPERLINK("https://macaulaylibrary.org/asset/123690021","Open")</f>
        <v>Open</v>
      </c>
      <c r="V2614" s="19"/>
    </row>
    <row r="2615" customFormat="false" ht="15" hidden="false" customHeight="false" outlineLevel="0" collapsed="false">
      <c r="A2615" s="19" t="s">
        <v>7851</v>
      </c>
      <c r="B2615" s="19" t="s">
        <v>943</v>
      </c>
      <c r="C2615" s="19" t="s">
        <v>7202</v>
      </c>
      <c r="D2615" s="19" t="s">
        <v>148</v>
      </c>
      <c r="E2615" s="19" t="s">
        <v>147</v>
      </c>
      <c r="F2615" s="19" t="s">
        <v>169</v>
      </c>
      <c r="G2615" s="19" t="n">
        <v>141</v>
      </c>
      <c r="H2615" s="19" t="s">
        <v>170</v>
      </c>
      <c r="I2615" s="20" t="n">
        <v>10.392</v>
      </c>
      <c r="J2615" s="19" t="n">
        <f aca="false">IF(I2615="","",MIN(Overview!$B$8,MAX(1,CEILING(I2615/Overview!$B$7,1))))</f>
        <v>3</v>
      </c>
      <c r="K2615" s="19" t="n">
        <v>1</v>
      </c>
      <c r="L2615" s="19"/>
      <c r="M2615" s="20" t="n">
        <v>2.67</v>
      </c>
      <c r="N2615" s="19"/>
      <c r="O2615" s="19"/>
      <c r="P2615" s="19" t="s">
        <v>2916</v>
      </c>
      <c r="Q2615" s="19" t="s">
        <v>2235</v>
      </c>
      <c r="R2615" s="21" t="n">
        <v>43469</v>
      </c>
      <c r="S2615" s="19" t="s">
        <v>1484</v>
      </c>
      <c r="T2615" s="19" t="s">
        <v>7852</v>
      </c>
      <c r="U2615" s="19" t="str">
        <f aca="false">HYPERLINK("https://macaulaylibrary.org/asset/137864061","Open")</f>
        <v>Open</v>
      </c>
      <c r="V2615" s="19"/>
    </row>
    <row r="2616" customFormat="false" ht="15" hidden="false" customHeight="false" outlineLevel="0" collapsed="false">
      <c r="A2616" s="19" t="s">
        <v>7853</v>
      </c>
      <c r="B2616" s="19" t="s">
        <v>943</v>
      </c>
      <c r="C2616" s="19" t="s">
        <v>7202</v>
      </c>
      <c r="D2616" s="19" t="s">
        <v>148</v>
      </c>
      <c r="E2616" s="19" t="s">
        <v>147</v>
      </c>
      <c r="F2616" s="19" t="s">
        <v>169</v>
      </c>
      <c r="G2616" s="19" t="n">
        <v>141</v>
      </c>
      <c r="H2616" s="19" t="s">
        <v>170</v>
      </c>
      <c r="I2616" s="20" t="n">
        <v>5.407</v>
      </c>
      <c r="J2616" s="19" t="n">
        <f aca="false">IF(I2616="","",MIN(Overview!$B$8,MAX(1,CEILING(I2616/Overview!$B$7,1))))</f>
        <v>2</v>
      </c>
      <c r="K2616" s="19" t="n">
        <v>1</v>
      </c>
      <c r="L2616" s="19"/>
      <c r="M2616" s="20" t="n">
        <v>3</v>
      </c>
      <c r="N2616" s="19"/>
      <c r="O2616" s="19"/>
      <c r="P2616" s="19" t="s">
        <v>7854</v>
      </c>
      <c r="Q2616" s="19" t="s">
        <v>2085</v>
      </c>
      <c r="R2616" s="21" t="n">
        <v>39431</v>
      </c>
      <c r="S2616" s="19" t="s">
        <v>1002</v>
      </c>
      <c r="T2616" s="19" t="s">
        <v>7855</v>
      </c>
      <c r="U2616" s="19" t="str">
        <f aca="false">HYPERLINK("https://macaulaylibrary.org/asset/203938611","Open")</f>
        <v>Open</v>
      </c>
      <c r="V2616" s="19"/>
    </row>
    <row r="2617" customFormat="false" ht="15" hidden="false" customHeight="false" outlineLevel="0" collapsed="false">
      <c r="A2617" s="19" t="s">
        <v>7856</v>
      </c>
      <c r="B2617" s="19" t="s">
        <v>943</v>
      </c>
      <c r="C2617" s="19" t="s">
        <v>7202</v>
      </c>
      <c r="D2617" s="19" t="s">
        <v>148</v>
      </c>
      <c r="E2617" s="19" t="s">
        <v>147</v>
      </c>
      <c r="F2617" s="19" t="s">
        <v>169</v>
      </c>
      <c r="G2617" s="19" t="n">
        <v>141</v>
      </c>
      <c r="H2617" s="19" t="s">
        <v>170</v>
      </c>
      <c r="I2617" s="20" t="n">
        <v>23.759</v>
      </c>
      <c r="J2617" s="19" t="n">
        <f aca="false">IF(I2617="","",MIN(Overview!$B$8,MAX(1,CEILING(I2617/Overview!$B$7,1))))</f>
        <v>5</v>
      </c>
      <c r="K2617" s="19" t="n">
        <v>1</v>
      </c>
      <c r="L2617" s="19"/>
      <c r="M2617" s="20" t="n">
        <v>3</v>
      </c>
      <c r="N2617" s="19"/>
      <c r="O2617" s="19"/>
      <c r="P2617" s="19" t="s">
        <v>4969</v>
      </c>
      <c r="Q2617" s="19" t="s">
        <v>1050</v>
      </c>
      <c r="R2617" s="21" t="n">
        <v>43407</v>
      </c>
      <c r="S2617" s="19" t="s">
        <v>4970</v>
      </c>
      <c r="T2617" s="19" t="s">
        <v>7857</v>
      </c>
      <c r="U2617" s="19" t="str">
        <f aca="false">HYPERLINK("https://macaulaylibrary.org/asset/253399341","Open")</f>
        <v>Open</v>
      </c>
      <c r="V2617" s="19"/>
    </row>
    <row r="2618" customFormat="false" ht="15" hidden="false" customHeight="false" outlineLevel="0" collapsed="false">
      <c r="A2618" s="19" t="s">
        <v>7858</v>
      </c>
      <c r="B2618" s="19" t="s">
        <v>943</v>
      </c>
      <c r="C2618" s="19" t="s">
        <v>7202</v>
      </c>
      <c r="D2618" s="19" t="s">
        <v>148</v>
      </c>
      <c r="E2618" s="19" t="s">
        <v>147</v>
      </c>
      <c r="F2618" s="19" t="s">
        <v>169</v>
      </c>
      <c r="G2618" s="19" t="n">
        <v>141</v>
      </c>
      <c r="H2618" s="19" t="s">
        <v>170</v>
      </c>
      <c r="I2618" s="20" t="n">
        <v>27.105</v>
      </c>
      <c r="J2618" s="19" t="n">
        <f aca="false">IF(I2618="","",MIN(Overview!$B$8,MAX(1,CEILING(I2618/Overview!$B$7,1))))</f>
        <v>6</v>
      </c>
      <c r="K2618" s="19" t="n">
        <v>1</v>
      </c>
      <c r="L2618" s="19"/>
      <c r="M2618" s="20" t="n">
        <v>3.5</v>
      </c>
      <c r="N2618" s="19"/>
      <c r="O2618" s="19"/>
      <c r="P2618" s="19" t="s">
        <v>3152</v>
      </c>
      <c r="Q2618" s="19" t="s">
        <v>1408</v>
      </c>
      <c r="R2618" s="21" t="n">
        <v>31807</v>
      </c>
      <c r="S2618" s="19" t="s">
        <v>1009</v>
      </c>
      <c r="T2618" s="19" t="s">
        <v>7859</v>
      </c>
      <c r="U2618" s="19" t="str">
        <f aca="false">HYPERLINK("https://macaulaylibrary.org/asset/306054071","Open")</f>
        <v>Open</v>
      </c>
      <c r="V2618" s="19"/>
    </row>
    <row r="2619" customFormat="false" ht="15" hidden="false" customHeight="false" outlineLevel="0" collapsed="false">
      <c r="A2619" s="19" t="s">
        <v>7860</v>
      </c>
      <c r="B2619" s="19" t="s">
        <v>943</v>
      </c>
      <c r="C2619" s="19" t="s">
        <v>7202</v>
      </c>
      <c r="D2619" s="19" t="s">
        <v>148</v>
      </c>
      <c r="E2619" s="19" t="s">
        <v>147</v>
      </c>
      <c r="F2619" s="19" t="s">
        <v>169</v>
      </c>
      <c r="G2619" s="19" t="n">
        <v>141</v>
      </c>
      <c r="H2619" s="19" t="s">
        <v>170</v>
      </c>
      <c r="I2619" s="20" t="n">
        <v>31.073</v>
      </c>
      <c r="J2619" s="19" t="n">
        <f aca="false">IF(I2619="","",MIN(Overview!$B$8,MAX(1,CEILING(I2619/Overview!$B$7,1))))</f>
        <v>7</v>
      </c>
      <c r="K2619" s="19" t="n">
        <v>1</v>
      </c>
      <c r="L2619" s="19"/>
      <c r="M2619" s="20" t="n">
        <v>3</v>
      </c>
      <c r="N2619" s="19"/>
      <c r="O2619" s="19" t="s">
        <v>249</v>
      </c>
      <c r="P2619" s="19" t="s">
        <v>4969</v>
      </c>
      <c r="Q2619" s="19" t="s">
        <v>1050</v>
      </c>
      <c r="R2619" s="21" t="n">
        <v>43407</v>
      </c>
      <c r="S2619" s="19" t="s">
        <v>4970</v>
      </c>
      <c r="T2619" s="19" t="s">
        <v>7861</v>
      </c>
      <c r="U2619" s="19" t="str">
        <f aca="false">HYPERLINK("https://macaulaylibrary.org/asset/642597245","Open")</f>
        <v>Open</v>
      </c>
      <c r="V2619" s="19"/>
    </row>
    <row r="2620" customFormat="false" ht="15" hidden="false" customHeight="false" outlineLevel="0" collapsed="false">
      <c r="A2620" s="19" t="s">
        <v>7862</v>
      </c>
      <c r="B2620" s="19" t="s">
        <v>943</v>
      </c>
      <c r="C2620" s="19" t="s">
        <v>7202</v>
      </c>
      <c r="D2620" s="19" t="s">
        <v>148</v>
      </c>
      <c r="E2620" s="19" t="s">
        <v>147</v>
      </c>
      <c r="F2620" s="19" t="s">
        <v>169</v>
      </c>
      <c r="G2620" s="19" t="n">
        <v>141</v>
      </c>
      <c r="H2620" s="19" t="s">
        <v>170</v>
      </c>
      <c r="I2620" s="20" t="n">
        <v>20.873</v>
      </c>
      <c r="J2620" s="19" t="n">
        <f aca="false">IF(I2620="","",MIN(Overview!$B$8,MAX(1,CEILING(I2620/Overview!$B$7,1))))</f>
        <v>5</v>
      </c>
      <c r="K2620" s="19" t="n">
        <v>1</v>
      </c>
      <c r="L2620" s="19"/>
      <c r="M2620" s="20"/>
      <c r="N2620" s="19"/>
      <c r="O2620" s="19"/>
      <c r="P2620" s="19" t="s">
        <v>1650</v>
      </c>
      <c r="Q2620" s="19" t="s">
        <v>1382</v>
      </c>
      <c r="R2620" s="21" t="n">
        <v>46104</v>
      </c>
      <c r="S2620" s="19" t="s">
        <v>1651</v>
      </c>
      <c r="T2620" s="19" t="s">
        <v>7863</v>
      </c>
      <c r="U2620" s="19" t="str">
        <f aca="false">HYPERLINK("https://macaulaylibrary.org/asset/654657304","Open")</f>
        <v>Open</v>
      </c>
      <c r="V2620" s="19"/>
    </row>
    <row r="2621" customFormat="false" ht="15" hidden="false" customHeight="false" outlineLevel="0" collapsed="false">
      <c r="A2621" s="19" t="s">
        <v>7864</v>
      </c>
      <c r="B2621" s="19" t="s">
        <v>943</v>
      </c>
      <c r="C2621" s="19" t="s">
        <v>7202</v>
      </c>
      <c r="D2621" s="19" t="s">
        <v>148</v>
      </c>
      <c r="E2621" s="19" t="s">
        <v>147</v>
      </c>
      <c r="F2621" s="19" t="s">
        <v>169</v>
      </c>
      <c r="G2621" s="19" t="n">
        <v>141</v>
      </c>
      <c r="H2621" s="19" t="s">
        <v>170</v>
      </c>
      <c r="I2621" s="20" t="n">
        <v>11.691</v>
      </c>
      <c r="J2621" s="19" t="n">
        <f aca="false">IF(I2621="","",MIN(Overview!$B$8,MAX(1,CEILING(I2621/Overview!$B$7,1))))</f>
        <v>3</v>
      </c>
      <c r="K2621" s="19" t="n">
        <v>1</v>
      </c>
      <c r="L2621" s="19"/>
      <c r="M2621" s="20" t="n">
        <v>2</v>
      </c>
      <c r="N2621" s="19"/>
      <c r="O2621" s="19"/>
      <c r="P2621" s="19" t="s">
        <v>1871</v>
      </c>
      <c r="Q2621" s="19" t="s">
        <v>1847</v>
      </c>
      <c r="R2621" s="21" t="n">
        <v>43161</v>
      </c>
      <c r="S2621" s="19" t="s">
        <v>1872</v>
      </c>
      <c r="T2621" s="19" t="s">
        <v>7865</v>
      </c>
      <c r="U2621" s="19" t="str">
        <f aca="false">HYPERLINK("https://macaulaylibrary.org/asset/89665211","Open")</f>
        <v>Open</v>
      </c>
      <c r="V2621" s="19"/>
    </row>
    <row r="2622" customFormat="false" ht="15" hidden="false" customHeight="false" outlineLevel="0" collapsed="false">
      <c r="A2622" s="19" t="s">
        <v>7866</v>
      </c>
      <c r="B2622" s="19" t="s">
        <v>943</v>
      </c>
      <c r="C2622" s="19" t="s">
        <v>7202</v>
      </c>
      <c r="D2622" s="19" t="s">
        <v>148</v>
      </c>
      <c r="E2622" s="19" t="s">
        <v>147</v>
      </c>
      <c r="F2622" s="19" t="s">
        <v>425</v>
      </c>
      <c r="G2622" s="19" t="n">
        <v>142</v>
      </c>
      <c r="H2622" s="19" t="s">
        <v>426</v>
      </c>
      <c r="I2622" s="20" t="n">
        <v>145.486</v>
      </c>
      <c r="J2622" s="19" t="n">
        <f aca="false">IF(I2622="","",MIN(Overview!$B$8,MAX(1,CEILING(I2622/Overview!$B$7,1))))</f>
        <v>30</v>
      </c>
      <c r="K2622" s="19" t="n">
        <v>1</v>
      </c>
      <c r="L2622" s="19"/>
      <c r="M2622" s="20" t="n">
        <v>2</v>
      </c>
      <c r="N2622" s="19"/>
      <c r="O2622" s="19"/>
      <c r="P2622" s="19" t="s">
        <v>3430</v>
      </c>
      <c r="Q2622" s="19" t="s">
        <v>2343</v>
      </c>
      <c r="R2622" s="21" t="n">
        <v>31503</v>
      </c>
      <c r="S2622" s="19" t="s">
        <v>1774</v>
      </c>
      <c r="T2622" s="19" t="s">
        <v>7867</v>
      </c>
      <c r="U2622" s="19" t="str">
        <f aca="false">HYPERLINK("https://macaulaylibrary.org/asset/249422","Open")</f>
        <v>Open</v>
      </c>
      <c r="V2622" s="19" t="s">
        <v>4434</v>
      </c>
    </row>
    <row r="2623" customFormat="false" ht="15" hidden="false" customHeight="false" outlineLevel="0" collapsed="false">
      <c r="A2623" s="19" t="s">
        <v>7868</v>
      </c>
      <c r="B2623" s="19" t="s">
        <v>943</v>
      </c>
      <c r="C2623" s="19" t="s">
        <v>7202</v>
      </c>
      <c r="D2623" s="19" t="s">
        <v>148</v>
      </c>
      <c r="E2623" s="19" t="s">
        <v>147</v>
      </c>
      <c r="F2623" s="19" t="s">
        <v>425</v>
      </c>
      <c r="G2623" s="19" t="n">
        <v>142</v>
      </c>
      <c r="H2623" s="19" t="s">
        <v>426</v>
      </c>
      <c r="I2623" s="20" t="n">
        <v>50.525</v>
      </c>
      <c r="J2623" s="19" t="n">
        <f aca="false">IF(I2623="","",MIN(Overview!$B$8,MAX(1,CEILING(I2623/Overview!$B$7,1))))</f>
        <v>11</v>
      </c>
      <c r="K2623" s="19" t="n">
        <v>1</v>
      </c>
      <c r="L2623" s="19"/>
      <c r="M2623" s="20" t="n">
        <v>2</v>
      </c>
      <c r="N2623" s="19"/>
      <c r="O2623" s="19"/>
      <c r="P2623" s="19" t="s">
        <v>1101</v>
      </c>
      <c r="Q2623" s="19" t="s">
        <v>980</v>
      </c>
      <c r="R2623" s="21" t="n">
        <v>33289</v>
      </c>
      <c r="S2623" s="19" t="s">
        <v>1760</v>
      </c>
      <c r="T2623" s="19" t="s">
        <v>7869</v>
      </c>
      <c r="U2623" s="19" t="str">
        <f aca="false">HYPERLINK("https://macaulaylibrary.org/asset/57461","Open")</f>
        <v>Open</v>
      </c>
      <c r="V2623" s="19" t="s">
        <v>4434</v>
      </c>
    </row>
    <row r="2624" customFormat="false" ht="15" hidden="false" customHeight="false" outlineLevel="0" collapsed="false">
      <c r="A2624" s="19" t="s">
        <v>7870</v>
      </c>
      <c r="B2624" s="19" t="s">
        <v>943</v>
      </c>
      <c r="C2624" s="19" t="s">
        <v>7202</v>
      </c>
      <c r="D2624" s="19" t="s">
        <v>400</v>
      </c>
      <c r="E2624" s="19" t="s">
        <v>147</v>
      </c>
      <c r="F2624" s="19" t="s">
        <v>541</v>
      </c>
      <c r="G2624" s="19" t="n">
        <v>143</v>
      </c>
      <c r="H2624" s="19" t="s">
        <v>542</v>
      </c>
      <c r="I2624" s="20" t="n">
        <v>164.072</v>
      </c>
      <c r="J2624" s="19" t="n">
        <f aca="false">IF(I2624="","",MIN(Overview!$B$8,MAX(1,CEILING(I2624/Overview!$B$7,1))))</f>
        <v>33</v>
      </c>
      <c r="K2624" s="19" t="n">
        <v>1</v>
      </c>
      <c r="L2624" s="19"/>
      <c r="M2624" s="20" t="n">
        <v>4</v>
      </c>
      <c r="N2624" s="19"/>
      <c r="O2624" s="19"/>
      <c r="P2624" s="19" t="s">
        <v>2538</v>
      </c>
      <c r="Q2624" s="19" t="s">
        <v>980</v>
      </c>
      <c r="R2624" s="21" t="n">
        <v>35207</v>
      </c>
      <c r="S2624" s="19" t="s">
        <v>5784</v>
      </c>
      <c r="T2624" s="19" t="s">
        <v>7871</v>
      </c>
      <c r="U2624" s="19" t="str">
        <f aca="false">HYPERLINK("https://macaulaylibrary.org/asset/184772","Open")</f>
        <v>Open</v>
      </c>
      <c r="V2624" s="19" t="s">
        <v>4456</v>
      </c>
    </row>
    <row r="2625" customFormat="false" ht="15" hidden="false" customHeight="false" outlineLevel="0" collapsed="false">
      <c r="A2625" s="19" t="s">
        <v>7872</v>
      </c>
      <c r="B2625" s="19" t="s">
        <v>943</v>
      </c>
      <c r="C2625" s="19" t="s">
        <v>7202</v>
      </c>
      <c r="D2625" s="19" t="s">
        <v>148</v>
      </c>
      <c r="E2625" s="19" t="s">
        <v>147</v>
      </c>
      <c r="F2625" s="19" t="s">
        <v>231</v>
      </c>
      <c r="G2625" s="19" t="n">
        <v>145</v>
      </c>
      <c r="H2625" s="19" t="s">
        <v>232</v>
      </c>
      <c r="I2625" s="20" t="n">
        <v>45.04</v>
      </c>
      <c r="J2625" s="19" t="n">
        <f aca="false">IF(I2625="","",MIN(Overview!$B$8,MAX(1,CEILING(I2625/Overview!$B$7,1))))</f>
        <v>10</v>
      </c>
      <c r="K2625" s="19" t="n">
        <v>1</v>
      </c>
      <c r="L2625" s="19"/>
      <c r="M2625" s="20" t="n">
        <v>2</v>
      </c>
      <c r="N2625" s="19"/>
      <c r="O2625" s="19"/>
      <c r="P2625" s="19" t="s">
        <v>3433</v>
      </c>
      <c r="Q2625" s="19" t="s">
        <v>2343</v>
      </c>
      <c r="R2625" s="21" t="n">
        <v>31504</v>
      </c>
      <c r="S2625" s="19" t="s">
        <v>3255</v>
      </c>
      <c r="T2625" s="19" t="s">
        <v>7873</v>
      </c>
      <c r="U2625" s="19" t="str">
        <f aca="false">HYPERLINK("https://macaulaylibrary.org/asset/249428","Open")</f>
        <v>Open</v>
      </c>
      <c r="V2625" s="19" t="s">
        <v>4476</v>
      </c>
    </row>
    <row r="2626" customFormat="false" ht="15" hidden="false" customHeight="false" outlineLevel="0" collapsed="false">
      <c r="A2626" s="19" t="s">
        <v>7874</v>
      </c>
      <c r="B2626" s="19" t="s">
        <v>943</v>
      </c>
      <c r="C2626" s="19" t="s">
        <v>7202</v>
      </c>
      <c r="D2626" s="19" t="s">
        <v>148</v>
      </c>
      <c r="E2626" s="19" t="s">
        <v>147</v>
      </c>
      <c r="F2626" s="19" t="s">
        <v>231</v>
      </c>
      <c r="G2626" s="19" t="n">
        <v>145</v>
      </c>
      <c r="H2626" s="19" t="s">
        <v>232</v>
      </c>
      <c r="I2626" s="20" t="n">
        <v>15.851</v>
      </c>
      <c r="J2626" s="19" t="n">
        <f aca="false">IF(I2626="","",MIN(Overview!$B$8,MAX(1,CEILING(I2626/Overview!$B$7,1))))</f>
        <v>4</v>
      </c>
      <c r="K2626" s="19" t="n">
        <v>1</v>
      </c>
      <c r="L2626" s="19"/>
      <c r="M2626" s="20" t="n">
        <v>5</v>
      </c>
      <c r="N2626" s="19"/>
      <c r="O2626" s="19"/>
      <c r="P2626" s="19" t="s">
        <v>3147</v>
      </c>
      <c r="Q2626" s="19" t="s">
        <v>965</v>
      </c>
      <c r="R2626" s="21" t="n">
        <v>44184</v>
      </c>
      <c r="S2626" s="19" t="s">
        <v>1137</v>
      </c>
      <c r="T2626" s="19" t="s">
        <v>7875</v>
      </c>
      <c r="U2626" s="19" t="str">
        <f aca="false">HYPERLINK("https://macaulaylibrary.org/asset/289818701","Open")</f>
        <v>Open</v>
      </c>
      <c r="V2626" s="19"/>
    </row>
    <row r="2627" customFormat="false" ht="15" hidden="false" customHeight="false" outlineLevel="0" collapsed="false">
      <c r="A2627" s="19" t="s">
        <v>7876</v>
      </c>
      <c r="B2627" s="19" t="s">
        <v>943</v>
      </c>
      <c r="C2627" s="19" t="s">
        <v>7202</v>
      </c>
      <c r="D2627" s="19" t="s">
        <v>148</v>
      </c>
      <c r="E2627" s="19" t="s">
        <v>147</v>
      </c>
      <c r="F2627" s="19" t="s">
        <v>231</v>
      </c>
      <c r="G2627" s="19" t="n">
        <v>145</v>
      </c>
      <c r="H2627" s="19" t="s">
        <v>232</v>
      </c>
      <c r="I2627" s="20" t="n">
        <v>41.774</v>
      </c>
      <c r="J2627" s="19" t="n">
        <f aca="false">IF(I2627="","",MIN(Overview!$B$8,MAX(1,CEILING(I2627/Overview!$B$7,1))))</f>
        <v>9</v>
      </c>
      <c r="K2627" s="19" t="n">
        <v>1</v>
      </c>
      <c r="L2627" s="19"/>
      <c r="M2627" s="20" t="n">
        <v>3</v>
      </c>
      <c r="N2627" s="19"/>
      <c r="O2627" s="19"/>
      <c r="P2627" s="19" t="s">
        <v>1140</v>
      </c>
      <c r="Q2627" s="19" t="s">
        <v>1030</v>
      </c>
      <c r="R2627" s="21" t="n">
        <v>40250</v>
      </c>
      <c r="S2627" s="19" t="s">
        <v>1009</v>
      </c>
      <c r="T2627" s="19" t="s">
        <v>7877</v>
      </c>
      <c r="U2627" s="19" t="str">
        <f aca="false">HYPERLINK("https://macaulaylibrary.org/asset/299543","Open")</f>
        <v>Open</v>
      </c>
      <c r="V2627" s="19"/>
    </row>
    <row r="2628" customFormat="false" ht="15" hidden="false" customHeight="false" outlineLevel="0" collapsed="false">
      <c r="A2628" s="19" t="s">
        <v>7878</v>
      </c>
      <c r="B2628" s="19" t="s">
        <v>943</v>
      </c>
      <c r="C2628" s="19" t="s">
        <v>7202</v>
      </c>
      <c r="D2628" s="19" t="s">
        <v>148</v>
      </c>
      <c r="E2628" s="19" t="s">
        <v>147</v>
      </c>
      <c r="F2628" s="19" t="s">
        <v>231</v>
      </c>
      <c r="G2628" s="19" t="n">
        <v>145</v>
      </c>
      <c r="H2628" s="19" t="s">
        <v>232</v>
      </c>
      <c r="I2628" s="20" t="n">
        <v>22.542</v>
      </c>
      <c r="J2628" s="19" t="n">
        <f aca="false">IF(I2628="","",MIN(Overview!$B$8,MAX(1,CEILING(I2628/Overview!$B$7,1))))</f>
        <v>5</v>
      </c>
      <c r="K2628" s="19" t="n">
        <v>1</v>
      </c>
      <c r="L2628" s="19"/>
      <c r="M2628" s="20" t="n">
        <v>2</v>
      </c>
      <c r="N2628" s="19"/>
      <c r="O2628" s="19"/>
      <c r="P2628" s="19" t="s">
        <v>1140</v>
      </c>
      <c r="Q2628" s="19" t="s">
        <v>1030</v>
      </c>
      <c r="R2628" s="21" t="n">
        <v>40250</v>
      </c>
      <c r="S2628" s="19" t="s">
        <v>1404</v>
      </c>
      <c r="T2628" s="19" t="s">
        <v>7879</v>
      </c>
      <c r="U2628" s="19" t="str">
        <f aca="false">HYPERLINK("https://macaulaylibrary.org/asset/299566","Open")</f>
        <v>Open</v>
      </c>
      <c r="V2628" s="19"/>
    </row>
    <row r="2629" customFormat="false" ht="15" hidden="false" customHeight="false" outlineLevel="0" collapsed="false">
      <c r="A2629" s="19" t="s">
        <v>7880</v>
      </c>
      <c r="B2629" s="19" t="s">
        <v>943</v>
      </c>
      <c r="C2629" s="19" t="s">
        <v>7202</v>
      </c>
      <c r="D2629" s="19" t="s">
        <v>148</v>
      </c>
      <c r="E2629" s="19" t="s">
        <v>147</v>
      </c>
      <c r="F2629" s="19" t="s">
        <v>231</v>
      </c>
      <c r="G2629" s="19" t="n">
        <v>145</v>
      </c>
      <c r="H2629" s="19" t="s">
        <v>232</v>
      </c>
      <c r="I2629" s="20" t="n">
        <v>10.878</v>
      </c>
      <c r="J2629" s="19" t="n">
        <f aca="false">IF(I2629="","",MIN(Overview!$B$8,MAX(1,CEILING(I2629/Overview!$B$7,1))))</f>
        <v>3</v>
      </c>
      <c r="K2629" s="19" t="n">
        <v>1</v>
      </c>
      <c r="L2629" s="19"/>
      <c r="M2629" s="20"/>
      <c r="N2629" s="19"/>
      <c r="O2629" s="19"/>
      <c r="P2629" s="19" t="s">
        <v>2168</v>
      </c>
      <c r="Q2629" s="19" t="s">
        <v>1382</v>
      </c>
      <c r="R2629" s="21" t="n">
        <v>46104</v>
      </c>
      <c r="S2629" s="19" t="s">
        <v>1259</v>
      </c>
      <c r="T2629" s="19" t="s">
        <v>7881</v>
      </c>
      <c r="U2629" s="19" t="str">
        <f aca="false">HYPERLINK("https://macaulaylibrary.org/asset/654599314","Open")</f>
        <v>Open</v>
      </c>
      <c r="V2629" s="19"/>
    </row>
    <row r="2630" customFormat="false" ht="15" hidden="false" customHeight="false" outlineLevel="0" collapsed="false">
      <c r="A2630" s="19" t="s">
        <v>7882</v>
      </c>
      <c r="B2630" s="19" t="s">
        <v>943</v>
      </c>
      <c r="C2630" s="19" t="s">
        <v>7202</v>
      </c>
      <c r="D2630" s="19" t="s">
        <v>400</v>
      </c>
      <c r="E2630" s="19" t="s">
        <v>147</v>
      </c>
      <c r="F2630" s="19" t="s">
        <v>428</v>
      </c>
      <c r="G2630" s="19" t="n">
        <v>146</v>
      </c>
      <c r="H2630" s="19" t="s">
        <v>429</v>
      </c>
      <c r="I2630" s="20" t="n">
        <v>34.769</v>
      </c>
      <c r="J2630" s="19" t="n">
        <f aca="false">IF(I2630="","",MIN(Overview!$B$8,MAX(1,CEILING(I2630/Overview!$B$7,1))))</f>
        <v>7</v>
      </c>
      <c r="K2630" s="19" t="n">
        <v>1</v>
      </c>
      <c r="L2630" s="19"/>
      <c r="M2630" s="20" t="n">
        <v>4</v>
      </c>
      <c r="N2630" s="19"/>
      <c r="O2630" s="19"/>
      <c r="P2630" s="19" t="s">
        <v>1154</v>
      </c>
      <c r="Q2630" s="19" t="s">
        <v>1035</v>
      </c>
      <c r="R2630" s="21" t="n">
        <v>43666</v>
      </c>
      <c r="S2630" s="19" t="s">
        <v>1081</v>
      </c>
      <c r="T2630" s="19" t="s">
        <v>7883</v>
      </c>
      <c r="U2630" s="19" t="str">
        <f aca="false">HYPERLINK("https://macaulaylibrary.org/asset/498001091","Open")</f>
        <v>Open</v>
      </c>
      <c r="V2630" s="19"/>
    </row>
    <row r="2631" customFormat="false" ht="15" hidden="false" customHeight="false" outlineLevel="0" collapsed="false">
      <c r="A2631" s="19" t="s">
        <v>7884</v>
      </c>
      <c r="B2631" s="19" t="s">
        <v>943</v>
      </c>
      <c r="C2631" s="19" t="s">
        <v>7202</v>
      </c>
      <c r="D2631" s="19" t="s">
        <v>613</v>
      </c>
      <c r="E2631" s="19" t="s">
        <v>147</v>
      </c>
      <c r="F2631" s="19" t="s">
        <v>832</v>
      </c>
      <c r="G2631" s="19" t="n">
        <v>147</v>
      </c>
      <c r="H2631" s="19" t="s">
        <v>833</v>
      </c>
      <c r="I2631" s="20" t="n">
        <v>33.827</v>
      </c>
      <c r="J2631" s="19" t="n">
        <f aca="false">IF(I2631="","",MIN(Overview!$B$8,MAX(1,CEILING(I2631/Overview!$B$7,1))))</f>
        <v>7</v>
      </c>
      <c r="K2631" s="19" t="n">
        <v>1</v>
      </c>
      <c r="L2631" s="19"/>
      <c r="M2631" s="20" t="n">
        <v>1.2</v>
      </c>
      <c r="N2631" s="19"/>
      <c r="O2631" s="19"/>
      <c r="P2631" s="19" t="s">
        <v>1533</v>
      </c>
      <c r="Q2631" s="19" t="s">
        <v>1110</v>
      </c>
      <c r="R2631" s="21" t="n">
        <v>36968</v>
      </c>
      <c r="S2631" s="19" t="s">
        <v>4357</v>
      </c>
      <c r="T2631" s="19" t="s">
        <v>7885</v>
      </c>
      <c r="U2631" s="19" t="str">
        <f aca="false">HYPERLINK("https://macaulaylibrary.org/asset/185740","Open")</f>
        <v>Open</v>
      </c>
      <c r="V2631" s="19"/>
    </row>
    <row r="2632" customFormat="false" ht="15" hidden="false" customHeight="false" outlineLevel="0" collapsed="false">
      <c r="A2632" s="19" t="s">
        <v>7886</v>
      </c>
      <c r="B2632" s="19" t="s">
        <v>943</v>
      </c>
      <c r="C2632" s="19" t="s">
        <v>7202</v>
      </c>
      <c r="D2632" s="19" t="s">
        <v>148</v>
      </c>
      <c r="E2632" s="19" t="s">
        <v>147</v>
      </c>
      <c r="F2632" s="19" t="s">
        <v>256</v>
      </c>
      <c r="G2632" s="19" t="n">
        <v>148</v>
      </c>
      <c r="H2632" s="19" t="s">
        <v>257</v>
      </c>
      <c r="I2632" s="20" t="n">
        <v>15</v>
      </c>
      <c r="J2632" s="19" t="n">
        <f aca="false">IF(I2632="","",MIN(Overview!$B$8,MAX(1,CEILING(I2632/Overview!$B$7,1))))</f>
        <v>3</v>
      </c>
      <c r="K2632" s="19" t="n">
        <v>1</v>
      </c>
      <c r="L2632" s="19"/>
      <c r="M2632" s="20" t="n">
        <v>1.5</v>
      </c>
      <c r="N2632" s="19"/>
      <c r="O2632" s="19"/>
      <c r="P2632" s="19" t="s">
        <v>974</v>
      </c>
      <c r="Q2632" s="19" t="s">
        <v>975</v>
      </c>
      <c r="R2632" s="21" t="n">
        <v>43666</v>
      </c>
      <c r="S2632" s="19" t="s">
        <v>976</v>
      </c>
      <c r="T2632" s="19" t="s">
        <v>7887</v>
      </c>
      <c r="U2632" s="19" t="str">
        <f aca="false">HYPERLINK("https://macaulaylibrary.org/asset/179452681","Open")</f>
        <v>Open</v>
      </c>
      <c r="V2632" s="19"/>
    </row>
    <row r="2633" customFormat="false" ht="15" hidden="false" customHeight="false" outlineLevel="0" collapsed="false">
      <c r="A2633" s="19" t="s">
        <v>7888</v>
      </c>
      <c r="B2633" s="19" t="s">
        <v>943</v>
      </c>
      <c r="C2633" s="19" t="s">
        <v>7202</v>
      </c>
      <c r="D2633" s="19" t="s">
        <v>148</v>
      </c>
      <c r="E2633" s="19" t="s">
        <v>147</v>
      </c>
      <c r="F2633" s="19" t="s">
        <v>256</v>
      </c>
      <c r="G2633" s="19" t="n">
        <v>148</v>
      </c>
      <c r="H2633" s="19" t="s">
        <v>257</v>
      </c>
      <c r="I2633" s="20" t="n">
        <v>42.251</v>
      </c>
      <c r="J2633" s="19" t="n">
        <f aca="false">IF(I2633="","",MIN(Overview!$B$8,MAX(1,CEILING(I2633/Overview!$B$7,1))))</f>
        <v>9</v>
      </c>
      <c r="K2633" s="19" t="n">
        <v>1</v>
      </c>
      <c r="L2633" s="19"/>
      <c r="M2633" s="20" t="n">
        <v>3</v>
      </c>
      <c r="N2633" s="19"/>
      <c r="O2633" s="19" t="s">
        <v>607</v>
      </c>
      <c r="P2633" s="19" t="s">
        <v>7889</v>
      </c>
      <c r="Q2633" s="19" t="s">
        <v>1136</v>
      </c>
      <c r="R2633" s="21" t="n">
        <v>29738</v>
      </c>
      <c r="S2633" s="19" t="s">
        <v>7251</v>
      </c>
      <c r="T2633" s="19" t="s">
        <v>7890</v>
      </c>
      <c r="U2633" s="19" t="str">
        <f aca="false">HYPERLINK("https://macaulaylibrary.org/asset/28104","Open")</f>
        <v>Open</v>
      </c>
      <c r="V2633" s="19"/>
    </row>
    <row r="2634" customFormat="false" ht="15" hidden="false" customHeight="false" outlineLevel="0" collapsed="false">
      <c r="A2634" s="19" t="s">
        <v>7891</v>
      </c>
      <c r="B2634" s="19" t="s">
        <v>943</v>
      </c>
      <c r="C2634" s="19" t="s">
        <v>7202</v>
      </c>
      <c r="D2634" s="19" t="s">
        <v>148</v>
      </c>
      <c r="E2634" s="19" t="s">
        <v>147</v>
      </c>
      <c r="F2634" s="19" t="s">
        <v>256</v>
      </c>
      <c r="G2634" s="19" t="n">
        <v>148</v>
      </c>
      <c r="H2634" s="19" t="s">
        <v>257</v>
      </c>
      <c r="I2634" s="20" t="n">
        <v>25.792</v>
      </c>
      <c r="J2634" s="19" t="n">
        <f aca="false">IF(I2634="","",MIN(Overview!$B$8,MAX(1,CEILING(I2634/Overview!$B$7,1))))</f>
        <v>6</v>
      </c>
      <c r="K2634" s="19" t="n">
        <v>1</v>
      </c>
      <c r="L2634" s="19"/>
      <c r="M2634" s="20" t="n">
        <v>2.5</v>
      </c>
      <c r="N2634" s="19"/>
      <c r="O2634" s="19"/>
      <c r="P2634" s="19" t="s">
        <v>7892</v>
      </c>
      <c r="Q2634" s="19" t="s">
        <v>965</v>
      </c>
      <c r="R2634" s="21" t="n">
        <v>44324</v>
      </c>
      <c r="S2634" s="19" t="s">
        <v>7893</v>
      </c>
      <c r="T2634" s="19" t="s">
        <v>7894</v>
      </c>
      <c r="U2634" s="19" t="str">
        <f aca="false">HYPERLINK("https://macaulaylibrary.org/asset/338022631","Open")</f>
        <v>Open</v>
      </c>
      <c r="V2634" s="19"/>
    </row>
    <row r="2635" customFormat="false" ht="15" hidden="false" customHeight="false" outlineLevel="0" collapsed="false">
      <c r="A2635" s="19" t="s">
        <v>7895</v>
      </c>
      <c r="B2635" s="19" t="s">
        <v>943</v>
      </c>
      <c r="C2635" s="19" t="s">
        <v>7202</v>
      </c>
      <c r="D2635" s="19" t="s">
        <v>148</v>
      </c>
      <c r="E2635" s="19" t="s">
        <v>147</v>
      </c>
      <c r="F2635" s="19" t="s">
        <v>256</v>
      </c>
      <c r="G2635" s="19" t="n">
        <v>148</v>
      </c>
      <c r="H2635" s="19" t="s">
        <v>257</v>
      </c>
      <c r="I2635" s="20" t="n">
        <v>11.887</v>
      </c>
      <c r="J2635" s="19" t="n">
        <f aca="false">IF(I2635="","",MIN(Overview!$B$8,MAX(1,CEILING(I2635/Overview!$B$7,1))))</f>
        <v>3</v>
      </c>
      <c r="K2635" s="19" t="n">
        <v>1</v>
      </c>
      <c r="L2635" s="19"/>
      <c r="M2635" s="20" t="n">
        <v>1.67</v>
      </c>
      <c r="N2635" s="19"/>
      <c r="O2635" s="19"/>
      <c r="P2635" s="19" t="s">
        <v>7896</v>
      </c>
      <c r="Q2635" s="19" t="s">
        <v>7897</v>
      </c>
      <c r="R2635" s="21" t="n">
        <v>42783</v>
      </c>
      <c r="S2635" s="19" t="s">
        <v>2181</v>
      </c>
      <c r="T2635" s="19" t="s">
        <v>7898</v>
      </c>
      <c r="U2635" s="19" t="str">
        <f aca="false">HYPERLINK("https://macaulaylibrary.org/asset/49245331","Open")</f>
        <v>Open</v>
      </c>
      <c r="V2635" s="19"/>
    </row>
    <row r="2636" customFormat="false" ht="15" hidden="false" customHeight="false" outlineLevel="0" collapsed="false">
      <c r="A2636" s="19" t="s">
        <v>7899</v>
      </c>
      <c r="B2636" s="19" t="s">
        <v>943</v>
      </c>
      <c r="C2636" s="19" t="s">
        <v>7202</v>
      </c>
      <c r="D2636" s="19" t="s">
        <v>400</v>
      </c>
      <c r="E2636" s="19" t="s">
        <v>147</v>
      </c>
      <c r="F2636" s="19" t="s">
        <v>444</v>
      </c>
      <c r="G2636" s="19" t="n">
        <v>149</v>
      </c>
      <c r="H2636" s="19" t="s">
        <v>445</v>
      </c>
      <c r="I2636" s="20" t="n">
        <v>15.999</v>
      </c>
      <c r="J2636" s="19" t="n">
        <f aca="false">IF(I2636="","",MIN(Overview!$B$8,MAX(1,CEILING(I2636/Overview!$B$7,1))))</f>
        <v>4</v>
      </c>
      <c r="K2636" s="19" t="n">
        <v>1</v>
      </c>
      <c r="L2636" s="19"/>
      <c r="M2636" s="20" t="n">
        <v>4</v>
      </c>
      <c r="N2636" s="19"/>
      <c r="O2636" s="19"/>
      <c r="P2636" s="19" t="s">
        <v>2564</v>
      </c>
      <c r="Q2636" s="19" t="s">
        <v>2565</v>
      </c>
      <c r="R2636" s="21" t="n">
        <v>46105</v>
      </c>
      <c r="S2636" s="19" t="s">
        <v>2566</v>
      </c>
      <c r="T2636" s="19" t="s">
        <v>7900</v>
      </c>
      <c r="U2636" s="19" t="str">
        <f aca="false">HYPERLINK("https://macaulaylibrary.org/asset/654514800","Open")</f>
        <v>Open</v>
      </c>
      <c r="V2636" s="19"/>
    </row>
    <row r="2637" customFormat="false" ht="15" hidden="false" customHeight="false" outlineLevel="0" collapsed="false">
      <c r="A2637" s="19" t="s">
        <v>7901</v>
      </c>
      <c r="B2637" s="19" t="s">
        <v>943</v>
      </c>
      <c r="C2637" s="19" t="s">
        <v>7202</v>
      </c>
      <c r="D2637" s="19" t="s">
        <v>400</v>
      </c>
      <c r="E2637" s="19" t="s">
        <v>147</v>
      </c>
      <c r="F2637" s="19" t="s">
        <v>444</v>
      </c>
      <c r="G2637" s="19" t="n">
        <v>149</v>
      </c>
      <c r="H2637" s="19" t="s">
        <v>445</v>
      </c>
      <c r="I2637" s="20" t="n">
        <v>13.742</v>
      </c>
      <c r="J2637" s="19" t="n">
        <f aca="false">IF(I2637="","",MIN(Overview!$B$8,MAX(1,CEILING(I2637/Overview!$B$7,1))))</f>
        <v>3</v>
      </c>
      <c r="K2637" s="19" t="n">
        <v>1</v>
      </c>
      <c r="L2637" s="19"/>
      <c r="M2637" s="20"/>
      <c r="N2637" s="19"/>
      <c r="O2637" s="19"/>
      <c r="P2637" s="19" t="s">
        <v>2564</v>
      </c>
      <c r="Q2637" s="19" t="s">
        <v>2565</v>
      </c>
      <c r="R2637" s="21" t="n">
        <v>46105</v>
      </c>
      <c r="S2637" s="19" t="s">
        <v>2566</v>
      </c>
      <c r="T2637" s="19" t="s">
        <v>7902</v>
      </c>
      <c r="U2637" s="19" t="str">
        <f aca="false">HYPERLINK("https://macaulaylibrary.org/asset/654514801","Open")</f>
        <v>Open</v>
      </c>
      <c r="V2637" s="19"/>
    </row>
    <row r="2638" customFormat="false" ht="15" hidden="false" customHeight="false" outlineLevel="0" collapsed="false">
      <c r="A2638" s="19" t="s">
        <v>7903</v>
      </c>
      <c r="B2638" s="19" t="s">
        <v>943</v>
      </c>
      <c r="C2638" s="19" t="s">
        <v>7202</v>
      </c>
      <c r="D2638" s="19" t="s">
        <v>613</v>
      </c>
      <c r="E2638" s="19" t="s">
        <v>147</v>
      </c>
      <c r="F2638" s="19" t="s">
        <v>835</v>
      </c>
      <c r="G2638" s="19" t="n">
        <v>150</v>
      </c>
      <c r="H2638" s="19" t="s">
        <v>836</v>
      </c>
      <c r="I2638" s="20" t="n">
        <v>5.461</v>
      </c>
      <c r="J2638" s="19" t="n">
        <f aca="false">IF(I2638="","",MIN(Overview!$B$8,MAX(1,CEILING(I2638/Overview!$B$7,1))))</f>
        <v>2</v>
      </c>
      <c r="K2638" s="19" t="n">
        <v>1</v>
      </c>
      <c r="L2638" s="19"/>
      <c r="M2638" s="20" t="n">
        <v>4</v>
      </c>
      <c r="N2638" s="19"/>
      <c r="O2638" s="19"/>
      <c r="P2638" s="19" t="s">
        <v>3147</v>
      </c>
      <c r="Q2638" s="19" t="s">
        <v>965</v>
      </c>
      <c r="R2638" s="21" t="n">
        <v>44184</v>
      </c>
      <c r="S2638" s="19" t="s">
        <v>1137</v>
      </c>
      <c r="T2638" s="19" t="s">
        <v>7904</v>
      </c>
      <c r="U2638" s="19" t="str">
        <f aca="false">HYPERLINK("https://macaulaylibrary.org/asset/289817501","Open")</f>
        <v>Open</v>
      </c>
      <c r="V2638" s="19"/>
    </row>
    <row r="2639" customFormat="false" ht="15" hidden="false" customHeight="false" outlineLevel="0" collapsed="false">
      <c r="A2639" s="19" t="s">
        <v>7905</v>
      </c>
      <c r="B2639" s="19" t="s">
        <v>943</v>
      </c>
      <c r="C2639" s="19" t="s">
        <v>7202</v>
      </c>
      <c r="D2639" s="19" t="s">
        <v>400</v>
      </c>
      <c r="E2639" s="19" t="s">
        <v>147</v>
      </c>
      <c r="F2639" s="19" t="s">
        <v>447</v>
      </c>
      <c r="G2639" s="19" t="n">
        <v>151</v>
      </c>
      <c r="H2639" s="19" t="s">
        <v>448</v>
      </c>
      <c r="I2639" s="20" t="n">
        <v>15.949</v>
      </c>
      <c r="J2639" s="19" t="n">
        <f aca="false">IF(I2639="","",MIN(Overview!$B$8,MAX(1,CEILING(I2639/Overview!$B$7,1))))</f>
        <v>4</v>
      </c>
      <c r="K2639" s="19" t="n">
        <v>1</v>
      </c>
      <c r="L2639" s="19"/>
      <c r="M2639" s="20" t="n">
        <v>5</v>
      </c>
      <c r="N2639" s="19"/>
      <c r="O2639" s="19"/>
      <c r="P2639" s="19" t="s">
        <v>7906</v>
      </c>
      <c r="Q2639" s="19" t="s">
        <v>1253</v>
      </c>
      <c r="R2639" s="21" t="n">
        <v>45311</v>
      </c>
      <c r="S2639" s="19" t="s">
        <v>7907</v>
      </c>
      <c r="T2639" s="19" t="s">
        <v>7908</v>
      </c>
      <c r="U2639" s="19" t="str">
        <f aca="false">HYPERLINK("https://macaulaylibrary.org/asset/613763634","Open")</f>
        <v>Open</v>
      </c>
      <c r="V2639" s="19"/>
    </row>
    <row r="2640" customFormat="false" ht="15" hidden="false" customHeight="false" outlineLevel="0" collapsed="false">
      <c r="A2640" s="19" t="s">
        <v>7909</v>
      </c>
      <c r="B2640" s="19" t="s">
        <v>943</v>
      </c>
      <c r="C2640" s="19" t="s">
        <v>7202</v>
      </c>
      <c r="D2640" s="19" t="s">
        <v>148</v>
      </c>
      <c r="E2640" s="19" t="s">
        <v>147</v>
      </c>
      <c r="F2640" s="19" t="s">
        <v>385</v>
      </c>
      <c r="G2640" s="19" t="n">
        <v>152</v>
      </c>
      <c r="H2640" s="19" t="s">
        <v>386</v>
      </c>
      <c r="I2640" s="20" t="n">
        <v>8.213</v>
      </c>
      <c r="J2640" s="19" t="n">
        <f aca="false">IF(I2640="","",MIN(Overview!$B$8,MAX(1,CEILING(I2640/Overview!$B$7,1))))</f>
        <v>2</v>
      </c>
      <c r="K2640" s="19" t="n">
        <v>1</v>
      </c>
      <c r="L2640" s="19"/>
      <c r="M2640" s="20" t="n">
        <v>1</v>
      </c>
      <c r="N2640" s="19"/>
      <c r="O2640" s="19"/>
      <c r="P2640" s="19" t="s">
        <v>2519</v>
      </c>
      <c r="Q2640" s="19" t="s">
        <v>1236</v>
      </c>
      <c r="R2640" s="21" t="n">
        <v>46192</v>
      </c>
      <c r="S2640" s="19" t="s">
        <v>2520</v>
      </c>
      <c r="T2640" s="19" t="s">
        <v>7910</v>
      </c>
      <c r="U2640" s="19" t="str">
        <f aca="false">HYPERLINK("https://macaulaylibrary.org/asset/660493862","Open")</f>
        <v>Open</v>
      </c>
      <c r="V2640" s="19"/>
    </row>
    <row r="2641" customFormat="false" ht="15" hidden="false" customHeight="false" outlineLevel="0" collapsed="false">
      <c r="A2641" s="19" t="s">
        <v>7911</v>
      </c>
      <c r="B2641" s="19" t="s">
        <v>943</v>
      </c>
      <c r="C2641" s="19" t="s">
        <v>7202</v>
      </c>
      <c r="D2641" s="19" t="s">
        <v>148</v>
      </c>
      <c r="E2641" s="19" t="s">
        <v>147</v>
      </c>
      <c r="F2641" s="19" t="s">
        <v>385</v>
      </c>
      <c r="G2641" s="19" t="n">
        <v>152</v>
      </c>
      <c r="H2641" s="19" t="s">
        <v>386</v>
      </c>
      <c r="I2641" s="20" t="n">
        <v>16.136</v>
      </c>
      <c r="J2641" s="19" t="n">
        <f aca="false">IF(I2641="","",MIN(Overview!$B$8,MAX(1,CEILING(I2641/Overview!$B$7,1))))</f>
        <v>4</v>
      </c>
      <c r="K2641" s="19" t="n">
        <v>1</v>
      </c>
      <c r="L2641" s="19"/>
      <c r="M2641" s="20" t="n">
        <v>3</v>
      </c>
      <c r="N2641" s="19"/>
      <c r="O2641" s="19" t="s">
        <v>159</v>
      </c>
      <c r="P2641" s="19" t="s">
        <v>2519</v>
      </c>
      <c r="Q2641" s="19" t="s">
        <v>1236</v>
      </c>
      <c r="R2641" s="21" t="n">
        <v>46192</v>
      </c>
      <c r="S2641" s="19" t="s">
        <v>2520</v>
      </c>
      <c r="T2641" s="19" t="s">
        <v>7912</v>
      </c>
      <c r="U2641" s="19" t="str">
        <f aca="false">HYPERLINK("https://macaulaylibrary.org/asset/660493993","Open")</f>
        <v>Open</v>
      </c>
      <c r="V2641" s="19"/>
    </row>
    <row r="2642" customFormat="false" ht="15" hidden="false" customHeight="false" outlineLevel="0" collapsed="false">
      <c r="A2642" s="19" t="s">
        <v>7913</v>
      </c>
      <c r="B2642" s="19" t="s">
        <v>943</v>
      </c>
      <c r="C2642" s="19" t="s">
        <v>7202</v>
      </c>
      <c r="D2642" s="19" t="s">
        <v>400</v>
      </c>
      <c r="E2642" s="19" t="s">
        <v>147</v>
      </c>
      <c r="F2642" s="19" t="s">
        <v>666</v>
      </c>
      <c r="G2642" s="19" t="n">
        <v>153</v>
      </c>
      <c r="H2642" s="19" t="s">
        <v>667</v>
      </c>
      <c r="I2642" s="20" t="n">
        <v>30.757</v>
      </c>
      <c r="J2642" s="19" t="n">
        <f aca="false">IF(I2642="","",MIN(Overview!$B$8,MAX(1,CEILING(I2642/Overview!$B$7,1))))</f>
        <v>7</v>
      </c>
      <c r="K2642" s="19" t="n">
        <v>1</v>
      </c>
      <c r="L2642" s="19"/>
      <c r="M2642" s="20" t="n">
        <v>3</v>
      </c>
      <c r="N2642" s="19"/>
      <c r="O2642" s="19"/>
      <c r="P2642" s="19" t="s">
        <v>1029</v>
      </c>
      <c r="Q2642" s="19" t="s">
        <v>1030</v>
      </c>
      <c r="R2642" s="21" t="n">
        <v>40251</v>
      </c>
      <c r="S2642" s="19" t="s">
        <v>1602</v>
      </c>
      <c r="T2642" s="19" t="s">
        <v>7914</v>
      </c>
      <c r="U2642" s="19" t="str">
        <f aca="false">HYPERLINK("https://macaulaylibrary.org/asset/299650","Open")</f>
        <v>Open</v>
      </c>
      <c r="V2642" s="19"/>
    </row>
    <row r="2643" customFormat="false" ht="15" hidden="false" customHeight="false" outlineLevel="0" collapsed="false">
      <c r="A2643" s="19" t="s">
        <v>7915</v>
      </c>
      <c r="B2643" s="19" t="s">
        <v>943</v>
      </c>
      <c r="C2643" s="19" t="s">
        <v>7202</v>
      </c>
      <c r="D2643" s="19" t="s">
        <v>613</v>
      </c>
      <c r="E2643" s="19" t="s">
        <v>147</v>
      </c>
      <c r="F2643" s="19" t="s">
        <v>838</v>
      </c>
      <c r="G2643" s="19" t="n">
        <v>154</v>
      </c>
      <c r="H2643" s="19" t="s">
        <v>839</v>
      </c>
      <c r="I2643" s="20" t="n">
        <v>22.397</v>
      </c>
      <c r="J2643" s="19" t="n">
        <f aca="false">IF(I2643="","",MIN(Overview!$B$8,MAX(1,CEILING(I2643/Overview!$B$7,1))))</f>
        <v>5</v>
      </c>
      <c r="K2643" s="19" t="n">
        <v>1</v>
      </c>
      <c r="L2643" s="19"/>
      <c r="M2643" s="20" t="n">
        <v>3</v>
      </c>
      <c r="N2643" s="19"/>
      <c r="O2643" s="19"/>
      <c r="P2643" s="19" t="s">
        <v>2285</v>
      </c>
      <c r="Q2643" s="19" t="s">
        <v>980</v>
      </c>
      <c r="R2643" s="21" t="n">
        <v>33298</v>
      </c>
      <c r="S2643" s="19" t="s">
        <v>1002</v>
      </c>
      <c r="T2643" s="19" t="s">
        <v>7916</v>
      </c>
      <c r="U2643" s="19" t="str">
        <f aca="false">HYPERLINK("https://macaulaylibrary.org/asset/72637","Open")</f>
        <v>Open</v>
      </c>
      <c r="V2643" s="19"/>
    </row>
    <row r="2644" customFormat="false" ht="15" hidden="false" customHeight="false" outlineLevel="0" collapsed="false">
      <c r="A2644" s="19" t="s">
        <v>7917</v>
      </c>
      <c r="B2644" s="19" t="s">
        <v>943</v>
      </c>
      <c r="C2644" s="19" t="s">
        <v>7202</v>
      </c>
      <c r="D2644" s="19" t="s">
        <v>148</v>
      </c>
      <c r="E2644" s="19" t="s">
        <v>147</v>
      </c>
      <c r="F2644" s="19" t="s">
        <v>360</v>
      </c>
      <c r="G2644" s="19" t="n">
        <v>155</v>
      </c>
      <c r="H2644" s="19" t="s">
        <v>361</v>
      </c>
      <c r="I2644" s="20" t="n">
        <v>52.634</v>
      </c>
      <c r="J2644" s="19" t="n">
        <f aca="false">IF(I2644="","",MIN(Overview!$B$8,MAX(1,CEILING(I2644/Overview!$B$7,1))))</f>
        <v>11</v>
      </c>
      <c r="K2644" s="19" t="n">
        <v>1</v>
      </c>
      <c r="L2644" s="19"/>
      <c r="M2644" s="20" t="n">
        <v>3</v>
      </c>
      <c r="N2644" s="19"/>
      <c r="O2644" s="19"/>
      <c r="P2644" s="19" t="s">
        <v>1411</v>
      </c>
      <c r="Q2644" s="19" t="s">
        <v>1408</v>
      </c>
      <c r="R2644" s="21" t="n">
        <v>33584</v>
      </c>
      <c r="S2644" s="19" t="s">
        <v>1009</v>
      </c>
      <c r="T2644" s="19" t="s">
        <v>7918</v>
      </c>
      <c r="U2644" s="19" t="str">
        <f aca="false">HYPERLINK("https://macaulaylibrary.org/asset/358075431","Open")</f>
        <v>Open</v>
      </c>
      <c r="V2644" s="19"/>
    </row>
    <row r="2645" customFormat="false" ht="15" hidden="false" customHeight="false" outlineLevel="0" collapsed="false">
      <c r="A2645" s="19" t="s">
        <v>7919</v>
      </c>
      <c r="B2645" s="19" t="s">
        <v>943</v>
      </c>
      <c r="C2645" s="19" t="s">
        <v>7202</v>
      </c>
      <c r="D2645" s="19" t="s">
        <v>148</v>
      </c>
      <c r="E2645" s="19" t="s">
        <v>147</v>
      </c>
      <c r="F2645" s="19" t="s">
        <v>360</v>
      </c>
      <c r="G2645" s="19" t="n">
        <v>155</v>
      </c>
      <c r="H2645" s="19" t="s">
        <v>361</v>
      </c>
      <c r="I2645" s="20" t="n">
        <v>212.479</v>
      </c>
      <c r="J2645" s="19" t="n">
        <f aca="false">IF(I2645="","",MIN(Overview!$B$8,MAX(1,CEILING(I2645/Overview!$B$7,1))))</f>
        <v>43</v>
      </c>
      <c r="K2645" s="19" t="n">
        <v>1</v>
      </c>
      <c r="L2645" s="19"/>
      <c r="M2645" s="20" t="n">
        <v>2.2</v>
      </c>
      <c r="N2645" s="19"/>
      <c r="O2645" s="19"/>
      <c r="P2645" s="19" t="s">
        <v>1555</v>
      </c>
      <c r="Q2645" s="19" t="s">
        <v>980</v>
      </c>
      <c r="R2645" s="21" t="n">
        <v>33291</v>
      </c>
      <c r="S2645" s="19" t="s">
        <v>4186</v>
      </c>
      <c r="T2645" s="19" t="s">
        <v>7920</v>
      </c>
      <c r="U2645" s="19" t="str">
        <f aca="false">HYPERLINK("https://macaulaylibrary.org/asset/57479","Open")</f>
        <v>Open</v>
      </c>
      <c r="V2645" s="19"/>
    </row>
    <row r="2646" customFormat="false" ht="15" hidden="false" customHeight="false" outlineLevel="0" collapsed="false">
      <c r="A2646" s="19" t="s">
        <v>7921</v>
      </c>
      <c r="B2646" s="19" t="s">
        <v>943</v>
      </c>
      <c r="C2646" s="19" t="s">
        <v>7202</v>
      </c>
      <c r="D2646" s="19" t="s">
        <v>613</v>
      </c>
      <c r="E2646" s="19" t="s">
        <v>147</v>
      </c>
      <c r="F2646" s="19" t="s">
        <v>841</v>
      </c>
      <c r="G2646" s="19" t="n">
        <v>156</v>
      </c>
      <c r="H2646" s="19" t="s">
        <v>842</v>
      </c>
      <c r="I2646" s="20" t="n">
        <v>10.581</v>
      </c>
      <c r="J2646" s="19" t="n">
        <f aca="false">IF(I2646="","",MIN(Overview!$B$8,MAX(1,CEILING(I2646/Overview!$B$7,1))))</f>
        <v>3</v>
      </c>
      <c r="K2646" s="19" t="n">
        <v>1</v>
      </c>
      <c r="L2646" s="19"/>
      <c r="M2646" s="20" t="n">
        <v>2.33</v>
      </c>
      <c r="N2646" s="19"/>
      <c r="O2646" s="19"/>
      <c r="P2646" s="19" t="s">
        <v>3195</v>
      </c>
      <c r="Q2646" s="19" t="s">
        <v>965</v>
      </c>
      <c r="R2646" s="21" t="n">
        <v>43813</v>
      </c>
      <c r="S2646" s="19" t="s">
        <v>3196</v>
      </c>
      <c r="T2646" s="19" t="s">
        <v>7922</v>
      </c>
      <c r="U2646" s="19" t="str">
        <f aca="false">HYPERLINK("https://macaulaylibrary.org/asset/193422581","Open")</f>
        <v>Open</v>
      </c>
      <c r="V2646" s="19"/>
    </row>
    <row r="2647" customFormat="false" ht="15" hidden="false" customHeight="false" outlineLevel="0" collapsed="false">
      <c r="A2647" s="19" t="s">
        <v>7923</v>
      </c>
      <c r="B2647" s="19" t="s">
        <v>943</v>
      </c>
      <c r="C2647" s="19" t="s">
        <v>7202</v>
      </c>
      <c r="D2647" s="19" t="s">
        <v>148</v>
      </c>
      <c r="E2647" s="19" t="s">
        <v>147</v>
      </c>
      <c r="F2647" s="19" t="s">
        <v>295</v>
      </c>
      <c r="G2647" s="19" t="n">
        <v>157</v>
      </c>
      <c r="H2647" s="19" t="s">
        <v>296</v>
      </c>
      <c r="I2647" s="20" t="n">
        <v>82.516</v>
      </c>
      <c r="J2647" s="19" t="n">
        <f aca="false">IF(I2647="","",MIN(Overview!$B$8,MAX(1,CEILING(I2647/Overview!$B$7,1))))</f>
        <v>17</v>
      </c>
      <c r="K2647" s="19" t="n">
        <v>1</v>
      </c>
      <c r="L2647" s="19"/>
      <c r="M2647" s="20" t="n">
        <v>4</v>
      </c>
      <c r="N2647" s="19"/>
      <c r="O2647" s="19"/>
      <c r="P2647" s="19" t="s">
        <v>1390</v>
      </c>
      <c r="Q2647" s="19" t="s">
        <v>1021</v>
      </c>
      <c r="R2647" s="21" t="n">
        <v>36596</v>
      </c>
      <c r="S2647" s="19" t="s">
        <v>1137</v>
      </c>
      <c r="T2647" s="19" t="s">
        <v>7924</v>
      </c>
      <c r="U2647" s="19" t="str">
        <f aca="false">HYPERLINK("https://macaulaylibrary.org/asset/144449061","Open")</f>
        <v>Open</v>
      </c>
      <c r="V2647" s="19"/>
    </row>
    <row r="2648" customFormat="false" ht="15" hidden="false" customHeight="false" outlineLevel="0" collapsed="false">
      <c r="A2648" s="19" t="s">
        <v>7925</v>
      </c>
      <c r="B2648" s="19" t="s">
        <v>943</v>
      </c>
      <c r="C2648" s="19" t="s">
        <v>7202</v>
      </c>
      <c r="D2648" s="19" t="s">
        <v>148</v>
      </c>
      <c r="E2648" s="19" t="s">
        <v>147</v>
      </c>
      <c r="F2648" s="19" t="s">
        <v>295</v>
      </c>
      <c r="G2648" s="19" t="n">
        <v>157</v>
      </c>
      <c r="H2648" s="19" t="s">
        <v>296</v>
      </c>
      <c r="I2648" s="20" t="n">
        <v>47.411</v>
      </c>
      <c r="J2648" s="19" t="n">
        <f aca="false">IF(I2648="","",MIN(Overview!$B$8,MAX(1,CEILING(I2648/Overview!$B$7,1))))</f>
        <v>10</v>
      </c>
      <c r="K2648" s="19" t="n">
        <v>1</v>
      </c>
      <c r="L2648" s="19"/>
      <c r="M2648" s="20" t="n">
        <v>2</v>
      </c>
      <c r="N2648" s="19"/>
      <c r="O2648" s="19"/>
      <c r="P2648" s="19" t="s">
        <v>1135</v>
      </c>
      <c r="Q2648" s="19" t="s">
        <v>1136</v>
      </c>
      <c r="R2648" s="21" t="n">
        <v>29735</v>
      </c>
      <c r="S2648" s="19" t="s">
        <v>1404</v>
      </c>
      <c r="T2648" s="19" t="s">
        <v>7926</v>
      </c>
      <c r="U2648" s="19" t="str">
        <f aca="false">HYPERLINK("https://macaulaylibrary.org/asset/28143","Open")</f>
        <v>Open</v>
      </c>
      <c r="V2648" s="19"/>
    </row>
    <row r="2649" customFormat="false" ht="15" hidden="false" customHeight="false" outlineLevel="0" collapsed="false">
      <c r="A2649" s="19" t="s">
        <v>7927</v>
      </c>
      <c r="B2649" s="19" t="s">
        <v>943</v>
      </c>
      <c r="C2649" s="19" t="s">
        <v>7202</v>
      </c>
      <c r="D2649" s="19" t="s">
        <v>148</v>
      </c>
      <c r="E2649" s="19" t="s">
        <v>147</v>
      </c>
      <c r="F2649" s="19" t="s">
        <v>295</v>
      </c>
      <c r="G2649" s="19" t="n">
        <v>157</v>
      </c>
      <c r="H2649" s="19" t="s">
        <v>296</v>
      </c>
      <c r="I2649" s="20" t="n">
        <v>61.525</v>
      </c>
      <c r="J2649" s="19" t="n">
        <f aca="false">IF(I2649="","",MIN(Overview!$B$8,MAX(1,CEILING(I2649/Overview!$B$7,1))))</f>
        <v>13</v>
      </c>
      <c r="K2649" s="19" t="n">
        <v>1</v>
      </c>
      <c r="L2649" s="19"/>
      <c r="M2649" s="20" t="n">
        <v>2</v>
      </c>
      <c r="N2649" s="19"/>
      <c r="O2649" s="19"/>
      <c r="P2649" s="19" t="s">
        <v>1591</v>
      </c>
      <c r="Q2649" s="19" t="s">
        <v>1592</v>
      </c>
      <c r="R2649" s="21" t="n">
        <v>30404</v>
      </c>
      <c r="S2649" s="19" t="s">
        <v>1002</v>
      </c>
      <c r="T2649" s="19" t="s">
        <v>7928</v>
      </c>
      <c r="U2649" s="19" t="str">
        <f aca="false">HYPERLINK("https://macaulaylibrary.org/asset/39225","Open")</f>
        <v>Open</v>
      </c>
      <c r="V2649" s="19"/>
    </row>
    <row r="2650" customFormat="false" ht="15" hidden="false" customHeight="false" outlineLevel="0" collapsed="false">
      <c r="A2650" s="19" t="s">
        <v>7929</v>
      </c>
      <c r="B2650" s="19" t="s">
        <v>943</v>
      </c>
      <c r="C2650" s="19" t="s">
        <v>7202</v>
      </c>
      <c r="D2650" s="19" t="s">
        <v>613</v>
      </c>
      <c r="E2650" s="19" t="s">
        <v>147</v>
      </c>
      <c r="F2650" s="19" t="s">
        <v>844</v>
      </c>
      <c r="G2650" s="19" t="n">
        <v>158</v>
      </c>
      <c r="H2650" s="19" t="s">
        <v>845</v>
      </c>
      <c r="I2650" s="20" t="n">
        <v>104.467</v>
      </c>
      <c r="J2650" s="19" t="n">
        <f aca="false">IF(I2650="","",MIN(Overview!$B$8,MAX(1,CEILING(I2650/Overview!$B$7,1))))</f>
        <v>21</v>
      </c>
      <c r="K2650" s="19" t="n">
        <v>1</v>
      </c>
      <c r="L2650" s="19"/>
      <c r="M2650" s="20" t="n">
        <v>2</v>
      </c>
      <c r="N2650" s="19"/>
      <c r="O2650" s="19"/>
      <c r="P2650" s="19" t="s">
        <v>3717</v>
      </c>
      <c r="Q2650" s="19" t="s">
        <v>2343</v>
      </c>
      <c r="R2650" s="21" t="n">
        <v>31505</v>
      </c>
      <c r="S2650" s="19" t="s">
        <v>1387</v>
      </c>
      <c r="T2650" s="19" t="s">
        <v>7930</v>
      </c>
      <c r="U2650" s="19" t="str">
        <f aca="false">HYPERLINK("https://macaulaylibrary.org/asset/249447","Open")</f>
        <v>Open</v>
      </c>
      <c r="V2650" s="19" t="s">
        <v>7931</v>
      </c>
    </row>
    <row r="2651" customFormat="false" ht="15" hidden="false" customHeight="false" outlineLevel="0" collapsed="false">
      <c r="A2651" s="19" t="s">
        <v>7932</v>
      </c>
      <c r="B2651" s="19" t="s">
        <v>943</v>
      </c>
      <c r="C2651" s="19" t="s">
        <v>7202</v>
      </c>
      <c r="D2651" s="19" t="s">
        <v>148</v>
      </c>
      <c r="E2651" s="19" t="s">
        <v>147</v>
      </c>
      <c r="F2651" s="19" t="s">
        <v>221</v>
      </c>
      <c r="G2651" s="19" t="n">
        <v>159</v>
      </c>
      <c r="H2651" s="19" t="s">
        <v>222</v>
      </c>
      <c r="I2651" s="20" t="n">
        <v>24.373</v>
      </c>
      <c r="J2651" s="19" t="n">
        <f aca="false">IF(I2651="","",MIN(Overview!$B$8,MAX(1,CEILING(I2651/Overview!$B$7,1))))</f>
        <v>5</v>
      </c>
      <c r="K2651" s="19" t="n">
        <v>1</v>
      </c>
      <c r="L2651" s="19"/>
      <c r="M2651" s="20" t="n">
        <v>3.67</v>
      </c>
      <c r="N2651" s="19"/>
      <c r="O2651" s="19"/>
      <c r="P2651" s="19" t="s">
        <v>1768</v>
      </c>
      <c r="Q2651" s="19" t="s">
        <v>1063</v>
      </c>
      <c r="R2651" s="21" t="n">
        <v>44087</v>
      </c>
      <c r="S2651" s="19" t="s">
        <v>1769</v>
      </c>
      <c r="T2651" s="19" t="s">
        <v>7933</v>
      </c>
      <c r="U2651" s="19" t="str">
        <f aca="false">HYPERLINK("https://macaulaylibrary.org/asset/267829051","Open")</f>
        <v>Open</v>
      </c>
      <c r="V2651" s="19"/>
    </row>
    <row r="2652" customFormat="false" ht="15" hidden="false" customHeight="false" outlineLevel="0" collapsed="false">
      <c r="A2652" s="19" t="s">
        <v>7934</v>
      </c>
      <c r="B2652" s="19" t="s">
        <v>943</v>
      </c>
      <c r="C2652" s="19" t="s">
        <v>7202</v>
      </c>
      <c r="D2652" s="19" t="s">
        <v>148</v>
      </c>
      <c r="E2652" s="19" t="s">
        <v>147</v>
      </c>
      <c r="F2652" s="19" t="s">
        <v>221</v>
      </c>
      <c r="G2652" s="19" t="n">
        <v>159</v>
      </c>
      <c r="H2652" s="19" t="s">
        <v>222</v>
      </c>
      <c r="I2652" s="20" t="n">
        <v>9.768</v>
      </c>
      <c r="J2652" s="19" t="n">
        <f aca="false">IF(I2652="","",MIN(Overview!$B$8,MAX(1,CEILING(I2652/Overview!$B$7,1))))</f>
        <v>2</v>
      </c>
      <c r="K2652" s="19" t="n">
        <v>1</v>
      </c>
      <c r="L2652" s="19"/>
      <c r="M2652" s="20" t="n">
        <v>2.5</v>
      </c>
      <c r="N2652" s="19"/>
      <c r="O2652" s="19"/>
      <c r="P2652" s="19" t="s">
        <v>5297</v>
      </c>
      <c r="Q2652" s="19" t="s">
        <v>1050</v>
      </c>
      <c r="R2652" s="21" t="n">
        <v>43406</v>
      </c>
      <c r="S2652" s="19" t="s">
        <v>3042</v>
      </c>
      <c r="T2652" s="19" t="s">
        <v>7935</v>
      </c>
      <c r="U2652" s="19" t="str">
        <f aca="false">HYPERLINK("https://macaulaylibrary.org/asset/293055401","Open")</f>
        <v>Open</v>
      </c>
      <c r="V2652" s="19"/>
    </row>
    <row r="2653" customFormat="false" ht="15" hidden="false" customHeight="false" outlineLevel="0" collapsed="false">
      <c r="A2653" s="19" t="s">
        <v>7936</v>
      </c>
      <c r="B2653" s="19" t="s">
        <v>943</v>
      </c>
      <c r="C2653" s="19" t="s">
        <v>7202</v>
      </c>
      <c r="D2653" s="19" t="s">
        <v>148</v>
      </c>
      <c r="E2653" s="19" t="s">
        <v>147</v>
      </c>
      <c r="F2653" s="19" t="s">
        <v>221</v>
      </c>
      <c r="G2653" s="19" t="n">
        <v>159</v>
      </c>
      <c r="H2653" s="19" t="s">
        <v>222</v>
      </c>
      <c r="I2653" s="20" t="n">
        <v>29.674</v>
      </c>
      <c r="J2653" s="19" t="n">
        <f aca="false">IF(I2653="","",MIN(Overview!$B$8,MAX(1,CEILING(I2653/Overview!$B$7,1))))</f>
        <v>6</v>
      </c>
      <c r="K2653" s="19" t="n">
        <v>1</v>
      </c>
      <c r="L2653" s="19"/>
      <c r="M2653" s="20"/>
      <c r="N2653" s="19"/>
      <c r="O2653" s="19" t="s">
        <v>243</v>
      </c>
      <c r="P2653" s="19" t="s">
        <v>1674</v>
      </c>
      <c r="Q2653" s="19" t="s">
        <v>1091</v>
      </c>
      <c r="R2653" s="21" t="n">
        <v>45843</v>
      </c>
      <c r="S2653" s="19" t="s">
        <v>1009</v>
      </c>
      <c r="T2653" s="19" t="s">
        <v>7937</v>
      </c>
      <c r="U2653" s="19" t="str">
        <f aca="false">HYPERLINK("https://macaulaylibrary.org/asset/639162724","Open")</f>
        <v>Open</v>
      </c>
      <c r="V2653" s="19"/>
    </row>
    <row r="2654" customFormat="false" ht="15" hidden="false" customHeight="false" outlineLevel="0" collapsed="false">
      <c r="A2654" s="19" t="s">
        <v>7938</v>
      </c>
      <c r="B2654" s="19" t="s">
        <v>943</v>
      </c>
      <c r="C2654" s="19" t="s">
        <v>7202</v>
      </c>
      <c r="D2654" s="19" t="s">
        <v>148</v>
      </c>
      <c r="E2654" s="19" t="s">
        <v>147</v>
      </c>
      <c r="F2654" s="19" t="s">
        <v>221</v>
      </c>
      <c r="G2654" s="19" t="n">
        <v>159</v>
      </c>
      <c r="H2654" s="19" t="s">
        <v>222</v>
      </c>
      <c r="I2654" s="20" t="n">
        <v>91.88</v>
      </c>
      <c r="J2654" s="19" t="n">
        <f aca="false">IF(I2654="","",MIN(Overview!$B$8,MAX(1,CEILING(I2654/Overview!$B$7,1))))</f>
        <v>19</v>
      </c>
      <c r="K2654" s="19" t="n">
        <v>1</v>
      </c>
      <c r="L2654" s="19"/>
      <c r="M2654" s="20" t="n">
        <v>3.5</v>
      </c>
      <c r="N2654" s="19"/>
      <c r="O2654" s="19" t="s">
        <v>252</v>
      </c>
      <c r="P2654" s="19" t="s">
        <v>1674</v>
      </c>
      <c r="Q2654" s="19" t="s">
        <v>1091</v>
      </c>
      <c r="R2654" s="21" t="n">
        <v>45843</v>
      </c>
      <c r="S2654" s="19" t="s">
        <v>1009</v>
      </c>
      <c r="T2654" s="19" t="s">
        <v>7939</v>
      </c>
      <c r="U2654" s="19" t="str">
        <f aca="false">HYPERLINK("https://macaulaylibrary.org/asset/639163535","Open")</f>
        <v>Open</v>
      </c>
      <c r="V2654" s="19"/>
    </row>
    <row r="2655" customFormat="false" ht="15" hidden="false" customHeight="false" outlineLevel="0" collapsed="false">
      <c r="A2655" s="19" t="s">
        <v>7940</v>
      </c>
      <c r="B2655" s="19" t="s">
        <v>943</v>
      </c>
      <c r="C2655" s="19" t="s">
        <v>7202</v>
      </c>
      <c r="D2655" s="19" t="s">
        <v>148</v>
      </c>
      <c r="E2655" s="19" t="s">
        <v>147</v>
      </c>
      <c r="F2655" s="19" t="s">
        <v>221</v>
      </c>
      <c r="G2655" s="19" t="n">
        <v>159</v>
      </c>
      <c r="H2655" s="19" t="s">
        <v>222</v>
      </c>
      <c r="I2655" s="20" t="n">
        <v>127.476</v>
      </c>
      <c r="J2655" s="19" t="n">
        <f aca="false">IF(I2655="","",MIN(Overview!$B$8,MAX(1,CEILING(I2655/Overview!$B$7,1))))</f>
        <v>26</v>
      </c>
      <c r="K2655" s="19" t="n">
        <v>1</v>
      </c>
      <c r="L2655" s="19"/>
      <c r="M2655" s="20" t="n">
        <v>3</v>
      </c>
      <c r="N2655" s="19"/>
      <c r="O2655" s="19"/>
      <c r="P2655" s="19" t="s">
        <v>1674</v>
      </c>
      <c r="Q2655" s="19" t="s">
        <v>1091</v>
      </c>
      <c r="R2655" s="21" t="n">
        <v>45843</v>
      </c>
      <c r="S2655" s="19" t="s">
        <v>1009</v>
      </c>
      <c r="T2655" s="19" t="s">
        <v>7941</v>
      </c>
      <c r="U2655" s="19" t="str">
        <f aca="false">HYPERLINK("https://macaulaylibrary.org/asset/643661317","Open")</f>
        <v>Open</v>
      </c>
      <c r="V2655" s="19"/>
    </row>
    <row r="2656" customFormat="false" ht="15" hidden="false" customHeight="false" outlineLevel="0" collapsed="false">
      <c r="A2656" s="19" t="s">
        <v>7942</v>
      </c>
      <c r="B2656" s="19" t="s">
        <v>943</v>
      </c>
      <c r="C2656" s="19" t="s">
        <v>7202</v>
      </c>
      <c r="D2656" s="19" t="s">
        <v>148</v>
      </c>
      <c r="E2656" s="19" t="s">
        <v>147</v>
      </c>
      <c r="F2656" s="19" t="s">
        <v>191</v>
      </c>
      <c r="G2656" s="19" t="n">
        <v>160</v>
      </c>
      <c r="H2656" s="19" t="s">
        <v>192</v>
      </c>
      <c r="I2656" s="20" t="n">
        <v>48.256</v>
      </c>
      <c r="J2656" s="19" t="n">
        <f aca="false">IF(I2656="","",MIN(Overview!$B$8,MAX(1,CEILING(I2656/Overview!$B$7,1))))</f>
        <v>10</v>
      </c>
      <c r="K2656" s="19" t="n">
        <v>1</v>
      </c>
      <c r="L2656" s="19"/>
      <c r="M2656" s="20" t="n">
        <v>3</v>
      </c>
      <c r="N2656" s="19"/>
      <c r="O2656" s="19"/>
      <c r="P2656" s="19" t="s">
        <v>3195</v>
      </c>
      <c r="Q2656" s="19" t="s">
        <v>965</v>
      </c>
      <c r="R2656" s="21" t="n">
        <v>43813</v>
      </c>
      <c r="S2656" s="19" t="s">
        <v>3196</v>
      </c>
      <c r="T2656" s="19" t="s">
        <v>7943</v>
      </c>
      <c r="U2656" s="19" t="str">
        <f aca="false">HYPERLINK("https://macaulaylibrary.org/asset/193417061","Open")</f>
        <v>Open</v>
      </c>
      <c r="V2656" s="19"/>
    </row>
    <row r="2657" customFormat="false" ht="15" hidden="false" customHeight="false" outlineLevel="0" collapsed="false">
      <c r="A2657" s="19" t="s">
        <v>7944</v>
      </c>
      <c r="B2657" s="19" t="s">
        <v>943</v>
      </c>
      <c r="C2657" s="19" t="s">
        <v>7202</v>
      </c>
      <c r="D2657" s="19" t="s">
        <v>148</v>
      </c>
      <c r="E2657" s="19" t="s">
        <v>147</v>
      </c>
      <c r="F2657" s="19" t="s">
        <v>191</v>
      </c>
      <c r="G2657" s="19" t="n">
        <v>160</v>
      </c>
      <c r="H2657" s="19" t="s">
        <v>192</v>
      </c>
      <c r="I2657" s="20" t="n">
        <v>94.788</v>
      </c>
      <c r="J2657" s="19" t="n">
        <f aca="false">IF(I2657="","",MIN(Overview!$B$8,MAX(1,CEILING(I2657/Overview!$B$7,1))))</f>
        <v>19</v>
      </c>
      <c r="K2657" s="19" t="n">
        <v>1</v>
      </c>
      <c r="L2657" s="19"/>
      <c r="M2657" s="20" t="n">
        <v>2</v>
      </c>
      <c r="N2657" s="19"/>
      <c r="O2657" s="19"/>
      <c r="P2657" s="19" t="s">
        <v>2523</v>
      </c>
      <c r="Q2657" s="19" t="s">
        <v>1592</v>
      </c>
      <c r="R2657" s="21" t="n">
        <v>30405</v>
      </c>
      <c r="S2657" s="19" t="s">
        <v>1002</v>
      </c>
      <c r="T2657" s="19" t="s">
        <v>7945</v>
      </c>
      <c r="U2657" s="19" t="str">
        <f aca="false">HYPERLINK("https://macaulaylibrary.org/asset/39233","Open")</f>
        <v>Open</v>
      </c>
      <c r="V2657" s="19" t="s">
        <v>4799</v>
      </c>
    </row>
    <row r="2658" customFormat="false" ht="15" hidden="false" customHeight="false" outlineLevel="0" collapsed="false">
      <c r="A2658" s="19" t="s">
        <v>7946</v>
      </c>
      <c r="B2658" s="19" t="s">
        <v>943</v>
      </c>
      <c r="C2658" s="19" t="s">
        <v>7202</v>
      </c>
      <c r="D2658" s="19" t="s">
        <v>148</v>
      </c>
      <c r="E2658" s="19" t="s">
        <v>147</v>
      </c>
      <c r="F2658" s="19" t="s">
        <v>191</v>
      </c>
      <c r="G2658" s="19" t="n">
        <v>160</v>
      </c>
      <c r="H2658" s="19" t="s">
        <v>192</v>
      </c>
      <c r="I2658" s="20" t="n">
        <v>16.924</v>
      </c>
      <c r="J2658" s="19" t="n">
        <f aca="false">IF(I2658="","",MIN(Overview!$B$8,MAX(1,CEILING(I2658/Overview!$B$7,1))))</f>
        <v>4</v>
      </c>
      <c r="K2658" s="19" t="n">
        <v>1</v>
      </c>
      <c r="L2658" s="19"/>
      <c r="M2658" s="20" t="n">
        <v>5</v>
      </c>
      <c r="N2658" s="19"/>
      <c r="O2658" s="19" t="s">
        <v>316</v>
      </c>
      <c r="P2658" s="19" t="s">
        <v>1335</v>
      </c>
      <c r="Q2658" s="19" t="s">
        <v>990</v>
      </c>
      <c r="R2658" s="21" t="n">
        <v>46011</v>
      </c>
      <c r="S2658" s="19" t="s">
        <v>966</v>
      </c>
      <c r="T2658" s="19" t="s">
        <v>7947</v>
      </c>
      <c r="U2658" s="19" t="str">
        <f aca="false">HYPERLINK("https://macaulaylibrary.org/asset/647326954","Open")</f>
        <v>Open</v>
      </c>
      <c r="V2658" s="19"/>
    </row>
    <row r="2659" customFormat="false" ht="15" hidden="false" customHeight="false" outlineLevel="0" collapsed="false">
      <c r="A2659" s="19" t="s">
        <v>7948</v>
      </c>
      <c r="B2659" s="19" t="s">
        <v>943</v>
      </c>
      <c r="C2659" s="19" t="s">
        <v>7202</v>
      </c>
      <c r="D2659" s="19" t="s">
        <v>148</v>
      </c>
      <c r="E2659" s="19" t="s">
        <v>147</v>
      </c>
      <c r="F2659" s="19" t="s">
        <v>191</v>
      </c>
      <c r="G2659" s="19" t="n">
        <v>160</v>
      </c>
      <c r="H2659" s="19" t="s">
        <v>192</v>
      </c>
      <c r="I2659" s="20" t="n">
        <v>22.589</v>
      </c>
      <c r="J2659" s="19" t="n">
        <f aca="false">IF(I2659="","",MIN(Overview!$B$8,MAX(1,CEILING(I2659/Overview!$B$7,1))))</f>
        <v>5</v>
      </c>
      <c r="K2659" s="19" t="n">
        <v>1</v>
      </c>
      <c r="L2659" s="19"/>
      <c r="M2659" s="20" t="n">
        <v>5</v>
      </c>
      <c r="N2659" s="19"/>
      <c r="O2659" s="19"/>
      <c r="P2659" s="19" t="s">
        <v>1335</v>
      </c>
      <c r="Q2659" s="19" t="s">
        <v>990</v>
      </c>
      <c r="R2659" s="21" t="n">
        <v>46011</v>
      </c>
      <c r="S2659" s="19" t="s">
        <v>966</v>
      </c>
      <c r="T2659" s="19" t="s">
        <v>7949</v>
      </c>
      <c r="U2659" s="19" t="str">
        <f aca="false">HYPERLINK("https://macaulaylibrary.org/asset/647327137","Open")</f>
        <v>Open</v>
      </c>
      <c r="V2659" s="19"/>
    </row>
    <row r="2660" customFormat="false" ht="15" hidden="false" customHeight="false" outlineLevel="0" collapsed="false">
      <c r="A2660" s="19" t="s">
        <v>7950</v>
      </c>
      <c r="B2660" s="19" t="s">
        <v>943</v>
      </c>
      <c r="C2660" s="19" t="s">
        <v>7202</v>
      </c>
      <c r="D2660" s="19" t="s">
        <v>148</v>
      </c>
      <c r="E2660" s="19" t="s">
        <v>147</v>
      </c>
      <c r="F2660" s="19" t="s">
        <v>191</v>
      </c>
      <c r="G2660" s="19" t="n">
        <v>160</v>
      </c>
      <c r="H2660" s="19" t="s">
        <v>192</v>
      </c>
      <c r="I2660" s="20" t="n">
        <v>28.302</v>
      </c>
      <c r="J2660" s="19" t="n">
        <f aca="false">IF(I2660="","",MIN(Overview!$B$8,MAX(1,CEILING(I2660/Overview!$B$7,1))))</f>
        <v>6</v>
      </c>
      <c r="K2660" s="19" t="n">
        <v>1</v>
      </c>
      <c r="L2660" s="19"/>
      <c r="M2660" s="20" t="n">
        <v>5</v>
      </c>
      <c r="N2660" s="19"/>
      <c r="O2660" s="19"/>
      <c r="P2660" s="19" t="s">
        <v>1335</v>
      </c>
      <c r="Q2660" s="19" t="s">
        <v>990</v>
      </c>
      <c r="R2660" s="21" t="n">
        <v>46011</v>
      </c>
      <c r="S2660" s="19" t="s">
        <v>966</v>
      </c>
      <c r="T2660" s="19" t="s">
        <v>7951</v>
      </c>
      <c r="U2660" s="19" t="str">
        <f aca="false">HYPERLINK("https://macaulaylibrary.org/asset/647327291","Open")</f>
        <v>Open</v>
      </c>
      <c r="V2660" s="19"/>
    </row>
    <row r="2661" customFormat="false" ht="15" hidden="false" customHeight="false" outlineLevel="0" collapsed="false">
      <c r="A2661" s="19" t="s">
        <v>7952</v>
      </c>
      <c r="B2661" s="19" t="s">
        <v>943</v>
      </c>
      <c r="C2661" s="19" t="s">
        <v>7202</v>
      </c>
      <c r="D2661" s="19" t="s">
        <v>148</v>
      </c>
      <c r="E2661" s="19" t="s">
        <v>147</v>
      </c>
      <c r="F2661" s="19" t="s">
        <v>191</v>
      </c>
      <c r="G2661" s="19" t="n">
        <v>160</v>
      </c>
      <c r="H2661" s="19" t="s">
        <v>192</v>
      </c>
      <c r="I2661" s="20" t="n">
        <v>10.611</v>
      </c>
      <c r="J2661" s="19" t="n">
        <f aca="false">IF(I2661="","",MIN(Overview!$B$8,MAX(1,CEILING(I2661/Overview!$B$7,1))))</f>
        <v>3</v>
      </c>
      <c r="K2661" s="19" t="n">
        <v>1</v>
      </c>
      <c r="L2661" s="19"/>
      <c r="M2661" s="20" t="n">
        <v>4</v>
      </c>
      <c r="N2661" s="19"/>
      <c r="O2661" s="19"/>
      <c r="P2661" s="19" t="s">
        <v>1335</v>
      </c>
      <c r="Q2661" s="19" t="s">
        <v>990</v>
      </c>
      <c r="R2661" s="21" t="n">
        <v>46011</v>
      </c>
      <c r="S2661" s="19" t="s">
        <v>966</v>
      </c>
      <c r="T2661" s="19" t="s">
        <v>7953</v>
      </c>
      <c r="U2661" s="19" t="str">
        <f aca="false">HYPERLINK("https://macaulaylibrary.org/asset/647327396","Open")</f>
        <v>Open</v>
      </c>
      <c r="V2661" s="19"/>
    </row>
    <row r="2662" customFormat="false" ht="15" hidden="false" customHeight="false" outlineLevel="0" collapsed="false">
      <c r="A2662" s="19" t="s">
        <v>7954</v>
      </c>
      <c r="B2662" s="19" t="s">
        <v>943</v>
      </c>
      <c r="C2662" s="19" t="s">
        <v>7202</v>
      </c>
      <c r="D2662" s="19" t="s">
        <v>613</v>
      </c>
      <c r="E2662" s="19" t="s">
        <v>147</v>
      </c>
      <c r="F2662" s="19" t="s">
        <v>847</v>
      </c>
      <c r="G2662" s="19" t="n">
        <v>161</v>
      </c>
      <c r="H2662" s="19" t="s">
        <v>848</v>
      </c>
      <c r="I2662" s="20" t="n">
        <v>25.774</v>
      </c>
      <c r="J2662" s="19" t="n">
        <f aca="false">IF(I2662="","",MIN(Overview!$B$8,MAX(1,CEILING(I2662/Overview!$B$7,1))))</f>
        <v>6</v>
      </c>
      <c r="K2662" s="19" t="n">
        <v>1</v>
      </c>
      <c r="L2662" s="19"/>
      <c r="M2662" s="20" t="n">
        <v>1</v>
      </c>
      <c r="N2662" s="19"/>
      <c r="O2662" s="19" t="s">
        <v>7955</v>
      </c>
      <c r="P2662" s="19" t="s">
        <v>1564</v>
      </c>
      <c r="Q2662" s="19" t="s">
        <v>1226</v>
      </c>
      <c r="R2662" s="21" t="n">
        <v>21273</v>
      </c>
      <c r="S2662" s="19" t="s">
        <v>1002</v>
      </c>
      <c r="T2662" s="19" t="s">
        <v>7956</v>
      </c>
      <c r="U2662" s="19" t="str">
        <f aca="false">HYPERLINK("https://macaulaylibrary.org/asset/4374","Open")</f>
        <v>Open</v>
      </c>
      <c r="V2662" s="19"/>
    </row>
    <row r="2663" customFormat="false" ht="15" hidden="false" customHeight="false" outlineLevel="0" collapsed="false">
      <c r="A2663" s="19" t="s">
        <v>7957</v>
      </c>
      <c r="B2663" s="19" t="s">
        <v>943</v>
      </c>
      <c r="C2663" s="19" t="s">
        <v>7202</v>
      </c>
      <c r="D2663" s="19" t="s">
        <v>400</v>
      </c>
      <c r="E2663" s="19" t="s">
        <v>147</v>
      </c>
      <c r="F2663" s="19" t="s">
        <v>617</v>
      </c>
      <c r="G2663" s="19" t="n">
        <v>163</v>
      </c>
      <c r="H2663" s="19" t="s">
        <v>618</v>
      </c>
      <c r="I2663" s="20" t="n">
        <v>13.835</v>
      </c>
      <c r="J2663" s="19" t="n">
        <f aca="false">IF(I2663="","",MIN(Overview!$B$8,MAX(1,CEILING(I2663/Overview!$B$7,1))))</f>
        <v>3</v>
      </c>
      <c r="K2663" s="19" t="n">
        <v>1</v>
      </c>
      <c r="L2663" s="19"/>
      <c r="M2663" s="20" t="n">
        <v>4</v>
      </c>
      <c r="N2663" s="19"/>
      <c r="O2663" s="19"/>
      <c r="P2663" s="19" t="s">
        <v>7958</v>
      </c>
      <c r="Q2663" s="19" t="s">
        <v>1040</v>
      </c>
      <c r="R2663" s="21"/>
      <c r="S2663" s="19"/>
      <c r="T2663" s="19" t="s">
        <v>7959</v>
      </c>
      <c r="U2663" s="19" t="str">
        <f aca="false">HYPERLINK("https://macaulaylibrary.org/asset/609099508","Open")</f>
        <v>Open</v>
      </c>
      <c r="V2663" s="19" t="s">
        <v>7960</v>
      </c>
    </row>
    <row r="2664" customFormat="false" ht="15" hidden="false" customHeight="false" outlineLevel="0" collapsed="false">
      <c r="A2664" s="19" t="s">
        <v>7961</v>
      </c>
      <c r="B2664" s="19" t="s">
        <v>943</v>
      </c>
      <c r="C2664" s="19" t="s">
        <v>7202</v>
      </c>
      <c r="D2664" s="19" t="s">
        <v>400</v>
      </c>
      <c r="E2664" s="19" t="s">
        <v>147</v>
      </c>
      <c r="F2664" s="19" t="s">
        <v>725</v>
      </c>
      <c r="G2664" s="19" t="n">
        <v>164</v>
      </c>
      <c r="H2664" s="19" t="s">
        <v>726</v>
      </c>
      <c r="I2664" s="20" t="n">
        <v>20.293</v>
      </c>
      <c r="J2664" s="19" t="n">
        <f aca="false">IF(I2664="","",MIN(Overview!$B$8,MAX(1,CEILING(I2664/Overview!$B$7,1))))</f>
        <v>5</v>
      </c>
      <c r="K2664" s="19" t="n">
        <v>1</v>
      </c>
      <c r="L2664" s="19"/>
      <c r="M2664" s="20" t="n">
        <v>1</v>
      </c>
      <c r="N2664" s="19"/>
      <c r="O2664" s="19"/>
      <c r="P2664" s="19" t="s">
        <v>1946</v>
      </c>
      <c r="Q2664" s="19" t="s">
        <v>1091</v>
      </c>
      <c r="R2664" s="21" t="n">
        <v>45844</v>
      </c>
      <c r="S2664" s="19" t="s">
        <v>1013</v>
      </c>
      <c r="T2664" s="19" t="s">
        <v>7962</v>
      </c>
      <c r="U2664" s="19" t="str">
        <f aca="false">HYPERLINK("https://macaulaylibrary.org/asset/643642692","Open")</f>
        <v>Open</v>
      </c>
      <c r="V2664" s="19"/>
    </row>
    <row r="2665" customFormat="false" ht="15" hidden="false" customHeight="false" outlineLevel="0" collapsed="false">
      <c r="A2665" s="19" t="s">
        <v>7963</v>
      </c>
      <c r="B2665" s="19" t="s">
        <v>943</v>
      </c>
      <c r="C2665" s="19" t="s">
        <v>7202</v>
      </c>
      <c r="D2665" s="19" t="s">
        <v>148</v>
      </c>
      <c r="E2665" s="19" t="s">
        <v>147</v>
      </c>
      <c r="F2665" s="19" t="s">
        <v>162</v>
      </c>
      <c r="G2665" s="19" t="n">
        <v>165</v>
      </c>
      <c r="H2665" s="19" t="s">
        <v>163</v>
      </c>
      <c r="I2665" s="20" t="n">
        <v>47.061</v>
      </c>
      <c r="J2665" s="19" t="n">
        <f aca="false">IF(I2665="","",MIN(Overview!$B$8,MAX(1,CEILING(I2665/Overview!$B$7,1))))</f>
        <v>10</v>
      </c>
      <c r="K2665" s="19" t="n">
        <v>1</v>
      </c>
      <c r="L2665" s="19"/>
      <c r="M2665" s="20" t="n">
        <v>2</v>
      </c>
      <c r="N2665" s="19"/>
      <c r="O2665" s="19"/>
      <c r="P2665" s="19" t="s">
        <v>1025</v>
      </c>
      <c r="Q2665" s="19" t="s">
        <v>965</v>
      </c>
      <c r="R2665" s="21" t="n">
        <v>43450</v>
      </c>
      <c r="S2665" s="19" t="s">
        <v>1026</v>
      </c>
      <c r="T2665" s="19" t="s">
        <v>7964</v>
      </c>
      <c r="U2665" s="19" t="str">
        <f aca="false">HYPERLINK("https://macaulaylibrary.org/asset/129904011","Open")</f>
        <v>Open</v>
      </c>
      <c r="V2665" s="19"/>
    </row>
    <row r="2666" customFormat="false" ht="15" hidden="false" customHeight="false" outlineLevel="0" collapsed="false">
      <c r="A2666" s="19" t="s">
        <v>7965</v>
      </c>
      <c r="B2666" s="19" t="s">
        <v>943</v>
      </c>
      <c r="C2666" s="19" t="s">
        <v>7202</v>
      </c>
      <c r="D2666" s="19" t="s">
        <v>148</v>
      </c>
      <c r="E2666" s="19" t="s">
        <v>147</v>
      </c>
      <c r="F2666" s="19" t="s">
        <v>162</v>
      </c>
      <c r="G2666" s="19" t="n">
        <v>165</v>
      </c>
      <c r="H2666" s="19" t="s">
        <v>163</v>
      </c>
      <c r="I2666" s="20" t="n">
        <v>418.558</v>
      </c>
      <c r="J2666" s="19" t="n">
        <f aca="false">IF(I2666="","",MIN(Overview!$B$8,MAX(1,CEILING(I2666/Overview!$B$7,1))))</f>
        <v>84</v>
      </c>
      <c r="K2666" s="19" t="n">
        <v>1</v>
      </c>
      <c r="L2666" s="19"/>
      <c r="M2666" s="20" t="n">
        <v>2</v>
      </c>
      <c r="N2666" s="19"/>
      <c r="O2666" s="19" t="s">
        <v>181</v>
      </c>
      <c r="P2666" s="19" t="s">
        <v>1058</v>
      </c>
      <c r="Q2666" s="19" t="s">
        <v>980</v>
      </c>
      <c r="R2666" s="21" t="n">
        <v>32555</v>
      </c>
      <c r="S2666" s="19" t="s">
        <v>3865</v>
      </c>
      <c r="T2666" s="19" t="s">
        <v>7966</v>
      </c>
      <c r="U2666" s="19" t="str">
        <f aca="false">HYPERLINK("https://macaulaylibrary.org/asset/215344","Open")</f>
        <v>Open</v>
      </c>
      <c r="V2666" s="19"/>
    </row>
    <row r="2667" customFormat="false" ht="15" hidden="false" customHeight="false" outlineLevel="0" collapsed="false">
      <c r="A2667" s="19" t="s">
        <v>7967</v>
      </c>
      <c r="B2667" s="19" t="s">
        <v>943</v>
      </c>
      <c r="C2667" s="19" t="s">
        <v>7202</v>
      </c>
      <c r="D2667" s="19" t="s">
        <v>148</v>
      </c>
      <c r="E2667" s="19" t="s">
        <v>147</v>
      </c>
      <c r="F2667" s="19" t="s">
        <v>162</v>
      </c>
      <c r="G2667" s="19" t="n">
        <v>165</v>
      </c>
      <c r="H2667" s="19" t="s">
        <v>163</v>
      </c>
      <c r="I2667" s="20" t="n">
        <v>154.453</v>
      </c>
      <c r="J2667" s="19" t="n">
        <f aca="false">IF(I2667="","",MIN(Overview!$B$8,MAX(1,CEILING(I2667/Overview!$B$7,1))))</f>
        <v>31</v>
      </c>
      <c r="K2667" s="19" t="n">
        <v>1</v>
      </c>
      <c r="L2667" s="19"/>
      <c r="M2667" s="20" t="n">
        <v>2</v>
      </c>
      <c r="N2667" s="19"/>
      <c r="O2667" s="19"/>
      <c r="P2667" s="19" t="s">
        <v>1058</v>
      </c>
      <c r="Q2667" s="19" t="s">
        <v>980</v>
      </c>
      <c r="R2667" s="21" t="n">
        <v>32555</v>
      </c>
      <c r="S2667" s="19" t="s">
        <v>2976</v>
      </c>
      <c r="T2667" s="19" t="s">
        <v>7968</v>
      </c>
      <c r="U2667" s="19" t="str">
        <f aca="false">HYPERLINK("https://macaulaylibrary.org/asset/215346","Open")</f>
        <v>Open</v>
      </c>
      <c r="V2667" s="19"/>
    </row>
    <row r="2668" customFormat="false" ht="15" hidden="false" customHeight="false" outlineLevel="0" collapsed="false">
      <c r="A2668" s="19" t="s">
        <v>7969</v>
      </c>
      <c r="B2668" s="19" t="s">
        <v>943</v>
      </c>
      <c r="C2668" s="19" t="s">
        <v>7202</v>
      </c>
      <c r="D2668" s="19" t="s">
        <v>148</v>
      </c>
      <c r="E2668" s="19" t="s">
        <v>147</v>
      </c>
      <c r="F2668" s="19" t="s">
        <v>162</v>
      </c>
      <c r="G2668" s="19" t="n">
        <v>165</v>
      </c>
      <c r="H2668" s="19" t="s">
        <v>163</v>
      </c>
      <c r="I2668" s="20" t="n">
        <v>68.79</v>
      </c>
      <c r="J2668" s="19" t="n">
        <f aca="false">IF(I2668="","",MIN(Overview!$B$8,MAX(1,CEILING(I2668/Overview!$B$7,1))))</f>
        <v>14</v>
      </c>
      <c r="K2668" s="19" t="n">
        <v>1</v>
      </c>
      <c r="L2668" s="19"/>
      <c r="M2668" s="20" t="n">
        <v>2</v>
      </c>
      <c r="N2668" s="19"/>
      <c r="O2668" s="19" t="s">
        <v>7970</v>
      </c>
      <c r="P2668" s="19" t="s">
        <v>2078</v>
      </c>
      <c r="Q2668" s="19" t="s">
        <v>2079</v>
      </c>
      <c r="R2668" s="21" t="n">
        <v>43511</v>
      </c>
      <c r="S2668" s="19" t="s">
        <v>2056</v>
      </c>
      <c r="T2668" s="19" t="s">
        <v>7971</v>
      </c>
      <c r="U2668" s="19" t="str">
        <f aca="false">HYPERLINK("https://macaulaylibrary.org/asset/246604461","Open")</f>
        <v>Open</v>
      </c>
      <c r="V2668" s="19"/>
    </row>
    <row r="2669" customFormat="false" ht="15" hidden="false" customHeight="false" outlineLevel="0" collapsed="false">
      <c r="A2669" s="19" t="s">
        <v>7972</v>
      </c>
      <c r="B2669" s="19" t="s">
        <v>943</v>
      </c>
      <c r="C2669" s="19" t="s">
        <v>7202</v>
      </c>
      <c r="D2669" s="19" t="s">
        <v>148</v>
      </c>
      <c r="E2669" s="19" t="s">
        <v>147</v>
      </c>
      <c r="F2669" s="19" t="s">
        <v>162</v>
      </c>
      <c r="G2669" s="19" t="n">
        <v>165</v>
      </c>
      <c r="H2669" s="19" t="s">
        <v>163</v>
      </c>
      <c r="I2669" s="20" t="n">
        <v>12.16</v>
      </c>
      <c r="J2669" s="19" t="n">
        <f aca="false">IF(I2669="","",MIN(Overview!$B$8,MAX(1,CEILING(I2669/Overview!$B$7,1))))</f>
        <v>3</v>
      </c>
      <c r="K2669" s="19" t="n">
        <v>1</v>
      </c>
      <c r="L2669" s="19"/>
      <c r="M2669" s="20" t="n">
        <v>3</v>
      </c>
      <c r="N2669" s="19"/>
      <c r="O2669" s="19"/>
      <c r="P2669" s="19" t="s">
        <v>3147</v>
      </c>
      <c r="Q2669" s="19" t="s">
        <v>965</v>
      </c>
      <c r="R2669" s="21" t="n">
        <v>44184</v>
      </c>
      <c r="S2669" s="19" t="s">
        <v>1137</v>
      </c>
      <c r="T2669" s="19" t="s">
        <v>7973</v>
      </c>
      <c r="U2669" s="19" t="str">
        <f aca="false">HYPERLINK("https://macaulaylibrary.org/asset/289818141","Open")</f>
        <v>Open</v>
      </c>
      <c r="V2669" s="19"/>
    </row>
    <row r="2670" customFormat="false" ht="15" hidden="false" customHeight="false" outlineLevel="0" collapsed="false">
      <c r="A2670" s="19" t="s">
        <v>7974</v>
      </c>
      <c r="B2670" s="19" t="s">
        <v>943</v>
      </c>
      <c r="C2670" s="19" t="s">
        <v>7202</v>
      </c>
      <c r="D2670" s="19" t="s">
        <v>148</v>
      </c>
      <c r="E2670" s="19" t="s">
        <v>147</v>
      </c>
      <c r="F2670" s="19" t="s">
        <v>162</v>
      </c>
      <c r="G2670" s="19" t="n">
        <v>165</v>
      </c>
      <c r="H2670" s="19" t="s">
        <v>163</v>
      </c>
      <c r="I2670" s="20" t="n">
        <v>162.723</v>
      </c>
      <c r="J2670" s="19" t="n">
        <f aca="false">IF(I2670="","",MIN(Overview!$B$8,MAX(1,CEILING(I2670/Overview!$B$7,1))))</f>
        <v>33</v>
      </c>
      <c r="K2670" s="19" t="n">
        <v>1</v>
      </c>
      <c r="L2670" s="19"/>
      <c r="M2670" s="20" t="n">
        <v>2</v>
      </c>
      <c r="N2670" s="19"/>
      <c r="O2670" s="19"/>
      <c r="P2670" s="19" t="s">
        <v>2523</v>
      </c>
      <c r="Q2670" s="19" t="s">
        <v>1592</v>
      </c>
      <c r="R2670" s="21" t="n">
        <v>30405</v>
      </c>
      <c r="S2670" s="19" t="s">
        <v>1017</v>
      </c>
      <c r="T2670" s="19" t="s">
        <v>7975</v>
      </c>
      <c r="U2670" s="19" t="str">
        <f aca="false">HYPERLINK("https://macaulaylibrary.org/asset/39231","Open")</f>
        <v>Open</v>
      </c>
      <c r="V2670" s="19"/>
    </row>
    <row r="2671" customFormat="false" ht="15" hidden="false" customHeight="false" outlineLevel="0" collapsed="false">
      <c r="A2671" s="19" t="s">
        <v>7976</v>
      </c>
      <c r="B2671" s="19" t="s">
        <v>943</v>
      </c>
      <c r="C2671" s="19" t="s">
        <v>7202</v>
      </c>
      <c r="D2671" s="19" t="s">
        <v>148</v>
      </c>
      <c r="E2671" s="19" t="s">
        <v>147</v>
      </c>
      <c r="F2671" s="19" t="s">
        <v>162</v>
      </c>
      <c r="G2671" s="19" t="n">
        <v>165</v>
      </c>
      <c r="H2671" s="19" t="s">
        <v>163</v>
      </c>
      <c r="I2671" s="20" t="n">
        <v>32.88</v>
      </c>
      <c r="J2671" s="19" t="n">
        <f aca="false">IF(I2671="","",MIN(Overview!$B$8,MAX(1,CEILING(I2671/Overview!$B$7,1))))</f>
        <v>7</v>
      </c>
      <c r="K2671" s="19" t="n">
        <v>1</v>
      </c>
      <c r="L2671" s="19"/>
      <c r="M2671" s="20"/>
      <c r="N2671" s="19"/>
      <c r="O2671" s="19"/>
      <c r="P2671" s="19" t="s">
        <v>2515</v>
      </c>
      <c r="Q2671" s="19" t="s">
        <v>1382</v>
      </c>
      <c r="R2671" s="21" t="n">
        <v>46105</v>
      </c>
      <c r="S2671" s="19" t="s">
        <v>2516</v>
      </c>
      <c r="T2671" s="19" t="s">
        <v>7977</v>
      </c>
      <c r="U2671" s="19" t="str">
        <f aca="false">HYPERLINK("https://macaulaylibrary.org/asset/654748874","Open")</f>
        <v>Open</v>
      </c>
      <c r="V2671" s="19"/>
    </row>
    <row r="2672" customFormat="false" ht="15" hidden="false" customHeight="false" outlineLevel="0" collapsed="false">
      <c r="A2672" s="19" t="s">
        <v>7978</v>
      </c>
      <c r="B2672" s="19" t="s">
        <v>943</v>
      </c>
      <c r="C2672" s="19" t="s">
        <v>7202</v>
      </c>
      <c r="D2672" s="19" t="s">
        <v>148</v>
      </c>
      <c r="E2672" s="19" t="s">
        <v>147</v>
      </c>
      <c r="F2672" s="19" t="s">
        <v>162</v>
      </c>
      <c r="G2672" s="19" t="n">
        <v>165</v>
      </c>
      <c r="H2672" s="19" t="s">
        <v>163</v>
      </c>
      <c r="I2672" s="20" t="n">
        <v>6.006</v>
      </c>
      <c r="J2672" s="19" t="n">
        <f aca="false">IF(I2672="","",MIN(Overview!$B$8,MAX(1,CEILING(I2672/Overview!$B$7,1))))</f>
        <v>2</v>
      </c>
      <c r="K2672" s="19" t="n">
        <v>1</v>
      </c>
      <c r="L2672" s="19"/>
      <c r="M2672" s="20" t="n">
        <v>1</v>
      </c>
      <c r="N2672" s="19"/>
      <c r="O2672" s="19"/>
      <c r="P2672" s="19" t="s">
        <v>5200</v>
      </c>
      <c r="Q2672" s="19" t="s">
        <v>5201</v>
      </c>
      <c r="R2672" s="21" t="n">
        <v>43111</v>
      </c>
      <c r="S2672" s="19" t="s">
        <v>1279</v>
      </c>
      <c r="T2672" s="19" t="s">
        <v>7979</v>
      </c>
      <c r="U2672" s="19" t="str">
        <f aca="false">HYPERLINK("https://macaulaylibrary.org/asset/81551641","Open")</f>
        <v>Open</v>
      </c>
      <c r="V2672" s="19"/>
    </row>
    <row r="2673" customFormat="false" ht="15" hidden="false" customHeight="false" outlineLevel="0" collapsed="false">
      <c r="A2673" s="19" t="s">
        <v>7980</v>
      </c>
      <c r="B2673" s="19" t="s">
        <v>943</v>
      </c>
      <c r="C2673" s="19" t="s">
        <v>7202</v>
      </c>
      <c r="D2673" s="19" t="s">
        <v>148</v>
      </c>
      <c r="E2673" s="19" t="s">
        <v>147</v>
      </c>
      <c r="F2673" s="19" t="s">
        <v>363</v>
      </c>
      <c r="G2673" s="19" t="n">
        <v>166</v>
      </c>
      <c r="H2673" s="19" t="s">
        <v>364</v>
      </c>
      <c r="I2673" s="20" t="n">
        <v>4.695</v>
      </c>
      <c r="J2673" s="19" t="n">
        <f aca="false">IF(I2673="","",MIN(Overview!$B$8,MAX(1,CEILING(I2673/Overview!$B$7,1))))</f>
        <v>1</v>
      </c>
      <c r="K2673" s="19" t="n">
        <v>1</v>
      </c>
      <c r="L2673" s="19" t="s">
        <v>1048</v>
      </c>
      <c r="M2673" s="20" t="n">
        <v>3</v>
      </c>
      <c r="N2673" s="19"/>
      <c r="O2673" s="19"/>
      <c r="P2673" s="19" t="s">
        <v>2190</v>
      </c>
      <c r="Q2673" s="19" t="s">
        <v>1204</v>
      </c>
      <c r="R2673" s="21" t="n">
        <v>44612</v>
      </c>
      <c r="S2673" s="19" t="s">
        <v>1969</v>
      </c>
      <c r="T2673" s="19" t="s">
        <v>7981</v>
      </c>
      <c r="U2673" s="19" t="str">
        <f aca="false">HYPERLINK("https://macaulaylibrary.org/asset/531232961","Open")</f>
        <v>Open</v>
      </c>
      <c r="V2673" s="19"/>
    </row>
    <row r="2674" customFormat="false" ht="15" hidden="false" customHeight="false" outlineLevel="0" collapsed="false">
      <c r="A2674" s="19" t="s">
        <v>7982</v>
      </c>
      <c r="B2674" s="19" t="s">
        <v>943</v>
      </c>
      <c r="C2674" s="19" t="s">
        <v>7202</v>
      </c>
      <c r="D2674" s="19" t="s">
        <v>148</v>
      </c>
      <c r="E2674" s="19" t="s">
        <v>147</v>
      </c>
      <c r="F2674" s="19" t="s">
        <v>363</v>
      </c>
      <c r="G2674" s="19" t="n">
        <v>166</v>
      </c>
      <c r="H2674" s="19" t="s">
        <v>364</v>
      </c>
      <c r="I2674" s="20" t="n">
        <v>2.82</v>
      </c>
      <c r="J2674" s="19" t="n">
        <f aca="false">IF(I2674="","",MIN(Overview!$B$8,MAX(1,CEILING(I2674/Overview!$B$7,1))))</f>
        <v>1</v>
      </c>
      <c r="K2674" s="19" t="n">
        <v>1</v>
      </c>
      <c r="L2674" s="19" t="s">
        <v>1048</v>
      </c>
      <c r="M2674" s="20" t="n">
        <v>2.5</v>
      </c>
      <c r="N2674" s="19"/>
      <c r="O2674" s="19"/>
      <c r="P2674" s="19" t="s">
        <v>2190</v>
      </c>
      <c r="Q2674" s="19" t="s">
        <v>1204</v>
      </c>
      <c r="R2674" s="21" t="n">
        <v>44612</v>
      </c>
      <c r="S2674" s="19" t="s">
        <v>1969</v>
      </c>
      <c r="T2674" s="19" t="s">
        <v>7983</v>
      </c>
      <c r="U2674" s="19" t="str">
        <f aca="false">HYPERLINK("https://macaulaylibrary.org/asset/531238571","Open")</f>
        <v>Open</v>
      </c>
      <c r="V2674" s="19"/>
    </row>
    <row r="2675" customFormat="false" ht="15" hidden="false" customHeight="false" outlineLevel="0" collapsed="false">
      <c r="A2675" s="19" t="s">
        <v>7984</v>
      </c>
      <c r="B2675" s="19" t="s">
        <v>943</v>
      </c>
      <c r="C2675" s="19" t="s">
        <v>7202</v>
      </c>
      <c r="D2675" s="19" t="s">
        <v>400</v>
      </c>
      <c r="E2675" s="19" t="s">
        <v>147</v>
      </c>
      <c r="F2675" s="19" t="s">
        <v>574</v>
      </c>
      <c r="G2675" s="19" t="n">
        <v>167</v>
      </c>
      <c r="H2675" s="19" t="s">
        <v>575</v>
      </c>
      <c r="I2675" s="20" t="n">
        <v>192.261</v>
      </c>
      <c r="J2675" s="19" t="n">
        <f aca="false">IF(I2675="","",MIN(Overview!$B$8,MAX(1,CEILING(I2675/Overview!$B$7,1))))</f>
        <v>39</v>
      </c>
      <c r="K2675" s="19" t="n">
        <v>1</v>
      </c>
      <c r="L2675" s="19"/>
      <c r="M2675" s="20" t="n">
        <v>3</v>
      </c>
      <c r="N2675" s="19"/>
      <c r="O2675" s="19"/>
      <c r="P2675" s="19" t="s">
        <v>1121</v>
      </c>
      <c r="Q2675" s="19" t="s">
        <v>980</v>
      </c>
      <c r="R2675" s="21" t="n">
        <v>32556</v>
      </c>
      <c r="S2675" s="19"/>
      <c r="T2675" s="19" t="s">
        <v>7985</v>
      </c>
      <c r="U2675" s="19" t="str">
        <f aca="false">HYPERLINK("https://macaulaylibrary.org/asset/215367","Open")</f>
        <v>Open</v>
      </c>
      <c r="V2675" s="19"/>
    </row>
    <row r="2676" customFormat="false" ht="15" hidden="false" customHeight="false" outlineLevel="0" collapsed="false">
      <c r="A2676" s="19" t="s">
        <v>7986</v>
      </c>
      <c r="B2676" s="19" t="s">
        <v>943</v>
      </c>
      <c r="C2676" s="19" t="s">
        <v>7202</v>
      </c>
      <c r="D2676" s="19" t="s">
        <v>148</v>
      </c>
      <c r="E2676" s="19" t="s">
        <v>147</v>
      </c>
      <c r="F2676" s="19" t="s">
        <v>407</v>
      </c>
      <c r="G2676" s="19" t="n">
        <v>169</v>
      </c>
      <c r="H2676" s="19" t="s">
        <v>408</v>
      </c>
      <c r="I2676" s="20" t="n">
        <v>53.425</v>
      </c>
      <c r="J2676" s="19" t="n">
        <f aca="false">IF(I2676="","",MIN(Overview!$B$8,MAX(1,CEILING(I2676/Overview!$B$7,1))))</f>
        <v>11</v>
      </c>
      <c r="K2676" s="19" t="n">
        <v>1</v>
      </c>
      <c r="L2676" s="19"/>
      <c r="M2676" s="20" t="n">
        <v>4.67</v>
      </c>
      <c r="N2676" s="19"/>
      <c r="O2676" s="19"/>
      <c r="P2676" s="19" t="s">
        <v>1698</v>
      </c>
      <c r="Q2676" s="19" t="s">
        <v>1021</v>
      </c>
      <c r="R2676" s="21" t="n">
        <v>36599</v>
      </c>
      <c r="S2676" s="19" t="s">
        <v>1036</v>
      </c>
      <c r="T2676" s="19" t="s">
        <v>7987</v>
      </c>
      <c r="U2676" s="19" t="str">
        <f aca="false">HYPERLINK("https://macaulaylibrary.org/asset/148849611","Open")</f>
        <v>Open</v>
      </c>
      <c r="V2676" s="19"/>
    </row>
    <row r="2677" customFormat="false" ht="15" hidden="false" customHeight="false" outlineLevel="0" collapsed="false">
      <c r="A2677" s="19" t="s">
        <v>7988</v>
      </c>
      <c r="B2677" s="19" t="s">
        <v>943</v>
      </c>
      <c r="C2677" s="19" t="s">
        <v>7202</v>
      </c>
      <c r="D2677" s="19" t="s">
        <v>148</v>
      </c>
      <c r="E2677" s="19" t="s">
        <v>147</v>
      </c>
      <c r="F2677" s="19" t="s">
        <v>407</v>
      </c>
      <c r="G2677" s="19" t="n">
        <v>169</v>
      </c>
      <c r="H2677" s="19" t="s">
        <v>408</v>
      </c>
      <c r="I2677" s="20" t="n">
        <v>20.779</v>
      </c>
      <c r="J2677" s="19" t="n">
        <f aca="false">IF(I2677="","",MIN(Overview!$B$8,MAX(1,CEILING(I2677/Overview!$B$7,1))))</f>
        <v>5</v>
      </c>
      <c r="K2677" s="19" t="n">
        <v>1</v>
      </c>
      <c r="L2677" s="19"/>
      <c r="M2677" s="20" t="n">
        <v>3</v>
      </c>
      <c r="N2677" s="19"/>
      <c r="O2677" s="19"/>
      <c r="P2677" s="19" t="s">
        <v>1698</v>
      </c>
      <c r="Q2677" s="19" t="s">
        <v>1021</v>
      </c>
      <c r="R2677" s="21" t="n">
        <v>36599</v>
      </c>
      <c r="S2677" s="19" t="s">
        <v>1036</v>
      </c>
      <c r="T2677" s="19" t="s">
        <v>7989</v>
      </c>
      <c r="U2677" s="19" t="str">
        <f aca="false">HYPERLINK("https://macaulaylibrary.org/asset/148851161","Open")</f>
        <v>Open</v>
      </c>
      <c r="V2677" s="19"/>
    </row>
    <row r="2678" customFormat="false" ht="15" hidden="false" customHeight="false" outlineLevel="0" collapsed="false">
      <c r="A2678" s="19" t="s">
        <v>7990</v>
      </c>
      <c r="B2678" s="19" t="s">
        <v>943</v>
      </c>
      <c r="C2678" s="19" t="s">
        <v>7202</v>
      </c>
      <c r="D2678" s="19" t="s">
        <v>148</v>
      </c>
      <c r="E2678" s="19" t="s">
        <v>147</v>
      </c>
      <c r="F2678" s="19" t="s">
        <v>215</v>
      </c>
      <c r="G2678" s="19" t="n">
        <v>170</v>
      </c>
      <c r="H2678" s="19" t="s">
        <v>216</v>
      </c>
      <c r="I2678" s="20" t="n">
        <v>73.323</v>
      </c>
      <c r="J2678" s="19" t="n">
        <f aca="false">IF(I2678="","",MIN(Overview!$B$8,MAX(1,CEILING(I2678/Overview!$B$7,1))))</f>
        <v>15</v>
      </c>
      <c r="K2678" s="19" t="n">
        <v>1</v>
      </c>
      <c r="L2678" s="19"/>
      <c r="M2678" s="20" t="n">
        <v>4.5</v>
      </c>
      <c r="N2678" s="19"/>
      <c r="O2678" s="19"/>
      <c r="P2678" s="19" t="s">
        <v>2271</v>
      </c>
      <c r="Q2678" s="19" t="s">
        <v>1021</v>
      </c>
      <c r="R2678" s="21" t="n">
        <v>35867</v>
      </c>
      <c r="S2678" s="19" t="s">
        <v>2272</v>
      </c>
      <c r="T2678" s="19" t="s">
        <v>7991</v>
      </c>
      <c r="U2678" s="19" t="str">
        <f aca="false">HYPERLINK("https://macaulaylibrary.org/asset/102868491","Open")</f>
        <v>Open</v>
      </c>
      <c r="V2678" s="19"/>
    </row>
    <row r="2679" customFormat="false" ht="15" hidden="false" customHeight="false" outlineLevel="0" collapsed="false">
      <c r="A2679" s="19" t="s">
        <v>7992</v>
      </c>
      <c r="B2679" s="19" t="s">
        <v>943</v>
      </c>
      <c r="C2679" s="19" t="s">
        <v>7202</v>
      </c>
      <c r="D2679" s="19" t="s">
        <v>148</v>
      </c>
      <c r="E2679" s="19" t="s">
        <v>147</v>
      </c>
      <c r="F2679" s="19" t="s">
        <v>215</v>
      </c>
      <c r="G2679" s="19" t="n">
        <v>170</v>
      </c>
      <c r="H2679" s="19" t="s">
        <v>216</v>
      </c>
      <c r="I2679" s="20" t="n">
        <v>103.704</v>
      </c>
      <c r="J2679" s="19" t="n">
        <f aca="false">IF(I2679="","",MIN(Overview!$B$8,MAX(1,CEILING(I2679/Overview!$B$7,1))))</f>
        <v>21</v>
      </c>
      <c r="K2679" s="19" t="n">
        <v>1</v>
      </c>
      <c r="L2679" s="19"/>
      <c r="M2679" s="20" t="n">
        <v>4</v>
      </c>
      <c r="N2679" s="19"/>
      <c r="O2679" s="19"/>
      <c r="P2679" s="19" t="s">
        <v>2499</v>
      </c>
      <c r="Q2679" s="19" t="s">
        <v>1063</v>
      </c>
      <c r="R2679" s="21" t="n">
        <v>44087</v>
      </c>
      <c r="S2679" s="19" t="s">
        <v>2500</v>
      </c>
      <c r="T2679" s="19" t="s">
        <v>7993</v>
      </c>
      <c r="U2679" s="19" t="str">
        <f aca="false">HYPERLINK("https://macaulaylibrary.org/asset/267831551","Open")</f>
        <v>Open</v>
      </c>
      <c r="V2679" s="19"/>
    </row>
    <row r="2680" customFormat="false" ht="15" hidden="false" customHeight="false" outlineLevel="0" collapsed="false">
      <c r="A2680" s="19" t="s">
        <v>7994</v>
      </c>
      <c r="B2680" s="19" t="s">
        <v>943</v>
      </c>
      <c r="C2680" s="19" t="s">
        <v>7202</v>
      </c>
      <c r="D2680" s="19" t="s">
        <v>148</v>
      </c>
      <c r="E2680" s="19" t="s">
        <v>147</v>
      </c>
      <c r="F2680" s="19" t="s">
        <v>215</v>
      </c>
      <c r="G2680" s="19" t="n">
        <v>170</v>
      </c>
      <c r="H2680" s="19" t="s">
        <v>216</v>
      </c>
      <c r="I2680" s="20" t="n">
        <v>50.357</v>
      </c>
      <c r="J2680" s="19" t="n">
        <f aca="false">IF(I2680="","",MIN(Overview!$B$8,MAX(1,CEILING(I2680/Overview!$B$7,1))))</f>
        <v>11</v>
      </c>
      <c r="K2680" s="19" t="n">
        <v>1</v>
      </c>
      <c r="L2680" s="19"/>
      <c r="M2680" s="20"/>
      <c r="N2680" s="19"/>
      <c r="O2680" s="19"/>
      <c r="P2680" s="19" t="s">
        <v>2091</v>
      </c>
      <c r="Q2680" s="19" t="s">
        <v>2085</v>
      </c>
      <c r="R2680" s="21" t="n">
        <v>44548</v>
      </c>
      <c r="S2680" s="19" t="s">
        <v>1144</v>
      </c>
      <c r="T2680" s="19" t="s">
        <v>7995</v>
      </c>
      <c r="U2680" s="19" t="str">
        <f aca="false">HYPERLINK("https://macaulaylibrary.org/asset/403418031","Open")</f>
        <v>Open</v>
      </c>
      <c r="V2680" s="19"/>
    </row>
    <row r="2681" customFormat="false" ht="15" hidden="false" customHeight="false" outlineLevel="0" collapsed="false">
      <c r="A2681" s="19" t="s">
        <v>7996</v>
      </c>
      <c r="B2681" s="19" t="s">
        <v>943</v>
      </c>
      <c r="C2681" s="19" t="s">
        <v>7202</v>
      </c>
      <c r="D2681" s="19" t="s">
        <v>148</v>
      </c>
      <c r="E2681" s="19" t="s">
        <v>147</v>
      </c>
      <c r="F2681" s="19" t="s">
        <v>215</v>
      </c>
      <c r="G2681" s="19" t="n">
        <v>170</v>
      </c>
      <c r="H2681" s="19" t="s">
        <v>216</v>
      </c>
      <c r="I2681" s="20" t="n">
        <v>39.811</v>
      </c>
      <c r="J2681" s="19" t="n">
        <f aca="false">IF(I2681="","",MIN(Overview!$B$8,MAX(1,CEILING(I2681/Overview!$B$7,1))))</f>
        <v>8</v>
      </c>
      <c r="K2681" s="19" t="n">
        <v>1</v>
      </c>
      <c r="L2681" s="19"/>
      <c r="M2681" s="20" t="n">
        <v>3</v>
      </c>
      <c r="N2681" s="19"/>
      <c r="O2681" s="19"/>
      <c r="P2681" s="19" t="s">
        <v>1034</v>
      </c>
      <c r="Q2681" s="19" t="s">
        <v>1035</v>
      </c>
      <c r="R2681" s="21" t="n">
        <v>43665</v>
      </c>
      <c r="S2681" s="19" t="s">
        <v>1036</v>
      </c>
      <c r="T2681" s="19" t="s">
        <v>7997</v>
      </c>
      <c r="U2681" s="19" t="str">
        <f aca="false">HYPERLINK("https://macaulaylibrary.org/asset/498003761","Open")</f>
        <v>Open</v>
      </c>
      <c r="V2681" s="19" t="s">
        <v>4997</v>
      </c>
    </row>
    <row r="2682" customFormat="false" ht="15" hidden="false" customHeight="false" outlineLevel="0" collapsed="false">
      <c r="A2682" s="19" t="s">
        <v>7998</v>
      </c>
      <c r="B2682" s="19" t="s">
        <v>943</v>
      </c>
      <c r="C2682" s="19" t="s">
        <v>7202</v>
      </c>
      <c r="D2682" s="19" t="s">
        <v>148</v>
      </c>
      <c r="E2682" s="19" t="s">
        <v>147</v>
      </c>
      <c r="F2682" s="19" t="s">
        <v>215</v>
      </c>
      <c r="G2682" s="19" t="n">
        <v>170</v>
      </c>
      <c r="H2682" s="19" t="s">
        <v>216</v>
      </c>
      <c r="I2682" s="20" t="n">
        <v>12.635</v>
      </c>
      <c r="J2682" s="19" t="n">
        <f aca="false">IF(I2682="","",MIN(Overview!$B$8,MAX(1,CEILING(I2682/Overview!$B$7,1))))</f>
        <v>3</v>
      </c>
      <c r="K2682" s="19" t="n">
        <v>1</v>
      </c>
      <c r="L2682" s="19"/>
      <c r="M2682" s="20"/>
      <c r="N2682" s="19"/>
      <c r="O2682" s="19"/>
      <c r="P2682" s="19" t="s">
        <v>1650</v>
      </c>
      <c r="Q2682" s="19" t="s">
        <v>1382</v>
      </c>
      <c r="R2682" s="21" t="n">
        <v>46104</v>
      </c>
      <c r="S2682" s="19" t="s">
        <v>1651</v>
      </c>
      <c r="T2682" s="19" t="s">
        <v>7999</v>
      </c>
      <c r="U2682" s="19" t="str">
        <f aca="false">HYPERLINK("https://macaulaylibrary.org/asset/654659374","Open")</f>
        <v>Open</v>
      </c>
      <c r="V2682" s="19"/>
    </row>
    <row r="2683" customFormat="false" ht="15" hidden="false" customHeight="false" outlineLevel="0" collapsed="false">
      <c r="A2683" s="19" t="s">
        <v>8000</v>
      </c>
      <c r="B2683" s="19" t="s">
        <v>943</v>
      </c>
      <c r="C2683" s="19" t="s">
        <v>7202</v>
      </c>
      <c r="D2683" s="19" t="s">
        <v>400</v>
      </c>
      <c r="E2683" s="19" t="s">
        <v>147</v>
      </c>
      <c r="F2683" s="19" t="s">
        <v>620</v>
      </c>
      <c r="G2683" s="19" t="n">
        <v>171</v>
      </c>
      <c r="H2683" s="19" t="s">
        <v>621</v>
      </c>
      <c r="I2683" s="20" t="n">
        <v>13.215</v>
      </c>
      <c r="J2683" s="19" t="n">
        <f aca="false">IF(I2683="","",MIN(Overview!$B$8,MAX(1,CEILING(I2683/Overview!$B$7,1))))</f>
        <v>3</v>
      </c>
      <c r="K2683" s="19" t="n">
        <v>1</v>
      </c>
      <c r="L2683" s="19"/>
      <c r="M2683" s="20" t="n">
        <v>3.25</v>
      </c>
      <c r="N2683" s="19"/>
      <c r="O2683" s="19"/>
      <c r="P2683" s="19" t="s">
        <v>8001</v>
      </c>
      <c r="Q2683" s="19" t="s">
        <v>1071</v>
      </c>
      <c r="R2683" s="21" t="n">
        <v>33551</v>
      </c>
      <c r="S2683" s="19" t="s">
        <v>1137</v>
      </c>
      <c r="T2683" s="19" t="s">
        <v>8002</v>
      </c>
      <c r="U2683" s="19" t="str">
        <f aca="false">HYPERLINK("https://macaulaylibrary.org/asset/51720","Open")</f>
        <v>Open</v>
      </c>
      <c r="V2683" s="19"/>
    </row>
    <row r="2684" customFormat="false" ht="15" hidden="false" customHeight="false" outlineLevel="0" collapsed="false">
      <c r="A2684" s="19" t="s">
        <v>8003</v>
      </c>
      <c r="B2684" s="19" t="s">
        <v>943</v>
      </c>
      <c r="C2684" s="19" t="s">
        <v>7202</v>
      </c>
      <c r="D2684" s="19" t="s">
        <v>613</v>
      </c>
      <c r="E2684" s="19" t="s">
        <v>147</v>
      </c>
      <c r="F2684" s="19" t="s">
        <v>853</v>
      </c>
      <c r="G2684" s="19" t="n">
        <v>172</v>
      </c>
      <c r="H2684" s="19" t="s">
        <v>854</v>
      </c>
      <c r="I2684" s="20" t="n">
        <v>2.893</v>
      </c>
      <c r="J2684" s="19" t="n">
        <f aca="false">IF(I2684="","",MIN(Overview!$B$8,MAX(1,CEILING(I2684/Overview!$B$7,1))))</f>
        <v>1</v>
      </c>
      <c r="K2684" s="19" t="n">
        <v>1</v>
      </c>
      <c r="L2684" s="19" t="s">
        <v>1048</v>
      </c>
      <c r="M2684" s="20" t="n">
        <v>1</v>
      </c>
      <c r="N2684" s="19"/>
      <c r="O2684" s="19"/>
      <c r="P2684" s="19" t="s">
        <v>1278</v>
      </c>
      <c r="Q2684" s="19" t="s">
        <v>1030</v>
      </c>
      <c r="R2684" s="21" t="n">
        <v>33597</v>
      </c>
      <c r="S2684" s="19" t="s">
        <v>1013</v>
      </c>
      <c r="T2684" s="19" t="s">
        <v>8004</v>
      </c>
      <c r="U2684" s="19" t="str">
        <f aca="false">HYPERLINK("https://macaulaylibrary.org/asset/285619","Open")</f>
        <v>Open</v>
      </c>
      <c r="V2684" s="19"/>
    </row>
    <row r="2685" customFormat="false" ht="15" hidden="false" customHeight="false" outlineLevel="0" collapsed="false">
      <c r="A2685" s="19" t="s">
        <v>8005</v>
      </c>
      <c r="B2685" s="19" t="s">
        <v>943</v>
      </c>
      <c r="C2685" s="19" t="s">
        <v>7202</v>
      </c>
      <c r="D2685" s="19" t="s">
        <v>400</v>
      </c>
      <c r="E2685" s="19" t="s">
        <v>147</v>
      </c>
      <c r="F2685" s="19" t="s">
        <v>577</v>
      </c>
      <c r="G2685" s="19" t="n">
        <v>173</v>
      </c>
      <c r="H2685" s="19" t="s">
        <v>578</v>
      </c>
      <c r="I2685" s="20" t="n">
        <v>45.513</v>
      </c>
      <c r="J2685" s="19" t="n">
        <f aca="false">IF(I2685="","",MIN(Overview!$B$8,MAX(1,CEILING(I2685/Overview!$B$7,1))))</f>
        <v>10</v>
      </c>
      <c r="K2685" s="19" t="n">
        <v>1</v>
      </c>
      <c r="L2685" s="19"/>
      <c r="M2685" s="20" t="n">
        <v>2.67</v>
      </c>
      <c r="N2685" s="19"/>
      <c r="O2685" s="19"/>
      <c r="P2685" s="19" t="s">
        <v>1029</v>
      </c>
      <c r="Q2685" s="19" t="s">
        <v>1030</v>
      </c>
      <c r="R2685" s="21" t="n">
        <v>40251</v>
      </c>
      <c r="S2685" s="19" t="s">
        <v>1013</v>
      </c>
      <c r="T2685" s="19" t="s">
        <v>8006</v>
      </c>
      <c r="U2685" s="19" t="str">
        <f aca="false">HYPERLINK("https://macaulaylibrary.org/asset/299628","Open")</f>
        <v>Open</v>
      </c>
      <c r="V2685" s="19"/>
    </row>
    <row r="2686" customFormat="false" ht="15" hidden="false" customHeight="false" outlineLevel="0" collapsed="false">
      <c r="A2686" s="19" t="s">
        <v>8007</v>
      </c>
      <c r="B2686" s="19" t="s">
        <v>943</v>
      </c>
      <c r="C2686" s="19" t="s">
        <v>7202</v>
      </c>
      <c r="D2686" s="19" t="s">
        <v>613</v>
      </c>
      <c r="E2686" s="19" t="s">
        <v>147</v>
      </c>
      <c r="F2686" s="19" t="s">
        <v>671</v>
      </c>
      <c r="G2686" s="19" t="n">
        <v>174</v>
      </c>
      <c r="H2686" s="19" t="s">
        <v>672</v>
      </c>
      <c r="I2686" s="20" t="n">
        <v>15.055</v>
      </c>
      <c r="J2686" s="19" t="n">
        <f aca="false">IF(I2686="","",MIN(Overview!$B$8,MAX(1,CEILING(I2686/Overview!$B$7,1))))</f>
        <v>4</v>
      </c>
      <c r="K2686" s="19" t="n">
        <v>1</v>
      </c>
      <c r="L2686" s="19"/>
      <c r="M2686" s="20" t="n">
        <v>3.5</v>
      </c>
      <c r="N2686" s="19"/>
      <c r="O2686" s="19" t="s">
        <v>274</v>
      </c>
      <c r="P2686" s="19" t="s">
        <v>1335</v>
      </c>
      <c r="Q2686" s="19" t="s">
        <v>990</v>
      </c>
      <c r="R2686" s="21" t="n">
        <v>46011</v>
      </c>
      <c r="S2686" s="19" t="s">
        <v>966</v>
      </c>
      <c r="T2686" s="19" t="s">
        <v>8008</v>
      </c>
      <c r="U2686" s="19" t="str">
        <f aca="false">HYPERLINK("https://macaulaylibrary.org/asset/647569041","Open")</f>
        <v>Open</v>
      </c>
      <c r="V2686" s="19"/>
    </row>
    <row r="2687" customFormat="false" ht="15" hidden="false" customHeight="false" outlineLevel="0" collapsed="false">
      <c r="A2687" s="19" t="s">
        <v>8009</v>
      </c>
      <c r="B2687" s="19" t="s">
        <v>943</v>
      </c>
      <c r="C2687" s="19" t="s">
        <v>7202</v>
      </c>
      <c r="D2687" s="19" t="s">
        <v>400</v>
      </c>
      <c r="E2687" s="19" t="s">
        <v>147</v>
      </c>
      <c r="F2687" s="19" t="s">
        <v>623</v>
      </c>
      <c r="G2687" s="19" t="n">
        <v>175</v>
      </c>
      <c r="H2687" s="19" t="s">
        <v>624</v>
      </c>
      <c r="I2687" s="20" t="n">
        <v>33.452</v>
      </c>
      <c r="J2687" s="19" t="n">
        <f aca="false">IF(I2687="","",MIN(Overview!$B$8,MAX(1,CEILING(I2687/Overview!$B$7,1))))</f>
        <v>7</v>
      </c>
      <c r="K2687" s="19" t="n">
        <v>1</v>
      </c>
      <c r="L2687" s="19"/>
      <c r="M2687" s="20" t="n">
        <v>5</v>
      </c>
      <c r="N2687" s="19"/>
      <c r="O2687" s="19" t="s">
        <v>206</v>
      </c>
      <c r="P2687" s="19" t="s">
        <v>3683</v>
      </c>
      <c r="Q2687" s="19" t="s">
        <v>2085</v>
      </c>
      <c r="R2687" s="21" t="n">
        <v>45276</v>
      </c>
      <c r="S2687" s="19" t="s">
        <v>1306</v>
      </c>
      <c r="T2687" s="19" t="s">
        <v>8010</v>
      </c>
      <c r="U2687" s="19" t="str">
        <f aca="false">HYPERLINK("https://macaulaylibrary.org/asset/612553616","Open")</f>
        <v>Open</v>
      </c>
      <c r="V2687" s="19"/>
    </row>
    <row r="2688" customFormat="false" ht="15" hidden="false" customHeight="false" outlineLevel="0" collapsed="false">
      <c r="A2688" s="19" t="s">
        <v>8011</v>
      </c>
      <c r="B2688" s="19" t="s">
        <v>943</v>
      </c>
      <c r="C2688" s="19" t="s">
        <v>7202</v>
      </c>
      <c r="D2688" s="19" t="s">
        <v>148</v>
      </c>
      <c r="E2688" s="19" t="s">
        <v>147</v>
      </c>
      <c r="F2688" s="19" t="s">
        <v>209</v>
      </c>
      <c r="G2688" s="19" t="n">
        <v>176</v>
      </c>
      <c r="H2688" s="19" t="s">
        <v>210</v>
      </c>
      <c r="I2688" s="20" t="n">
        <v>6.656</v>
      </c>
      <c r="J2688" s="19" t="n">
        <f aca="false">IF(I2688="","",MIN(Overview!$B$8,MAX(1,CEILING(I2688/Overview!$B$7,1))))</f>
        <v>2</v>
      </c>
      <c r="K2688" s="19" t="n">
        <v>1</v>
      </c>
      <c r="L2688" s="19"/>
      <c r="M2688" s="20"/>
      <c r="N2688" s="19"/>
      <c r="O2688" s="19"/>
      <c r="P2688" s="19" t="s">
        <v>2465</v>
      </c>
      <c r="Q2688" s="19" t="s">
        <v>965</v>
      </c>
      <c r="R2688" s="21" t="n">
        <v>43812</v>
      </c>
      <c r="S2688" s="19" t="s">
        <v>2466</v>
      </c>
      <c r="T2688" s="19" t="s">
        <v>8012</v>
      </c>
      <c r="U2688" s="19" t="str">
        <f aca="false">HYPERLINK("https://macaulaylibrary.org/asset/193406441","Open")</f>
        <v>Open</v>
      </c>
      <c r="V2688" s="19"/>
    </row>
    <row r="2689" customFormat="false" ht="15" hidden="false" customHeight="false" outlineLevel="0" collapsed="false">
      <c r="A2689" s="19" t="s">
        <v>8013</v>
      </c>
      <c r="B2689" s="19" t="s">
        <v>943</v>
      </c>
      <c r="C2689" s="19" t="s">
        <v>7202</v>
      </c>
      <c r="D2689" s="19" t="s">
        <v>148</v>
      </c>
      <c r="E2689" s="19" t="s">
        <v>147</v>
      </c>
      <c r="F2689" s="19" t="s">
        <v>209</v>
      </c>
      <c r="G2689" s="19" t="n">
        <v>176</v>
      </c>
      <c r="H2689" s="19" t="s">
        <v>210</v>
      </c>
      <c r="I2689" s="20" t="n">
        <v>38.549</v>
      </c>
      <c r="J2689" s="19" t="n">
        <f aca="false">IF(I2689="","",MIN(Overview!$B$8,MAX(1,CEILING(I2689/Overview!$B$7,1))))</f>
        <v>8</v>
      </c>
      <c r="K2689" s="19" t="n">
        <v>1</v>
      </c>
      <c r="L2689" s="19"/>
      <c r="M2689" s="20" t="n">
        <v>3</v>
      </c>
      <c r="N2689" s="19"/>
      <c r="O2689" s="19"/>
      <c r="P2689" s="19" t="s">
        <v>1143</v>
      </c>
      <c r="Q2689" s="19" t="s">
        <v>965</v>
      </c>
      <c r="R2689" s="21" t="n">
        <v>44548</v>
      </c>
      <c r="S2689" s="19" t="s">
        <v>1144</v>
      </c>
      <c r="T2689" s="19" t="s">
        <v>8014</v>
      </c>
      <c r="U2689" s="19" t="str">
        <f aca="false">HYPERLINK("https://macaulaylibrary.org/asset/398720351","Open")</f>
        <v>Open</v>
      </c>
      <c r="V2689" s="19"/>
    </row>
    <row r="2690" customFormat="false" ht="15" hidden="false" customHeight="false" outlineLevel="0" collapsed="false">
      <c r="A2690" s="19" t="s">
        <v>8015</v>
      </c>
      <c r="B2690" s="19" t="s">
        <v>943</v>
      </c>
      <c r="C2690" s="19" t="s">
        <v>7202</v>
      </c>
      <c r="D2690" s="19" t="s">
        <v>148</v>
      </c>
      <c r="E2690" s="19" t="s">
        <v>147</v>
      </c>
      <c r="F2690" s="19" t="s">
        <v>209</v>
      </c>
      <c r="G2690" s="19" t="n">
        <v>176</v>
      </c>
      <c r="H2690" s="19" t="s">
        <v>210</v>
      </c>
      <c r="I2690" s="20" t="n">
        <v>20.961</v>
      </c>
      <c r="J2690" s="19" t="n">
        <f aca="false">IF(I2690="","",MIN(Overview!$B$8,MAX(1,CEILING(I2690/Overview!$B$7,1))))</f>
        <v>5</v>
      </c>
      <c r="K2690" s="19" t="n">
        <v>1</v>
      </c>
      <c r="L2690" s="19"/>
      <c r="M2690" s="20"/>
      <c r="N2690" s="19"/>
      <c r="O2690" s="19"/>
      <c r="P2690" s="19" t="s">
        <v>1386</v>
      </c>
      <c r="Q2690" s="19" t="s">
        <v>1382</v>
      </c>
      <c r="R2690" s="21" t="n">
        <v>46103</v>
      </c>
      <c r="S2690" s="19" t="s">
        <v>1387</v>
      </c>
      <c r="T2690" s="19" t="s">
        <v>8016</v>
      </c>
      <c r="U2690" s="19" t="str">
        <f aca="false">HYPERLINK("https://macaulaylibrary.org/asset/654318665","Open")</f>
        <v>Open</v>
      </c>
      <c r="V2690" s="19"/>
    </row>
    <row r="2691" customFormat="false" ht="15" hidden="false" customHeight="false" outlineLevel="0" collapsed="false">
      <c r="A2691" s="19" t="s">
        <v>8017</v>
      </c>
      <c r="B2691" s="19" t="s">
        <v>943</v>
      </c>
      <c r="C2691" s="19" t="s">
        <v>7202</v>
      </c>
      <c r="D2691" s="19" t="s">
        <v>148</v>
      </c>
      <c r="E2691" s="19" t="s">
        <v>147</v>
      </c>
      <c r="F2691" s="19" t="s">
        <v>209</v>
      </c>
      <c r="G2691" s="19" t="n">
        <v>176</v>
      </c>
      <c r="H2691" s="19" t="s">
        <v>210</v>
      </c>
      <c r="I2691" s="20" t="n">
        <v>32.644</v>
      </c>
      <c r="J2691" s="19" t="n">
        <f aca="false">IF(I2691="","",MIN(Overview!$B$8,MAX(1,CEILING(I2691/Overview!$B$7,1))))</f>
        <v>7</v>
      </c>
      <c r="K2691" s="19" t="n">
        <v>1</v>
      </c>
      <c r="L2691" s="19"/>
      <c r="M2691" s="20"/>
      <c r="N2691" s="19"/>
      <c r="O2691" s="19"/>
      <c r="P2691" s="19" t="s">
        <v>1386</v>
      </c>
      <c r="Q2691" s="19" t="s">
        <v>1382</v>
      </c>
      <c r="R2691" s="21" t="n">
        <v>46103</v>
      </c>
      <c r="S2691" s="19" t="s">
        <v>1387</v>
      </c>
      <c r="T2691" s="19" t="s">
        <v>8018</v>
      </c>
      <c r="U2691" s="19" t="str">
        <f aca="false">HYPERLINK("https://macaulaylibrary.org/asset/654319470","Open")</f>
        <v>Open</v>
      </c>
      <c r="V2691" s="19"/>
    </row>
    <row r="2692" customFormat="false" ht="15" hidden="false" customHeight="false" outlineLevel="0" collapsed="false">
      <c r="A2692" s="19" t="s">
        <v>8019</v>
      </c>
      <c r="B2692" s="19" t="s">
        <v>943</v>
      </c>
      <c r="C2692" s="19" t="s">
        <v>7202</v>
      </c>
      <c r="D2692" s="19" t="s">
        <v>148</v>
      </c>
      <c r="E2692" s="19" t="s">
        <v>147</v>
      </c>
      <c r="F2692" s="19" t="s">
        <v>209</v>
      </c>
      <c r="G2692" s="19" t="n">
        <v>176</v>
      </c>
      <c r="H2692" s="19" t="s">
        <v>210</v>
      </c>
      <c r="I2692" s="20" t="n">
        <v>7.572</v>
      </c>
      <c r="J2692" s="19" t="n">
        <f aca="false">IF(I2692="","",MIN(Overview!$B$8,MAX(1,CEILING(I2692/Overview!$B$7,1))))</f>
        <v>2</v>
      </c>
      <c r="K2692" s="19" t="n">
        <v>1</v>
      </c>
      <c r="L2692" s="19"/>
      <c r="M2692" s="20"/>
      <c r="N2692" s="19"/>
      <c r="O2692" s="19"/>
      <c r="P2692" s="19" t="s">
        <v>1386</v>
      </c>
      <c r="Q2692" s="19" t="s">
        <v>1382</v>
      </c>
      <c r="R2692" s="21" t="n">
        <v>46103</v>
      </c>
      <c r="S2692" s="19" t="s">
        <v>1387</v>
      </c>
      <c r="T2692" s="19" t="s">
        <v>8020</v>
      </c>
      <c r="U2692" s="19" t="str">
        <f aca="false">HYPERLINK("https://macaulaylibrary.org/asset/654319554","Open")</f>
        <v>Open</v>
      </c>
      <c r="V2692" s="19"/>
    </row>
    <row r="2693" customFormat="false" ht="15" hidden="false" customHeight="false" outlineLevel="0" collapsed="false">
      <c r="A2693" s="19" t="s">
        <v>8021</v>
      </c>
      <c r="B2693" s="19" t="s">
        <v>943</v>
      </c>
      <c r="C2693" s="19" t="s">
        <v>7202</v>
      </c>
      <c r="D2693" s="19" t="s">
        <v>148</v>
      </c>
      <c r="E2693" s="19" t="s">
        <v>147</v>
      </c>
      <c r="F2693" s="19" t="s">
        <v>259</v>
      </c>
      <c r="G2693" s="19" t="n">
        <v>177</v>
      </c>
      <c r="H2693" s="19" t="s">
        <v>260</v>
      </c>
      <c r="I2693" s="20" t="n">
        <v>25.919</v>
      </c>
      <c r="J2693" s="19" t="n">
        <f aca="false">IF(I2693="","",MIN(Overview!$B$8,MAX(1,CEILING(I2693/Overview!$B$7,1))))</f>
        <v>6</v>
      </c>
      <c r="K2693" s="19" t="n">
        <v>1</v>
      </c>
      <c r="L2693" s="19"/>
      <c r="M2693" s="20" t="n">
        <v>3</v>
      </c>
      <c r="N2693" s="19"/>
      <c r="O2693" s="19"/>
      <c r="P2693" s="19" t="s">
        <v>974</v>
      </c>
      <c r="Q2693" s="19" t="s">
        <v>975</v>
      </c>
      <c r="R2693" s="21" t="n">
        <v>43666</v>
      </c>
      <c r="S2693" s="19" t="s">
        <v>976</v>
      </c>
      <c r="T2693" s="19" t="s">
        <v>8022</v>
      </c>
      <c r="U2693" s="19" t="str">
        <f aca="false">HYPERLINK("https://macaulaylibrary.org/asset/179453251","Open")</f>
        <v>Open</v>
      </c>
      <c r="V2693" s="19"/>
    </row>
    <row r="2694" customFormat="false" ht="15" hidden="false" customHeight="false" outlineLevel="0" collapsed="false">
      <c r="A2694" s="19" t="s">
        <v>8023</v>
      </c>
      <c r="B2694" s="19" t="s">
        <v>943</v>
      </c>
      <c r="C2694" s="19" t="s">
        <v>7202</v>
      </c>
      <c r="D2694" s="19" t="s">
        <v>148</v>
      </c>
      <c r="E2694" s="19" t="s">
        <v>147</v>
      </c>
      <c r="F2694" s="19" t="s">
        <v>259</v>
      </c>
      <c r="G2694" s="19" t="n">
        <v>177</v>
      </c>
      <c r="H2694" s="19" t="s">
        <v>260</v>
      </c>
      <c r="I2694" s="20" t="n">
        <v>13.792</v>
      </c>
      <c r="J2694" s="19" t="n">
        <f aca="false">IF(I2694="","",MIN(Overview!$B$8,MAX(1,CEILING(I2694/Overview!$B$7,1))))</f>
        <v>3</v>
      </c>
      <c r="K2694" s="19" t="n">
        <v>1</v>
      </c>
      <c r="L2694" s="19"/>
      <c r="M2694" s="20" t="n">
        <v>4</v>
      </c>
      <c r="N2694" s="19"/>
      <c r="O2694" s="19"/>
      <c r="P2694" s="19" t="s">
        <v>1811</v>
      </c>
      <c r="Q2694" s="19" t="s">
        <v>1368</v>
      </c>
      <c r="R2694" s="21" t="n">
        <v>45489</v>
      </c>
      <c r="S2694" s="19" t="s">
        <v>1081</v>
      </c>
      <c r="T2694" s="19" t="s">
        <v>8024</v>
      </c>
      <c r="U2694" s="19" t="str">
        <f aca="false">HYPERLINK("https://macaulaylibrary.org/asset/628597346","Open")</f>
        <v>Open</v>
      </c>
      <c r="V2694" s="19"/>
    </row>
    <row r="2695" customFormat="false" ht="15" hidden="false" customHeight="false" outlineLevel="0" collapsed="false">
      <c r="A2695" s="19" t="s">
        <v>8025</v>
      </c>
      <c r="B2695" s="19" t="s">
        <v>943</v>
      </c>
      <c r="C2695" s="19" t="s">
        <v>7202</v>
      </c>
      <c r="D2695" s="19" t="s">
        <v>148</v>
      </c>
      <c r="E2695" s="19" t="s">
        <v>147</v>
      </c>
      <c r="F2695" s="19" t="s">
        <v>259</v>
      </c>
      <c r="G2695" s="19" t="n">
        <v>177</v>
      </c>
      <c r="H2695" s="19" t="s">
        <v>260</v>
      </c>
      <c r="I2695" s="20" t="n">
        <v>9.216</v>
      </c>
      <c r="J2695" s="19" t="n">
        <f aca="false">IF(I2695="","",MIN(Overview!$B$8,MAX(1,CEILING(I2695/Overview!$B$7,1))))</f>
        <v>2</v>
      </c>
      <c r="K2695" s="19" t="n">
        <v>1</v>
      </c>
      <c r="L2695" s="19"/>
      <c r="M2695" s="20" t="n">
        <v>5</v>
      </c>
      <c r="N2695" s="19"/>
      <c r="O2695" s="19"/>
      <c r="P2695" s="19" t="s">
        <v>1811</v>
      </c>
      <c r="Q2695" s="19" t="s">
        <v>1368</v>
      </c>
      <c r="R2695" s="21" t="n">
        <v>45489</v>
      </c>
      <c r="S2695" s="19" t="s">
        <v>1081</v>
      </c>
      <c r="T2695" s="19" t="s">
        <v>8026</v>
      </c>
      <c r="U2695" s="19" t="str">
        <f aca="false">HYPERLINK("https://macaulaylibrary.org/asset/636344933","Open")</f>
        <v>Open</v>
      </c>
      <c r="V2695" s="19"/>
    </row>
    <row r="2696" customFormat="false" ht="15" hidden="false" customHeight="false" outlineLevel="0" collapsed="false">
      <c r="A2696" s="19" t="s">
        <v>8027</v>
      </c>
      <c r="B2696" s="19" t="s">
        <v>943</v>
      </c>
      <c r="C2696" s="19" t="s">
        <v>7202</v>
      </c>
      <c r="D2696" s="19" t="s">
        <v>148</v>
      </c>
      <c r="E2696" s="19" t="s">
        <v>147</v>
      </c>
      <c r="F2696" s="19" t="s">
        <v>268</v>
      </c>
      <c r="G2696" s="19" t="n">
        <v>178</v>
      </c>
      <c r="H2696" s="19" t="s">
        <v>269</v>
      </c>
      <c r="I2696" s="20" t="n">
        <v>25.131</v>
      </c>
      <c r="J2696" s="19" t="n">
        <f aca="false">IF(I2696="","",MIN(Overview!$B$8,MAX(1,CEILING(I2696/Overview!$B$7,1))))</f>
        <v>6</v>
      </c>
      <c r="K2696" s="19" t="n">
        <v>1</v>
      </c>
      <c r="L2696" s="19"/>
      <c r="M2696" s="20" t="n">
        <v>4</v>
      </c>
      <c r="N2696" s="19"/>
      <c r="O2696" s="19"/>
      <c r="P2696" s="19" t="s">
        <v>8028</v>
      </c>
      <c r="Q2696" s="19" t="s">
        <v>965</v>
      </c>
      <c r="R2696" s="21" t="n">
        <v>43873</v>
      </c>
      <c r="S2696" s="19" t="s">
        <v>8029</v>
      </c>
      <c r="T2696" s="19" t="s">
        <v>8030</v>
      </c>
      <c r="U2696" s="19" t="str">
        <f aca="false">HYPERLINK("https://macaulaylibrary.org/asset/208957331","Open")</f>
        <v>Open</v>
      </c>
      <c r="V2696" s="19"/>
    </row>
    <row r="2697" customFormat="false" ht="15" hidden="false" customHeight="false" outlineLevel="0" collapsed="false">
      <c r="A2697" s="19" t="s">
        <v>8031</v>
      </c>
      <c r="B2697" s="19" t="s">
        <v>943</v>
      </c>
      <c r="C2697" s="19" t="s">
        <v>7202</v>
      </c>
      <c r="D2697" s="19" t="s">
        <v>148</v>
      </c>
      <c r="E2697" s="19" t="s">
        <v>147</v>
      </c>
      <c r="F2697" s="19" t="s">
        <v>268</v>
      </c>
      <c r="G2697" s="19" t="n">
        <v>178</v>
      </c>
      <c r="H2697" s="19" t="s">
        <v>269</v>
      </c>
      <c r="I2697" s="20" t="n">
        <v>8.448</v>
      </c>
      <c r="J2697" s="19" t="n">
        <f aca="false">IF(I2697="","",MIN(Overview!$B$8,MAX(1,CEILING(I2697/Overview!$B$7,1))))</f>
        <v>2</v>
      </c>
      <c r="K2697" s="19" t="n">
        <v>1</v>
      </c>
      <c r="L2697" s="19"/>
      <c r="M2697" s="20" t="n">
        <v>3</v>
      </c>
      <c r="N2697" s="19"/>
      <c r="O2697" s="19"/>
      <c r="P2697" s="19" t="s">
        <v>4108</v>
      </c>
      <c r="Q2697" s="19" t="s">
        <v>1596</v>
      </c>
      <c r="R2697" s="21" t="n">
        <v>44701</v>
      </c>
      <c r="S2697" s="19" t="s">
        <v>4109</v>
      </c>
      <c r="T2697" s="19" t="s">
        <v>8032</v>
      </c>
      <c r="U2697" s="19" t="str">
        <f aca="false">HYPERLINK("https://macaulaylibrary.org/asset/457850411","Open")</f>
        <v>Open</v>
      </c>
      <c r="V2697" s="19"/>
    </row>
    <row r="2698" customFormat="false" ht="15" hidden="false" customHeight="false" outlineLevel="0" collapsed="false">
      <c r="A2698" s="19" t="s">
        <v>8033</v>
      </c>
      <c r="B2698" s="19" t="s">
        <v>943</v>
      </c>
      <c r="C2698" s="19" t="s">
        <v>7202</v>
      </c>
      <c r="D2698" s="19" t="s">
        <v>148</v>
      </c>
      <c r="E2698" s="19" t="s">
        <v>147</v>
      </c>
      <c r="F2698" s="19" t="s">
        <v>268</v>
      </c>
      <c r="G2698" s="19" t="n">
        <v>178</v>
      </c>
      <c r="H2698" s="19" t="s">
        <v>269</v>
      </c>
      <c r="I2698" s="20" t="n">
        <v>16.327</v>
      </c>
      <c r="J2698" s="19" t="n">
        <f aca="false">IF(I2698="","",MIN(Overview!$B$8,MAX(1,CEILING(I2698/Overview!$B$7,1))))</f>
        <v>4</v>
      </c>
      <c r="K2698" s="19" t="n">
        <v>1</v>
      </c>
      <c r="L2698" s="19"/>
      <c r="M2698" s="20" t="n">
        <v>3</v>
      </c>
      <c r="N2698" s="19"/>
      <c r="O2698" s="19"/>
      <c r="P2698" s="19" t="s">
        <v>4108</v>
      </c>
      <c r="Q2698" s="19" t="s">
        <v>1596</v>
      </c>
      <c r="R2698" s="21" t="n">
        <v>44701</v>
      </c>
      <c r="S2698" s="19" t="s">
        <v>4109</v>
      </c>
      <c r="T2698" s="19" t="s">
        <v>8034</v>
      </c>
      <c r="U2698" s="19" t="str">
        <f aca="false">HYPERLINK("https://macaulaylibrary.org/asset/458624861","Open")</f>
        <v>Open</v>
      </c>
      <c r="V2698" s="19"/>
    </row>
    <row r="2699" customFormat="false" ht="15" hidden="false" customHeight="false" outlineLevel="0" collapsed="false">
      <c r="A2699" s="19" t="s">
        <v>8035</v>
      </c>
      <c r="B2699" s="19" t="s">
        <v>943</v>
      </c>
      <c r="C2699" s="19" t="s">
        <v>7202</v>
      </c>
      <c r="D2699" s="19" t="s">
        <v>613</v>
      </c>
      <c r="E2699" s="19" t="s">
        <v>147</v>
      </c>
      <c r="F2699" s="19" t="s">
        <v>856</v>
      </c>
      <c r="G2699" s="19" t="n">
        <v>179</v>
      </c>
      <c r="H2699" s="19" t="s">
        <v>857</v>
      </c>
      <c r="I2699" s="20" t="n">
        <v>19.988</v>
      </c>
      <c r="J2699" s="19" t="n">
        <f aca="false">IF(I2699="","",MIN(Overview!$B$8,MAX(1,CEILING(I2699/Overview!$B$7,1))))</f>
        <v>4</v>
      </c>
      <c r="K2699" s="19" t="n">
        <v>1</v>
      </c>
      <c r="L2699" s="19"/>
      <c r="M2699" s="20" t="n">
        <v>2.25</v>
      </c>
      <c r="N2699" s="19"/>
      <c r="O2699" s="19"/>
      <c r="P2699" s="19" t="s">
        <v>2916</v>
      </c>
      <c r="Q2699" s="19" t="s">
        <v>2235</v>
      </c>
      <c r="R2699" s="21" t="n">
        <v>43469</v>
      </c>
      <c r="S2699" s="19" t="s">
        <v>1484</v>
      </c>
      <c r="T2699" s="19" t="s">
        <v>8036</v>
      </c>
      <c r="U2699" s="19" t="str">
        <f aca="false">HYPERLINK("https://macaulaylibrary.org/asset/143083041","Open")</f>
        <v>Open</v>
      </c>
      <c r="V2699" s="19"/>
    </row>
    <row r="2700" customFormat="false" ht="15" hidden="false" customHeight="false" outlineLevel="0" collapsed="false">
      <c r="A2700" s="19" t="s">
        <v>8037</v>
      </c>
      <c r="B2700" s="19" t="s">
        <v>943</v>
      </c>
      <c r="C2700" s="19" t="s">
        <v>7202</v>
      </c>
      <c r="D2700" s="19" t="s">
        <v>148</v>
      </c>
      <c r="E2700" s="19" t="s">
        <v>147</v>
      </c>
      <c r="F2700" s="19" t="s">
        <v>246</v>
      </c>
      <c r="G2700" s="19" t="n">
        <v>180</v>
      </c>
      <c r="H2700" s="19" t="s">
        <v>247</v>
      </c>
      <c r="I2700" s="20" t="n">
        <v>207.975</v>
      </c>
      <c r="J2700" s="19" t="n">
        <f aca="false">IF(I2700="","",MIN(Overview!$B$8,MAX(1,CEILING(I2700/Overview!$B$7,1))))</f>
        <v>42</v>
      </c>
      <c r="K2700" s="19" t="n">
        <v>1</v>
      </c>
      <c r="L2700" s="19"/>
      <c r="M2700" s="20" t="n">
        <v>3.67</v>
      </c>
      <c r="N2700" s="19"/>
      <c r="O2700" s="19"/>
      <c r="P2700" s="19" t="s">
        <v>1105</v>
      </c>
      <c r="Q2700" s="19" t="s">
        <v>1021</v>
      </c>
      <c r="R2700" s="21" t="n">
        <v>36597</v>
      </c>
      <c r="S2700" s="19" t="s">
        <v>1106</v>
      </c>
      <c r="T2700" s="19" t="s">
        <v>8038</v>
      </c>
      <c r="U2700" s="19" t="str">
        <f aca="false">HYPERLINK("https://macaulaylibrary.org/asset/145617791","Open")</f>
        <v>Open</v>
      </c>
      <c r="V2700" s="19"/>
    </row>
    <row r="2701" customFormat="false" ht="15" hidden="false" customHeight="false" outlineLevel="0" collapsed="false">
      <c r="A2701" s="19" t="s">
        <v>8039</v>
      </c>
      <c r="B2701" s="19" t="s">
        <v>943</v>
      </c>
      <c r="C2701" s="19" t="s">
        <v>7202</v>
      </c>
      <c r="D2701" s="19" t="s">
        <v>148</v>
      </c>
      <c r="E2701" s="19" t="s">
        <v>147</v>
      </c>
      <c r="F2701" s="19" t="s">
        <v>246</v>
      </c>
      <c r="G2701" s="19" t="n">
        <v>180</v>
      </c>
      <c r="H2701" s="19" t="s">
        <v>247</v>
      </c>
      <c r="I2701" s="20" t="n">
        <v>53.474</v>
      </c>
      <c r="J2701" s="19" t="n">
        <f aca="false">IF(I2701="","",MIN(Overview!$B$8,MAX(1,CEILING(I2701/Overview!$B$7,1))))</f>
        <v>11</v>
      </c>
      <c r="K2701" s="19" t="n">
        <v>1</v>
      </c>
      <c r="L2701" s="19"/>
      <c r="M2701" s="20"/>
      <c r="N2701" s="19"/>
      <c r="O2701" s="19" t="s">
        <v>243</v>
      </c>
      <c r="P2701" s="19" t="s">
        <v>1946</v>
      </c>
      <c r="Q2701" s="19" t="s">
        <v>1091</v>
      </c>
      <c r="R2701" s="21" t="n">
        <v>45844</v>
      </c>
      <c r="S2701" s="19" t="s">
        <v>1013</v>
      </c>
      <c r="T2701" s="19" t="s">
        <v>8040</v>
      </c>
      <c r="U2701" s="19" t="str">
        <f aca="false">HYPERLINK("https://macaulaylibrary.org/asset/643642360","Open")</f>
        <v>Open</v>
      </c>
      <c r="V2701" s="19"/>
    </row>
    <row r="2702" customFormat="false" ht="15" hidden="false" customHeight="false" outlineLevel="0" collapsed="false">
      <c r="A2702" s="19" t="s">
        <v>8041</v>
      </c>
      <c r="B2702" s="19" t="s">
        <v>943</v>
      </c>
      <c r="C2702" s="19" t="s">
        <v>7202</v>
      </c>
      <c r="D2702" s="19" t="s">
        <v>148</v>
      </c>
      <c r="E2702" s="19" t="s">
        <v>147</v>
      </c>
      <c r="F2702" s="19" t="s">
        <v>246</v>
      </c>
      <c r="G2702" s="19" t="n">
        <v>180</v>
      </c>
      <c r="H2702" s="19" t="s">
        <v>247</v>
      </c>
      <c r="I2702" s="20" t="n">
        <v>5.78</v>
      </c>
      <c r="J2702" s="19" t="n">
        <f aca="false">IF(I2702="","",MIN(Overview!$B$8,MAX(1,CEILING(I2702/Overview!$B$7,1))))</f>
        <v>2</v>
      </c>
      <c r="K2702" s="19" t="n">
        <v>1</v>
      </c>
      <c r="L2702" s="19"/>
      <c r="M2702" s="20"/>
      <c r="N2702" s="19"/>
      <c r="O2702" s="19"/>
      <c r="P2702" s="19" t="s">
        <v>1946</v>
      </c>
      <c r="Q2702" s="19" t="s">
        <v>1091</v>
      </c>
      <c r="R2702" s="21" t="n">
        <v>45844</v>
      </c>
      <c r="S2702" s="19" t="s">
        <v>1013</v>
      </c>
      <c r="T2702" s="19" t="s">
        <v>8042</v>
      </c>
      <c r="U2702" s="19" t="str">
        <f aca="false">HYPERLINK("https://macaulaylibrary.org/asset/643644176","Open")</f>
        <v>Open</v>
      </c>
      <c r="V2702" s="19"/>
    </row>
    <row r="2703" customFormat="false" ht="15" hidden="false" customHeight="false" outlineLevel="0" collapsed="false">
      <c r="A2703" s="19" t="s">
        <v>8043</v>
      </c>
      <c r="B2703" s="19" t="s">
        <v>943</v>
      </c>
      <c r="C2703" s="19" t="s">
        <v>7202</v>
      </c>
      <c r="D2703" s="19" t="s">
        <v>148</v>
      </c>
      <c r="E2703" s="19" t="s">
        <v>147</v>
      </c>
      <c r="F2703" s="19" t="s">
        <v>246</v>
      </c>
      <c r="G2703" s="19" t="n">
        <v>180</v>
      </c>
      <c r="H2703" s="19" t="s">
        <v>247</v>
      </c>
      <c r="I2703" s="20" t="n">
        <v>88.126</v>
      </c>
      <c r="J2703" s="19" t="n">
        <f aca="false">IF(I2703="","",MIN(Overview!$B$8,MAX(1,CEILING(I2703/Overview!$B$7,1))))</f>
        <v>18</v>
      </c>
      <c r="K2703" s="19" t="n">
        <v>1</v>
      </c>
      <c r="L2703" s="19"/>
      <c r="M2703" s="20" t="n">
        <v>4</v>
      </c>
      <c r="N2703" s="19"/>
      <c r="O2703" s="19" t="s">
        <v>373</v>
      </c>
      <c r="P2703" s="19" t="s">
        <v>2743</v>
      </c>
      <c r="Q2703" s="19" t="s">
        <v>2744</v>
      </c>
      <c r="R2703" s="21" t="n">
        <v>44469</v>
      </c>
      <c r="S2703" s="19" t="s">
        <v>2745</v>
      </c>
      <c r="T2703" s="19" t="s">
        <v>8044</v>
      </c>
      <c r="U2703" s="19" t="str">
        <f aca="false">HYPERLINK("https://macaulaylibrary.org/asset/655848715","Open")</f>
        <v>Open</v>
      </c>
      <c r="V2703" s="19"/>
    </row>
    <row r="2704" customFormat="false" ht="15" hidden="false" customHeight="false" outlineLevel="0" collapsed="false">
      <c r="A2704" s="19" t="s">
        <v>8045</v>
      </c>
      <c r="B2704" s="19" t="s">
        <v>943</v>
      </c>
      <c r="C2704" s="19" t="s">
        <v>7202</v>
      </c>
      <c r="D2704" s="19" t="s">
        <v>400</v>
      </c>
      <c r="E2704" s="19" t="s">
        <v>147</v>
      </c>
      <c r="F2704" s="19" t="s">
        <v>487</v>
      </c>
      <c r="G2704" s="19" t="n">
        <v>181</v>
      </c>
      <c r="H2704" s="19" t="s">
        <v>488</v>
      </c>
      <c r="I2704" s="20" t="n">
        <v>10.035</v>
      </c>
      <c r="J2704" s="19" t="n">
        <f aca="false">IF(I2704="","",MIN(Overview!$B$8,MAX(1,CEILING(I2704/Overview!$B$7,1))))</f>
        <v>3</v>
      </c>
      <c r="K2704" s="19" t="n">
        <v>1</v>
      </c>
      <c r="L2704" s="19"/>
      <c r="M2704" s="20" t="n">
        <v>4</v>
      </c>
      <c r="N2704" s="19"/>
      <c r="O2704" s="19"/>
      <c r="P2704" s="19" t="s">
        <v>8046</v>
      </c>
      <c r="Q2704" s="19" t="s">
        <v>2085</v>
      </c>
      <c r="R2704" s="21" t="n">
        <v>44548</v>
      </c>
      <c r="S2704" s="19" t="s">
        <v>8047</v>
      </c>
      <c r="T2704" s="19" t="s">
        <v>8048</v>
      </c>
      <c r="U2704" s="19" t="str">
        <f aca="false">HYPERLINK("https://macaulaylibrary.org/asset/403602811","Open")</f>
        <v>Open</v>
      </c>
      <c r="V2704" s="19"/>
    </row>
    <row r="2705" customFormat="false" ht="15" hidden="false" customHeight="false" outlineLevel="0" collapsed="false">
      <c r="A2705" s="19" t="s">
        <v>8049</v>
      </c>
      <c r="B2705" s="19" t="s">
        <v>943</v>
      </c>
      <c r="C2705" s="19" t="s">
        <v>7202</v>
      </c>
      <c r="D2705" s="19" t="s">
        <v>400</v>
      </c>
      <c r="E2705" s="19" t="s">
        <v>147</v>
      </c>
      <c r="F2705" s="19" t="s">
        <v>487</v>
      </c>
      <c r="G2705" s="19" t="n">
        <v>181</v>
      </c>
      <c r="H2705" s="19" t="s">
        <v>488</v>
      </c>
      <c r="I2705" s="20" t="n">
        <v>23.18</v>
      </c>
      <c r="J2705" s="19" t="n">
        <f aca="false">IF(I2705="","",MIN(Overview!$B$8,MAX(1,CEILING(I2705/Overview!$B$7,1))))</f>
        <v>5</v>
      </c>
      <c r="K2705" s="19" t="n">
        <v>1</v>
      </c>
      <c r="L2705" s="19"/>
      <c r="M2705" s="20"/>
      <c r="N2705" s="19"/>
      <c r="O2705" s="19"/>
      <c r="P2705" s="19" t="s">
        <v>8046</v>
      </c>
      <c r="Q2705" s="19" t="s">
        <v>2085</v>
      </c>
      <c r="R2705" s="21" t="n">
        <v>44548</v>
      </c>
      <c r="S2705" s="19" t="s">
        <v>8047</v>
      </c>
      <c r="T2705" s="19" t="s">
        <v>8050</v>
      </c>
      <c r="U2705" s="19" t="str">
        <f aca="false">HYPERLINK("https://macaulaylibrary.org/asset/403602821","Open")</f>
        <v>Open</v>
      </c>
      <c r="V2705" s="19"/>
    </row>
    <row r="2706" customFormat="false" ht="15" hidden="false" customHeight="false" outlineLevel="0" collapsed="false">
      <c r="A2706" s="19" t="s">
        <v>8051</v>
      </c>
      <c r="B2706" s="19" t="s">
        <v>943</v>
      </c>
      <c r="C2706" s="19" t="s">
        <v>7202</v>
      </c>
      <c r="D2706" s="19" t="s">
        <v>148</v>
      </c>
      <c r="E2706" s="19" t="s">
        <v>147</v>
      </c>
      <c r="F2706" s="19" t="s">
        <v>431</v>
      </c>
      <c r="G2706" s="19" t="n">
        <v>182</v>
      </c>
      <c r="H2706" s="19" t="s">
        <v>432</v>
      </c>
      <c r="I2706" s="20" t="n">
        <v>452.377</v>
      </c>
      <c r="J2706" s="19" t="n">
        <f aca="false">IF(I2706="","",MIN(Overview!$B$8,MAX(1,CEILING(I2706/Overview!$B$7,1))))</f>
        <v>91</v>
      </c>
      <c r="K2706" s="19" t="n">
        <v>1</v>
      </c>
      <c r="L2706" s="19"/>
      <c r="M2706" s="20" t="n">
        <v>3</v>
      </c>
      <c r="N2706" s="19"/>
      <c r="O2706" s="19"/>
      <c r="P2706" s="19" t="s">
        <v>1058</v>
      </c>
      <c r="Q2706" s="19" t="s">
        <v>980</v>
      </c>
      <c r="R2706" s="21" t="n">
        <v>32555</v>
      </c>
      <c r="S2706" s="19" t="s">
        <v>5740</v>
      </c>
      <c r="T2706" s="19" t="s">
        <v>8052</v>
      </c>
      <c r="U2706" s="19" t="str">
        <f aca="false">HYPERLINK("https://macaulaylibrary.org/asset/215348","Open")</f>
        <v>Open</v>
      </c>
      <c r="V2706" s="19"/>
    </row>
    <row r="2707" customFormat="false" ht="15" hidden="false" customHeight="false" outlineLevel="0" collapsed="false">
      <c r="A2707" s="19" t="s">
        <v>8053</v>
      </c>
      <c r="B2707" s="19" t="s">
        <v>943</v>
      </c>
      <c r="C2707" s="19" t="s">
        <v>7202</v>
      </c>
      <c r="D2707" s="19" t="s">
        <v>148</v>
      </c>
      <c r="E2707" s="19" t="s">
        <v>147</v>
      </c>
      <c r="F2707" s="19" t="s">
        <v>431</v>
      </c>
      <c r="G2707" s="19" t="n">
        <v>182</v>
      </c>
      <c r="H2707" s="19" t="s">
        <v>432</v>
      </c>
      <c r="I2707" s="20" t="n">
        <v>16.576</v>
      </c>
      <c r="J2707" s="19" t="n">
        <f aca="false">IF(I2707="","",MIN(Overview!$B$8,MAX(1,CEILING(I2707/Overview!$B$7,1))))</f>
        <v>4</v>
      </c>
      <c r="K2707" s="19" t="n">
        <v>1</v>
      </c>
      <c r="L2707" s="19"/>
      <c r="M2707" s="20" t="n">
        <v>3.5</v>
      </c>
      <c r="N2707" s="19"/>
      <c r="O2707" s="19"/>
      <c r="P2707" s="19" t="s">
        <v>3658</v>
      </c>
      <c r="Q2707" s="19" t="s">
        <v>1148</v>
      </c>
      <c r="R2707" s="21" t="n">
        <v>44448</v>
      </c>
      <c r="S2707" s="19" t="s">
        <v>1279</v>
      </c>
      <c r="T2707" s="19" t="s">
        <v>8054</v>
      </c>
      <c r="U2707" s="19" t="str">
        <f aca="false">HYPERLINK("https://macaulaylibrary.org/asset/368384681","Open")</f>
        <v>Open</v>
      </c>
      <c r="V2707" s="19"/>
    </row>
    <row r="2708" customFormat="false" ht="15" hidden="false" customHeight="false" outlineLevel="0" collapsed="false">
      <c r="A2708" s="19" t="s">
        <v>8055</v>
      </c>
      <c r="B2708" s="19" t="s">
        <v>943</v>
      </c>
      <c r="C2708" s="19" t="s">
        <v>7202</v>
      </c>
      <c r="D2708" s="19" t="s">
        <v>400</v>
      </c>
      <c r="E2708" s="19" t="s">
        <v>147</v>
      </c>
      <c r="F2708" s="19" t="s">
        <v>450</v>
      </c>
      <c r="G2708" s="19" t="n">
        <v>184</v>
      </c>
      <c r="H2708" s="19" t="s">
        <v>451</v>
      </c>
      <c r="I2708" s="20" t="n">
        <v>45.205</v>
      </c>
      <c r="J2708" s="19" t="n">
        <f aca="false">IF(I2708="","",MIN(Overview!$B$8,MAX(1,CEILING(I2708/Overview!$B$7,1))))</f>
        <v>10</v>
      </c>
      <c r="K2708" s="19" t="n">
        <v>1</v>
      </c>
      <c r="L2708" s="19"/>
      <c r="M2708" s="20" t="n">
        <v>2.2</v>
      </c>
      <c r="N2708" s="19"/>
      <c r="O2708" s="19"/>
      <c r="P2708" s="19" t="s">
        <v>8056</v>
      </c>
      <c r="Q2708" s="19" t="s">
        <v>1136</v>
      </c>
      <c r="R2708" s="21" t="n">
        <v>29737</v>
      </c>
      <c r="S2708" s="19" t="s">
        <v>1658</v>
      </c>
      <c r="T2708" s="19" t="s">
        <v>8057</v>
      </c>
      <c r="U2708" s="19" t="str">
        <f aca="false">HYPERLINK("https://macaulaylibrary.org/asset/28103","Open")</f>
        <v>Open</v>
      </c>
      <c r="V2708" s="19"/>
    </row>
    <row r="2709" customFormat="false" ht="15" hidden="false" customHeight="false" outlineLevel="0" collapsed="false">
      <c r="A2709" s="19" t="s">
        <v>8058</v>
      </c>
      <c r="B2709" s="19" t="s">
        <v>943</v>
      </c>
      <c r="C2709" s="19" t="s">
        <v>7202</v>
      </c>
      <c r="D2709" s="19" t="s">
        <v>148</v>
      </c>
      <c r="E2709" s="19" t="s">
        <v>147</v>
      </c>
      <c r="F2709" s="19" t="s">
        <v>410</v>
      </c>
      <c r="G2709" s="19" t="n">
        <v>185</v>
      </c>
      <c r="H2709" s="19" t="s">
        <v>411</v>
      </c>
      <c r="I2709" s="20" t="n">
        <v>7.987</v>
      </c>
      <c r="J2709" s="19" t="n">
        <f aca="false">IF(I2709="","",MIN(Overview!$B$8,MAX(1,CEILING(I2709/Overview!$B$7,1))))</f>
        <v>2</v>
      </c>
      <c r="K2709" s="19" t="n">
        <v>1</v>
      </c>
      <c r="L2709" s="19"/>
      <c r="M2709" s="20" t="n">
        <v>4</v>
      </c>
      <c r="N2709" s="19"/>
      <c r="O2709" s="19"/>
      <c r="P2709" s="19" t="s">
        <v>8059</v>
      </c>
      <c r="Q2709" s="19" t="s">
        <v>8060</v>
      </c>
      <c r="R2709" s="21" t="n">
        <v>44035</v>
      </c>
      <c r="S2709" s="19" t="s">
        <v>1777</v>
      </c>
      <c r="T2709" s="19" t="s">
        <v>8061</v>
      </c>
      <c r="U2709" s="19" t="str">
        <f aca="false">HYPERLINK("https://macaulaylibrary.org/asset/272673581","Open")</f>
        <v>Open</v>
      </c>
      <c r="V2709" s="19"/>
    </row>
    <row r="2710" customFormat="false" ht="15" hidden="false" customHeight="false" outlineLevel="0" collapsed="false">
      <c r="A2710" s="19" t="s">
        <v>8062</v>
      </c>
      <c r="B2710" s="19" t="s">
        <v>943</v>
      </c>
      <c r="C2710" s="19" t="s">
        <v>7202</v>
      </c>
      <c r="D2710" s="19" t="s">
        <v>148</v>
      </c>
      <c r="E2710" s="19" t="s">
        <v>147</v>
      </c>
      <c r="F2710" s="19" t="s">
        <v>410</v>
      </c>
      <c r="G2710" s="19" t="n">
        <v>185</v>
      </c>
      <c r="H2710" s="19" t="s">
        <v>411</v>
      </c>
      <c r="I2710" s="20" t="n">
        <v>9.997</v>
      </c>
      <c r="J2710" s="19" t="n">
        <f aca="false">IF(I2710="","",MIN(Overview!$B$8,MAX(1,CEILING(I2710/Overview!$B$7,1))))</f>
        <v>2</v>
      </c>
      <c r="K2710" s="19" t="n">
        <v>1</v>
      </c>
      <c r="L2710" s="19"/>
      <c r="M2710" s="20" t="n">
        <v>3</v>
      </c>
      <c r="N2710" s="19"/>
      <c r="O2710" s="19"/>
      <c r="P2710" s="19" t="s">
        <v>8059</v>
      </c>
      <c r="Q2710" s="19" t="s">
        <v>8060</v>
      </c>
      <c r="R2710" s="21" t="n">
        <v>44035</v>
      </c>
      <c r="S2710" s="19" t="s">
        <v>1777</v>
      </c>
      <c r="T2710" s="19" t="s">
        <v>8063</v>
      </c>
      <c r="U2710" s="19" t="str">
        <f aca="false">HYPERLINK("https://macaulaylibrary.org/asset/272679671","Open")</f>
        <v>Open</v>
      </c>
      <c r="V2710" s="19"/>
    </row>
    <row r="2711" customFormat="false" ht="15" hidden="false" customHeight="false" outlineLevel="0" collapsed="false">
      <c r="A2711" s="19" t="s">
        <v>8064</v>
      </c>
      <c r="B2711" s="19" t="s">
        <v>943</v>
      </c>
      <c r="C2711" s="19" t="s">
        <v>7202</v>
      </c>
      <c r="D2711" s="19" t="s">
        <v>148</v>
      </c>
      <c r="E2711" s="19" t="s">
        <v>147</v>
      </c>
      <c r="F2711" s="19" t="s">
        <v>240</v>
      </c>
      <c r="G2711" s="19" t="n">
        <v>186</v>
      </c>
      <c r="H2711" s="19" t="s">
        <v>241</v>
      </c>
      <c r="I2711" s="20" t="n">
        <v>27.646</v>
      </c>
      <c r="J2711" s="19" t="n">
        <f aca="false">IF(I2711="","",MIN(Overview!$B$8,MAX(1,CEILING(I2711/Overview!$B$7,1))))</f>
        <v>6</v>
      </c>
      <c r="K2711" s="19" t="n">
        <v>1</v>
      </c>
      <c r="L2711" s="19"/>
      <c r="M2711" s="20" t="n">
        <v>2</v>
      </c>
      <c r="N2711" s="19"/>
      <c r="O2711" s="19"/>
      <c r="P2711" s="19" t="s">
        <v>8065</v>
      </c>
      <c r="Q2711" s="19" t="s">
        <v>7499</v>
      </c>
      <c r="R2711" s="21" t="n">
        <v>43906</v>
      </c>
      <c r="S2711" s="19" t="s">
        <v>6985</v>
      </c>
      <c r="T2711" s="19" t="s">
        <v>8066</v>
      </c>
      <c r="U2711" s="19" t="str">
        <f aca="false">HYPERLINK("https://macaulaylibrary.org/asset/218343291","Open")</f>
        <v>Open</v>
      </c>
      <c r="V2711" s="19"/>
    </row>
    <row r="2712" customFormat="false" ht="15" hidden="false" customHeight="false" outlineLevel="0" collapsed="false">
      <c r="A2712" s="19" t="s">
        <v>8067</v>
      </c>
      <c r="B2712" s="19" t="s">
        <v>943</v>
      </c>
      <c r="C2712" s="19" t="s">
        <v>7202</v>
      </c>
      <c r="D2712" s="19" t="s">
        <v>148</v>
      </c>
      <c r="E2712" s="19" t="s">
        <v>147</v>
      </c>
      <c r="F2712" s="19" t="s">
        <v>240</v>
      </c>
      <c r="G2712" s="19" t="n">
        <v>186</v>
      </c>
      <c r="H2712" s="19" t="s">
        <v>241</v>
      </c>
      <c r="I2712" s="20" t="n">
        <v>5.376</v>
      </c>
      <c r="J2712" s="19" t="n">
        <f aca="false">IF(I2712="","",MIN(Overview!$B$8,MAX(1,CEILING(I2712/Overview!$B$7,1))))</f>
        <v>2</v>
      </c>
      <c r="K2712" s="19" t="n">
        <v>1</v>
      </c>
      <c r="L2712" s="19"/>
      <c r="M2712" s="20"/>
      <c r="N2712" s="19"/>
      <c r="O2712" s="19"/>
      <c r="P2712" s="19" t="s">
        <v>1143</v>
      </c>
      <c r="Q2712" s="19" t="s">
        <v>965</v>
      </c>
      <c r="R2712" s="21" t="n">
        <v>44548</v>
      </c>
      <c r="S2712" s="19" t="s">
        <v>1144</v>
      </c>
      <c r="T2712" s="19" t="s">
        <v>8068</v>
      </c>
      <c r="U2712" s="19" t="str">
        <f aca="false">HYPERLINK("https://macaulaylibrary.org/asset/398719321","Open")</f>
        <v>Open</v>
      </c>
      <c r="V2712" s="19"/>
    </row>
    <row r="2713" customFormat="false" ht="15" hidden="false" customHeight="false" outlineLevel="0" collapsed="false">
      <c r="A2713" s="19" t="s">
        <v>8069</v>
      </c>
      <c r="B2713" s="19" t="s">
        <v>943</v>
      </c>
      <c r="C2713" s="19" t="s">
        <v>7202</v>
      </c>
      <c r="D2713" s="19" t="s">
        <v>148</v>
      </c>
      <c r="E2713" s="19" t="s">
        <v>147</v>
      </c>
      <c r="F2713" s="19" t="s">
        <v>240</v>
      </c>
      <c r="G2713" s="19" t="n">
        <v>186</v>
      </c>
      <c r="H2713" s="19" t="s">
        <v>241</v>
      </c>
      <c r="I2713" s="20" t="n">
        <v>6.905</v>
      </c>
      <c r="J2713" s="19" t="n">
        <f aca="false">IF(I2713="","",MIN(Overview!$B$8,MAX(1,CEILING(I2713/Overview!$B$7,1))))</f>
        <v>2</v>
      </c>
      <c r="K2713" s="19" t="n">
        <v>1</v>
      </c>
      <c r="L2713" s="19"/>
      <c r="M2713" s="20"/>
      <c r="N2713" s="19"/>
      <c r="O2713" s="19"/>
      <c r="P2713" s="19" t="s">
        <v>2122</v>
      </c>
      <c r="Q2713" s="19" t="s">
        <v>1158</v>
      </c>
      <c r="R2713" s="21" t="n">
        <v>45656</v>
      </c>
      <c r="S2713" s="19" t="s">
        <v>2123</v>
      </c>
      <c r="T2713" s="19" t="s">
        <v>8070</v>
      </c>
      <c r="U2713" s="19" t="str">
        <f aca="false">HYPERLINK("https://macaulaylibrary.org/asset/630078656","Open")</f>
        <v>Open</v>
      </c>
      <c r="V2713" s="19"/>
    </row>
    <row r="2714" customFormat="false" ht="15" hidden="false" customHeight="false" outlineLevel="0" collapsed="false">
      <c r="A2714" s="19" t="s">
        <v>8071</v>
      </c>
      <c r="B2714" s="19" t="s">
        <v>943</v>
      </c>
      <c r="C2714" s="19" t="s">
        <v>7202</v>
      </c>
      <c r="D2714" s="19" t="s">
        <v>148</v>
      </c>
      <c r="E2714" s="19" t="s">
        <v>147</v>
      </c>
      <c r="F2714" s="19" t="s">
        <v>240</v>
      </c>
      <c r="G2714" s="19" t="n">
        <v>186</v>
      </c>
      <c r="H2714" s="19" t="s">
        <v>241</v>
      </c>
      <c r="I2714" s="20" t="n">
        <v>66.935</v>
      </c>
      <c r="J2714" s="19" t="n">
        <f aca="false">IF(I2714="","",MIN(Overview!$B$8,MAX(1,CEILING(I2714/Overview!$B$7,1))))</f>
        <v>14</v>
      </c>
      <c r="K2714" s="19" t="n">
        <v>1</v>
      </c>
      <c r="L2714" s="19"/>
      <c r="M2714" s="20"/>
      <c r="N2714" s="19"/>
      <c r="O2714" s="19"/>
      <c r="P2714" s="19" t="s">
        <v>2122</v>
      </c>
      <c r="Q2714" s="19" t="s">
        <v>1158</v>
      </c>
      <c r="R2714" s="21" t="n">
        <v>45656</v>
      </c>
      <c r="S2714" s="19" t="s">
        <v>2123</v>
      </c>
      <c r="T2714" s="19" t="s">
        <v>8072</v>
      </c>
      <c r="U2714" s="19" t="str">
        <f aca="false">HYPERLINK("https://macaulaylibrary.org/asset/630078657","Open")</f>
        <v>Open</v>
      </c>
      <c r="V2714" s="19"/>
    </row>
    <row r="2715" customFormat="false" ht="15" hidden="false" customHeight="false" outlineLevel="0" collapsed="false">
      <c r="A2715" s="19" t="s">
        <v>8073</v>
      </c>
      <c r="B2715" s="19" t="s">
        <v>943</v>
      </c>
      <c r="C2715" s="19" t="s">
        <v>7202</v>
      </c>
      <c r="D2715" s="19" t="s">
        <v>148</v>
      </c>
      <c r="E2715" s="19" t="s">
        <v>147</v>
      </c>
      <c r="F2715" s="19" t="s">
        <v>197</v>
      </c>
      <c r="G2715" s="19" t="n">
        <v>187</v>
      </c>
      <c r="H2715" s="19" t="s">
        <v>198</v>
      </c>
      <c r="I2715" s="20" t="n">
        <v>36.523</v>
      </c>
      <c r="J2715" s="19" t="n">
        <f aca="false">IF(I2715="","",MIN(Overview!$B$8,MAX(1,CEILING(I2715/Overview!$B$7,1))))</f>
        <v>8</v>
      </c>
      <c r="K2715" s="19" t="n">
        <v>1</v>
      </c>
      <c r="L2715" s="19"/>
      <c r="M2715" s="20" t="n">
        <v>3</v>
      </c>
      <c r="N2715" s="19"/>
      <c r="O2715" s="19"/>
      <c r="P2715" s="19" t="s">
        <v>1581</v>
      </c>
      <c r="Q2715" s="19" t="s">
        <v>1021</v>
      </c>
      <c r="R2715" s="21" t="n">
        <v>36595</v>
      </c>
      <c r="S2715" s="19" t="s">
        <v>1459</v>
      </c>
      <c r="T2715" s="19" t="s">
        <v>8074</v>
      </c>
      <c r="U2715" s="19" t="str">
        <f aca="false">HYPERLINK("https://macaulaylibrary.org/asset/143856601","Open")</f>
        <v>Open</v>
      </c>
      <c r="V2715" s="19"/>
    </row>
    <row r="2716" customFormat="false" ht="15" hidden="false" customHeight="false" outlineLevel="0" collapsed="false">
      <c r="A2716" s="19" t="s">
        <v>8075</v>
      </c>
      <c r="B2716" s="19" t="s">
        <v>943</v>
      </c>
      <c r="C2716" s="19" t="s">
        <v>7202</v>
      </c>
      <c r="D2716" s="19" t="s">
        <v>148</v>
      </c>
      <c r="E2716" s="19" t="s">
        <v>147</v>
      </c>
      <c r="F2716" s="19" t="s">
        <v>197</v>
      </c>
      <c r="G2716" s="19" t="n">
        <v>187</v>
      </c>
      <c r="H2716" s="19" t="s">
        <v>198</v>
      </c>
      <c r="I2716" s="20" t="n">
        <v>36.096</v>
      </c>
      <c r="J2716" s="19" t="n">
        <f aca="false">IF(I2716="","",MIN(Overview!$B$8,MAX(1,CEILING(I2716/Overview!$B$7,1))))</f>
        <v>8</v>
      </c>
      <c r="K2716" s="19" t="n">
        <v>1</v>
      </c>
      <c r="L2716" s="19"/>
      <c r="M2716" s="20" t="n">
        <v>3</v>
      </c>
      <c r="N2716" s="19"/>
      <c r="O2716" s="19"/>
      <c r="P2716" s="19" t="s">
        <v>974</v>
      </c>
      <c r="Q2716" s="19" t="s">
        <v>975</v>
      </c>
      <c r="R2716" s="21" t="n">
        <v>43666</v>
      </c>
      <c r="S2716" s="19" t="s">
        <v>976</v>
      </c>
      <c r="T2716" s="19" t="s">
        <v>8076</v>
      </c>
      <c r="U2716" s="19" t="str">
        <f aca="false">HYPERLINK("https://macaulaylibrary.org/asset/179452451","Open")</f>
        <v>Open</v>
      </c>
      <c r="V2716" s="19"/>
    </row>
    <row r="2717" customFormat="false" ht="15" hidden="false" customHeight="false" outlineLevel="0" collapsed="false">
      <c r="A2717" s="19" t="s">
        <v>8077</v>
      </c>
      <c r="B2717" s="19" t="s">
        <v>943</v>
      </c>
      <c r="C2717" s="19" t="s">
        <v>7202</v>
      </c>
      <c r="D2717" s="19" t="s">
        <v>148</v>
      </c>
      <c r="E2717" s="19" t="s">
        <v>147</v>
      </c>
      <c r="F2717" s="19" t="s">
        <v>197</v>
      </c>
      <c r="G2717" s="19" t="n">
        <v>187</v>
      </c>
      <c r="H2717" s="19" t="s">
        <v>198</v>
      </c>
      <c r="I2717" s="20" t="n">
        <v>49.715</v>
      </c>
      <c r="J2717" s="19" t="n">
        <f aca="false">IF(I2717="","",MIN(Overview!$B$8,MAX(1,CEILING(I2717/Overview!$B$7,1))))</f>
        <v>10</v>
      </c>
      <c r="K2717" s="19" t="n">
        <v>1</v>
      </c>
      <c r="L2717" s="19"/>
      <c r="M2717" s="20" t="n">
        <v>1</v>
      </c>
      <c r="N2717" s="19"/>
      <c r="O2717" s="19"/>
      <c r="P2717" s="19" t="s">
        <v>3433</v>
      </c>
      <c r="Q2717" s="19" t="s">
        <v>2343</v>
      </c>
      <c r="R2717" s="21" t="n">
        <v>31504</v>
      </c>
      <c r="S2717" s="19" t="s">
        <v>1081</v>
      </c>
      <c r="T2717" s="19" t="s">
        <v>8078</v>
      </c>
      <c r="U2717" s="19" t="str">
        <f aca="false">HYPERLINK("https://macaulaylibrary.org/asset/249425","Open")</f>
        <v>Open</v>
      </c>
      <c r="V2717" s="19"/>
    </row>
    <row r="2718" customFormat="false" ht="15" hidden="false" customHeight="false" outlineLevel="0" collapsed="false">
      <c r="A2718" s="19" t="s">
        <v>8079</v>
      </c>
      <c r="B2718" s="19" t="s">
        <v>943</v>
      </c>
      <c r="C2718" s="19" t="s">
        <v>7202</v>
      </c>
      <c r="D2718" s="19" t="s">
        <v>148</v>
      </c>
      <c r="E2718" s="19" t="s">
        <v>147</v>
      </c>
      <c r="F2718" s="19" t="s">
        <v>197</v>
      </c>
      <c r="G2718" s="19" t="n">
        <v>187</v>
      </c>
      <c r="H2718" s="19" t="s">
        <v>198</v>
      </c>
      <c r="I2718" s="20" t="n">
        <v>32.148</v>
      </c>
      <c r="J2718" s="19" t="n">
        <f aca="false">IF(I2718="","",MIN(Overview!$B$8,MAX(1,CEILING(I2718/Overview!$B$7,1))))</f>
        <v>7</v>
      </c>
      <c r="K2718" s="19" t="n">
        <v>1</v>
      </c>
      <c r="L2718" s="19"/>
      <c r="M2718" s="20" t="n">
        <v>1.5</v>
      </c>
      <c r="N2718" s="19"/>
      <c r="O2718" s="19"/>
      <c r="P2718" s="19" t="s">
        <v>8080</v>
      </c>
      <c r="Q2718" s="19" t="s">
        <v>8081</v>
      </c>
      <c r="R2718" s="21" t="n">
        <v>44210</v>
      </c>
      <c r="S2718" s="19" t="s">
        <v>8082</v>
      </c>
      <c r="T2718" s="19" t="s">
        <v>8083</v>
      </c>
      <c r="U2718" s="19" t="str">
        <f aca="false">HYPERLINK("https://macaulaylibrary.org/asset/297727281","Open")</f>
        <v>Open</v>
      </c>
      <c r="V2718" s="19"/>
    </row>
    <row r="2719" customFormat="false" ht="15" hidden="false" customHeight="false" outlineLevel="0" collapsed="false">
      <c r="A2719" s="19" t="s">
        <v>8084</v>
      </c>
      <c r="B2719" s="19" t="s">
        <v>943</v>
      </c>
      <c r="C2719" s="19" t="s">
        <v>7202</v>
      </c>
      <c r="D2719" s="19" t="s">
        <v>148</v>
      </c>
      <c r="E2719" s="19" t="s">
        <v>147</v>
      </c>
      <c r="F2719" s="19" t="s">
        <v>197</v>
      </c>
      <c r="G2719" s="19" t="n">
        <v>187</v>
      </c>
      <c r="H2719" s="19" t="s">
        <v>198</v>
      </c>
      <c r="I2719" s="20" t="n">
        <v>154.936</v>
      </c>
      <c r="J2719" s="19" t="n">
        <f aca="false">IF(I2719="","",MIN(Overview!$B$8,MAX(1,CEILING(I2719/Overview!$B$7,1))))</f>
        <v>31</v>
      </c>
      <c r="K2719" s="19" t="n">
        <v>1</v>
      </c>
      <c r="L2719" s="19"/>
      <c r="M2719" s="20" t="n">
        <v>4.5</v>
      </c>
      <c r="N2719" s="19"/>
      <c r="O2719" s="19"/>
      <c r="P2719" s="19" t="s">
        <v>1039</v>
      </c>
      <c r="Q2719" s="19" t="s">
        <v>1040</v>
      </c>
      <c r="R2719" s="21" t="n">
        <v>40901</v>
      </c>
      <c r="S2719" s="19" t="s">
        <v>1002</v>
      </c>
      <c r="T2719" s="19" t="s">
        <v>8085</v>
      </c>
      <c r="U2719" s="19" t="str">
        <f aca="false">HYPERLINK("https://macaulaylibrary.org/asset/609056486","Open")</f>
        <v>Open</v>
      </c>
      <c r="V2719" s="19"/>
    </row>
    <row r="2720" customFormat="false" ht="15" hidden="false" customHeight="false" outlineLevel="0" collapsed="false">
      <c r="A2720" s="19" t="s">
        <v>8086</v>
      </c>
      <c r="B2720" s="19" t="s">
        <v>943</v>
      </c>
      <c r="C2720" s="19" t="s">
        <v>7202</v>
      </c>
      <c r="D2720" s="19" t="s">
        <v>148</v>
      </c>
      <c r="E2720" s="19" t="s">
        <v>147</v>
      </c>
      <c r="F2720" s="19" t="s">
        <v>197</v>
      </c>
      <c r="G2720" s="19" t="n">
        <v>187</v>
      </c>
      <c r="H2720" s="19" t="s">
        <v>198</v>
      </c>
      <c r="I2720" s="20" t="n">
        <v>54.895</v>
      </c>
      <c r="J2720" s="19" t="n">
        <f aca="false">IF(I2720="","",MIN(Overview!$B$8,MAX(1,CEILING(I2720/Overview!$B$7,1))))</f>
        <v>11</v>
      </c>
      <c r="K2720" s="19" t="n">
        <v>1</v>
      </c>
      <c r="L2720" s="19"/>
      <c r="M2720" s="20" t="n">
        <v>3</v>
      </c>
      <c r="N2720" s="19"/>
      <c r="O2720" s="19"/>
      <c r="P2720" s="19" t="s">
        <v>1039</v>
      </c>
      <c r="Q2720" s="19" t="s">
        <v>1040</v>
      </c>
      <c r="R2720" s="21" t="n">
        <v>40901</v>
      </c>
      <c r="S2720" s="19" t="s">
        <v>1002</v>
      </c>
      <c r="T2720" s="19" t="s">
        <v>8087</v>
      </c>
      <c r="U2720" s="19" t="str">
        <f aca="false">HYPERLINK("https://macaulaylibrary.org/asset/609056501","Open")</f>
        <v>Open</v>
      </c>
      <c r="V2720" s="19"/>
    </row>
    <row r="2721" customFormat="false" ht="15" hidden="false" customHeight="false" outlineLevel="0" collapsed="false">
      <c r="A2721" s="19" t="s">
        <v>8088</v>
      </c>
      <c r="B2721" s="19" t="s">
        <v>943</v>
      </c>
      <c r="C2721" s="19" t="s">
        <v>7202</v>
      </c>
      <c r="D2721" s="19" t="s">
        <v>400</v>
      </c>
      <c r="E2721" s="19" t="s">
        <v>147</v>
      </c>
      <c r="F2721" s="19" t="s">
        <v>674</v>
      </c>
      <c r="G2721" s="19" t="n">
        <v>188</v>
      </c>
      <c r="H2721" s="19" t="s">
        <v>675</v>
      </c>
      <c r="I2721" s="20" t="n">
        <v>51.593</v>
      </c>
      <c r="J2721" s="19" t="n">
        <f aca="false">IF(I2721="","",MIN(Overview!$B$8,MAX(1,CEILING(I2721/Overview!$B$7,1))))</f>
        <v>11</v>
      </c>
      <c r="K2721" s="19" t="n">
        <v>1</v>
      </c>
      <c r="L2721" s="19"/>
      <c r="M2721" s="20" t="n">
        <v>3.67</v>
      </c>
      <c r="N2721" s="19"/>
      <c r="O2721" s="19" t="s">
        <v>8089</v>
      </c>
      <c r="P2721" s="19" t="s">
        <v>1674</v>
      </c>
      <c r="Q2721" s="19" t="s">
        <v>1091</v>
      </c>
      <c r="R2721" s="21" t="n">
        <v>45843</v>
      </c>
      <c r="S2721" s="19" t="s">
        <v>1009</v>
      </c>
      <c r="T2721" s="19" t="s">
        <v>8090</v>
      </c>
      <c r="U2721" s="19" t="str">
        <f aca="false">HYPERLINK("https://macaulaylibrary.org/asset/639162824","Open")</f>
        <v>Open</v>
      </c>
      <c r="V2721" s="19"/>
    </row>
    <row r="2722" customFormat="false" ht="15" hidden="false" customHeight="false" outlineLevel="0" collapsed="false">
      <c r="A2722" s="19" t="s">
        <v>8091</v>
      </c>
      <c r="B2722" s="19" t="s">
        <v>943</v>
      </c>
      <c r="C2722" s="19" t="s">
        <v>7202</v>
      </c>
      <c r="D2722" s="19" t="s">
        <v>148</v>
      </c>
      <c r="E2722" s="19" t="s">
        <v>147</v>
      </c>
      <c r="F2722" s="19" t="s">
        <v>323</v>
      </c>
      <c r="G2722" s="19" t="n">
        <v>189</v>
      </c>
      <c r="H2722" s="19" t="s">
        <v>324</v>
      </c>
      <c r="I2722" s="20" t="n">
        <v>159.508</v>
      </c>
      <c r="J2722" s="19" t="n">
        <f aca="false">IF(I2722="","",MIN(Overview!$B$8,MAX(1,CEILING(I2722/Overview!$B$7,1))))</f>
        <v>32</v>
      </c>
      <c r="K2722" s="19" t="n">
        <v>1</v>
      </c>
      <c r="L2722" s="19"/>
      <c r="M2722" s="20" t="n">
        <v>4</v>
      </c>
      <c r="N2722" s="19"/>
      <c r="O2722" s="19"/>
      <c r="P2722" s="19" t="s">
        <v>1664</v>
      </c>
      <c r="Q2722" s="19" t="s">
        <v>1021</v>
      </c>
      <c r="R2722" s="21" t="n">
        <v>35866</v>
      </c>
      <c r="S2722" s="19" t="s">
        <v>1279</v>
      </c>
      <c r="T2722" s="19" t="s">
        <v>8092</v>
      </c>
      <c r="U2722" s="19" t="str">
        <f aca="false">HYPERLINK("https://macaulaylibrary.org/asset/102590701","Open")</f>
        <v>Open</v>
      </c>
      <c r="V2722" s="19"/>
    </row>
    <row r="2723" customFormat="false" ht="15" hidden="false" customHeight="false" outlineLevel="0" collapsed="false">
      <c r="A2723" s="19" t="s">
        <v>8093</v>
      </c>
      <c r="B2723" s="19" t="s">
        <v>943</v>
      </c>
      <c r="C2723" s="19" t="s">
        <v>7202</v>
      </c>
      <c r="D2723" s="19" t="s">
        <v>148</v>
      </c>
      <c r="E2723" s="19" t="s">
        <v>147</v>
      </c>
      <c r="F2723" s="19" t="s">
        <v>323</v>
      </c>
      <c r="G2723" s="19" t="n">
        <v>189</v>
      </c>
      <c r="H2723" s="19" t="s">
        <v>324</v>
      </c>
      <c r="I2723" s="20" t="n">
        <v>198.21</v>
      </c>
      <c r="J2723" s="19" t="n">
        <f aca="false">IF(I2723="","",MIN(Overview!$B$8,MAX(1,CEILING(I2723/Overview!$B$7,1))))</f>
        <v>40</v>
      </c>
      <c r="K2723" s="19" t="n">
        <v>1</v>
      </c>
      <c r="L2723" s="19"/>
      <c r="M2723" s="20" t="n">
        <v>4</v>
      </c>
      <c r="N2723" s="19"/>
      <c r="O2723" s="19" t="s">
        <v>447</v>
      </c>
      <c r="P2723" s="19" t="s">
        <v>1274</v>
      </c>
      <c r="Q2723" s="19" t="s">
        <v>980</v>
      </c>
      <c r="R2723" s="21" t="n">
        <v>35209</v>
      </c>
      <c r="S2723" s="19" t="s">
        <v>4454</v>
      </c>
      <c r="T2723" s="19" t="s">
        <v>8094</v>
      </c>
      <c r="U2723" s="19" t="str">
        <f aca="false">HYPERLINK("https://macaulaylibrary.org/asset/185568","Open")</f>
        <v>Open</v>
      </c>
      <c r="V2723" s="19" t="s">
        <v>5448</v>
      </c>
    </row>
    <row r="2724" customFormat="false" ht="15" hidden="false" customHeight="false" outlineLevel="0" collapsed="false">
      <c r="A2724" s="19" t="s">
        <v>8095</v>
      </c>
      <c r="B2724" s="19" t="s">
        <v>943</v>
      </c>
      <c r="C2724" s="19" t="s">
        <v>7202</v>
      </c>
      <c r="D2724" s="19" t="s">
        <v>148</v>
      </c>
      <c r="E2724" s="19" t="s">
        <v>147</v>
      </c>
      <c r="F2724" s="19" t="s">
        <v>323</v>
      </c>
      <c r="G2724" s="19" t="n">
        <v>189</v>
      </c>
      <c r="H2724" s="19" t="s">
        <v>324</v>
      </c>
      <c r="I2724" s="20" t="n">
        <v>13.111</v>
      </c>
      <c r="J2724" s="19" t="n">
        <f aca="false">IF(I2724="","",MIN(Overview!$B$8,MAX(1,CEILING(I2724/Overview!$B$7,1))))</f>
        <v>3</v>
      </c>
      <c r="K2724" s="19" t="n">
        <v>1</v>
      </c>
      <c r="L2724" s="19"/>
      <c r="M2724" s="20" t="n">
        <v>1</v>
      </c>
      <c r="N2724" s="19"/>
      <c r="O2724" s="19"/>
      <c r="P2724" s="19" t="s">
        <v>2078</v>
      </c>
      <c r="Q2724" s="19" t="s">
        <v>2079</v>
      </c>
      <c r="R2724" s="21" t="n">
        <v>43511</v>
      </c>
      <c r="S2724" s="19" t="s">
        <v>2056</v>
      </c>
      <c r="T2724" s="19" t="s">
        <v>8096</v>
      </c>
      <c r="U2724" s="19" t="str">
        <f aca="false">HYPERLINK("https://macaulaylibrary.org/asset/246605071","Open")</f>
        <v>Open</v>
      </c>
      <c r="V2724" s="19"/>
    </row>
    <row r="2725" customFormat="false" ht="15" hidden="false" customHeight="false" outlineLevel="0" collapsed="false">
      <c r="A2725" s="19" t="s">
        <v>8097</v>
      </c>
      <c r="B2725" s="19" t="s">
        <v>943</v>
      </c>
      <c r="C2725" s="19" t="s">
        <v>7202</v>
      </c>
      <c r="D2725" s="19" t="s">
        <v>400</v>
      </c>
      <c r="E2725" s="19" t="s">
        <v>147</v>
      </c>
      <c r="F2725" s="19" t="s">
        <v>580</v>
      </c>
      <c r="G2725" s="19" t="n">
        <v>190</v>
      </c>
      <c r="H2725" s="19" t="s">
        <v>581</v>
      </c>
      <c r="I2725" s="20" t="n">
        <v>1203.593</v>
      </c>
      <c r="J2725" s="19" t="n">
        <f aca="false">IF(I2725="","",MIN(Overview!$B$8,MAX(1,CEILING(I2725/Overview!$B$7,1))))</f>
        <v>120</v>
      </c>
      <c r="K2725" s="19" t="n">
        <v>1</v>
      </c>
      <c r="L2725" s="19"/>
      <c r="M2725" s="20" t="n">
        <v>3</v>
      </c>
      <c r="N2725" s="19"/>
      <c r="O2725" s="19"/>
      <c r="P2725" s="19" t="s">
        <v>1730</v>
      </c>
      <c r="Q2725" s="19" t="s">
        <v>980</v>
      </c>
      <c r="R2725" s="21" t="n">
        <v>32558</v>
      </c>
      <c r="S2725" s="19" t="s">
        <v>8098</v>
      </c>
      <c r="T2725" s="19" t="s">
        <v>8099</v>
      </c>
      <c r="U2725" s="19" t="str">
        <f aca="false">HYPERLINK("https://macaulaylibrary.org/asset/215422","Open")</f>
        <v>Open</v>
      </c>
      <c r="V2725" s="19"/>
    </row>
    <row r="2726" customFormat="false" ht="15" hidden="false" customHeight="false" outlineLevel="0" collapsed="false">
      <c r="A2726" s="19" t="s">
        <v>8100</v>
      </c>
      <c r="B2726" s="19" t="s">
        <v>943</v>
      </c>
      <c r="C2726" s="19" t="s">
        <v>7202</v>
      </c>
      <c r="D2726" s="19" t="s">
        <v>400</v>
      </c>
      <c r="E2726" s="19" t="s">
        <v>147</v>
      </c>
      <c r="F2726" s="19" t="s">
        <v>453</v>
      </c>
      <c r="G2726" s="19" t="n">
        <v>191</v>
      </c>
      <c r="H2726" s="19" t="s">
        <v>454</v>
      </c>
      <c r="I2726" s="20" t="n">
        <v>10.581</v>
      </c>
      <c r="J2726" s="19" t="n">
        <f aca="false">IF(I2726="","",MIN(Overview!$B$8,MAX(1,CEILING(I2726/Overview!$B$7,1))))</f>
        <v>3</v>
      </c>
      <c r="K2726" s="19" t="n">
        <v>1</v>
      </c>
      <c r="L2726" s="19"/>
      <c r="M2726" s="20"/>
      <c r="N2726" s="19"/>
      <c r="O2726" s="19"/>
      <c r="P2726" s="19" t="s">
        <v>2190</v>
      </c>
      <c r="Q2726" s="19" t="s">
        <v>1204</v>
      </c>
      <c r="R2726" s="21" t="n">
        <v>44612</v>
      </c>
      <c r="S2726" s="19" t="s">
        <v>1969</v>
      </c>
      <c r="T2726" s="19" t="s">
        <v>8101</v>
      </c>
      <c r="U2726" s="19" t="str">
        <f aca="false">HYPERLINK("https://macaulaylibrary.org/asset/531235891","Open")</f>
        <v>Open</v>
      </c>
      <c r="V2726" s="19"/>
    </row>
    <row r="2727" customFormat="false" ht="15" hidden="false" customHeight="false" outlineLevel="0" collapsed="false">
      <c r="A2727" s="19" t="s">
        <v>8102</v>
      </c>
      <c r="B2727" s="19" t="s">
        <v>943</v>
      </c>
      <c r="C2727" s="19" t="s">
        <v>7202</v>
      </c>
      <c r="D2727" s="19" t="s">
        <v>400</v>
      </c>
      <c r="E2727" s="19" t="s">
        <v>147</v>
      </c>
      <c r="F2727" s="19" t="s">
        <v>677</v>
      </c>
      <c r="G2727" s="19" t="n">
        <v>192</v>
      </c>
      <c r="H2727" s="19" t="s">
        <v>678</v>
      </c>
      <c r="I2727" s="20" t="n">
        <v>10.26</v>
      </c>
      <c r="J2727" s="19" t="n">
        <f aca="false">IF(I2727="","",MIN(Overview!$B$8,MAX(1,CEILING(I2727/Overview!$B$7,1))))</f>
        <v>3</v>
      </c>
      <c r="K2727" s="19" t="n">
        <v>1</v>
      </c>
      <c r="L2727" s="19"/>
      <c r="M2727" s="20" t="n">
        <v>3.4</v>
      </c>
      <c r="N2727" s="19"/>
      <c r="O2727" s="19"/>
      <c r="P2727" s="19" t="s">
        <v>2916</v>
      </c>
      <c r="Q2727" s="19" t="s">
        <v>2235</v>
      </c>
      <c r="R2727" s="21" t="n">
        <v>43469</v>
      </c>
      <c r="S2727" s="19" t="s">
        <v>1484</v>
      </c>
      <c r="T2727" s="19" t="s">
        <v>8103</v>
      </c>
      <c r="U2727" s="19" t="str">
        <f aca="false">HYPERLINK("https://macaulaylibrary.org/asset/137863951","Open")</f>
        <v>Open</v>
      </c>
      <c r="V2727" s="19"/>
    </row>
    <row r="2728" customFormat="false" ht="15" hidden="false" customHeight="false" outlineLevel="0" collapsed="false">
      <c r="A2728" s="19" t="s">
        <v>8104</v>
      </c>
      <c r="B2728" s="19" t="s">
        <v>943</v>
      </c>
      <c r="C2728" s="19" t="s">
        <v>7202</v>
      </c>
      <c r="D2728" s="19" t="s">
        <v>613</v>
      </c>
      <c r="E2728" s="19" t="s">
        <v>147</v>
      </c>
      <c r="F2728" s="19" t="s">
        <v>861</v>
      </c>
      <c r="G2728" s="19" t="n">
        <v>193</v>
      </c>
      <c r="H2728" s="19" t="s">
        <v>862</v>
      </c>
      <c r="I2728" s="20" t="n">
        <v>1263.066</v>
      </c>
      <c r="J2728" s="19" t="n">
        <f aca="false">IF(I2728="","",MIN(Overview!$B$8,MAX(1,CEILING(I2728/Overview!$B$7,1))))</f>
        <v>120</v>
      </c>
      <c r="K2728" s="19" t="n">
        <v>1</v>
      </c>
      <c r="L2728" s="19"/>
      <c r="M2728" s="20" t="n">
        <v>3.67</v>
      </c>
      <c r="N2728" s="19"/>
      <c r="O2728" s="19"/>
      <c r="P2728" s="19" t="s">
        <v>8105</v>
      </c>
      <c r="Q2728" s="19" t="s">
        <v>8106</v>
      </c>
      <c r="R2728" s="21" t="n">
        <v>35888</v>
      </c>
      <c r="S2728" s="19"/>
      <c r="T2728" s="19" t="s">
        <v>8107</v>
      </c>
      <c r="U2728" s="19" t="str">
        <f aca="false">HYPERLINK("https://macaulaylibrary.org/asset/329360","Open")</f>
        <v>Open</v>
      </c>
      <c r="V2728" s="19"/>
    </row>
    <row r="2729" customFormat="false" ht="15" hidden="false" customHeight="false" outlineLevel="0" collapsed="false">
      <c r="A2729" s="19" t="s">
        <v>8108</v>
      </c>
      <c r="B2729" s="19" t="s">
        <v>943</v>
      </c>
      <c r="C2729" s="19" t="s">
        <v>7202</v>
      </c>
      <c r="D2729" s="19" t="s">
        <v>148</v>
      </c>
      <c r="E2729" s="19" t="s">
        <v>147</v>
      </c>
      <c r="F2729" s="19" t="s">
        <v>341</v>
      </c>
      <c r="G2729" s="19" t="n">
        <v>194</v>
      </c>
      <c r="H2729" s="19" t="s">
        <v>342</v>
      </c>
      <c r="I2729" s="20" t="n">
        <v>33.92</v>
      </c>
      <c r="J2729" s="19" t="n">
        <f aca="false">IF(I2729="","",MIN(Overview!$B$8,MAX(1,CEILING(I2729/Overview!$B$7,1))))</f>
        <v>7</v>
      </c>
      <c r="K2729" s="19" t="n">
        <v>1</v>
      </c>
      <c r="L2729" s="19"/>
      <c r="M2729" s="20"/>
      <c r="N2729" s="19"/>
      <c r="O2729" s="19"/>
      <c r="P2729" s="19" t="s">
        <v>8109</v>
      </c>
      <c r="Q2729" s="19" t="s">
        <v>2385</v>
      </c>
      <c r="R2729" s="21" t="n">
        <v>45844</v>
      </c>
      <c r="S2729" s="19" t="s">
        <v>8110</v>
      </c>
      <c r="T2729" s="19" t="s">
        <v>8111</v>
      </c>
      <c r="U2729" s="19" t="str">
        <f aca="false">HYPERLINK("https://macaulaylibrary.org/asset/639078966","Open")</f>
        <v>Open</v>
      </c>
      <c r="V2729" s="19"/>
    </row>
    <row r="2730" customFormat="false" ht="15" hidden="false" customHeight="false" outlineLevel="0" collapsed="false">
      <c r="A2730" s="19" t="s">
        <v>8112</v>
      </c>
      <c r="B2730" s="19" t="s">
        <v>943</v>
      </c>
      <c r="C2730" s="19" t="s">
        <v>7202</v>
      </c>
      <c r="D2730" s="19" t="s">
        <v>148</v>
      </c>
      <c r="E2730" s="19" t="s">
        <v>147</v>
      </c>
      <c r="F2730" s="19" t="s">
        <v>341</v>
      </c>
      <c r="G2730" s="19" t="n">
        <v>194</v>
      </c>
      <c r="H2730" s="19" t="s">
        <v>342</v>
      </c>
      <c r="I2730" s="20" t="n">
        <v>66.901</v>
      </c>
      <c r="J2730" s="19" t="n">
        <f aca="false">IF(I2730="","",MIN(Overview!$B$8,MAX(1,CEILING(I2730/Overview!$B$7,1))))</f>
        <v>14</v>
      </c>
      <c r="K2730" s="19" t="n">
        <v>1</v>
      </c>
      <c r="L2730" s="19"/>
      <c r="M2730" s="20"/>
      <c r="N2730" s="19"/>
      <c r="O2730" s="19"/>
      <c r="P2730" s="19" t="s">
        <v>8109</v>
      </c>
      <c r="Q2730" s="19" t="s">
        <v>2385</v>
      </c>
      <c r="R2730" s="21" t="n">
        <v>45844</v>
      </c>
      <c r="S2730" s="19" t="s">
        <v>8110</v>
      </c>
      <c r="T2730" s="19" t="s">
        <v>8113</v>
      </c>
      <c r="U2730" s="19" t="str">
        <f aca="false">HYPERLINK("https://macaulaylibrary.org/asset/639078967","Open")</f>
        <v>Open</v>
      </c>
      <c r="V2730" s="19"/>
    </row>
    <row r="2731" customFormat="false" ht="15" hidden="false" customHeight="false" outlineLevel="0" collapsed="false">
      <c r="A2731" s="19" t="s">
        <v>8114</v>
      </c>
      <c r="B2731" s="19" t="s">
        <v>943</v>
      </c>
      <c r="C2731" s="19" t="s">
        <v>7202</v>
      </c>
      <c r="D2731" s="19" t="s">
        <v>400</v>
      </c>
      <c r="E2731" s="19" t="s">
        <v>147</v>
      </c>
      <c r="F2731" s="19" t="s">
        <v>457</v>
      </c>
      <c r="G2731" s="19" t="n">
        <v>195</v>
      </c>
      <c r="H2731" s="19" t="s">
        <v>458</v>
      </c>
      <c r="I2731" s="20" t="n">
        <v>6</v>
      </c>
      <c r="J2731" s="19" t="n">
        <f aca="false">IF(I2731="","",MIN(Overview!$B$8,MAX(1,CEILING(I2731/Overview!$B$7,1))))</f>
        <v>2</v>
      </c>
      <c r="K2731" s="19" t="n">
        <v>1</v>
      </c>
      <c r="L2731" s="19"/>
      <c r="M2731" s="20" t="n">
        <v>2</v>
      </c>
      <c r="N2731" s="19"/>
      <c r="O2731" s="19"/>
      <c r="P2731" s="19" t="s">
        <v>1414</v>
      </c>
      <c r="Q2731" s="19" t="s">
        <v>1204</v>
      </c>
      <c r="R2731" s="21" t="n">
        <v>44608</v>
      </c>
      <c r="S2731" s="19" t="s">
        <v>1415</v>
      </c>
      <c r="T2731" s="19" t="s">
        <v>8115</v>
      </c>
      <c r="U2731" s="19" t="str">
        <f aca="false">HYPERLINK("https://macaulaylibrary.org/asset/531097841","Open")</f>
        <v>Open</v>
      </c>
      <c r="V2731" s="19"/>
    </row>
    <row r="2732" customFormat="false" ht="15" hidden="false" customHeight="false" outlineLevel="0" collapsed="false">
      <c r="A2732" s="19" t="s">
        <v>8116</v>
      </c>
      <c r="B2732" s="19" t="s">
        <v>943</v>
      </c>
      <c r="C2732" s="19" t="s">
        <v>7202</v>
      </c>
      <c r="D2732" s="19" t="s">
        <v>400</v>
      </c>
      <c r="E2732" s="19" t="s">
        <v>147</v>
      </c>
      <c r="F2732" s="19" t="s">
        <v>728</v>
      </c>
      <c r="G2732" s="19" t="n">
        <v>196</v>
      </c>
      <c r="H2732" s="19" t="s">
        <v>729</v>
      </c>
      <c r="I2732" s="20" t="n">
        <v>79.812</v>
      </c>
      <c r="J2732" s="19" t="n">
        <f aca="false">IF(I2732="","",MIN(Overview!$B$8,MAX(1,CEILING(I2732/Overview!$B$7,1))))</f>
        <v>16</v>
      </c>
      <c r="K2732" s="19" t="n">
        <v>1</v>
      </c>
      <c r="L2732" s="19"/>
      <c r="M2732" s="20" t="n">
        <v>3.5</v>
      </c>
      <c r="N2732" s="19"/>
      <c r="O2732" s="19"/>
      <c r="P2732" s="19" t="s">
        <v>2499</v>
      </c>
      <c r="Q2732" s="19" t="s">
        <v>1063</v>
      </c>
      <c r="R2732" s="21" t="n">
        <v>44087</v>
      </c>
      <c r="S2732" s="19" t="s">
        <v>2500</v>
      </c>
      <c r="T2732" s="19" t="s">
        <v>8117</v>
      </c>
      <c r="U2732" s="19" t="str">
        <f aca="false">HYPERLINK("https://macaulaylibrary.org/asset/268183431","Open")</f>
        <v>Open</v>
      </c>
      <c r="V2732" s="19"/>
    </row>
    <row r="2733" customFormat="false" ht="15" hidden="false" customHeight="false" outlineLevel="0" collapsed="false">
      <c r="A2733" s="19" t="s">
        <v>8118</v>
      </c>
      <c r="B2733" s="19" t="s">
        <v>943</v>
      </c>
      <c r="C2733" s="19" t="s">
        <v>7202</v>
      </c>
      <c r="D2733" s="19" t="s">
        <v>400</v>
      </c>
      <c r="E2733" s="19" t="s">
        <v>147</v>
      </c>
      <c r="F2733" s="19" t="s">
        <v>583</v>
      </c>
      <c r="G2733" s="19" t="n">
        <v>197</v>
      </c>
      <c r="H2733" s="19" t="s">
        <v>584</v>
      </c>
      <c r="I2733" s="20" t="n">
        <v>68.535</v>
      </c>
      <c r="J2733" s="19" t="n">
        <f aca="false">IF(I2733="","",MIN(Overview!$B$8,MAX(1,CEILING(I2733/Overview!$B$7,1))))</f>
        <v>14</v>
      </c>
      <c r="K2733" s="19" t="n">
        <v>1</v>
      </c>
      <c r="L2733" s="19"/>
      <c r="M2733" s="20"/>
      <c r="N2733" s="19"/>
      <c r="O2733" s="19"/>
      <c r="P2733" s="19" t="s">
        <v>3152</v>
      </c>
      <c r="Q2733" s="19" t="s">
        <v>1408</v>
      </c>
      <c r="R2733" s="21" t="n">
        <v>31807</v>
      </c>
      <c r="S2733" s="19" t="s">
        <v>1009</v>
      </c>
      <c r="T2733" s="19" t="s">
        <v>8119</v>
      </c>
      <c r="U2733" s="19" t="str">
        <f aca="false">HYPERLINK("https://macaulaylibrary.org/asset/306049851","Open")</f>
        <v>Open</v>
      </c>
      <c r="V2733" s="19"/>
    </row>
    <row r="2734" customFormat="false" ht="15" hidden="false" customHeight="false" outlineLevel="0" collapsed="false">
      <c r="A2734" s="19" t="s">
        <v>8120</v>
      </c>
      <c r="B2734" s="19" t="s">
        <v>943</v>
      </c>
      <c r="C2734" s="19" t="s">
        <v>7202</v>
      </c>
      <c r="D2734" s="19" t="s">
        <v>400</v>
      </c>
      <c r="E2734" s="19" t="s">
        <v>147</v>
      </c>
      <c r="F2734" s="19" t="s">
        <v>460</v>
      </c>
      <c r="G2734" s="19" t="n">
        <v>198</v>
      </c>
      <c r="H2734" s="19" t="s">
        <v>461</v>
      </c>
      <c r="I2734" s="20" t="n">
        <v>4.184</v>
      </c>
      <c r="J2734" s="19" t="n">
        <f aca="false">IF(I2734="","",MIN(Overview!$B$8,MAX(1,CEILING(I2734/Overview!$B$7,1))))</f>
        <v>1</v>
      </c>
      <c r="K2734" s="19" t="n">
        <v>1</v>
      </c>
      <c r="L2734" s="19" t="s">
        <v>1048</v>
      </c>
      <c r="M2734" s="20" t="n">
        <v>3</v>
      </c>
      <c r="N2734" s="19"/>
      <c r="O2734" s="19"/>
      <c r="P2734" s="19" t="s">
        <v>1029</v>
      </c>
      <c r="Q2734" s="19" t="s">
        <v>1030</v>
      </c>
      <c r="R2734" s="21" t="n">
        <v>40251</v>
      </c>
      <c r="S2734" s="19" t="s">
        <v>1777</v>
      </c>
      <c r="T2734" s="19" t="s">
        <v>8121</v>
      </c>
      <c r="U2734" s="19" t="str">
        <f aca="false">HYPERLINK("https://macaulaylibrary.org/asset/299659","Open")</f>
        <v>Open</v>
      </c>
      <c r="V2734" s="19"/>
    </row>
    <row r="2735" customFormat="false" ht="15" hidden="false" customHeight="false" outlineLevel="0" collapsed="false">
      <c r="A2735" s="19" t="s">
        <v>8122</v>
      </c>
      <c r="B2735" s="19" t="s">
        <v>943</v>
      </c>
      <c r="C2735" s="19" t="s">
        <v>7202</v>
      </c>
      <c r="D2735" s="19" t="s">
        <v>148</v>
      </c>
      <c r="E2735" s="19" t="s">
        <v>147</v>
      </c>
      <c r="F2735" s="19" t="s">
        <v>188</v>
      </c>
      <c r="G2735" s="19" t="n">
        <v>199</v>
      </c>
      <c r="H2735" s="19" t="s">
        <v>189</v>
      </c>
      <c r="I2735" s="20" t="n">
        <v>10.766</v>
      </c>
      <c r="J2735" s="19" t="n">
        <f aca="false">IF(I2735="","",MIN(Overview!$B$8,MAX(1,CEILING(I2735/Overview!$B$7,1))))</f>
        <v>3</v>
      </c>
      <c r="K2735" s="19" t="n">
        <v>1</v>
      </c>
      <c r="L2735" s="19"/>
      <c r="M2735" s="20" t="n">
        <v>3</v>
      </c>
      <c r="N2735" s="19"/>
      <c r="O2735" s="19"/>
      <c r="P2735" s="19" t="s">
        <v>1049</v>
      </c>
      <c r="Q2735" s="19" t="s">
        <v>1050</v>
      </c>
      <c r="R2735" s="21" t="n">
        <v>43406</v>
      </c>
      <c r="S2735" s="19" t="s">
        <v>1051</v>
      </c>
      <c r="T2735" s="19" t="s">
        <v>8123</v>
      </c>
      <c r="U2735" s="19" t="str">
        <f aca="false">HYPERLINK("https://macaulaylibrary.org/asset/139009241","Open")</f>
        <v>Open</v>
      </c>
      <c r="V2735" s="19"/>
    </row>
    <row r="2736" customFormat="false" ht="15" hidden="false" customHeight="false" outlineLevel="0" collapsed="false">
      <c r="A2736" s="19" t="s">
        <v>8124</v>
      </c>
      <c r="B2736" s="19" t="s">
        <v>943</v>
      </c>
      <c r="C2736" s="19" t="s">
        <v>7202</v>
      </c>
      <c r="D2736" s="19" t="s">
        <v>148</v>
      </c>
      <c r="E2736" s="19" t="s">
        <v>147</v>
      </c>
      <c r="F2736" s="19" t="s">
        <v>188</v>
      </c>
      <c r="G2736" s="19" t="n">
        <v>199</v>
      </c>
      <c r="H2736" s="19" t="s">
        <v>189</v>
      </c>
      <c r="I2736" s="20" t="n">
        <v>440.309</v>
      </c>
      <c r="J2736" s="19" t="n">
        <f aca="false">IF(I2736="","",MIN(Overview!$B$8,MAX(1,CEILING(I2736/Overview!$B$7,1))))</f>
        <v>89</v>
      </c>
      <c r="K2736" s="19" t="n">
        <v>1</v>
      </c>
      <c r="L2736" s="19"/>
      <c r="M2736" s="20" t="n">
        <v>4</v>
      </c>
      <c r="N2736" s="19"/>
      <c r="O2736" s="19"/>
      <c r="P2736" s="19" t="s">
        <v>1669</v>
      </c>
      <c r="Q2736" s="19" t="s">
        <v>1021</v>
      </c>
      <c r="R2736" s="21" t="n">
        <v>36600</v>
      </c>
      <c r="S2736" s="19" t="s">
        <v>1036</v>
      </c>
      <c r="T2736" s="19" t="s">
        <v>8125</v>
      </c>
      <c r="U2736" s="19" t="str">
        <f aca="false">HYPERLINK("https://macaulaylibrary.org/asset/151646721","Open")</f>
        <v>Open</v>
      </c>
      <c r="V2736" s="19"/>
    </row>
    <row r="2737" customFormat="false" ht="15" hidden="false" customHeight="false" outlineLevel="0" collapsed="false">
      <c r="A2737" s="19" t="s">
        <v>8126</v>
      </c>
      <c r="B2737" s="19" t="s">
        <v>943</v>
      </c>
      <c r="C2737" s="19" t="s">
        <v>7202</v>
      </c>
      <c r="D2737" s="19" t="s">
        <v>148</v>
      </c>
      <c r="E2737" s="19" t="s">
        <v>147</v>
      </c>
      <c r="F2737" s="19" t="s">
        <v>188</v>
      </c>
      <c r="G2737" s="19" t="n">
        <v>199</v>
      </c>
      <c r="H2737" s="19" t="s">
        <v>189</v>
      </c>
      <c r="I2737" s="20" t="n">
        <v>96.213</v>
      </c>
      <c r="J2737" s="19" t="n">
        <f aca="false">IF(I2737="","",MIN(Overview!$B$8,MAX(1,CEILING(I2737/Overview!$B$7,1))))</f>
        <v>20</v>
      </c>
      <c r="K2737" s="19" t="n">
        <v>1</v>
      </c>
      <c r="L2737" s="19"/>
      <c r="M2737" s="20" t="n">
        <v>3</v>
      </c>
      <c r="N2737" s="19"/>
      <c r="O2737" s="19"/>
      <c r="P2737" s="19" t="s">
        <v>3433</v>
      </c>
      <c r="Q2737" s="19" t="s">
        <v>2343</v>
      </c>
      <c r="R2737" s="21" t="n">
        <v>31504</v>
      </c>
      <c r="S2737" s="19" t="s">
        <v>3255</v>
      </c>
      <c r="T2737" s="19" t="s">
        <v>8127</v>
      </c>
      <c r="U2737" s="19" t="str">
        <f aca="false">HYPERLINK("https://macaulaylibrary.org/asset/249426","Open")</f>
        <v>Open</v>
      </c>
      <c r="V2737" s="19"/>
    </row>
    <row r="2738" customFormat="false" ht="15" hidden="false" customHeight="false" outlineLevel="0" collapsed="false">
      <c r="A2738" s="19" t="s">
        <v>8128</v>
      </c>
      <c r="B2738" s="19" t="s">
        <v>943</v>
      </c>
      <c r="C2738" s="19" t="s">
        <v>7202</v>
      </c>
      <c r="D2738" s="19" t="s">
        <v>148</v>
      </c>
      <c r="E2738" s="19" t="s">
        <v>147</v>
      </c>
      <c r="F2738" s="19" t="s">
        <v>188</v>
      </c>
      <c r="G2738" s="19" t="n">
        <v>199</v>
      </c>
      <c r="H2738" s="19" t="s">
        <v>189</v>
      </c>
      <c r="I2738" s="20" t="n">
        <v>86.952</v>
      </c>
      <c r="J2738" s="19" t="n">
        <f aca="false">IF(I2738="","",MIN(Overview!$B$8,MAX(1,CEILING(I2738/Overview!$B$7,1))))</f>
        <v>18</v>
      </c>
      <c r="K2738" s="19" t="n">
        <v>1</v>
      </c>
      <c r="L2738" s="19"/>
      <c r="M2738" s="20" t="n">
        <v>4</v>
      </c>
      <c r="N2738" s="19"/>
      <c r="O2738" s="19"/>
      <c r="P2738" s="19" t="s">
        <v>1140</v>
      </c>
      <c r="Q2738" s="19" t="s">
        <v>1030</v>
      </c>
      <c r="R2738" s="21" t="n">
        <v>40250</v>
      </c>
      <c r="S2738" s="19" t="s">
        <v>8129</v>
      </c>
      <c r="T2738" s="19" t="s">
        <v>8130</v>
      </c>
      <c r="U2738" s="19" t="str">
        <f aca="false">HYPERLINK("https://macaulaylibrary.org/asset/299567","Open")</f>
        <v>Open</v>
      </c>
      <c r="V2738" s="19"/>
    </row>
    <row r="2739" customFormat="false" ht="15" hidden="false" customHeight="false" outlineLevel="0" collapsed="false">
      <c r="A2739" s="19" t="s">
        <v>8131</v>
      </c>
      <c r="B2739" s="19" t="s">
        <v>943</v>
      </c>
      <c r="C2739" s="19" t="s">
        <v>7202</v>
      </c>
      <c r="D2739" s="19" t="s">
        <v>148</v>
      </c>
      <c r="E2739" s="19" t="s">
        <v>147</v>
      </c>
      <c r="F2739" s="19" t="s">
        <v>188</v>
      </c>
      <c r="G2739" s="19" t="n">
        <v>199</v>
      </c>
      <c r="H2739" s="19" t="s">
        <v>189</v>
      </c>
      <c r="I2739" s="20" t="n">
        <v>23.508</v>
      </c>
      <c r="J2739" s="19" t="n">
        <f aca="false">IF(I2739="","",MIN(Overview!$B$8,MAX(1,CEILING(I2739/Overview!$B$7,1))))</f>
        <v>5</v>
      </c>
      <c r="K2739" s="19" t="n">
        <v>1</v>
      </c>
      <c r="L2739" s="19"/>
      <c r="M2739" s="20"/>
      <c r="N2739" s="19"/>
      <c r="O2739" s="19"/>
      <c r="P2739" s="19" t="s">
        <v>1140</v>
      </c>
      <c r="Q2739" s="19" t="s">
        <v>1030</v>
      </c>
      <c r="R2739" s="21" t="n">
        <v>40250</v>
      </c>
      <c r="S2739" s="19" t="s">
        <v>8132</v>
      </c>
      <c r="T2739" s="19" t="s">
        <v>8133</v>
      </c>
      <c r="U2739" s="19" t="str">
        <f aca="false">HYPERLINK("https://macaulaylibrary.org/asset/299568","Open")</f>
        <v>Open</v>
      </c>
      <c r="V2739" s="19"/>
    </row>
    <row r="2740" customFormat="false" ht="15" hidden="false" customHeight="false" outlineLevel="0" collapsed="false">
      <c r="A2740" s="19" t="s">
        <v>8134</v>
      </c>
      <c r="B2740" s="19" t="s">
        <v>943</v>
      </c>
      <c r="C2740" s="19" t="s">
        <v>7202</v>
      </c>
      <c r="D2740" s="19" t="s">
        <v>148</v>
      </c>
      <c r="E2740" s="19" t="s">
        <v>147</v>
      </c>
      <c r="F2740" s="19" t="s">
        <v>188</v>
      </c>
      <c r="G2740" s="19" t="n">
        <v>199</v>
      </c>
      <c r="H2740" s="19" t="s">
        <v>189</v>
      </c>
      <c r="I2740" s="20" t="n">
        <v>71.603</v>
      </c>
      <c r="J2740" s="19" t="n">
        <f aca="false">IF(I2740="","",MIN(Overview!$B$8,MAX(1,CEILING(I2740/Overview!$B$7,1))))</f>
        <v>15</v>
      </c>
      <c r="K2740" s="19" t="n">
        <v>1</v>
      </c>
      <c r="L2740" s="19"/>
      <c r="M2740" s="20"/>
      <c r="N2740" s="19"/>
      <c r="O2740" s="19"/>
      <c r="P2740" s="19" t="s">
        <v>1140</v>
      </c>
      <c r="Q2740" s="19" t="s">
        <v>1030</v>
      </c>
      <c r="R2740" s="21" t="n">
        <v>40250</v>
      </c>
      <c r="S2740" s="19" t="s">
        <v>1658</v>
      </c>
      <c r="T2740" s="19" t="s">
        <v>8135</v>
      </c>
      <c r="U2740" s="19" t="str">
        <f aca="false">HYPERLINK("https://macaulaylibrary.org/asset/299570","Open")</f>
        <v>Open</v>
      </c>
      <c r="V2740" s="19"/>
    </row>
    <row r="2741" customFormat="false" ht="15" hidden="false" customHeight="false" outlineLevel="0" collapsed="false">
      <c r="A2741" s="19" t="s">
        <v>8136</v>
      </c>
      <c r="B2741" s="19" t="s">
        <v>943</v>
      </c>
      <c r="C2741" s="19" t="s">
        <v>7202</v>
      </c>
      <c r="D2741" s="19" t="s">
        <v>148</v>
      </c>
      <c r="E2741" s="19" t="s">
        <v>147</v>
      </c>
      <c r="F2741" s="19" t="s">
        <v>188</v>
      </c>
      <c r="G2741" s="19" t="n">
        <v>199</v>
      </c>
      <c r="H2741" s="19" t="s">
        <v>189</v>
      </c>
      <c r="I2741" s="20" t="n">
        <v>64.406</v>
      </c>
      <c r="J2741" s="19" t="n">
        <f aca="false">IF(I2741="","",MIN(Overview!$B$8,MAX(1,CEILING(I2741/Overview!$B$7,1))))</f>
        <v>13</v>
      </c>
      <c r="K2741" s="19" t="n">
        <v>1</v>
      </c>
      <c r="L2741" s="19"/>
      <c r="M2741" s="20" t="n">
        <v>4</v>
      </c>
      <c r="N2741" s="19"/>
      <c r="O2741" s="19"/>
      <c r="P2741" s="19" t="s">
        <v>1787</v>
      </c>
      <c r="Q2741" s="19" t="s">
        <v>1408</v>
      </c>
      <c r="R2741" s="21" t="n">
        <v>32588</v>
      </c>
      <c r="S2741" s="19" t="s">
        <v>1369</v>
      </c>
      <c r="T2741" s="19" t="s">
        <v>8137</v>
      </c>
      <c r="U2741" s="19" t="str">
        <f aca="false">HYPERLINK("https://macaulaylibrary.org/asset/348003151","Open")</f>
        <v>Open</v>
      </c>
      <c r="V2741" s="19"/>
    </row>
    <row r="2742" customFormat="false" ht="15" hidden="false" customHeight="false" outlineLevel="0" collapsed="false">
      <c r="A2742" s="19" t="s">
        <v>8138</v>
      </c>
      <c r="B2742" s="19" t="s">
        <v>943</v>
      </c>
      <c r="C2742" s="19" t="s">
        <v>7202</v>
      </c>
      <c r="D2742" s="19" t="s">
        <v>148</v>
      </c>
      <c r="E2742" s="19" t="s">
        <v>147</v>
      </c>
      <c r="F2742" s="19" t="s">
        <v>413</v>
      </c>
      <c r="G2742" s="19" t="n">
        <v>200</v>
      </c>
      <c r="H2742" s="19" t="s">
        <v>414</v>
      </c>
      <c r="I2742" s="20" t="n">
        <v>18.579</v>
      </c>
      <c r="J2742" s="19" t="n">
        <f aca="false">IF(I2742="","",MIN(Overview!$B$8,MAX(1,CEILING(I2742/Overview!$B$7,1))))</f>
        <v>4</v>
      </c>
      <c r="K2742" s="19" t="n">
        <v>1</v>
      </c>
      <c r="L2742" s="19"/>
      <c r="M2742" s="20" t="n">
        <v>2.5</v>
      </c>
      <c r="N2742" s="19"/>
      <c r="O2742" s="19"/>
      <c r="P2742" s="19" t="s">
        <v>974</v>
      </c>
      <c r="Q2742" s="19" t="s">
        <v>975</v>
      </c>
      <c r="R2742" s="21" t="n">
        <v>43666</v>
      </c>
      <c r="S2742" s="19" t="s">
        <v>976</v>
      </c>
      <c r="T2742" s="19" t="s">
        <v>8139</v>
      </c>
      <c r="U2742" s="19" t="str">
        <f aca="false">HYPERLINK("https://macaulaylibrary.org/asset/179453301","Open")</f>
        <v>Open</v>
      </c>
      <c r="V2742" s="19"/>
    </row>
    <row r="2743" customFormat="false" ht="15" hidden="false" customHeight="false" outlineLevel="0" collapsed="false">
      <c r="A2743" s="19" t="s">
        <v>8140</v>
      </c>
      <c r="B2743" s="19" t="s">
        <v>943</v>
      </c>
      <c r="C2743" s="19" t="s">
        <v>7202</v>
      </c>
      <c r="D2743" s="19" t="s">
        <v>148</v>
      </c>
      <c r="E2743" s="19" t="s">
        <v>147</v>
      </c>
      <c r="F2743" s="19" t="s">
        <v>413</v>
      </c>
      <c r="G2743" s="19" t="n">
        <v>200</v>
      </c>
      <c r="H2743" s="19" t="s">
        <v>414</v>
      </c>
      <c r="I2743" s="20" t="n">
        <v>41.411</v>
      </c>
      <c r="J2743" s="19" t="n">
        <f aca="false">IF(I2743="","",MIN(Overview!$B$8,MAX(1,CEILING(I2743/Overview!$B$7,1))))</f>
        <v>9</v>
      </c>
      <c r="K2743" s="19" t="n">
        <v>1</v>
      </c>
      <c r="L2743" s="19"/>
      <c r="M2743" s="20" t="n">
        <v>3</v>
      </c>
      <c r="N2743" s="19"/>
      <c r="O2743" s="19"/>
      <c r="P2743" s="19" t="s">
        <v>1140</v>
      </c>
      <c r="Q2743" s="19" t="s">
        <v>1030</v>
      </c>
      <c r="R2743" s="21" t="n">
        <v>40250</v>
      </c>
      <c r="S2743" s="19" t="s">
        <v>1884</v>
      </c>
      <c r="T2743" s="19" t="s">
        <v>8141</v>
      </c>
      <c r="U2743" s="19" t="str">
        <f aca="false">HYPERLINK("https://macaulaylibrary.org/asset/299580","Open")</f>
        <v>Open</v>
      </c>
      <c r="V2743" s="19"/>
    </row>
    <row r="2744" customFormat="false" ht="15" hidden="false" customHeight="false" outlineLevel="0" collapsed="false">
      <c r="A2744" s="19" t="s">
        <v>8142</v>
      </c>
      <c r="B2744" s="19" t="s">
        <v>943</v>
      </c>
      <c r="C2744" s="19" t="s">
        <v>7202</v>
      </c>
      <c r="D2744" s="19" t="s">
        <v>400</v>
      </c>
      <c r="E2744" s="19" t="s">
        <v>147</v>
      </c>
      <c r="F2744" s="19" t="s">
        <v>586</v>
      </c>
      <c r="G2744" s="19" t="n">
        <v>201</v>
      </c>
      <c r="H2744" s="19" t="s">
        <v>587</v>
      </c>
      <c r="I2744" s="20" t="n">
        <v>34.325</v>
      </c>
      <c r="J2744" s="19" t="n">
        <f aca="false">IF(I2744="","",MIN(Overview!$B$8,MAX(1,CEILING(I2744/Overview!$B$7,1))))</f>
        <v>7</v>
      </c>
      <c r="K2744" s="19" t="n">
        <v>1</v>
      </c>
      <c r="L2744" s="19"/>
      <c r="M2744" s="20" t="n">
        <v>1</v>
      </c>
      <c r="N2744" s="19"/>
      <c r="O2744" s="19"/>
      <c r="P2744" s="19" t="s">
        <v>8143</v>
      </c>
      <c r="Q2744" s="19" t="s">
        <v>1158</v>
      </c>
      <c r="R2744" s="21" t="n">
        <v>45658</v>
      </c>
      <c r="S2744" s="19" t="s">
        <v>1205</v>
      </c>
      <c r="T2744" s="19" t="s">
        <v>8144</v>
      </c>
      <c r="U2744" s="19" t="str">
        <f aca="false">HYPERLINK("https://macaulaylibrary.org/asset/630202778","Open")</f>
        <v>Open</v>
      </c>
      <c r="V2744" s="19"/>
    </row>
    <row r="2745" customFormat="false" ht="15" hidden="false" customHeight="false" outlineLevel="0" collapsed="false">
      <c r="A2745" s="19" t="s">
        <v>8145</v>
      </c>
      <c r="B2745" s="19" t="s">
        <v>943</v>
      </c>
      <c r="C2745" s="19" t="s">
        <v>7202</v>
      </c>
      <c r="D2745" s="19" t="s">
        <v>613</v>
      </c>
      <c r="E2745" s="19" t="s">
        <v>147</v>
      </c>
      <c r="F2745" s="19" t="s">
        <v>867</v>
      </c>
      <c r="G2745" s="19" t="n">
        <v>203</v>
      </c>
      <c r="H2745" s="19" t="s">
        <v>868</v>
      </c>
      <c r="I2745" s="20" t="n">
        <v>48.782</v>
      </c>
      <c r="J2745" s="19" t="n">
        <f aca="false">IF(I2745="","",MIN(Overview!$B$8,MAX(1,CEILING(I2745/Overview!$B$7,1))))</f>
        <v>10</v>
      </c>
      <c r="K2745" s="19" t="n">
        <v>1</v>
      </c>
      <c r="L2745" s="19"/>
      <c r="M2745" s="20" t="n">
        <v>2.22</v>
      </c>
      <c r="N2745" s="19"/>
      <c r="O2745" s="19"/>
      <c r="P2745" s="19" t="s">
        <v>1883</v>
      </c>
      <c r="Q2745" s="19" t="s">
        <v>1136</v>
      </c>
      <c r="R2745" s="21" t="n">
        <v>29734</v>
      </c>
      <c r="S2745" s="19" t="s">
        <v>1279</v>
      </c>
      <c r="T2745" s="19" t="s">
        <v>8146</v>
      </c>
      <c r="U2745" s="19" t="str">
        <f aca="false">HYPERLINK("https://macaulaylibrary.org/asset/28127","Open")</f>
        <v>Open</v>
      </c>
      <c r="V2745" s="19"/>
    </row>
    <row r="2746" customFormat="false" ht="15" hidden="false" customHeight="false" outlineLevel="0" collapsed="false">
      <c r="A2746" s="19" t="s">
        <v>8147</v>
      </c>
      <c r="B2746" s="19" t="s">
        <v>943</v>
      </c>
      <c r="C2746" s="19" t="s">
        <v>7202</v>
      </c>
      <c r="D2746" s="19" t="s">
        <v>400</v>
      </c>
      <c r="E2746" s="19" t="s">
        <v>147</v>
      </c>
      <c r="F2746" s="19" t="s">
        <v>626</v>
      </c>
      <c r="G2746" s="19" t="n">
        <v>204</v>
      </c>
      <c r="H2746" s="19" t="s">
        <v>627</v>
      </c>
      <c r="I2746" s="20" t="n">
        <v>52.418</v>
      </c>
      <c r="J2746" s="19" t="n">
        <f aca="false">IF(I2746="","",MIN(Overview!$B$8,MAX(1,CEILING(I2746/Overview!$B$7,1))))</f>
        <v>11</v>
      </c>
      <c r="K2746" s="19" t="n">
        <v>1</v>
      </c>
      <c r="L2746" s="19"/>
      <c r="M2746" s="20" t="n">
        <v>2.5</v>
      </c>
      <c r="N2746" s="19"/>
      <c r="O2746" s="19"/>
      <c r="P2746" s="19" t="s">
        <v>2780</v>
      </c>
      <c r="Q2746" s="19" t="s">
        <v>1040</v>
      </c>
      <c r="R2746" s="21" t="n">
        <v>42736</v>
      </c>
      <c r="S2746" s="19" t="s">
        <v>1884</v>
      </c>
      <c r="T2746" s="19" t="s">
        <v>8148</v>
      </c>
      <c r="U2746" s="19" t="str">
        <f aca="false">HYPERLINK("https://macaulaylibrary.org/asset/45570241","Open")</f>
        <v>Open</v>
      </c>
      <c r="V2746" s="19"/>
    </row>
    <row r="2747" customFormat="false" ht="15" hidden="false" customHeight="false" outlineLevel="0" collapsed="false">
      <c r="A2747" s="19" t="s">
        <v>8149</v>
      </c>
      <c r="B2747" s="19" t="s">
        <v>943</v>
      </c>
      <c r="C2747" s="19" t="s">
        <v>7202</v>
      </c>
      <c r="D2747" s="19" t="s">
        <v>400</v>
      </c>
      <c r="E2747" s="19" t="s">
        <v>147</v>
      </c>
      <c r="F2747" s="19" t="s">
        <v>680</v>
      </c>
      <c r="G2747" s="19" t="n">
        <v>205</v>
      </c>
      <c r="H2747" s="19" t="s">
        <v>681</v>
      </c>
      <c r="I2747" s="20" t="n">
        <v>69.496</v>
      </c>
      <c r="J2747" s="19" t="n">
        <f aca="false">IF(I2747="","",MIN(Overview!$B$8,MAX(1,CEILING(I2747/Overview!$B$7,1))))</f>
        <v>14</v>
      </c>
      <c r="K2747" s="19" t="n">
        <v>1</v>
      </c>
      <c r="L2747" s="19"/>
      <c r="M2747" s="20" t="n">
        <v>2</v>
      </c>
      <c r="N2747" s="19"/>
      <c r="O2747" s="19"/>
      <c r="P2747" s="19" t="s">
        <v>8150</v>
      </c>
      <c r="Q2747" s="19" t="s">
        <v>4178</v>
      </c>
      <c r="R2747" s="21" t="n">
        <v>43048</v>
      </c>
      <c r="S2747" s="19" t="s">
        <v>1315</v>
      </c>
      <c r="T2747" s="19" t="s">
        <v>8151</v>
      </c>
      <c r="U2747" s="19" t="str">
        <f aca="false">HYPERLINK("https://macaulaylibrary.org/asset/91763541","Open")</f>
        <v>Open</v>
      </c>
      <c r="V2747" s="19"/>
    </row>
    <row r="2748" customFormat="false" ht="15" hidden="false" customHeight="false" outlineLevel="0" collapsed="false">
      <c r="A2748" s="19" t="s">
        <v>8152</v>
      </c>
      <c r="B2748" s="19" t="s">
        <v>943</v>
      </c>
      <c r="C2748" s="19" t="s">
        <v>7202</v>
      </c>
      <c r="D2748" s="19" t="s">
        <v>400</v>
      </c>
      <c r="E2748" s="19" t="s">
        <v>147</v>
      </c>
      <c r="F2748" s="19" t="s">
        <v>731</v>
      </c>
      <c r="G2748" s="19" t="n">
        <v>206</v>
      </c>
      <c r="H2748" s="19" t="s">
        <v>732</v>
      </c>
      <c r="I2748" s="20" t="n">
        <v>156.469</v>
      </c>
      <c r="J2748" s="19" t="n">
        <f aca="false">IF(I2748="","",MIN(Overview!$B$8,MAX(1,CEILING(I2748/Overview!$B$7,1))))</f>
        <v>32</v>
      </c>
      <c r="K2748" s="19" t="n">
        <v>1</v>
      </c>
      <c r="L2748" s="19"/>
      <c r="M2748" s="20" t="n">
        <v>4</v>
      </c>
      <c r="N2748" s="19"/>
      <c r="O2748" s="19"/>
      <c r="P2748" s="19" t="s">
        <v>4859</v>
      </c>
      <c r="Q2748" s="19" t="s">
        <v>1408</v>
      </c>
      <c r="R2748" s="21" t="n">
        <v>31807</v>
      </c>
      <c r="S2748" s="19" t="s">
        <v>1009</v>
      </c>
      <c r="T2748" s="19" t="s">
        <v>8153</v>
      </c>
      <c r="U2748" s="19" t="str">
        <f aca="false">HYPERLINK("https://macaulaylibrary.org/asset/336570371","Open")</f>
        <v>Open</v>
      </c>
      <c r="V2748" s="19"/>
    </row>
    <row r="2749" customFormat="false" ht="15" hidden="false" customHeight="false" outlineLevel="0" collapsed="false">
      <c r="A2749" s="19" t="s">
        <v>8154</v>
      </c>
      <c r="B2749" s="19" t="s">
        <v>943</v>
      </c>
      <c r="C2749" s="19" t="s">
        <v>7202</v>
      </c>
      <c r="D2749" s="19" t="s">
        <v>400</v>
      </c>
      <c r="E2749" s="19" t="s">
        <v>147</v>
      </c>
      <c r="F2749" s="19" t="s">
        <v>463</v>
      </c>
      <c r="G2749" s="19" t="n">
        <v>207</v>
      </c>
      <c r="H2749" s="19" t="s">
        <v>464</v>
      </c>
      <c r="I2749" s="20" t="n">
        <v>46.314</v>
      </c>
      <c r="J2749" s="19" t="n">
        <f aca="false">IF(I2749="","",MIN(Overview!$B$8,MAX(1,CEILING(I2749/Overview!$B$7,1))))</f>
        <v>10</v>
      </c>
      <c r="K2749" s="19" t="n">
        <v>1</v>
      </c>
      <c r="L2749" s="19"/>
      <c r="M2749" s="20" t="n">
        <v>2</v>
      </c>
      <c r="N2749" s="19"/>
      <c r="O2749" s="19"/>
      <c r="P2749" s="19" t="s">
        <v>2275</v>
      </c>
      <c r="Q2749" s="19" t="s">
        <v>980</v>
      </c>
      <c r="R2749" s="21" t="n">
        <v>34123</v>
      </c>
      <c r="S2749" s="19" t="s">
        <v>2666</v>
      </c>
      <c r="T2749" s="19" t="s">
        <v>8155</v>
      </c>
      <c r="U2749" s="19" t="str">
        <f aca="false">HYPERLINK("https://macaulaylibrary.org/asset/209458","Open")</f>
        <v>Open</v>
      </c>
      <c r="V2749" s="19"/>
    </row>
    <row r="2750" customFormat="false" ht="15" hidden="false" customHeight="false" outlineLevel="0" collapsed="false">
      <c r="A2750" s="19" t="s">
        <v>8156</v>
      </c>
      <c r="B2750" s="19" t="s">
        <v>943</v>
      </c>
      <c r="C2750" s="19" t="s">
        <v>7202</v>
      </c>
      <c r="D2750" s="19" t="s">
        <v>400</v>
      </c>
      <c r="E2750" s="19" t="s">
        <v>147</v>
      </c>
      <c r="F2750" s="19" t="s">
        <v>463</v>
      </c>
      <c r="G2750" s="19" t="n">
        <v>207</v>
      </c>
      <c r="H2750" s="19" t="s">
        <v>464</v>
      </c>
      <c r="I2750" s="20" t="n">
        <v>673.864</v>
      </c>
      <c r="J2750" s="19" t="n">
        <f aca="false">IF(I2750="","",MIN(Overview!$B$8,MAX(1,CEILING(I2750/Overview!$B$7,1))))</f>
        <v>120</v>
      </c>
      <c r="K2750" s="19" t="n">
        <v>1</v>
      </c>
      <c r="L2750" s="19"/>
      <c r="M2750" s="20" t="n">
        <v>3</v>
      </c>
      <c r="N2750" s="19"/>
      <c r="O2750" s="19"/>
      <c r="P2750" s="19" t="s">
        <v>2275</v>
      </c>
      <c r="Q2750" s="19" t="s">
        <v>980</v>
      </c>
      <c r="R2750" s="21" t="n">
        <v>34123</v>
      </c>
      <c r="S2750" s="19" t="s">
        <v>1419</v>
      </c>
      <c r="T2750" s="19" t="s">
        <v>8157</v>
      </c>
      <c r="U2750" s="19" t="str">
        <f aca="false">HYPERLINK("https://macaulaylibrary.org/asset/209463","Open")</f>
        <v>Open</v>
      </c>
      <c r="V2750" s="19"/>
    </row>
    <row r="2751" customFormat="false" ht="15" hidden="false" customHeight="false" outlineLevel="0" collapsed="false">
      <c r="A2751" s="19" t="s">
        <v>8158</v>
      </c>
      <c r="B2751" s="19" t="s">
        <v>943</v>
      </c>
      <c r="C2751" s="19" t="s">
        <v>7202</v>
      </c>
      <c r="D2751" s="19" t="s">
        <v>148</v>
      </c>
      <c r="E2751" s="19" t="s">
        <v>147</v>
      </c>
      <c r="F2751" s="19" t="s">
        <v>366</v>
      </c>
      <c r="G2751" s="19" t="n">
        <v>208</v>
      </c>
      <c r="H2751" s="19" t="s">
        <v>367</v>
      </c>
      <c r="I2751" s="20" t="n">
        <v>97.488</v>
      </c>
      <c r="J2751" s="19" t="n">
        <f aca="false">IF(I2751="","",MIN(Overview!$B$8,MAX(1,CEILING(I2751/Overview!$B$7,1))))</f>
        <v>20</v>
      </c>
      <c r="K2751" s="19" t="n">
        <v>1</v>
      </c>
      <c r="L2751" s="19"/>
      <c r="M2751" s="20" t="n">
        <v>3</v>
      </c>
      <c r="N2751" s="19"/>
      <c r="O2751" s="19"/>
      <c r="P2751" s="19" t="s">
        <v>1832</v>
      </c>
      <c r="Q2751" s="19" t="s">
        <v>980</v>
      </c>
      <c r="R2751" s="21" t="n">
        <v>33296</v>
      </c>
      <c r="S2751" s="19" t="s">
        <v>1002</v>
      </c>
      <c r="T2751" s="19" t="s">
        <v>8159</v>
      </c>
      <c r="U2751" s="19" t="str">
        <f aca="false">HYPERLINK("https://macaulaylibrary.org/asset/72619","Open")</f>
        <v>Open</v>
      </c>
      <c r="V2751" s="19"/>
    </row>
    <row r="2752" customFormat="false" ht="15" hidden="false" customHeight="false" outlineLevel="0" collapsed="false">
      <c r="A2752" s="19" t="s">
        <v>8160</v>
      </c>
      <c r="B2752" s="19" t="s">
        <v>943</v>
      </c>
      <c r="C2752" s="19" t="s">
        <v>7202</v>
      </c>
      <c r="D2752" s="19" t="s">
        <v>148</v>
      </c>
      <c r="E2752" s="19" t="s">
        <v>147</v>
      </c>
      <c r="F2752" s="19" t="s">
        <v>366</v>
      </c>
      <c r="G2752" s="19" t="n">
        <v>208</v>
      </c>
      <c r="H2752" s="19" t="s">
        <v>367</v>
      </c>
      <c r="I2752" s="20" t="n">
        <v>151.11</v>
      </c>
      <c r="J2752" s="19" t="n">
        <f aca="false">IF(I2752="","",MIN(Overview!$B$8,MAX(1,CEILING(I2752/Overview!$B$7,1))))</f>
        <v>31</v>
      </c>
      <c r="K2752" s="19" t="n">
        <v>1</v>
      </c>
      <c r="L2752" s="19"/>
      <c r="M2752" s="20" t="n">
        <v>2</v>
      </c>
      <c r="N2752" s="19"/>
      <c r="O2752" s="19"/>
      <c r="P2752" s="19" t="s">
        <v>1832</v>
      </c>
      <c r="Q2752" s="19" t="s">
        <v>980</v>
      </c>
      <c r="R2752" s="21" t="n">
        <v>33296</v>
      </c>
      <c r="S2752" s="19" t="s">
        <v>1002</v>
      </c>
      <c r="T2752" s="19" t="s">
        <v>8161</v>
      </c>
      <c r="U2752" s="19" t="str">
        <f aca="false">HYPERLINK("https://macaulaylibrary.org/asset/72620","Open")</f>
        <v>Open</v>
      </c>
      <c r="V2752" s="19"/>
    </row>
    <row r="2753" customFormat="false" ht="15" hidden="false" customHeight="false" outlineLevel="0" collapsed="false">
      <c r="A2753" s="19" t="s">
        <v>8162</v>
      </c>
      <c r="B2753" s="19" t="s">
        <v>943</v>
      </c>
      <c r="C2753" s="19" t="s">
        <v>7202</v>
      </c>
      <c r="D2753" s="19" t="s">
        <v>148</v>
      </c>
      <c r="E2753" s="19" t="s">
        <v>147</v>
      </c>
      <c r="F2753" s="19" t="s">
        <v>344</v>
      </c>
      <c r="G2753" s="19" t="n">
        <v>209</v>
      </c>
      <c r="H2753" s="19" t="s">
        <v>345</v>
      </c>
      <c r="I2753" s="20" t="n">
        <v>255.533</v>
      </c>
      <c r="J2753" s="19" t="n">
        <f aca="false">IF(I2753="","",MIN(Overview!$B$8,MAX(1,CEILING(I2753/Overview!$B$7,1))))</f>
        <v>52</v>
      </c>
      <c r="K2753" s="19" t="n">
        <v>1</v>
      </c>
      <c r="L2753" s="19"/>
      <c r="M2753" s="20" t="n">
        <v>4</v>
      </c>
      <c r="N2753" s="19"/>
      <c r="O2753" s="19"/>
      <c r="P2753" s="19" t="s">
        <v>1121</v>
      </c>
      <c r="Q2753" s="19" t="s">
        <v>980</v>
      </c>
      <c r="R2753" s="21" t="n">
        <v>32556</v>
      </c>
      <c r="S2753" s="19" t="s">
        <v>2542</v>
      </c>
      <c r="T2753" s="19" t="s">
        <v>8163</v>
      </c>
      <c r="U2753" s="19" t="str">
        <f aca="false">HYPERLINK("https://macaulaylibrary.org/asset/215377","Open")</f>
        <v>Open</v>
      </c>
      <c r="V2753" s="19"/>
    </row>
    <row r="2754" customFormat="false" ht="15" hidden="false" customHeight="false" outlineLevel="0" collapsed="false">
      <c r="A2754" s="19" t="s">
        <v>8164</v>
      </c>
      <c r="B2754" s="19" t="s">
        <v>943</v>
      </c>
      <c r="C2754" s="19" t="s">
        <v>7202</v>
      </c>
      <c r="D2754" s="19" t="s">
        <v>148</v>
      </c>
      <c r="E2754" s="19" t="s">
        <v>147</v>
      </c>
      <c r="F2754" s="19" t="s">
        <v>344</v>
      </c>
      <c r="G2754" s="19" t="n">
        <v>209</v>
      </c>
      <c r="H2754" s="19" t="s">
        <v>345</v>
      </c>
      <c r="I2754" s="20" t="n">
        <v>82.176</v>
      </c>
      <c r="J2754" s="19" t="n">
        <f aca="false">IF(I2754="","",MIN(Overview!$B$8,MAX(1,CEILING(I2754/Overview!$B$7,1))))</f>
        <v>17</v>
      </c>
      <c r="K2754" s="19" t="n">
        <v>1</v>
      </c>
      <c r="L2754" s="19"/>
      <c r="M2754" s="20" t="n">
        <v>5</v>
      </c>
      <c r="N2754" s="19"/>
      <c r="O2754" s="19"/>
      <c r="P2754" s="19" t="s">
        <v>1542</v>
      </c>
      <c r="Q2754" s="19" t="s">
        <v>1408</v>
      </c>
      <c r="R2754" s="21" t="n">
        <v>31806</v>
      </c>
      <c r="S2754" s="19" t="s">
        <v>1009</v>
      </c>
      <c r="T2754" s="19" t="s">
        <v>8165</v>
      </c>
      <c r="U2754" s="19" t="str">
        <f aca="false">HYPERLINK("https://macaulaylibrary.org/asset/336543911","Open")</f>
        <v>Open</v>
      </c>
      <c r="V2754" s="19"/>
    </row>
    <row r="2755" customFormat="false" ht="15" hidden="false" customHeight="false" outlineLevel="0" collapsed="false">
      <c r="A2755" s="19" t="s">
        <v>8166</v>
      </c>
      <c r="B2755" s="19" t="s">
        <v>943</v>
      </c>
      <c r="C2755" s="19" t="s">
        <v>7202</v>
      </c>
      <c r="D2755" s="19" t="s">
        <v>400</v>
      </c>
      <c r="E2755" s="19" t="s">
        <v>147</v>
      </c>
      <c r="F2755" s="19" t="s">
        <v>683</v>
      </c>
      <c r="G2755" s="19" t="n">
        <v>210</v>
      </c>
      <c r="H2755" s="19" t="s">
        <v>684</v>
      </c>
      <c r="I2755" s="20" t="n">
        <v>7.399</v>
      </c>
      <c r="J2755" s="19" t="n">
        <f aca="false">IF(I2755="","",MIN(Overview!$B$8,MAX(1,CEILING(I2755/Overview!$B$7,1))))</f>
        <v>2</v>
      </c>
      <c r="K2755" s="19" t="n">
        <v>1</v>
      </c>
      <c r="L2755" s="19"/>
      <c r="M2755" s="20" t="n">
        <v>2</v>
      </c>
      <c r="N2755" s="19"/>
      <c r="O2755" s="19"/>
      <c r="P2755" s="19" t="s">
        <v>4528</v>
      </c>
      <c r="Q2755" s="19" t="s">
        <v>1158</v>
      </c>
      <c r="R2755" s="21" t="n">
        <v>44942</v>
      </c>
      <c r="S2755" s="19" t="s">
        <v>4529</v>
      </c>
      <c r="T2755" s="19" t="s">
        <v>8167</v>
      </c>
      <c r="U2755" s="19" t="str">
        <f aca="false">HYPERLINK("https://macaulaylibrary.org/asset/543399921","Open")</f>
        <v>Open</v>
      </c>
      <c r="V2755" s="19"/>
    </row>
    <row r="2756" customFormat="false" ht="15" hidden="false" customHeight="false" outlineLevel="0" collapsed="false">
      <c r="A2756" s="19" t="s">
        <v>8168</v>
      </c>
      <c r="B2756" s="19" t="s">
        <v>943</v>
      </c>
      <c r="C2756" s="19" t="s">
        <v>7202</v>
      </c>
      <c r="D2756" s="19" t="s">
        <v>613</v>
      </c>
      <c r="E2756" s="19" t="s">
        <v>147</v>
      </c>
      <c r="F2756" s="19" t="s">
        <v>870</v>
      </c>
      <c r="G2756" s="19" t="n">
        <v>211</v>
      </c>
      <c r="H2756" s="19" t="s">
        <v>871</v>
      </c>
      <c r="I2756" s="20" t="n">
        <v>18.195</v>
      </c>
      <c r="J2756" s="19" t="n">
        <f aca="false">IF(I2756="","",MIN(Overview!$B$8,MAX(1,CEILING(I2756/Overview!$B$7,1))))</f>
        <v>4</v>
      </c>
      <c r="K2756" s="19" t="n">
        <v>1</v>
      </c>
      <c r="L2756" s="19"/>
      <c r="M2756" s="20" t="n">
        <v>5</v>
      </c>
      <c r="N2756" s="19"/>
      <c r="O2756" s="19" t="s">
        <v>252</v>
      </c>
      <c r="P2756" s="19" t="s">
        <v>1984</v>
      </c>
      <c r="Q2756" s="19" t="s">
        <v>1985</v>
      </c>
      <c r="R2756" s="21" t="n">
        <v>44874</v>
      </c>
      <c r="S2756" s="19" t="s">
        <v>1986</v>
      </c>
      <c r="T2756" s="19" t="s">
        <v>8169</v>
      </c>
      <c r="U2756" s="19" t="str">
        <f aca="false">HYPERLINK("https://macaulaylibrary.org/asset/540262971","Open")</f>
        <v>Open</v>
      </c>
      <c r="V2756" s="19"/>
    </row>
    <row r="2757" customFormat="false" ht="15" hidden="false" customHeight="false" outlineLevel="0" collapsed="false">
      <c r="A2757" s="19" t="s">
        <v>8170</v>
      </c>
      <c r="B2757" s="19" t="s">
        <v>943</v>
      </c>
      <c r="C2757" s="19" t="s">
        <v>7202</v>
      </c>
      <c r="D2757" s="19" t="s">
        <v>400</v>
      </c>
      <c r="E2757" s="19" t="s">
        <v>147</v>
      </c>
      <c r="F2757" s="19" t="s">
        <v>734</v>
      </c>
      <c r="G2757" s="19" t="n">
        <v>212</v>
      </c>
      <c r="H2757" s="19" t="s">
        <v>735</v>
      </c>
      <c r="I2757" s="20" t="n">
        <v>7.2</v>
      </c>
      <c r="J2757" s="19" t="n">
        <f aca="false">IF(I2757="","",MIN(Overview!$B$8,MAX(1,CEILING(I2757/Overview!$B$7,1))))</f>
        <v>2</v>
      </c>
      <c r="K2757" s="19" t="n">
        <v>1</v>
      </c>
      <c r="L2757" s="19"/>
      <c r="M2757" s="20" t="n">
        <v>4</v>
      </c>
      <c r="N2757" s="19"/>
      <c r="O2757" s="19"/>
      <c r="P2757" s="19" t="s">
        <v>964</v>
      </c>
      <c r="Q2757" s="19" t="s">
        <v>965</v>
      </c>
      <c r="R2757" s="21" t="n">
        <v>46011</v>
      </c>
      <c r="S2757" s="19" t="s">
        <v>966</v>
      </c>
      <c r="T2757" s="19" t="s">
        <v>8171</v>
      </c>
      <c r="U2757" s="19" t="str">
        <f aca="false">HYPERLINK("https://macaulaylibrary.org/asset/647448293","Open")</f>
        <v>Open</v>
      </c>
      <c r="V2757" s="19"/>
    </row>
    <row r="2758" customFormat="false" ht="15" hidden="false" customHeight="false" outlineLevel="0" collapsed="false">
      <c r="A2758" s="19" t="s">
        <v>8172</v>
      </c>
      <c r="B2758" s="19" t="s">
        <v>943</v>
      </c>
      <c r="C2758" s="19" t="s">
        <v>7202</v>
      </c>
      <c r="D2758" s="19" t="s">
        <v>400</v>
      </c>
      <c r="E2758" s="19" t="s">
        <v>147</v>
      </c>
      <c r="F2758" s="19" t="s">
        <v>544</v>
      </c>
      <c r="G2758" s="19" t="n">
        <v>213</v>
      </c>
      <c r="H2758" s="19" t="s">
        <v>545</v>
      </c>
      <c r="I2758" s="20" t="n">
        <v>20.134</v>
      </c>
      <c r="J2758" s="19" t="n">
        <f aca="false">IF(I2758="","",MIN(Overview!$B$8,MAX(1,CEILING(I2758/Overview!$B$7,1))))</f>
        <v>5</v>
      </c>
      <c r="K2758" s="19" t="n">
        <v>1</v>
      </c>
      <c r="L2758" s="19"/>
      <c r="M2758" s="20" t="n">
        <v>1</v>
      </c>
      <c r="N2758" s="19"/>
      <c r="O2758" s="19"/>
      <c r="P2758" s="19" t="s">
        <v>1631</v>
      </c>
      <c r="Q2758" s="19" t="s">
        <v>990</v>
      </c>
      <c r="R2758" s="21" t="n">
        <v>46012</v>
      </c>
      <c r="S2758" s="19" t="s">
        <v>1632</v>
      </c>
      <c r="T2758" s="19" t="s">
        <v>8173</v>
      </c>
      <c r="U2758" s="19" t="str">
        <f aca="false">HYPERLINK("https://macaulaylibrary.org/asset/647567352","Open")</f>
        <v>Open</v>
      </c>
      <c r="V2758" s="19"/>
    </row>
    <row r="2759" customFormat="false" ht="15" hidden="false" customHeight="false" outlineLevel="0" collapsed="false">
      <c r="A2759" s="19" t="s">
        <v>8174</v>
      </c>
      <c r="B2759" s="19" t="s">
        <v>943</v>
      </c>
      <c r="C2759" s="19" t="s">
        <v>7202</v>
      </c>
      <c r="D2759" s="19" t="s">
        <v>613</v>
      </c>
      <c r="E2759" s="19" t="s">
        <v>147</v>
      </c>
      <c r="F2759" s="19" t="s">
        <v>873</v>
      </c>
      <c r="G2759" s="19" t="n">
        <v>214</v>
      </c>
      <c r="H2759" s="19" t="s">
        <v>874</v>
      </c>
      <c r="I2759" s="20" t="n">
        <v>21.404</v>
      </c>
      <c r="J2759" s="19" t="n">
        <f aca="false">IF(I2759="","",MIN(Overview!$B$8,MAX(1,CEILING(I2759/Overview!$B$7,1))))</f>
        <v>5</v>
      </c>
      <c r="K2759" s="19" t="n">
        <v>1</v>
      </c>
      <c r="L2759" s="19"/>
      <c r="M2759" s="20"/>
      <c r="N2759" s="19"/>
      <c r="O2759" s="19"/>
      <c r="P2759" s="19" t="s">
        <v>1539</v>
      </c>
      <c r="Q2759" s="19" t="s">
        <v>1030</v>
      </c>
      <c r="R2759" s="21" t="n">
        <v>33963</v>
      </c>
      <c r="S2759" s="19"/>
      <c r="T2759" s="19" t="s">
        <v>8175</v>
      </c>
      <c r="U2759" s="19" t="str">
        <f aca="false">HYPERLINK("https://macaulaylibrary.org/asset/285750","Open")</f>
        <v>Open</v>
      </c>
      <c r="V2759" s="19"/>
    </row>
    <row r="2760" customFormat="false" ht="15" hidden="false" customHeight="false" outlineLevel="0" collapsed="false">
      <c r="A2760" s="19" t="s">
        <v>8176</v>
      </c>
      <c r="B2760" s="19" t="s">
        <v>943</v>
      </c>
      <c r="C2760" s="19" t="s">
        <v>7202</v>
      </c>
      <c r="D2760" s="19" t="s">
        <v>613</v>
      </c>
      <c r="E2760" s="19" t="s">
        <v>147</v>
      </c>
      <c r="F2760" s="19" t="s">
        <v>876</v>
      </c>
      <c r="G2760" s="19" t="n">
        <v>215</v>
      </c>
      <c r="H2760" s="19" t="s">
        <v>877</v>
      </c>
      <c r="I2760" s="20" t="n">
        <v>35.077</v>
      </c>
      <c r="J2760" s="19" t="n">
        <f aca="false">IF(I2760="","",MIN(Overview!$B$8,MAX(1,CEILING(I2760/Overview!$B$7,1))))</f>
        <v>8</v>
      </c>
      <c r="K2760" s="19" t="n">
        <v>1</v>
      </c>
      <c r="L2760" s="19"/>
      <c r="M2760" s="20" t="n">
        <v>3</v>
      </c>
      <c r="N2760" s="19"/>
      <c r="O2760" s="19" t="s">
        <v>428</v>
      </c>
      <c r="P2760" s="19" t="s">
        <v>1235</v>
      </c>
      <c r="Q2760" s="19" t="s">
        <v>1236</v>
      </c>
      <c r="R2760" s="21" t="n">
        <v>46059</v>
      </c>
      <c r="S2760" s="19" t="s">
        <v>1237</v>
      </c>
      <c r="T2760" s="19" t="s">
        <v>8177</v>
      </c>
      <c r="U2760" s="19" t="str">
        <f aca="false">HYPERLINK("https://macaulaylibrary.org/asset/652627039","Open")</f>
        <v>Open</v>
      </c>
      <c r="V2760" s="19"/>
    </row>
    <row r="2761" customFormat="false" ht="15" hidden="false" customHeight="false" outlineLevel="0" collapsed="false">
      <c r="A2761" s="19" t="s">
        <v>8178</v>
      </c>
      <c r="B2761" s="19" t="s">
        <v>943</v>
      </c>
      <c r="C2761" s="19" t="s">
        <v>7202</v>
      </c>
      <c r="D2761" s="19" t="s">
        <v>148</v>
      </c>
      <c r="E2761" s="19" t="s">
        <v>147</v>
      </c>
      <c r="F2761" s="19" t="s">
        <v>262</v>
      </c>
      <c r="G2761" s="19" t="n">
        <v>216</v>
      </c>
      <c r="H2761" s="19" t="s">
        <v>263</v>
      </c>
      <c r="I2761" s="20" t="n">
        <v>41.719</v>
      </c>
      <c r="J2761" s="19" t="n">
        <f aca="false">IF(I2761="","",MIN(Overview!$B$8,MAX(1,CEILING(I2761/Overview!$B$7,1))))</f>
        <v>9</v>
      </c>
      <c r="K2761" s="19" t="n">
        <v>1</v>
      </c>
      <c r="L2761" s="19"/>
      <c r="M2761" s="20" t="n">
        <v>2.2</v>
      </c>
      <c r="N2761" s="19"/>
      <c r="O2761" s="19"/>
      <c r="P2761" s="19" t="s">
        <v>3717</v>
      </c>
      <c r="Q2761" s="19" t="s">
        <v>2343</v>
      </c>
      <c r="R2761" s="21" t="n">
        <v>31505</v>
      </c>
      <c r="S2761" s="19"/>
      <c r="T2761" s="19" t="s">
        <v>8179</v>
      </c>
      <c r="U2761" s="19" t="str">
        <f aca="false">HYPERLINK("https://macaulaylibrary.org/asset/249438","Open")</f>
        <v>Open</v>
      </c>
      <c r="V2761" s="19" t="s">
        <v>5779</v>
      </c>
    </row>
    <row r="2762" customFormat="false" ht="15" hidden="false" customHeight="false" outlineLevel="0" collapsed="false">
      <c r="A2762" s="19" t="s">
        <v>8180</v>
      </c>
      <c r="B2762" s="19" t="s">
        <v>943</v>
      </c>
      <c r="C2762" s="19" t="s">
        <v>7202</v>
      </c>
      <c r="D2762" s="19" t="s">
        <v>148</v>
      </c>
      <c r="E2762" s="19" t="s">
        <v>147</v>
      </c>
      <c r="F2762" s="19" t="s">
        <v>262</v>
      </c>
      <c r="G2762" s="19" t="n">
        <v>216</v>
      </c>
      <c r="H2762" s="19" t="s">
        <v>263</v>
      </c>
      <c r="I2762" s="20" t="n">
        <v>42.275</v>
      </c>
      <c r="J2762" s="19" t="n">
        <f aca="false">IF(I2762="","",MIN(Overview!$B$8,MAX(1,CEILING(I2762/Overview!$B$7,1))))</f>
        <v>9</v>
      </c>
      <c r="K2762" s="19" t="n">
        <v>1</v>
      </c>
      <c r="L2762" s="19"/>
      <c r="M2762" s="20"/>
      <c r="N2762" s="19"/>
      <c r="O2762" s="19"/>
      <c r="P2762" s="19" t="s">
        <v>1140</v>
      </c>
      <c r="Q2762" s="19" t="s">
        <v>1030</v>
      </c>
      <c r="R2762" s="21" t="n">
        <v>40250</v>
      </c>
      <c r="S2762" s="19" t="s">
        <v>1387</v>
      </c>
      <c r="T2762" s="19" t="s">
        <v>8181</v>
      </c>
      <c r="U2762" s="19" t="str">
        <f aca="false">HYPERLINK("https://macaulaylibrary.org/asset/299575","Open")</f>
        <v>Open</v>
      </c>
      <c r="V2762" s="19"/>
    </row>
    <row r="2763" customFormat="false" ht="15" hidden="false" customHeight="false" outlineLevel="0" collapsed="false">
      <c r="A2763" s="19" t="s">
        <v>8182</v>
      </c>
      <c r="B2763" s="19" t="s">
        <v>943</v>
      </c>
      <c r="C2763" s="19" t="s">
        <v>7202</v>
      </c>
      <c r="D2763" s="19" t="s">
        <v>148</v>
      </c>
      <c r="E2763" s="19" t="s">
        <v>147</v>
      </c>
      <c r="F2763" s="19" t="s">
        <v>262</v>
      </c>
      <c r="G2763" s="19" t="n">
        <v>216</v>
      </c>
      <c r="H2763" s="19" t="s">
        <v>263</v>
      </c>
      <c r="I2763" s="20" t="n">
        <v>24.831</v>
      </c>
      <c r="J2763" s="19" t="n">
        <f aca="false">IF(I2763="","",MIN(Overview!$B$8,MAX(1,CEILING(I2763/Overview!$B$7,1))))</f>
        <v>5</v>
      </c>
      <c r="K2763" s="19" t="n">
        <v>1</v>
      </c>
      <c r="L2763" s="19"/>
      <c r="M2763" s="20"/>
      <c r="N2763" s="19"/>
      <c r="O2763" s="19"/>
      <c r="P2763" s="19" t="s">
        <v>1140</v>
      </c>
      <c r="Q2763" s="19" t="s">
        <v>1030</v>
      </c>
      <c r="R2763" s="21" t="n">
        <v>40250</v>
      </c>
      <c r="S2763" s="19" t="s">
        <v>1387</v>
      </c>
      <c r="T2763" s="19" t="s">
        <v>8183</v>
      </c>
      <c r="U2763" s="19" t="str">
        <f aca="false">HYPERLINK("https://macaulaylibrary.org/asset/299576","Open")</f>
        <v>Open</v>
      </c>
      <c r="V2763" s="19"/>
    </row>
    <row r="2764" customFormat="false" ht="15" hidden="false" customHeight="false" outlineLevel="0" collapsed="false">
      <c r="A2764" s="19" t="s">
        <v>8184</v>
      </c>
      <c r="B2764" s="19" t="s">
        <v>943</v>
      </c>
      <c r="C2764" s="19" t="s">
        <v>7202</v>
      </c>
      <c r="D2764" s="19" t="s">
        <v>148</v>
      </c>
      <c r="E2764" s="19" t="s">
        <v>147</v>
      </c>
      <c r="F2764" s="19" t="s">
        <v>262</v>
      </c>
      <c r="G2764" s="19" t="n">
        <v>216</v>
      </c>
      <c r="H2764" s="19" t="s">
        <v>263</v>
      </c>
      <c r="I2764" s="20" t="n">
        <v>21.127</v>
      </c>
      <c r="J2764" s="19" t="n">
        <f aca="false">IF(I2764="","",MIN(Overview!$B$8,MAX(1,CEILING(I2764/Overview!$B$7,1))))</f>
        <v>5</v>
      </c>
      <c r="K2764" s="19" t="n">
        <v>1</v>
      </c>
      <c r="L2764" s="19"/>
      <c r="M2764" s="20"/>
      <c r="N2764" s="19"/>
      <c r="O2764" s="19"/>
      <c r="P2764" s="19" t="s">
        <v>1360</v>
      </c>
      <c r="Q2764" s="19" t="s">
        <v>1076</v>
      </c>
      <c r="R2764" s="21" t="n">
        <v>43399</v>
      </c>
      <c r="S2764" s="19" t="s">
        <v>1361</v>
      </c>
      <c r="T2764" s="19" t="s">
        <v>8185</v>
      </c>
      <c r="U2764" s="19" t="str">
        <f aca="false">HYPERLINK("https://macaulaylibrary.org/asset/471207101","Open")</f>
        <v>Open</v>
      </c>
      <c r="V2764" s="19"/>
    </row>
    <row r="2765" customFormat="false" ht="15" hidden="false" customHeight="false" outlineLevel="0" collapsed="false">
      <c r="A2765" s="19" t="s">
        <v>8186</v>
      </c>
      <c r="B2765" s="19" t="s">
        <v>943</v>
      </c>
      <c r="C2765" s="19" t="s">
        <v>7202</v>
      </c>
      <c r="D2765" s="19" t="s">
        <v>148</v>
      </c>
      <c r="E2765" s="19" t="s">
        <v>147</v>
      </c>
      <c r="F2765" s="19" t="s">
        <v>144</v>
      </c>
      <c r="G2765" s="19" t="n">
        <v>217</v>
      </c>
      <c r="H2765" s="19" t="s">
        <v>145</v>
      </c>
      <c r="I2765" s="20" t="n">
        <v>14.118</v>
      </c>
      <c r="J2765" s="19" t="n">
        <f aca="false">IF(I2765="","",MIN(Overview!$B$8,MAX(1,CEILING(I2765/Overview!$B$7,1))))</f>
        <v>3</v>
      </c>
      <c r="K2765" s="19" t="n">
        <v>1</v>
      </c>
      <c r="L2765" s="19"/>
      <c r="M2765" s="20" t="n">
        <v>3</v>
      </c>
      <c r="N2765" s="19"/>
      <c r="O2765" s="19"/>
      <c r="P2765" s="19" t="s">
        <v>2054</v>
      </c>
      <c r="Q2765" s="19" t="s">
        <v>2055</v>
      </c>
      <c r="R2765" s="21" t="n">
        <v>43511</v>
      </c>
      <c r="S2765" s="19" t="s">
        <v>2056</v>
      </c>
      <c r="T2765" s="19" t="s">
        <v>8187</v>
      </c>
      <c r="U2765" s="19" t="str">
        <f aca="false">HYPERLINK("https://macaulaylibrary.org/asset/169970531","Open")</f>
        <v>Open</v>
      </c>
      <c r="V2765" s="19"/>
    </row>
    <row r="2766" customFormat="false" ht="15" hidden="false" customHeight="false" outlineLevel="0" collapsed="false">
      <c r="A2766" s="19" t="s">
        <v>8188</v>
      </c>
      <c r="B2766" s="19" t="s">
        <v>943</v>
      </c>
      <c r="C2766" s="19" t="s">
        <v>7202</v>
      </c>
      <c r="D2766" s="19" t="s">
        <v>148</v>
      </c>
      <c r="E2766" s="19" t="s">
        <v>147</v>
      </c>
      <c r="F2766" s="19" t="s">
        <v>144</v>
      </c>
      <c r="G2766" s="19" t="n">
        <v>217</v>
      </c>
      <c r="H2766" s="19" t="s">
        <v>145</v>
      </c>
      <c r="I2766" s="20" t="n">
        <v>23.315</v>
      </c>
      <c r="J2766" s="19" t="n">
        <f aca="false">IF(I2766="","",MIN(Overview!$B$8,MAX(1,CEILING(I2766/Overview!$B$7,1))))</f>
        <v>5</v>
      </c>
      <c r="K2766" s="19" t="n">
        <v>1</v>
      </c>
      <c r="L2766" s="19"/>
      <c r="M2766" s="20" t="n">
        <v>3</v>
      </c>
      <c r="N2766" s="19"/>
      <c r="O2766" s="19"/>
      <c r="P2766" s="19" t="s">
        <v>1879</v>
      </c>
      <c r="Q2766" s="19" t="s">
        <v>975</v>
      </c>
      <c r="R2766" s="21" t="n">
        <v>43665</v>
      </c>
      <c r="S2766" s="19" t="s">
        <v>1880</v>
      </c>
      <c r="T2766" s="19" t="s">
        <v>8189</v>
      </c>
      <c r="U2766" s="19" t="str">
        <f aca="false">HYPERLINK("https://macaulaylibrary.org/asset/179453841","Open")</f>
        <v>Open</v>
      </c>
      <c r="V2766" s="19"/>
    </row>
    <row r="2767" customFormat="false" ht="15" hidden="false" customHeight="false" outlineLevel="0" collapsed="false">
      <c r="A2767" s="19" t="s">
        <v>8190</v>
      </c>
      <c r="B2767" s="19" t="s">
        <v>943</v>
      </c>
      <c r="C2767" s="19" t="s">
        <v>7202</v>
      </c>
      <c r="D2767" s="19" t="s">
        <v>148</v>
      </c>
      <c r="E2767" s="19" t="s">
        <v>147</v>
      </c>
      <c r="F2767" s="19" t="s">
        <v>144</v>
      </c>
      <c r="G2767" s="19" t="n">
        <v>217</v>
      </c>
      <c r="H2767" s="19" t="s">
        <v>145</v>
      </c>
      <c r="I2767" s="20" t="n">
        <v>46.676</v>
      </c>
      <c r="J2767" s="19" t="n">
        <f aca="false">IF(I2767="","",MIN(Overview!$B$8,MAX(1,CEILING(I2767/Overview!$B$7,1))))</f>
        <v>10</v>
      </c>
      <c r="K2767" s="19" t="n">
        <v>1</v>
      </c>
      <c r="L2767" s="19"/>
      <c r="M2767" s="20" t="n">
        <v>4</v>
      </c>
      <c r="N2767" s="19"/>
      <c r="O2767" s="19"/>
      <c r="P2767" s="19" t="s">
        <v>1131</v>
      </c>
      <c r="Q2767" s="19" t="s">
        <v>1063</v>
      </c>
      <c r="R2767" s="21" t="n">
        <v>44086</v>
      </c>
      <c r="S2767" s="19" t="s">
        <v>1132</v>
      </c>
      <c r="T2767" s="19" t="s">
        <v>8191</v>
      </c>
      <c r="U2767" s="19" t="str">
        <f aca="false">HYPERLINK("https://macaulaylibrary.org/asset/266280811","Open")</f>
        <v>Open</v>
      </c>
      <c r="V2767" s="19"/>
    </row>
    <row r="2768" customFormat="false" ht="15" hidden="false" customHeight="false" outlineLevel="0" collapsed="false">
      <c r="A2768" s="19" t="s">
        <v>8192</v>
      </c>
      <c r="B2768" s="19" t="s">
        <v>943</v>
      </c>
      <c r="C2768" s="19" t="s">
        <v>7202</v>
      </c>
      <c r="D2768" s="19" t="s">
        <v>148</v>
      </c>
      <c r="E2768" s="19" t="s">
        <v>147</v>
      </c>
      <c r="F2768" s="19" t="s">
        <v>144</v>
      </c>
      <c r="G2768" s="19" t="n">
        <v>217</v>
      </c>
      <c r="H2768" s="19" t="s">
        <v>145</v>
      </c>
      <c r="I2768" s="20" t="n">
        <v>47.511</v>
      </c>
      <c r="J2768" s="19" t="n">
        <f aca="false">IF(I2768="","",MIN(Overview!$B$8,MAX(1,CEILING(I2768/Overview!$B$7,1))))</f>
        <v>10</v>
      </c>
      <c r="K2768" s="19" t="n">
        <v>1</v>
      </c>
      <c r="L2768" s="19"/>
      <c r="M2768" s="20" t="n">
        <v>2</v>
      </c>
      <c r="N2768" s="19"/>
      <c r="O2768" s="19"/>
      <c r="P2768" s="19" t="s">
        <v>3803</v>
      </c>
      <c r="Q2768" s="19" t="s">
        <v>2343</v>
      </c>
      <c r="R2768" s="21" t="n">
        <v>32222</v>
      </c>
      <c r="S2768" s="19"/>
      <c r="T2768" s="19" t="s">
        <v>8193</v>
      </c>
      <c r="U2768" s="19" t="str">
        <f aca="false">HYPERLINK("https://macaulaylibrary.org/asset/272471","Open")</f>
        <v>Open</v>
      </c>
      <c r="V2768" s="19" t="s">
        <v>5858</v>
      </c>
    </row>
    <row r="2769" customFormat="false" ht="15" hidden="false" customHeight="false" outlineLevel="0" collapsed="false">
      <c r="A2769" s="19" t="s">
        <v>8194</v>
      </c>
      <c r="B2769" s="19" t="s">
        <v>943</v>
      </c>
      <c r="C2769" s="19" t="s">
        <v>7202</v>
      </c>
      <c r="D2769" s="19" t="s">
        <v>148</v>
      </c>
      <c r="E2769" s="19" t="s">
        <v>147</v>
      </c>
      <c r="F2769" s="19" t="s">
        <v>144</v>
      </c>
      <c r="G2769" s="19" t="n">
        <v>217</v>
      </c>
      <c r="H2769" s="19" t="s">
        <v>145</v>
      </c>
      <c r="I2769" s="20" t="n">
        <v>85.674</v>
      </c>
      <c r="J2769" s="19" t="n">
        <f aca="false">IF(I2769="","",MIN(Overview!$B$8,MAX(1,CEILING(I2769/Overview!$B$7,1))))</f>
        <v>18</v>
      </c>
      <c r="K2769" s="19" t="n">
        <v>1</v>
      </c>
      <c r="L2769" s="19"/>
      <c r="M2769" s="20"/>
      <c r="N2769" s="19"/>
      <c r="O2769" s="19"/>
      <c r="P2769" s="19" t="s">
        <v>1029</v>
      </c>
      <c r="Q2769" s="19" t="s">
        <v>1030</v>
      </c>
      <c r="R2769" s="21" t="n">
        <v>40251</v>
      </c>
      <c r="S2769" s="19" t="s">
        <v>976</v>
      </c>
      <c r="T2769" s="19" t="s">
        <v>8195</v>
      </c>
      <c r="U2769" s="19" t="str">
        <f aca="false">HYPERLINK("https://macaulaylibrary.org/asset/299617","Open")</f>
        <v>Open</v>
      </c>
      <c r="V2769" s="19"/>
    </row>
    <row r="2770" customFormat="false" ht="15" hidden="false" customHeight="false" outlineLevel="0" collapsed="false">
      <c r="A2770" s="19" t="s">
        <v>8196</v>
      </c>
      <c r="B2770" s="19" t="s">
        <v>943</v>
      </c>
      <c r="C2770" s="19" t="s">
        <v>7202</v>
      </c>
      <c r="D2770" s="19" t="s">
        <v>148</v>
      </c>
      <c r="E2770" s="19" t="s">
        <v>147</v>
      </c>
      <c r="F2770" s="19" t="s">
        <v>144</v>
      </c>
      <c r="G2770" s="19" t="n">
        <v>217</v>
      </c>
      <c r="H2770" s="19" t="s">
        <v>145</v>
      </c>
      <c r="I2770" s="20" t="n">
        <v>32.901</v>
      </c>
      <c r="J2770" s="19" t="n">
        <f aca="false">IF(I2770="","",MIN(Overview!$B$8,MAX(1,CEILING(I2770/Overview!$B$7,1))))</f>
        <v>7</v>
      </c>
      <c r="K2770" s="19" t="n">
        <v>1</v>
      </c>
      <c r="L2770" s="19"/>
      <c r="M2770" s="20"/>
      <c r="N2770" s="19"/>
      <c r="O2770" s="19"/>
      <c r="P2770" s="19" t="s">
        <v>1029</v>
      </c>
      <c r="Q2770" s="19" t="s">
        <v>1030</v>
      </c>
      <c r="R2770" s="21" t="n">
        <v>40251</v>
      </c>
      <c r="S2770" s="19" t="s">
        <v>3091</v>
      </c>
      <c r="T2770" s="19" t="s">
        <v>8197</v>
      </c>
      <c r="U2770" s="19" t="str">
        <f aca="false">HYPERLINK("https://macaulaylibrary.org/asset/299625","Open")</f>
        <v>Open</v>
      </c>
      <c r="V2770" s="19"/>
    </row>
    <row r="2771" customFormat="false" ht="15" hidden="false" customHeight="false" outlineLevel="0" collapsed="false">
      <c r="A2771" s="19" t="s">
        <v>8198</v>
      </c>
      <c r="B2771" s="19" t="s">
        <v>943</v>
      </c>
      <c r="C2771" s="19" t="s">
        <v>7202</v>
      </c>
      <c r="D2771" s="19" t="s">
        <v>148</v>
      </c>
      <c r="E2771" s="19" t="s">
        <v>147</v>
      </c>
      <c r="F2771" s="19" t="s">
        <v>144</v>
      </c>
      <c r="G2771" s="19" t="n">
        <v>217</v>
      </c>
      <c r="H2771" s="19" t="s">
        <v>145</v>
      </c>
      <c r="I2771" s="20" t="n">
        <v>24.387</v>
      </c>
      <c r="J2771" s="19" t="n">
        <f aca="false">IF(I2771="","",MIN(Overview!$B$8,MAX(1,CEILING(I2771/Overview!$B$7,1))))</f>
        <v>5</v>
      </c>
      <c r="K2771" s="19" t="n">
        <v>1</v>
      </c>
      <c r="L2771" s="19"/>
      <c r="M2771" s="20"/>
      <c r="N2771" s="19"/>
      <c r="O2771" s="19"/>
      <c r="P2771" s="19" t="s">
        <v>1029</v>
      </c>
      <c r="Q2771" s="19" t="s">
        <v>1030</v>
      </c>
      <c r="R2771" s="21" t="n">
        <v>40251</v>
      </c>
      <c r="S2771" s="19" t="s">
        <v>8199</v>
      </c>
      <c r="T2771" s="19" t="s">
        <v>8200</v>
      </c>
      <c r="U2771" s="19" t="str">
        <f aca="false">HYPERLINK("https://macaulaylibrary.org/asset/299629","Open")</f>
        <v>Open</v>
      </c>
      <c r="V2771" s="19"/>
    </row>
    <row r="2772" customFormat="false" ht="15" hidden="false" customHeight="false" outlineLevel="0" collapsed="false">
      <c r="A2772" s="19" t="s">
        <v>8201</v>
      </c>
      <c r="B2772" s="19" t="s">
        <v>943</v>
      </c>
      <c r="C2772" s="19" t="s">
        <v>7202</v>
      </c>
      <c r="D2772" s="19" t="s">
        <v>148</v>
      </c>
      <c r="E2772" s="19" t="s">
        <v>147</v>
      </c>
      <c r="F2772" s="19" t="s">
        <v>144</v>
      </c>
      <c r="G2772" s="19" t="n">
        <v>217</v>
      </c>
      <c r="H2772" s="19" t="s">
        <v>145</v>
      </c>
      <c r="I2772" s="20" t="n">
        <v>8.565</v>
      </c>
      <c r="J2772" s="19" t="n">
        <f aca="false">IF(I2772="","",MIN(Overview!$B$8,MAX(1,CEILING(I2772/Overview!$B$7,1))))</f>
        <v>2</v>
      </c>
      <c r="K2772" s="19" t="n">
        <v>1</v>
      </c>
      <c r="L2772" s="19"/>
      <c r="M2772" s="20"/>
      <c r="N2772" s="19"/>
      <c r="O2772" s="19"/>
      <c r="P2772" s="19" t="s">
        <v>1029</v>
      </c>
      <c r="Q2772" s="19" t="s">
        <v>1030</v>
      </c>
      <c r="R2772" s="21" t="n">
        <v>40251</v>
      </c>
      <c r="S2772" s="19" t="s">
        <v>2971</v>
      </c>
      <c r="T2772" s="19" t="s">
        <v>8202</v>
      </c>
      <c r="U2772" s="19" t="str">
        <f aca="false">HYPERLINK("https://macaulaylibrary.org/asset/299634","Open")</f>
        <v>Open</v>
      </c>
      <c r="V2772" s="19"/>
    </row>
    <row r="2773" customFormat="false" ht="15" hidden="false" customHeight="false" outlineLevel="0" collapsed="false">
      <c r="A2773" s="19" t="s">
        <v>8203</v>
      </c>
      <c r="B2773" s="19" t="s">
        <v>943</v>
      </c>
      <c r="C2773" s="19" t="s">
        <v>7202</v>
      </c>
      <c r="D2773" s="19" t="s">
        <v>148</v>
      </c>
      <c r="E2773" s="19" t="s">
        <v>147</v>
      </c>
      <c r="F2773" s="19" t="s">
        <v>144</v>
      </c>
      <c r="G2773" s="19" t="n">
        <v>217</v>
      </c>
      <c r="H2773" s="19" t="s">
        <v>145</v>
      </c>
      <c r="I2773" s="20" t="n">
        <v>8.059</v>
      </c>
      <c r="J2773" s="19" t="n">
        <f aca="false">IF(I2773="","",MIN(Overview!$B$8,MAX(1,CEILING(I2773/Overview!$B$7,1))))</f>
        <v>2</v>
      </c>
      <c r="K2773" s="19" t="n">
        <v>1</v>
      </c>
      <c r="L2773" s="19"/>
      <c r="M2773" s="20"/>
      <c r="N2773" s="19"/>
      <c r="O2773" s="19"/>
      <c r="P2773" s="19" t="s">
        <v>1029</v>
      </c>
      <c r="Q2773" s="19" t="s">
        <v>1030</v>
      </c>
      <c r="R2773" s="21" t="n">
        <v>40251</v>
      </c>
      <c r="S2773" s="19" t="s">
        <v>1222</v>
      </c>
      <c r="T2773" s="19" t="s">
        <v>8204</v>
      </c>
      <c r="U2773" s="19" t="str">
        <f aca="false">HYPERLINK("https://macaulaylibrary.org/asset/299645","Open")</f>
        <v>Open</v>
      </c>
      <c r="V2773" s="19"/>
    </row>
    <row r="2774" customFormat="false" ht="15" hidden="false" customHeight="false" outlineLevel="0" collapsed="false">
      <c r="A2774" s="19" t="s">
        <v>8205</v>
      </c>
      <c r="B2774" s="19" t="s">
        <v>943</v>
      </c>
      <c r="C2774" s="19" t="s">
        <v>7202</v>
      </c>
      <c r="D2774" s="19" t="s">
        <v>148</v>
      </c>
      <c r="E2774" s="19" t="s">
        <v>147</v>
      </c>
      <c r="F2774" s="19" t="s">
        <v>144</v>
      </c>
      <c r="G2774" s="19" t="n">
        <v>217</v>
      </c>
      <c r="H2774" s="19" t="s">
        <v>145</v>
      </c>
      <c r="I2774" s="20" t="n">
        <v>21.284</v>
      </c>
      <c r="J2774" s="19" t="n">
        <f aca="false">IF(I2774="","",MIN(Overview!$B$8,MAX(1,CEILING(I2774/Overview!$B$7,1))))</f>
        <v>5</v>
      </c>
      <c r="K2774" s="19" t="n">
        <v>1</v>
      </c>
      <c r="L2774" s="19"/>
      <c r="M2774" s="20" t="n">
        <v>4</v>
      </c>
      <c r="N2774" s="19"/>
      <c r="O2774" s="19"/>
      <c r="P2774" s="19" t="s">
        <v>1542</v>
      </c>
      <c r="Q2774" s="19" t="s">
        <v>1408</v>
      </c>
      <c r="R2774" s="21" t="n">
        <v>31806</v>
      </c>
      <c r="S2774" s="19" t="s">
        <v>1009</v>
      </c>
      <c r="T2774" s="19" t="s">
        <v>8206</v>
      </c>
      <c r="U2774" s="19" t="str">
        <f aca="false">HYPERLINK("https://macaulaylibrary.org/asset/336556781","Open")</f>
        <v>Open</v>
      </c>
      <c r="V2774" s="19"/>
    </row>
    <row r="2775" customFormat="false" ht="15" hidden="false" customHeight="false" outlineLevel="0" collapsed="false">
      <c r="A2775" s="19" t="s">
        <v>8207</v>
      </c>
      <c r="B2775" s="19" t="s">
        <v>943</v>
      </c>
      <c r="C2775" s="19" t="s">
        <v>7202</v>
      </c>
      <c r="D2775" s="19" t="s">
        <v>148</v>
      </c>
      <c r="E2775" s="19" t="s">
        <v>147</v>
      </c>
      <c r="F2775" s="19" t="s">
        <v>144</v>
      </c>
      <c r="G2775" s="19" t="n">
        <v>217</v>
      </c>
      <c r="H2775" s="19" t="s">
        <v>145</v>
      </c>
      <c r="I2775" s="20" t="n">
        <v>46.935</v>
      </c>
      <c r="J2775" s="19" t="n">
        <f aca="false">IF(I2775="","",MIN(Overview!$B$8,MAX(1,CEILING(I2775/Overview!$B$7,1))))</f>
        <v>10</v>
      </c>
      <c r="K2775" s="19" t="n">
        <v>1</v>
      </c>
      <c r="L2775" s="19"/>
      <c r="M2775" s="20"/>
      <c r="N2775" s="19"/>
      <c r="O2775" s="19"/>
      <c r="P2775" s="19" t="s">
        <v>2091</v>
      </c>
      <c r="Q2775" s="19" t="s">
        <v>2085</v>
      </c>
      <c r="R2775" s="21" t="n">
        <v>44548</v>
      </c>
      <c r="S2775" s="19" t="s">
        <v>1144</v>
      </c>
      <c r="T2775" s="19" t="s">
        <v>8208</v>
      </c>
      <c r="U2775" s="19" t="str">
        <f aca="false">HYPERLINK("https://macaulaylibrary.org/asset/403420791","Open")</f>
        <v>Open</v>
      </c>
      <c r="V2775" s="19"/>
    </row>
    <row r="2776" customFormat="false" ht="15" hidden="false" customHeight="false" outlineLevel="0" collapsed="false">
      <c r="A2776" s="19" t="s">
        <v>8209</v>
      </c>
      <c r="B2776" s="19" t="s">
        <v>943</v>
      </c>
      <c r="C2776" s="19" t="s">
        <v>7202</v>
      </c>
      <c r="D2776" s="19" t="s">
        <v>148</v>
      </c>
      <c r="E2776" s="19" t="s">
        <v>147</v>
      </c>
      <c r="F2776" s="19" t="s">
        <v>144</v>
      </c>
      <c r="G2776" s="19" t="n">
        <v>217</v>
      </c>
      <c r="H2776" s="19" t="s">
        <v>145</v>
      </c>
      <c r="I2776" s="20" t="n">
        <v>36.405</v>
      </c>
      <c r="J2776" s="19" t="n">
        <f aca="false">IF(I2776="","",MIN(Overview!$B$8,MAX(1,CEILING(I2776/Overview!$B$7,1))))</f>
        <v>8</v>
      </c>
      <c r="K2776" s="19" t="n">
        <v>1</v>
      </c>
      <c r="L2776" s="19"/>
      <c r="M2776" s="20" t="n">
        <v>4</v>
      </c>
      <c r="N2776" s="19"/>
      <c r="O2776" s="19"/>
      <c r="P2776" s="19" t="s">
        <v>3465</v>
      </c>
      <c r="Q2776" s="19" t="s">
        <v>1191</v>
      </c>
      <c r="R2776" s="21" t="n">
        <v>45685</v>
      </c>
      <c r="S2776" s="19" t="s">
        <v>3466</v>
      </c>
      <c r="T2776" s="19" t="s">
        <v>8210</v>
      </c>
      <c r="U2776" s="19" t="str">
        <f aca="false">HYPERLINK("https://macaulaylibrary.org/asset/630391562","Open")</f>
        <v>Open</v>
      </c>
      <c r="V2776" s="19"/>
    </row>
    <row r="2777" customFormat="false" ht="15" hidden="false" customHeight="false" outlineLevel="0" collapsed="false">
      <c r="A2777" s="19" t="s">
        <v>8211</v>
      </c>
      <c r="B2777" s="19" t="s">
        <v>943</v>
      </c>
      <c r="C2777" s="19" t="s">
        <v>7202</v>
      </c>
      <c r="D2777" s="19" t="s">
        <v>148</v>
      </c>
      <c r="E2777" s="19" t="s">
        <v>147</v>
      </c>
      <c r="F2777" s="19" t="s">
        <v>144</v>
      </c>
      <c r="G2777" s="19" t="n">
        <v>217</v>
      </c>
      <c r="H2777" s="19" t="s">
        <v>145</v>
      </c>
      <c r="I2777" s="20" t="n">
        <v>8.03</v>
      </c>
      <c r="J2777" s="19" t="n">
        <f aca="false">IF(I2777="","",MIN(Overview!$B$8,MAX(1,CEILING(I2777/Overview!$B$7,1))))</f>
        <v>2</v>
      </c>
      <c r="K2777" s="19" t="n">
        <v>1</v>
      </c>
      <c r="L2777" s="19"/>
      <c r="M2777" s="20" t="n">
        <v>2</v>
      </c>
      <c r="N2777" s="19"/>
      <c r="O2777" s="19"/>
      <c r="P2777" s="19" t="s">
        <v>4969</v>
      </c>
      <c r="Q2777" s="19" t="s">
        <v>1050</v>
      </c>
      <c r="R2777" s="21" t="n">
        <v>43407</v>
      </c>
      <c r="S2777" s="19" t="s">
        <v>4970</v>
      </c>
      <c r="T2777" s="19" t="s">
        <v>8212</v>
      </c>
      <c r="U2777" s="19" t="str">
        <f aca="false">HYPERLINK("https://macaulaylibrary.org/asset/642598158","Open")</f>
        <v>Open</v>
      </c>
      <c r="V2777" s="19"/>
    </row>
    <row r="2778" customFormat="false" ht="15" hidden="false" customHeight="false" outlineLevel="0" collapsed="false">
      <c r="A2778" s="19" t="s">
        <v>8213</v>
      </c>
      <c r="B2778" s="19" t="s">
        <v>943</v>
      </c>
      <c r="C2778" s="19" t="s">
        <v>7202</v>
      </c>
      <c r="D2778" s="19" t="s">
        <v>148</v>
      </c>
      <c r="E2778" s="19" t="s">
        <v>147</v>
      </c>
      <c r="F2778" s="19" t="s">
        <v>144</v>
      </c>
      <c r="G2778" s="19" t="n">
        <v>217</v>
      </c>
      <c r="H2778" s="19" t="s">
        <v>145</v>
      </c>
      <c r="I2778" s="20" t="n">
        <v>11.837</v>
      </c>
      <c r="J2778" s="19" t="n">
        <f aca="false">IF(I2778="","",MIN(Overview!$B$8,MAX(1,CEILING(I2778/Overview!$B$7,1))))</f>
        <v>3</v>
      </c>
      <c r="K2778" s="19" t="n">
        <v>1</v>
      </c>
      <c r="L2778" s="19"/>
      <c r="M2778" s="20" t="n">
        <v>4</v>
      </c>
      <c r="N2778" s="19"/>
      <c r="O2778" s="19"/>
      <c r="P2778" s="19" t="s">
        <v>1512</v>
      </c>
      <c r="Q2778" s="19" t="s">
        <v>1513</v>
      </c>
      <c r="R2778" s="21" t="n">
        <v>45760</v>
      </c>
      <c r="S2778" s="19" t="s">
        <v>1036</v>
      </c>
      <c r="T2778" s="19" t="s">
        <v>8214</v>
      </c>
      <c r="U2778" s="19" t="str">
        <f aca="false">HYPERLINK("https://macaulaylibrary.org/asset/646477773","Open")</f>
        <v>Open</v>
      </c>
      <c r="V2778" s="19"/>
    </row>
    <row r="2779" customFormat="false" ht="15" hidden="false" customHeight="false" outlineLevel="0" collapsed="false">
      <c r="A2779" s="19" t="s">
        <v>8215</v>
      </c>
      <c r="B2779" s="19" t="s">
        <v>943</v>
      </c>
      <c r="C2779" s="19" t="s">
        <v>7202</v>
      </c>
      <c r="D2779" s="19" t="s">
        <v>148</v>
      </c>
      <c r="E2779" s="19" t="s">
        <v>147</v>
      </c>
      <c r="F2779" s="19" t="s">
        <v>144</v>
      </c>
      <c r="G2779" s="19" t="n">
        <v>217</v>
      </c>
      <c r="H2779" s="19" t="s">
        <v>145</v>
      </c>
      <c r="I2779" s="20" t="n">
        <v>20.32</v>
      </c>
      <c r="J2779" s="19" t="n">
        <f aca="false">IF(I2779="","",MIN(Overview!$B$8,MAX(1,CEILING(I2779/Overview!$B$7,1))))</f>
        <v>5</v>
      </c>
      <c r="K2779" s="19" t="n">
        <v>1</v>
      </c>
      <c r="L2779" s="19"/>
      <c r="M2779" s="20" t="n">
        <v>5</v>
      </c>
      <c r="N2779" s="19"/>
      <c r="O2779" s="19"/>
      <c r="P2779" s="19" t="s">
        <v>964</v>
      </c>
      <c r="Q2779" s="19" t="s">
        <v>965</v>
      </c>
      <c r="R2779" s="21" t="n">
        <v>46011</v>
      </c>
      <c r="S2779" s="19" t="s">
        <v>966</v>
      </c>
      <c r="T2779" s="19" t="s">
        <v>8216</v>
      </c>
      <c r="U2779" s="19" t="str">
        <f aca="false">HYPERLINK("https://macaulaylibrary.org/asset/647448266","Open")</f>
        <v>Open</v>
      </c>
      <c r="V2779" s="19"/>
    </row>
    <row r="2780" customFormat="false" ht="15" hidden="false" customHeight="false" outlineLevel="0" collapsed="false">
      <c r="A2780" s="19" t="s">
        <v>8217</v>
      </c>
      <c r="B2780" s="19" t="s">
        <v>943</v>
      </c>
      <c r="C2780" s="19" t="s">
        <v>7202</v>
      </c>
      <c r="D2780" s="19" t="s">
        <v>148</v>
      </c>
      <c r="E2780" s="19" t="s">
        <v>147</v>
      </c>
      <c r="F2780" s="19" t="s">
        <v>144</v>
      </c>
      <c r="G2780" s="19" t="n">
        <v>217</v>
      </c>
      <c r="H2780" s="19" t="s">
        <v>145</v>
      </c>
      <c r="I2780" s="20" t="n">
        <v>8.316</v>
      </c>
      <c r="J2780" s="19" t="n">
        <f aca="false">IF(I2780="","",MIN(Overview!$B$8,MAX(1,CEILING(I2780/Overview!$B$7,1))))</f>
        <v>2</v>
      </c>
      <c r="K2780" s="19" t="n">
        <v>1</v>
      </c>
      <c r="L2780" s="19"/>
      <c r="M2780" s="20" t="n">
        <v>4</v>
      </c>
      <c r="N2780" s="19"/>
      <c r="O2780" s="19"/>
      <c r="P2780" s="19" t="s">
        <v>1235</v>
      </c>
      <c r="Q2780" s="19" t="s">
        <v>1236</v>
      </c>
      <c r="R2780" s="21" t="n">
        <v>46059</v>
      </c>
      <c r="S2780" s="19" t="s">
        <v>1237</v>
      </c>
      <c r="T2780" s="19" t="s">
        <v>8218</v>
      </c>
      <c r="U2780" s="19" t="str">
        <f aca="false">HYPERLINK("https://macaulaylibrary.org/asset/652627214","Open")</f>
        <v>Open</v>
      </c>
      <c r="V2780" s="19"/>
    </row>
    <row r="2781" customFormat="false" ht="15" hidden="false" customHeight="false" outlineLevel="0" collapsed="false">
      <c r="A2781" s="19" t="s">
        <v>8219</v>
      </c>
      <c r="B2781" s="19" t="s">
        <v>943</v>
      </c>
      <c r="C2781" s="19" t="s">
        <v>7202</v>
      </c>
      <c r="D2781" s="19" t="s">
        <v>148</v>
      </c>
      <c r="E2781" s="19" t="s">
        <v>147</v>
      </c>
      <c r="F2781" s="19" t="s">
        <v>144</v>
      </c>
      <c r="G2781" s="19" t="n">
        <v>217</v>
      </c>
      <c r="H2781" s="19" t="s">
        <v>145</v>
      </c>
      <c r="I2781" s="20" t="n">
        <v>17.632</v>
      </c>
      <c r="J2781" s="19" t="n">
        <f aca="false">IF(I2781="","",MIN(Overview!$B$8,MAX(1,CEILING(I2781/Overview!$B$7,1))))</f>
        <v>4</v>
      </c>
      <c r="K2781" s="19" t="n">
        <v>1</v>
      </c>
      <c r="L2781" s="19"/>
      <c r="M2781" s="20"/>
      <c r="N2781" s="19"/>
      <c r="O2781" s="19"/>
      <c r="P2781" s="19" t="s">
        <v>1381</v>
      </c>
      <c r="Q2781" s="19" t="s">
        <v>1382</v>
      </c>
      <c r="R2781" s="21" t="n">
        <v>46103</v>
      </c>
      <c r="S2781" s="19" t="s">
        <v>1383</v>
      </c>
      <c r="T2781" s="19" t="s">
        <v>8220</v>
      </c>
      <c r="U2781" s="19" t="str">
        <f aca="false">HYPERLINK("https://macaulaylibrary.org/asset/654112169","Open")</f>
        <v>Open</v>
      </c>
      <c r="V2781" s="19"/>
    </row>
    <row r="2782" customFormat="false" ht="15" hidden="false" customHeight="false" outlineLevel="0" collapsed="false">
      <c r="A2782" s="19" t="s">
        <v>8221</v>
      </c>
      <c r="B2782" s="19" t="s">
        <v>943</v>
      </c>
      <c r="C2782" s="19" t="s">
        <v>7202</v>
      </c>
      <c r="D2782" s="19" t="s">
        <v>148</v>
      </c>
      <c r="E2782" s="19" t="s">
        <v>147</v>
      </c>
      <c r="F2782" s="19" t="s">
        <v>144</v>
      </c>
      <c r="G2782" s="19" t="n">
        <v>217</v>
      </c>
      <c r="H2782" s="19" t="s">
        <v>145</v>
      </c>
      <c r="I2782" s="20" t="n">
        <v>15.36</v>
      </c>
      <c r="J2782" s="19" t="n">
        <f aca="false">IF(I2782="","",MIN(Overview!$B$8,MAX(1,CEILING(I2782/Overview!$B$7,1))))</f>
        <v>4</v>
      </c>
      <c r="K2782" s="19" t="n">
        <v>1</v>
      </c>
      <c r="L2782" s="19"/>
      <c r="M2782" s="20" t="n">
        <v>4.5</v>
      </c>
      <c r="N2782" s="19"/>
      <c r="O2782" s="19"/>
      <c r="P2782" s="19" t="s">
        <v>8222</v>
      </c>
      <c r="Q2782" s="19" t="s">
        <v>1847</v>
      </c>
      <c r="R2782" s="21" t="n">
        <v>43160</v>
      </c>
      <c r="S2782" s="19" t="s">
        <v>8223</v>
      </c>
      <c r="T2782" s="19" t="s">
        <v>8224</v>
      </c>
      <c r="U2782" s="19" t="str">
        <f aca="false">HYPERLINK("https://macaulaylibrary.org/asset/89668981","Open")</f>
        <v>Open</v>
      </c>
      <c r="V2782" s="19"/>
    </row>
    <row r="2783" customFormat="false" ht="15" hidden="false" customHeight="false" outlineLevel="0" collapsed="false">
      <c r="A2783" s="19" t="s">
        <v>8225</v>
      </c>
      <c r="B2783" s="19" t="s">
        <v>943</v>
      </c>
      <c r="C2783" s="19" t="s">
        <v>7202</v>
      </c>
      <c r="D2783" s="19" t="s">
        <v>400</v>
      </c>
      <c r="E2783" s="19" t="s">
        <v>147</v>
      </c>
      <c r="F2783" s="19" t="s">
        <v>737</v>
      </c>
      <c r="G2783" s="19" t="n">
        <v>218</v>
      </c>
      <c r="H2783" s="19" t="s">
        <v>738</v>
      </c>
      <c r="I2783" s="20" t="n">
        <v>17.519</v>
      </c>
      <c r="J2783" s="19" t="n">
        <f aca="false">IF(I2783="","",MIN(Overview!$B$8,MAX(1,CEILING(I2783/Overview!$B$7,1))))</f>
        <v>4</v>
      </c>
      <c r="K2783" s="19" t="n">
        <v>1</v>
      </c>
      <c r="L2783" s="19"/>
      <c r="M2783" s="20" t="n">
        <v>2</v>
      </c>
      <c r="N2783" s="19"/>
      <c r="O2783" s="19"/>
      <c r="P2783" s="19" t="s">
        <v>1360</v>
      </c>
      <c r="Q2783" s="19" t="s">
        <v>1076</v>
      </c>
      <c r="R2783" s="21" t="n">
        <v>43399</v>
      </c>
      <c r="S2783" s="19" t="s">
        <v>1361</v>
      </c>
      <c r="T2783" s="19" t="s">
        <v>8226</v>
      </c>
      <c r="U2783" s="19" t="str">
        <f aca="false">HYPERLINK("https://macaulaylibrary.org/asset/471208411","Open")</f>
        <v>Open</v>
      </c>
      <c r="V2783" s="19"/>
    </row>
    <row r="2784" customFormat="false" ht="15" hidden="false" customHeight="false" outlineLevel="0" collapsed="false">
      <c r="A2784" s="19" t="s">
        <v>8227</v>
      </c>
      <c r="B2784" s="19" t="s">
        <v>943</v>
      </c>
      <c r="C2784" s="19" t="s">
        <v>7202</v>
      </c>
      <c r="D2784" s="19" t="s">
        <v>148</v>
      </c>
      <c r="E2784" s="19" t="s">
        <v>147</v>
      </c>
      <c r="F2784" s="19" t="s">
        <v>194</v>
      </c>
      <c r="G2784" s="19" t="n">
        <v>219</v>
      </c>
      <c r="H2784" s="19" t="s">
        <v>195</v>
      </c>
      <c r="I2784" s="20" t="n">
        <v>15.681</v>
      </c>
      <c r="J2784" s="19" t="n">
        <f aca="false">IF(I2784="","",MIN(Overview!$B$8,MAX(1,CEILING(I2784/Overview!$B$7,1))))</f>
        <v>4</v>
      </c>
      <c r="K2784" s="19" t="n">
        <v>1</v>
      </c>
      <c r="L2784" s="19"/>
      <c r="M2784" s="20" t="n">
        <v>1.67</v>
      </c>
      <c r="N2784" s="19"/>
      <c r="O2784" s="19"/>
      <c r="P2784" s="19" t="s">
        <v>1746</v>
      </c>
      <c r="Q2784" s="19" t="s">
        <v>1747</v>
      </c>
      <c r="R2784" s="21" t="n">
        <v>43269</v>
      </c>
      <c r="S2784" s="19" t="s">
        <v>1245</v>
      </c>
      <c r="T2784" s="19" t="s">
        <v>8228</v>
      </c>
      <c r="U2784" s="19" t="str">
        <f aca="false">HYPERLINK("https://macaulaylibrary.org/asset/108212231","Open")</f>
        <v>Open</v>
      </c>
      <c r="V2784" s="19"/>
    </row>
    <row r="2785" customFormat="false" ht="15" hidden="false" customHeight="false" outlineLevel="0" collapsed="false">
      <c r="A2785" s="19" t="s">
        <v>8229</v>
      </c>
      <c r="B2785" s="19" t="s">
        <v>943</v>
      </c>
      <c r="C2785" s="19" t="s">
        <v>7202</v>
      </c>
      <c r="D2785" s="19" t="s">
        <v>148</v>
      </c>
      <c r="E2785" s="19" t="s">
        <v>147</v>
      </c>
      <c r="F2785" s="19" t="s">
        <v>194</v>
      </c>
      <c r="G2785" s="19" t="n">
        <v>219</v>
      </c>
      <c r="H2785" s="19" t="s">
        <v>195</v>
      </c>
      <c r="I2785" s="20" t="n">
        <v>52.227</v>
      </c>
      <c r="J2785" s="19" t="n">
        <f aca="false">IF(I2785="","",MIN(Overview!$B$8,MAX(1,CEILING(I2785/Overview!$B$7,1))))</f>
        <v>11</v>
      </c>
      <c r="K2785" s="19" t="n">
        <v>1</v>
      </c>
      <c r="L2785" s="19"/>
      <c r="M2785" s="20" t="n">
        <v>1.2</v>
      </c>
      <c r="N2785" s="19"/>
      <c r="O2785" s="19"/>
      <c r="P2785" s="19" t="s">
        <v>2342</v>
      </c>
      <c r="Q2785" s="19" t="s">
        <v>2343</v>
      </c>
      <c r="R2785" s="21" t="n">
        <v>31506</v>
      </c>
      <c r="S2785" s="19" t="s">
        <v>2787</v>
      </c>
      <c r="T2785" s="19" t="s">
        <v>8230</v>
      </c>
      <c r="U2785" s="19" t="str">
        <f aca="false">HYPERLINK("https://macaulaylibrary.org/asset/249460","Open")</f>
        <v>Open</v>
      </c>
      <c r="V2785" s="19"/>
    </row>
    <row r="2786" customFormat="false" ht="15" hidden="false" customHeight="false" outlineLevel="0" collapsed="false">
      <c r="A2786" s="19" t="s">
        <v>8231</v>
      </c>
      <c r="B2786" s="19" t="s">
        <v>943</v>
      </c>
      <c r="C2786" s="19" t="s">
        <v>7202</v>
      </c>
      <c r="D2786" s="19" t="s">
        <v>148</v>
      </c>
      <c r="E2786" s="19" t="s">
        <v>147</v>
      </c>
      <c r="F2786" s="19" t="s">
        <v>194</v>
      </c>
      <c r="G2786" s="19" t="n">
        <v>219</v>
      </c>
      <c r="H2786" s="19" t="s">
        <v>195</v>
      </c>
      <c r="I2786" s="20" t="n">
        <v>44.428</v>
      </c>
      <c r="J2786" s="19" t="n">
        <f aca="false">IF(I2786="","",MIN(Overview!$B$8,MAX(1,CEILING(I2786/Overview!$B$7,1))))</f>
        <v>9</v>
      </c>
      <c r="K2786" s="19" t="n">
        <v>1</v>
      </c>
      <c r="L2786" s="19"/>
      <c r="M2786" s="20" t="n">
        <v>3.67</v>
      </c>
      <c r="N2786" s="19"/>
      <c r="O2786" s="19"/>
      <c r="P2786" s="19" t="s">
        <v>3152</v>
      </c>
      <c r="Q2786" s="19" t="s">
        <v>1408</v>
      </c>
      <c r="R2786" s="21" t="n">
        <v>31807</v>
      </c>
      <c r="S2786" s="19" t="s">
        <v>1009</v>
      </c>
      <c r="T2786" s="19" t="s">
        <v>8232</v>
      </c>
      <c r="U2786" s="19" t="str">
        <f aca="false">HYPERLINK("https://macaulaylibrary.org/asset/306060481","Open")</f>
        <v>Open</v>
      </c>
      <c r="V2786" s="19"/>
    </row>
    <row r="2787" customFormat="false" ht="15" hidden="false" customHeight="false" outlineLevel="0" collapsed="false">
      <c r="A2787" s="19" t="s">
        <v>8233</v>
      </c>
      <c r="B2787" s="19" t="s">
        <v>943</v>
      </c>
      <c r="C2787" s="19" t="s">
        <v>7202</v>
      </c>
      <c r="D2787" s="19" t="s">
        <v>148</v>
      </c>
      <c r="E2787" s="19" t="s">
        <v>147</v>
      </c>
      <c r="F2787" s="19" t="s">
        <v>194</v>
      </c>
      <c r="G2787" s="19" t="n">
        <v>219</v>
      </c>
      <c r="H2787" s="19" t="s">
        <v>195</v>
      </c>
      <c r="I2787" s="20" t="n">
        <v>13.531</v>
      </c>
      <c r="J2787" s="19" t="n">
        <f aca="false">IF(I2787="","",MIN(Overview!$B$8,MAX(1,CEILING(I2787/Overview!$B$7,1))))</f>
        <v>3</v>
      </c>
      <c r="K2787" s="19" t="n">
        <v>1</v>
      </c>
      <c r="L2787" s="19"/>
      <c r="M2787" s="20" t="n">
        <v>3</v>
      </c>
      <c r="N2787" s="19"/>
      <c r="O2787" s="19"/>
      <c r="P2787" s="19" t="s">
        <v>1034</v>
      </c>
      <c r="Q2787" s="19" t="s">
        <v>1035</v>
      </c>
      <c r="R2787" s="21" t="n">
        <v>43665</v>
      </c>
      <c r="S2787" s="19" t="s">
        <v>1036</v>
      </c>
      <c r="T2787" s="19" t="s">
        <v>8234</v>
      </c>
      <c r="U2787" s="19" t="str">
        <f aca="false">HYPERLINK("https://macaulaylibrary.org/asset/498004801","Open")</f>
        <v>Open</v>
      </c>
      <c r="V2787" s="19"/>
    </row>
    <row r="2788" customFormat="false" ht="15" hidden="false" customHeight="false" outlineLevel="0" collapsed="false">
      <c r="A2788" s="19" t="s">
        <v>8235</v>
      </c>
      <c r="B2788" s="19" t="s">
        <v>943</v>
      </c>
      <c r="C2788" s="19" t="s">
        <v>7202</v>
      </c>
      <c r="D2788" s="19" t="s">
        <v>148</v>
      </c>
      <c r="E2788" s="19" t="s">
        <v>147</v>
      </c>
      <c r="F2788" s="19" t="s">
        <v>194</v>
      </c>
      <c r="G2788" s="19" t="n">
        <v>219</v>
      </c>
      <c r="H2788" s="19" t="s">
        <v>195</v>
      </c>
      <c r="I2788" s="20" t="n">
        <v>40.438</v>
      </c>
      <c r="J2788" s="19" t="n">
        <f aca="false">IF(I2788="","",MIN(Overview!$B$8,MAX(1,CEILING(I2788/Overview!$B$7,1))))</f>
        <v>9</v>
      </c>
      <c r="K2788" s="19" t="n">
        <v>1</v>
      </c>
      <c r="L2788" s="19"/>
      <c r="M2788" s="20" t="n">
        <v>3</v>
      </c>
      <c r="N2788" s="19"/>
      <c r="O2788" s="19"/>
      <c r="P2788" s="19" t="s">
        <v>1034</v>
      </c>
      <c r="Q2788" s="19" t="s">
        <v>1035</v>
      </c>
      <c r="R2788" s="21" t="n">
        <v>43665</v>
      </c>
      <c r="S2788" s="19" t="s">
        <v>1036</v>
      </c>
      <c r="T2788" s="19" t="s">
        <v>8236</v>
      </c>
      <c r="U2788" s="19" t="str">
        <f aca="false">HYPERLINK("https://macaulaylibrary.org/asset/498004811","Open")</f>
        <v>Open</v>
      </c>
      <c r="V2788" s="19"/>
    </row>
    <row r="2789" customFormat="false" ht="15" hidden="false" customHeight="false" outlineLevel="0" collapsed="false">
      <c r="A2789" s="19" t="s">
        <v>8237</v>
      </c>
      <c r="B2789" s="19" t="s">
        <v>943</v>
      </c>
      <c r="C2789" s="19" t="s">
        <v>7202</v>
      </c>
      <c r="D2789" s="19" t="s">
        <v>148</v>
      </c>
      <c r="E2789" s="19" t="s">
        <v>147</v>
      </c>
      <c r="F2789" s="19" t="s">
        <v>194</v>
      </c>
      <c r="G2789" s="19" t="n">
        <v>219</v>
      </c>
      <c r="H2789" s="19" t="s">
        <v>195</v>
      </c>
      <c r="I2789" s="20" t="n">
        <v>19.904</v>
      </c>
      <c r="J2789" s="19" t="n">
        <f aca="false">IF(I2789="","",MIN(Overview!$B$8,MAX(1,CEILING(I2789/Overview!$B$7,1))))</f>
        <v>4</v>
      </c>
      <c r="K2789" s="19" t="n">
        <v>1</v>
      </c>
      <c r="L2789" s="19"/>
      <c r="M2789" s="20" t="n">
        <v>2.33</v>
      </c>
      <c r="N2789" s="19"/>
      <c r="O2789" s="19"/>
      <c r="P2789" s="19" t="s">
        <v>8222</v>
      </c>
      <c r="Q2789" s="19" t="s">
        <v>1847</v>
      </c>
      <c r="R2789" s="21" t="n">
        <v>43160</v>
      </c>
      <c r="S2789" s="19" t="s">
        <v>8223</v>
      </c>
      <c r="T2789" s="19" t="s">
        <v>8238</v>
      </c>
      <c r="U2789" s="19" t="str">
        <f aca="false">HYPERLINK("https://macaulaylibrary.org/asset/89669031","Open")</f>
        <v>Open</v>
      </c>
      <c r="V2789" s="19"/>
    </row>
    <row r="2790" customFormat="false" ht="15" hidden="false" customHeight="false" outlineLevel="0" collapsed="false">
      <c r="A2790" s="19" t="s">
        <v>8239</v>
      </c>
      <c r="B2790" s="19" t="s">
        <v>943</v>
      </c>
      <c r="C2790" s="19" t="s">
        <v>7202</v>
      </c>
      <c r="D2790" s="19" t="s">
        <v>148</v>
      </c>
      <c r="E2790" s="19" t="s">
        <v>147</v>
      </c>
      <c r="F2790" s="19" t="s">
        <v>388</v>
      </c>
      <c r="G2790" s="19" t="n">
        <v>220</v>
      </c>
      <c r="H2790" s="19" t="s">
        <v>389</v>
      </c>
      <c r="I2790" s="20" t="n">
        <v>84.189</v>
      </c>
      <c r="J2790" s="19" t="n">
        <f aca="false">IF(I2790="","",MIN(Overview!$B$8,MAX(1,CEILING(I2790/Overview!$B$7,1))))</f>
        <v>17</v>
      </c>
      <c r="K2790" s="19" t="n">
        <v>1</v>
      </c>
      <c r="L2790" s="19"/>
      <c r="M2790" s="20" t="n">
        <v>2</v>
      </c>
      <c r="N2790" s="19"/>
      <c r="O2790" s="19"/>
      <c r="P2790" s="19" t="s">
        <v>1121</v>
      </c>
      <c r="Q2790" s="19" t="s">
        <v>980</v>
      </c>
      <c r="R2790" s="21" t="n">
        <v>32556</v>
      </c>
      <c r="S2790" s="19" t="s">
        <v>8240</v>
      </c>
      <c r="T2790" s="19" t="s">
        <v>8241</v>
      </c>
      <c r="U2790" s="19" t="str">
        <f aca="false">HYPERLINK("https://macaulaylibrary.org/asset/215379","Open")</f>
        <v>Open</v>
      </c>
      <c r="V2790" s="19"/>
    </row>
    <row r="2791" customFormat="false" ht="15" hidden="false" customHeight="false" outlineLevel="0" collapsed="false">
      <c r="A2791" s="19" t="s">
        <v>8242</v>
      </c>
      <c r="B2791" s="19" t="s">
        <v>943</v>
      </c>
      <c r="C2791" s="19" t="s">
        <v>7202</v>
      </c>
      <c r="D2791" s="19" t="s">
        <v>148</v>
      </c>
      <c r="E2791" s="19" t="s">
        <v>147</v>
      </c>
      <c r="F2791" s="19" t="s">
        <v>388</v>
      </c>
      <c r="G2791" s="19" t="n">
        <v>220</v>
      </c>
      <c r="H2791" s="19" t="s">
        <v>389</v>
      </c>
      <c r="I2791" s="20" t="n">
        <v>16.217</v>
      </c>
      <c r="J2791" s="19" t="n">
        <f aca="false">IF(I2791="","",MIN(Overview!$B$8,MAX(1,CEILING(I2791/Overview!$B$7,1))))</f>
        <v>4</v>
      </c>
      <c r="K2791" s="19" t="n">
        <v>1</v>
      </c>
      <c r="L2791" s="19"/>
      <c r="M2791" s="20" t="n">
        <v>2.33</v>
      </c>
      <c r="N2791" s="19"/>
      <c r="O2791" s="19" t="s">
        <v>172</v>
      </c>
      <c r="P2791" s="19" t="s">
        <v>1131</v>
      </c>
      <c r="Q2791" s="19" t="s">
        <v>1063</v>
      </c>
      <c r="R2791" s="21" t="n">
        <v>44086</v>
      </c>
      <c r="S2791" s="19" t="s">
        <v>1132</v>
      </c>
      <c r="T2791" s="19" t="s">
        <v>8243</v>
      </c>
      <c r="U2791" s="19" t="str">
        <f aca="false">HYPERLINK("https://macaulaylibrary.org/asset/266294781","Open")</f>
        <v>Open</v>
      </c>
      <c r="V2791" s="19"/>
    </row>
    <row r="2792" customFormat="false" ht="15" hidden="false" customHeight="false" outlineLevel="0" collapsed="false">
      <c r="A2792" s="19" t="s">
        <v>8244</v>
      </c>
      <c r="B2792" s="19" t="s">
        <v>943</v>
      </c>
      <c r="C2792" s="19" t="s">
        <v>7202</v>
      </c>
      <c r="D2792" s="19" t="s">
        <v>400</v>
      </c>
      <c r="E2792" s="19" t="s">
        <v>147</v>
      </c>
      <c r="F2792" s="19" t="s">
        <v>686</v>
      </c>
      <c r="G2792" s="19" t="n">
        <v>221</v>
      </c>
      <c r="H2792" s="19" t="s">
        <v>687</v>
      </c>
      <c r="I2792" s="20" t="n">
        <v>32.171</v>
      </c>
      <c r="J2792" s="19" t="n">
        <f aca="false">IF(I2792="","",MIN(Overview!$B$8,MAX(1,CEILING(I2792/Overview!$B$7,1))))</f>
        <v>7</v>
      </c>
      <c r="K2792" s="19" t="n">
        <v>1</v>
      </c>
      <c r="L2792" s="19"/>
      <c r="M2792" s="20" t="n">
        <v>2</v>
      </c>
      <c r="N2792" s="19"/>
      <c r="O2792" s="19"/>
      <c r="P2792" s="19" t="s">
        <v>2338</v>
      </c>
      <c r="Q2792" s="19" t="s">
        <v>965</v>
      </c>
      <c r="R2792" s="21" t="n">
        <v>43449</v>
      </c>
      <c r="S2792" s="19" t="s">
        <v>1137</v>
      </c>
      <c r="T2792" s="19" t="s">
        <v>8245</v>
      </c>
      <c r="U2792" s="19" t="str">
        <f aca="false">HYPERLINK("https://macaulaylibrary.org/asset/129893081","Open")</f>
        <v>Open</v>
      </c>
      <c r="V2792" s="19"/>
    </row>
    <row r="2793" customFormat="false" ht="15" hidden="false" customHeight="false" outlineLevel="0" collapsed="false">
      <c r="A2793" s="19" t="s">
        <v>8246</v>
      </c>
      <c r="B2793" s="19" t="s">
        <v>943</v>
      </c>
      <c r="C2793" s="19" t="s">
        <v>7202</v>
      </c>
      <c r="D2793" s="19" t="s">
        <v>613</v>
      </c>
      <c r="E2793" s="19" t="s">
        <v>147</v>
      </c>
      <c r="F2793" s="19" t="s">
        <v>879</v>
      </c>
      <c r="G2793" s="19" t="n">
        <v>222</v>
      </c>
      <c r="H2793" s="19" t="s">
        <v>880</v>
      </c>
      <c r="I2793" s="20" t="n">
        <v>81.34</v>
      </c>
      <c r="J2793" s="19" t="n">
        <f aca="false">IF(I2793="","",MIN(Overview!$B$8,MAX(1,CEILING(I2793/Overview!$B$7,1))))</f>
        <v>17</v>
      </c>
      <c r="K2793" s="19" t="n">
        <v>1</v>
      </c>
      <c r="L2793" s="19"/>
      <c r="M2793" s="20" t="n">
        <v>3</v>
      </c>
      <c r="N2793" s="19"/>
      <c r="O2793" s="19"/>
      <c r="P2793" s="19" t="s">
        <v>2275</v>
      </c>
      <c r="Q2793" s="19" t="s">
        <v>980</v>
      </c>
      <c r="R2793" s="21" t="n">
        <v>34123</v>
      </c>
      <c r="S2793" s="19" t="s">
        <v>8247</v>
      </c>
      <c r="T2793" s="19" t="s">
        <v>8248</v>
      </c>
      <c r="U2793" s="19" t="str">
        <f aca="false">HYPERLINK("https://macaulaylibrary.org/asset/209465","Open")</f>
        <v>Open</v>
      </c>
      <c r="V2793" s="19"/>
    </row>
    <row r="2794" customFormat="false" ht="15" hidden="false" customHeight="false" outlineLevel="0" collapsed="false">
      <c r="A2794" s="19" t="s">
        <v>8249</v>
      </c>
      <c r="B2794" s="19" t="s">
        <v>943</v>
      </c>
      <c r="C2794" s="19" t="s">
        <v>7202</v>
      </c>
      <c r="D2794" s="19" t="s">
        <v>148</v>
      </c>
      <c r="E2794" s="19" t="s">
        <v>147</v>
      </c>
      <c r="F2794" s="19" t="s">
        <v>391</v>
      </c>
      <c r="G2794" s="19" t="n">
        <v>223</v>
      </c>
      <c r="H2794" s="19" t="s">
        <v>392</v>
      </c>
      <c r="I2794" s="20" t="n">
        <v>7.627</v>
      </c>
      <c r="J2794" s="19" t="n">
        <f aca="false">IF(I2794="","",MIN(Overview!$B$8,MAX(1,CEILING(I2794/Overview!$B$7,1))))</f>
        <v>2</v>
      </c>
      <c r="K2794" s="19" t="n">
        <v>1</v>
      </c>
      <c r="L2794" s="19"/>
      <c r="M2794" s="20" t="n">
        <v>3</v>
      </c>
      <c r="N2794" s="19"/>
      <c r="O2794" s="19"/>
      <c r="P2794" s="19" t="s">
        <v>4665</v>
      </c>
      <c r="Q2794" s="19" t="s">
        <v>1397</v>
      </c>
      <c r="R2794" s="21" t="n">
        <v>46217</v>
      </c>
      <c r="S2794" s="19" t="s">
        <v>3750</v>
      </c>
      <c r="T2794" s="19" t="s">
        <v>8250</v>
      </c>
      <c r="U2794" s="19" t="str">
        <f aca="false">HYPERLINK("https://macaulaylibrary.org/asset/661734563","Open")</f>
        <v>Open</v>
      </c>
      <c r="V2794" s="19"/>
    </row>
    <row r="2795" customFormat="false" ht="15" hidden="false" customHeight="false" outlineLevel="0" collapsed="false">
      <c r="A2795" s="19" t="s">
        <v>8251</v>
      </c>
      <c r="B2795" s="19" t="s">
        <v>943</v>
      </c>
      <c r="C2795" s="19" t="s">
        <v>7202</v>
      </c>
      <c r="D2795" s="19" t="s">
        <v>148</v>
      </c>
      <c r="E2795" s="19" t="s">
        <v>147</v>
      </c>
      <c r="F2795" s="19" t="s">
        <v>391</v>
      </c>
      <c r="G2795" s="19" t="n">
        <v>223</v>
      </c>
      <c r="H2795" s="19" t="s">
        <v>392</v>
      </c>
      <c r="I2795" s="20" t="n">
        <v>37.057</v>
      </c>
      <c r="J2795" s="19" t="n">
        <f aca="false">IF(I2795="","",MIN(Overview!$B$8,MAX(1,CEILING(I2795/Overview!$B$7,1))))</f>
        <v>8</v>
      </c>
      <c r="K2795" s="19" t="n">
        <v>1</v>
      </c>
      <c r="L2795" s="19"/>
      <c r="M2795" s="20" t="n">
        <v>3</v>
      </c>
      <c r="N2795" s="19"/>
      <c r="O2795" s="19"/>
      <c r="P2795" s="19" t="s">
        <v>4665</v>
      </c>
      <c r="Q2795" s="19" t="s">
        <v>1397</v>
      </c>
      <c r="R2795" s="21" t="n">
        <v>46217</v>
      </c>
      <c r="S2795" s="19" t="s">
        <v>3750</v>
      </c>
      <c r="T2795" s="19" t="s">
        <v>8252</v>
      </c>
      <c r="U2795" s="19" t="str">
        <f aca="false">HYPERLINK("https://macaulaylibrary.org/asset/661734572","Open")</f>
        <v>Open</v>
      </c>
      <c r="V2795" s="19"/>
    </row>
    <row r="2796" customFormat="false" ht="15" hidden="false" customHeight="false" outlineLevel="0" collapsed="false">
      <c r="A2796" s="19" t="s">
        <v>8253</v>
      </c>
      <c r="B2796" s="19" t="s">
        <v>943</v>
      </c>
      <c r="C2796" s="19" t="s">
        <v>7202</v>
      </c>
      <c r="D2796" s="19" t="s">
        <v>613</v>
      </c>
      <c r="E2796" s="19" t="s">
        <v>147</v>
      </c>
      <c r="F2796" s="19" t="s">
        <v>882</v>
      </c>
      <c r="G2796" s="19" t="n">
        <v>224</v>
      </c>
      <c r="H2796" s="19" t="s">
        <v>883</v>
      </c>
      <c r="I2796" s="20" t="n">
        <v>5.675</v>
      </c>
      <c r="J2796" s="19" t="n">
        <f aca="false">IF(I2796="","",MIN(Overview!$B$8,MAX(1,CEILING(I2796/Overview!$B$7,1))))</f>
        <v>2</v>
      </c>
      <c r="K2796" s="19" t="n">
        <v>1</v>
      </c>
      <c r="L2796" s="19"/>
      <c r="M2796" s="20" t="n">
        <v>2</v>
      </c>
      <c r="N2796" s="19"/>
      <c r="O2796" s="19"/>
      <c r="P2796" s="19" t="s">
        <v>1305</v>
      </c>
      <c r="Q2796" s="19" t="s">
        <v>965</v>
      </c>
      <c r="R2796" s="21" t="n">
        <v>45276</v>
      </c>
      <c r="S2796" s="19" t="s">
        <v>1306</v>
      </c>
      <c r="T2796" s="19" t="s">
        <v>8254</v>
      </c>
      <c r="U2796" s="19" t="str">
        <f aca="false">HYPERLINK("https://macaulaylibrary.org/asset/612315806","Open")</f>
        <v>Open</v>
      </c>
      <c r="V2796" s="19"/>
    </row>
    <row r="2797" customFormat="false" ht="15" hidden="false" customHeight="false" outlineLevel="0" collapsed="false">
      <c r="A2797" s="19" t="s">
        <v>8255</v>
      </c>
      <c r="B2797" s="19" t="s">
        <v>943</v>
      </c>
      <c r="C2797" s="19" t="s">
        <v>7202</v>
      </c>
      <c r="D2797" s="19" t="s">
        <v>148</v>
      </c>
      <c r="E2797" s="19" t="s">
        <v>147</v>
      </c>
      <c r="F2797" s="19" t="s">
        <v>313</v>
      </c>
      <c r="G2797" s="19" t="n">
        <v>225</v>
      </c>
      <c r="H2797" s="19" t="s">
        <v>314</v>
      </c>
      <c r="I2797" s="20" t="n">
        <v>39.974</v>
      </c>
      <c r="J2797" s="19" t="n">
        <f aca="false">IF(I2797="","",MIN(Overview!$B$8,MAX(1,CEILING(I2797/Overview!$B$7,1))))</f>
        <v>8</v>
      </c>
      <c r="K2797" s="19" t="n">
        <v>1</v>
      </c>
      <c r="L2797" s="19"/>
      <c r="M2797" s="20" t="n">
        <v>2</v>
      </c>
      <c r="N2797" s="19"/>
      <c r="O2797" s="19"/>
      <c r="P2797" s="19" t="s">
        <v>3717</v>
      </c>
      <c r="Q2797" s="19" t="s">
        <v>2343</v>
      </c>
      <c r="R2797" s="21" t="n">
        <v>31505</v>
      </c>
      <c r="S2797" s="19" t="s">
        <v>2787</v>
      </c>
      <c r="T2797" s="19" t="s">
        <v>8256</v>
      </c>
      <c r="U2797" s="19" t="str">
        <f aca="false">HYPERLINK("https://macaulaylibrary.org/asset/249445","Open")</f>
        <v>Open</v>
      </c>
      <c r="V2797" s="19"/>
    </row>
    <row r="2798" customFormat="false" ht="15" hidden="false" customHeight="false" outlineLevel="0" collapsed="false">
      <c r="A2798" s="19" t="s">
        <v>8257</v>
      </c>
      <c r="B2798" s="19" t="s">
        <v>943</v>
      </c>
      <c r="C2798" s="19" t="s">
        <v>7202</v>
      </c>
      <c r="D2798" s="19" t="s">
        <v>148</v>
      </c>
      <c r="E2798" s="19" t="s">
        <v>147</v>
      </c>
      <c r="F2798" s="19" t="s">
        <v>313</v>
      </c>
      <c r="G2798" s="19" t="n">
        <v>225</v>
      </c>
      <c r="H2798" s="19" t="s">
        <v>314</v>
      </c>
      <c r="I2798" s="20" t="n">
        <v>7.23</v>
      </c>
      <c r="J2798" s="19" t="n">
        <f aca="false">IF(I2798="","",MIN(Overview!$B$8,MAX(1,CEILING(I2798/Overview!$B$7,1))))</f>
        <v>2</v>
      </c>
      <c r="K2798" s="19" t="n">
        <v>1</v>
      </c>
      <c r="L2798" s="19"/>
      <c r="M2798" s="20" t="n">
        <v>3</v>
      </c>
      <c r="N2798" s="19"/>
      <c r="O2798" s="19"/>
      <c r="P2798" s="19" t="s">
        <v>1467</v>
      </c>
      <c r="Q2798" s="19" t="s">
        <v>1258</v>
      </c>
      <c r="R2798" s="21" t="n">
        <v>45230</v>
      </c>
      <c r="S2798" s="19" t="s">
        <v>1306</v>
      </c>
      <c r="T2798" s="19" t="s">
        <v>8258</v>
      </c>
      <c r="U2798" s="19" t="str">
        <f aca="false">HYPERLINK("https://macaulaylibrary.org/asset/621760094","Open")</f>
        <v>Open</v>
      </c>
      <c r="V2798" s="19"/>
    </row>
    <row r="2799" customFormat="false" ht="15" hidden="false" customHeight="false" outlineLevel="0" collapsed="false">
      <c r="A2799" s="19" t="s">
        <v>8259</v>
      </c>
      <c r="B2799" s="19" t="s">
        <v>943</v>
      </c>
      <c r="C2799" s="19" t="s">
        <v>7202</v>
      </c>
      <c r="D2799" s="19" t="s">
        <v>148</v>
      </c>
      <c r="E2799" s="19" t="s">
        <v>147</v>
      </c>
      <c r="F2799" s="19" t="s">
        <v>313</v>
      </c>
      <c r="G2799" s="19" t="n">
        <v>225</v>
      </c>
      <c r="H2799" s="19" t="s">
        <v>314</v>
      </c>
      <c r="I2799" s="20" t="n">
        <v>104.192</v>
      </c>
      <c r="J2799" s="19" t="n">
        <f aca="false">IF(I2799="","",MIN(Overview!$B$8,MAX(1,CEILING(I2799/Overview!$B$7,1))))</f>
        <v>21</v>
      </c>
      <c r="K2799" s="19" t="n">
        <v>1</v>
      </c>
      <c r="L2799" s="19"/>
      <c r="M2799" s="20" t="n">
        <v>3</v>
      </c>
      <c r="N2799" s="19"/>
      <c r="O2799" s="19"/>
      <c r="P2799" s="19" t="s">
        <v>1467</v>
      </c>
      <c r="Q2799" s="19" t="s">
        <v>1258</v>
      </c>
      <c r="R2799" s="21" t="n">
        <v>45230</v>
      </c>
      <c r="S2799" s="19" t="s">
        <v>1306</v>
      </c>
      <c r="T2799" s="19" t="s">
        <v>8260</v>
      </c>
      <c r="U2799" s="19" t="str">
        <f aca="false">HYPERLINK("https://macaulaylibrary.org/asset/621760099","Open")</f>
        <v>Open</v>
      </c>
      <c r="V2799" s="19"/>
    </row>
    <row r="2800" customFormat="false" ht="15" hidden="false" customHeight="false" outlineLevel="0" collapsed="false">
      <c r="A2800" s="19" t="s">
        <v>8261</v>
      </c>
      <c r="B2800" s="19" t="s">
        <v>943</v>
      </c>
      <c r="C2800" s="19" t="s">
        <v>7202</v>
      </c>
      <c r="D2800" s="19" t="s">
        <v>400</v>
      </c>
      <c r="E2800" s="19" t="s">
        <v>147</v>
      </c>
      <c r="F2800" s="19" t="s">
        <v>629</v>
      </c>
      <c r="G2800" s="19" t="n">
        <v>226</v>
      </c>
      <c r="H2800" s="19" t="s">
        <v>630</v>
      </c>
      <c r="I2800" s="20" t="n">
        <v>23.683</v>
      </c>
      <c r="J2800" s="19" t="n">
        <f aca="false">IF(I2800="","",MIN(Overview!$B$8,MAX(1,CEILING(I2800/Overview!$B$7,1))))</f>
        <v>5</v>
      </c>
      <c r="K2800" s="19" t="n">
        <v>1</v>
      </c>
      <c r="L2800" s="19"/>
      <c r="M2800" s="20" t="n">
        <v>1</v>
      </c>
      <c r="N2800" s="19"/>
      <c r="O2800" s="19"/>
      <c r="P2800" s="19" t="s">
        <v>8262</v>
      </c>
      <c r="Q2800" s="19" t="s">
        <v>1236</v>
      </c>
      <c r="R2800" s="21" t="n">
        <v>45666</v>
      </c>
      <c r="S2800" s="19" t="s">
        <v>1200</v>
      </c>
      <c r="T2800" s="19" t="s">
        <v>8263</v>
      </c>
      <c r="U2800" s="19" t="str">
        <f aca="false">HYPERLINK("https://macaulaylibrary.org/asset/659447613","Open")</f>
        <v>Open</v>
      </c>
      <c r="V2800" s="19"/>
    </row>
    <row r="2801" customFormat="false" ht="15" hidden="false" customHeight="false" outlineLevel="0" collapsed="false">
      <c r="A2801" s="19" t="s">
        <v>8264</v>
      </c>
      <c r="B2801" s="19" t="s">
        <v>943</v>
      </c>
      <c r="C2801" s="19" t="s">
        <v>7202</v>
      </c>
      <c r="D2801" s="19" t="s">
        <v>400</v>
      </c>
      <c r="E2801" s="19" t="s">
        <v>147</v>
      </c>
      <c r="F2801" s="19" t="s">
        <v>466</v>
      </c>
      <c r="G2801" s="19" t="n">
        <v>228</v>
      </c>
      <c r="H2801" s="19" t="s">
        <v>467</v>
      </c>
      <c r="I2801" s="20" t="n">
        <v>494.631</v>
      </c>
      <c r="J2801" s="19" t="n">
        <f aca="false">IF(I2801="","",MIN(Overview!$B$8,MAX(1,CEILING(I2801/Overview!$B$7,1))))</f>
        <v>99</v>
      </c>
      <c r="K2801" s="19" t="n">
        <v>1</v>
      </c>
      <c r="L2801" s="19"/>
      <c r="M2801" s="20" t="n">
        <v>4</v>
      </c>
      <c r="N2801" s="19"/>
      <c r="O2801" s="19"/>
      <c r="P2801" s="19" t="s">
        <v>2600</v>
      </c>
      <c r="Q2801" s="19" t="s">
        <v>980</v>
      </c>
      <c r="R2801" s="21" t="n">
        <v>34124</v>
      </c>
      <c r="S2801" s="19"/>
      <c r="T2801" s="19" t="s">
        <v>8265</v>
      </c>
      <c r="U2801" s="19" t="str">
        <f aca="false">HYPERLINK("https://macaulaylibrary.org/asset/209469","Open")</f>
        <v>Open</v>
      </c>
      <c r="V2801" s="19" t="s">
        <v>6152</v>
      </c>
    </row>
    <row r="2802" customFormat="false" ht="15" hidden="false" customHeight="false" outlineLevel="0" collapsed="false">
      <c r="A2802" s="19" t="s">
        <v>8266</v>
      </c>
      <c r="B2802" s="19" t="s">
        <v>943</v>
      </c>
      <c r="C2802" s="19" t="s">
        <v>7202</v>
      </c>
      <c r="D2802" s="19" t="s">
        <v>400</v>
      </c>
      <c r="E2802" s="19" t="s">
        <v>147</v>
      </c>
      <c r="F2802" s="19" t="s">
        <v>466</v>
      </c>
      <c r="G2802" s="19" t="n">
        <v>228</v>
      </c>
      <c r="H2802" s="19" t="s">
        <v>467</v>
      </c>
      <c r="I2802" s="20" t="n">
        <v>56.628</v>
      </c>
      <c r="J2802" s="19" t="n">
        <f aca="false">IF(I2802="","",MIN(Overview!$B$8,MAX(1,CEILING(I2802/Overview!$B$7,1))))</f>
        <v>12</v>
      </c>
      <c r="K2802" s="19" t="n">
        <v>1</v>
      </c>
      <c r="L2802" s="19"/>
      <c r="M2802" s="20" t="n">
        <v>3</v>
      </c>
      <c r="N2802" s="19"/>
      <c r="O2802" s="19"/>
      <c r="P2802" s="19" t="s">
        <v>2600</v>
      </c>
      <c r="Q2802" s="19" t="s">
        <v>980</v>
      </c>
      <c r="R2802" s="21" t="n">
        <v>34124</v>
      </c>
      <c r="S2802" s="19" t="s">
        <v>7425</v>
      </c>
      <c r="T2802" s="19" t="s">
        <v>8267</v>
      </c>
      <c r="U2802" s="19" t="str">
        <f aca="false">HYPERLINK("https://macaulaylibrary.org/asset/209476","Open")</f>
        <v>Open</v>
      </c>
      <c r="V2802" s="19" t="s">
        <v>6152</v>
      </c>
    </row>
    <row r="2803" customFormat="false" ht="15" hidden="false" customHeight="false" outlineLevel="0" collapsed="false">
      <c r="A2803" s="19" t="s">
        <v>8268</v>
      </c>
      <c r="B2803" s="19" t="s">
        <v>943</v>
      </c>
      <c r="C2803" s="19" t="s">
        <v>7202</v>
      </c>
      <c r="D2803" s="19" t="s">
        <v>400</v>
      </c>
      <c r="E2803" s="19" t="s">
        <v>147</v>
      </c>
      <c r="F2803" s="19" t="s">
        <v>743</v>
      </c>
      <c r="G2803" s="19" t="n">
        <v>232</v>
      </c>
      <c r="H2803" s="19" t="s">
        <v>744</v>
      </c>
      <c r="I2803" s="20" t="n">
        <v>55.914</v>
      </c>
      <c r="J2803" s="19" t="n">
        <f aca="false">IF(I2803="","",MIN(Overview!$B$8,MAX(1,CEILING(I2803/Overview!$B$7,1))))</f>
        <v>12</v>
      </c>
      <c r="K2803" s="19" t="n">
        <v>1</v>
      </c>
      <c r="L2803" s="19"/>
      <c r="M2803" s="20" t="n">
        <v>4</v>
      </c>
      <c r="N2803" s="19"/>
      <c r="O2803" s="19" t="s">
        <v>8269</v>
      </c>
      <c r="P2803" s="19" t="s">
        <v>3050</v>
      </c>
      <c r="Q2803" s="19" t="s">
        <v>1502</v>
      </c>
      <c r="R2803" s="21" t="n">
        <v>45940</v>
      </c>
      <c r="S2803" s="19" t="s">
        <v>1643</v>
      </c>
      <c r="T2803" s="19" t="s">
        <v>8270</v>
      </c>
      <c r="U2803" s="19" t="str">
        <f aca="false">HYPERLINK("https://macaulaylibrary.org/asset/648780699","Open")</f>
        <v>Open</v>
      </c>
      <c r="V2803" s="19"/>
    </row>
    <row r="2804" customFormat="false" ht="15" hidden="false" customHeight="false" outlineLevel="0" collapsed="false">
      <c r="A2804" s="19" t="s">
        <v>8271</v>
      </c>
      <c r="B2804" s="19" t="s">
        <v>943</v>
      </c>
      <c r="C2804" s="19" t="s">
        <v>7202</v>
      </c>
      <c r="D2804" s="19" t="s">
        <v>400</v>
      </c>
      <c r="E2804" s="19" t="s">
        <v>147</v>
      </c>
      <c r="F2804" s="19" t="s">
        <v>511</v>
      </c>
      <c r="G2804" s="19" t="n">
        <v>233</v>
      </c>
      <c r="H2804" s="19" t="s">
        <v>512</v>
      </c>
      <c r="I2804" s="20" t="n">
        <v>19.704</v>
      </c>
      <c r="J2804" s="19" t="n">
        <f aca="false">IF(I2804="","",MIN(Overview!$B$8,MAX(1,CEILING(I2804/Overview!$B$7,1))))</f>
        <v>4</v>
      </c>
      <c r="K2804" s="19" t="n">
        <v>1</v>
      </c>
      <c r="L2804" s="19"/>
      <c r="M2804" s="20" t="n">
        <v>2</v>
      </c>
      <c r="N2804" s="19"/>
      <c r="O2804" s="19"/>
      <c r="P2804" s="19" t="s">
        <v>1396</v>
      </c>
      <c r="Q2804" s="19" t="s">
        <v>1397</v>
      </c>
      <c r="R2804" s="21" t="n">
        <v>46217</v>
      </c>
      <c r="S2804" s="19" t="s">
        <v>1137</v>
      </c>
      <c r="T2804" s="19" t="s">
        <v>8272</v>
      </c>
      <c r="U2804" s="19" t="str">
        <f aca="false">HYPERLINK("https://macaulaylibrary.org/asset/661734238","Open")</f>
        <v>Open</v>
      </c>
      <c r="V2804" s="19"/>
    </row>
    <row r="2805" customFormat="false" ht="15" hidden="false" customHeight="false" outlineLevel="0" collapsed="false">
      <c r="A2805" s="19" t="s">
        <v>8273</v>
      </c>
      <c r="B2805" s="19" t="s">
        <v>943</v>
      </c>
      <c r="C2805" s="19" t="s">
        <v>7202</v>
      </c>
      <c r="D2805" s="19" t="s">
        <v>400</v>
      </c>
      <c r="E2805" s="19" t="s">
        <v>147</v>
      </c>
      <c r="F2805" s="19" t="s">
        <v>511</v>
      </c>
      <c r="G2805" s="19" t="n">
        <v>233</v>
      </c>
      <c r="H2805" s="19" t="s">
        <v>512</v>
      </c>
      <c r="I2805" s="20" t="n">
        <v>13.844</v>
      </c>
      <c r="J2805" s="19" t="n">
        <f aca="false">IF(I2805="","",MIN(Overview!$B$8,MAX(1,CEILING(I2805/Overview!$B$7,1))))</f>
        <v>3</v>
      </c>
      <c r="K2805" s="19" t="n">
        <v>1</v>
      </c>
      <c r="L2805" s="19"/>
      <c r="M2805" s="20" t="n">
        <v>2</v>
      </c>
      <c r="N2805" s="19"/>
      <c r="O2805" s="19"/>
      <c r="P2805" s="19" t="s">
        <v>1396</v>
      </c>
      <c r="Q2805" s="19" t="s">
        <v>1397</v>
      </c>
      <c r="R2805" s="21" t="n">
        <v>46217</v>
      </c>
      <c r="S2805" s="19" t="s">
        <v>1137</v>
      </c>
      <c r="T2805" s="19" t="s">
        <v>8274</v>
      </c>
      <c r="U2805" s="19" t="str">
        <f aca="false">HYPERLINK("https://macaulaylibrary.org/asset/661734239","Open")</f>
        <v>Open</v>
      </c>
      <c r="V2805" s="19"/>
    </row>
    <row r="2806" customFormat="false" ht="15" hidden="false" customHeight="false" outlineLevel="0" collapsed="false">
      <c r="A2806" s="19" t="s">
        <v>8275</v>
      </c>
      <c r="B2806" s="19" t="s">
        <v>943</v>
      </c>
      <c r="C2806" s="19" t="s">
        <v>7202</v>
      </c>
      <c r="D2806" s="19" t="s">
        <v>400</v>
      </c>
      <c r="E2806" s="19" t="s">
        <v>147</v>
      </c>
      <c r="F2806" s="19" t="s">
        <v>746</v>
      </c>
      <c r="G2806" s="19" t="n">
        <v>234</v>
      </c>
      <c r="H2806" s="19" t="s">
        <v>747</v>
      </c>
      <c r="I2806" s="20" t="n">
        <v>66.937</v>
      </c>
      <c r="J2806" s="19" t="n">
        <f aca="false">IF(I2806="","",MIN(Overview!$B$8,MAX(1,CEILING(I2806/Overview!$B$7,1))))</f>
        <v>14</v>
      </c>
      <c r="K2806" s="19" t="n">
        <v>1</v>
      </c>
      <c r="L2806" s="19"/>
      <c r="M2806" s="20" t="n">
        <v>2</v>
      </c>
      <c r="N2806" s="19"/>
      <c r="O2806" s="19"/>
      <c r="P2806" s="19" t="s">
        <v>2600</v>
      </c>
      <c r="Q2806" s="19" t="s">
        <v>980</v>
      </c>
      <c r="R2806" s="21" t="n">
        <v>34124</v>
      </c>
      <c r="S2806" s="19" t="s">
        <v>8276</v>
      </c>
      <c r="T2806" s="19" t="s">
        <v>8277</v>
      </c>
      <c r="U2806" s="19" t="str">
        <f aca="false">HYPERLINK("https://macaulaylibrary.org/asset/209471","Open")</f>
        <v>Open</v>
      </c>
      <c r="V2806" s="19"/>
    </row>
    <row r="2807" customFormat="false" ht="15" hidden="false" customHeight="false" outlineLevel="0" collapsed="false">
      <c r="A2807" s="19" t="s">
        <v>8278</v>
      </c>
      <c r="B2807" s="19" t="s">
        <v>943</v>
      </c>
      <c r="C2807" s="19" t="s">
        <v>7202</v>
      </c>
      <c r="D2807" s="19" t="s">
        <v>148</v>
      </c>
      <c r="E2807" s="19" t="s">
        <v>147</v>
      </c>
      <c r="F2807" s="19" t="s">
        <v>394</v>
      </c>
      <c r="G2807" s="19" t="n">
        <v>235</v>
      </c>
      <c r="H2807" s="19" t="s">
        <v>395</v>
      </c>
      <c r="I2807" s="20" t="n">
        <v>263.843</v>
      </c>
      <c r="J2807" s="19" t="n">
        <f aca="false">IF(I2807="","",MIN(Overview!$B$8,MAX(1,CEILING(I2807/Overview!$B$7,1))))</f>
        <v>53</v>
      </c>
      <c r="K2807" s="19" t="n">
        <v>1</v>
      </c>
      <c r="L2807" s="19"/>
      <c r="M2807" s="20" t="n">
        <v>2</v>
      </c>
      <c r="N2807" s="19"/>
      <c r="O2807" s="19"/>
      <c r="P2807" s="19" t="s">
        <v>8105</v>
      </c>
      <c r="Q2807" s="19" t="s">
        <v>8106</v>
      </c>
      <c r="R2807" s="21" t="n">
        <v>35888</v>
      </c>
      <c r="S2807" s="19" t="s">
        <v>4094</v>
      </c>
      <c r="T2807" s="19" t="s">
        <v>8279</v>
      </c>
      <c r="U2807" s="19" t="str">
        <f aca="false">HYPERLINK("https://macaulaylibrary.org/asset/329359","Open")</f>
        <v>Open</v>
      </c>
      <c r="V2807" s="19"/>
    </row>
    <row r="2808" customFormat="false" ht="15" hidden="false" customHeight="false" outlineLevel="0" collapsed="false">
      <c r="A2808" s="19" t="s">
        <v>8280</v>
      </c>
      <c r="B2808" s="19" t="s">
        <v>943</v>
      </c>
      <c r="C2808" s="19" t="s">
        <v>7202</v>
      </c>
      <c r="D2808" s="19" t="s">
        <v>148</v>
      </c>
      <c r="E2808" s="19" t="s">
        <v>147</v>
      </c>
      <c r="F2808" s="19" t="s">
        <v>394</v>
      </c>
      <c r="G2808" s="19" t="n">
        <v>235</v>
      </c>
      <c r="H2808" s="19" t="s">
        <v>395</v>
      </c>
      <c r="I2808" s="20" t="n">
        <v>16.875</v>
      </c>
      <c r="J2808" s="19" t="n">
        <f aca="false">IF(I2808="","",MIN(Overview!$B$8,MAX(1,CEILING(I2808/Overview!$B$7,1))))</f>
        <v>4</v>
      </c>
      <c r="K2808" s="19" t="n">
        <v>1</v>
      </c>
      <c r="L2808" s="19"/>
      <c r="M2808" s="20" t="n">
        <v>3</v>
      </c>
      <c r="N2808" s="19"/>
      <c r="O2808" s="19" t="s">
        <v>8281</v>
      </c>
      <c r="P2808" s="19" t="s">
        <v>5616</v>
      </c>
      <c r="Q2808" s="19" t="s">
        <v>990</v>
      </c>
      <c r="R2808" s="21" t="n">
        <v>44547</v>
      </c>
      <c r="S2808" s="19" t="s">
        <v>5617</v>
      </c>
      <c r="T2808" s="19" t="s">
        <v>8282</v>
      </c>
      <c r="U2808" s="19" t="str">
        <f aca="false">HYPERLINK("https://macaulaylibrary.org/asset/403162891","Open")</f>
        <v>Open</v>
      </c>
      <c r="V2808" s="19"/>
    </row>
    <row r="2809" customFormat="false" ht="15" hidden="false" customHeight="false" outlineLevel="0" collapsed="false">
      <c r="A2809" s="19" t="s">
        <v>8283</v>
      </c>
      <c r="B2809" s="19" t="s">
        <v>943</v>
      </c>
      <c r="C2809" s="19" t="s">
        <v>7202</v>
      </c>
      <c r="D2809" s="19" t="s">
        <v>400</v>
      </c>
      <c r="E2809" s="19" t="s">
        <v>147</v>
      </c>
      <c r="F2809" s="19" t="s">
        <v>689</v>
      </c>
      <c r="G2809" s="19" t="n">
        <v>236</v>
      </c>
      <c r="H2809" s="19" t="s">
        <v>690</v>
      </c>
      <c r="I2809" s="20" t="n">
        <v>27.157</v>
      </c>
      <c r="J2809" s="19" t="n">
        <f aca="false">IF(I2809="","",MIN(Overview!$B$8,MAX(1,CEILING(I2809/Overview!$B$7,1))))</f>
        <v>6</v>
      </c>
      <c r="K2809" s="19" t="n">
        <v>1</v>
      </c>
      <c r="L2809" s="19"/>
      <c r="M2809" s="20"/>
      <c r="N2809" s="19"/>
      <c r="O2809" s="19"/>
      <c r="P2809" s="19" t="s">
        <v>8284</v>
      </c>
      <c r="Q2809" s="19" t="s">
        <v>3332</v>
      </c>
      <c r="R2809" s="21" t="n">
        <v>45531</v>
      </c>
      <c r="S2809" s="19" t="s">
        <v>8285</v>
      </c>
      <c r="T2809" s="19" t="s">
        <v>8286</v>
      </c>
      <c r="U2809" s="19" t="str">
        <f aca="false">HYPERLINK("https://macaulaylibrary.org/asset/623161848","Open")</f>
        <v>Open</v>
      </c>
      <c r="V2809" s="19"/>
    </row>
    <row r="2810" customFormat="false" ht="15" hidden="false" customHeight="false" outlineLevel="0" collapsed="false">
      <c r="A2810" s="19" t="s">
        <v>8287</v>
      </c>
      <c r="B2810" s="19" t="s">
        <v>943</v>
      </c>
      <c r="C2810" s="19" t="s">
        <v>7202</v>
      </c>
      <c r="D2810" s="19" t="s">
        <v>400</v>
      </c>
      <c r="E2810" s="19" t="s">
        <v>147</v>
      </c>
      <c r="F2810" s="19" t="s">
        <v>632</v>
      </c>
      <c r="G2810" s="19" t="n">
        <v>237</v>
      </c>
      <c r="H2810" s="19" t="s">
        <v>633</v>
      </c>
      <c r="I2810" s="20" t="n">
        <v>23.879</v>
      </c>
      <c r="J2810" s="19" t="n">
        <f aca="false">IF(I2810="","",MIN(Overview!$B$8,MAX(1,CEILING(I2810/Overview!$B$7,1))))</f>
        <v>5</v>
      </c>
      <c r="K2810" s="19" t="n">
        <v>1</v>
      </c>
      <c r="L2810" s="19"/>
      <c r="M2810" s="20" t="n">
        <v>3</v>
      </c>
      <c r="N2810" s="19"/>
      <c r="O2810" s="19"/>
      <c r="P2810" s="19" t="s">
        <v>2285</v>
      </c>
      <c r="Q2810" s="19" t="s">
        <v>980</v>
      </c>
      <c r="R2810" s="21" t="n">
        <v>33298</v>
      </c>
      <c r="S2810" s="19" t="s">
        <v>4186</v>
      </c>
      <c r="T2810" s="19" t="s">
        <v>8288</v>
      </c>
      <c r="U2810" s="19" t="str">
        <f aca="false">HYPERLINK("https://macaulaylibrary.org/asset/72635","Open")</f>
        <v>Open</v>
      </c>
      <c r="V2810" s="19"/>
    </row>
    <row r="2811" customFormat="false" ht="15" hidden="false" customHeight="false" outlineLevel="0" collapsed="false">
      <c r="A2811" s="19" t="s">
        <v>8289</v>
      </c>
      <c r="B2811" s="19" t="s">
        <v>943</v>
      </c>
      <c r="C2811" s="19" t="s">
        <v>7202</v>
      </c>
      <c r="D2811" s="19" t="s">
        <v>613</v>
      </c>
      <c r="E2811" s="19" t="s">
        <v>147</v>
      </c>
      <c r="F2811" s="19" t="s">
        <v>895</v>
      </c>
      <c r="G2811" s="19" t="n">
        <v>238</v>
      </c>
      <c r="H2811" s="19" t="s">
        <v>896</v>
      </c>
      <c r="I2811" s="20" t="n">
        <v>22.684</v>
      </c>
      <c r="J2811" s="19" t="n">
        <f aca="false">IF(I2811="","",MIN(Overview!$B$8,MAX(1,CEILING(I2811/Overview!$B$7,1))))</f>
        <v>5</v>
      </c>
      <c r="K2811" s="19" t="n">
        <v>1</v>
      </c>
      <c r="L2811" s="19"/>
      <c r="M2811" s="20"/>
      <c r="N2811" s="19"/>
      <c r="O2811" s="19"/>
      <c r="P2811" s="19" t="s">
        <v>4376</v>
      </c>
      <c r="Q2811" s="19" t="s">
        <v>4377</v>
      </c>
      <c r="R2811" s="21" t="n">
        <v>45287</v>
      </c>
      <c r="S2811" s="19" t="s">
        <v>4378</v>
      </c>
      <c r="T2811" s="19" t="s">
        <v>8290</v>
      </c>
      <c r="U2811" s="19" t="str">
        <f aca="false">HYPERLINK("https://macaulaylibrary.org/asset/612710657","Open")</f>
        <v>Open</v>
      </c>
      <c r="V2811" s="19"/>
    </row>
    <row r="2812" customFormat="false" ht="15" hidden="false" customHeight="false" outlineLevel="0" collapsed="false">
      <c r="A2812" s="19" t="s">
        <v>8291</v>
      </c>
      <c r="B2812" s="19" t="s">
        <v>943</v>
      </c>
      <c r="C2812" s="19" t="s">
        <v>7202</v>
      </c>
      <c r="D2812" s="19" t="s">
        <v>400</v>
      </c>
      <c r="E2812" s="19" t="s">
        <v>147</v>
      </c>
      <c r="F2812" s="19" t="s">
        <v>635</v>
      </c>
      <c r="G2812" s="19" t="n">
        <v>239</v>
      </c>
      <c r="H2812" s="19" t="s">
        <v>636</v>
      </c>
      <c r="I2812" s="20" t="n">
        <v>11.991</v>
      </c>
      <c r="J2812" s="19" t="n">
        <f aca="false">IF(I2812="","",MIN(Overview!$B$8,MAX(1,CEILING(I2812/Overview!$B$7,1))))</f>
        <v>3</v>
      </c>
      <c r="K2812" s="19" t="n">
        <v>1</v>
      </c>
      <c r="L2812" s="19"/>
      <c r="M2812" s="20" t="n">
        <v>2</v>
      </c>
      <c r="N2812" s="19"/>
      <c r="O2812" s="19"/>
      <c r="P2812" s="19" t="s">
        <v>1555</v>
      </c>
      <c r="Q2812" s="19" t="s">
        <v>980</v>
      </c>
      <c r="R2812" s="21" t="n">
        <v>33291</v>
      </c>
      <c r="S2812" s="19" t="s">
        <v>1002</v>
      </c>
      <c r="T2812" s="19" t="s">
        <v>8292</v>
      </c>
      <c r="U2812" s="19" t="str">
        <f aca="false">HYPERLINK("https://macaulaylibrary.org/asset/57471","Open")</f>
        <v>Open</v>
      </c>
      <c r="V2812" s="19" t="s">
        <v>6220</v>
      </c>
    </row>
    <row r="2813" customFormat="false" ht="15" hidden="false" customHeight="false" outlineLevel="0" collapsed="false">
      <c r="A2813" s="19" t="s">
        <v>8293</v>
      </c>
      <c r="B2813" s="19" t="s">
        <v>943</v>
      </c>
      <c r="C2813" s="19" t="s">
        <v>7202</v>
      </c>
      <c r="D2813" s="19" t="s">
        <v>148</v>
      </c>
      <c r="E2813" s="19" t="s">
        <v>147</v>
      </c>
      <c r="F2813" s="19" t="s">
        <v>416</v>
      </c>
      <c r="G2813" s="19" t="n">
        <v>240</v>
      </c>
      <c r="H2813" s="19" t="s">
        <v>417</v>
      </c>
      <c r="I2813" s="20" t="n">
        <v>171.892</v>
      </c>
      <c r="J2813" s="19" t="n">
        <f aca="false">IF(I2813="","",MIN(Overview!$B$8,MAX(1,CEILING(I2813/Overview!$B$7,1))))</f>
        <v>35</v>
      </c>
      <c r="K2813" s="19" t="n">
        <v>1</v>
      </c>
      <c r="L2813" s="19"/>
      <c r="M2813" s="20" t="n">
        <v>3.8</v>
      </c>
      <c r="N2813" s="19"/>
      <c r="O2813" s="19"/>
      <c r="P2813" s="19" t="s">
        <v>1703</v>
      </c>
      <c r="Q2813" s="19" t="s">
        <v>1021</v>
      </c>
      <c r="R2813" s="21" t="n">
        <v>36601</v>
      </c>
      <c r="S2813" s="19" t="s">
        <v>1036</v>
      </c>
      <c r="T2813" s="19" t="s">
        <v>8294</v>
      </c>
      <c r="U2813" s="19" t="str">
        <f aca="false">HYPERLINK("https://macaulaylibrary.org/asset/152755441","Open")</f>
        <v>Open</v>
      </c>
      <c r="V2813" s="19"/>
    </row>
    <row r="2814" customFormat="false" ht="15" hidden="false" customHeight="false" outlineLevel="0" collapsed="false">
      <c r="A2814" s="19" t="s">
        <v>8295</v>
      </c>
      <c r="B2814" s="19" t="s">
        <v>943</v>
      </c>
      <c r="C2814" s="19" t="s">
        <v>7202</v>
      </c>
      <c r="D2814" s="19" t="s">
        <v>148</v>
      </c>
      <c r="E2814" s="19" t="s">
        <v>147</v>
      </c>
      <c r="F2814" s="19" t="s">
        <v>416</v>
      </c>
      <c r="G2814" s="19" t="n">
        <v>240</v>
      </c>
      <c r="H2814" s="19" t="s">
        <v>417</v>
      </c>
      <c r="I2814" s="20" t="n">
        <v>22.439</v>
      </c>
      <c r="J2814" s="19" t="n">
        <f aca="false">IF(I2814="","",MIN(Overview!$B$8,MAX(1,CEILING(I2814/Overview!$B$7,1))))</f>
        <v>5</v>
      </c>
      <c r="K2814" s="19" t="n">
        <v>1</v>
      </c>
      <c r="L2814" s="19"/>
      <c r="M2814" s="20" t="n">
        <v>3.67</v>
      </c>
      <c r="N2814" s="19"/>
      <c r="O2814" s="19"/>
      <c r="P2814" s="19" t="s">
        <v>1029</v>
      </c>
      <c r="Q2814" s="19" t="s">
        <v>1030</v>
      </c>
      <c r="R2814" s="21" t="n">
        <v>40251</v>
      </c>
      <c r="S2814" s="19" t="s">
        <v>5737</v>
      </c>
      <c r="T2814" s="19" t="s">
        <v>8296</v>
      </c>
      <c r="U2814" s="19" t="str">
        <f aca="false">HYPERLINK("https://macaulaylibrary.org/asset/299654","Open")</f>
        <v>Open</v>
      </c>
      <c r="V2814" s="19"/>
    </row>
    <row r="2815" customFormat="false" ht="15" hidden="false" customHeight="false" outlineLevel="0" collapsed="false">
      <c r="A2815" s="19" t="s">
        <v>8297</v>
      </c>
      <c r="B2815" s="19" t="s">
        <v>943</v>
      </c>
      <c r="C2815" s="19" t="s">
        <v>7202</v>
      </c>
      <c r="D2815" s="19" t="s">
        <v>400</v>
      </c>
      <c r="E2815" s="19" t="s">
        <v>147</v>
      </c>
      <c r="F2815" s="19" t="s">
        <v>692</v>
      </c>
      <c r="G2815" s="19" t="n">
        <v>242</v>
      </c>
      <c r="H2815" s="19" t="s">
        <v>693</v>
      </c>
      <c r="I2815" s="20" t="n">
        <v>10.444</v>
      </c>
      <c r="J2815" s="19" t="n">
        <f aca="false">IF(I2815="","",MIN(Overview!$B$8,MAX(1,CEILING(I2815/Overview!$B$7,1))))</f>
        <v>3</v>
      </c>
      <c r="K2815" s="19" t="n">
        <v>1</v>
      </c>
      <c r="L2815" s="19"/>
      <c r="M2815" s="20" t="n">
        <v>1</v>
      </c>
      <c r="N2815" s="19"/>
      <c r="O2815" s="19"/>
      <c r="P2815" s="19" t="s">
        <v>2168</v>
      </c>
      <c r="Q2815" s="19" t="s">
        <v>1382</v>
      </c>
      <c r="R2815" s="21" t="n">
        <v>46104</v>
      </c>
      <c r="S2815" s="19" t="s">
        <v>1259</v>
      </c>
      <c r="T2815" s="19" t="s">
        <v>8298</v>
      </c>
      <c r="U2815" s="19" t="str">
        <f aca="false">HYPERLINK("https://macaulaylibrary.org/asset/654600078","Open")</f>
        <v>Open</v>
      </c>
      <c r="V2815" s="19"/>
    </row>
    <row r="2816" customFormat="false" ht="15" hidden="false" customHeight="false" outlineLevel="0" collapsed="false">
      <c r="A2816" s="19" t="s">
        <v>8299</v>
      </c>
      <c r="B2816" s="19" t="s">
        <v>943</v>
      </c>
      <c r="C2816" s="19" t="s">
        <v>7202</v>
      </c>
      <c r="D2816" s="19" t="s">
        <v>400</v>
      </c>
      <c r="E2816" s="19" t="s">
        <v>147</v>
      </c>
      <c r="F2816" s="19" t="s">
        <v>695</v>
      </c>
      <c r="G2816" s="19" t="n">
        <v>243</v>
      </c>
      <c r="H2816" s="19" t="s">
        <v>696</v>
      </c>
      <c r="I2816" s="20" t="n">
        <v>826.929</v>
      </c>
      <c r="J2816" s="19" t="n">
        <f aca="false">IF(I2816="","",MIN(Overview!$B$8,MAX(1,CEILING(I2816/Overview!$B$7,1))))</f>
        <v>120</v>
      </c>
      <c r="K2816" s="19" t="n">
        <v>1</v>
      </c>
      <c r="L2816" s="19"/>
      <c r="M2816" s="20" t="n">
        <v>3</v>
      </c>
      <c r="N2816" s="19"/>
      <c r="O2816" s="19" t="s">
        <v>1600</v>
      </c>
      <c r="P2816" s="19" t="s">
        <v>1274</v>
      </c>
      <c r="Q2816" s="19" t="s">
        <v>980</v>
      </c>
      <c r="R2816" s="21" t="n">
        <v>35209</v>
      </c>
      <c r="S2816" s="19" t="s">
        <v>6811</v>
      </c>
      <c r="T2816" s="19" t="s">
        <v>8300</v>
      </c>
      <c r="U2816" s="19" t="str">
        <f aca="false">HYPERLINK("https://macaulaylibrary.org/asset/185570","Open")</f>
        <v>Open</v>
      </c>
      <c r="V2816" s="19"/>
    </row>
    <row r="2817" customFormat="false" ht="15" hidden="false" customHeight="false" outlineLevel="0" collapsed="false">
      <c r="A2817" s="19" t="s">
        <v>8301</v>
      </c>
      <c r="B2817" s="19" t="s">
        <v>943</v>
      </c>
      <c r="C2817" s="19" t="s">
        <v>7202</v>
      </c>
      <c r="D2817" s="19" t="s">
        <v>613</v>
      </c>
      <c r="E2817" s="19" t="s">
        <v>147</v>
      </c>
      <c r="F2817" s="19" t="s">
        <v>749</v>
      </c>
      <c r="G2817" s="19" t="n">
        <v>244</v>
      </c>
      <c r="H2817" s="19" t="s">
        <v>750</v>
      </c>
      <c r="I2817" s="20" t="n">
        <v>1.405</v>
      </c>
      <c r="J2817" s="19" t="n">
        <f aca="false">IF(I2817="","",MIN(Overview!$B$8,MAX(1,CEILING(I2817/Overview!$B$7,1))))</f>
        <v>1</v>
      </c>
      <c r="K2817" s="19" t="n">
        <v>1</v>
      </c>
      <c r="L2817" s="19" t="s">
        <v>1048</v>
      </c>
      <c r="M2817" s="20"/>
      <c r="N2817" s="19"/>
      <c r="O2817" s="19"/>
      <c r="P2817" s="19" t="s">
        <v>2901</v>
      </c>
      <c r="Q2817" s="19" t="s">
        <v>1368</v>
      </c>
      <c r="R2817" s="21" t="n">
        <v>45624</v>
      </c>
      <c r="S2817" s="19" t="s">
        <v>1036</v>
      </c>
      <c r="T2817" s="19" t="s">
        <v>8302</v>
      </c>
      <c r="U2817" s="19" t="str">
        <f aca="false">HYPERLINK("https://macaulaylibrary.org/asset/642914798","Open")</f>
        <v>Open</v>
      </c>
      <c r="V2817" s="19"/>
    </row>
    <row r="2818" customFormat="false" ht="15" hidden="false" customHeight="false" outlineLevel="0" collapsed="false">
      <c r="A2818" s="19" t="s">
        <v>8303</v>
      </c>
      <c r="B2818" s="19" t="s">
        <v>943</v>
      </c>
      <c r="C2818" s="19" t="s">
        <v>7202</v>
      </c>
      <c r="D2818" s="19" t="s">
        <v>148</v>
      </c>
      <c r="E2818" s="19" t="s">
        <v>147</v>
      </c>
      <c r="F2818" s="19" t="s">
        <v>151</v>
      </c>
      <c r="G2818" s="19" t="n">
        <v>245</v>
      </c>
      <c r="H2818" s="19" t="s">
        <v>152</v>
      </c>
      <c r="I2818" s="20" t="n">
        <v>75.949</v>
      </c>
      <c r="J2818" s="19" t="n">
        <f aca="false">IF(I2818="","",MIN(Overview!$B$8,MAX(1,CEILING(I2818/Overview!$B$7,1))))</f>
        <v>16</v>
      </c>
      <c r="K2818" s="19" t="n">
        <v>1</v>
      </c>
      <c r="L2818" s="19"/>
      <c r="M2818" s="20" t="n">
        <v>3</v>
      </c>
      <c r="N2818" s="19"/>
      <c r="O2818" s="19"/>
      <c r="P2818" s="19" t="s">
        <v>3717</v>
      </c>
      <c r="Q2818" s="19" t="s">
        <v>2343</v>
      </c>
      <c r="R2818" s="21" t="n">
        <v>31505</v>
      </c>
      <c r="S2818" s="19" t="s">
        <v>1715</v>
      </c>
      <c r="T2818" s="19" t="s">
        <v>8304</v>
      </c>
      <c r="U2818" s="19" t="str">
        <f aca="false">HYPERLINK("https://macaulaylibrary.org/asset/249452","Open")</f>
        <v>Open</v>
      </c>
      <c r="V2818" s="19" t="s">
        <v>6257</v>
      </c>
    </row>
    <row r="2819" customFormat="false" ht="15" hidden="false" customHeight="false" outlineLevel="0" collapsed="false">
      <c r="A2819" s="19" t="s">
        <v>8305</v>
      </c>
      <c r="B2819" s="19" t="s">
        <v>943</v>
      </c>
      <c r="C2819" s="19" t="s">
        <v>7202</v>
      </c>
      <c r="D2819" s="19" t="s">
        <v>148</v>
      </c>
      <c r="E2819" s="19" t="s">
        <v>147</v>
      </c>
      <c r="F2819" s="19" t="s">
        <v>151</v>
      </c>
      <c r="G2819" s="19" t="n">
        <v>245</v>
      </c>
      <c r="H2819" s="19" t="s">
        <v>152</v>
      </c>
      <c r="I2819" s="20" t="n">
        <v>24.34</v>
      </c>
      <c r="J2819" s="19" t="n">
        <f aca="false">IF(I2819="","",MIN(Overview!$B$8,MAX(1,CEILING(I2819/Overview!$B$7,1))))</f>
        <v>5</v>
      </c>
      <c r="K2819" s="19" t="n">
        <v>1</v>
      </c>
      <c r="L2819" s="19"/>
      <c r="M2819" s="20" t="n">
        <v>3</v>
      </c>
      <c r="N2819" s="19"/>
      <c r="O2819" s="19"/>
      <c r="P2819" s="19" t="s">
        <v>8080</v>
      </c>
      <c r="Q2819" s="19" t="s">
        <v>8081</v>
      </c>
      <c r="R2819" s="21" t="n">
        <v>44210</v>
      </c>
      <c r="S2819" s="19" t="s">
        <v>8082</v>
      </c>
      <c r="T2819" s="19" t="s">
        <v>8306</v>
      </c>
      <c r="U2819" s="19" t="str">
        <f aca="false">HYPERLINK("https://macaulaylibrary.org/asset/297727721","Open")</f>
        <v>Open</v>
      </c>
      <c r="V2819" s="19"/>
    </row>
    <row r="2820" customFormat="false" ht="15" hidden="false" customHeight="false" outlineLevel="0" collapsed="false">
      <c r="A2820" s="19" t="s">
        <v>8307</v>
      </c>
      <c r="B2820" s="19" t="s">
        <v>943</v>
      </c>
      <c r="C2820" s="19" t="s">
        <v>7202</v>
      </c>
      <c r="D2820" s="19" t="s">
        <v>148</v>
      </c>
      <c r="E2820" s="19" t="s">
        <v>147</v>
      </c>
      <c r="F2820" s="19" t="s">
        <v>151</v>
      </c>
      <c r="G2820" s="19" t="n">
        <v>245</v>
      </c>
      <c r="H2820" s="19" t="s">
        <v>152</v>
      </c>
      <c r="I2820" s="20" t="n">
        <v>18.752</v>
      </c>
      <c r="J2820" s="19" t="n">
        <f aca="false">IF(I2820="","",MIN(Overview!$B$8,MAX(1,CEILING(I2820/Overview!$B$7,1))))</f>
        <v>4</v>
      </c>
      <c r="K2820" s="19" t="n">
        <v>1</v>
      </c>
      <c r="L2820" s="19"/>
      <c r="M2820" s="20"/>
      <c r="N2820" s="19"/>
      <c r="O2820" s="19"/>
      <c r="P2820" s="19" t="s">
        <v>4351</v>
      </c>
      <c r="Q2820" s="19" t="s">
        <v>4352</v>
      </c>
      <c r="R2820" s="21" t="n">
        <v>43431</v>
      </c>
      <c r="S2820" s="19" t="s">
        <v>2516</v>
      </c>
      <c r="T2820" s="19" t="s">
        <v>8308</v>
      </c>
      <c r="U2820" s="19" t="str">
        <f aca="false">HYPERLINK("https://macaulaylibrary.org/asset/315004131","Open")</f>
        <v>Open</v>
      </c>
      <c r="V2820" s="19"/>
    </row>
    <row r="2821" customFormat="false" ht="15" hidden="false" customHeight="false" outlineLevel="0" collapsed="false">
      <c r="A2821" s="19" t="s">
        <v>8309</v>
      </c>
      <c r="B2821" s="19" t="s">
        <v>943</v>
      </c>
      <c r="C2821" s="19" t="s">
        <v>7202</v>
      </c>
      <c r="D2821" s="19" t="s">
        <v>148</v>
      </c>
      <c r="E2821" s="19" t="s">
        <v>147</v>
      </c>
      <c r="F2821" s="19" t="s">
        <v>151</v>
      </c>
      <c r="G2821" s="19" t="n">
        <v>245</v>
      </c>
      <c r="H2821" s="19" t="s">
        <v>152</v>
      </c>
      <c r="I2821" s="20" t="n">
        <v>152.431</v>
      </c>
      <c r="J2821" s="19" t="n">
        <f aca="false">IF(I2821="","",MIN(Overview!$B$8,MAX(1,CEILING(I2821/Overview!$B$7,1))))</f>
        <v>31</v>
      </c>
      <c r="K2821" s="19" t="n">
        <v>1</v>
      </c>
      <c r="L2821" s="19"/>
      <c r="M2821" s="20" t="n">
        <v>4</v>
      </c>
      <c r="N2821" s="19"/>
      <c r="O2821" s="19"/>
      <c r="P2821" s="19" t="s">
        <v>1811</v>
      </c>
      <c r="Q2821" s="19" t="s">
        <v>1368</v>
      </c>
      <c r="R2821" s="21" t="n">
        <v>45489</v>
      </c>
      <c r="S2821" s="19" t="s">
        <v>1081</v>
      </c>
      <c r="T2821" s="19" t="s">
        <v>8310</v>
      </c>
      <c r="U2821" s="19" t="str">
        <f aca="false">HYPERLINK("https://macaulaylibrary.org/asset/623071936","Open")</f>
        <v>Open</v>
      </c>
      <c r="V2821" s="19"/>
    </row>
    <row r="2822" customFormat="false" ht="15" hidden="false" customHeight="false" outlineLevel="0" collapsed="false">
      <c r="A2822" s="19" t="s">
        <v>8311</v>
      </c>
      <c r="B2822" s="19" t="s">
        <v>943</v>
      </c>
      <c r="C2822" s="19" t="s">
        <v>7202</v>
      </c>
      <c r="D2822" s="19" t="s">
        <v>148</v>
      </c>
      <c r="E2822" s="19" t="s">
        <v>147</v>
      </c>
      <c r="F2822" s="19" t="s">
        <v>151</v>
      </c>
      <c r="G2822" s="19" t="n">
        <v>245</v>
      </c>
      <c r="H2822" s="19" t="s">
        <v>152</v>
      </c>
      <c r="I2822" s="20" t="n">
        <v>241.119</v>
      </c>
      <c r="J2822" s="19" t="n">
        <f aca="false">IF(I2822="","",MIN(Overview!$B$8,MAX(1,CEILING(I2822/Overview!$B$7,1))))</f>
        <v>49</v>
      </c>
      <c r="K2822" s="19" t="n">
        <v>1</v>
      </c>
      <c r="L2822" s="19"/>
      <c r="M2822" s="20" t="n">
        <v>3</v>
      </c>
      <c r="N2822" s="19"/>
      <c r="O2822" s="19"/>
      <c r="P2822" s="19" t="s">
        <v>1811</v>
      </c>
      <c r="Q2822" s="19" t="s">
        <v>1368</v>
      </c>
      <c r="R2822" s="21" t="n">
        <v>45489</v>
      </c>
      <c r="S2822" s="19" t="s">
        <v>1081</v>
      </c>
      <c r="T2822" s="19" t="s">
        <v>8312</v>
      </c>
      <c r="U2822" s="19" t="str">
        <f aca="false">HYPERLINK("https://macaulaylibrary.org/asset/623072199","Open")</f>
        <v>Open</v>
      </c>
      <c r="V2822" s="19"/>
    </row>
    <row r="2823" customFormat="false" ht="15" hidden="false" customHeight="false" outlineLevel="0" collapsed="false">
      <c r="A2823" s="19" t="s">
        <v>8313</v>
      </c>
      <c r="B2823" s="19" t="s">
        <v>943</v>
      </c>
      <c r="C2823" s="19" t="s">
        <v>7202</v>
      </c>
      <c r="D2823" s="19" t="s">
        <v>148</v>
      </c>
      <c r="E2823" s="19" t="s">
        <v>147</v>
      </c>
      <c r="F2823" s="19" t="s">
        <v>151</v>
      </c>
      <c r="G2823" s="19" t="n">
        <v>245</v>
      </c>
      <c r="H2823" s="19" t="s">
        <v>152</v>
      </c>
      <c r="I2823" s="20" t="n">
        <v>198.853</v>
      </c>
      <c r="J2823" s="19" t="n">
        <f aca="false">IF(I2823="","",MIN(Overview!$B$8,MAX(1,CEILING(I2823/Overview!$B$7,1))))</f>
        <v>40</v>
      </c>
      <c r="K2823" s="19" t="n">
        <v>1</v>
      </c>
      <c r="L2823" s="19"/>
      <c r="M2823" s="20" t="n">
        <v>3.5</v>
      </c>
      <c r="N2823" s="19"/>
      <c r="O2823" s="19"/>
      <c r="P2823" s="19" t="s">
        <v>1811</v>
      </c>
      <c r="Q2823" s="19" t="s">
        <v>1368</v>
      </c>
      <c r="R2823" s="21" t="n">
        <v>45489</v>
      </c>
      <c r="S2823" s="19" t="s">
        <v>1081</v>
      </c>
      <c r="T2823" s="19" t="s">
        <v>8314</v>
      </c>
      <c r="U2823" s="19" t="str">
        <f aca="false">HYPERLINK("https://macaulaylibrary.org/asset/628597740","Open")</f>
        <v>Open</v>
      </c>
      <c r="V2823" s="19"/>
    </row>
    <row r="2824" customFormat="false" ht="15" hidden="false" customHeight="false" outlineLevel="0" collapsed="false">
      <c r="A2824" s="19" t="s">
        <v>8315</v>
      </c>
      <c r="B2824" s="19" t="s">
        <v>943</v>
      </c>
      <c r="C2824" s="19" t="s">
        <v>7202</v>
      </c>
      <c r="D2824" s="19" t="s">
        <v>148</v>
      </c>
      <c r="E2824" s="19" t="s">
        <v>147</v>
      </c>
      <c r="F2824" s="19" t="s">
        <v>151</v>
      </c>
      <c r="G2824" s="19" t="n">
        <v>245</v>
      </c>
      <c r="H2824" s="19" t="s">
        <v>152</v>
      </c>
      <c r="I2824" s="20" t="n">
        <v>78.853</v>
      </c>
      <c r="J2824" s="19" t="n">
        <f aca="false">IF(I2824="","",MIN(Overview!$B$8,MAX(1,CEILING(I2824/Overview!$B$7,1))))</f>
        <v>16</v>
      </c>
      <c r="K2824" s="19" t="n">
        <v>1</v>
      </c>
      <c r="L2824" s="19"/>
      <c r="M2824" s="20"/>
      <c r="N2824" s="19"/>
      <c r="O2824" s="19"/>
      <c r="P2824" s="19" t="s">
        <v>1811</v>
      </c>
      <c r="Q2824" s="19" t="s">
        <v>1368</v>
      </c>
      <c r="R2824" s="21" t="n">
        <v>45489</v>
      </c>
      <c r="S2824" s="19" t="s">
        <v>1081</v>
      </c>
      <c r="T2824" s="19" t="s">
        <v>8316</v>
      </c>
      <c r="U2824" s="19" t="str">
        <f aca="false">HYPERLINK("https://macaulaylibrary.org/asset/631663228","Open")</f>
        <v>Open</v>
      </c>
      <c r="V2824" s="19"/>
    </row>
    <row r="2825" customFormat="false" ht="15" hidden="false" customHeight="false" outlineLevel="0" collapsed="false">
      <c r="A2825" s="19" t="s">
        <v>8317</v>
      </c>
      <c r="B2825" s="19" t="s">
        <v>943</v>
      </c>
      <c r="C2825" s="19" t="s">
        <v>7202</v>
      </c>
      <c r="D2825" s="19" t="s">
        <v>148</v>
      </c>
      <c r="E2825" s="19" t="s">
        <v>147</v>
      </c>
      <c r="F2825" s="19" t="s">
        <v>151</v>
      </c>
      <c r="G2825" s="19" t="n">
        <v>245</v>
      </c>
      <c r="H2825" s="19" t="s">
        <v>152</v>
      </c>
      <c r="I2825" s="20" t="n">
        <v>37.511</v>
      </c>
      <c r="J2825" s="19" t="n">
        <f aca="false">IF(I2825="","",MIN(Overview!$B$8,MAX(1,CEILING(I2825/Overview!$B$7,1))))</f>
        <v>8</v>
      </c>
      <c r="K2825" s="19" t="n">
        <v>1</v>
      </c>
      <c r="L2825" s="19"/>
      <c r="M2825" s="20" t="n">
        <v>4</v>
      </c>
      <c r="N2825" s="19"/>
      <c r="O2825" s="19"/>
      <c r="P2825" s="19" t="s">
        <v>1512</v>
      </c>
      <c r="Q2825" s="19" t="s">
        <v>1513</v>
      </c>
      <c r="R2825" s="21" t="n">
        <v>45760</v>
      </c>
      <c r="S2825" s="19" t="s">
        <v>1036</v>
      </c>
      <c r="T2825" s="19" t="s">
        <v>8318</v>
      </c>
      <c r="U2825" s="19" t="str">
        <f aca="false">HYPERLINK("https://macaulaylibrary.org/asset/640139434","Open")</f>
        <v>Open</v>
      </c>
      <c r="V2825" s="19"/>
    </row>
    <row r="2826" customFormat="false" ht="15" hidden="false" customHeight="false" outlineLevel="0" collapsed="false">
      <c r="A2826" s="19" t="s">
        <v>8319</v>
      </c>
      <c r="B2826" s="19" t="s">
        <v>943</v>
      </c>
      <c r="C2826" s="19" t="s">
        <v>7202</v>
      </c>
      <c r="D2826" s="19" t="s">
        <v>148</v>
      </c>
      <c r="E2826" s="19" t="s">
        <v>147</v>
      </c>
      <c r="F2826" s="19" t="s">
        <v>151</v>
      </c>
      <c r="G2826" s="19" t="n">
        <v>245</v>
      </c>
      <c r="H2826" s="19" t="s">
        <v>152</v>
      </c>
      <c r="I2826" s="20" t="n">
        <v>15.465</v>
      </c>
      <c r="J2826" s="19" t="n">
        <f aca="false">IF(I2826="","",MIN(Overview!$B$8,MAX(1,CEILING(I2826/Overview!$B$7,1))))</f>
        <v>4</v>
      </c>
      <c r="K2826" s="19" t="n">
        <v>1</v>
      </c>
      <c r="L2826" s="19"/>
      <c r="M2826" s="20"/>
      <c r="N2826" s="19"/>
      <c r="O2826" s="19"/>
      <c r="P2826" s="19" t="s">
        <v>1203</v>
      </c>
      <c r="Q2826" s="19" t="s">
        <v>1204</v>
      </c>
      <c r="R2826" s="21" t="n">
        <v>46049</v>
      </c>
      <c r="S2826" s="19" t="s">
        <v>1205</v>
      </c>
      <c r="T2826" s="19" t="s">
        <v>8320</v>
      </c>
      <c r="U2826" s="19" t="str">
        <f aca="false">HYPERLINK("https://macaulaylibrary.org/asset/653762460","Open")</f>
        <v>Open</v>
      </c>
      <c r="V2826" s="19"/>
    </row>
    <row r="2827" customFormat="false" ht="15" hidden="false" customHeight="false" outlineLevel="0" collapsed="false">
      <c r="A2827" s="19" t="s">
        <v>8321</v>
      </c>
      <c r="B2827" s="19" t="s">
        <v>943</v>
      </c>
      <c r="C2827" s="19" t="s">
        <v>7202</v>
      </c>
      <c r="D2827" s="19" t="s">
        <v>148</v>
      </c>
      <c r="E2827" s="19" t="s">
        <v>147</v>
      </c>
      <c r="F2827" s="19" t="s">
        <v>151</v>
      </c>
      <c r="G2827" s="19" t="n">
        <v>245</v>
      </c>
      <c r="H2827" s="19" t="s">
        <v>152</v>
      </c>
      <c r="I2827" s="20" t="n">
        <v>42.375</v>
      </c>
      <c r="J2827" s="19" t="n">
        <f aca="false">IF(I2827="","",MIN(Overview!$B$8,MAX(1,CEILING(I2827/Overview!$B$7,1))))</f>
        <v>9</v>
      </c>
      <c r="K2827" s="19" t="n">
        <v>1</v>
      </c>
      <c r="L2827" s="19"/>
      <c r="M2827" s="20"/>
      <c r="N2827" s="19"/>
      <c r="O2827" s="19" t="s">
        <v>188</v>
      </c>
      <c r="P2827" s="19" t="s">
        <v>1650</v>
      </c>
      <c r="Q2827" s="19" t="s">
        <v>1382</v>
      </c>
      <c r="R2827" s="21" t="n">
        <v>46104</v>
      </c>
      <c r="S2827" s="19" t="s">
        <v>1651</v>
      </c>
      <c r="T2827" s="19" t="s">
        <v>8322</v>
      </c>
      <c r="U2827" s="19" t="str">
        <f aca="false">HYPERLINK("https://macaulaylibrary.org/asset/654657051","Open")</f>
        <v>Open</v>
      </c>
      <c r="V2827" s="19"/>
    </row>
    <row r="2828" customFormat="false" ht="15" hidden="false" customHeight="false" outlineLevel="0" collapsed="false">
      <c r="A2828" s="19" t="s">
        <v>8323</v>
      </c>
      <c r="B2828" s="19" t="s">
        <v>943</v>
      </c>
      <c r="C2828" s="19" t="s">
        <v>7202</v>
      </c>
      <c r="D2828" s="19" t="s">
        <v>148</v>
      </c>
      <c r="E2828" s="19" t="s">
        <v>147</v>
      </c>
      <c r="F2828" s="19" t="s">
        <v>151</v>
      </c>
      <c r="G2828" s="19" t="n">
        <v>245</v>
      </c>
      <c r="H2828" s="19" t="s">
        <v>152</v>
      </c>
      <c r="I2828" s="20" t="n">
        <v>44.641</v>
      </c>
      <c r="J2828" s="19" t="n">
        <f aca="false">IF(I2828="","",MIN(Overview!$B$8,MAX(1,CEILING(I2828/Overview!$B$7,1))))</f>
        <v>9</v>
      </c>
      <c r="K2828" s="19" t="n">
        <v>1</v>
      </c>
      <c r="L2828" s="19"/>
      <c r="M2828" s="20" t="n">
        <v>3</v>
      </c>
      <c r="N2828" s="19"/>
      <c r="O2828" s="19"/>
      <c r="P2828" s="19" t="s">
        <v>2981</v>
      </c>
      <c r="Q2828" s="19" t="s">
        <v>1818</v>
      </c>
      <c r="R2828" s="21" t="n">
        <v>45879</v>
      </c>
      <c r="S2828" s="19" t="s">
        <v>2982</v>
      </c>
      <c r="T2828" s="19" t="s">
        <v>8324</v>
      </c>
      <c r="U2828" s="19" t="str">
        <f aca="false">HYPERLINK("https://macaulaylibrary.org/asset/658281082","Open")</f>
        <v>Open</v>
      </c>
      <c r="V2828" s="19"/>
    </row>
    <row r="2829" customFormat="false" ht="15" hidden="false" customHeight="false" outlineLevel="0" collapsed="false">
      <c r="A2829" s="19" t="s">
        <v>8325</v>
      </c>
      <c r="B2829" s="19" t="s">
        <v>943</v>
      </c>
      <c r="C2829" s="19" t="s">
        <v>7202</v>
      </c>
      <c r="D2829" s="19" t="s">
        <v>148</v>
      </c>
      <c r="E2829" s="19" t="s">
        <v>147</v>
      </c>
      <c r="F2829" s="19" t="s">
        <v>151</v>
      </c>
      <c r="G2829" s="19" t="n">
        <v>245</v>
      </c>
      <c r="H2829" s="19" t="s">
        <v>152</v>
      </c>
      <c r="I2829" s="20" t="n">
        <v>51.918</v>
      </c>
      <c r="J2829" s="19" t="n">
        <f aca="false">IF(I2829="","",MIN(Overview!$B$8,MAX(1,CEILING(I2829/Overview!$B$7,1))))</f>
        <v>11</v>
      </c>
      <c r="K2829" s="19" t="n">
        <v>1</v>
      </c>
      <c r="L2829" s="19"/>
      <c r="M2829" s="20" t="n">
        <v>3.5</v>
      </c>
      <c r="N2829" s="19"/>
      <c r="O2829" s="19"/>
      <c r="P2829" s="19" t="s">
        <v>2750</v>
      </c>
      <c r="Q2829" s="19" t="s">
        <v>1021</v>
      </c>
      <c r="R2829" s="21" t="n">
        <v>35859</v>
      </c>
      <c r="S2829" s="19" t="s">
        <v>1658</v>
      </c>
      <c r="T2829" s="19" t="s">
        <v>8326</v>
      </c>
      <c r="U2829" s="19" t="str">
        <f aca="false">HYPERLINK("https://macaulaylibrary.org/asset/97467351","Open")</f>
        <v>Open</v>
      </c>
      <c r="V2829" s="19"/>
    </row>
    <row r="2830" customFormat="false" ht="15" hidden="false" customHeight="false" outlineLevel="0" collapsed="false">
      <c r="A2830" s="19" t="s">
        <v>8327</v>
      </c>
      <c r="B2830" s="19" t="s">
        <v>943</v>
      </c>
      <c r="C2830" s="19" t="s">
        <v>7202</v>
      </c>
      <c r="D2830" s="19" t="s">
        <v>400</v>
      </c>
      <c r="E2830" s="19" t="s">
        <v>147</v>
      </c>
      <c r="F2830" s="19" t="s">
        <v>469</v>
      </c>
      <c r="G2830" s="19" t="n">
        <v>246</v>
      </c>
      <c r="H2830" s="19" t="s">
        <v>470</v>
      </c>
      <c r="I2830" s="20" t="n">
        <v>23.232</v>
      </c>
      <c r="J2830" s="19" t="n">
        <f aca="false">IF(I2830="","",MIN(Overview!$B$8,MAX(1,CEILING(I2830/Overview!$B$7,1))))</f>
        <v>5</v>
      </c>
      <c r="K2830" s="19" t="n">
        <v>1</v>
      </c>
      <c r="L2830" s="19"/>
      <c r="M2830" s="20" t="n">
        <v>1</v>
      </c>
      <c r="N2830" s="19"/>
      <c r="O2830" s="19"/>
      <c r="P2830" s="19" t="s">
        <v>3781</v>
      </c>
      <c r="Q2830" s="19" t="s">
        <v>965</v>
      </c>
      <c r="R2830" s="21" t="n">
        <v>44185</v>
      </c>
      <c r="S2830" s="19" t="s">
        <v>3782</v>
      </c>
      <c r="T2830" s="19" t="s">
        <v>8328</v>
      </c>
      <c r="U2830" s="19" t="str">
        <f aca="false">HYPERLINK("https://macaulaylibrary.org/asset/289835721","Open")</f>
        <v>Open</v>
      </c>
      <c r="V2830" s="19"/>
    </row>
    <row r="2831" customFormat="false" ht="15" hidden="false" customHeight="false" outlineLevel="0" collapsed="false">
      <c r="A2831" s="19" t="s">
        <v>8329</v>
      </c>
      <c r="B2831" s="19" t="s">
        <v>943</v>
      </c>
      <c r="C2831" s="19" t="s">
        <v>7202</v>
      </c>
      <c r="D2831" s="19" t="s">
        <v>400</v>
      </c>
      <c r="E2831" s="19" t="s">
        <v>147</v>
      </c>
      <c r="F2831" s="19" t="s">
        <v>469</v>
      </c>
      <c r="G2831" s="19" t="n">
        <v>246</v>
      </c>
      <c r="H2831" s="19" t="s">
        <v>470</v>
      </c>
      <c r="I2831" s="20" t="n">
        <v>28.779</v>
      </c>
      <c r="J2831" s="19" t="n">
        <f aca="false">IF(I2831="","",MIN(Overview!$B$8,MAX(1,CEILING(I2831/Overview!$B$7,1))))</f>
        <v>6</v>
      </c>
      <c r="K2831" s="19" t="n">
        <v>1</v>
      </c>
      <c r="L2831" s="19"/>
      <c r="M2831" s="20" t="n">
        <v>1</v>
      </c>
      <c r="N2831" s="19"/>
      <c r="O2831" s="19"/>
      <c r="P2831" s="19" t="s">
        <v>3781</v>
      </c>
      <c r="Q2831" s="19" t="s">
        <v>965</v>
      </c>
      <c r="R2831" s="21" t="n">
        <v>44185</v>
      </c>
      <c r="S2831" s="19" t="s">
        <v>3782</v>
      </c>
      <c r="T2831" s="19" t="s">
        <v>8330</v>
      </c>
      <c r="U2831" s="19" t="str">
        <f aca="false">HYPERLINK("https://macaulaylibrary.org/asset/289835771","Open")</f>
        <v>Open</v>
      </c>
      <c r="V2831" s="19"/>
    </row>
    <row r="2832" customFormat="false" ht="15" hidden="false" customHeight="false" outlineLevel="0" collapsed="false">
      <c r="A2832" s="19" t="s">
        <v>8331</v>
      </c>
      <c r="B2832" s="19" t="s">
        <v>943</v>
      </c>
      <c r="C2832" s="19" t="s">
        <v>7202</v>
      </c>
      <c r="D2832" s="19" t="s">
        <v>148</v>
      </c>
      <c r="E2832" s="19" t="s">
        <v>911</v>
      </c>
      <c r="F2832" s="19" t="s">
        <v>910</v>
      </c>
      <c r="G2832" s="19" t="n">
        <v>247</v>
      </c>
      <c r="H2832" s="19" t="s">
        <v>8332</v>
      </c>
      <c r="I2832" s="20" t="n">
        <v>28.769</v>
      </c>
      <c r="J2832" s="19" t="n">
        <f aca="false">IF(I2832="","",MIN(Overview!$B$8,MAX(1,CEILING(I2832/Overview!$B$7,1))))</f>
        <v>6</v>
      </c>
      <c r="K2832" s="19" t="n">
        <v>1</v>
      </c>
      <c r="L2832" s="19"/>
      <c r="M2832" s="20"/>
      <c r="N2832" s="19"/>
      <c r="O2832" s="19"/>
      <c r="P2832" s="19" t="s">
        <v>8333</v>
      </c>
      <c r="Q2832" s="19" t="s">
        <v>6397</v>
      </c>
      <c r="R2832" s="21" t="n">
        <v>36718</v>
      </c>
      <c r="S2832" s="19" t="s">
        <v>8334</v>
      </c>
      <c r="T2832" s="19" t="s">
        <v>8335</v>
      </c>
      <c r="U2832" s="19" t="str">
        <f aca="false">HYPERLINK("https://macaulaylibrary.org/asset/104018","Open")</f>
        <v>Open</v>
      </c>
      <c r="V2832" s="19" t="s">
        <v>8336</v>
      </c>
    </row>
    <row r="2833" customFormat="false" ht="15" hidden="false" customHeight="false" outlineLevel="0" collapsed="false">
      <c r="A2833" s="19" t="s">
        <v>8337</v>
      </c>
      <c r="B2833" s="19" t="s">
        <v>943</v>
      </c>
      <c r="C2833" s="19" t="s">
        <v>7202</v>
      </c>
      <c r="D2833" s="19" t="s">
        <v>148</v>
      </c>
      <c r="E2833" s="19" t="s">
        <v>911</v>
      </c>
      <c r="F2833" s="19" t="s">
        <v>910</v>
      </c>
      <c r="G2833" s="19" t="n">
        <v>247</v>
      </c>
      <c r="H2833" s="19" t="s">
        <v>8338</v>
      </c>
      <c r="I2833" s="20" t="n">
        <v>44.306</v>
      </c>
      <c r="J2833" s="19" t="n">
        <f aca="false">IF(I2833="","",MIN(Overview!$B$8,MAX(1,CEILING(I2833/Overview!$B$7,1))))</f>
        <v>9</v>
      </c>
      <c r="K2833" s="19" t="n">
        <v>1</v>
      </c>
      <c r="L2833" s="19"/>
      <c r="M2833" s="20"/>
      <c r="N2833" s="19"/>
      <c r="O2833" s="19"/>
      <c r="P2833" s="19" t="s">
        <v>8333</v>
      </c>
      <c r="Q2833" s="19" t="s">
        <v>6397</v>
      </c>
      <c r="R2833" s="21" t="n">
        <v>36718</v>
      </c>
      <c r="S2833" s="19" t="s">
        <v>6734</v>
      </c>
      <c r="T2833" s="19" t="s">
        <v>8339</v>
      </c>
      <c r="U2833" s="19" t="str">
        <f aca="false">HYPERLINK("https://macaulaylibrary.org/asset/104019","Open")</f>
        <v>Open</v>
      </c>
      <c r="V2833" s="19" t="s">
        <v>8340</v>
      </c>
    </row>
    <row r="2834" customFormat="false" ht="15" hidden="false" customHeight="false" outlineLevel="0" collapsed="false">
      <c r="A2834" s="19" t="s">
        <v>8341</v>
      </c>
      <c r="B2834" s="19" t="s">
        <v>943</v>
      </c>
      <c r="C2834" s="19" t="s">
        <v>7202</v>
      </c>
      <c r="D2834" s="19" t="s">
        <v>148</v>
      </c>
      <c r="E2834" s="19" t="s">
        <v>911</v>
      </c>
      <c r="F2834" s="19" t="s">
        <v>910</v>
      </c>
      <c r="G2834" s="19" t="n">
        <v>247</v>
      </c>
      <c r="H2834" s="19" t="s">
        <v>8338</v>
      </c>
      <c r="I2834" s="20" t="n">
        <v>68.258</v>
      </c>
      <c r="J2834" s="19" t="n">
        <f aca="false">IF(I2834="","",MIN(Overview!$B$8,MAX(1,CEILING(I2834/Overview!$B$7,1))))</f>
        <v>14</v>
      </c>
      <c r="K2834" s="19" t="n">
        <v>1</v>
      </c>
      <c r="L2834" s="19"/>
      <c r="M2834" s="20" t="n">
        <v>5</v>
      </c>
      <c r="N2834" s="19"/>
      <c r="O2834" s="19"/>
      <c r="P2834" s="19" t="s">
        <v>8333</v>
      </c>
      <c r="Q2834" s="19" t="s">
        <v>6397</v>
      </c>
      <c r="R2834" s="21" t="n">
        <v>36718</v>
      </c>
      <c r="S2834" s="19" t="s">
        <v>8342</v>
      </c>
      <c r="T2834" s="19" t="s">
        <v>8343</v>
      </c>
      <c r="U2834" s="19" t="str">
        <f aca="false">HYPERLINK("https://macaulaylibrary.org/asset/104020","Open")</f>
        <v>Open</v>
      </c>
      <c r="V2834" s="19" t="s">
        <v>8340</v>
      </c>
    </row>
    <row r="2835" customFormat="false" ht="15" hidden="false" customHeight="false" outlineLevel="0" collapsed="false">
      <c r="A2835" s="19" t="s">
        <v>8344</v>
      </c>
      <c r="B2835" s="19" t="s">
        <v>943</v>
      </c>
      <c r="C2835" s="19" t="s">
        <v>7202</v>
      </c>
      <c r="D2835" s="19" t="s">
        <v>148</v>
      </c>
      <c r="E2835" s="19" t="s">
        <v>911</v>
      </c>
      <c r="F2835" s="19" t="s">
        <v>910</v>
      </c>
      <c r="G2835" s="19" t="n">
        <v>247</v>
      </c>
      <c r="H2835" s="19" t="s">
        <v>6441</v>
      </c>
      <c r="I2835" s="20" t="n">
        <v>133.954</v>
      </c>
      <c r="J2835" s="19" t="n">
        <f aca="false">IF(I2835="","",MIN(Overview!$B$8,MAX(1,CEILING(I2835/Overview!$B$7,1))))</f>
        <v>27</v>
      </c>
      <c r="K2835" s="19" t="n">
        <v>1</v>
      </c>
      <c r="L2835" s="19"/>
      <c r="M2835" s="20"/>
      <c r="N2835" s="19"/>
      <c r="O2835" s="19"/>
      <c r="P2835" s="19" t="s">
        <v>8333</v>
      </c>
      <c r="Q2835" s="19" t="s">
        <v>6397</v>
      </c>
      <c r="R2835" s="21" t="n">
        <v>36718</v>
      </c>
      <c r="S2835" s="19" t="s">
        <v>6653</v>
      </c>
      <c r="T2835" s="19" t="s">
        <v>8345</v>
      </c>
      <c r="U2835" s="19" t="str">
        <f aca="false">HYPERLINK("https://macaulaylibrary.org/asset/104021","Open")</f>
        <v>Open</v>
      </c>
      <c r="V2835" s="19" t="s">
        <v>6445</v>
      </c>
    </row>
    <row r="2836" customFormat="false" ht="15" hidden="false" customHeight="false" outlineLevel="0" collapsed="false">
      <c r="A2836" s="19" t="s">
        <v>8346</v>
      </c>
      <c r="B2836" s="19" t="s">
        <v>943</v>
      </c>
      <c r="C2836" s="19" t="s">
        <v>7202</v>
      </c>
      <c r="D2836" s="19" t="s">
        <v>148</v>
      </c>
      <c r="E2836" s="19" t="s">
        <v>911</v>
      </c>
      <c r="F2836" s="19" t="s">
        <v>910</v>
      </c>
      <c r="G2836" s="19" t="n">
        <v>247</v>
      </c>
      <c r="H2836" s="19" t="s">
        <v>8347</v>
      </c>
      <c r="I2836" s="20" t="n">
        <v>35.536</v>
      </c>
      <c r="J2836" s="19" t="n">
        <f aca="false">IF(I2836="","",MIN(Overview!$B$8,MAX(1,CEILING(I2836/Overview!$B$7,1))))</f>
        <v>8</v>
      </c>
      <c r="K2836" s="19" t="n">
        <v>1</v>
      </c>
      <c r="L2836" s="19"/>
      <c r="M2836" s="20"/>
      <c r="N2836" s="19"/>
      <c r="O2836" s="19"/>
      <c r="P2836" s="19" t="s">
        <v>8333</v>
      </c>
      <c r="Q2836" s="19" t="s">
        <v>6397</v>
      </c>
      <c r="R2836" s="21" t="n">
        <v>36718</v>
      </c>
      <c r="S2836" s="19" t="s">
        <v>6653</v>
      </c>
      <c r="T2836" s="19" t="s">
        <v>8348</v>
      </c>
      <c r="U2836" s="19" t="str">
        <f aca="false">HYPERLINK("https://macaulaylibrary.org/asset/104022","Open")</f>
        <v>Open</v>
      </c>
      <c r="V2836" s="19" t="s">
        <v>8349</v>
      </c>
    </row>
    <row r="2837" customFormat="false" ht="15" hidden="false" customHeight="false" outlineLevel="0" collapsed="false">
      <c r="A2837" s="19" t="s">
        <v>8350</v>
      </c>
      <c r="B2837" s="19" t="s">
        <v>943</v>
      </c>
      <c r="C2837" s="19" t="s">
        <v>7202</v>
      </c>
      <c r="D2837" s="19" t="s">
        <v>148</v>
      </c>
      <c r="E2837" s="19" t="s">
        <v>911</v>
      </c>
      <c r="F2837" s="19" t="s">
        <v>910</v>
      </c>
      <c r="G2837" s="19" t="n">
        <v>247</v>
      </c>
      <c r="H2837" s="19" t="s">
        <v>8347</v>
      </c>
      <c r="I2837" s="20" t="n">
        <v>86.405</v>
      </c>
      <c r="J2837" s="19" t="n">
        <f aca="false">IF(I2837="","",MIN(Overview!$B$8,MAX(1,CEILING(I2837/Overview!$B$7,1))))</f>
        <v>18</v>
      </c>
      <c r="K2837" s="19" t="n">
        <v>1</v>
      </c>
      <c r="L2837" s="19"/>
      <c r="M2837" s="20"/>
      <c r="N2837" s="19"/>
      <c r="O2837" s="19"/>
      <c r="P2837" s="19" t="s">
        <v>8333</v>
      </c>
      <c r="Q2837" s="19" t="s">
        <v>6397</v>
      </c>
      <c r="R2837" s="21" t="n">
        <v>36718</v>
      </c>
      <c r="S2837" s="19" t="s">
        <v>8351</v>
      </c>
      <c r="T2837" s="19" t="s">
        <v>8352</v>
      </c>
      <c r="U2837" s="19" t="str">
        <f aca="false">HYPERLINK("https://macaulaylibrary.org/asset/104023","Open")</f>
        <v>Open</v>
      </c>
      <c r="V2837" s="19" t="s">
        <v>8349</v>
      </c>
    </row>
    <row r="2838" customFormat="false" ht="15" hidden="false" customHeight="false" outlineLevel="0" collapsed="false">
      <c r="A2838" s="19" t="s">
        <v>8353</v>
      </c>
      <c r="B2838" s="19" t="s">
        <v>943</v>
      </c>
      <c r="C2838" s="19" t="s">
        <v>7202</v>
      </c>
      <c r="D2838" s="19" t="s">
        <v>148</v>
      </c>
      <c r="E2838" s="19" t="s">
        <v>911</v>
      </c>
      <c r="F2838" s="19" t="s">
        <v>910</v>
      </c>
      <c r="G2838" s="19" t="n">
        <v>247</v>
      </c>
      <c r="H2838" s="19" t="s">
        <v>8347</v>
      </c>
      <c r="I2838" s="20" t="n">
        <v>56.087</v>
      </c>
      <c r="J2838" s="19" t="n">
        <f aca="false">IF(I2838="","",MIN(Overview!$B$8,MAX(1,CEILING(I2838/Overview!$B$7,1))))</f>
        <v>12</v>
      </c>
      <c r="K2838" s="19" t="n">
        <v>1</v>
      </c>
      <c r="L2838" s="19"/>
      <c r="M2838" s="20"/>
      <c r="N2838" s="19"/>
      <c r="O2838" s="19"/>
      <c r="P2838" s="19" t="s">
        <v>8333</v>
      </c>
      <c r="Q2838" s="19" t="s">
        <v>6397</v>
      </c>
      <c r="R2838" s="21" t="n">
        <v>36718</v>
      </c>
      <c r="S2838" s="19" t="s">
        <v>8351</v>
      </c>
      <c r="T2838" s="19" t="s">
        <v>8354</v>
      </c>
      <c r="U2838" s="19" t="str">
        <f aca="false">HYPERLINK("https://macaulaylibrary.org/asset/104024","Open")</f>
        <v>Open</v>
      </c>
      <c r="V2838" s="19" t="s">
        <v>8349</v>
      </c>
    </row>
    <row r="2839" customFormat="false" ht="15" hidden="false" customHeight="false" outlineLevel="0" collapsed="false">
      <c r="A2839" s="19" t="s">
        <v>8355</v>
      </c>
      <c r="B2839" s="19" t="s">
        <v>943</v>
      </c>
      <c r="C2839" s="19" t="s">
        <v>7202</v>
      </c>
      <c r="D2839" s="19" t="s">
        <v>148</v>
      </c>
      <c r="E2839" s="19" t="s">
        <v>911</v>
      </c>
      <c r="F2839" s="19" t="s">
        <v>910</v>
      </c>
      <c r="G2839" s="19" t="n">
        <v>247</v>
      </c>
      <c r="H2839" s="19" t="s">
        <v>8347</v>
      </c>
      <c r="I2839" s="20" t="n">
        <v>60.924</v>
      </c>
      <c r="J2839" s="19" t="n">
        <f aca="false">IF(I2839="","",MIN(Overview!$B$8,MAX(1,CEILING(I2839/Overview!$B$7,1))))</f>
        <v>13</v>
      </c>
      <c r="K2839" s="19" t="n">
        <v>1</v>
      </c>
      <c r="L2839" s="19"/>
      <c r="M2839" s="20"/>
      <c r="N2839" s="19"/>
      <c r="O2839" s="19"/>
      <c r="P2839" s="19" t="s">
        <v>8333</v>
      </c>
      <c r="Q2839" s="19" t="s">
        <v>6397</v>
      </c>
      <c r="R2839" s="21" t="n">
        <v>36718</v>
      </c>
      <c r="S2839" s="19" t="s">
        <v>8351</v>
      </c>
      <c r="T2839" s="19" t="s">
        <v>8356</v>
      </c>
      <c r="U2839" s="19" t="str">
        <f aca="false">HYPERLINK("https://macaulaylibrary.org/asset/104025","Open")</f>
        <v>Open</v>
      </c>
      <c r="V2839" s="19" t="s">
        <v>8349</v>
      </c>
    </row>
    <row r="2840" customFormat="false" ht="15" hidden="false" customHeight="false" outlineLevel="0" collapsed="false">
      <c r="A2840" s="19" t="s">
        <v>8357</v>
      </c>
      <c r="B2840" s="19" t="s">
        <v>943</v>
      </c>
      <c r="C2840" s="19" t="s">
        <v>7202</v>
      </c>
      <c r="D2840" s="19" t="s">
        <v>148</v>
      </c>
      <c r="E2840" s="19" t="s">
        <v>911</v>
      </c>
      <c r="F2840" s="19" t="s">
        <v>910</v>
      </c>
      <c r="G2840" s="19" t="n">
        <v>247</v>
      </c>
      <c r="H2840" s="19" t="s">
        <v>6441</v>
      </c>
      <c r="I2840" s="20" t="n">
        <v>35.118</v>
      </c>
      <c r="J2840" s="19" t="n">
        <f aca="false">IF(I2840="","",MIN(Overview!$B$8,MAX(1,CEILING(I2840/Overview!$B$7,1))))</f>
        <v>8</v>
      </c>
      <c r="K2840" s="19" t="n">
        <v>1</v>
      </c>
      <c r="L2840" s="19"/>
      <c r="M2840" s="20"/>
      <c r="N2840" s="19"/>
      <c r="O2840" s="19"/>
      <c r="P2840" s="19" t="s">
        <v>8333</v>
      </c>
      <c r="Q2840" s="19" t="s">
        <v>6397</v>
      </c>
      <c r="R2840" s="21" t="n">
        <v>36718</v>
      </c>
      <c r="S2840" s="19" t="s">
        <v>8351</v>
      </c>
      <c r="T2840" s="19" t="s">
        <v>8358</v>
      </c>
      <c r="U2840" s="19" t="str">
        <f aca="false">HYPERLINK("https://macaulaylibrary.org/asset/104026","Open")</f>
        <v>Open</v>
      </c>
      <c r="V2840" s="19" t="s">
        <v>6445</v>
      </c>
    </row>
    <row r="2841" customFormat="false" ht="15" hidden="false" customHeight="false" outlineLevel="0" collapsed="false">
      <c r="A2841" s="19" t="s">
        <v>8359</v>
      </c>
      <c r="B2841" s="19" t="s">
        <v>943</v>
      </c>
      <c r="C2841" s="19" t="s">
        <v>7202</v>
      </c>
      <c r="D2841" s="19" t="s">
        <v>148</v>
      </c>
      <c r="E2841" s="19" t="s">
        <v>911</v>
      </c>
      <c r="F2841" s="19" t="s">
        <v>910</v>
      </c>
      <c r="G2841" s="19" t="n">
        <v>247</v>
      </c>
      <c r="H2841" s="19" t="s">
        <v>6441</v>
      </c>
      <c r="I2841" s="20" t="n">
        <v>88.028</v>
      </c>
      <c r="J2841" s="19" t="n">
        <f aca="false">IF(I2841="","",MIN(Overview!$B$8,MAX(1,CEILING(I2841/Overview!$B$7,1))))</f>
        <v>18</v>
      </c>
      <c r="K2841" s="19" t="n">
        <v>1</v>
      </c>
      <c r="L2841" s="19"/>
      <c r="M2841" s="20"/>
      <c r="N2841" s="19"/>
      <c r="O2841" s="19"/>
      <c r="P2841" s="19" t="s">
        <v>8333</v>
      </c>
      <c r="Q2841" s="19" t="s">
        <v>6397</v>
      </c>
      <c r="R2841" s="21" t="n">
        <v>36718</v>
      </c>
      <c r="S2841" s="19" t="s">
        <v>8351</v>
      </c>
      <c r="T2841" s="19" t="s">
        <v>8360</v>
      </c>
      <c r="U2841" s="19" t="str">
        <f aca="false">HYPERLINK("https://macaulaylibrary.org/asset/104027","Open")</f>
        <v>Open</v>
      </c>
      <c r="V2841" s="19" t="s">
        <v>6445</v>
      </c>
    </row>
    <row r="2842" customFormat="false" ht="15" hidden="false" customHeight="false" outlineLevel="0" collapsed="false">
      <c r="A2842" s="19" t="s">
        <v>8361</v>
      </c>
      <c r="B2842" s="19" t="s">
        <v>943</v>
      </c>
      <c r="C2842" s="19" t="s">
        <v>7202</v>
      </c>
      <c r="D2842" s="19" t="s">
        <v>148</v>
      </c>
      <c r="E2842" s="19" t="s">
        <v>911</v>
      </c>
      <c r="F2842" s="19" t="s">
        <v>910</v>
      </c>
      <c r="G2842" s="19" t="n">
        <v>247</v>
      </c>
      <c r="H2842" s="19" t="s">
        <v>6441</v>
      </c>
      <c r="I2842" s="20" t="n">
        <v>58.469</v>
      </c>
      <c r="J2842" s="19" t="n">
        <f aca="false">IF(I2842="","",MIN(Overview!$B$8,MAX(1,CEILING(I2842/Overview!$B$7,1))))</f>
        <v>12</v>
      </c>
      <c r="K2842" s="19" t="n">
        <v>1</v>
      </c>
      <c r="L2842" s="19"/>
      <c r="M2842" s="20"/>
      <c r="N2842" s="19"/>
      <c r="O2842" s="19"/>
      <c r="P2842" s="19" t="s">
        <v>8333</v>
      </c>
      <c r="Q2842" s="19" t="s">
        <v>6397</v>
      </c>
      <c r="R2842" s="21" t="n">
        <v>36718</v>
      </c>
      <c r="S2842" s="19" t="s">
        <v>8351</v>
      </c>
      <c r="T2842" s="19" t="s">
        <v>8362</v>
      </c>
      <c r="U2842" s="19" t="str">
        <f aca="false">HYPERLINK("https://macaulaylibrary.org/asset/104028","Open")</f>
        <v>Open</v>
      </c>
      <c r="V2842" s="19" t="s">
        <v>6445</v>
      </c>
    </row>
    <row r="2843" customFormat="false" ht="15" hidden="false" customHeight="false" outlineLevel="0" collapsed="false">
      <c r="A2843" s="19" t="s">
        <v>8363</v>
      </c>
      <c r="B2843" s="19" t="s">
        <v>943</v>
      </c>
      <c r="C2843" s="19" t="s">
        <v>7202</v>
      </c>
      <c r="D2843" s="19" t="s">
        <v>148</v>
      </c>
      <c r="E2843" s="19" t="s">
        <v>911</v>
      </c>
      <c r="F2843" s="19" t="s">
        <v>910</v>
      </c>
      <c r="G2843" s="19" t="n">
        <v>247</v>
      </c>
      <c r="H2843" s="19" t="s">
        <v>8347</v>
      </c>
      <c r="I2843" s="20" t="n">
        <v>70.524</v>
      </c>
      <c r="J2843" s="19" t="n">
        <f aca="false">IF(I2843="","",MIN(Overview!$B$8,MAX(1,CEILING(I2843/Overview!$B$7,1))))</f>
        <v>15</v>
      </c>
      <c r="K2843" s="19" t="n">
        <v>1</v>
      </c>
      <c r="L2843" s="19"/>
      <c r="M2843" s="20"/>
      <c r="N2843" s="19"/>
      <c r="O2843" s="19"/>
      <c r="P2843" s="19" t="s">
        <v>8333</v>
      </c>
      <c r="Q2843" s="19" t="s">
        <v>6397</v>
      </c>
      <c r="R2843" s="21" t="n">
        <v>36718</v>
      </c>
      <c r="S2843" s="19" t="s">
        <v>8351</v>
      </c>
      <c r="T2843" s="19" t="s">
        <v>8364</v>
      </c>
      <c r="U2843" s="19" t="str">
        <f aca="false">HYPERLINK("https://macaulaylibrary.org/asset/104029","Open")</f>
        <v>Open</v>
      </c>
      <c r="V2843" s="19" t="s">
        <v>8349</v>
      </c>
    </row>
    <row r="2844" customFormat="false" ht="15" hidden="false" customHeight="false" outlineLevel="0" collapsed="false">
      <c r="A2844" s="19" t="s">
        <v>8365</v>
      </c>
      <c r="B2844" s="19" t="s">
        <v>943</v>
      </c>
      <c r="C2844" s="19" t="s">
        <v>7202</v>
      </c>
      <c r="D2844" s="19" t="s">
        <v>148</v>
      </c>
      <c r="E2844" s="19" t="s">
        <v>911</v>
      </c>
      <c r="F2844" s="19" t="s">
        <v>910</v>
      </c>
      <c r="G2844" s="19" t="n">
        <v>247</v>
      </c>
      <c r="H2844" s="19" t="s">
        <v>6441</v>
      </c>
      <c r="I2844" s="20" t="n">
        <v>118.544</v>
      </c>
      <c r="J2844" s="19" t="n">
        <f aca="false">IF(I2844="","",MIN(Overview!$B$8,MAX(1,CEILING(I2844/Overview!$B$7,1))))</f>
        <v>24</v>
      </c>
      <c r="K2844" s="19" t="n">
        <v>1</v>
      </c>
      <c r="L2844" s="19"/>
      <c r="M2844" s="20"/>
      <c r="N2844" s="19"/>
      <c r="O2844" s="19"/>
      <c r="P2844" s="19" t="s">
        <v>8333</v>
      </c>
      <c r="Q2844" s="19" t="s">
        <v>6397</v>
      </c>
      <c r="R2844" s="21" t="n">
        <v>36718</v>
      </c>
      <c r="S2844" s="19" t="s">
        <v>8351</v>
      </c>
      <c r="T2844" s="19" t="s">
        <v>8366</v>
      </c>
      <c r="U2844" s="19" t="str">
        <f aca="false">HYPERLINK("https://macaulaylibrary.org/asset/104030","Open")</f>
        <v>Open</v>
      </c>
      <c r="V2844" s="19" t="s">
        <v>6445</v>
      </c>
    </row>
    <row r="2845" customFormat="false" ht="15" hidden="false" customHeight="false" outlineLevel="0" collapsed="false">
      <c r="A2845" s="19" t="s">
        <v>8367</v>
      </c>
      <c r="B2845" s="19" t="s">
        <v>943</v>
      </c>
      <c r="C2845" s="19" t="s">
        <v>7202</v>
      </c>
      <c r="D2845" s="19" t="s">
        <v>148</v>
      </c>
      <c r="E2845" s="19" t="s">
        <v>911</v>
      </c>
      <c r="F2845" s="19" t="s">
        <v>910</v>
      </c>
      <c r="G2845" s="19" t="n">
        <v>247</v>
      </c>
      <c r="H2845" s="19" t="s">
        <v>8347</v>
      </c>
      <c r="I2845" s="20" t="n">
        <v>72.13</v>
      </c>
      <c r="J2845" s="19" t="n">
        <f aca="false">IF(I2845="","",MIN(Overview!$B$8,MAX(1,CEILING(I2845/Overview!$B$7,1))))</f>
        <v>15</v>
      </c>
      <c r="K2845" s="19" t="n">
        <v>1</v>
      </c>
      <c r="L2845" s="19"/>
      <c r="M2845" s="20"/>
      <c r="N2845" s="19"/>
      <c r="O2845" s="19"/>
      <c r="P2845" s="19" t="s">
        <v>8333</v>
      </c>
      <c r="Q2845" s="19" t="s">
        <v>6397</v>
      </c>
      <c r="R2845" s="21" t="n">
        <v>36718</v>
      </c>
      <c r="S2845" s="19" t="s">
        <v>8351</v>
      </c>
      <c r="T2845" s="19" t="s">
        <v>8368</v>
      </c>
      <c r="U2845" s="19" t="str">
        <f aca="false">HYPERLINK("https://macaulaylibrary.org/asset/104031","Open")</f>
        <v>Open</v>
      </c>
      <c r="V2845" s="19" t="s">
        <v>8349</v>
      </c>
    </row>
    <row r="2846" customFormat="false" ht="15" hidden="false" customHeight="false" outlineLevel="0" collapsed="false">
      <c r="A2846" s="19" t="s">
        <v>8369</v>
      </c>
      <c r="B2846" s="19" t="s">
        <v>943</v>
      </c>
      <c r="C2846" s="19" t="s">
        <v>7202</v>
      </c>
      <c r="D2846" s="19" t="s">
        <v>148</v>
      </c>
      <c r="E2846" s="19" t="s">
        <v>911</v>
      </c>
      <c r="F2846" s="19" t="s">
        <v>910</v>
      </c>
      <c r="G2846" s="19" t="n">
        <v>247</v>
      </c>
      <c r="H2846" s="19" t="s">
        <v>8347</v>
      </c>
      <c r="I2846" s="20" t="n">
        <v>98.314</v>
      </c>
      <c r="J2846" s="19" t="n">
        <f aca="false">IF(I2846="","",MIN(Overview!$B$8,MAX(1,CEILING(I2846/Overview!$B$7,1))))</f>
        <v>20</v>
      </c>
      <c r="K2846" s="19" t="n">
        <v>1</v>
      </c>
      <c r="L2846" s="19"/>
      <c r="M2846" s="20"/>
      <c r="N2846" s="19"/>
      <c r="O2846" s="19"/>
      <c r="P2846" s="19" t="s">
        <v>8333</v>
      </c>
      <c r="Q2846" s="19" t="s">
        <v>6397</v>
      </c>
      <c r="R2846" s="21" t="n">
        <v>36718</v>
      </c>
      <c r="S2846" s="19" t="s">
        <v>8351</v>
      </c>
      <c r="T2846" s="19" t="s">
        <v>8370</v>
      </c>
      <c r="U2846" s="19" t="str">
        <f aca="false">HYPERLINK("https://macaulaylibrary.org/asset/104032","Open")</f>
        <v>Open</v>
      </c>
      <c r="V2846" s="19" t="s">
        <v>8349</v>
      </c>
    </row>
    <row r="2847" customFormat="false" ht="15" hidden="false" customHeight="false" outlineLevel="0" collapsed="false">
      <c r="A2847" s="19" t="s">
        <v>8371</v>
      </c>
      <c r="B2847" s="19" t="s">
        <v>943</v>
      </c>
      <c r="C2847" s="19" t="s">
        <v>7202</v>
      </c>
      <c r="D2847" s="19" t="s">
        <v>148</v>
      </c>
      <c r="E2847" s="19" t="s">
        <v>911</v>
      </c>
      <c r="F2847" s="19" t="s">
        <v>910</v>
      </c>
      <c r="G2847" s="19" t="n">
        <v>247</v>
      </c>
      <c r="H2847" s="19" t="s">
        <v>8347</v>
      </c>
      <c r="I2847" s="20" t="n">
        <v>44.999</v>
      </c>
      <c r="J2847" s="19" t="n">
        <f aca="false">IF(I2847="","",MIN(Overview!$B$8,MAX(1,CEILING(I2847/Overview!$B$7,1))))</f>
        <v>9</v>
      </c>
      <c r="K2847" s="19" t="n">
        <v>1</v>
      </c>
      <c r="L2847" s="19"/>
      <c r="M2847" s="20"/>
      <c r="N2847" s="19"/>
      <c r="O2847" s="19"/>
      <c r="P2847" s="19" t="s">
        <v>8333</v>
      </c>
      <c r="Q2847" s="19" t="s">
        <v>6397</v>
      </c>
      <c r="R2847" s="21" t="n">
        <v>36718</v>
      </c>
      <c r="S2847" s="19" t="s">
        <v>8351</v>
      </c>
      <c r="T2847" s="19" t="s">
        <v>8372</v>
      </c>
      <c r="U2847" s="19" t="str">
        <f aca="false">HYPERLINK("https://macaulaylibrary.org/asset/104033","Open")</f>
        <v>Open</v>
      </c>
      <c r="V2847" s="19" t="s">
        <v>8349</v>
      </c>
    </row>
    <row r="2848" customFormat="false" ht="15" hidden="false" customHeight="false" outlineLevel="0" collapsed="false">
      <c r="A2848" s="19" t="s">
        <v>8373</v>
      </c>
      <c r="B2848" s="19" t="s">
        <v>943</v>
      </c>
      <c r="C2848" s="19" t="s">
        <v>7202</v>
      </c>
      <c r="D2848" s="19" t="s">
        <v>148</v>
      </c>
      <c r="E2848" s="19" t="s">
        <v>911</v>
      </c>
      <c r="F2848" s="19" t="s">
        <v>910</v>
      </c>
      <c r="G2848" s="19" t="n">
        <v>247</v>
      </c>
      <c r="H2848" s="19" t="s">
        <v>8347</v>
      </c>
      <c r="I2848" s="20" t="n">
        <v>85.488</v>
      </c>
      <c r="J2848" s="19" t="n">
        <f aca="false">IF(I2848="","",MIN(Overview!$B$8,MAX(1,CEILING(I2848/Overview!$B$7,1))))</f>
        <v>18</v>
      </c>
      <c r="K2848" s="19" t="n">
        <v>1</v>
      </c>
      <c r="L2848" s="19"/>
      <c r="M2848" s="20"/>
      <c r="N2848" s="19"/>
      <c r="O2848" s="19"/>
      <c r="P2848" s="19" t="s">
        <v>8333</v>
      </c>
      <c r="Q2848" s="19" t="s">
        <v>6397</v>
      </c>
      <c r="R2848" s="21" t="n">
        <v>36718</v>
      </c>
      <c r="S2848" s="19" t="s">
        <v>8351</v>
      </c>
      <c r="T2848" s="19" t="s">
        <v>8374</v>
      </c>
      <c r="U2848" s="19" t="str">
        <f aca="false">HYPERLINK("https://macaulaylibrary.org/asset/104034","Open")</f>
        <v>Open</v>
      </c>
      <c r="V2848" s="19" t="s">
        <v>8349</v>
      </c>
    </row>
    <row r="2849" customFormat="false" ht="15" hidden="false" customHeight="false" outlineLevel="0" collapsed="false">
      <c r="A2849" s="19" t="s">
        <v>8375</v>
      </c>
      <c r="B2849" s="19" t="s">
        <v>943</v>
      </c>
      <c r="C2849" s="19" t="s">
        <v>7202</v>
      </c>
      <c r="D2849" s="19" t="s">
        <v>148</v>
      </c>
      <c r="E2849" s="19" t="s">
        <v>911</v>
      </c>
      <c r="F2849" s="19" t="s">
        <v>910</v>
      </c>
      <c r="G2849" s="19" t="n">
        <v>247</v>
      </c>
      <c r="H2849" s="19" t="s">
        <v>8347</v>
      </c>
      <c r="I2849" s="20" t="n">
        <v>69.079</v>
      </c>
      <c r="J2849" s="19" t="n">
        <f aca="false">IF(I2849="","",MIN(Overview!$B$8,MAX(1,CEILING(I2849/Overview!$B$7,1))))</f>
        <v>14</v>
      </c>
      <c r="K2849" s="19" t="n">
        <v>1</v>
      </c>
      <c r="L2849" s="19"/>
      <c r="M2849" s="20"/>
      <c r="N2849" s="19"/>
      <c r="O2849" s="19"/>
      <c r="P2849" s="19" t="s">
        <v>8333</v>
      </c>
      <c r="Q2849" s="19" t="s">
        <v>6397</v>
      </c>
      <c r="R2849" s="21" t="n">
        <v>36718</v>
      </c>
      <c r="S2849" s="19" t="s">
        <v>8351</v>
      </c>
      <c r="T2849" s="19" t="s">
        <v>8376</v>
      </c>
      <c r="U2849" s="19" t="str">
        <f aca="false">HYPERLINK("https://macaulaylibrary.org/asset/104035","Open")</f>
        <v>Open</v>
      </c>
      <c r="V2849" s="19" t="s">
        <v>8349</v>
      </c>
    </row>
    <row r="2850" customFormat="false" ht="15" hidden="false" customHeight="false" outlineLevel="0" collapsed="false">
      <c r="A2850" s="19" t="s">
        <v>8377</v>
      </c>
      <c r="B2850" s="19" t="s">
        <v>943</v>
      </c>
      <c r="C2850" s="19" t="s">
        <v>7202</v>
      </c>
      <c r="D2850" s="19" t="s">
        <v>148</v>
      </c>
      <c r="E2850" s="19" t="s">
        <v>911</v>
      </c>
      <c r="F2850" s="19" t="s">
        <v>910</v>
      </c>
      <c r="G2850" s="19" t="n">
        <v>247</v>
      </c>
      <c r="H2850" s="19" t="s">
        <v>8347</v>
      </c>
      <c r="I2850" s="20" t="n">
        <v>57.748</v>
      </c>
      <c r="J2850" s="19" t="n">
        <f aca="false">IF(I2850="","",MIN(Overview!$B$8,MAX(1,CEILING(I2850/Overview!$B$7,1))))</f>
        <v>12</v>
      </c>
      <c r="K2850" s="19" t="n">
        <v>1</v>
      </c>
      <c r="L2850" s="19"/>
      <c r="M2850" s="20"/>
      <c r="N2850" s="19"/>
      <c r="O2850" s="19"/>
      <c r="P2850" s="19" t="s">
        <v>8333</v>
      </c>
      <c r="Q2850" s="19" t="s">
        <v>6397</v>
      </c>
      <c r="R2850" s="21" t="n">
        <v>36718</v>
      </c>
      <c r="S2850" s="19" t="s">
        <v>8351</v>
      </c>
      <c r="T2850" s="19" t="s">
        <v>8378</v>
      </c>
      <c r="U2850" s="19" t="str">
        <f aca="false">HYPERLINK("https://macaulaylibrary.org/asset/104036","Open")</f>
        <v>Open</v>
      </c>
      <c r="V2850" s="19" t="s">
        <v>8349</v>
      </c>
    </row>
    <row r="2851" customFormat="false" ht="15" hidden="false" customHeight="false" outlineLevel="0" collapsed="false">
      <c r="A2851" s="19" t="s">
        <v>8379</v>
      </c>
      <c r="B2851" s="19" t="s">
        <v>943</v>
      </c>
      <c r="C2851" s="19" t="s">
        <v>7202</v>
      </c>
      <c r="D2851" s="19" t="s">
        <v>148</v>
      </c>
      <c r="E2851" s="19" t="s">
        <v>911</v>
      </c>
      <c r="F2851" s="19" t="s">
        <v>910</v>
      </c>
      <c r="G2851" s="19" t="n">
        <v>247</v>
      </c>
      <c r="H2851" s="19" t="s">
        <v>8380</v>
      </c>
      <c r="I2851" s="20" t="n">
        <v>53.392</v>
      </c>
      <c r="J2851" s="19" t="n">
        <f aca="false">IF(I2851="","",MIN(Overview!$B$8,MAX(1,CEILING(I2851/Overview!$B$7,1))))</f>
        <v>11</v>
      </c>
      <c r="K2851" s="19" t="n">
        <v>1</v>
      </c>
      <c r="L2851" s="19"/>
      <c r="M2851" s="20"/>
      <c r="N2851" s="19"/>
      <c r="O2851" s="19"/>
      <c r="P2851" s="19" t="s">
        <v>8381</v>
      </c>
      <c r="Q2851" s="19" t="s">
        <v>6397</v>
      </c>
      <c r="R2851" s="21" t="n">
        <v>36717</v>
      </c>
      <c r="S2851" s="19" t="s">
        <v>4011</v>
      </c>
      <c r="T2851" s="19" t="s">
        <v>8382</v>
      </c>
      <c r="U2851" s="19" t="str">
        <f aca="false">HYPERLINK("https://macaulaylibrary.org/asset/104094","Open")</f>
        <v>Open</v>
      </c>
      <c r="V2851" s="19" t="s">
        <v>8383</v>
      </c>
    </row>
    <row r="2852" customFormat="false" ht="15" hidden="false" customHeight="false" outlineLevel="0" collapsed="false">
      <c r="A2852" s="19" t="s">
        <v>8384</v>
      </c>
      <c r="B2852" s="19" t="s">
        <v>943</v>
      </c>
      <c r="C2852" s="19" t="s">
        <v>7202</v>
      </c>
      <c r="D2852" s="19" t="s">
        <v>148</v>
      </c>
      <c r="E2852" s="19" t="s">
        <v>911</v>
      </c>
      <c r="F2852" s="19" t="s">
        <v>910</v>
      </c>
      <c r="G2852" s="19" t="n">
        <v>247</v>
      </c>
      <c r="H2852" s="19" t="s">
        <v>8380</v>
      </c>
      <c r="I2852" s="20" t="n">
        <v>49.041</v>
      </c>
      <c r="J2852" s="19" t="n">
        <f aca="false">IF(I2852="","",MIN(Overview!$B$8,MAX(1,CEILING(I2852/Overview!$B$7,1))))</f>
        <v>10</v>
      </c>
      <c r="K2852" s="19" t="n">
        <v>1</v>
      </c>
      <c r="L2852" s="19"/>
      <c r="M2852" s="20"/>
      <c r="N2852" s="19"/>
      <c r="O2852" s="19"/>
      <c r="P2852" s="19" t="s">
        <v>8381</v>
      </c>
      <c r="Q2852" s="19" t="s">
        <v>6397</v>
      </c>
      <c r="R2852" s="21" t="n">
        <v>36717</v>
      </c>
      <c r="S2852" s="19" t="s">
        <v>4061</v>
      </c>
      <c r="T2852" s="19" t="s">
        <v>8385</v>
      </c>
      <c r="U2852" s="19" t="str">
        <f aca="false">HYPERLINK("https://macaulaylibrary.org/asset/104095","Open")</f>
        <v>Open</v>
      </c>
      <c r="V2852" s="19" t="s">
        <v>8383</v>
      </c>
    </row>
    <row r="2853" customFormat="false" ht="15" hidden="false" customHeight="false" outlineLevel="0" collapsed="false">
      <c r="A2853" s="19" t="s">
        <v>8386</v>
      </c>
      <c r="B2853" s="19" t="s">
        <v>943</v>
      </c>
      <c r="C2853" s="19" t="s">
        <v>7202</v>
      </c>
      <c r="D2853" s="19" t="s">
        <v>148</v>
      </c>
      <c r="E2853" s="19" t="s">
        <v>911</v>
      </c>
      <c r="F2853" s="19" t="s">
        <v>910</v>
      </c>
      <c r="G2853" s="19" t="n">
        <v>247</v>
      </c>
      <c r="H2853" s="19" t="s">
        <v>8380</v>
      </c>
      <c r="I2853" s="20" t="n">
        <v>65.066</v>
      </c>
      <c r="J2853" s="19" t="n">
        <f aca="false">IF(I2853="","",MIN(Overview!$B$8,MAX(1,CEILING(I2853/Overview!$B$7,1))))</f>
        <v>14</v>
      </c>
      <c r="K2853" s="19" t="n">
        <v>1</v>
      </c>
      <c r="L2853" s="19"/>
      <c r="M2853" s="20"/>
      <c r="N2853" s="19"/>
      <c r="O2853" s="19"/>
      <c r="P2853" s="19" t="s">
        <v>8381</v>
      </c>
      <c r="Q2853" s="19" t="s">
        <v>6397</v>
      </c>
      <c r="R2853" s="21" t="n">
        <v>36717</v>
      </c>
      <c r="S2853" s="19" t="s">
        <v>4061</v>
      </c>
      <c r="T2853" s="19" t="s">
        <v>8387</v>
      </c>
      <c r="U2853" s="19" t="str">
        <f aca="false">HYPERLINK("https://macaulaylibrary.org/asset/104096","Open")</f>
        <v>Open</v>
      </c>
      <c r="V2853" s="19" t="s">
        <v>8383</v>
      </c>
    </row>
    <row r="2854" customFormat="false" ht="15" hidden="false" customHeight="false" outlineLevel="0" collapsed="false">
      <c r="A2854" s="19" t="s">
        <v>8388</v>
      </c>
      <c r="B2854" s="19" t="s">
        <v>943</v>
      </c>
      <c r="C2854" s="19" t="s">
        <v>7202</v>
      </c>
      <c r="D2854" s="19" t="s">
        <v>148</v>
      </c>
      <c r="E2854" s="19" t="s">
        <v>911</v>
      </c>
      <c r="F2854" s="19" t="s">
        <v>910</v>
      </c>
      <c r="G2854" s="19" t="n">
        <v>247</v>
      </c>
      <c r="H2854" s="19" t="s">
        <v>8380</v>
      </c>
      <c r="I2854" s="20" t="n">
        <v>157.77</v>
      </c>
      <c r="J2854" s="19" t="n">
        <f aca="false">IF(I2854="","",MIN(Overview!$B$8,MAX(1,CEILING(I2854/Overview!$B$7,1))))</f>
        <v>32</v>
      </c>
      <c r="K2854" s="19" t="n">
        <v>1</v>
      </c>
      <c r="L2854" s="19"/>
      <c r="M2854" s="20"/>
      <c r="N2854" s="19"/>
      <c r="O2854" s="19"/>
      <c r="P2854" s="19" t="s">
        <v>8381</v>
      </c>
      <c r="Q2854" s="19" t="s">
        <v>6397</v>
      </c>
      <c r="R2854" s="21" t="n">
        <v>36717</v>
      </c>
      <c r="S2854" s="19" t="s">
        <v>4061</v>
      </c>
      <c r="T2854" s="19" t="s">
        <v>8389</v>
      </c>
      <c r="U2854" s="19" t="str">
        <f aca="false">HYPERLINK("https://macaulaylibrary.org/asset/104097","Open")</f>
        <v>Open</v>
      </c>
      <c r="V2854" s="19" t="s">
        <v>8383</v>
      </c>
    </row>
    <row r="2855" customFormat="false" ht="15" hidden="false" customHeight="false" outlineLevel="0" collapsed="false">
      <c r="A2855" s="19" t="s">
        <v>8390</v>
      </c>
      <c r="B2855" s="19" t="s">
        <v>943</v>
      </c>
      <c r="C2855" s="19" t="s">
        <v>7202</v>
      </c>
      <c r="D2855" s="19" t="s">
        <v>148</v>
      </c>
      <c r="E2855" s="19" t="s">
        <v>911</v>
      </c>
      <c r="F2855" s="19" t="s">
        <v>910</v>
      </c>
      <c r="G2855" s="19" t="n">
        <v>247</v>
      </c>
      <c r="H2855" s="19" t="s">
        <v>6453</v>
      </c>
      <c r="I2855" s="20" t="n">
        <v>105.896</v>
      </c>
      <c r="J2855" s="19" t="n">
        <f aca="false">IF(I2855="","",MIN(Overview!$B$8,MAX(1,CEILING(I2855/Overview!$B$7,1))))</f>
        <v>22</v>
      </c>
      <c r="K2855" s="19" t="n">
        <v>1</v>
      </c>
      <c r="L2855" s="19"/>
      <c r="M2855" s="20"/>
      <c r="N2855" s="19"/>
      <c r="O2855" s="19"/>
      <c r="P2855" s="19" t="s">
        <v>8391</v>
      </c>
      <c r="Q2855" s="19" t="s">
        <v>6397</v>
      </c>
      <c r="R2855" s="21"/>
      <c r="S2855" s="19" t="s">
        <v>2335</v>
      </c>
      <c r="T2855" s="19" t="s">
        <v>8392</v>
      </c>
      <c r="U2855" s="19" t="str">
        <f aca="false">HYPERLINK("https://macaulaylibrary.org/asset/104122","Open")</f>
        <v>Open</v>
      </c>
      <c r="V2855" s="19" t="s">
        <v>6455</v>
      </c>
    </row>
    <row r="2856" customFormat="false" ht="15" hidden="false" customHeight="false" outlineLevel="0" collapsed="false">
      <c r="A2856" s="19" t="s">
        <v>8393</v>
      </c>
      <c r="B2856" s="19" t="s">
        <v>943</v>
      </c>
      <c r="C2856" s="19" t="s">
        <v>7202</v>
      </c>
      <c r="D2856" s="19" t="s">
        <v>148</v>
      </c>
      <c r="E2856" s="19" t="s">
        <v>911</v>
      </c>
      <c r="F2856" s="19" t="s">
        <v>910</v>
      </c>
      <c r="G2856" s="19" t="n">
        <v>247</v>
      </c>
      <c r="H2856" s="19" t="s">
        <v>8394</v>
      </c>
      <c r="I2856" s="20" t="n">
        <v>452.528</v>
      </c>
      <c r="J2856" s="19" t="n">
        <f aca="false">IF(I2856="","",MIN(Overview!$B$8,MAX(1,CEILING(I2856/Overview!$B$7,1))))</f>
        <v>91</v>
      </c>
      <c r="K2856" s="19" t="n">
        <v>1</v>
      </c>
      <c r="L2856" s="19"/>
      <c r="M2856" s="20"/>
      <c r="N2856" s="19"/>
      <c r="O2856" s="19"/>
      <c r="P2856" s="19" t="s">
        <v>8395</v>
      </c>
      <c r="Q2856" s="19" t="s">
        <v>6397</v>
      </c>
      <c r="R2856" s="21" t="n">
        <v>36732</v>
      </c>
      <c r="S2856" s="19" t="s">
        <v>4011</v>
      </c>
      <c r="T2856" s="19" t="s">
        <v>8396</v>
      </c>
      <c r="U2856" s="19" t="str">
        <f aca="false">HYPERLINK("https://macaulaylibrary.org/asset/104189","Open")</f>
        <v>Open</v>
      </c>
      <c r="V2856" s="19" t="s">
        <v>8397</v>
      </c>
    </row>
    <row r="2857" customFormat="false" ht="15" hidden="false" customHeight="false" outlineLevel="0" collapsed="false">
      <c r="A2857" s="19" t="s">
        <v>8398</v>
      </c>
      <c r="B2857" s="19" t="s">
        <v>943</v>
      </c>
      <c r="C2857" s="19" t="s">
        <v>7202</v>
      </c>
      <c r="D2857" s="19" t="s">
        <v>148</v>
      </c>
      <c r="E2857" s="19" t="s">
        <v>911</v>
      </c>
      <c r="F2857" s="19" t="s">
        <v>910</v>
      </c>
      <c r="G2857" s="19" t="n">
        <v>247</v>
      </c>
      <c r="H2857" s="19" t="s">
        <v>8399</v>
      </c>
      <c r="I2857" s="20" t="n">
        <v>77.762</v>
      </c>
      <c r="J2857" s="19" t="n">
        <f aca="false">IF(I2857="","",MIN(Overview!$B$8,MAX(1,CEILING(I2857/Overview!$B$7,1))))</f>
        <v>16</v>
      </c>
      <c r="K2857" s="19" t="n">
        <v>1</v>
      </c>
      <c r="L2857" s="19"/>
      <c r="M2857" s="20"/>
      <c r="N2857" s="19"/>
      <c r="O2857" s="19"/>
      <c r="P2857" s="19" t="s">
        <v>8395</v>
      </c>
      <c r="Q2857" s="19" t="s">
        <v>6397</v>
      </c>
      <c r="R2857" s="21" t="n">
        <v>36732</v>
      </c>
      <c r="S2857" s="19" t="s">
        <v>6653</v>
      </c>
      <c r="T2857" s="19" t="s">
        <v>8400</v>
      </c>
      <c r="U2857" s="19" t="str">
        <f aca="false">HYPERLINK("https://macaulaylibrary.org/asset/104190","Open")</f>
        <v>Open</v>
      </c>
      <c r="V2857" s="19" t="s">
        <v>8401</v>
      </c>
    </row>
    <row r="2858" customFormat="false" ht="15" hidden="false" customHeight="false" outlineLevel="0" collapsed="false">
      <c r="A2858" s="19" t="s">
        <v>8402</v>
      </c>
      <c r="B2858" s="19" t="s">
        <v>943</v>
      </c>
      <c r="C2858" s="19" t="s">
        <v>7202</v>
      </c>
      <c r="D2858" s="19" t="s">
        <v>148</v>
      </c>
      <c r="E2858" s="19" t="s">
        <v>911</v>
      </c>
      <c r="F2858" s="19" t="s">
        <v>910</v>
      </c>
      <c r="G2858" s="19" t="n">
        <v>247</v>
      </c>
      <c r="H2858" s="19" t="s">
        <v>8403</v>
      </c>
      <c r="I2858" s="20" t="n">
        <v>360.65</v>
      </c>
      <c r="J2858" s="19" t="n">
        <f aca="false">IF(I2858="","",MIN(Overview!$B$8,MAX(1,CEILING(I2858/Overview!$B$7,1))))</f>
        <v>73</v>
      </c>
      <c r="K2858" s="19" t="n">
        <v>1</v>
      </c>
      <c r="L2858" s="19"/>
      <c r="M2858" s="20" t="n">
        <v>5</v>
      </c>
      <c r="N2858" s="19"/>
      <c r="O2858" s="19"/>
      <c r="P2858" s="19" t="s">
        <v>8395</v>
      </c>
      <c r="Q2858" s="19" t="s">
        <v>6397</v>
      </c>
      <c r="R2858" s="21" t="n">
        <v>36732</v>
      </c>
      <c r="S2858" s="19" t="s">
        <v>8342</v>
      </c>
      <c r="T2858" s="19" t="s">
        <v>8404</v>
      </c>
      <c r="U2858" s="19" t="str">
        <f aca="false">HYPERLINK("https://macaulaylibrary.org/asset/104191","Open")</f>
        <v>Open</v>
      </c>
      <c r="V2858" s="19" t="s">
        <v>8405</v>
      </c>
    </row>
    <row r="2859" customFormat="false" ht="15" hidden="false" customHeight="false" outlineLevel="0" collapsed="false">
      <c r="A2859" s="19" t="s">
        <v>8406</v>
      </c>
      <c r="B2859" s="19" t="s">
        <v>943</v>
      </c>
      <c r="C2859" s="19" t="s">
        <v>7202</v>
      </c>
      <c r="D2859" s="19" t="s">
        <v>148</v>
      </c>
      <c r="E2859" s="19" t="s">
        <v>911</v>
      </c>
      <c r="F2859" s="19" t="s">
        <v>912</v>
      </c>
      <c r="G2859" s="19" t="n">
        <v>248</v>
      </c>
      <c r="H2859" s="19" t="s">
        <v>6806</v>
      </c>
      <c r="I2859" s="20" t="n">
        <v>1134.654</v>
      </c>
      <c r="J2859" s="19" t="n">
        <f aca="false">IF(I2859="","",MIN(Overview!$B$8,MAX(1,CEILING(I2859/Overview!$B$7,1))))</f>
        <v>120</v>
      </c>
      <c r="K2859" s="19" t="n">
        <v>1</v>
      </c>
      <c r="L2859" s="19"/>
      <c r="M2859" s="20" t="n">
        <v>3</v>
      </c>
      <c r="N2859" s="19"/>
      <c r="O2859" s="19" t="s">
        <v>8407</v>
      </c>
      <c r="P2859" s="19" t="s">
        <v>7080</v>
      </c>
      <c r="Q2859" s="19" t="s">
        <v>980</v>
      </c>
      <c r="R2859" s="21" t="n">
        <v>35197</v>
      </c>
      <c r="S2859" s="19" t="s">
        <v>4565</v>
      </c>
      <c r="T2859" s="19" t="s">
        <v>8408</v>
      </c>
      <c r="U2859" s="19" t="str">
        <f aca="false">HYPERLINK("https://macaulaylibrary.org/asset/166881","Open")</f>
        <v>Open</v>
      </c>
      <c r="V2859" s="19" t="s">
        <v>6809</v>
      </c>
    </row>
    <row r="2860" customFormat="false" ht="15" hidden="false" customHeight="false" outlineLevel="0" collapsed="false">
      <c r="A2860" s="19" t="s">
        <v>8409</v>
      </c>
      <c r="B2860" s="19" t="s">
        <v>943</v>
      </c>
      <c r="C2860" s="19" t="s">
        <v>7202</v>
      </c>
      <c r="D2860" s="19" t="s">
        <v>148</v>
      </c>
      <c r="E2860" s="19" t="s">
        <v>911</v>
      </c>
      <c r="F2860" s="19" t="s">
        <v>912</v>
      </c>
      <c r="G2860" s="19" t="n">
        <v>248</v>
      </c>
      <c r="H2860" s="19" t="s">
        <v>8410</v>
      </c>
      <c r="I2860" s="20" t="n">
        <v>571.88</v>
      </c>
      <c r="J2860" s="19" t="n">
        <f aca="false">IF(I2860="","",MIN(Overview!$B$8,MAX(1,CEILING(I2860/Overview!$B$7,1))))</f>
        <v>115</v>
      </c>
      <c r="K2860" s="19" t="n">
        <v>1</v>
      </c>
      <c r="L2860" s="19"/>
      <c r="M2860" s="20" t="n">
        <v>3</v>
      </c>
      <c r="N2860" s="19"/>
      <c r="O2860" s="19" t="s">
        <v>8411</v>
      </c>
      <c r="P2860" s="19" t="s">
        <v>7080</v>
      </c>
      <c r="Q2860" s="19" t="s">
        <v>980</v>
      </c>
      <c r="R2860" s="21" t="n">
        <v>35197</v>
      </c>
      <c r="S2860" s="19" t="s">
        <v>8412</v>
      </c>
      <c r="T2860" s="19" t="s">
        <v>8413</v>
      </c>
      <c r="U2860" s="19" t="str">
        <f aca="false">HYPERLINK("https://macaulaylibrary.org/asset/166884","Open")</f>
        <v>Open</v>
      </c>
      <c r="V2860" s="19" t="s">
        <v>8414</v>
      </c>
    </row>
    <row r="2861" customFormat="false" ht="15" hidden="false" customHeight="false" outlineLevel="0" collapsed="false">
      <c r="A2861" s="19" t="s">
        <v>8415</v>
      </c>
      <c r="B2861" s="19" t="s">
        <v>943</v>
      </c>
      <c r="C2861" s="19" t="s">
        <v>7202</v>
      </c>
      <c r="D2861" s="19" t="s">
        <v>148</v>
      </c>
      <c r="E2861" s="19" t="s">
        <v>911</v>
      </c>
      <c r="F2861" s="19" t="s">
        <v>912</v>
      </c>
      <c r="G2861" s="19" t="n">
        <v>248</v>
      </c>
      <c r="H2861" s="19" t="s">
        <v>8416</v>
      </c>
      <c r="I2861" s="20" t="n">
        <v>234.386</v>
      </c>
      <c r="J2861" s="19" t="n">
        <f aca="false">IF(I2861="","",MIN(Overview!$B$8,MAX(1,CEILING(I2861/Overview!$B$7,1))))</f>
        <v>47</v>
      </c>
      <c r="K2861" s="19" t="n">
        <v>1</v>
      </c>
      <c r="L2861" s="19"/>
      <c r="M2861" s="20" t="n">
        <v>3</v>
      </c>
      <c r="N2861" s="19"/>
      <c r="O2861" s="19" t="s">
        <v>6881</v>
      </c>
      <c r="P2861" s="19" t="s">
        <v>7080</v>
      </c>
      <c r="Q2861" s="19" t="s">
        <v>980</v>
      </c>
      <c r="R2861" s="21" t="n">
        <v>35197</v>
      </c>
      <c r="S2861" s="19" t="s">
        <v>8342</v>
      </c>
      <c r="T2861" s="19" t="s">
        <v>8417</v>
      </c>
      <c r="U2861" s="19" t="str">
        <f aca="false">HYPERLINK("https://macaulaylibrary.org/asset/166886","Open")</f>
        <v>Open</v>
      </c>
      <c r="V2861" s="19" t="s">
        <v>8418</v>
      </c>
    </row>
    <row r="2862" customFormat="false" ht="15" hidden="false" customHeight="false" outlineLevel="0" collapsed="false">
      <c r="A2862" s="19" t="s">
        <v>8419</v>
      </c>
      <c r="B2862" s="19" t="s">
        <v>943</v>
      </c>
      <c r="C2862" s="19" t="s">
        <v>7202</v>
      </c>
      <c r="D2862" s="19" t="s">
        <v>148</v>
      </c>
      <c r="E2862" s="19" t="s">
        <v>911</v>
      </c>
      <c r="F2862" s="19" t="s">
        <v>912</v>
      </c>
      <c r="G2862" s="19" t="n">
        <v>248</v>
      </c>
      <c r="H2862" s="19" t="s">
        <v>8410</v>
      </c>
      <c r="I2862" s="20" t="n">
        <v>354.246</v>
      </c>
      <c r="J2862" s="19" t="n">
        <f aca="false">IF(I2862="","",MIN(Overview!$B$8,MAX(1,CEILING(I2862/Overview!$B$7,1))))</f>
        <v>71</v>
      </c>
      <c r="K2862" s="19" t="n">
        <v>1</v>
      </c>
      <c r="L2862" s="19"/>
      <c r="M2862" s="20" t="n">
        <v>3</v>
      </c>
      <c r="N2862" s="19"/>
      <c r="O2862" s="19" t="s">
        <v>8420</v>
      </c>
      <c r="P2862" s="19" t="s">
        <v>7080</v>
      </c>
      <c r="Q2862" s="19" t="s">
        <v>980</v>
      </c>
      <c r="R2862" s="21" t="n">
        <v>35197</v>
      </c>
      <c r="S2862" s="19" t="s">
        <v>8421</v>
      </c>
      <c r="T2862" s="19" t="s">
        <v>8422</v>
      </c>
      <c r="U2862" s="19" t="str">
        <f aca="false">HYPERLINK("https://macaulaylibrary.org/asset/166887","Open")</f>
        <v>Open</v>
      </c>
      <c r="V2862" s="19" t="s">
        <v>8414</v>
      </c>
    </row>
    <row r="2863" customFormat="false" ht="15" hidden="false" customHeight="false" outlineLevel="0" collapsed="false">
      <c r="A2863" s="19" t="s">
        <v>8423</v>
      </c>
      <c r="B2863" s="19" t="s">
        <v>943</v>
      </c>
      <c r="C2863" s="19" t="s">
        <v>7202</v>
      </c>
      <c r="D2863" s="19" t="s">
        <v>148</v>
      </c>
      <c r="E2863" s="19" t="s">
        <v>911</v>
      </c>
      <c r="F2863" s="19" t="s">
        <v>912</v>
      </c>
      <c r="G2863" s="19" t="n">
        <v>248</v>
      </c>
      <c r="H2863" s="19" t="s">
        <v>6802</v>
      </c>
      <c r="I2863" s="20" t="n">
        <v>365.986</v>
      </c>
      <c r="J2863" s="19" t="n">
        <f aca="false">IF(I2863="","",MIN(Overview!$B$8,MAX(1,CEILING(I2863/Overview!$B$7,1))))</f>
        <v>74</v>
      </c>
      <c r="K2863" s="19" t="n">
        <v>1</v>
      </c>
      <c r="L2863" s="19"/>
      <c r="M2863" s="20" t="n">
        <v>3</v>
      </c>
      <c r="N2863" s="19"/>
      <c r="O2863" s="19" t="s">
        <v>6881</v>
      </c>
      <c r="P2863" s="19" t="s">
        <v>2275</v>
      </c>
      <c r="Q2863" s="19" t="s">
        <v>980</v>
      </c>
      <c r="R2863" s="21" t="n">
        <v>34123</v>
      </c>
      <c r="S2863" s="19" t="s">
        <v>4014</v>
      </c>
      <c r="T2863" s="19" t="s">
        <v>8424</v>
      </c>
      <c r="U2863" s="19" t="str">
        <f aca="false">HYPERLINK("https://macaulaylibrary.org/asset/209467","Open")</f>
        <v>Open</v>
      </c>
      <c r="V2863" s="19" t="s">
        <v>6804</v>
      </c>
    </row>
    <row r="2864" customFormat="false" ht="15" hidden="false" customHeight="false" outlineLevel="0" collapsed="false">
      <c r="A2864" s="19" t="s">
        <v>8425</v>
      </c>
      <c r="B2864" s="19" t="s">
        <v>943</v>
      </c>
      <c r="C2864" s="19" t="s">
        <v>7202</v>
      </c>
      <c r="D2864" s="19" t="s">
        <v>148</v>
      </c>
      <c r="E2864" s="19" t="s">
        <v>911</v>
      </c>
      <c r="F2864" s="19" t="s">
        <v>912</v>
      </c>
      <c r="G2864" s="19" t="n">
        <v>248</v>
      </c>
      <c r="H2864" s="19" t="s">
        <v>6744</v>
      </c>
      <c r="I2864" s="20" t="n">
        <v>40.291</v>
      </c>
      <c r="J2864" s="19" t="n">
        <f aca="false">IF(I2864="","",MIN(Overview!$B$8,MAX(1,CEILING(I2864/Overview!$B$7,1))))</f>
        <v>9</v>
      </c>
      <c r="K2864" s="19" t="n">
        <v>1</v>
      </c>
      <c r="L2864" s="19"/>
      <c r="M2864" s="20" t="n">
        <v>3</v>
      </c>
      <c r="N2864" s="19"/>
      <c r="O2864" s="19"/>
      <c r="P2864" s="19" t="s">
        <v>1501</v>
      </c>
      <c r="Q2864" s="19" t="s">
        <v>1502</v>
      </c>
      <c r="R2864" s="21" t="n">
        <v>45939</v>
      </c>
      <c r="S2864" s="19" t="s">
        <v>1503</v>
      </c>
      <c r="T2864" s="19" t="s">
        <v>8426</v>
      </c>
      <c r="U2864" s="19" t="str">
        <f aca="false">HYPERLINK("https://macaulaylibrary.org/asset/648704484","Open")</f>
        <v>Open</v>
      </c>
      <c r="V2864" s="19" t="s">
        <v>6746</v>
      </c>
    </row>
    <row r="2865" customFormat="false" ht="15" hidden="false" customHeight="false" outlineLevel="0" collapsed="false">
      <c r="A2865" s="19" t="s">
        <v>8427</v>
      </c>
      <c r="B2865" s="19" t="s">
        <v>943</v>
      </c>
      <c r="C2865" s="19" t="s">
        <v>7202</v>
      </c>
      <c r="D2865" s="19" t="s">
        <v>400</v>
      </c>
      <c r="E2865" s="19" t="s">
        <v>911</v>
      </c>
      <c r="F2865" s="19" t="s">
        <v>916</v>
      </c>
      <c r="G2865" s="19" t="n">
        <v>249</v>
      </c>
      <c r="H2865" s="19" t="s">
        <v>8428</v>
      </c>
      <c r="I2865" s="20" t="n">
        <v>108.448</v>
      </c>
      <c r="J2865" s="19" t="n">
        <f aca="false">IF(I2865="","",MIN(Overview!$B$8,MAX(1,CEILING(I2865/Overview!$B$7,1))))</f>
        <v>22</v>
      </c>
      <c r="K2865" s="19" t="n">
        <v>1</v>
      </c>
      <c r="L2865" s="19"/>
      <c r="M2865" s="20" t="n">
        <v>3</v>
      </c>
      <c r="N2865" s="19"/>
      <c r="O2865" s="19"/>
      <c r="P2865" s="19" t="s">
        <v>5313</v>
      </c>
      <c r="Q2865" s="19" t="s">
        <v>980</v>
      </c>
      <c r="R2865" s="21" t="n">
        <v>33290</v>
      </c>
      <c r="S2865" s="19" t="s">
        <v>1002</v>
      </c>
      <c r="T2865" s="19" t="s">
        <v>8429</v>
      </c>
      <c r="U2865" s="19" t="str">
        <f aca="false">HYPERLINK("https://macaulaylibrary.org/asset/57466","Open")</f>
        <v>Open</v>
      </c>
      <c r="V2865" s="19" t="s">
        <v>8430</v>
      </c>
    </row>
    <row r="2866" customFormat="false" ht="15" hidden="false" customHeight="false" outlineLevel="0" collapsed="false">
      <c r="A2866" s="19" t="s">
        <v>8431</v>
      </c>
      <c r="B2866" s="19" t="s">
        <v>943</v>
      </c>
      <c r="C2866" s="19" t="s">
        <v>7202</v>
      </c>
      <c r="D2866" s="19" t="s">
        <v>148</v>
      </c>
      <c r="E2866" s="19" t="s">
        <v>911</v>
      </c>
      <c r="F2866" s="19" t="s">
        <v>914</v>
      </c>
      <c r="G2866" s="19" t="n">
        <v>250</v>
      </c>
      <c r="H2866" s="19" t="s">
        <v>8432</v>
      </c>
      <c r="I2866" s="20" t="n">
        <v>41.678</v>
      </c>
      <c r="J2866" s="19" t="n">
        <f aca="false">IF(I2866="","",MIN(Overview!$B$8,MAX(1,CEILING(I2866/Overview!$B$7,1))))</f>
        <v>9</v>
      </c>
      <c r="K2866" s="19" t="n">
        <v>1</v>
      </c>
      <c r="L2866" s="19"/>
      <c r="M2866" s="20" t="n">
        <v>5</v>
      </c>
      <c r="N2866" s="19"/>
      <c r="O2866" s="19"/>
      <c r="P2866" s="19" t="s">
        <v>2443</v>
      </c>
      <c r="Q2866" s="19" t="s">
        <v>1091</v>
      </c>
      <c r="R2866" s="21" t="n">
        <v>45843</v>
      </c>
      <c r="S2866" s="19" t="s">
        <v>2444</v>
      </c>
      <c r="T2866" s="19" t="s">
        <v>8433</v>
      </c>
      <c r="U2866" s="19" t="str">
        <f aca="false">HYPERLINK("https://macaulaylibrary.org/asset/643644456","Open")</f>
        <v>Open</v>
      </c>
      <c r="V2866" s="19" t="s">
        <v>8434</v>
      </c>
    </row>
    <row r="2867" customFormat="false" ht="15" hidden="false" customHeight="false" outlineLevel="0" collapsed="false">
      <c r="A2867" s="19" t="s">
        <v>8435</v>
      </c>
      <c r="B2867" s="19" t="s">
        <v>943</v>
      </c>
      <c r="C2867" s="19" t="s">
        <v>7202</v>
      </c>
      <c r="D2867" s="19" t="s">
        <v>148</v>
      </c>
      <c r="E2867" s="19" t="s">
        <v>911</v>
      </c>
      <c r="F2867" s="19" t="s">
        <v>914</v>
      </c>
      <c r="G2867" s="19" t="n">
        <v>250</v>
      </c>
      <c r="H2867" s="19" t="s">
        <v>8432</v>
      </c>
      <c r="I2867" s="20" t="n">
        <v>40.587</v>
      </c>
      <c r="J2867" s="19" t="n">
        <f aca="false">IF(I2867="","",MIN(Overview!$B$8,MAX(1,CEILING(I2867/Overview!$B$7,1))))</f>
        <v>9</v>
      </c>
      <c r="K2867" s="19" t="n">
        <v>1</v>
      </c>
      <c r="L2867" s="19"/>
      <c r="M2867" s="20"/>
      <c r="N2867" s="19"/>
      <c r="O2867" s="19"/>
      <c r="P2867" s="19" t="s">
        <v>2443</v>
      </c>
      <c r="Q2867" s="19" t="s">
        <v>1091</v>
      </c>
      <c r="R2867" s="21" t="n">
        <v>45843</v>
      </c>
      <c r="S2867" s="19" t="s">
        <v>2444</v>
      </c>
      <c r="T2867" s="19" t="s">
        <v>8436</v>
      </c>
      <c r="U2867" s="19" t="str">
        <f aca="false">HYPERLINK("https://macaulaylibrary.org/asset/643644630","Open")</f>
        <v>Open</v>
      </c>
      <c r="V2867" s="19" t="s">
        <v>8434</v>
      </c>
    </row>
    <row r="2868" customFormat="false" ht="15" hidden="false" customHeight="false" outlineLevel="0" collapsed="false">
      <c r="A2868" s="19" t="s">
        <v>8437</v>
      </c>
      <c r="B2868" s="19" t="s">
        <v>943</v>
      </c>
      <c r="C2868" s="19" t="s">
        <v>7202</v>
      </c>
      <c r="D2868" s="19" t="s">
        <v>400</v>
      </c>
      <c r="E2868" s="19" t="s">
        <v>911</v>
      </c>
      <c r="F2868" s="19" t="s">
        <v>918</v>
      </c>
      <c r="G2868" s="19" t="n">
        <v>251</v>
      </c>
      <c r="H2868" s="19" t="s">
        <v>8438</v>
      </c>
      <c r="I2868" s="20" t="n">
        <v>45.5</v>
      </c>
      <c r="J2868" s="19" t="n">
        <f aca="false">IF(I2868="","",MIN(Overview!$B$8,MAX(1,CEILING(I2868/Overview!$B$7,1))))</f>
        <v>10</v>
      </c>
      <c r="K2868" s="19" t="n">
        <v>1</v>
      </c>
      <c r="L2868" s="19"/>
      <c r="M2868" s="20" t="n">
        <v>3</v>
      </c>
      <c r="N2868" s="19"/>
      <c r="O2868" s="19"/>
      <c r="P2868" s="19" t="s">
        <v>4463</v>
      </c>
      <c r="Q2868" s="19" t="s">
        <v>980</v>
      </c>
      <c r="R2868" s="21"/>
      <c r="S2868" s="19" t="s">
        <v>1002</v>
      </c>
      <c r="T2868" s="19" t="s">
        <v>8439</v>
      </c>
      <c r="U2868" s="19" t="str">
        <f aca="false">HYPERLINK("https://macaulaylibrary.org/asset/53960","Open")</f>
        <v>Open</v>
      </c>
      <c r="V2868" s="19" t="s">
        <v>8440</v>
      </c>
    </row>
    <row r="2869" customFormat="false" ht="15" hidden="false" customHeight="false" outlineLevel="0" collapsed="false">
      <c r="A2869" s="19" t="s">
        <v>8441</v>
      </c>
      <c r="B2869" s="19" t="s">
        <v>943</v>
      </c>
      <c r="C2869" s="19" t="s">
        <v>7202</v>
      </c>
      <c r="D2869" s="19" t="s">
        <v>400</v>
      </c>
      <c r="E2869" s="19" t="s">
        <v>911</v>
      </c>
      <c r="F2869" s="19" t="s">
        <v>918</v>
      </c>
      <c r="G2869" s="19" t="n">
        <v>251</v>
      </c>
      <c r="H2869" s="19" t="s">
        <v>6880</v>
      </c>
      <c r="I2869" s="20" t="n">
        <v>72.569</v>
      </c>
      <c r="J2869" s="19" t="n">
        <f aca="false">IF(I2869="","",MIN(Overview!$B$8,MAX(1,CEILING(I2869/Overview!$B$7,1))))</f>
        <v>15</v>
      </c>
      <c r="K2869" s="19" t="n">
        <v>1</v>
      </c>
      <c r="L2869" s="19"/>
      <c r="M2869" s="20" t="n">
        <v>3</v>
      </c>
      <c r="N2869" s="19"/>
      <c r="O2869" s="19"/>
      <c r="P2869" s="19" t="s">
        <v>4463</v>
      </c>
      <c r="Q2869" s="19" t="s">
        <v>980</v>
      </c>
      <c r="R2869" s="21"/>
      <c r="S2869" s="19" t="s">
        <v>1002</v>
      </c>
      <c r="T2869" s="19" t="s">
        <v>8442</v>
      </c>
      <c r="U2869" s="19" t="str">
        <f aca="false">HYPERLINK("https://macaulaylibrary.org/asset/72627","Open")</f>
        <v>Open</v>
      </c>
      <c r="V2869" s="19" t="s">
        <v>6884</v>
      </c>
    </row>
    <row r="2870" customFormat="false" ht="15" hidden="false" customHeight="false" outlineLevel="0" collapsed="false">
      <c r="A2870" s="19" t="s">
        <v>8443</v>
      </c>
      <c r="B2870" s="19" t="s">
        <v>943</v>
      </c>
      <c r="C2870" s="19" t="s">
        <v>7202</v>
      </c>
      <c r="D2870" s="19" t="s">
        <v>613</v>
      </c>
      <c r="E2870" s="19" t="s">
        <v>911</v>
      </c>
      <c r="F2870" s="19" t="s">
        <v>920</v>
      </c>
      <c r="G2870" s="19" t="n">
        <v>252</v>
      </c>
      <c r="H2870" s="19" t="s">
        <v>8444</v>
      </c>
      <c r="I2870" s="20" t="n">
        <v>13.377</v>
      </c>
      <c r="J2870" s="19" t="n">
        <f aca="false">IF(I2870="","",MIN(Overview!$B$8,MAX(1,CEILING(I2870/Overview!$B$7,1))))</f>
        <v>3</v>
      </c>
      <c r="K2870" s="19" t="n">
        <v>1</v>
      </c>
      <c r="L2870" s="19"/>
      <c r="M2870" s="20"/>
      <c r="N2870" s="19"/>
      <c r="O2870" s="19"/>
      <c r="P2870" s="19" t="s">
        <v>3121</v>
      </c>
      <c r="Q2870" s="19" t="s">
        <v>3122</v>
      </c>
      <c r="R2870" s="21" t="n">
        <v>43516</v>
      </c>
      <c r="S2870" s="19" t="s">
        <v>2159</v>
      </c>
      <c r="T2870" s="19" t="s">
        <v>8445</v>
      </c>
      <c r="U2870" s="19" t="str">
        <f aca="false">HYPERLINK("https://macaulaylibrary.org/asset/661204583","Open")</f>
        <v>Open</v>
      </c>
      <c r="V2870" s="19" t="s">
        <v>8446</v>
      </c>
    </row>
    <row r="2871" customFormat="false" ht="15" hidden="false" customHeight="false" outlineLevel="0" collapsed="false">
      <c r="A2871" s="19" t="s">
        <v>8447</v>
      </c>
      <c r="B2871" s="19" t="s">
        <v>943</v>
      </c>
      <c r="C2871" s="19" t="s">
        <v>8448</v>
      </c>
      <c r="D2871" s="19" t="s">
        <v>148</v>
      </c>
      <c r="E2871" s="19" t="s">
        <v>147</v>
      </c>
      <c r="F2871" s="19" t="s">
        <v>370</v>
      </c>
      <c r="G2871" s="19" t="n">
        <v>4</v>
      </c>
      <c r="H2871" s="19" t="s">
        <v>371</v>
      </c>
      <c r="I2871" s="20" t="n">
        <v>19.466</v>
      </c>
      <c r="J2871" s="19" t="n">
        <f aca="false">IF(I2871="","",MIN(Overview!$B$8,MAX(1,CEILING(I2871/Overview!$B$7,1))))</f>
        <v>4</v>
      </c>
      <c r="K2871" s="19" t="n">
        <v>1</v>
      </c>
      <c r="L2871" s="19"/>
      <c r="M2871" s="20" t="n">
        <v>3</v>
      </c>
      <c r="N2871" s="19"/>
      <c r="O2871" s="19"/>
      <c r="P2871" s="19" t="s">
        <v>2916</v>
      </c>
      <c r="Q2871" s="19" t="s">
        <v>2235</v>
      </c>
      <c r="R2871" s="21" t="n">
        <v>43469</v>
      </c>
      <c r="S2871" s="19" t="s">
        <v>1484</v>
      </c>
      <c r="T2871" s="19" t="s">
        <v>8449</v>
      </c>
      <c r="U2871" s="19" t="str">
        <f aca="false">HYPERLINK("https://macaulaylibrary.org/asset/143078421","Open")</f>
        <v>Open</v>
      </c>
      <c r="V2871" s="19"/>
    </row>
    <row r="2872" customFormat="false" ht="15" hidden="false" customHeight="false" outlineLevel="0" collapsed="false">
      <c r="A2872" s="19" t="s">
        <v>8450</v>
      </c>
      <c r="B2872" s="19" t="s">
        <v>943</v>
      </c>
      <c r="C2872" s="19" t="s">
        <v>8448</v>
      </c>
      <c r="D2872" s="19" t="s">
        <v>148</v>
      </c>
      <c r="E2872" s="19" t="s">
        <v>147</v>
      </c>
      <c r="F2872" s="19" t="s">
        <v>370</v>
      </c>
      <c r="G2872" s="19" t="n">
        <v>4</v>
      </c>
      <c r="H2872" s="19" t="s">
        <v>371</v>
      </c>
      <c r="I2872" s="20" t="n">
        <v>138.7</v>
      </c>
      <c r="J2872" s="19" t="n">
        <f aca="false">IF(I2872="","",MIN(Overview!$B$8,MAX(1,CEILING(I2872/Overview!$B$7,1))))</f>
        <v>28</v>
      </c>
      <c r="K2872" s="19" t="n">
        <v>1</v>
      </c>
      <c r="L2872" s="19"/>
      <c r="M2872" s="20" t="n">
        <v>3</v>
      </c>
      <c r="N2872" s="19"/>
      <c r="O2872" s="19"/>
      <c r="P2872" s="19" t="s">
        <v>1274</v>
      </c>
      <c r="Q2872" s="19" t="s">
        <v>980</v>
      </c>
      <c r="R2872" s="21" t="n">
        <v>35209</v>
      </c>
      <c r="S2872" s="19" t="s">
        <v>8451</v>
      </c>
      <c r="T2872" s="19" t="s">
        <v>8452</v>
      </c>
      <c r="U2872" s="19" t="str">
        <f aca="false">HYPERLINK("https://macaulaylibrary.org/asset/185567","Open")</f>
        <v>Open</v>
      </c>
      <c r="V2872" s="19"/>
    </row>
    <row r="2873" customFormat="false" ht="15" hidden="false" customHeight="false" outlineLevel="0" collapsed="false">
      <c r="A2873" s="19" t="s">
        <v>8453</v>
      </c>
      <c r="B2873" s="19" t="s">
        <v>943</v>
      </c>
      <c r="C2873" s="19" t="s">
        <v>8448</v>
      </c>
      <c r="D2873" s="19" t="s">
        <v>148</v>
      </c>
      <c r="E2873" s="19" t="s">
        <v>147</v>
      </c>
      <c r="F2873" s="19" t="s">
        <v>172</v>
      </c>
      <c r="G2873" s="19" t="n">
        <v>10</v>
      </c>
      <c r="H2873" s="19" t="s">
        <v>173</v>
      </c>
      <c r="I2873" s="20" t="n">
        <v>12.336</v>
      </c>
      <c r="J2873" s="19" t="n">
        <f aca="false">IF(I2873="","",MIN(Overview!$B$8,MAX(1,CEILING(I2873/Overview!$B$7,1))))</f>
        <v>3</v>
      </c>
      <c r="K2873" s="19" t="n">
        <v>1</v>
      </c>
      <c r="L2873" s="19"/>
      <c r="M2873" s="20" t="n">
        <v>4</v>
      </c>
      <c r="N2873" s="19"/>
      <c r="O2873" s="19"/>
      <c r="P2873" s="19" t="s">
        <v>1062</v>
      </c>
      <c r="Q2873" s="19" t="s">
        <v>1063</v>
      </c>
      <c r="R2873" s="21" t="n">
        <v>44086</v>
      </c>
      <c r="S2873" s="19" t="s">
        <v>1064</v>
      </c>
      <c r="T2873" s="19" t="s">
        <v>8454</v>
      </c>
      <c r="U2873" s="19" t="str">
        <f aca="false">HYPERLINK("https://macaulaylibrary.org/asset/266233401","Open")</f>
        <v>Open</v>
      </c>
      <c r="V2873" s="19"/>
    </row>
    <row r="2874" customFormat="false" ht="15" hidden="false" customHeight="false" outlineLevel="0" collapsed="false">
      <c r="A2874" s="19" t="s">
        <v>8455</v>
      </c>
      <c r="B2874" s="19" t="s">
        <v>943</v>
      </c>
      <c r="C2874" s="19" t="s">
        <v>8448</v>
      </c>
      <c r="D2874" s="19" t="s">
        <v>148</v>
      </c>
      <c r="E2874" s="19" t="s">
        <v>147</v>
      </c>
      <c r="F2874" s="19" t="s">
        <v>172</v>
      </c>
      <c r="G2874" s="19" t="n">
        <v>10</v>
      </c>
      <c r="H2874" s="19" t="s">
        <v>173</v>
      </c>
      <c r="I2874" s="20" t="n">
        <v>752.169</v>
      </c>
      <c r="J2874" s="19" t="n">
        <f aca="false">IF(I2874="","",MIN(Overview!$B$8,MAX(1,CEILING(I2874/Overview!$B$7,1))))</f>
        <v>120</v>
      </c>
      <c r="K2874" s="19" t="n">
        <v>1</v>
      </c>
      <c r="L2874" s="19"/>
      <c r="M2874" s="20"/>
      <c r="N2874" s="19"/>
      <c r="O2874" s="19"/>
      <c r="P2874" s="19" t="s">
        <v>3152</v>
      </c>
      <c r="Q2874" s="19" t="s">
        <v>1408</v>
      </c>
      <c r="R2874" s="21" t="n">
        <v>31807</v>
      </c>
      <c r="S2874" s="19" t="s">
        <v>1009</v>
      </c>
      <c r="T2874" s="19" t="s">
        <v>8456</v>
      </c>
      <c r="U2874" s="19" t="str">
        <f aca="false">HYPERLINK("https://macaulaylibrary.org/asset/306058661","Open")</f>
        <v>Open</v>
      </c>
      <c r="V2874" s="19"/>
    </row>
    <row r="2875" customFormat="false" ht="15" hidden="false" customHeight="false" outlineLevel="0" collapsed="false">
      <c r="A2875" s="19" t="s">
        <v>8457</v>
      </c>
      <c r="B2875" s="19" t="s">
        <v>943</v>
      </c>
      <c r="C2875" s="19" t="s">
        <v>8448</v>
      </c>
      <c r="D2875" s="19" t="s">
        <v>148</v>
      </c>
      <c r="E2875" s="19" t="s">
        <v>147</v>
      </c>
      <c r="F2875" s="19" t="s">
        <v>172</v>
      </c>
      <c r="G2875" s="19" t="n">
        <v>10</v>
      </c>
      <c r="H2875" s="19" t="s">
        <v>173</v>
      </c>
      <c r="I2875" s="20" t="n">
        <v>53.127</v>
      </c>
      <c r="J2875" s="19" t="n">
        <f aca="false">IF(I2875="","",MIN(Overview!$B$8,MAX(1,CEILING(I2875/Overview!$B$7,1))))</f>
        <v>11</v>
      </c>
      <c r="K2875" s="19" t="n">
        <v>1</v>
      </c>
      <c r="L2875" s="19"/>
      <c r="M2875" s="20"/>
      <c r="N2875" s="19"/>
      <c r="O2875" s="19"/>
      <c r="P2875" s="19" t="s">
        <v>2091</v>
      </c>
      <c r="Q2875" s="19" t="s">
        <v>2085</v>
      </c>
      <c r="R2875" s="21" t="n">
        <v>44548</v>
      </c>
      <c r="S2875" s="19" t="s">
        <v>1144</v>
      </c>
      <c r="T2875" s="19" t="s">
        <v>8458</v>
      </c>
      <c r="U2875" s="19" t="str">
        <f aca="false">HYPERLINK("https://macaulaylibrary.org/asset/403416751","Open")</f>
        <v>Open</v>
      </c>
      <c r="V2875" s="19"/>
    </row>
    <row r="2876" customFormat="false" ht="15" hidden="false" customHeight="false" outlineLevel="0" collapsed="false">
      <c r="A2876" s="19" t="s">
        <v>8459</v>
      </c>
      <c r="B2876" s="19" t="s">
        <v>943</v>
      </c>
      <c r="C2876" s="19" t="s">
        <v>8448</v>
      </c>
      <c r="D2876" s="19" t="s">
        <v>148</v>
      </c>
      <c r="E2876" s="19" t="s">
        <v>147</v>
      </c>
      <c r="F2876" s="19" t="s">
        <v>172</v>
      </c>
      <c r="G2876" s="19" t="n">
        <v>10</v>
      </c>
      <c r="H2876" s="19" t="s">
        <v>173</v>
      </c>
      <c r="I2876" s="20" t="n">
        <v>10.087</v>
      </c>
      <c r="J2876" s="19" t="n">
        <f aca="false">IF(I2876="","",MIN(Overview!$B$8,MAX(1,CEILING(I2876/Overview!$B$7,1))))</f>
        <v>3</v>
      </c>
      <c r="K2876" s="19" t="n">
        <v>1</v>
      </c>
      <c r="L2876" s="19"/>
      <c r="M2876" s="20" t="n">
        <v>5</v>
      </c>
      <c r="N2876" s="19"/>
      <c r="O2876" s="19"/>
      <c r="P2876" s="19" t="s">
        <v>1631</v>
      </c>
      <c r="Q2876" s="19" t="s">
        <v>990</v>
      </c>
      <c r="R2876" s="21" t="n">
        <v>46012</v>
      </c>
      <c r="S2876" s="19" t="s">
        <v>1632</v>
      </c>
      <c r="T2876" s="19" t="s">
        <v>8460</v>
      </c>
      <c r="U2876" s="19" t="str">
        <f aca="false">HYPERLINK("https://macaulaylibrary.org/asset/647327822","Open")</f>
        <v>Open</v>
      </c>
      <c r="V2876" s="19"/>
    </row>
    <row r="2877" customFormat="false" ht="15" hidden="false" customHeight="false" outlineLevel="0" collapsed="false">
      <c r="A2877" s="19" t="s">
        <v>8461</v>
      </c>
      <c r="B2877" s="19" t="s">
        <v>943</v>
      </c>
      <c r="C2877" s="19" t="s">
        <v>8448</v>
      </c>
      <c r="D2877" s="19" t="s">
        <v>148</v>
      </c>
      <c r="E2877" s="19" t="s">
        <v>147</v>
      </c>
      <c r="F2877" s="19" t="s">
        <v>172</v>
      </c>
      <c r="G2877" s="19" t="n">
        <v>10</v>
      </c>
      <c r="H2877" s="19" t="s">
        <v>173</v>
      </c>
      <c r="I2877" s="20" t="n">
        <v>32.996</v>
      </c>
      <c r="J2877" s="19" t="n">
        <f aca="false">IF(I2877="","",MIN(Overview!$B$8,MAX(1,CEILING(I2877/Overview!$B$7,1))))</f>
        <v>7</v>
      </c>
      <c r="K2877" s="19" t="n">
        <v>1</v>
      </c>
      <c r="L2877" s="19"/>
      <c r="M2877" s="20" t="n">
        <v>5</v>
      </c>
      <c r="N2877" s="19"/>
      <c r="O2877" s="19"/>
      <c r="P2877" s="19" t="s">
        <v>1631</v>
      </c>
      <c r="Q2877" s="19" t="s">
        <v>990</v>
      </c>
      <c r="R2877" s="21" t="n">
        <v>46012</v>
      </c>
      <c r="S2877" s="19" t="s">
        <v>1632</v>
      </c>
      <c r="T2877" s="19" t="s">
        <v>8462</v>
      </c>
      <c r="U2877" s="19" t="str">
        <f aca="false">HYPERLINK("https://macaulaylibrary.org/asset/647327885","Open")</f>
        <v>Open</v>
      </c>
      <c r="V2877" s="19"/>
    </row>
    <row r="2878" customFormat="false" ht="15" hidden="false" customHeight="false" outlineLevel="0" collapsed="false">
      <c r="A2878" s="19" t="s">
        <v>8463</v>
      </c>
      <c r="B2878" s="19" t="s">
        <v>943</v>
      </c>
      <c r="C2878" s="19" t="s">
        <v>8448</v>
      </c>
      <c r="D2878" s="19" t="s">
        <v>148</v>
      </c>
      <c r="E2878" s="19" t="s">
        <v>147</v>
      </c>
      <c r="F2878" s="19" t="s">
        <v>172</v>
      </c>
      <c r="G2878" s="19" t="n">
        <v>10</v>
      </c>
      <c r="H2878" s="19" t="s">
        <v>173</v>
      </c>
      <c r="I2878" s="20" t="n">
        <v>11.849</v>
      </c>
      <c r="J2878" s="19" t="n">
        <f aca="false">IF(I2878="","",MIN(Overview!$B$8,MAX(1,CEILING(I2878/Overview!$B$7,1))))</f>
        <v>3</v>
      </c>
      <c r="K2878" s="19" t="n">
        <v>1</v>
      </c>
      <c r="L2878" s="19"/>
      <c r="M2878" s="20" t="n">
        <v>3</v>
      </c>
      <c r="N2878" s="19"/>
      <c r="O2878" s="19" t="s">
        <v>394</v>
      </c>
      <c r="P2878" s="19" t="s">
        <v>1631</v>
      </c>
      <c r="Q2878" s="19" t="s">
        <v>990</v>
      </c>
      <c r="R2878" s="21" t="n">
        <v>46012</v>
      </c>
      <c r="S2878" s="19" t="s">
        <v>1632</v>
      </c>
      <c r="T2878" s="19" t="s">
        <v>8464</v>
      </c>
      <c r="U2878" s="19" t="str">
        <f aca="false">HYPERLINK("https://macaulaylibrary.org/asset/647483890","Open")</f>
        <v>Open</v>
      </c>
      <c r="V2878" s="19"/>
    </row>
    <row r="2879" customFormat="false" ht="15" hidden="false" customHeight="false" outlineLevel="0" collapsed="false">
      <c r="A2879" s="19" t="s">
        <v>8465</v>
      </c>
      <c r="B2879" s="19" t="s">
        <v>943</v>
      </c>
      <c r="C2879" s="19" t="s">
        <v>8448</v>
      </c>
      <c r="D2879" s="19" t="s">
        <v>148</v>
      </c>
      <c r="E2879" s="19" t="s">
        <v>147</v>
      </c>
      <c r="F2879" s="19" t="s">
        <v>172</v>
      </c>
      <c r="G2879" s="19" t="n">
        <v>10</v>
      </c>
      <c r="H2879" s="19" t="s">
        <v>173</v>
      </c>
      <c r="I2879" s="20" t="n">
        <v>59.268</v>
      </c>
      <c r="J2879" s="19" t="n">
        <f aca="false">IF(I2879="","",MIN(Overview!$B$8,MAX(1,CEILING(I2879/Overview!$B$7,1))))</f>
        <v>12</v>
      </c>
      <c r="K2879" s="19" t="n">
        <v>1</v>
      </c>
      <c r="L2879" s="19"/>
      <c r="M2879" s="20" t="n">
        <v>3</v>
      </c>
      <c r="N2879" s="19"/>
      <c r="O2879" s="19"/>
      <c r="P2879" s="19" t="s">
        <v>8466</v>
      </c>
      <c r="Q2879" s="19" t="s">
        <v>8467</v>
      </c>
      <c r="R2879" s="21" t="n">
        <v>46089</v>
      </c>
      <c r="S2879" s="19" t="s">
        <v>8468</v>
      </c>
      <c r="T2879" s="19" t="s">
        <v>8469</v>
      </c>
      <c r="U2879" s="19" t="str">
        <f aca="false">HYPERLINK("https://macaulaylibrary.org/asset/653980034","Open")</f>
        <v>Open</v>
      </c>
      <c r="V2879" s="19"/>
    </row>
    <row r="2880" customFormat="false" ht="15" hidden="false" customHeight="false" outlineLevel="0" collapsed="false">
      <c r="A2880" s="19" t="s">
        <v>8470</v>
      </c>
      <c r="B2880" s="19" t="s">
        <v>943</v>
      </c>
      <c r="C2880" s="19" t="s">
        <v>8448</v>
      </c>
      <c r="D2880" s="19" t="s">
        <v>148</v>
      </c>
      <c r="E2880" s="19" t="s">
        <v>147</v>
      </c>
      <c r="F2880" s="19" t="s">
        <v>237</v>
      </c>
      <c r="G2880" s="19" t="n">
        <v>18</v>
      </c>
      <c r="H2880" s="19" t="s">
        <v>238</v>
      </c>
      <c r="I2880" s="20" t="n">
        <v>24.043</v>
      </c>
      <c r="J2880" s="19" t="n">
        <f aca="false">IF(I2880="","",MIN(Overview!$B$8,MAX(1,CEILING(I2880/Overview!$B$7,1))))</f>
        <v>5</v>
      </c>
      <c r="K2880" s="19" t="n">
        <v>1</v>
      </c>
      <c r="L2880" s="19"/>
      <c r="M2880" s="20" t="n">
        <v>1</v>
      </c>
      <c r="N2880" s="19"/>
      <c r="O2880" s="19"/>
      <c r="P2880" s="19" t="s">
        <v>3195</v>
      </c>
      <c r="Q2880" s="19" t="s">
        <v>965</v>
      </c>
      <c r="R2880" s="21" t="n">
        <v>43813</v>
      </c>
      <c r="S2880" s="19" t="s">
        <v>3196</v>
      </c>
      <c r="T2880" s="19" t="s">
        <v>8471</v>
      </c>
      <c r="U2880" s="19" t="str">
        <f aca="false">HYPERLINK("https://macaulaylibrary.org/asset/193419161","Open")</f>
        <v>Open</v>
      </c>
      <c r="V2880" s="19"/>
    </row>
    <row r="2881" customFormat="false" ht="15" hidden="false" customHeight="false" outlineLevel="0" collapsed="false">
      <c r="A2881" s="19" t="s">
        <v>8472</v>
      </c>
      <c r="B2881" s="19" t="s">
        <v>943</v>
      </c>
      <c r="C2881" s="19" t="s">
        <v>8448</v>
      </c>
      <c r="D2881" s="19" t="s">
        <v>148</v>
      </c>
      <c r="E2881" s="19" t="s">
        <v>147</v>
      </c>
      <c r="F2881" s="19" t="s">
        <v>237</v>
      </c>
      <c r="G2881" s="19" t="n">
        <v>18</v>
      </c>
      <c r="H2881" s="19" t="s">
        <v>238</v>
      </c>
      <c r="I2881" s="20" t="n">
        <v>12.758</v>
      </c>
      <c r="J2881" s="19" t="n">
        <f aca="false">IF(I2881="","",MIN(Overview!$B$8,MAX(1,CEILING(I2881/Overview!$B$7,1))))</f>
        <v>3</v>
      </c>
      <c r="K2881" s="19" t="n">
        <v>1</v>
      </c>
      <c r="L2881" s="19"/>
      <c r="M2881" s="20"/>
      <c r="N2881" s="19"/>
      <c r="O2881" s="19"/>
      <c r="P2881" s="19" t="s">
        <v>6131</v>
      </c>
      <c r="Q2881" s="19" t="s">
        <v>1348</v>
      </c>
      <c r="R2881" s="21" t="n">
        <v>46101</v>
      </c>
      <c r="S2881" s="19" t="s">
        <v>1419</v>
      </c>
      <c r="T2881" s="19" t="s">
        <v>8473</v>
      </c>
      <c r="U2881" s="19" t="str">
        <f aca="false">HYPERLINK("https://macaulaylibrary.org/asset/654470040","Open")</f>
        <v>Open</v>
      </c>
      <c r="V2881" s="19"/>
    </row>
    <row r="2882" customFormat="false" ht="15" hidden="false" customHeight="false" outlineLevel="0" collapsed="false">
      <c r="A2882" s="19" t="s">
        <v>8474</v>
      </c>
      <c r="B2882" s="19" t="s">
        <v>943</v>
      </c>
      <c r="C2882" s="19" t="s">
        <v>8448</v>
      </c>
      <c r="D2882" s="19" t="s">
        <v>148</v>
      </c>
      <c r="E2882" s="19" t="s">
        <v>147</v>
      </c>
      <c r="F2882" s="19" t="s">
        <v>237</v>
      </c>
      <c r="G2882" s="19" t="n">
        <v>18</v>
      </c>
      <c r="H2882" s="19" t="s">
        <v>238</v>
      </c>
      <c r="I2882" s="20" t="n">
        <v>19.806</v>
      </c>
      <c r="J2882" s="19" t="n">
        <f aca="false">IF(I2882="","",MIN(Overview!$B$8,MAX(1,CEILING(I2882/Overview!$B$7,1))))</f>
        <v>4</v>
      </c>
      <c r="K2882" s="19" t="n">
        <v>1</v>
      </c>
      <c r="L2882" s="19"/>
      <c r="M2882" s="20" t="n">
        <v>2</v>
      </c>
      <c r="N2882" s="19"/>
      <c r="O2882" s="19"/>
      <c r="P2882" s="19" t="s">
        <v>2229</v>
      </c>
      <c r="Q2882" s="19" t="s">
        <v>1397</v>
      </c>
      <c r="R2882" s="21" t="n">
        <v>46218</v>
      </c>
      <c r="S2882" s="19" t="s">
        <v>1353</v>
      </c>
      <c r="T2882" s="19" t="s">
        <v>8475</v>
      </c>
      <c r="U2882" s="19" t="str">
        <f aca="false">HYPERLINK("https://macaulaylibrary.org/asset/661712314","Open")</f>
        <v>Open</v>
      </c>
      <c r="V2882" s="19"/>
    </row>
    <row r="2883" customFormat="false" ht="15" hidden="false" customHeight="false" outlineLevel="0" collapsed="false">
      <c r="A2883" s="19" t="s">
        <v>8476</v>
      </c>
      <c r="B2883" s="19" t="s">
        <v>943</v>
      </c>
      <c r="C2883" s="19" t="s">
        <v>8448</v>
      </c>
      <c r="D2883" s="19" t="s">
        <v>148</v>
      </c>
      <c r="E2883" s="19" t="s">
        <v>147</v>
      </c>
      <c r="F2883" s="19" t="s">
        <v>237</v>
      </c>
      <c r="G2883" s="19" t="n">
        <v>18</v>
      </c>
      <c r="H2883" s="19" t="s">
        <v>238</v>
      </c>
      <c r="I2883" s="20" t="n">
        <v>112.646</v>
      </c>
      <c r="J2883" s="19" t="n">
        <f aca="false">IF(I2883="","",MIN(Overview!$B$8,MAX(1,CEILING(I2883/Overview!$B$7,1))))</f>
        <v>23</v>
      </c>
      <c r="K2883" s="19" t="n">
        <v>1</v>
      </c>
      <c r="L2883" s="19"/>
      <c r="M2883" s="20" t="n">
        <v>1</v>
      </c>
      <c r="N2883" s="19"/>
      <c r="O2883" s="19"/>
      <c r="P2883" s="19" t="s">
        <v>1710</v>
      </c>
      <c r="Q2883" s="19" t="s">
        <v>1218</v>
      </c>
      <c r="R2883" s="21" t="n">
        <v>33331</v>
      </c>
      <c r="S2883" s="19" t="s">
        <v>1282</v>
      </c>
      <c r="T2883" s="19" t="s">
        <v>8477</v>
      </c>
      <c r="U2883" s="19" t="str">
        <f aca="false">HYPERLINK("https://macaulaylibrary.org/asset/76637","Open")</f>
        <v>Open</v>
      </c>
      <c r="V2883" s="19"/>
    </row>
    <row r="2884" customFormat="false" ht="15" hidden="false" customHeight="false" outlineLevel="0" collapsed="false">
      <c r="A2884" s="19" t="s">
        <v>8478</v>
      </c>
      <c r="B2884" s="19" t="s">
        <v>943</v>
      </c>
      <c r="C2884" s="19" t="s">
        <v>8448</v>
      </c>
      <c r="D2884" s="19" t="s">
        <v>148</v>
      </c>
      <c r="E2884" s="19" t="s">
        <v>147</v>
      </c>
      <c r="F2884" s="19" t="s">
        <v>347</v>
      </c>
      <c r="G2884" s="19" t="n">
        <v>19</v>
      </c>
      <c r="H2884" s="19" t="s">
        <v>348</v>
      </c>
      <c r="I2884" s="20" t="n">
        <v>34.274</v>
      </c>
      <c r="J2884" s="19" t="n">
        <f aca="false">IF(I2884="","",MIN(Overview!$B$8,MAX(1,CEILING(I2884/Overview!$B$7,1))))</f>
        <v>7</v>
      </c>
      <c r="K2884" s="19" t="n">
        <v>1</v>
      </c>
      <c r="L2884" s="19"/>
      <c r="M2884" s="20" t="n">
        <v>3.83</v>
      </c>
      <c r="N2884" s="19"/>
      <c r="O2884" s="19"/>
      <c r="P2884" s="19" t="s">
        <v>7230</v>
      </c>
      <c r="Q2884" s="19" t="s">
        <v>1063</v>
      </c>
      <c r="R2884" s="21" t="n">
        <v>44086</v>
      </c>
      <c r="S2884" s="19" t="s">
        <v>7231</v>
      </c>
      <c r="T2884" s="19" t="s">
        <v>8479</v>
      </c>
      <c r="U2884" s="19" t="str">
        <f aca="false">HYPERLINK("https://macaulaylibrary.org/asset/266290661","Open")</f>
        <v>Open</v>
      </c>
      <c r="V2884" s="19"/>
    </row>
    <row r="2885" customFormat="false" ht="15" hidden="false" customHeight="false" outlineLevel="0" collapsed="false">
      <c r="A2885" s="19" t="s">
        <v>8480</v>
      </c>
      <c r="B2885" s="19" t="s">
        <v>943</v>
      </c>
      <c r="C2885" s="19" t="s">
        <v>8448</v>
      </c>
      <c r="D2885" s="19" t="s">
        <v>148</v>
      </c>
      <c r="E2885" s="19" t="s">
        <v>147</v>
      </c>
      <c r="F2885" s="19" t="s">
        <v>347</v>
      </c>
      <c r="G2885" s="19" t="n">
        <v>19</v>
      </c>
      <c r="H2885" s="19" t="s">
        <v>348</v>
      </c>
      <c r="I2885" s="20" t="n">
        <v>4.125</v>
      </c>
      <c r="J2885" s="19" t="n">
        <f aca="false">IF(I2885="","",MIN(Overview!$B$8,MAX(1,CEILING(I2885/Overview!$B$7,1))))</f>
        <v>1</v>
      </c>
      <c r="K2885" s="19" t="n">
        <v>1</v>
      </c>
      <c r="L2885" s="19" t="s">
        <v>1048</v>
      </c>
      <c r="M2885" s="20" t="n">
        <v>2.6</v>
      </c>
      <c r="N2885" s="19"/>
      <c r="O2885" s="19"/>
      <c r="P2885" s="19" t="s">
        <v>1426</v>
      </c>
      <c r="Q2885" s="19" t="s">
        <v>1204</v>
      </c>
      <c r="R2885" s="21" t="n">
        <v>44611</v>
      </c>
      <c r="S2885" s="19" t="s">
        <v>1259</v>
      </c>
      <c r="T2885" s="19" t="s">
        <v>8481</v>
      </c>
      <c r="U2885" s="19" t="str">
        <f aca="false">HYPERLINK("https://macaulaylibrary.org/asset/531227011","Open")</f>
        <v>Open</v>
      </c>
      <c r="V2885" s="19"/>
    </row>
    <row r="2886" customFormat="false" ht="15" hidden="false" customHeight="false" outlineLevel="0" collapsed="false">
      <c r="A2886" s="19" t="s">
        <v>8482</v>
      </c>
      <c r="B2886" s="19" t="s">
        <v>943</v>
      </c>
      <c r="C2886" s="19" t="s">
        <v>8448</v>
      </c>
      <c r="D2886" s="19" t="s">
        <v>148</v>
      </c>
      <c r="E2886" s="19" t="s">
        <v>147</v>
      </c>
      <c r="F2886" s="19" t="s">
        <v>175</v>
      </c>
      <c r="G2886" s="19" t="n">
        <v>21</v>
      </c>
      <c r="H2886" s="19" t="s">
        <v>176</v>
      </c>
      <c r="I2886" s="20" t="n">
        <v>35.072</v>
      </c>
      <c r="J2886" s="19" t="n">
        <f aca="false">IF(I2886="","",MIN(Overview!$B$8,MAX(1,CEILING(I2886/Overview!$B$7,1))))</f>
        <v>8</v>
      </c>
      <c r="K2886" s="19" t="n">
        <v>1</v>
      </c>
      <c r="L2886" s="19"/>
      <c r="M2886" s="20" t="n">
        <v>1.5</v>
      </c>
      <c r="N2886" s="19"/>
      <c r="O2886" s="19"/>
      <c r="P2886" s="19" t="s">
        <v>2338</v>
      </c>
      <c r="Q2886" s="19" t="s">
        <v>965</v>
      </c>
      <c r="R2886" s="21" t="n">
        <v>43449</v>
      </c>
      <c r="S2886" s="19" t="s">
        <v>1137</v>
      </c>
      <c r="T2886" s="19" t="s">
        <v>8483</v>
      </c>
      <c r="U2886" s="19" t="str">
        <f aca="false">HYPERLINK("https://macaulaylibrary.org/asset/129887341","Open")</f>
        <v>Open</v>
      </c>
      <c r="V2886" s="19"/>
    </row>
    <row r="2887" customFormat="false" ht="15" hidden="false" customHeight="false" outlineLevel="0" collapsed="false">
      <c r="A2887" s="19" t="s">
        <v>8484</v>
      </c>
      <c r="B2887" s="19" t="s">
        <v>943</v>
      </c>
      <c r="C2887" s="19" t="s">
        <v>8448</v>
      </c>
      <c r="D2887" s="19" t="s">
        <v>148</v>
      </c>
      <c r="E2887" s="19" t="s">
        <v>147</v>
      </c>
      <c r="F2887" s="19" t="s">
        <v>175</v>
      </c>
      <c r="G2887" s="19" t="n">
        <v>21</v>
      </c>
      <c r="H2887" s="19" t="s">
        <v>176</v>
      </c>
      <c r="I2887" s="20" t="n">
        <v>43.819</v>
      </c>
      <c r="J2887" s="19" t="n">
        <f aca="false">IF(I2887="","",MIN(Overview!$B$8,MAX(1,CEILING(I2887/Overview!$B$7,1))))</f>
        <v>9</v>
      </c>
      <c r="K2887" s="19" t="n">
        <v>1</v>
      </c>
      <c r="L2887" s="19"/>
      <c r="M2887" s="20" t="n">
        <v>2</v>
      </c>
      <c r="N2887" s="19"/>
      <c r="O2887" s="19"/>
      <c r="P2887" s="19" t="s">
        <v>2338</v>
      </c>
      <c r="Q2887" s="19" t="s">
        <v>965</v>
      </c>
      <c r="R2887" s="21" t="n">
        <v>43449</v>
      </c>
      <c r="S2887" s="19" t="s">
        <v>1137</v>
      </c>
      <c r="T2887" s="19" t="s">
        <v>8485</v>
      </c>
      <c r="U2887" s="19" t="str">
        <f aca="false">HYPERLINK("https://macaulaylibrary.org/asset/129887491","Open")</f>
        <v>Open</v>
      </c>
      <c r="V2887" s="19"/>
    </row>
    <row r="2888" customFormat="false" ht="15" hidden="false" customHeight="false" outlineLevel="0" collapsed="false">
      <c r="A2888" s="19" t="s">
        <v>8486</v>
      </c>
      <c r="B2888" s="19" t="s">
        <v>943</v>
      </c>
      <c r="C2888" s="19" t="s">
        <v>8448</v>
      </c>
      <c r="D2888" s="19" t="s">
        <v>148</v>
      </c>
      <c r="E2888" s="19" t="s">
        <v>147</v>
      </c>
      <c r="F2888" s="19" t="s">
        <v>175</v>
      </c>
      <c r="G2888" s="19" t="n">
        <v>21</v>
      </c>
      <c r="H2888" s="19" t="s">
        <v>176</v>
      </c>
      <c r="I2888" s="20" t="n">
        <v>51.96</v>
      </c>
      <c r="J2888" s="19" t="n">
        <f aca="false">IF(I2888="","",MIN(Overview!$B$8,MAX(1,CEILING(I2888/Overview!$B$7,1))))</f>
        <v>11</v>
      </c>
      <c r="K2888" s="19" t="n">
        <v>1</v>
      </c>
      <c r="L2888" s="19"/>
      <c r="M2888" s="20"/>
      <c r="N2888" s="19"/>
      <c r="O2888" s="19"/>
      <c r="P2888" s="19" t="s">
        <v>974</v>
      </c>
      <c r="Q2888" s="19" t="s">
        <v>975</v>
      </c>
      <c r="R2888" s="21" t="n">
        <v>43666</v>
      </c>
      <c r="S2888" s="19" t="s">
        <v>976</v>
      </c>
      <c r="T2888" s="19" t="s">
        <v>8487</v>
      </c>
      <c r="U2888" s="19" t="str">
        <f aca="false">HYPERLINK("https://macaulaylibrary.org/asset/179453281","Open")</f>
        <v>Open</v>
      </c>
      <c r="V2888" s="19"/>
    </row>
    <row r="2889" customFormat="false" ht="15" hidden="false" customHeight="false" outlineLevel="0" collapsed="false">
      <c r="A2889" s="19" t="s">
        <v>8488</v>
      </c>
      <c r="B2889" s="19" t="s">
        <v>943</v>
      </c>
      <c r="C2889" s="19" t="s">
        <v>8448</v>
      </c>
      <c r="D2889" s="19" t="s">
        <v>148</v>
      </c>
      <c r="E2889" s="19" t="s">
        <v>147</v>
      </c>
      <c r="F2889" s="19" t="s">
        <v>175</v>
      </c>
      <c r="G2889" s="19" t="n">
        <v>21</v>
      </c>
      <c r="H2889" s="19" t="s">
        <v>176</v>
      </c>
      <c r="I2889" s="20" t="n">
        <v>330.012</v>
      </c>
      <c r="J2889" s="19" t="n">
        <f aca="false">IF(I2889="","",MIN(Overview!$B$8,MAX(1,CEILING(I2889/Overview!$B$7,1))))</f>
        <v>67</v>
      </c>
      <c r="K2889" s="19" t="n">
        <v>1</v>
      </c>
      <c r="L2889" s="19"/>
      <c r="M2889" s="20" t="n">
        <v>2</v>
      </c>
      <c r="N2889" s="19"/>
      <c r="O2889" s="19"/>
      <c r="P2889" s="19" t="s">
        <v>3717</v>
      </c>
      <c r="Q2889" s="19" t="s">
        <v>2343</v>
      </c>
      <c r="R2889" s="21" t="n">
        <v>31505</v>
      </c>
      <c r="S2889" s="19" t="s">
        <v>1387</v>
      </c>
      <c r="T2889" s="19" t="s">
        <v>8489</v>
      </c>
      <c r="U2889" s="19" t="str">
        <f aca="false">HYPERLINK("https://macaulaylibrary.org/asset/249449","Open")</f>
        <v>Open</v>
      </c>
      <c r="V2889" s="19"/>
    </row>
    <row r="2890" customFormat="false" ht="15" hidden="false" customHeight="false" outlineLevel="0" collapsed="false">
      <c r="A2890" s="19" t="s">
        <v>8490</v>
      </c>
      <c r="B2890" s="19" t="s">
        <v>943</v>
      </c>
      <c r="C2890" s="19" t="s">
        <v>8448</v>
      </c>
      <c r="D2890" s="19" t="s">
        <v>148</v>
      </c>
      <c r="E2890" s="19" t="s">
        <v>147</v>
      </c>
      <c r="F2890" s="19" t="s">
        <v>175</v>
      </c>
      <c r="G2890" s="19" t="n">
        <v>21</v>
      </c>
      <c r="H2890" s="19" t="s">
        <v>176</v>
      </c>
      <c r="I2890" s="20" t="n">
        <v>80.993</v>
      </c>
      <c r="J2890" s="19" t="n">
        <f aca="false">IF(I2890="","",MIN(Overview!$B$8,MAX(1,CEILING(I2890/Overview!$B$7,1))))</f>
        <v>17</v>
      </c>
      <c r="K2890" s="19" t="n">
        <v>1</v>
      </c>
      <c r="L2890" s="19"/>
      <c r="M2890" s="20" t="n">
        <v>4</v>
      </c>
      <c r="N2890" s="19"/>
      <c r="O2890" s="19"/>
      <c r="P2890" s="19" t="s">
        <v>1542</v>
      </c>
      <c r="Q2890" s="19" t="s">
        <v>1408</v>
      </c>
      <c r="R2890" s="21" t="n">
        <v>31806</v>
      </c>
      <c r="S2890" s="19" t="s">
        <v>1009</v>
      </c>
      <c r="T2890" s="19" t="s">
        <v>8491</v>
      </c>
      <c r="U2890" s="19" t="str">
        <f aca="false">HYPERLINK("https://macaulaylibrary.org/asset/336551781","Open")</f>
        <v>Open</v>
      </c>
      <c r="V2890" s="19"/>
    </row>
    <row r="2891" customFormat="false" ht="15" hidden="false" customHeight="false" outlineLevel="0" collapsed="false">
      <c r="A2891" s="19" t="s">
        <v>8492</v>
      </c>
      <c r="B2891" s="19" t="s">
        <v>943</v>
      </c>
      <c r="C2891" s="19" t="s">
        <v>8448</v>
      </c>
      <c r="D2891" s="19" t="s">
        <v>148</v>
      </c>
      <c r="E2891" s="19" t="s">
        <v>147</v>
      </c>
      <c r="F2891" s="19" t="s">
        <v>175</v>
      </c>
      <c r="G2891" s="19" t="n">
        <v>21</v>
      </c>
      <c r="H2891" s="19" t="s">
        <v>176</v>
      </c>
      <c r="I2891" s="20" t="n">
        <v>11.733</v>
      </c>
      <c r="J2891" s="19" t="n">
        <f aca="false">IF(I2891="","",MIN(Overview!$B$8,MAX(1,CEILING(I2891/Overview!$B$7,1))))</f>
        <v>3</v>
      </c>
      <c r="K2891" s="19" t="n">
        <v>1</v>
      </c>
      <c r="L2891" s="19"/>
      <c r="M2891" s="20" t="n">
        <v>3</v>
      </c>
      <c r="N2891" s="19"/>
      <c r="O2891" s="19"/>
      <c r="P2891" s="19" t="s">
        <v>6140</v>
      </c>
      <c r="Q2891" s="19" t="s">
        <v>1199</v>
      </c>
      <c r="R2891" s="21" t="n">
        <v>46027</v>
      </c>
      <c r="S2891" s="19" t="s">
        <v>5342</v>
      </c>
      <c r="T2891" s="19" t="s">
        <v>8493</v>
      </c>
      <c r="U2891" s="19" t="str">
        <f aca="false">HYPERLINK("https://macaulaylibrary.org/asset/648568423","Open")</f>
        <v>Open</v>
      </c>
      <c r="V2891" s="19"/>
    </row>
    <row r="2892" customFormat="false" ht="15" hidden="false" customHeight="false" outlineLevel="0" collapsed="false">
      <c r="A2892" s="19" t="s">
        <v>8494</v>
      </c>
      <c r="B2892" s="19" t="s">
        <v>943</v>
      </c>
      <c r="C2892" s="19" t="s">
        <v>8448</v>
      </c>
      <c r="D2892" s="19" t="s">
        <v>148</v>
      </c>
      <c r="E2892" s="19" t="s">
        <v>147</v>
      </c>
      <c r="F2892" s="19" t="s">
        <v>175</v>
      </c>
      <c r="G2892" s="19" t="n">
        <v>21</v>
      </c>
      <c r="H2892" s="19" t="s">
        <v>176</v>
      </c>
      <c r="I2892" s="20" t="n">
        <v>20.992</v>
      </c>
      <c r="J2892" s="19" t="n">
        <f aca="false">IF(I2892="","",MIN(Overview!$B$8,MAX(1,CEILING(I2892/Overview!$B$7,1))))</f>
        <v>5</v>
      </c>
      <c r="K2892" s="19" t="n">
        <v>1</v>
      </c>
      <c r="L2892" s="19"/>
      <c r="M2892" s="20"/>
      <c r="N2892" s="19"/>
      <c r="O2892" s="19"/>
      <c r="P2892" s="19" t="s">
        <v>2515</v>
      </c>
      <c r="Q2892" s="19" t="s">
        <v>1382</v>
      </c>
      <c r="R2892" s="21" t="n">
        <v>46105</v>
      </c>
      <c r="S2892" s="19" t="s">
        <v>2516</v>
      </c>
      <c r="T2892" s="19" t="s">
        <v>8495</v>
      </c>
      <c r="U2892" s="19" t="str">
        <f aca="false">HYPERLINK("https://macaulaylibrary.org/asset/654749078","Open")</f>
        <v>Open</v>
      </c>
      <c r="V2892" s="19"/>
    </row>
    <row r="2893" customFormat="false" ht="15" hidden="false" customHeight="false" outlineLevel="0" collapsed="false">
      <c r="A2893" s="19" t="s">
        <v>8496</v>
      </c>
      <c r="B2893" s="19" t="s">
        <v>943</v>
      </c>
      <c r="C2893" s="19" t="s">
        <v>8448</v>
      </c>
      <c r="D2893" s="19" t="s">
        <v>148</v>
      </c>
      <c r="E2893" s="19" t="s">
        <v>147</v>
      </c>
      <c r="F2893" s="19" t="s">
        <v>271</v>
      </c>
      <c r="G2893" s="19" t="n">
        <v>22</v>
      </c>
      <c r="H2893" s="19" t="s">
        <v>272</v>
      </c>
      <c r="I2893" s="20" t="n">
        <v>26.652</v>
      </c>
      <c r="J2893" s="19" t="n">
        <f aca="false">IF(I2893="","",MIN(Overview!$B$8,MAX(1,CEILING(I2893/Overview!$B$7,1))))</f>
        <v>6</v>
      </c>
      <c r="K2893" s="19" t="n">
        <v>1</v>
      </c>
      <c r="L2893" s="19"/>
      <c r="M2893" s="20" t="n">
        <v>4</v>
      </c>
      <c r="N2893" s="19"/>
      <c r="O2893" s="19"/>
      <c r="P2893" s="19" t="s">
        <v>1080</v>
      </c>
      <c r="Q2893" s="19" t="s">
        <v>1021</v>
      </c>
      <c r="R2893" s="21" t="n">
        <v>36602</v>
      </c>
      <c r="S2893" s="19" t="s">
        <v>1081</v>
      </c>
      <c r="T2893" s="19" t="s">
        <v>8497</v>
      </c>
      <c r="U2893" s="19" t="str">
        <f aca="false">HYPERLINK("https://macaulaylibrary.org/asset/153386701","Open")</f>
        <v>Open</v>
      </c>
      <c r="V2893" s="19"/>
    </row>
    <row r="2894" customFormat="false" ht="15" hidden="false" customHeight="false" outlineLevel="0" collapsed="false">
      <c r="A2894" s="19" t="s">
        <v>8498</v>
      </c>
      <c r="B2894" s="19" t="s">
        <v>943</v>
      </c>
      <c r="C2894" s="19" t="s">
        <v>8448</v>
      </c>
      <c r="D2894" s="19" t="s">
        <v>148</v>
      </c>
      <c r="E2894" s="19" t="s">
        <v>147</v>
      </c>
      <c r="F2894" s="19" t="s">
        <v>271</v>
      </c>
      <c r="G2894" s="19" t="n">
        <v>22</v>
      </c>
      <c r="H2894" s="19" t="s">
        <v>272</v>
      </c>
      <c r="I2894" s="20" t="n">
        <v>200.773</v>
      </c>
      <c r="J2894" s="19" t="n">
        <f aca="false">IF(I2894="","",MIN(Overview!$B$8,MAX(1,CEILING(I2894/Overview!$B$7,1))))</f>
        <v>41</v>
      </c>
      <c r="K2894" s="19" t="n">
        <v>1</v>
      </c>
      <c r="L2894" s="19"/>
      <c r="M2894" s="20" t="n">
        <v>2</v>
      </c>
      <c r="N2894" s="19"/>
      <c r="O2894" s="19" t="s">
        <v>8499</v>
      </c>
      <c r="P2894" s="19" t="s">
        <v>2649</v>
      </c>
      <c r="Q2894" s="19" t="s">
        <v>1218</v>
      </c>
      <c r="R2894" s="21" t="n">
        <v>34783</v>
      </c>
      <c r="S2894" s="19" t="s">
        <v>1064</v>
      </c>
      <c r="T2894" s="19" t="s">
        <v>8500</v>
      </c>
      <c r="U2894" s="19" t="str">
        <f aca="false">HYPERLINK("https://macaulaylibrary.org/asset/184012","Open")</f>
        <v>Open</v>
      </c>
      <c r="V2894" s="19"/>
    </row>
    <row r="2895" customFormat="false" ht="15" hidden="false" customHeight="false" outlineLevel="0" collapsed="false">
      <c r="A2895" s="19" t="s">
        <v>8501</v>
      </c>
      <c r="B2895" s="19" t="s">
        <v>943</v>
      </c>
      <c r="C2895" s="19" t="s">
        <v>8448</v>
      </c>
      <c r="D2895" s="19" t="s">
        <v>148</v>
      </c>
      <c r="E2895" s="19" t="s">
        <v>147</v>
      </c>
      <c r="F2895" s="19" t="s">
        <v>271</v>
      </c>
      <c r="G2895" s="19" t="n">
        <v>22</v>
      </c>
      <c r="H2895" s="19" t="s">
        <v>272</v>
      </c>
      <c r="I2895" s="20" t="n">
        <v>19.709</v>
      </c>
      <c r="J2895" s="19" t="n">
        <f aca="false">IF(I2895="","",MIN(Overview!$B$8,MAX(1,CEILING(I2895/Overview!$B$7,1))))</f>
        <v>4</v>
      </c>
      <c r="K2895" s="19" t="n">
        <v>1</v>
      </c>
      <c r="L2895" s="19"/>
      <c r="M2895" s="20" t="n">
        <v>4</v>
      </c>
      <c r="N2895" s="19"/>
      <c r="O2895" s="19"/>
      <c r="P2895" s="19" t="s">
        <v>3242</v>
      </c>
      <c r="Q2895" s="19" t="s">
        <v>1408</v>
      </c>
      <c r="R2895" s="21" t="n">
        <v>32458</v>
      </c>
      <c r="S2895" s="19" t="s">
        <v>1009</v>
      </c>
      <c r="T2895" s="19" t="s">
        <v>8502</v>
      </c>
      <c r="U2895" s="19" t="str">
        <f aca="false">HYPERLINK("https://macaulaylibrary.org/asset/347767571","Open")</f>
        <v>Open</v>
      </c>
      <c r="V2895" s="19"/>
    </row>
    <row r="2896" customFormat="false" ht="15" hidden="false" customHeight="false" outlineLevel="0" collapsed="false">
      <c r="A2896" s="19" t="s">
        <v>8503</v>
      </c>
      <c r="B2896" s="19" t="s">
        <v>943</v>
      </c>
      <c r="C2896" s="19" t="s">
        <v>8448</v>
      </c>
      <c r="D2896" s="19" t="s">
        <v>148</v>
      </c>
      <c r="E2896" s="19" t="s">
        <v>147</v>
      </c>
      <c r="F2896" s="19" t="s">
        <v>218</v>
      </c>
      <c r="G2896" s="19" t="n">
        <v>23</v>
      </c>
      <c r="H2896" s="19" t="s">
        <v>219</v>
      </c>
      <c r="I2896" s="20" t="n">
        <v>213.813</v>
      </c>
      <c r="J2896" s="19" t="n">
        <f aca="false">IF(I2896="","",MIN(Overview!$B$8,MAX(1,CEILING(I2896/Overview!$B$7,1))))</f>
        <v>43</v>
      </c>
      <c r="K2896" s="19" t="n">
        <v>1</v>
      </c>
      <c r="L2896" s="19"/>
      <c r="M2896" s="20" t="n">
        <v>3.5</v>
      </c>
      <c r="N2896" s="19"/>
      <c r="O2896" s="19"/>
      <c r="P2896" s="19" t="s">
        <v>1390</v>
      </c>
      <c r="Q2896" s="19" t="s">
        <v>1021</v>
      </c>
      <c r="R2896" s="21" t="n">
        <v>36596</v>
      </c>
      <c r="S2896" s="19" t="s">
        <v>1137</v>
      </c>
      <c r="T2896" s="19" t="s">
        <v>8504</v>
      </c>
      <c r="U2896" s="19" t="str">
        <f aca="false">HYPERLINK("https://macaulaylibrary.org/asset/144451741","Open")</f>
        <v>Open</v>
      </c>
      <c r="V2896" s="19"/>
    </row>
    <row r="2897" customFormat="false" ht="15" hidden="false" customHeight="false" outlineLevel="0" collapsed="false">
      <c r="A2897" s="19" t="s">
        <v>8505</v>
      </c>
      <c r="B2897" s="19" t="s">
        <v>943</v>
      </c>
      <c r="C2897" s="19" t="s">
        <v>8448</v>
      </c>
      <c r="D2897" s="19" t="s">
        <v>148</v>
      </c>
      <c r="E2897" s="19" t="s">
        <v>147</v>
      </c>
      <c r="F2897" s="19" t="s">
        <v>218</v>
      </c>
      <c r="G2897" s="19" t="n">
        <v>23</v>
      </c>
      <c r="H2897" s="19" t="s">
        <v>219</v>
      </c>
      <c r="I2897" s="20" t="n">
        <v>26.604</v>
      </c>
      <c r="J2897" s="19" t="n">
        <f aca="false">IF(I2897="","",MIN(Overview!$B$8,MAX(1,CEILING(I2897/Overview!$B$7,1))))</f>
        <v>6</v>
      </c>
      <c r="K2897" s="19" t="n">
        <v>1</v>
      </c>
      <c r="L2897" s="19"/>
      <c r="M2897" s="20" t="n">
        <v>5</v>
      </c>
      <c r="N2897" s="19"/>
      <c r="O2897" s="19"/>
      <c r="P2897" s="19" t="s">
        <v>1140</v>
      </c>
      <c r="Q2897" s="19" t="s">
        <v>1030</v>
      </c>
      <c r="R2897" s="21" t="n">
        <v>40250</v>
      </c>
      <c r="S2897" s="19" t="s">
        <v>1017</v>
      </c>
      <c r="T2897" s="19" t="s">
        <v>8506</v>
      </c>
      <c r="U2897" s="19" t="str">
        <f aca="false">HYPERLINK("https://macaulaylibrary.org/asset/299557","Open")</f>
        <v>Open</v>
      </c>
      <c r="V2897" s="19"/>
    </row>
    <row r="2898" customFormat="false" ht="15" hidden="false" customHeight="false" outlineLevel="0" collapsed="false">
      <c r="A2898" s="19" t="s">
        <v>8507</v>
      </c>
      <c r="B2898" s="19" t="s">
        <v>943</v>
      </c>
      <c r="C2898" s="19" t="s">
        <v>8448</v>
      </c>
      <c r="D2898" s="19" t="s">
        <v>148</v>
      </c>
      <c r="E2898" s="19" t="s">
        <v>147</v>
      </c>
      <c r="F2898" s="19" t="s">
        <v>218</v>
      </c>
      <c r="G2898" s="19" t="n">
        <v>23</v>
      </c>
      <c r="H2898" s="19" t="s">
        <v>219</v>
      </c>
      <c r="I2898" s="20" t="n">
        <v>33.189</v>
      </c>
      <c r="J2898" s="19" t="n">
        <f aca="false">IF(I2898="","",MIN(Overview!$B$8,MAX(1,CEILING(I2898/Overview!$B$7,1))))</f>
        <v>7</v>
      </c>
      <c r="K2898" s="19" t="n">
        <v>1</v>
      </c>
      <c r="L2898" s="19"/>
      <c r="M2898" s="20" t="n">
        <v>3</v>
      </c>
      <c r="N2898" s="19"/>
      <c r="O2898" s="19"/>
      <c r="P2898" s="19" t="s">
        <v>1140</v>
      </c>
      <c r="Q2898" s="19" t="s">
        <v>1030</v>
      </c>
      <c r="R2898" s="21" t="n">
        <v>40250</v>
      </c>
      <c r="S2898" s="19" t="s">
        <v>1017</v>
      </c>
      <c r="T2898" s="19" t="s">
        <v>8508</v>
      </c>
      <c r="U2898" s="19" t="str">
        <f aca="false">HYPERLINK("https://macaulaylibrary.org/asset/299558","Open")</f>
        <v>Open</v>
      </c>
      <c r="V2898" s="19"/>
    </row>
    <row r="2899" customFormat="false" ht="15" hidden="false" customHeight="false" outlineLevel="0" collapsed="false">
      <c r="A2899" s="19" t="s">
        <v>8509</v>
      </c>
      <c r="B2899" s="19" t="s">
        <v>943</v>
      </c>
      <c r="C2899" s="19" t="s">
        <v>8448</v>
      </c>
      <c r="D2899" s="19" t="s">
        <v>148</v>
      </c>
      <c r="E2899" s="19" t="s">
        <v>147</v>
      </c>
      <c r="F2899" s="19" t="s">
        <v>218</v>
      </c>
      <c r="G2899" s="19" t="n">
        <v>23</v>
      </c>
      <c r="H2899" s="19" t="s">
        <v>219</v>
      </c>
      <c r="I2899" s="20" t="n">
        <v>84.831</v>
      </c>
      <c r="J2899" s="19" t="n">
        <f aca="false">IF(I2899="","",MIN(Overview!$B$8,MAX(1,CEILING(I2899/Overview!$B$7,1))))</f>
        <v>17</v>
      </c>
      <c r="K2899" s="19" t="n">
        <v>1</v>
      </c>
      <c r="L2899" s="19"/>
      <c r="M2899" s="20" t="n">
        <v>3</v>
      </c>
      <c r="N2899" s="19"/>
      <c r="O2899" s="19"/>
      <c r="P2899" s="19" t="s">
        <v>2523</v>
      </c>
      <c r="Q2899" s="19" t="s">
        <v>1592</v>
      </c>
      <c r="R2899" s="21" t="n">
        <v>30405</v>
      </c>
      <c r="S2899" s="19" t="s">
        <v>1002</v>
      </c>
      <c r="T2899" s="19" t="s">
        <v>8510</v>
      </c>
      <c r="U2899" s="19" t="str">
        <f aca="false">HYPERLINK("https://macaulaylibrary.org/asset/39240","Open")</f>
        <v>Open</v>
      </c>
      <c r="V2899" s="19"/>
    </row>
    <row r="2900" customFormat="false" ht="15" hidden="false" customHeight="false" outlineLevel="0" collapsed="false">
      <c r="A2900" s="19" t="s">
        <v>8511</v>
      </c>
      <c r="B2900" s="19" t="s">
        <v>943</v>
      </c>
      <c r="C2900" s="19" t="s">
        <v>8448</v>
      </c>
      <c r="D2900" s="19" t="s">
        <v>148</v>
      </c>
      <c r="E2900" s="19" t="s">
        <v>147</v>
      </c>
      <c r="F2900" s="19" t="s">
        <v>218</v>
      </c>
      <c r="G2900" s="19" t="n">
        <v>23</v>
      </c>
      <c r="H2900" s="19" t="s">
        <v>219</v>
      </c>
      <c r="I2900" s="20" t="n">
        <v>4.437</v>
      </c>
      <c r="J2900" s="19" t="n">
        <f aca="false">IF(I2900="","",MIN(Overview!$B$8,MAX(1,CEILING(I2900/Overview!$B$7,1))))</f>
        <v>1</v>
      </c>
      <c r="K2900" s="19" t="n">
        <v>1</v>
      </c>
      <c r="L2900" s="19" t="s">
        <v>1048</v>
      </c>
      <c r="M2900" s="20" t="n">
        <v>3</v>
      </c>
      <c r="N2900" s="19"/>
      <c r="O2900" s="19"/>
      <c r="P2900" s="19" t="s">
        <v>1871</v>
      </c>
      <c r="Q2900" s="19" t="s">
        <v>1847</v>
      </c>
      <c r="R2900" s="21" t="n">
        <v>43161</v>
      </c>
      <c r="S2900" s="19" t="s">
        <v>1872</v>
      </c>
      <c r="T2900" s="19" t="s">
        <v>8512</v>
      </c>
      <c r="U2900" s="19" t="str">
        <f aca="false">HYPERLINK("https://macaulaylibrary.org/asset/90339661","Open")</f>
        <v>Open</v>
      </c>
      <c r="V2900" s="19"/>
    </row>
    <row r="2901" customFormat="false" ht="15" hidden="false" customHeight="false" outlineLevel="0" collapsed="false">
      <c r="A2901" s="19" t="s">
        <v>8513</v>
      </c>
      <c r="B2901" s="19" t="s">
        <v>943</v>
      </c>
      <c r="C2901" s="19" t="s">
        <v>8448</v>
      </c>
      <c r="D2901" s="19" t="s">
        <v>148</v>
      </c>
      <c r="E2901" s="19" t="s">
        <v>147</v>
      </c>
      <c r="F2901" s="19" t="s">
        <v>335</v>
      </c>
      <c r="G2901" s="19" t="n">
        <v>27</v>
      </c>
      <c r="H2901" s="19" t="s">
        <v>336</v>
      </c>
      <c r="I2901" s="20" t="n">
        <v>126.114</v>
      </c>
      <c r="J2901" s="19" t="n">
        <f aca="false">IF(I2901="","",MIN(Overview!$B$8,MAX(1,CEILING(I2901/Overview!$B$7,1))))</f>
        <v>26</v>
      </c>
      <c r="K2901" s="19" t="n">
        <v>1</v>
      </c>
      <c r="L2901" s="19"/>
      <c r="M2901" s="20" t="n">
        <v>4.5</v>
      </c>
      <c r="N2901" s="19"/>
      <c r="O2901" s="19"/>
      <c r="P2901" s="19" t="s">
        <v>1080</v>
      </c>
      <c r="Q2901" s="19" t="s">
        <v>1021</v>
      </c>
      <c r="R2901" s="21" t="n">
        <v>36602</v>
      </c>
      <c r="S2901" s="19" t="s">
        <v>1081</v>
      </c>
      <c r="T2901" s="19" t="s">
        <v>8514</v>
      </c>
      <c r="U2901" s="19" t="str">
        <f aca="false">HYPERLINK("https://macaulaylibrary.org/asset/153372161","Open")</f>
        <v>Open</v>
      </c>
      <c r="V2901" s="19"/>
    </row>
    <row r="2902" customFormat="false" ht="15" hidden="false" customHeight="false" outlineLevel="0" collapsed="false">
      <c r="A2902" s="19" t="s">
        <v>8515</v>
      </c>
      <c r="B2902" s="19" t="s">
        <v>943</v>
      </c>
      <c r="C2902" s="19" t="s">
        <v>8448</v>
      </c>
      <c r="D2902" s="19" t="s">
        <v>148</v>
      </c>
      <c r="E2902" s="19" t="s">
        <v>147</v>
      </c>
      <c r="F2902" s="19" t="s">
        <v>335</v>
      </c>
      <c r="G2902" s="19" t="n">
        <v>27</v>
      </c>
      <c r="H2902" s="19" t="s">
        <v>336</v>
      </c>
      <c r="I2902" s="20" t="n">
        <v>70.107</v>
      </c>
      <c r="J2902" s="19" t="n">
        <f aca="false">IF(I2902="","",MIN(Overview!$B$8,MAX(1,CEILING(I2902/Overview!$B$7,1))))</f>
        <v>15</v>
      </c>
      <c r="K2902" s="19" t="n">
        <v>1</v>
      </c>
      <c r="L2902" s="19"/>
      <c r="M2902" s="20" t="n">
        <v>2</v>
      </c>
      <c r="N2902" s="19"/>
      <c r="O2902" s="19"/>
      <c r="P2902" s="19" t="s">
        <v>2152</v>
      </c>
      <c r="Q2902" s="19" t="s">
        <v>1218</v>
      </c>
      <c r="R2902" s="21" t="n">
        <v>33329</v>
      </c>
      <c r="S2902" s="19" t="s">
        <v>8516</v>
      </c>
      <c r="T2902" s="19" t="s">
        <v>8517</v>
      </c>
      <c r="U2902" s="19" t="str">
        <f aca="false">HYPERLINK("https://macaulaylibrary.org/asset/76604","Open")</f>
        <v>Open</v>
      </c>
      <c r="V2902" s="19"/>
    </row>
    <row r="2903" customFormat="false" ht="15" hidden="false" customHeight="false" outlineLevel="0" collapsed="false">
      <c r="A2903" s="19" t="s">
        <v>8518</v>
      </c>
      <c r="B2903" s="19" t="s">
        <v>943</v>
      </c>
      <c r="C2903" s="19" t="s">
        <v>8448</v>
      </c>
      <c r="D2903" s="19" t="s">
        <v>148</v>
      </c>
      <c r="E2903" s="19" t="s">
        <v>147</v>
      </c>
      <c r="F2903" s="19" t="s">
        <v>178</v>
      </c>
      <c r="G2903" s="19" t="n">
        <v>29</v>
      </c>
      <c r="H2903" s="19" t="s">
        <v>179</v>
      </c>
      <c r="I2903" s="20" t="n">
        <v>160.762</v>
      </c>
      <c r="J2903" s="19" t="n">
        <f aca="false">IF(I2903="","",MIN(Overview!$B$8,MAX(1,CEILING(I2903/Overview!$B$7,1))))</f>
        <v>33</v>
      </c>
      <c r="K2903" s="19" t="n">
        <v>1</v>
      </c>
      <c r="L2903" s="19"/>
      <c r="M2903" s="20" t="n">
        <v>3.5</v>
      </c>
      <c r="N2903" s="19"/>
      <c r="O2903" s="19"/>
      <c r="P2903" s="19" t="s">
        <v>3831</v>
      </c>
      <c r="Q2903" s="19" t="s">
        <v>1021</v>
      </c>
      <c r="R2903" s="21" t="n">
        <v>35862</v>
      </c>
      <c r="S2903" s="19" t="s">
        <v>1036</v>
      </c>
      <c r="T2903" s="19" t="s">
        <v>8519</v>
      </c>
      <c r="U2903" s="19" t="str">
        <f aca="false">HYPERLINK("https://macaulaylibrary.org/asset/100509961","Open")</f>
        <v>Open</v>
      </c>
      <c r="V2903" s="19"/>
    </row>
    <row r="2904" customFormat="false" ht="15" hidden="false" customHeight="false" outlineLevel="0" collapsed="false">
      <c r="A2904" s="19" t="s">
        <v>8520</v>
      </c>
      <c r="B2904" s="19" t="s">
        <v>943</v>
      </c>
      <c r="C2904" s="19" t="s">
        <v>8448</v>
      </c>
      <c r="D2904" s="19" t="s">
        <v>148</v>
      </c>
      <c r="E2904" s="19" t="s">
        <v>147</v>
      </c>
      <c r="F2904" s="19" t="s">
        <v>178</v>
      </c>
      <c r="G2904" s="19" t="n">
        <v>29</v>
      </c>
      <c r="H2904" s="19" t="s">
        <v>179</v>
      </c>
      <c r="I2904" s="20" t="n">
        <v>157.609</v>
      </c>
      <c r="J2904" s="19" t="n">
        <f aca="false">IF(I2904="","",MIN(Overview!$B$8,MAX(1,CEILING(I2904/Overview!$B$7,1))))</f>
        <v>32</v>
      </c>
      <c r="K2904" s="19" t="n">
        <v>1</v>
      </c>
      <c r="L2904" s="19"/>
      <c r="M2904" s="20" t="n">
        <v>4</v>
      </c>
      <c r="N2904" s="19"/>
      <c r="O2904" s="19"/>
      <c r="P2904" s="19" t="s">
        <v>1080</v>
      </c>
      <c r="Q2904" s="19" t="s">
        <v>1021</v>
      </c>
      <c r="R2904" s="21" t="n">
        <v>36602</v>
      </c>
      <c r="S2904" s="19" t="s">
        <v>1081</v>
      </c>
      <c r="T2904" s="19" t="s">
        <v>8521</v>
      </c>
      <c r="U2904" s="19" t="str">
        <f aca="false">HYPERLINK("https://macaulaylibrary.org/asset/154145541","Open")</f>
        <v>Open</v>
      </c>
      <c r="V2904" s="19"/>
    </row>
    <row r="2905" customFormat="false" ht="15" hidden="false" customHeight="false" outlineLevel="0" collapsed="false">
      <c r="A2905" s="19" t="s">
        <v>8522</v>
      </c>
      <c r="B2905" s="19" t="s">
        <v>943</v>
      </c>
      <c r="C2905" s="19" t="s">
        <v>8448</v>
      </c>
      <c r="D2905" s="19" t="s">
        <v>148</v>
      </c>
      <c r="E2905" s="19" t="s">
        <v>147</v>
      </c>
      <c r="F2905" s="19" t="s">
        <v>178</v>
      </c>
      <c r="G2905" s="19" t="n">
        <v>29</v>
      </c>
      <c r="H2905" s="19" t="s">
        <v>179</v>
      </c>
      <c r="I2905" s="20" t="n">
        <v>54.441</v>
      </c>
      <c r="J2905" s="19" t="n">
        <f aca="false">IF(I2905="","",MIN(Overview!$B$8,MAX(1,CEILING(I2905/Overview!$B$7,1))))</f>
        <v>11</v>
      </c>
      <c r="K2905" s="19" t="n">
        <v>1</v>
      </c>
      <c r="L2905" s="19"/>
      <c r="M2905" s="20" t="n">
        <v>3</v>
      </c>
      <c r="N2905" s="19"/>
      <c r="O2905" s="19"/>
      <c r="P2905" s="19" t="s">
        <v>3144</v>
      </c>
      <c r="Q2905" s="19" t="s">
        <v>1136</v>
      </c>
      <c r="R2905" s="21" t="n">
        <v>29736</v>
      </c>
      <c r="S2905" s="19" t="s">
        <v>1036</v>
      </c>
      <c r="T2905" s="19" t="s">
        <v>8523</v>
      </c>
      <c r="U2905" s="19" t="str">
        <f aca="false">HYPERLINK("https://macaulaylibrary.org/asset/26394","Open")</f>
        <v>Open</v>
      </c>
      <c r="V2905" s="19"/>
    </row>
    <row r="2906" customFormat="false" ht="15" hidden="false" customHeight="false" outlineLevel="0" collapsed="false">
      <c r="A2906" s="19" t="s">
        <v>8524</v>
      </c>
      <c r="B2906" s="19" t="s">
        <v>943</v>
      </c>
      <c r="C2906" s="19" t="s">
        <v>8448</v>
      </c>
      <c r="D2906" s="19" t="s">
        <v>148</v>
      </c>
      <c r="E2906" s="19" t="s">
        <v>147</v>
      </c>
      <c r="F2906" s="19" t="s">
        <v>178</v>
      </c>
      <c r="G2906" s="19" t="n">
        <v>29</v>
      </c>
      <c r="H2906" s="19" t="s">
        <v>179</v>
      </c>
      <c r="I2906" s="20" t="n">
        <v>283.98</v>
      </c>
      <c r="J2906" s="19" t="n">
        <f aca="false">IF(I2906="","",MIN(Overview!$B$8,MAX(1,CEILING(I2906/Overview!$B$7,1))))</f>
        <v>57</v>
      </c>
      <c r="K2906" s="19" t="n">
        <v>1</v>
      </c>
      <c r="L2906" s="19"/>
      <c r="M2906" s="20" t="n">
        <v>3</v>
      </c>
      <c r="N2906" s="19"/>
      <c r="O2906" s="19"/>
      <c r="P2906" s="19" t="s">
        <v>3144</v>
      </c>
      <c r="Q2906" s="19" t="s">
        <v>1136</v>
      </c>
      <c r="R2906" s="21" t="n">
        <v>29736</v>
      </c>
      <c r="S2906" s="19" t="s">
        <v>2666</v>
      </c>
      <c r="T2906" s="19" t="s">
        <v>8525</v>
      </c>
      <c r="U2906" s="19" t="str">
        <f aca="false">HYPERLINK("https://macaulaylibrary.org/asset/28146","Open")</f>
        <v>Open</v>
      </c>
      <c r="V2906" s="19"/>
    </row>
    <row r="2907" customFormat="false" ht="15" hidden="false" customHeight="false" outlineLevel="0" collapsed="false">
      <c r="A2907" s="19" t="s">
        <v>8526</v>
      </c>
      <c r="B2907" s="19" t="s">
        <v>943</v>
      </c>
      <c r="C2907" s="19" t="s">
        <v>8448</v>
      </c>
      <c r="D2907" s="19" t="s">
        <v>148</v>
      </c>
      <c r="E2907" s="19" t="s">
        <v>147</v>
      </c>
      <c r="F2907" s="19" t="s">
        <v>178</v>
      </c>
      <c r="G2907" s="19" t="n">
        <v>29</v>
      </c>
      <c r="H2907" s="19" t="s">
        <v>179</v>
      </c>
      <c r="I2907" s="20" t="n">
        <v>25.877</v>
      </c>
      <c r="J2907" s="19" t="n">
        <f aca="false">IF(I2907="","",MIN(Overview!$B$8,MAX(1,CEILING(I2907/Overview!$B$7,1))))</f>
        <v>6</v>
      </c>
      <c r="K2907" s="19" t="n">
        <v>1</v>
      </c>
      <c r="L2907" s="19"/>
      <c r="M2907" s="20" t="n">
        <v>4</v>
      </c>
      <c r="N2907" s="19"/>
      <c r="O2907" s="19"/>
      <c r="P2907" s="19" t="s">
        <v>1067</v>
      </c>
      <c r="Q2907" s="19" t="s">
        <v>965</v>
      </c>
      <c r="R2907" s="21" t="n">
        <v>44185</v>
      </c>
      <c r="S2907" s="19" t="s">
        <v>1022</v>
      </c>
      <c r="T2907" s="19" t="s">
        <v>8527</v>
      </c>
      <c r="U2907" s="19" t="str">
        <f aca="false">HYPERLINK("https://macaulaylibrary.org/asset/289833981","Open")</f>
        <v>Open</v>
      </c>
      <c r="V2907" s="19"/>
    </row>
    <row r="2908" customFormat="false" ht="15" hidden="false" customHeight="false" outlineLevel="0" collapsed="false">
      <c r="A2908" s="19" t="s">
        <v>8528</v>
      </c>
      <c r="B2908" s="19" t="s">
        <v>943</v>
      </c>
      <c r="C2908" s="19" t="s">
        <v>8448</v>
      </c>
      <c r="D2908" s="19" t="s">
        <v>148</v>
      </c>
      <c r="E2908" s="19" t="s">
        <v>147</v>
      </c>
      <c r="F2908" s="19" t="s">
        <v>178</v>
      </c>
      <c r="G2908" s="19" t="n">
        <v>29</v>
      </c>
      <c r="H2908" s="19" t="s">
        <v>179</v>
      </c>
      <c r="I2908" s="20" t="n">
        <v>619.827</v>
      </c>
      <c r="J2908" s="19" t="n">
        <f aca="false">IF(I2908="","",MIN(Overview!$B$8,MAX(1,CEILING(I2908/Overview!$B$7,1))))</f>
        <v>120</v>
      </c>
      <c r="K2908" s="19" t="n">
        <v>1</v>
      </c>
      <c r="L2908" s="19"/>
      <c r="M2908" s="20" t="n">
        <v>4</v>
      </c>
      <c r="N2908" s="19"/>
      <c r="O2908" s="19"/>
      <c r="P2908" s="19" t="s">
        <v>2523</v>
      </c>
      <c r="Q2908" s="19" t="s">
        <v>1592</v>
      </c>
      <c r="R2908" s="21" t="n">
        <v>30405</v>
      </c>
      <c r="S2908" s="19" t="s">
        <v>1279</v>
      </c>
      <c r="T2908" s="19" t="s">
        <v>8529</v>
      </c>
      <c r="U2908" s="19" t="str">
        <f aca="false">HYPERLINK("https://macaulaylibrary.org/asset/39229","Open")</f>
        <v>Open</v>
      </c>
      <c r="V2908" s="19"/>
    </row>
    <row r="2909" customFormat="false" ht="15" hidden="false" customHeight="false" outlineLevel="0" collapsed="false">
      <c r="A2909" s="19" t="s">
        <v>8530</v>
      </c>
      <c r="B2909" s="19" t="s">
        <v>943</v>
      </c>
      <c r="C2909" s="19" t="s">
        <v>8448</v>
      </c>
      <c r="D2909" s="19" t="s">
        <v>148</v>
      </c>
      <c r="E2909" s="19" t="s">
        <v>147</v>
      </c>
      <c r="F2909" s="19" t="s">
        <v>178</v>
      </c>
      <c r="G2909" s="19" t="n">
        <v>29</v>
      </c>
      <c r="H2909" s="19" t="s">
        <v>179</v>
      </c>
      <c r="I2909" s="20" t="n">
        <v>3.002</v>
      </c>
      <c r="J2909" s="19" t="n">
        <f aca="false">IF(I2909="","",MIN(Overview!$B$8,MAX(1,CEILING(I2909/Overview!$B$7,1))))</f>
        <v>1</v>
      </c>
      <c r="K2909" s="19" t="n">
        <v>1</v>
      </c>
      <c r="L2909" s="19" t="s">
        <v>1048</v>
      </c>
      <c r="M2909" s="20" t="n">
        <v>1</v>
      </c>
      <c r="N2909" s="19"/>
      <c r="O2909" s="19"/>
      <c r="P2909" s="19" t="s">
        <v>1049</v>
      </c>
      <c r="Q2909" s="19" t="s">
        <v>1050</v>
      </c>
      <c r="R2909" s="21" t="n">
        <v>43406</v>
      </c>
      <c r="S2909" s="19" t="s">
        <v>1051</v>
      </c>
      <c r="T2909" s="19" t="s">
        <v>8531</v>
      </c>
      <c r="U2909" s="19" t="str">
        <f aca="false">HYPERLINK("https://macaulaylibrary.org/asset/662831505","Open")</f>
        <v>Open</v>
      </c>
      <c r="V2909" s="19"/>
    </row>
    <row r="2910" customFormat="false" ht="15" hidden="false" customHeight="false" outlineLevel="0" collapsed="false">
      <c r="A2910" s="19" t="s">
        <v>8532</v>
      </c>
      <c r="B2910" s="19" t="s">
        <v>943</v>
      </c>
      <c r="C2910" s="19" t="s">
        <v>8448</v>
      </c>
      <c r="D2910" s="19" t="s">
        <v>148</v>
      </c>
      <c r="E2910" s="19" t="s">
        <v>147</v>
      </c>
      <c r="F2910" s="19" t="s">
        <v>401</v>
      </c>
      <c r="G2910" s="19" t="n">
        <v>33</v>
      </c>
      <c r="H2910" s="19" t="s">
        <v>402</v>
      </c>
      <c r="I2910" s="20" t="n">
        <v>64.327</v>
      </c>
      <c r="J2910" s="19" t="n">
        <f aca="false">IF(I2910="","",MIN(Overview!$B$8,MAX(1,CEILING(I2910/Overview!$B$7,1))))</f>
        <v>13</v>
      </c>
      <c r="K2910" s="19" t="n">
        <v>1</v>
      </c>
      <c r="L2910" s="19"/>
      <c r="M2910" s="20" t="n">
        <v>3</v>
      </c>
      <c r="N2910" s="19"/>
      <c r="O2910" s="19"/>
      <c r="P2910" s="19" t="s">
        <v>8533</v>
      </c>
      <c r="Q2910" s="19" t="s">
        <v>1063</v>
      </c>
      <c r="R2910" s="21" t="n">
        <v>44085</v>
      </c>
      <c r="S2910" s="19" t="s">
        <v>8534</v>
      </c>
      <c r="T2910" s="19" t="s">
        <v>8535</v>
      </c>
      <c r="U2910" s="19" t="str">
        <f aca="false">HYPERLINK("https://macaulaylibrary.org/asset/266205861","Open")</f>
        <v>Open</v>
      </c>
      <c r="V2910" s="19"/>
    </row>
    <row r="2911" customFormat="false" ht="15" hidden="false" customHeight="false" outlineLevel="0" collapsed="false">
      <c r="A2911" s="19" t="s">
        <v>8536</v>
      </c>
      <c r="B2911" s="19" t="s">
        <v>943</v>
      </c>
      <c r="C2911" s="19" t="s">
        <v>8448</v>
      </c>
      <c r="D2911" s="19" t="s">
        <v>148</v>
      </c>
      <c r="E2911" s="19" t="s">
        <v>147</v>
      </c>
      <c r="F2911" s="19" t="s">
        <v>401</v>
      </c>
      <c r="G2911" s="19" t="n">
        <v>33</v>
      </c>
      <c r="H2911" s="19" t="s">
        <v>402</v>
      </c>
      <c r="I2911" s="20" t="n">
        <v>12.508</v>
      </c>
      <c r="J2911" s="19" t="n">
        <f aca="false">IF(I2911="","",MIN(Overview!$B$8,MAX(1,CEILING(I2911/Overview!$B$7,1))))</f>
        <v>3</v>
      </c>
      <c r="K2911" s="19" t="n">
        <v>1</v>
      </c>
      <c r="L2911" s="19"/>
      <c r="M2911" s="20" t="n">
        <v>5</v>
      </c>
      <c r="N2911" s="19"/>
      <c r="O2911" s="19"/>
      <c r="P2911" s="19" t="s">
        <v>1418</v>
      </c>
      <c r="Q2911" s="19" t="s">
        <v>1204</v>
      </c>
      <c r="R2911" s="21" t="n">
        <v>44609</v>
      </c>
      <c r="S2911" s="19" t="s">
        <v>1419</v>
      </c>
      <c r="T2911" s="19" t="s">
        <v>8537</v>
      </c>
      <c r="U2911" s="19" t="str">
        <f aca="false">HYPERLINK("https://macaulaylibrary.org/asset/531101631","Open")</f>
        <v>Open</v>
      </c>
      <c r="V2911" s="19"/>
    </row>
    <row r="2912" customFormat="false" ht="15" hidden="false" customHeight="false" outlineLevel="0" collapsed="false">
      <c r="A2912" s="19" t="s">
        <v>8538</v>
      </c>
      <c r="B2912" s="19" t="s">
        <v>943</v>
      </c>
      <c r="C2912" s="19" t="s">
        <v>8448</v>
      </c>
      <c r="D2912" s="19" t="s">
        <v>148</v>
      </c>
      <c r="E2912" s="19" t="s">
        <v>147</v>
      </c>
      <c r="F2912" s="19" t="s">
        <v>274</v>
      </c>
      <c r="G2912" s="19" t="n">
        <v>37</v>
      </c>
      <c r="H2912" s="19" t="s">
        <v>275</v>
      </c>
      <c r="I2912" s="20" t="n">
        <v>40.328</v>
      </c>
      <c r="J2912" s="19" t="n">
        <f aca="false">IF(I2912="","",MIN(Overview!$B$8,MAX(1,CEILING(I2912/Overview!$B$7,1))))</f>
        <v>9</v>
      </c>
      <c r="K2912" s="19" t="n">
        <v>1</v>
      </c>
      <c r="L2912" s="19"/>
      <c r="M2912" s="20" t="n">
        <v>3</v>
      </c>
      <c r="N2912" s="19"/>
      <c r="O2912" s="19"/>
      <c r="P2912" s="19" t="s">
        <v>1390</v>
      </c>
      <c r="Q2912" s="19" t="s">
        <v>1021</v>
      </c>
      <c r="R2912" s="21" t="n">
        <v>36596</v>
      </c>
      <c r="S2912" s="19" t="s">
        <v>1137</v>
      </c>
      <c r="T2912" s="19" t="s">
        <v>8539</v>
      </c>
      <c r="U2912" s="19" t="str">
        <f aca="false">HYPERLINK("https://macaulaylibrary.org/asset/145176741","Open")</f>
        <v>Open</v>
      </c>
      <c r="V2912" s="19"/>
    </row>
    <row r="2913" customFormat="false" ht="15" hidden="false" customHeight="false" outlineLevel="0" collapsed="false">
      <c r="A2913" s="19" t="s">
        <v>8540</v>
      </c>
      <c r="B2913" s="19" t="s">
        <v>943</v>
      </c>
      <c r="C2913" s="19" t="s">
        <v>8448</v>
      </c>
      <c r="D2913" s="19" t="s">
        <v>148</v>
      </c>
      <c r="E2913" s="19" t="s">
        <v>147</v>
      </c>
      <c r="F2913" s="19" t="s">
        <v>274</v>
      </c>
      <c r="G2913" s="19" t="n">
        <v>37</v>
      </c>
      <c r="H2913" s="19" t="s">
        <v>275</v>
      </c>
      <c r="I2913" s="20" t="n">
        <v>76.921</v>
      </c>
      <c r="J2913" s="19" t="n">
        <f aca="false">IF(I2913="","",MIN(Overview!$B$8,MAX(1,CEILING(I2913/Overview!$B$7,1))))</f>
        <v>16</v>
      </c>
      <c r="K2913" s="19" t="n">
        <v>1</v>
      </c>
      <c r="L2913" s="19"/>
      <c r="M2913" s="20" t="n">
        <v>4</v>
      </c>
      <c r="N2913" s="19"/>
      <c r="O2913" s="19"/>
      <c r="P2913" s="19" t="s">
        <v>1390</v>
      </c>
      <c r="Q2913" s="19" t="s">
        <v>1021</v>
      </c>
      <c r="R2913" s="21" t="n">
        <v>36596</v>
      </c>
      <c r="S2913" s="19" t="s">
        <v>1137</v>
      </c>
      <c r="T2913" s="19" t="s">
        <v>8541</v>
      </c>
      <c r="U2913" s="19" t="str">
        <f aca="false">HYPERLINK("https://macaulaylibrary.org/asset/145178021","Open")</f>
        <v>Open</v>
      </c>
      <c r="V2913" s="19"/>
    </row>
    <row r="2914" customFormat="false" ht="15" hidden="false" customHeight="false" outlineLevel="0" collapsed="false">
      <c r="A2914" s="19" t="s">
        <v>8542</v>
      </c>
      <c r="B2914" s="19" t="s">
        <v>943</v>
      </c>
      <c r="C2914" s="19" t="s">
        <v>8448</v>
      </c>
      <c r="D2914" s="19" t="s">
        <v>148</v>
      </c>
      <c r="E2914" s="19" t="s">
        <v>147</v>
      </c>
      <c r="F2914" s="19" t="s">
        <v>274</v>
      </c>
      <c r="G2914" s="19" t="n">
        <v>37</v>
      </c>
      <c r="H2914" s="19" t="s">
        <v>275</v>
      </c>
      <c r="I2914" s="20" t="n">
        <v>6.426</v>
      </c>
      <c r="J2914" s="19" t="n">
        <f aca="false">IF(I2914="","",MIN(Overview!$B$8,MAX(1,CEILING(I2914/Overview!$B$7,1))))</f>
        <v>2</v>
      </c>
      <c r="K2914" s="19" t="n">
        <v>1</v>
      </c>
      <c r="L2914" s="19"/>
      <c r="M2914" s="20" t="n">
        <v>2.5</v>
      </c>
      <c r="N2914" s="19"/>
      <c r="O2914" s="19"/>
      <c r="P2914" s="19" t="s">
        <v>5297</v>
      </c>
      <c r="Q2914" s="19" t="s">
        <v>1050</v>
      </c>
      <c r="R2914" s="21" t="n">
        <v>43406</v>
      </c>
      <c r="S2914" s="19" t="s">
        <v>3042</v>
      </c>
      <c r="T2914" s="19" t="s">
        <v>8543</v>
      </c>
      <c r="U2914" s="19" t="str">
        <f aca="false">HYPERLINK("https://macaulaylibrary.org/asset/293055891","Open")</f>
        <v>Open</v>
      </c>
      <c r="V2914" s="19"/>
    </row>
    <row r="2915" customFormat="false" ht="15" hidden="false" customHeight="false" outlineLevel="0" collapsed="false">
      <c r="A2915" s="19" t="s">
        <v>8544</v>
      </c>
      <c r="B2915" s="19" t="s">
        <v>943</v>
      </c>
      <c r="C2915" s="19" t="s">
        <v>8448</v>
      </c>
      <c r="D2915" s="19" t="s">
        <v>148</v>
      </c>
      <c r="E2915" s="19" t="s">
        <v>147</v>
      </c>
      <c r="F2915" s="19" t="s">
        <v>181</v>
      </c>
      <c r="G2915" s="19" t="n">
        <v>38</v>
      </c>
      <c r="H2915" s="19" t="s">
        <v>182</v>
      </c>
      <c r="I2915" s="20" t="n">
        <v>122.513</v>
      </c>
      <c r="J2915" s="19" t="n">
        <f aca="false">IF(I2915="","",MIN(Overview!$B$8,MAX(1,CEILING(I2915/Overview!$B$7,1))))</f>
        <v>25</v>
      </c>
      <c r="K2915" s="19" t="n">
        <v>1</v>
      </c>
      <c r="L2915" s="19"/>
      <c r="M2915" s="20" t="n">
        <v>3</v>
      </c>
      <c r="N2915" s="19"/>
      <c r="O2915" s="19"/>
      <c r="P2915" s="19" t="s">
        <v>2165</v>
      </c>
      <c r="Q2915" s="19" t="s">
        <v>1021</v>
      </c>
      <c r="R2915" s="21" t="n">
        <v>36598</v>
      </c>
      <c r="S2915" s="19" t="s">
        <v>1106</v>
      </c>
      <c r="T2915" s="19" t="s">
        <v>8545</v>
      </c>
      <c r="U2915" s="19" t="str">
        <f aca="false">HYPERLINK("https://macaulaylibrary.org/asset/147721991","Open")</f>
        <v>Open</v>
      </c>
      <c r="V2915" s="19"/>
    </row>
    <row r="2916" customFormat="false" ht="15" hidden="false" customHeight="false" outlineLevel="0" collapsed="false">
      <c r="A2916" s="19" t="s">
        <v>8546</v>
      </c>
      <c r="B2916" s="19" t="s">
        <v>943</v>
      </c>
      <c r="C2916" s="19" t="s">
        <v>8448</v>
      </c>
      <c r="D2916" s="19" t="s">
        <v>148</v>
      </c>
      <c r="E2916" s="19" t="s">
        <v>147</v>
      </c>
      <c r="F2916" s="19" t="s">
        <v>181</v>
      </c>
      <c r="G2916" s="19" t="n">
        <v>38</v>
      </c>
      <c r="H2916" s="19" t="s">
        <v>182</v>
      </c>
      <c r="I2916" s="20" t="n">
        <v>20.117</v>
      </c>
      <c r="J2916" s="19" t="n">
        <f aca="false">IF(I2916="","",MIN(Overview!$B$8,MAX(1,CEILING(I2916/Overview!$B$7,1))))</f>
        <v>5</v>
      </c>
      <c r="K2916" s="19" t="n">
        <v>1</v>
      </c>
      <c r="L2916" s="19"/>
      <c r="M2916" s="20"/>
      <c r="N2916" s="19"/>
      <c r="O2916" s="19"/>
      <c r="P2916" s="19" t="s">
        <v>8547</v>
      </c>
      <c r="Q2916" s="19" t="s">
        <v>1847</v>
      </c>
      <c r="R2916" s="21" t="n">
        <v>44258</v>
      </c>
      <c r="S2916" s="19" t="s">
        <v>1315</v>
      </c>
      <c r="T2916" s="19" t="s">
        <v>8548</v>
      </c>
      <c r="U2916" s="19" t="str">
        <f aca="false">HYPERLINK("https://macaulaylibrary.org/asset/357681141","Open")</f>
        <v>Open</v>
      </c>
      <c r="V2916" s="19"/>
    </row>
    <row r="2917" customFormat="false" ht="15" hidden="false" customHeight="false" outlineLevel="0" collapsed="false">
      <c r="A2917" s="19" t="s">
        <v>8549</v>
      </c>
      <c r="B2917" s="19" t="s">
        <v>943</v>
      </c>
      <c r="C2917" s="19" t="s">
        <v>8448</v>
      </c>
      <c r="D2917" s="19" t="s">
        <v>148</v>
      </c>
      <c r="E2917" s="19" t="s">
        <v>147</v>
      </c>
      <c r="F2917" s="19" t="s">
        <v>181</v>
      </c>
      <c r="G2917" s="19" t="n">
        <v>38</v>
      </c>
      <c r="H2917" s="19" t="s">
        <v>182</v>
      </c>
      <c r="I2917" s="20" t="n">
        <v>16.74</v>
      </c>
      <c r="J2917" s="19" t="n">
        <f aca="false">IF(I2917="","",MIN(Overview!$B$8,MAX(1,CEILING(I2917/Overview!$B$7,1))))</f>
        <v>4</v>
      </c>
      <c r="K2917" s="19" t="n">
        <v>1</v>
      </c>
      <c r="L2917" s="19"/>
      <c r="M2917" s="20" t="n">
        <v>4</v>
      </c>
      <c r="N2917" s="19"/>
      <c r="O2917" s="19"/>
      <c r="P2917" s="19" t="s">
        <v>2760</v>
      </c>
      <c r="Q2917" s="19" t="s">
        <v>2761</v>
      </c>
      <c r="R2917" s="21" t="n">
        <v>42753</v>
      </c>
      <c r="S2917" s="19" t="s">
        <v>1002</v>
      </c>
      <c r="T2917" s="19" t="s">
        <v>8550</v>
      </c>
      <c r="U2917" s="19" t="str">
        <f aca="false">HYPERLINK("https://macaulaylibrary.org/asset/46104441","Open")</f>
        <v>Open</v>
      </c>
      <c r="V2917" s="19"/>
    </row>
    <row r="2918" customFormat="false" ht="15" hidden="false" customHeight="false" outlineLevel="0" collapsed="false">
      <c r="A2918" s="19" t="s">
        <v>8551</v>
      </c>
      <c r="B2918" s="19" t="s">
        <v>943</v>
      </c>
      <c r="C2918" s="19" t="s">
        <v>8448</v>
      </c>
      <c r="D2918" s="19" t="s">
        <v>148</v>
      </c>
      <c r="E2918" s="19" t="s">
        <v>147</v>
      </c>
      <c r="F2918" s="19" t="s">
        <v>181</v>
      </c>
      <c r="G2918" s="19" t="n">
        <v>38</v>
      </c>
      <c r="H2918" s="19" t="s">
        <v>182</v>
      </c>
      <c r="I2918" s="20" t="n">
        <v>8.109</v>
      </c>
      <c r="J2918" s="19" t="n">
        <f aca="false">IF(I2918="","",MIN(Overview!$B$8,MAX(1,CEILING(I2918/Overview!$B$7,1))))</f>
        <v>2</v>
      </c>
      <c r="K2918" s="19" t="n">
        <v>1</v>
      </c>
      <c r="L2918" s="19"/>
      <c r="M2918" s="20"/>
      <c r="N2918" s="19"/>
      <c r="O2918" s="19"/>
      <c r="P2918" s="19" t="s">
        <v>1482</v>
      </c>
      <c r="Q2918" s="19" t="s">
        <v>1483</v>
      </c>
      <c r="R2918" s="21" t="n">
        <v>45293</v>
      </c>
      <c r="S2918" s="19" t="s">
        <v>1484</v>
      </c>
      <c r="T2918" s="19" t="s">
        <v>8552</v>
      </c>
      <c r="U2918" s="19" t="str">
        <f aca="false">HYPERLINK("https://macaulaylibrary.org/asset/639219091","Open")</f>
        <v>Open</v>
      </c>
      <c r="V2918" s="19"/>
    </row>
    <row r="2919" customFormat="false" ht="15" hidden="false" customHeight="false" outlineLevel="0" collapsed="false">
      <c r="A2919" s="19" t="s">
        <v>8553</v>
      </c>
      <c r="B2919" s="19" t="s">
        <v>943</v>
      </c>
      <c r="C2919" s="19" t="s">
        <v>8448</v>
      </c>
      <c r="D2919" s="19" t="s">
        <v>148</v>
      </c>
      <c r="E2919" s="19" t="s">
        <v>147</v>
      </c>
      <c r="F2919" s="19" t="s">
        <v>181</v>
      </c>
      <c r="G2919" s="19" t="n">
        <v>38</v>
      </c>
      <c r="H2919" s="19" t="s">
        <v>182</v>
      </c>
      <c r="I2919" s="20" t="n">
        <v>18.143</v>
      </c>
      <c r="J2919" s="19" t="n">
        <f aca="false">IF(I2919="","",MIN(Overview!$B$8,MAX(1,CEILING(I2919/Overview!$B$7,1))))</f>
        <v>4</v>
      </c>
      <c r="K2919" s="19" t="n">
        <v>1</v>
      </c>
      <c r="L2919" s="19"/>
      <c r="M2919" s="20"/>
      <c r="N2919" s="19"/>
      <c r="O2919" s="19"/>
      <c r="P2919" s="19" t="s">
        <v>1482</v>
      </c>
      <c r="Q2919" s="19" t="s">
        <v>1483</v>
      </c>
      <c r="R2919" s="21" t="n">
        <v>45293</v>
      </c>
      <c r="S2919" s="19" t="s">
        <v>1484</v>
      </c>
      <c r="T2919" s="19" t="s">
        <v>8554</v>
      </c>
      <c r="U2919" s="19" t="str">
        <f aca="false">HYPERLINK("https://macaulaylibrary.org/asset/639219092","Open")</f>
        <v>Open</v>
      </c>
      <c r="V2919" s="19"/>
    </row>
    <row r="2920" customFormat="false" ht="15" hidden="false" customHeight="false" outlineLevel="0" collapsed="false">
      <c r="A2920" s="19" t="s">
        <v>8555</v>
      </c>
      <c r="B2920" s="19" t="s">
        <v>943</v>
      </c>
      <c r="C2920" s="19" t="s">
        <v>8448</v>
      </c>
      <c r="D2920" s="19" t="s">
        <v>148</v>
      </c>
      <c r="E2920" s="19" t="s">
        <v>147</v>
      </c>
      <c r="F2920" s="19" t="s">
        <v>181</v>
      </c>
      <c r="G2920" s="19" t="n">
        <v>38</v>
      </c>
      <c r="H2920" s="19" t="s">
        <v>182</v>
      </c>
      <c r="I2920" s="20" t="n">
        <v>38.519</v>
      </c>
      <c r="J2920" s="19" t="n">
        <f aca="false">IF(I2920="","",MIN(Overview!$B$8,MAX(1,CEILING(I2920/Overview!$B$7,1))))</f>
        <v>8</v>
      </c>
      <c r="K2920" s="19" t="n">
        <v>1</v>
      </c>
      <c r="L2920" s="19"/>
      <c r="M2920" s="20" t="n">
        <v>2</v>
      </c>
      <c r="N2920" s="19"/>
      <c r="O2920" s="19"/>
      <c r="P2920" s="19" t="s">
        <v>1506</v>
      </c>
      <c r="Q2920" s="19" t="s">
        <v>1502</v>
      </c>
      <c r="R2920" s="21" t="n">
        <v>45940</v>
      </c>
      <c r="S2920" s="19" t="s">
        <v>1507</v>
      </c>
      <c r="T2920" s="19" t="s">
        <v>8556</v>
      </c>
      <c r="U2920" s="19" t="str">
        <f aca="false">HYPERLINK("https://macaulaylibrary.org/asset/648782523","Open")</f>
        <v>Open</v>
      </c>
      <c r="V2920" s="19"/>
    </row>
    <row r="2921" customFormat="false" ht="15" hidden="false" customHeight="false" outlineLevel="0" collapsed="false">
      <c r="A2921" s="19" t="s">
        <v>8557</v>
      </c>
      <c r="B2921" s="19" t="s">
        <v>943</v>
      </c>
      <c r="C2921" s="19" t="s">
        <v>8448</v>
      </c>
      <c r="D2921" s="19" t="s">
        <v>148</v>
      </c>
      <c r="E2921" s="19" t="s">
        <v>147</v>
      </c>
      <c r="F2921" s="19" t="s">
        <v>181</v>
      </c>
      <c r="G2921" s="19" t="n">
        <v>38</v>
      </c>
      <c r="H2921" s="19" t="s">
        <v>182</v>
      </c>
      <c r="I2921" s="20" t="n">
        <v>20.329</v>
      </c>
      <c r="J2921" s="19" t="n">
        <f aca="false">IF(I2921="","",MIN(Overview!$B$8,MAX(1,CEILING(I2921/Overview!$B$7,1))))</f>
        <v>5</v>
      </c>
      <c r="K2921" s="19" t="n">
        <v>1</v>
      </c>
      <c r="L2921" s="19"/>
      <c r="M2921" s="20"/>
      <c r="N2921" s="19"/>
      <c r="O2921" s="19"/>
      <c r="P2921" s="19" t="s">
        <v>4821</v>
      </c>
      <c r="Q2921" s="19" t="s">
        <v>1517</v>
      </c>
      <c r="R2921" s="21" t="n">
        <v>46106</v>
      </c>
      <c r="S2921" s="19" t="s">
        <v>4822</v>
      </c>
      <c r="T2921" s="19" t="s">
        <v>8558</v>
      </c>
      <c r="U2921" s="19" t="str">
        <f aca="false">HYPERLINK("https://macaulaylibrary.org/asset/654361317","Open")</f>
        <v>Open</v>
      </c>
      <c r="V2921" s="19"/>
    </row>
    <row r="2922" customFormat="false" ht="15" hidden="false" customHeight="false" outlineLevel="0" collapsed="false">
      <c r="A2922" s="19" t="s">
        <v>8559</v>
      </c>
      <c r="B2922" s="19" t="s">
        <v>943</v>
      </c>
      <c r="C2922" s="19" t="s">
        <v>8448</v>
      </c>
      <c r="D2922" s="19" t="s">
        <v>148</v>
      </c>
      <c r="E2922" s="19" t="s">
        <v>147</v>
      </c>
      <c r="F2922" s="19" t="s">
        <v>184</v>
      </c>
      <c r="G2922" s="19" t="n">
        <v>39</v>
      </c>
      <c r="H2922" s="19" t="s">
        <v>185</v>
      </c>
      <c r="I2922" s="20" t="n">
        <v>9.408</v>
      </c>
      <c r="J2922" s="19" t="n">
        <f aca="false">IF(I2922="","",MIN(Overview!$B$8,MAX(1,CEILING(I2922/Overview!$B$7,1))))</f>
        <v>2</v>
      </c>
      <c r="K2922" s="19" t="n">
        <v>1</v>
      </c>
      <c r="L2922" s="19"/>
      <c r="M2922" s="20" t="n">
        <v>2</v>
      </c>
      <c r="N2922" s="19"/>
      <c r="O2922" s="19"/>
      <c r="P2922" s="19" t="s">
        <v>7488</v>
      </c>
      <c r="Q2922" s="19" t="s">
        <v>965</v>
      </c>
      <c r="R2922" s="21" t="n">
        <v>43448</v>
      </c>
      <c r="S2922" s="19" t="s">
        <v>7489</v>
      </c>
      <c r="T2922" s="19" t="s">
        <v>8560</v>
      </c>
      <c r="U2922" s="19" t="str">
        <f aca="false">HYPERLINK("https://macaulaylibrary.org/asset/128866101","Open")</f>
        <v>Open</v>
      </c>
      <c r="V2922" s="19"/>
    </row>
    <row r="2923" customFormat="false" ht="15" hidden="false" customHeight="false" outlineLevel="0" collapsed="false">
      <c r="A2923" s="19" t="s">
        <v>8561</v>
      </c>
      <c r="B2923" s="19" t="s">
        <v>943</v>
      </c>
      <c r="C2923" s="19" t="s">
        <v>8448</v>
      </c>
      <c r="D2923" s="19" t="s">
        <v>148</v>
      </c>
      <c r="E2923" s="19" t="s">
        <v>147</v>
      </c>
      <c r="F2923" s="19" t="s">
        <v>184</v>
      </c>
      <c r="G2923" s="19" t="n">
        <v>39</v>
      </c>
      <c r="H2923" s="19" t="s">
        <v>185</v>
      </c>
      <c r="I2923" s="20" t="n">
        <v>93.797</v>
      </c>
      <c r="J2923" s="19" t="n">
        <f aca="false">IF(I2923="","",MIN(Overview!$B$8,MAX(1,CEILING(I2923/Overview!$B$7,1))))</f>
        <v>19</v>
      </c>
      <c r="K2923" s="19" t="n">
        <v>1</v>
      </c>
      <c r="L2923" s="19"/>
      <c r="M2923" s="20" t="n">
        <v>4</v>
      </c>
      <c r="N2923" s="19"/>
      <c r="O2923" s="19"/>
      <c r="P2923" s="19" t="s">
        <v>1669</v>
      </c>
      <c r="Q2923" s="19" t="s">
        <v>1021</v>
      </c>
      <c r="R2923" s="21" t="n">
        <v>36600</v>
      </c>
      <c r="S2923" s="19" t="s">
        <v>1036</v>
      </c>
      <c r="T2923" s="19" t="s">
        <v>8562</v>
      </c>
      <c r="U2923" s="19" t="str">
        <f aca="false">HYPERLINK("https://macaulaylibrary.org/asset/151848821","Open")</f>
        <v>Open</v>
      </c>
      <c r="V2923" s="19"/>
    </row>
    <row r="2924" customFormat="false" ht="15" hidden="false" customHeight="false" outlineLevel="0" collapsed="false">
      <c r="A2924" s="19" t="s">
        <v>8563</v>
      </c>
      <c r="B2924" s="19" t="s">
        <v>943</v>
      </c>
      <c r="C2924" s="19" t="s">
        <v>8448</v>
      </c>
      <c r="D2924" s="19" t="s">
        <v>148</v>
      </c>
      <c r="E2924" s="19" t="s">
        <v>147</v>
      </c>
      <c r="F2924" s="19" t="s">
        <v>184</v>
      </c>
      <c r="G2924" s="19" t="n">
        <v>39</v>
      </c>
      <c r="H2924" s="19" t="s">
        <v>185</v>
      </c>
      <c r="I2924" s="20" t="n">
        <v>36.084</v>
      </c>
      <c r="J2924" s="19" t="n">
        <f aca="false">IF(I2924="","",MIN(Overview!$B$8,MAX(1,CEILING(I2924/Overview!$B$7,1))))</f>
        <v>8</v>
      </c>
      <c r="K2924" s="19" t="n">
        <v>1</v>
      </c>
      <c r="L2924" s="19"/>
      <c r="M2924" s="20"/>
      <c r="N2924" s="19"/>
      <c r="O2924" s="19"/>
      <c r="P2924" s="19" t="s">
        <v>1140</v>
      </c>
      <c r="Q2924" s="19" t="s">
        <v>1030</v>
      </c>
      <c r="R2924" s="21" t="n">
        <v>40250</v>
      </c>
      <c r="S2924" s="19" t="s">
        <v>1530</v>
      </c>
      <c r="T2924" s="19" t="s">
        <v>8564</v>
      </c>
      <c r="U2924" s="19" t="str">
        <f aca="false">HYPERLINK("https://macaulaylibrary.org/asset/299564","Open")</f>
        <v>Open</v>
      </c>
      <c r="V2924" s="19"/>
    </row>
    <row r="2925" customFormat="false" ht="15" hidden="false" customHeight="false" outlineLevel="0" collapsed="false">
      <c r="A2925" s="19" t="s">
        <v>8565</v>
      </c>
      <c r="B2925" s="19" t="s">
        <v>943</v>
      </c>
      <c r="C2925" s="19" t="s">
        <v>8448</v>
      </c>
      <c r="D2925" s="19" t="s">
        <v>148</v>
      </c>
      <c r="E2925" s="19" t="s">
        <v>147</v>
      </c>
      <c r="F2925" s="19" t="s">
        <v>184</v>
      </c>
      <c r="G2925" s="19" t="n">
        <v>39</v>
      </c>
      <c r="H2925" s="19" t="s">
        <v>185</v>
      </c>
      <c r="I2925" s="20" t="n">
        <v>23.869</v>
      </c>
      <c r="J2925" s="19" t="n">
        <f aca="false">IF(I2925="","",MIN(Overview!$B$8,MAX(1,CEILING(I2925/Overview!$B$7,1))))</f>
        <v>5</v>
      </c>
      <c r="K2925" s="19" t="n">
        <v>1</v>
      </c>
      <c r="L2925" s="19"/>
      <c r="M2925" s="20"/>
      <c r="N2925" s="19"/>
      <c r="O2925" s="19"/>
      <c r="P2925" s="19" t="s">
        <v>1140</v>
      </c>
      <c r="Q2925" s="19" t="s">
        <v>1030</v>
      </c>
      <c r="R2925" s="21" t="n">
        <v>40250</v>
      </c>
      <c r="S2925" s="19" t="s">
        <v>1658</v>
      </c>
      <c r="T2925" s="19" t="s">
        <v>8566</v>
      </c>
      <c r="U2925" s="19" t="str">
        <f aca="false">HYPERLINK("https://macaulaylibrary.org/asset/299569","Open")</f>
        <v>Open</v>
      </c>
      <c r="V2925" s="19"/>
    </row>
    <row r="2926" customFormat="false" ht="15" hidden="false" customHeight="false" outlineLevel="0" collapsed="false">
      <c r="A2926" s="19" t="s">
        <v>8567</v>
      </c>
      <c r="B2926" s="19" t="s">
        <v>943</v>
      </c>
      <c r="C2926" s="19" t="s">
        <v>8448</v>
      </c>
      <c r="D2926" s="19" t="s">
        <v>148</v>
      </c>
      <c r="E2926" s="19" t="s">
        <v>147</v>
      </c>
      <c r="F2926" s="19" t="s">
        <v>184</v>
      </c>
      <c r="G2926" s="19" t="n">
        <v>39</v>
      </c>
      <c r="H2926" s="19" t="s">
        <v>185</v>
      </c>
      <c r="I2926" s="20" t="n">
        <v>95.43</v>
      </c>
      <c r="J2926" s="19" t="n">
        <f aca="false">IF(I2926="","",MIN(Overview!$B$8,MAX(1,CEILING(I2926/Overview!$B$7,1))))</f>
        <v>20</v>
      </c>
      <c r="K2926" s="19" t="n">
        <v>1</v>
      </c>
      <c r="L2926" s="19"/>
      <c r="M2926" s="20" t="n">
        <v>3</v>
      </c>
      <c r="N2926" s="19"/>
      <c r="O2926" s="19" t="s">
        <v>162</v>
      </c>
      <c r="P2926" s="19" t="s">
        <v>4309</v>
      </c>
      <c r="Q2926" s="19" t="s">
        <v>1408</v>
      </c>
      <c r="R2926" s="21" t="n">
        <v>31808</v>
      </c>
      <c r="S2926" s="19" t="s">
        <v>1009</v>
      </c>
      <c r="T2926" s="19" t="s">
        <v>8568</v>
      </c>
      <c r="U2926" s="19" t="str">
        <f aca="false">HYPERLINK("https://macaulaylibrary.org/asset/306062811","Open")</f>
        <v>Open</v>
      </c>
      <c r="V2926" s="19"/>
    </row>
    <row r="2927" customFormat="false" ht="15" hidden="false" customHeight="false" outlineLevel="0" collapsed="false">
      <c r="A2927" s="19" t="s">
        <v>8569</v>
      </c>
      <c r="B2927" s="19" t="s">
        <v>943</v>
      </c>
      <c r="C2927" s="19" t="s">
        <v>8448</v>
      </c>
      <c r="D2927" s="19" t="s">
        <v>148</v>
      </c>
      <c r="E2927" s="19" t="s">
        <v>147</v>
      </c>
      <c r="F2927" s="19" t="s">
        <v>184</v>
      </c>
      <c r="G2927" s="19" t="n">
        <v>39</v>
      </c>
      <c r="H2927" s="19" t="s">
        <v>185</v>
      </c>
      <c r="I2927" s="20" t="n">
        <v>30.179</v>
      </c>
      <c r="J2927" s="19" t="n">
        <f aca="false">IF(I2927="","",MIN(Overview!$B$8,MAX(1,CEILING(I2927/Overview!$B$7,1))))</f>
        <v>7</v>
      </c>
      <c r="K2927" s="19" t="n">
        <v>1</v>
      </c>
      <c r="L2927" s="19"/>
      <c r="M2927" s="20" t="n">
        <v>3</v>
      </c>
      <c r="N2927" s="19"/>
      <c r="O2927" s="19"/>
      <c r="P2927" s="19" t="s">
        <v>2871</v>
      </c>
      <c r="Q2927" s="19" t="s">
        <v>990</v>
      </c>
      <c r="R2927" s="21" t="n">
        <v>44548</v>
      </c>
      <c r="S2927" s="19" t="s">
        <v>1144</v>
      </c>
      <c r="T2927" s="19" t="s">
        <v>8570</v>
      </c>
      <c r="U2927" s="19" t="str">
        <f aca="false">HYPERLINK("https://macaulaylibrary.org/asset/400114491","Open")</f>
        <v>Open</v>
      </c>
      <c r="V2927" s="19"/>
    </row>
    <row r="2928" customFormat="false" ht="15" hidden="false" customHeight="false" outlineLevel="0" collapsed="false">
      <c r="A2928" s="19" t="s">
        <v>8571</v>
      </c>
      <c r="B2928" s="19" t="s">
        <v>943</v>
      </c>
      <c r="C2928" s="19" t="s">
        <v>8448</v>
      </c>
      <c r="D2928" s="19" t="s">
        <v>148</v>
      </c>
      <c r="E2928" s="19" t="s">
        <v>147</v>
      </c>
      <c r="F2928" s="19" t="s">
        <v>184</v>
      </c>
      <c r="G2928" s="19" t="n">
        <v>39</v>
      </c>
      <c r="H2928" s="19" t="s">
        <v>185</v>
      </c>
      <c r="I2928" s="20" t="n">
        <v>18.021</v>
      </c>
      <c r="J2928" s="19" t="n">
        <f aca="false">IF(I2928="","",MIN(Overview!$B$8,MAX(1,CEILING(I2928/Overview!$B$7,1))))</f>
        <v>4</v>
      </c>
      <c r="K2928" s="19" t="n">
        <v>1</v>
      </c>
      <c r="L2928" s="19"/>
      <c r="M2928" s="20" t="n">
        <v>3</v>
      </c>
      <c r="N2928" s="19"/>
      <c r="O2928" s="19"/>
      <c r="P2928" s="19" t="s">
        <v>8572</v>
      </c>
      <c r="Q2928" s="19" t="s">
        <v>8573</v>
      </c>
      <c r="R2928" s="21" t="n">
        <v>43212</v>
      </c>
      <c r="S2928" s="19" t="s">
        <v>8574</v>
      </c>
      <c r="T2928" s="19" t="s">
        <v>8575</v>
      </c>
      <c r="U2928" s="19" t="str">
        <f aca="false">HYPERLINK("https://macaulaylibrary.org/asset/98163321","Open")</f>
        <v>Open</v>
      </c>
      <c r="V2928" s="19"/>
    </row>
    <row r="2929" customFormat="false" ht="15" hidden="false" customHeight="false" outlineLevel="0" collapsed="false">
      <c r="A2929" s="19" t="s">
        <v>8576</v>
      </c>
      <c r="B2929" s="19" t="s">
        <v>943</v>
      </c>
      <c r="C2929" s="19" t="s">
        <v>8448</v>
      </c>
      <c r="D2929" s="19" t="s">
        <v>148</v>
      </c>
      <c r="E2929" s="19" t="s">
        <v>147</v>
      </c>
      <c r="F2929" s="19" t="s">
        <v>203</v>
      </c>
      <c r="G2929" s="19" t="n">
        <v>44</v>
      </c>
      <c r="H2929" s="19" t="s">
        <v>204</v>
      </c>
      <c r="I2929" s="20" t="n">
        <v>53.739</v>
      </c>
      <c r="J2929" s="19" t="n">
        <f aca="false">IF(I2929="","",MIN(Overview!$B$8,MAX(1,CEILING(I2929/Overview!$B$7,1))))</f>
        <v>11</v>
      </c>
      <c r="K2929" s="19" t="n">
        <v>1</v>
      </c>
      <c r="L2929" s="19"/>
      <c r="M2929" s="20" t="n">
        <v>1.5</v>
      </c>
      <c r="N2929" s="19"/>
      <c r="O2929" s="19"/>
      <c r="P2929" s="19" t="s">
        <v>2338</v>
      </c>
      <c r="Q2929" s="19" t="s">
        <v>965</v>
      </c>
      <c r="R2929" s="21" t="n">
        <v>43449</v>
      </c>
      <c r="S2929" s="19" t="s">
        <v>1137</v>
      </c>
      <c r="T2929" s="19" t="s">
        <v>8577</v>
      </c>
      <c r="U2929" s="19" t="str">
        <f aca="false">HYPERLINK("https://macaulaylibrary.org/asset/129885711","Open")</f>
        <v>Open</v>
      </c>
      <c r="V2929" s="19"/>
    </row>
    <row r="2930" customFormat="false" ht="15" hidden="false" customHeight="false" outlineLevel="0" collapsed="false">
      <c r="A2930" s="19" t="s">
        <v>8578</v>
      </c>
      <c r="B2930" s="19" t="s">
        <v>943</v>
      </c>
      <c r="C2930" s="19" t="s">
        <v>8448</v>
      </c>
      <c r="D2930" s="19" t="s">
        <v>148</v>
      </c>
      <c r="E2930" s="19" t="s">
        <v>147</v>
      </c>
      <c r="F2930" s="19" t="s">
        <v>203</v>
      </c>
      <c r="G2930" s="19" t="n">
        <v>44</v>
      </c>
      <c r="H2930" s="19" t="s">
        <v>204</v>
      </c>
      <c r="I2930" s="20" t="n">
        <v>15.406</v>
      </c>
      <c r="J2930" s="19" t="n">
        <f aca="false">IF(I2930="","",MIN(Overview!$B$8,MAX(1,CEILING(I2930/Overview!$B$7,1))))</f>
        <v>4</v>
      </c>
      <c r="K2930" s="19" t="n">
        <v>1</v>
      </c>
      <c r="L2930" s="19"/>
      <c r="M2930" s="20" t="n">
        <v>1</v>
      </c>
      <c r="N2930" s="19"/>
      <c r="O2930" s="19"/>
      <c r="P2930" s="19" t="s">
        <v>974</v>
      </c>
      <c r="Q2930" s="19" t="s">
        <v>975</v>
      </c>
      <c r="R2930" s="21" t="n">
        <v>43666</v>
      </c>
      <c r="S2930" s="19" t="s">
        <v>976</v>
      </c>
      <c r="T2930" s="19" t="s">
        <v>8579</v>
      </c>
      <c r="U2930" s="19" t="str">
        <f aca="false">HYPERLINK("https://macaulaylibrary.org/asset/179452971","Open")</f>
        <v>Open</v>
      </c>
      <c r="V2930" s="19"/>
    </row>
    <row r="2931" customFormat="false" ht="15" hidden="false" customHeight="false" outlineLevel="0" collapsed="false">
      <c r="A2931" s="19" t="s">
        <v>8580</v>
      </c>
      <c r="B2931" s="19" t="s">
        <v>943</v>
      </c>
      <c r="C2931" s="19" t="s">
        <v>8448</v>
      </c>
      <c r="D2931" s="19" t="s">
        <v>148</v>
      </c>
      <c r="E2931" s="19" t="s">
        <v>147</v>
      </c>
      <c r="F2931" s="19" t="s">
        <v>203</v>
      </c>
      <c r="G2931" s="19" t="n">
        <v>44</v>
      </c>
      <c r="H2931" s="19" t="s">
        <v>204</v>
      </c>
      <c r="I2931" s="20" t="n">
        <v>58.283</v>
      </c>
      <c r="J2931" s="19" t="n">
        <f aca="false">IF(I2931="","",MIN(Overview!$B$8,MAX(1,CEILING(I2931/Overview!$B$7,1))))</f>
        <v>12</v>
      </c>
      <c r="K2931" s="19" t="n">
        <v>1</v>
      </c>
      <c r="L2931" s="19"/>
      <c r="M2931" s="20" t="n">
        <v>3</v>
      </c>
      <c r="N2931" s="19"/>
      <c r="O2931" s="19"/>
      <c r="P2931" s="19" t="s">
        <v>1797</v>
      </c>
      <c r="Q2931" s="19" t="s">
        <v>1798</v>
      </c>
      <c r="R2931" s="21" t="n">
        <v>33584</v>
      </c>
      <c r="S2931" s="19" t="s">
        <v>4102</v>
      </c>
      <c r="T2931" s="19" t="s">
        <v>8581</v>
      </c>
      <c r="U2931" s="19" t="str">
        <f aca="false">HYPERLINK("https://macaulaylibrary.org/asset/57204","Open")</f>
        <v>Open</v>
      </c>
      <c r="V2931" s="19"/>
    </row>
    <row r="2932" customFormat="false" ht="15" hidden="false" customHeight="false" outlineLevel="0" collapsed="false">
      <c r="A2932" s="19" t="s">
        <v>8582</v>
      </c>
      <c r="B2932" s="19" t="s">
        <v>943</v>
      </c>
      <c r="C2932" s="19" t="s">
        <v>8448</v>
      </c>
      <c r="D2932" s="19" t="s">
        <v>148</v>
      </c>
      <c r="E2932" s="19" t="s">
        <v>147</v>
      </c>
      <c r="F2932" s="19" t="s">
        <v>203</v>
      </c>
      <c r="G2932" s="19" t="n">
        <v>44</v>
      </c>
      <c r="H2932" s="19" t="s">
        <v>204</v>
      </c>
      <c r="I2932" s="20" t="n">
        <v>6.71</v>
      </c>
      <c r="J2932" s="19" t="n">
        <f aca="false">IF(I2932="","",MIN(Overview!$B$8,MAX(1,CEILING(I2932/Overview!$B$7,1))))</f>
        <v>2</v>
      </c>
      <c r="K2932" s="19" t="n">
        <v>1</v>
      </c>
      <c r="L2932" s="19"/>
      <c r="M2932" s="20"/>
      <c r="N2932" s="19"/>
      <c r="O2932" s="19"/>
      <c r="P2932" s="19" t="s">
        <v>2708</v>
      </c>
      <c r="Q2932" s="19" t="s">
        <v>1258</v>
      </c>
      <c r="R2932" s="21" t="n">
        <v>45229</v>
      </c>
      <c r="S2932" s="19" t="s">
        <v>2542</v>
      </c>
      <c r="T2932" s="19" t="s">
        <v>8583</v>
      </c>
      <c r="U2932" s="19" t="str">
        <f aca="false">HYPERLINK("https://macaulaylibrary.org/asset/621759355","Open")</f>
        <v>Open</v>
      </c>
      <c r="V2932" s="19"/>
    </row>
    <row r="2933" customFormat="false" ht="15" hidden="false" customHeight="false" outlineLevel="0" collapsed="false">
      <c r="A2933" s="19" t="s">
        <v>8584</v>
      </c>
      <c r="B2933" s="19" t="s">
        <v>943</v>
      </c>
      <c r="C2933" s="19" t="s">
        <v>8448</v>
      </c>
      <c r="D2933" s="19" t="s">
        <v>148</v>
      </c>
      <c r="E2933" s="19" t="s">
        <v>147</v>
      </c>
      <c r="F2933" s="19" t="s">
        <v>203</v>
      </c>
      <c r="G2933" s="19" t="n">
        <v>44</v>
      </c>
      <c r="H2933" s="19" t="s">
        <v>204</v>
      </c>
      <c r="I2933" s="20" t="n">
        <v>8.573</v>
      </c>
      <c r="J2933" s="19" t="n">
        <f aca="false">IF(I2933="","",MIN(Overview!$B$8,MAX(1,CEILING(I2933/Overview!$B$7,1))))</f>
        <v>2</v>
      </c>
      <c r="K2933" s="19" t="n">
        <v>1</v>
      </c>
      <c r="L2933" s="19"/>
      <c r="M2933" s="20" t="n">
        <v>3</v>
      </c>
      <c r="N2933" s="19"/>
      <c r="O2933" s="19"/>
      <c r="P2933" s="19" t="s">
        <v>2708</v>
      </c>
      <c r="Q2933" s="19" t="s">
        <v>1258</v>
      </c>
      <c r="R2933" s="21" t="n">
        <v>45229</v>
      </c>
      <c r="S2933" s="19" t="s">
        <v>2542</v>
      </c>
      <c r="T2933" s="19" t="s">
        <v>8585</v>
      </c>
      <c r="U2933" s="19" t="str">
        <f aca="false">HYPERLINK("https://macaulaylibrary.org/asset/621759356","Open")</f>
        <v>Open</v>
      </c>
      <c r="V2933" s="19"/>
    </row>
    <row r="2934" customFormat="false" ht="15" hidden="false" customHeight="false" outlineLevel="0" collapsed="false">
      <c r="A2934" s="19" t="s">
        <v>8586</v>
      </c>
      <c r="B2934" s="19" t="s">
        <v>943</v>
      </c>
      <c r="C2934" s="19" t="s">
        <v>8448</v>
      </c>
      <c r="D2934" s="19" t="s">
        <v>148</v>
      </c>
      <c r="E2934" s="19" t="s">
        <v>147</v>
      </c>
      <c r="F2934" s="19" t="s">
        <v>304</v>
      </c>
      <c r="G2934" s="19" t="n">
        <v>45</v>
      </c>
      <c r="H2934" s="19" t="s">
        <v>305</v>
      </c>
      <c r="I2934" s="20" t="n">
        <v>122.117</v>
      </c>
      <c r="J2934" s="19" t="n">
        <f aca="false">IF(I2934="","",MIN(Overview!$B$8,MAX(1,CEILING(I2934/Overview!$B$7,1))))</f>
        <v>25</v>
      </c>
      <c r="K2934" s="19" t="n">
        <v>1</v>
      </c>
      <c r="L2934" s="19"/>
      <c r="M2934" s="20" t="n">
        <v>3.5</v>
      </c>
      <c r="N2934" s="19"/>
      <c r="O2934" s="19"/>
      <c r="P2934" s="19" t="s">
        <v>1356</v>
      </c>
      <c r="Q2934" s="19" t="s">
        <v>1021</v>
      </c>
      <c r="R2934" s="21" t="n">
        <v>36603</v>
      </c>
      <c r="S2934" s="19" t="s">
        <v>1357</v>
      </c>
      <c r="T2934" s="19" t="s">
        <v>8587</v>
      </c>
      <c r="U2934" s="19" t="str">
        <f aca="false">HYPERLINK("https://macaulaylibrary.org/asset/154660061","Open")</f>
        <v>Open</v>
      </c>
      <c r="V2934" s="19"/>
    </row>
    <row r="2935" customFormat="false" ht="15" hidden="false" customHeight="false" outlineLevel="0" collapsed="false">
      <c r="A2935" s="19" t="s">
        <v>8588</v>
      </c>
      <c r="B2935" s="19" t="s">
        <v>943</v>
      </c>
      <c r="C2935" s="19" t="s">
        <v>8448</v>
      </c>
      <c r="D2935" s="19" t="s">
        <v>148</v>
      </c>
      <c r="E2935" s="19" t="s">
        <v>147</v>
      </c>
      <c r="F2935" s="19" t="s">
        <v>304</v>
      </c>
      <c r="G2935" s="19" t="n">
        <v>45</v>
      </c>
      <c r="H2935" s="19" t="s">
        <v>305</v>
      </c>
      <c r="I2935" s="20" t="n">
        <v>20.501</v>
      </c>
      <c r="J2935" s="19" t="n">
        <f aca="false">IF(I2935="","",MIN(Overview!$B$8,MAX(1,CEILING(I2935/Overview!$B$7,1))))</f>
        <v>5</v>
      </c>
      <c r="K2935" s="19" t="n">
        <v>1</v>
      </c>
      <c r="L2935" s="19"/>
      <c r="M2935" s="20" t="n">
        <v>3</v>
      </c>
      <c r="N2935" s="19"/>
      <c r="O2935" s="19"/>
      <c r="P2935" s="19" t="s">
        <v>1768</v>
      </c>
      <c r="Q2935" s="19" t="s">
        <v>1063</v>
      </c>
      <c r="R2935" s="21" t="n">
        <v>44087</v>
      </c>
      <c r="S2935" s="19" t="s">
        <v>1769</v>
      </c>
      <c r="T2935" s="19" t="s">
        <v>8589</v>
      </c>
      <c r="U2935" s="19" t="str">
        <f aca="false">HYPERLINK("https://macaulaylibrary.org/asset/267814331","Open")</f>
        <v>Open</v>
      </c>
      <c r="V2935" s="19"/>
    </row>
    <row r="2936" customFormat="false" ht="15" hidden="false" customHeight="false" outlineLevel="0" collapsed="false">
      <c r="A2936" s="19" t="s">
        <v>8590</v>
      </c>
      <c r="B2936" s="19" t="s">
        <v>943</v>
      </c>
      <c r="C2936" s="19" t="s">
        <v>8448</v>
      </c>
      <c r="D2936" s="19" t="s">
        <v>148</v>
      </c>
      <c r="E2936" s="19" t="s">
        <v>147</v>
      </c>
      <c r="F2936" s="19" t="s">
        <v>304</v>
      </c>
      <c r="G2936" s="19" t="n">
        <v>45</v>
      </c>
      <c r="H2936" s="19" t="s">
        <v>305</v>
      </c>
      <c r="I2936" s="20" t="n">
        <v>16.541</v>
      </c>
      <c r="J2936" s="19" t="n">
        <f aca="false">IF(I2936="","",MIN(Overview!$B$8,MAX(1,CEILING(I2936/Overview!$B$7,1))))</f>
        <v>4</v>
      </c>
      <c r="K2936" s="19" t="n">
        <v>1</v>
      </c>
      <c r="L2936" s="19"/>
      <c r="M2936" s="20" t="n">
        <v>3</v>
      </c>
      <c r="N2936" s="19"/>
      <c r="O2936" s="19"/>
      <c r="P2936" s="19" t="s">
        <v>1768</v>
      </c>
      <c r="Q2936" s="19" t="s">
        <v>1063</v>
      </c>
      <c r="R2936" s="21" t="n">
        <v>44087</v>
      </c>
      <c r="S2936" s="19" t="s">
        <v>1769</v>
      </c>
      <c r="T2936" s="19" t="s">
        <v>8591</v>
      </c>
      <c r="U2936" s="19" t="str">
        <f aca="false">HYPERLINK("https://macaulaylibrary.org/asset/267814671","Open")</f>
        <v>Open</v>
      </c>
      <c r="V2936" s="19"/>
    </row>
    <row r="2937" customFormat="false" ht="15" hidden="false" customHeight="false" outlineLevel="0" collapsed="false">
      <c r="A2937" s="19" t="s">
        <v>8592</v>
      </c>
      <c r="B2937" s="19" t="s">
        <v>943</v>
      </c>
      <c r="C2937" s="19" t="s">
        <v>8448</v>
      </c>
      <c r="D2937" s="19" t="s">
        <v>148</v>
      </c>
      <c r="E2937" s="19" t="s">
        <v>147</v>
      </c>
      <c r="F2937" s="19" t="s">
        <v>350</v>
      </c>
      <c r="G2937" s="19" t="n">
        <v>47</v>
      </c>
      <c r="H2937" s="19" t="s">
        <v>351</v>
      </c>
      <c r="I2937" s="20" t="n">
        <v>205.627</v>
      </c>
      <c r="J2937" s="19" t="n">
        <f aca="false">IF(I2937="","",MIN(Overview!$B$8,MAX(1,CEILING(I2937/Overview!$B$7,1))))</f>
        <v>42</v>
      </c>
      <c r="K2937" s="19" t="n">
        <v>1</v>
      </c>
      <c r="L2937" s="19"/>
      <c r="M2937" s="20" t="n">
        <v>3.2</v>
      </c>
      <c r="N2937" s="19"/>
      <c r="O2937" s="19" t="s">
        <v>8593</v>
      </c>
      <c r="P2937" s="19" t="s">
        <v>3201</v>
      </c>
      <c r="Q2937" s="19" t="s">
        <v>1136</v>
      </c>
      <c r="R2937" s="21" t="n">
        <v>29739</v>
      </c>
      <c r="S2937" s="19" t="s">
        <v>1369</v>
      </c>
      <c r="T2937" s="19" t="s">
        <v>8594</v>
      </c>
      <c r="U2937" s="19" t="str">
        <f aca="false">HYPERLINK("https://macaulaylibrary.org/asset/28107","Open")</f>
        <v>Open</v>
      </c>
      <c r="V2937" s="19"/>
    </row>
    <row r="2938" customFormat="false" ht="15" hidden="false" customHeight="false" outlineLevel="0" collapsed="false">
      <c r="A2938" s="19" t="s">
        <v>8595</v>
      </c>
      <c r="B2938" s="19" t="s">
        <v>943</v>
      </c>
      <c r="C2938" s="19" t="s">
        <v>8448</v>
      </c>
      <c r="D2938" s="19" t="s">
        <v>148</v>
      </c>
      <c r="E2938" s="19" t="s">
        <v>147</v>
      </c>
      <c r="F2938" s="19" t="s">
        <v>283</v>
      </c>
      <c r="G2938" s="19" t="n">
        <v>48</v>
      </c>
      <c r="H2938" s="19" t="s">
        <v>284</v>
      </c>
      <c r="I2938" s="20" t="n">
        <v>126.436</v>
      </c>
      <c r="J2938" s="19" t="n">
        <f aca="false">IF(I2938="","",MIN(Overview!$B$8,MAX(1,CEILING(I2938/Overview!$B$7,1))))</f>
        <v>26</v>
      </c>
      <c r="K2938" s="19" t="n">
        <v>1</v>
      </c>
      <c r="L2938" s="19"/>
      <c r="M2938" s="20" t="n">
        <v>2</v>
      </c>
      <c r="N2938" s="19"/>
      <c r="O2938" s="19"/>
      <c r="P2938" s="19" t="s">
        <v>2177</v>
      </c>
      <c r="Q2938" s="19" t="s">
        <v>980</v>
      </c>
      <c r="R2938" s="21" t="n">
        <v>32554</v>
      </c>
      <c r="S2938" s="19" t="s">
        <v>6632</v>
      </c>
      <c r="T2938" s="19" t="s">
        <v>8596</v>
      </c>
      <c r="U2938" s="19" t="str">
        <f aca="false">HYPERLINK("https://macaulaylibrary.org/asset/215341","Open")</f>
        <v>Open</v>
      </c>
      <c r="V2938" s="19"/>
    </row>
    <row r="2939" customFormat="false" ht="15" hidden="false" customHeight="false" outlineLevel="0" collapsed="false">
      <c r="A2939" s="19" t="s">
        <v>8597</v>
      </c>
      <c r="B2939" s="19" t="s">
        <v>943</v>
      </c>
      <c r="C2939" s="19" t="s">
        <v>8448</v>
      </c>
      <c r="D2939" s="19" t="s">
        <v>148</v>
      </c>
      <c r="E2939" s="19" t="s">
        <v>147</v>
      </c>
      <c r="F2939" s="19" t="s">
        <v>283</v>
      </c>
      <c r="G2939" s="19" t="n">
        <v>48</v>
      </c>
      <c r="H2939" s="19" t="s">
        <v>284</v>
      </c>
      <c r="I2939" s="20" t="n">
        <v>50.518</v>
      </c>
      <c r="J2939" s="19" t="n">
        <f aca="false">IF(I2939="","",MIN(Overview!$B$8,MAX(1,CEILING(I2939/Overview!$B$7,1))))</f>
        <v>11</v>
      </c>
      <c r="K2939" s="19" t="n">
        <v>1</v>
      </c>
      <c r="L2939" s="19"/>
      <c r="M2939" s="20" t="n">
        <v>3</v>
      </c>
      <c r="N2939" s="19"/>
      <c r="O2939" s="19"/>
      <c r="P2939" s="19" t="s">
        <v>2499</v>
      </c>
      <c r="Q2939" s="19" t="s">
        <v>1063</v>
      </c>
      <c r="R2939" s="21" t="n">
        <v>44087</v>
      </c>
      <c r="S2939" s="19" t="s">
        <v>2500</v>
      </c>
      <c r="T2939" s="19" t="s">
        <v>8598</v>
      </c>
      <c r="U2939" s="19" t="str">
        <f aca="false">HYPERLINK("https://macaulaylibrary.org/asset/267815611","Open")</f>
        <v>Open</v>
      </c>
      <c r="V2939" s="19"/>
    </row>
    <row r="2940" customFormat="false" ht="15" hidden="false" customHeight="false" outlineLevel="0" collapsed="false">
      <c r="A2940" s="19" t="s">
        <v>8599</v>
      </c>
      <c r="B2940" s="19" t="s">
        <v>943</v>
      </c>
      <c r="C2940" s="19" t="s">
        <v>8448</v>
      </c>
      <c r="D2940" s="19" t="s">
        <v>148</v>
      </c>
      <c r="E2940" s="19" t="s">
        <v>147</v>
      </c>
      <c r="F2940" s="19" t="s">
        <v>283</v>
      </c>
      <c r="G2940" s="19" t="n">
        <v>48</v>
      </c>
      <c r="H2940" s="19" t="s">
        <v>284</v>
      </c>
      <c r="I2940" s="20" t="n">
        <v>17.972</v>
      </c>
      <c r="J2940" s="19" t="n">
        <f aca="false">IF(I2940="","",MIN(Overview!$B$8,MAX(1,CEILING(I2940/Overview!$B$7,1))))</f>
        <v>4</v>
      </c>
      <c r="K2940" s="19" t="n">
        <v>1</v>
      </c>
      <c r="L2940" s="19"/>
      <c r="M2940" s="20" t="n">
        <v>4</v>
      </c>
      <c r="N2940" s="19"/>
      <c r="O2940" s="19"/>
      <c r="P2940" s="19" t="s">
        <v>7738</v>
      </c>
      <c r="Q2940" s="19" t="s">
        <v>7739</v>
      </c>
      <c r="R2940" s="21" t="n">
        <v>44542</v>
      </c>
      <c r="S2940" s="19" t="s">
        <v>1769</v>
      </c>
      <c r="T2940" s="19" t="s">
        <v>8600</v>
      </c>
      <c r="U2940" s="19" t="str">
        <f aca="false">HYPERLINK("https://macaulaylibrary.org/asset/402249281","Open")</f>
        <v>Open</v>
      </c>
      <c r="V2940" s="19"/>
    </row>
    <row r="2941" customFormat="false" ht="15" hidden="false" customHeight="false" outlineLevel="0" collapsed="false">
      <c r="A2941" s="19" t="s">
        <v>8601</v>
      </c>
      <c r="B2941" s="19" t="s">
        <v>943</v>
      </c>
      <c r="C2941" s="19" t="s">
        <v>8448</v>
      </c>
      <c r="D2941" s="19" t="s">
        <v>148</v>
      </c>
      <c r="E2941" s="19" t="s">
        <v>147</v>
      </c>
      <c r="F2941" s="19" t="s">
        <v>165</v>
      </c>
      <c r="G2941" s="19" t="n">
        <v>50</v>
      </c>
      <c r="H2941" s="19" t="s">
        <v>166</v>
      </c>
      <c r="I2941" s="20" t="n">
        <v>12.553</v>
      </c>
      <c r="J2941" s="19" t="n">
        <f aca="false">IF(I2941="","",MIN(Overview!$B$8,MAX(1,CEILING(I2941/Overview!$B$7,1))))</f>
        <v>3</v>
      </c>
      <c r="K2941" s="19" t="n">
        <v>1</v>
      </c>
      <c r="L2941" s="19"/>
      <c r="M2941" s="20" t="n">
        <v>2</v>
      </c>
      <c r="N2941" s="19"/>
      <c r="O2941" s="19"/>
      <c r="P2941" s="19" t="s">
        <v>2271</v>
      </c>
      <c r="Q2941" s="19" t="s">
        <v>1021</v>
      </c>
      <c r="R2941" s="21" t="n">
        <v>35867</v>
      </c>
      <c r="S2941" s="19" t="s">
        <v>2272</v>
      </c>
      <c r="T2941" s="19" t="s">
        <v>8602</v>
      </c>
      <c r="U2941" s="19" t="str">
        <f aca="false">HYPERLINK("https://macaulaylibrary.org/asset/102629841","Open")</f>
        <v>Open</v>
      </c>
      <c r="V2941" s="19"/>
    </row>
    <row r="2942" customFormat="false" ht="15" hidden="false" customHeight="false" outlineLevel="0" collapsed="false">
      <c r="A2942" s="19" t="s">
        <v>8603</v>
      </c>
      <c r="B2942" s="19" t="s">
        <v>943</v>
      </c>
      <c r="C2942" s="19" t="s">
        <v>8448</v>
      </c>
      <c r="D2942" s="19" t="s">
        <v>148</v>
      </c>
      <c r="E2942" s="19" t="s">
        <v>147</v>
      </c>
      <c r="F2942" s="19" t="s">
        <v>165</v>
      </c>
      <c r="G2942" s="19" t="n">
        <v>50</v>
      </c>
      <c r="H2942" s="19" t="s">
        <v>166</v>
      </c>
      <c r="I2942" s="20" t="n">
        <v>32.215</v>
      </c>
      <c r="J2942" s="19" t="n">
        <f aca="false">IF(I2942="","",MIN(Overview!$B$8,MAX(1,CEILING(I2942/Overview!$B$7,1))))</f>
        <v>7</v>
      </c>
      <c r="K2942" s="19" t="n">
        <v>1</v>
      </c>
      <c r="L2942" s="19"/>
      <c r="M2942" s="20"/>
      <c r="N2942" s="19"/>
      <c r="O2942" s="19"/>
      <c r="P2942" s="19" t="s">
        <v>974</v>
      </c>
      <c r="Q2942" s="19" t="s">
        <v>975</v>
      </c>
      <c r="R2942" s="21" t="n">
        <v>43666</v>
      </c>
      <c r="S2942" s="19" t="s">
        <v>976</v>
      </c>
      <c r="T2942" s="19" t="s">
        <v>8604</v>
      </c>
      <c r="U2942" s="19" t="str">
        <f aca="false">HYPERLINK("https://macaulaylibrary.org/asset/179452881","Open")</f>
        <v>Open</v>
      </c>
      <c r="V2942" s="19"/>
    </row>
    <row r="2943" customFormat="false" ht="15" hidden="false" customHeight="false" outlineLevel="0" collapsed="false">
      <c r="A2943" s="19" t="s">
        <v>8605</v>
      </c>
      <c r="B2943" s="19" t="s">
        <v>943</v>
      </c>
      <c r="C2943" s="19" t="s">
        <v>8448</v>
      </c>
      <c r="D2943" s="19" t="s">
        <v>148</v>
      </c>
      <c r="E2943" s="19" t="s">
        <v>147</v>
      </c>
      <c r="F2943" s="19" t="s">
        <v>165</v>
      </c>
      <c r="G2943" s="19" t="n">
        <v>50</v>
      </c>
      <c r="H2943" s="19" t="s">
        <v>166</v>
      </c>
      <c r="I2943" s="20" t="n">
        <v>105.264</v>
      </c>
      <c r="J2943" s="19" t="n">
        <f aca="false">IF(I2943="","",MIN(Overview!$B$8,MAX(1,CEILING(I2943/Overview!$B$7,1))))</f>
        <v>22</v>
      </c>
      <c r="K2943" s="19" t="n">
        <v>1</v>
      </c>
      <c r="L2943" s="19"/>
      <c r="M2943" s="20" t="n">
        <v>3</v>
      </c>
      <c r="N2943" s="19"/>
      <c r="O2943" s="19"/>
      <c r="P2943" s="19" t="s">
        <v>2523</v>
      </c>
      <c r="Q2943" s="19" t="s">
        <v>1592</v>
      </c>
      <c r="R2943" s="21" t="n">
        <v>30405</v>
      </c>
      <c r="S2943" s="19" t="s">
        <v>1002</v>
      </c>
      <c r="T2943" s="19" t="s">
        <v>8606</v>
      </c>
      <c r="U2943" s="19" t="str">
        <f aca="false">HYPERLINK("https://macaulaylibrary.org/asset/39228","Open")</f>
        <v>Open</v>
      </c>
      <c r="V2943" s="19" t="s">
        <v>2366</v>
      </c>
    </row>
    <row r="2944" customFormat="false" ht="15" hidden="false" customHeight="false" outlineLevel="0" collapsed="false">
      <c r="A2944" s="19" t="s">
        <v>8607</v>
      </c>
      <c r="B2944" s="19" t="s">
        <v>943</v>
      </c>
      <c r="C2944" s="19" t="s">
        <v>8448</v>
      </c>
      <c r="D2944" s="19" t="s">
        <v>148</v>
      </c>
      <c r="E2944" s="19" t="s">
        <v>147</v>
      </c>
      <c r="F2944" s="19" t="s">
        <v>165</v>
      </c>
      <c r="G2944" s="19" t="n">
        <v>50</v>
      </c>
      <c r="H2944" s="19" t="s">
        <v>166</v>
      </c>
      <c r="I2944" s="20" t="n">
        <v>16.894</v>
      </c>
      <c r="J2944" s="19" t="n">
        <f aca="false">IF(I2944="","",MIN(Overview!$B$8,MAX(1,CEILING(I2944/Overview!$B$7,1))))</f>
        <v>4</v>
      </c>
      <c r="K2944" s="19" t="n">
        <v>1</v>
      </c>
      <c r="L2944" s="19"/>
      <c r="M2944" s="20"/>
      <c r="N2944" s="19"/>
      <c r="O2944" s="19"/>
      <c r="P2944" s="19" t="s">
        <v>1467</v>
      </c>
      <c r="Q2944" s="19" t="s">
        <v>1258</v>
      </c>
      <c r="R2944" s="21" t="n">
        <v>45230</v>
      </c>
      <c r="S2944" s="19" t="s">
        <v>1306</v>
      </c>
      <c r="T2944" s="19" t="s">
        <v>8608</v>
      </c>
      <c r="U2944" s="19" t="str">
        <f aca="false">HYPERLINK("https://macaulaylibrary.org/asset/621759995","Open")</f>
        <v>Open</v>
      </c>
      <c r="V2944" s="19" t="s">
        <v>2366</v>
      </c>
    </row>
    <row r="2945" customFormat="false" ht="15" hidden="false" customHeight="false" outlineLevel="0" collapsed="false">
      <c r="A2945" s="19" t="s">
        <v>8609</v>
      </c>
      <c r="B2945" s="19" t="s">
        <v>943</v>
      </c>
      <c r="C2945" s="19" t="s">
        <v>8448</v>
      </c>
      <c r="D2945" s="19" t="s">
        <v>148</v>
      </c>
      <c r="E2945" s="19" t="s">
        <v>147</v>
      </c>
      <c r="F2945" s="19" t="s">
        <v>165</v>
      </c>
      <c r="G2945" s="19" t="n">
        <v>50</v>
      </c>
      <c r="H2945" s="19" t="s">
        <v>166</v>
      </c>
      <c r="I2945" s="20" t="n">
        <v>89.043</v>
      </c>
      <c r="J2945" s="19" t="n">
        <f aca="false">IF(I2945="","",MIN(Overview!$B$8,MAX(1,CEILING(I2945/Overview!$B$7,1))))</f>
        <v>18</v>
      </c>
      <c r="K2945" s="19" t="n">
        <v>1</v>
      </c>
      <c r="L2945" s="19"/>
      <c r="M2945" s="20"/>
      <c r="N2945" s="19"/>
      <c r="O2945" s="19"/>
      <c r="P2945" s="19" t="s">
        <v>1467</v>
      </c>
      <c r="Q2945" s="19" t="s">
        <v>1258</v>
      </c>
      <c r="R2945" s="21" t="n">
        <v>45230</v>
      </c>
      <c r="S2945" s="19" t="s">
        <v>1306</v>
      </c>
      <c r="T2945" s="19" t="s">
        <v>8610</v>
      </c>
      <c r="U2945" s="19" t="str">
        <f aca="false">HYPERLINK("https://macaulaylibrary.org/asset/621760091","Open")</f>
        <v>Open</v>
      </c>
      <c r="V2945" s="19" t="s">
        <v>2366</v>
      </c>
    </row>
    <row r="2946" customFormat="false" ht="15" hidden="false" customHeight="false" outlineLevel="0" collapsed="false">
      <c r="A2946" s="19" t="s">
        <v>8611</v>
      </c>
      <c r="B2946" s="19" t="s">
        <v>943</v>
      </c>
      <c r="C2946" s="19" t="s">
        <v>8448</v>
      </c>
      <c r="D2946" s="19" t="s">
        <v>148</v>
      </c>
      <c r="E2946" s="19" t="s">
        <v>147</v>
      </c>
      <c r="F2946" s="19" t="s">
        <v>165</v>
      </c>
      <c r="G2946" s="19" t="n">
        <v>50</v>
      </c>
      <c r="H2946" s="19" t="s">
        <v>166</v>
      </c>
      <c r="I2946" s="20" t="n">
        <v>62.778</v>
      </c>
      <c r="J2946" s="19" t="n">
        <f aca="false">IF(I2946="","",MIN(Overview!$B$8,MAX(1,CEILING(I2946/Overview!$B$7,1))))</f>
        <v>13</v>
      </c>
      <c r="K2946" s="19" t="n">
        <v>1</v>
      </c>
      <c r="L2946" s="19"/>
      <c r="M2946" s="20" t="n">
        <v>4</v>
      </c>
      <c r="N2946" s="19"/>
      <c r="O2946" s="19"/>
      <c r="P2946" s="19" t="s">
        <v>1811</v>
      </c>
      <c r="Q2946" s="19" t="s">
        <v>1368</v>
      </c>
      <c r="R2946" s="21" t="n">
        <v>45489</v>
      </c>
      <c r="S2946" s="19" t="s">
        <v>1081</v>
      </c>
      <c r="T2946" s="19" t="s">
        <v>8612</v>
      </c>
      <c r="U2946" s="19" t="str">
        <f aca="false">HYPERLINK("https://macaulaylibrary.org/asset/628653639","Open")</f>
        <v>Open</v>
      </c>
      <c r="V2946" s="19"/>
    </row>
    <row r="2947" customFormat="false" ht="15" hidden="false" customHeight="false" outlineLevel="0" collapsed="false">
      <c r="A2947" s="19" t="s">
        <v>8613</v>
      </c>
      <c r="B2947" s="19" t="s">
        <v>943</v>
      </c>
      <c r="C2947" s="19" t="s">
        <v>8448</v>
      </c>
      <c r="D2947" s="19" t="s">
        <v>148</v>
      </c>
      <c r="E2947" s="19" t="s">
        <v>147</v>
      </c>
      <c r="F2947" s="19" t="s">
        <v>165</v>
      </c>
      <c r="G2947" s="19" t="n">
        <v>50</v>
      </c>
      <c r="H2947" s="19" t="s">
        <v>166</v>
      </c>
      <c r="I2947" s="20" t="n">
        <v>2.407</v>
      </c>
      <c r="J2947" s="19" t="n">
        <f aca="false">IF(I2947="","",MIN(Overview!$B$8,MAX(1,CEILING(I2947/Overview!$B$7,1))))</f>
        <v>1</v>
      </c>
      <c r="K2947" s="19" t="n">
        <v>1</v>
      </c>
      <c r="L2947" s="19" t="s">
        <v>1048</v>
      </c>
      <c r="M2947" s="20"/>
      <c r="N2947" s="19"/>
      <c r="O2947" s="19"/>
      <c r="P2947" s="19" t="s">
        <v>1482</v>
      </c>
      <c r="Q2947" s="19" t="s">
        <v>1483</v>
      </c>
      <c r="R2947" s="21" t="n">
        <v>45293</v>
      </c>
      <c r="S2947" s="19" t="s">
        <v>1484</v>
      </c>
      <c r="T2947" s="19" t="s">
        <v>8614</v>
      </c>
      <c r="U2947" s="19" t="str">
        <f aca="false">HYPERLINK("https://macaulaylibrary.org/asset/639219112","Open")</f>
        <v>Open</v>
      </c>
      <c r="V2947" s="19"/>
    </row>
    <row r="2948" customFormat="false" ht="15" hidden="false" customHeight="false" outlineLevel="0" collapsed="false">
      <c r="A2948" s="19" t="s">
        <v>8615</v>
      </c>
      <c r="B2948" s="19" t="s">
        <v>943</v>
      </c>
      <c r="C2948" s="19" t="s">
        <v>8448</v>
      </c>
      <c r="D2948" s="19" t="s">
        <v>148</v>
      </c>
      <c r="E2948" s="19" t="s">
        <v>147</v>
      </c>
      <c r="F2948" s="19" t="s">
        <v>165</v>
      </c>
      <c r="G2948" s="19" t="n">
        <v>50</v>
      </c>
      <c r="H2948" s="19" t="s">
        <v>166</v>
      </c>
      <c r="I2948" s="20" t="n">
        <v>64.315</v>
      </c>
      <c r="J2948" s="19" t="n">
        <f aca="false">IF(I2948="","",MIN(Overview!$B$8,MAX(1,CEILING(I2948/Overview!$B$7,1))))</f>
        <v>13</v>
      </c>
      <c r="K2948" s="19" t="n">
        <v>1</v>
      </c>
      <c r="L2948" s="19"/>
      <c r="M2948" s="20" t="n">
        <v>3</v>
      </c>
      <c r="N2948" s="19"/>
      <c r="O2948" s="19" t="s">
        <v>144</v>
      </c>
      <c r="P2948" s="19" t="s">
        <v>1501</v>
      </c>
      <c r="Q2948" s="19" t="s">
        <v>1502</v>
      </c>
      <c r="R2948" s="21" t="n">
        <v>45939</v>
      </c>
      <c r="S2948" s="19" t="s">
        <v>1503</v>
      </c>
      <c r="T2948" s="19" t="s">
        <v>8616</v>
      </c>
      <c r="U2948" s="19" t="str">
        <f aca="false">HYPERLINK("https://macaulaylibrary.org/asset/648704642","Open")</f>
        <v>Open</v>
      </c>
      <c r="V2948" s="19"/>
    </row>
    <row r="2949" customFormat="false" ht="15" hidden="false" customHeight="false" outlineLevel="0" collapsed="false">
      <c r="A2949" s="19" t="s">
        <v>8617</v>
      </c>
      <c r="B2949" s="19" t="s">
        <v>943</v>
      </c>
      <c r="C2949" s="19" t="s">
        <v>8448</v>
      </c>
      <c r="D2949" s="19" t="s">
        <v>148</v>
      </c>
      <c r="E2949" s="19" t="s">
        <v>147</v>
      </c>
      <c r="F2949" s="19" t="s">
        <v>277</v>
      </c>
      <c r="G2949" s="19" t="n">
        <v>51</v>
      </c>
      <c r="H2949" s="19" t="s">
        <v>278</v>
      </c>
      <c r="I2949" s="20" t="n">
        <v>23.749</v>
      </c>
      <c r="J2949" s="19" t="n">
        <f aca="false">IF(I2949="","",MIN(Overview!$B$8,MAX(1,CEILING(I2949/Overview!$B$7,1))))</f>
        <v>5</v>
      </c>
      <c r="K2949" s="19" t="n">
        <v>1</v>
      </c>
      <c r="L2949" s="19"/>
      <c r="M2949" s="20" t="n">
        <v>3</v>
      </c>
      <c r="N2949" s="19"/>
      <c r="O2949" s="19"/>
      <c r="P2949" s="19" t="s">
        <v>1131</v>
      </c>
      <c r="Q2949" s="19" t="s">
        <v>1063</v>
      </c>
      <c r="R2949" s="21" t="n">
        <v>44086</v>
      </c>
      <c r="S2949" s="19" t="s">
        <v>1132</v>
      </c>
      <c r="T2949" s="19" t="s">
        <v>8618</v>
      </c>
      <c r="U2949" s="19" t="str">
        <f aca="false">HYPERLINK("https://macaulaylibrary.org/asset/266301031","Open")</f>
        <v>Open</v>
      </c>
      <c r="V2949" s="19"/>
    </row>
    <row r="2950" customFormat="false" ht="15" hidden="false" customHeight="false" outlineLevel="0" collapsed="false">
      <c r="A2950" s="19" t="s">
        <v>8619</v>
      </c>
      <c r="B2950" s="19" t="s">
        <v>943</v>
      </c>
      <c r="C2950" s="19" t="s">
        <v>8448</v>
      </c>
      <c r="D2950" s="19" t="s">
        <v>148</v>
      </c>
      <c r="E2950" s="19" t="s">
        <v>147</v>
      </c>
      <c r="F2950" s="19" t="s">
        <v>277</v>
      </c>
      <c r="G2950" s="19" t="n">
        <v>51</v>
      </c>
      <c r="H2950" s="19" t="s">
        <v>278</v>
      </c>
      <c r="I2950" s="20" t="n">
        <v>29.305</v>
      </c>
      <c r="J2950" s="19" t="n">
        <f aca="false">IF(I2950="","",MIN(Overview!$B$8,MAX(1,CEILING(I2950/Overview!$B$7,1))))</f>
        <v>6</v>
      </c>
      <c r="K2950" s="19" t="n">
        <v>1</v>
      </c>
      <c r="L2950" s="19"/>
      <c r="M2950" s="20" t="n">
        <v>3.33</v>
      </c>
      <c r="N2950" s="19"/>
      <c r="O2950" s="19"/>
      <c r="P2950" s="19" t="s">
        <v>8620</v>
      </c>
      <c r="Q2950" s="19" t="s">
        <v>5308</v>
      </c>
      <c r="R2950" s="21" t="n">
        <v>43051</v>
      </c>
      <c r="S2950" s="19" t="s">
        <v>1009</v>
      </c>
      <c r="T2950" s="19" t="s">
        <v>8621</v>
      </c>
      <c r="U2950" s="19" t="str">
        <f aca="false">HYPERLINK("https://macaulaylibrary.org/asset/75123501","Open")</f>
        <v>Open</v>
      </c>
      <c r="V2950" s="19"/>
    </row>
    <row r="2951" customFormat="false" ht="15" hidden="false" customHeight="false" outlineLevel="0" collapsed="false">
      <c r="A2951" s="19" t="s">
        <v>8622</v>
      </c>
      <c r="B2951" s="19" t="s">
        <v>943</v>
      </c>
      <c r="C2951" s="19" t="s">
        <v>8448</v>
      </c>
      <c r="D2951" s="19" t="s">
        <v>148</v>
      </c>
      <c r="E2951" s="19" t="s">
        <v>147</v>
      </c>
      <c r="F2951" s="19" t="s">
        <v>277</v>
      </c>
      <c r="G2951" s="19" t="n">
        <v>51</v>
      </c>
      <c r="H2951" s="19" t="s">
        <v>278</v>
      </c>
      <c r="I2951" s="20" t="n">
        <v>40.473</v>
      </c>
      <c r="J2951" s="19" t="n">
        <f aca="false">IF(I2951="","",MIN(Overview!$B$8,MAX(1,CEILING(I2951/Overview!$B$7,1))))</f>
        <v>9</v>
      </c>
      <c r="K2951" s="19" t="n">
        <v>1</v>
      </c>
      <c r="L2951" s="19"/>
      <c r="M2951" s="20" t="n">
        <v>3</v>
      </c>
      <c r="N2951" s="19"/>
      <c r="O2951" s="19"/>
      <c r="P2951" s="19" t="s">
        <v>8620</v>
      </c>
      <c r="Q2951" s="19" t="s">
        <v>5308</v>
      </c>
      <c r="R2951" s="21" t="n">
        <v>43051</v>
      </c>
      <c r="S2951" s="19" t="s">
        <v>1009</v>
      </c>
      <c r="T2951" s="19" t="s">
        <v>8623</v>
      </c>
      <c r="U2951" s="19" t="str">
        <f aca="false">HYPERLINK("https://macaulaylibrary.org/asset/75123511","Open")</f>
        <v>Open</v>
      </c>
      <c r="V2951" s="19"/>
    </row>
    <row r="2952" customFormat="false" ht="15" hidden="false" customHeight="false" outlineLevel="0" collapsed="false">
      <c r="A2952" s="19" t="s">
        <v>8624</v>
      </c>
      <c r="B2952" s="19" t="s">
        <v>943</v>
      </c>
      <c r="C2952" s="19" t="s">
        <v>8448</v>
      </c>
      <c r="D2952" s="19" t="s">
        <v>148</v>
      </c>
      <c r="E2952" s="19" t="s">
        <v>147</v>
      </c>
      <c r="F2952" s="19" t="s">
        <v>353</v>
      </c>
      <c r="G2952" s="19" t="n">
        <v>52</v>
      </c>
      <c r="H2952" s="19" t="s">
        <v>354</v>
      </c>
      <c r="I2952" s="20" t="n">
        <v>128.719</v>
      </c>
      <c r="J2952" s="19" t="n">
        <f aca="false">IF(I2952="","",MIN(Overview!$B$8,MAX(1,CEILING(I2952/Overview!$B$7,1))))</f>
        <v>26</v>
      </c>
      <c r="K2952" s="19" t="n">
        <v>1</v>
      </c>
      <c r="L2952" s="19"/>
      <c r="M2952" s="20" t="n">
        <v>2</v>
      </c>
      <c r="N2952" s="19"/>
      <c r="O2952" s="19"/>
      <c r="P2952" s="19" t="s">
        <v>1742</v>
      </c>
      <c r="Q2952" s="19" t="s">
        <v>1021</v>
      </c>
      <c r="R2952" s="21" t="n">
        <v>35860</v>
      </c>
      <c r="S2952" s="19" t="s">
        <v>1743</v>
      </c>
      <c r="T2952" s="19" t="s">
        <v>8625</v>
      </c>
      <c r="U2952" s="19" t="str">
        <f aca="false">HYPERLINK("https://macaulaylibrary.org/asset/98271001","Open")</f>
        <v>Open</v>
      </c>
      <c r="V2952" s="19"/>
    </row>
    <row r="2953" customFormat="false" ht="15" hidden="false" customHeight="false" outlineLevel="0" collapsed="false">
      <c r="A2953" s="19" t="s">
        <v>8626</v>
      </c>
      <c r="B2953" s="19" t="s">
        <v>943</v>
      </c>
      <c r="C2953" s="19" t="s">
        <v>8448</v>
      </c>
      <c r="D2953" s="19" t="s">
        <v>148</v>
      </c>
      <c r="E2953" s="19" t="s">
        <v>147</v>
      </c>
      <c r="F2953" s="19" t="s">
        <v>353</v>
      </c>
      <c r="G2953" s="19" t="n">
        <v>52</v>
      </c>
      <c r="H2953" s="19" t="s">
        <v>354</v>
      </c>
      <c r="I2953" s="20" t="n">
        <v>67.956</v>
      </c>
      <c r="J2953" s="19" t="n">
        <f aca="false">IF(I2953="","",MIN(Overview!$B$8,MAX(1,CEILING(I2953/Overview!$B$7,1))))</f>
        <v>14</v>
      </c>
      <c r="K2953" s="19" t="n">
        <v>1</v>
      </c>
      <c r="L2953" s="19"/>
      <c r="M2953" s="20" t="n">
        <v>3</v>
      </c>
      <c r="N2953" s="19"/>
      <c r="O2953" s="19"/>
      <c r="P2953" s="19" t="s">
        <v>1742</v>
      </c>
      <c r="Q2953" s="19" t="s">
        <v>1021</v>
      </c>
      <c r="R2953" s="21" t="n">
        <v>35860</v>
      </c>
      <c r="S2953" s="19" t="s">
        <v>1743</v>
      </c>
      <c r="T2953" s="19" t="s">
        <v>8627</v>
      </c>
      <c r="U2953" s="19" t="str">
        <f aca="false">HYPERLINK("https://macaulaylibrary.org/asset/98492071","Open")</f>
        <v>Open</v>
      </c>
      <c r="V2953" s="19"/>
    </row>
    <row r="2954" customFormat="false" ht="15" hidden="false" customHeight="false" outlineLevel="0" collapsed="false">
      <c r="A2954" s="19" t="s">
        <v>8628</v>
      </c>
      <c r="B2954" s="19" t="s">
        <v>943</v>
      </c>
      <c r="C2954" s="19" t="s">
        <v>8448</v>
      </c>
      <c r="D2954" s="19" t="s">
        <v>148</v>
      </c>
      <c r="E2954" s="19" t="s">
        <v>147</v>
      </c>
      <c r="F2954" s="19" t="s">
        <v>307</v>
      </c>
      <c r="G2954" s="19" t="n">
        <v>54</v>
      </c>
      <c r="H2954" s="19" t="s">
        <v>308</v>
      </c>
      <c r="I2954" s="20" t="n">
        <v>20.463</v>
      </c>
      <c r="J2954" s="19" t="n">
        <f aca="false">IF(I2954="","",MIN(Overview!$B$8,MAX(1,CEILING(I2954/Overview!$B$7,1))))</f>
        <v>5</v>
      </c>
      <c r="K2954" s="19" t="n">
        <v>1</v>
      </c>
      <c r="L2954" s="19"/>
      <c r="M2954" s="20" t="n">
        <v>3</v>
      </c>
      <c r="N2954" s="19"/>
      <c r="O2954" s="19"/>
      <c r="P2954" s="19" t="s">
        <v>1577</v>
      </c>
      <c r="Q2954" s="19" t="s">
        <v>1401</v>
      </c>
      <c r="R2954" s="21" t="n">
        <v>35479</v>
      </c>
      <c r="S2954" s="19" t="s">
        <v>1578</v>
      </c>
      <c r="T2954" s="19" t="s">
        <v>8629</v>
      </c>
      <c r="U2954" s="19" t="str">
        <f aca="false">HYPERLINK("https://macaulaylibrary.org/asset/132006511","Open")</f>
        <v>Open</v>
      </c>
      <c r="V2954" s="19"/>
    </row>
    <row r="2955" customFormat="false" ht="15" hidden="false" customHeight="false" outlineLevel="0" collapsed="false">
      <c r="A2955" s="19" t="s">
        <v>8630</v>
      </c>
      <c r="B2955" s="19" t="s">
        <v>943</v>
      </c>
      <c r="C2955" s="19" t="s">
        <v>8448</v>
      </c>
      <c r="D2955" s="19" t="s">
        <v>148</v>
      </c>
      <c r="E2955" s="19" t="s">
        <v>147</v>
      </c>
      <c r="F2955" s="19" t="s">
        <v>307</v>
      </c>
      <c r="G2955" s="19" t="n">
        <v>54</v>
      </c>
      <c r="H2955" s="19" t="s">
        <v>308</v>
      </c>
      <c r="I2955" s="20" t="n">
        <v>10.953</v>
      </c>
      <c r="J2955" s="19" t="n">
        <f aca="false">IF(I2955="","",MIN(Overview!$B$8,MAX(1,CEILING(I2955/Overview!$B$7,1))))</f>
        <v>3</v>
      </c>
      <c r="K2955" s="19" t="n">
        <v>1</v>
      </c>
      <c r="L2955" s="19"/>
      <c r="M2955" s="20" t="n">
        <v>3</v>
      </c>
      <c r="N2955" s="19"/>
      <c r="O2955" s="19"/>
      <c r="P2955" s="19" t="s">
        <v>1105</v>
      </c>
      <c r="Q2955" s="19" t="s">
        <v>1021</v>
      </c>
      <c r="R2955" s="21" t="n">
        <v>36597</v>
      </c>
      <c r="S2955" s="19" t="s">
        <v>1106</v>
      </c>
      <c r="T2955" s="19" t="s">
        <v>8631</v>
      </c>
      <c r="U2955" s="19" t="str">
        <f aca="false">HYPERLINK("https://macaulaylibrary.org/asset/147429021","Open")</f>
        <v>Open</v>
      </c>
      <c r="V2955" s="19"/>
    </row>
    <row r="2956" customFormat="false" ht="15" hidden="false" customHeight="false" outlineLevel="0" collapsed="false">
      <c r="A2956" s="19" t="s">
        <v>8632</v>
      </c>
      <c r="B2956" s="19" t="s">
        <v>943</v>
      </c>
      <c r="C2956" s="19" t="s">
        <v>8448</v>
      </c>
      <c r="D2956" s="19" t="s">
        <v>148</v>
      </c>
      <c r="E2956" s="19" t="s">
        <v>147</v>
      </c>
      <c r="F2956" s="19" t="s">
        <v>307</v>
      </c>
      <c r="G2956" s="19" t="n">
        <v>54</v>
      </c>
      <c r="H2956" s="19" t="s">
        <v>308</v>
      </c>
      <c r="I2956" s="20" t="n">
        <v>102.44</v>
      </c>
      <c r="J2956" s="19" t="n">
        <f aca="false">IF(I2956="","",MIN(Overview!$B$8,MAX(1,CEILING(I2956/Overview!$B$7,1))))</f>
        <v>21</v>
      </c>
      <c r="K2956" s="19" t="n">
        <v>1</v>
      </c>
      <c r="L2956" s="19"/>
      <c r="M2956" s="20" t="n">
        <v>3</v>
      </c>
      <c r="N2956" s="19"/>
      <c r="O2956" s="19" t="s">
        <v>265</v>
      </c>
      <c r="P2956" s="19" t="s">
        <v>3201</v>
      </c>
      <c r="Q2956" s="19" t="s">
        <v>1136</v>
      </c>
      <c r="R2956" s="21" t="n">
        <v>29739</v>
      </c>
      <c r="S2956" s="19" t="s">
        <v>1009</v>
      </c>
      <c r="T2956" s="19" t="s">
        <v>8633</v>
      </c>
      <c r="U2956" s="19" t="str">
        <f aca="false">HYPERLINK("https://macaulaylibrary.org/asset/28106","Open")</f>
        <v>Open</v>
      </c>
      <c r="V2956" s="19"/>
    </row>
    <row r="2957" customFormat="false" ht="15" hidden="false" customHeight="false" outlineLevel="0" collapsed="false">
      <c r="A2957" s="19" t="s">
        <v>8634</v>
      </c>
      <c r="B2957" s="19" t="s">
        <v>943</v>
      </c>
      <c r="C2957" s="19" t="s">
        <v>8448</v>
      </c>
      <c r="D2957" s="19" t="s">
        <v>148</v>
      </c>
      <c r="E2957" s="19" t="s">
        <v>147</v>
      </c>
      <c r="F2957" s="19" t="s">
        <v>373</v>
      </c>
      <c r="G2957" s="19" t="n">
        <v>55</v>
      </c>
      <c r="H2957" s="19" t="s">
        <v>374</v>
      </c>
      <c r="I2957" s="20" t="n">
        <v>6.016</v>
      </c>
      <c r="J2957" s="19" t="n">
        <f aca="false">IF(I2957="","",MIN(Overview!$B$8,MAX(1,CEILING(I2957/Overview!$B$7,1))))</f>
        <v>2</v>
      </c>
      <c r="K2957" s="19" t="n">
        <v>1</v>
      </c>
      <c r="L2957" s="19"/>
      <c r="M2957" s="20" t="n">
        <v>3</v>
      </c>
      <c r="N2957" s="19"/>
      <c r="O2957" s="19"/>
      <c r="P2957" s="19" t="s">
        <v>3195</v>
      </c>
      <c r="Q2957" s="19" t="s">
        <v>965</v>
      </c>
      <c r="R2957" s="21" t="n">
        <v>43813</v>
      </c>
      <c r="S2957" s="19" t="s">
        <v>3196</v>
      </c>
      <c r="T2957" s="19" t="s">
        <v>8635</v>
      </c>
      <c r="U2957" s="19" t="str">
        <f aca="false">HYPERLINK("https://macaulaylibrary.org/asset/193419631","Open")</f>
        <v>Open</v>
      </c>
      <c r="V2957" s="19"/>
    </row>
    <row r="2958" customFormat="false" ht="15" hidden="false" customHeight="false" outlineLevel="0" collapsed="false">
      <c r="A2958" s="19" t="s">
        <v>8636</v>
      </c>
      <c r="B2958" s="19" t="s">
        <v>943</v>
      </c>
      <c r="C2958" s="19" t="s">
        <v>8448</v>
      </c>
      <c r="D2958" s="19" t="s">
        <v>148</v>
      </c>
      <c r="E2958" s="19" t="s">
        <v>147</v>
      </c>
      <c r="F2958" s="19" t="s">
        <v>373</v>
      </c>
      <c r="G2958" s="19" t="n">
        <v>55</v>
      </c>
      <c r="H2958" s="19" t="s">
        <v>374</v>
      </c>
      <c r="I2958" s="20" t="n">
        <v>31.95</v>
      </c>
      <c r="J2958" s="19" t="n">
        <f aca="false">IF(I2958="","",MIN(Overview!$B$8,MAX(1,CEILING(I2958/Overview!$B$7,1))))</f>
        <v>7</v>
      </c>
      <c r="K2958" s="19" t="n">
        <v>1</v>
      </c>
      <c r="L2958" s="19"/>
      <c r="M2958" s="20" t="n">
        <v>1</v>
      </c>
      <c r="N2958" s="19"/>
      <c r="O2958" s="19"/>
      <c r="P2958" s="19" t="s">
        <v>1780</v>
      </c>
      <c r="Q2958" s="19" t="s">
        <v>1781</v>
      </c>
      <c r="R2958" s="21" t="n">
        <v>30405</v>
      </c>
      <c r="S2958" s="19" t="s">
        <v>1546</v>
      </c>
      <c r="T2958" s="19" t="s">
        <v>8637</v>
      </c>
      <c r="U2958" s="19" t="str">
        <f aca="false">HYPERLINK("https://macaulaylibrary.org/asset/31391","Open")</f>
        <v>Open</v>
      </c>
      <c r="V2958" s="19"/>
    </row>
    <row r="2959" customFormat="false" ht="15" hidden="false" customHeight="false" outlineLevel="0" collapsed="false">
      <c r="A2959" s="19" t="s">
        <v>8638</v>
      </c>
      <c r="B2959" s="19" t="s">
        <v>943</v>
      </c>
      <c r="C2959" s="19" t="s">
        <v>8448</v>
      </c>
      <c r="D2959" s="19" t="s">
        <v>148</v>
      </c>
      <c r="E2959" s="19" t="s">
        <v>147</v>
      </c>
      <c r="F2959" s="19" t="s">
        <v>326</v>
      </c>
      <c r="G2959" s="19" t="n">
        <v>57</v>
      </c>
      <c r="H2959" s="19" t="s">
        <v>327</v>
      </c>
      <c r="I2959" s="20" t="n">
        <v>24.56</v>
      </c>
      <c r="J2959" s="19" t="n">
        <f aca="false">IF(I2959="","",MIN(Overview!$B$8,MAX(1,CEILING(I2959/Overview!$B$7,1))))</f>
        <v>5</v>
      </c>
      <c r="K2959" s="19" t="n">
        <v>1</v>
      </c>
      <c r="L2959" s="19"/>
      <c r="M2959" s="20" t="n">
        <v>2.33</v>
      </c>
      <c r="N2959" s="19"/>
      <c r="O2959" s="19"/>
      <c r="P2959" s="19" t="s">
        <v>1664</v>
      </c>
      <c r="Q2959" s="19" t="s">
        <v>1021</v>
      </c>
      <c r="R2959" s="21" t="n">
        <v>35866</v>
      </c>
      <c r="S2959" s="19" t="s">
        <v>1279</v>
      </c>
      <c r="T2959" s="19" t="s">
        <v>8639</v>
      </c>
      <c r="U2959" s="19" t="str">
        <f aca="false">HYPERLINK("https://macaulaylibrary.org/asset/102628721","Open")</f>
        <v>Open</v>
      </c>
      <c r="V2959" s="19"/>
    </row>
    <row r="2960" customFormat="false" ht="15" hidden="false" customHeight="false" outlineLevel="0" collapsed="false">
      <c r="A2960" s="19" t="s">
        <v>8640</v>
      </c>
      <c r="B2960" s="19" t="s">
        <v>943</v>
      </c>
      <c r="C2960" s="19" t="s">
        <v>8448</v>
      </c>
      <c r="D2960" s="19" t="s">
        <v>148</v>
      </c>
      <c r="E2960" s="19" t="s">
        <v>147</v>
      </c>
      <c r="F2960" s="19" t="s">
        <v>326</v>
      </c>
      <c r="G2960" s="19" t="n">
        <v>57</v>
      </c>
      <c r="H2960" s="19" t="s">
        <v>327</v>
      </c>
      <c r="I2960" s="20" t="n">
        <v>17.135</v>
      </c>
      <c r="J2960" s="19" t="n">
        <f aca="false">IF(I2960="","",MIN(Overview!$B$8,MAX(1,CEILING(I2960/Overview!$B$7,1))))</f>
        <v>4</v>
      </c>
      <c r="K2960" s="19" t="n">
        <v>1</v>
      </c>
      <c r="L2960" s="19"/>
      <c r="M2960" s="20" t="n">
        <v>4</v>
      </c>
      <c r="N2960" s="19"/>
      <c r="O2960" s="19"/>
      <c r="P2960" s="19" t="s">
        <v>8641</v>
      </c>
      <c r="Q2960" s="19" t="s">
        <v>946</v>
      </c>
      <c r="R2960" s="21" t="n">
        <v>44676</v>
      </c>
      <c r="S2960" s="19" t="s">
        <v>5105</v>
      </c>
      <c r="T2960" s="19" t="s">
        <v>8642</v>
      </c>
      <c r="U2960" s="19" t="str">
        <f aca="false">HYPERLINK("https://macaulaylibrary.org/asset/451651251","Open")</f>
        <v>Open</v>
      </c>
      <c r="V2960" s="19"/>
    </row>
    <row r="2961" customFormat="false" ht="15" hidden="false" customHeight="false" outlineLevel="0" collapsed="false">
      <c r="A2961" s="19" t="s">
        <v>8643</v>
      </c>
      <c r="B2961" s="19" t="s">
        <v>943</v>
      </c>
      <c r="C2961" s="19" t="s">
        <v>8448</v>
      </c>
      <c r="D2961" s="19" t="s">
        <v>148</v>
      </c>
      <c r="E2961" s="19" t="s">
        <v>147</v>
      </c>
      <c r="F2961" s="19" t="s">
        <v>159</v>
      </c>
      <c r="G2961" s="19" t="n">
        <v>58</v>
      </c>
      <c r="H2961" s="19" t="s">
        <v>160</v>
      </c>
      <c r="I2961" s="20" t="n">
        <v>192.845</v>
      </c>
      <c r="J2961" s="19" t="n">
        <f aca="false">IF(I2961="","",MIN(Overview!$B$8,MAX(1,CEILING(I2961/Overview!$B$7,1))))</f>
        <v>39</v>
      </c>
      <c r="K2961" s="19" t="n">
        <v>1</v>
      </c>
      <c r="L2961" s="19"/>
      <c r="M2961" s="20" t="n">
        <v>4</v>
      </c>
      <c r="N2961" s="19"/>
      <c r="O2961" s="19"/>
      <c r="P2961" s="19" t="s">
        <v>1526</v>
      </c>
      <c r="Q2961" s="19" t="s">
        <v>1021</v>
      </c>
      <c r="R2961" s="21" t="n">
        <v>35865</v>
      </c>
      <c r="S2961" s="19" t="s">
        <v>1279</v>
      </c>
      <c r="T2961" s="19" t="s">
        <v>8644</v>
      </c>
      <c r="U2961" s="19" t="str">
        <f aca="false">HYPERLINK("https://macaulaylibrary.org/asset/102312101","Open")</f>
        <v>Open</v>
      </c>
      <c r="V2961" s="19"/>
    </row>
    <row r="2962" customFormat="false" ht="15" hidden="false" customHeight="false" outlineLevel="0" collapsed="false">
      <c r="A2962" s="19" t="s">
        <v>8645</v>
      </c>
      <c r="B2962" s="19" t="s">
        <v>943</v>
      </c>
      <c r="C2962" s="19" t="s">
        <v>8448</v>
      </c>
      <c r="D2962" s="19" t="s">
        <v>148</v>
      </c>
      <c r="E2962" s="19" t="s">
        <v>147</v>
      </c>
      <c r="F2962" s="19" t="s">
        <v>159</v>
      </c>
      <c r="G2962" s="19" t="n">
        <v>58</v>
      </c>
      <c r="H2962" s="19" t="s">
        <v>160</v>
      </c>
      <c r="I2962" s="20" t="n">
        <v>157.881</v>
      </c>
      <c r="J2962" s="19" t="n">
        <f aca="false">IF(I2962="","",MIN(Overview!$B$8,MAX(1,CEILING(I2962/Overview!$B$7,1))))</f>
        <v>32</v>
      </c>
      <c r="K2962" s="19" t="n">
        <v>1</v>
      </c>
      <c r="L2962" s="19"/>
      <c r="M2962" s="20" t="n">
        <v>3.5</v>
      </c>
      <c r="N2962" s="19"/>
      <c r="O2962" s="19"/>
      <c r="P2962" s="19" t="s">
        <v>1698</v>
      </c>
      <c r="Q2962" s="19" t="s">
        <v>1021</v>
      </c>
      <c r="R2962" s="21" t="n">
        <v>36599</v>
      </c>
      <c r="S2962" s="19" t="s">
        <v>1036</v>
      </c>
      <c r="T2962" s="19" t="s">
        <v>8646</v>
      </c>
      <c r="U2962" s="19" t="str">
        <f aca="false">HYPERLINK("https://macaulaylibrary.org/asset/150734741","Open")</f>
        <v>Open</v>
      </c>
      <c r="V2962" s="19"/>
    </row>
    <row r="2963" customFormat="false" ht="15" hidden="false" customHeight="false" outlineLevel="0" collapsed="false">
      <c r="A2963" s="19" t="s">
        <v>8647</v>
      </c>
      <c r="B2963" s="19" t="s">
        <v>943</v>
      </c>
      <c r="C2963" s="19" t="s">
        <v>8448</v>
      </c>
      <c r="D2963" s="19" t="s">
        <v>148</v>
      </c>
      <c r="E2963" s="19" t="s">
        <v>147</v>
      </c>
      <c r="F2963" s="19" t="s">
        <v>159</v>
      </c>
      <c r="G2963" s="19" t="n">
        <v>58</v>
      </c>
      <c r="H2963" s="19" t="s">
        <v>160</v>
      </c>
      <c r="I2963" s="20" t="n">
        <v>19.078</v>
      </c>
      <c r="J2963" s="19" t="n">
        <f aca="false">IF(I2963="","",MIN(Overview!$B$8,MAX(1,CEILING(I2963/Overview!$B$7,1))))</f>
        <v>4</v>
      </c>
      <c r="K2963" s="19" t="n">
        <v>1</v>
      </c>
      <c r="L2963" s="19"/>
      <c r="M2963" s="20"/>
      <c r="N2963" s="19"/>
      <c r="O2963" s="19"/>
      <c r="P2963" s="19" t="s">
        <v>5345</v>
      </c>
      <c r="Q2963" s="19" t="s">
        <v>1888</v>
      </c>
      <c r="R2963" s="21" t="n">
        <v>43904</v>
      </c>
      <c r="S2963" s="19" t="s">
        <v>5346</v>
      </c>
      <c r="T2963" s="19" t="s">
        <v>8648</v>
      </c>
      <c r="U2963" s="19" t="str">
        <f aca="false">HYPERLINK("https://macaulaylibrary.org/asset/218806431","Open")</f>
        <v>Open</v>
      </c>
      <c r="V2963" s="19"/>
    </row>
    <row r="2964" customFormat="false" ht="15" hidden="false" customHeight="false" outlineLevel="0" collapsed="false">
      <c r="A2964" s="19" t="s">
        <v>8649</v>
      </c>
      <c r="B2964" s="19" t="s">
        <v>943</v>
      </c>
      <c r="C2964" s="19" t="s">
        <v>8448</v>
      </c>
      <c r="D2964" s="19" t="s">
        <v>148</v>
      </c>
      <c r="E2964" s="19" t="s">
        <v>147</v>
      </c>
      <c r="F2964" s="19" t="s">
        <v>159</v>
      </c>
      <c r="G2964" s="19" t="n">
        <v>58</v>
      </c>
      <c r="H2964" s="19" t="s">
        <v>160</v>
      </c>
      <c r="I2964" s="20" t="n">
        <v>99.003</v>
      </c>
      <c r="J2964" s="19" t="n">
        <f aca="false">IF(I2964="","",MIN(Overview!$B$8,MAX(1,CEILING(I2964/Overview!$B$7,1))))</f>
        <v>20</v>
      </c>
      <c r="K2964" s="19" t="n">
        <v>1</v>
      </c>
      <c r="L2964" s="19"/>
      <c r="M2964" s="20" t="n">
        <v>1</v>
      </c>
      <c r="N2964" s="19"/>
      <c r="O2964" s="19"/>
      <c r="P2964" s="19" t="s">
        <v>3430</v>
      </c>
      <c r="Q2964" s="19" t="s">
        <v>2343</v>
      </c>
      <c r="R2964" s="21" t="n">
        <v>31503</v>
      </c>
      <c r="S2964" s="19" t="s">
        <v>1936</v>
      </c>
      <c r="T2964" s="19" t="s">
        <v>8650</v>
      </c>
      <c r="U2964" s="19" t="str">
        <f aca="false">HYPERLINK("https://macaulaylibrary.org/asset/249420","Open")</f>
        <v>Open</v>
      </c>
      <c r="V2964" s="19" t="s">
        <v>2639</v>
      </c>
    </row>
    <row r="2965" customFormat="false" ht="15" hidden="false" customHeight="false" outlineLevel="0" collapsed="false">
      <c r="A2965" s="19" t="s">
        <v>8651</v>
      </c>
      <c r="B2965" s="19" t="s">
        <v>943</v>
      </c>
      <c r="C2965" s="19" t="s">
        <v>8448</v>
      </c>
      <c r="D2965" s="19" t="s">
        <v>148</v>
      </c>
      <c r="E2965" s="19" t="s">
        <v>147</v>
      </c>
      <c r="F2965" s="19" t="s">
        <v>159</v>
      </c>
      <c r="G2965" s="19" t="n">
        <v>58</v>
      </c>
      <c r="H2965" s="19" t="s">
        <v>160</v>
      </c>
      <c r="I2965" s="20" t="n">
        <v>22</v>
      </c>
      <c r="J2965" s="19" t="n">
        <f aca="false">IF(I2965="","",MIN(Overview!$B$8,MAX(1,CEILING(I2965/Overview!$B$7,1))))</f>
        <v>5</v>
      </c>
      <c r="K2965" s="19" t="n">
        <v>1</v>
      </c>
      <c r="L2965" s="19"/>
      <c r="M2965" s="20" t="n">
        <v>4</v>
      </c>
      <c r="N2965" s="19"/>
      <c r="O2965" s="19"/>
      <c r="P2965" s="19" t="s">
        <v>2278</v>
      </c>
      <c r="Q2965" s="19" t="s">
        <v>1408</v>
      </c>
      <c r="R2965" s="21" t="n">
        <v>32611</v>
      </c>
      <c r="S2965" s="19" t="s">
        <v>1009</v>
      </c>
      <c r="T2965" s="19" t="s">
        <v>8652</v>
      </c>
      <c r="U2965" s="19" t="str">
        <f aca="false">HYPERLINK("https://macaulaylibrary.org/asset/348068591","Open")</f>
        <v>Open</v>
      </c>
      <c r="V2965" s="19"/>
    </row>
    <row r="2966" customFormat="false" ht="15" hidden="false" customHeight="false" outlineLevel="0" collapsed="false">
      <c r="A2966" s="19" t="s">
        <v>8653</v>
      </c>
      <c r="B2966" s="19" t="s">
        <v>943</v>
      </c>
      <c r="C2966" s="19" t="s">
        <v>8448</v>
      </c>
      <c r="D2966" s="19" t="s">
        <v>148</v>
      </c>
      <c r="E2966" s="19" t="s">
        <v>147</v>
      </c>
      <c r="F2966" s="19" t="s">
        <v>159</v>
      </c>
      <c r="G2966" s="19" t="n">
        <v>58</v>
      </c>
      <c r="H2966" s="19" t="s">
        <v>160</v>
      </c>
      <c r="I2966" s="20" t="n">
        <v>1663.894</v>
      </c>
      <c r="J2966" s="19" t="n">
        <f aca="false">IF(I2966="","",MIN(Overview!$B$8,MAX(1,CEILING(I2966/Overview!$B$7,1))))</f>
        <v>120</v>
      </c>
      <c r="K2966" s="19" t="n">
        <v>1</v>
      </c>
      <c r="L2966" s="19"/>
      <c r="M2966" s="20" t="n">
        <v>1</v>
      </c>
      <c r="N2966" s="19"/>
      <c r="O2966" s="19"/>
      <c r="P2966" s="19" t="s">
        <v>8654</v>
      </c>
      <c r="Q2966" s="19" t="s">
        <v>1091</v>
      </c>
      <c r="R2966" s="21" t="n">
        <v>45843</v>
      </c>
      <c r="S2966" s="19" t="s">
        <v>1092</v>
      </c>
      <c r="T2966" s="19" t="s">
        <v>8655</v>
      </c>
      <c r="U2966" s="19" t="str">
        <f aca="false">HYPERLINK("https://macaulaylibrary.org/asset/643673899","Open")</f>
        <v>Open</v>
      </c>
      <c r="V2966" s="19"/>
    </row>
    <row r="2967" customFormat="false" ht="15" hidden="false" customHeight="false" outlineLevel="0" collapsed="false">
      <c r="A2967" s="19" t="s">
        <v>8656</v>
      </c>
      <c r="B2967" s="19" t="s">
        <v>943</v>
      </c>
      <c r="C2967" s="19" t="s">
        <v>8448</v>
      </c>
      <c r="D2967" s="19" t="s">
        <v>148</v>
      </c>
      <c r="E2967" s="19" t="s">
        <v>147</v>
      </c>
      <c r="F2967" s="19" t="s">
        <v>159</v>
      </c>
      <c r="G2967" s="19" t="n">
        <v>58</v>
      </c>
      <c r="H2967" s="19" t="s">
        <v>160</v>
      </c>
      <c r="I2967" s="20" t="n">
        <v>22.036</v>
      </c>
      <c r="J2967" s="19" t="n">
        <f aca="false">IF(I2967="","",MIN(Overview!$B$8,MAX(1,CEILING(I2967/Overview!$B$7,1))))</f>
        <v>5</v>
      </c>
      <c r="K2967" s="19" t="n">
        <v>1</v>
      </c>
      <c r="L2967" s="19"/>
      <c r="M2967" s="20" t="n">
        <v>3</v>
      </c>
      <c r="N2967" s="19"/>
      <c r="O2967" s="19"/>
      <c r="P2967" s="19" t="s">
        <v>8657</v>
      </c>
      <c r="Q2967" s="19" t="s">
        <v>7245</v>
      </c>
      <c r="R2967" s="21" t="n">
        <v>46098</v>
      </c>
      <c r="S2967" s="19" t="s">
        <v>4259</v>
      </c>
      <c r="T2967" s="19" t="s">
        <v>8658</v>
      </c>
      <c r="U2967" s="19" t="str">
        <f aca="false">HYPERLINK("https://macaulaylibrary.org/asset/653481229","Open")</f>
        <v>Open</v>
      </c>
      <c r="V2967" s="19"/>
    </row>
    <row r="2968" customFormat="false" ht="15" hidden="false" customHeight="false" outlineLevel="0" collapsed="false">
      <c r="A2968" s="19" t="s">
        <v>8659</v>
      </c>
      <c r="B2968" s="19" t="s">
        <v>943</v>
      </c>
      <c r="C2968" s="19" t="s">
        <v>8448</v>
      </c>
      <c r="D2968" s="19" t="s">
        <v>148</v>
      </c>
      <c r="E2968" s="19" t="s">
        <v>147</v>
      </c>
      <c r="F2968" s="19" t="s">
        <v>159</v>
      </c>
      <c r="G2968" s="19" t="n">
        <v>58</v>
      </c>
      <c r="H2968" s="19" t="s">
        <v>160</v>
      </c>
      <c r="I2968" s="20" t="n">
        <v>107.893</v>
      </c>
      <c r="J2968" s="19" t="n">
        <f aca="false">IF(I2968="","",MIN(Overview!$B$8,MAX(1,CEILING(I2968/Overview!$B$7,1))))</f>
        <v>22</v>
      </c>
      <c r="K2968" s="19" t="n">
        <v>1</v>
      </c>
      <c r="L2968" s="19"/>
      <c r="M2968" s="20" t="n">
        <v>3</v>
      </c>
      <c r="N2968" s="19"/>
      <c r="O2968" s="19"/>
      <c r="P2968" s="19" t="s">
        <v>2152</v>
      </c>
      <c r="Q2968" s="19" t="s">
        <v>1218</v>
      </c>
      <c r="R2968" s="21" t="n">
        <v>33329</v>
      </c>
      <c r="S2968" s="19" t="s">
        <v>1013</v>
      </c>
      <c r="T2968" s="19" t="s">
        <v>8660</v>
      </c>
      <c r="U2968" s="19" t="str">
        <f aca="false">HYPERLINK("https://macaulaylibrary.org/asset/76609","Open")</f>
        <v>Open</v>
      </c>
      <c r="V2968" s="19" t="s">
        <v>2639</v>
      </c>
    </row>
    <row r="2969" customFormat="false" ht="15" hidden="false" customHeight="false" outlineLevel="0" collapsed="false">
      <c r="A2969" s="19" t="s">
        <v>8661</v>
      </c>
      <c r="B2969" s="19" t="s">
        <v>943</v>
      </c>
      <c r="C2969" s="19" t="s">
        <v>8448</v>
      </c>
      <c r="D2969" s="19" t="s">
        <v>148</v>
      </c>
      <c r="E2969" s="19" t="s">
        <v>147</v>
      </c>
      <c r="F2969" s="19" t="s">
        <v>159</v>
      </c>
      <c r="G2969" s="19" t="n">
        <v>58</v>
      </c>
      <c r="H2969" s="19" t="s">
        <v>160</v>
      </c>
      <c r="I2969" s="20" t="n">
        <v>316.857</v>
      </c>
      <c r="J2969" s="19" t="n">
        <f aca="false">IF(I2969="","",MIN(Overview!$B$8,MAX(1,CEILING(I2969/Overview!$B$7,1))))</f>
        <v>64</v>
      </c>
      <c r="K2969" s="19" t="n">
        <v>1</v>
      </c>
      <c r="L2969" s="19"/>
      <c r="M2969" s="20" t="n">
        <v>3</v>
      </c>
      <c r="N2969" s="19"/>
      <c r="O2969" s="19"/>
      <c r="P2969" s="19" t="s">
        <v>2152</v>
      </c>
      <c r="Q2969" s="19" t="s">
        <v>1218</v>
      </c>
      <c r="R2969" s="21" t="n">
        <v>33329</v>
      </c>
      <c r="S2969" s="19" t="s">
        <v>8662</v>
      </c>
      <c r="T2969" s="19" t="s">
        <v>8663</v>
      </c>
      <c r="U2969" s="19" t="str">
        <f aca="false">HYPERLINK("https://macaulaylibrary.org/asset/76612","Open")</f>
        <v>Open</v>
      </c>
      <c r="V2969" s="19" t="s">
        <v>2639</v>
      </c>
    </row>
    <row r="2970" customFormat="false" ht="15" hidden="false" customHeight="false" outlineLevel="0" collapsed="false">
      <c r="A2970" s="19" t="s">
        <v>8664</v>
      </c>
      <c r="B2970" s="19" t="s">
        <v>943</v>
      </c>
      <c r="C2970" s="19" t="s">
        <v>8448</v>
      </c>
      <c r="D2970" s="19" t="s">
        <v>148</v>
      </c>
      <c r="E2970" s="19" t="s">
        <v>147</v>
      </c>
      <c r="F2970" s="19" t="s">
        <v>404</v>
      </c>
      <c r="G2970" s="19" t="n">
        <v>60</v>
      </c>
      <c r="H2970" s="19" t="s">
        <v>405</v>
      </c>
      <c r="I2970" s="20" t="n">
        <v>20.181</v>
      </c>
      <c r="J2970" s="19" t="n">
        <f aca="false">IF(I2970="","",MIN(Overview!$B$8,MAX(1,CEILING(I2970/Overview!$B$7,1))))</f>
        <v>5</v>
      </c>
      <c r="K2970" s="19" t="n">
        <v>1</v>
      </c>
      <c r="L2970" s="19"/>
      <c r="M2970" s="20" t="n">
        <v>4</v>
      </c>
      <c r="N2970" s="19"/>
      <c r="O2970" s="19"/>
      <c r="P2970" s="19" t="s">
        <v>1067</v>
      </c>
      <c r="Q2970" s="19" t="s">
        <v>965</v>
      </c>
      <c r="R2970" s="21" t="n">
        <v>44185</v>
      </c>
      <c r="S2970" s="19" t="s">
        <v>1022</v>
      </c>
      <c r="T2970" s="19" t="s">
        <v>8665</v>
      </c>
      <c r="U2970" s="19" t="str">
        <f aca="false">HYPERLINK("https://macaulaylibrary.org/asset/289833421","Open")</f>
        <v>Open</v>
      </c>
      <c r="V2970" s="19"/>
    </row>
    <row r="2971" customFormat="false" ht="15" hidden="false" customHeight="false" outlineLevel="0" collapsed="false">
      <c r="A2971" s="19" t="s">
        <v>8666</v>
      </c>
      <c r="B2971" s="19" t="s">
        <v>943</v>
      </c>
      <c r="C2971" s="19" t="s">
        <v>8448</v>
      </c>
      <c r="D2971" s="19" t="s">
        <v>148</v>
      </c>
      <c r="E2971" s="19" t="s">
        <v>147</v>
      </c>
      <c r="F2971" s="19" t="s">
        <v>404</v>
      </c>
      <c r="G2971" s="19" t="n">
        <v>60</v>
      </c>
      <c r="H2971" s="19" t="s">
        <v>405</v>
      </c>
      <c r="I2971" s="20" t="n">
        <v>59.582</v>
      </c>
      <c r="J2971" s="19" t="n">
        <f aca="false">IF(I2971="","",MIN(Overview!$B$8,MAX(1,CEILING(I2971/Overview!$B$7,1))))</f>
        <v>12</v>
      </c>
      <c r="K2971" s="19" t="n">
        <v>1</v>
      </c>
      <c r="L2971" s="19"/>
      <c r="M2971" s="20"/>
      <c r="N2971" s="19"/>
      <c r="O2971" s="19"/>
      <c r="P2971" s="19" t="s">
        <v>8667</v>
      </c>
      <c r="Q2971" s="19" t="s">
        <v>4166</v>
      </c>
      <c r="R2971" s="21" t="n">
        <v>46093</v>
      </c>
      <c r="S2971" s="19" t="s">
        <v>2181</v>
      </c>
      <c r="T2971" s="19" t="s">
        <v>8668</v>
      </c>
      <c r="U2971" s="19" t="str">
        <f aca="false">HYPERLINK("https://macaulaylibrary.org/asset/656124929","Open")</f>
        <v>Open</v>
      </c>
      <c r="V2971" s="19"/>
    </row>
    <row r="2972" customFormat="false" ht="15" hidden="false" customHeight="false" outlineLevel="0" collapsed="false">
      <c r="A2972" s="19" t="s">
        <v>8669</v>
      </c>
      <c r="B2972" s="19" t="s">
        <v>943</v>
      </c>
      <c r="C2972" s="19" t="s">
        <v>8448</v>
      </c>
      <c r="D2972" s="19" t="s">
        <v>148</v>
      </c>
      <c r="E2972" s="19" t="s">
        <v>147</v>
      </c>
      <c r="F2972" s="19" t="s">
        <v>234</v>
      </c>
      <c r="G2972" s="19" t="n">
        <v>63</v>
      </c>
      <c r="H2972" s="19" t="s">
        <v>235</v>
      </c>
      <c r="I2972" s="20" t="n">
        <v>96.442</v>
      </c>
      <c r="J2972" s="19" t="n">
        <f aca="false">IF(I2972="","",MIN(Overview!$B$8,MAX(1,CEILING(I2972/Overview!$B$7,1))))</f>
        <v>20</v>
      </c>
      <c r="K2972" s="19" t="n">
        <v>1</v>
      </c>
      <c r="L2972" s="19"/>
      <c r="M2972" s="20" t="n">
        <v>4.25</v>
      </c>
      <c r="N2972" s="19"/>
      <c r="O2972" s="19"/>
      <c r="P2972" s="19" t="s">
        <v>3831</v>
      </c>
      <c r="Q2972" s="19" t="s">
        <v>1021</v>
      </c>
      <c r="R2972" s="21" t="n">
        <v>35862</v>
      </c>
      <c r="S2972" s="19" t="s">
        <v>1036</v>
      </c>
      <c r="T2972" s="19" t="s">
        <v>8670</v>
      </c>
      <c r="U2972" s="19" t="str">
        <f aca="false">HYPERLINK("https://macaulaylibrary.org/asset/101388251","Open")</f>
        <v>Open</v>
      </c>
      <c r="V2972" s="19"/>
    </row>
    <row r="2973" customFormat="false" ht="15" hidden="false" customHeight="false" outlineLevel="0" collapsed="false">
      <c r="A2973" s="19" t="s">
        <v>8671</v>
      </c>
      <c r="B2973" s="19" t="s">
        <v>943</v>
      </c>
      <c r="C2973" s="19" t="s">
        <v>8448</v>
      </c>
      <c r="D2973" s="19" t="s">
        <v>148</v>
      </c>
      <c r="E2973" s="19" t="s">
        <v>147</v>
      </c>
      <c r="F2973" s="19" t="s">
        <v>234</v>
      </c>
      <c r="G2973" s="19" t="n">
        <v>63</v>
      </c>
      <c r="H2973" s="19" t="s">
        <v>235</v>
      </c>
      <c r="I2973" s="20" t="n">
        <v>36.079</v>
      </c>
      <c r="J2973" s="19" t="n">
        <f aca="false">IF(I2973="","",MIN(Overview!$B$8,MAX(1,CEILING(I2973/Overview!$B$7,1))))</f>
        <v>8</v>
      </c>
      <c r="K2973" s="19" t="n">
        <v>1</v>
      </c>
      <c r="L2973" s="19"/>
      <c r="M2973" s="20" t="n">
        <v>4.33</v>
      </c>
      <c r="N2973" s="19"/>
      <c r="O2973" s="19"/>
      <c r="P2973" s="19" t="s">
        <v>8672</v>
      </c>
      <c r="Q2973" s="19" t="s">
        <v>3442</v>
      </c>
      <c r="R2973" s="21" t="n">
        <v>43530</v>
      </c>
      <c r="S2973" s="19" t="s">
        <v>3577</v>
      </c>
      <c r="T2973" s="19" t="s">
        <v>8673</v>
      </c>
      <c r="U2973" s="19" t="str">
        <f aca="false">HYPERLINK("https://macaulaylibrary.org/asset/145823681","Open")</f>
        <v>Open</v>
      </c>
      <c r="V2973" s="19"/>
    </row>
    <row r="2974" customFormat="false" ht="15" hidden="false" customHeight="false" outlineLevel="0" collapsed="false">
      <c r="A2974" s="19" t="s">
        <v>8674</v>
      </c>
      <c r="B2974" s="19" t="s">
        <v>943</v>
      </c>
      <c r="C2974" s="19" t="s">
        <v>8448</v>
      </c>
      <c r="D2974" s="19" t="s">
        <v>148</v>
      </c>
      <c r="E2974" s="19" t="s">
        <v>147</v>
      </c>
      <c r="F2974" s="19" t="s">
        <v>234</v>
      </c>
      <c r="G2974" s="19" t="n">
        <v>63</v>
      </c>
      <c r="H2974" s="19" t="s">
        <v>235</v>
      </c>
      <c r="I2974" s="20" t="n">
        <v>72.794</v>
      </c>
      <c r="J2974" s="19" t="n">
        <f aca="false">IF(I2974="","",MIN(Overview!$B$8,MAX(1,CEILING(I2974/Overview!$B$7,1))))</f>
        <v>15</v>
      </c>
      <c r="K2974" s="19" t="n">
        <v>1</v>
      </c>
      <c r="L2974" s="19"/>
      <c r="M2974" s="20" t="n">
        <v>3</v>
      </c>
      <c r="N2974" s="19"/>
      <c r="O2974" s="19"/>
      <c r="P2974" s="19" t="s">
        <v>8675</v>
      </c>
      <c r="Q2974" s="19" t="s">
        <v>8676</v>
      </c>
      <c r="R2974" s="21" t="n">
        <v>42411</v>
      </c>
      <c r="S2974" s="19" t="s">
        <v>8677</v>
      </c>
      <c r="T2974" s="19" t="s">
        <v>8678</v>
      </c>
      <c r="U2974" s="19" t="str">
        <f aca="false">HYPERLINK("https://macaulaylibrary.org/asset/24740261","Open")</f>
        <v>Open</v>
      </c>
      <c r="V2974" s="19"/>
    </row>
    <row r="2975" customFormat="false" ht="15" hidden="false" customHeight="false" outlineLevel="0" collapsed="false">
      <c r="A2975" s="19" t="s">
        <v>8679</v>
      </c>
      <c r="B2975" s="19" t="s">
        <v>943</v>
      </c>
      <c r="C2975" s="19" t="s">
        <v>8448</v>
      </c>
      <c r="D2975" s="19" t="s">
        <v>148</v>
      </c>
      <c r="E2975" s="19" t="s">
        <v>147</v>
      </c>
      <c r="F2975" s="19" t="s">
        <v>234</v>
      </c>
      <c r="G2975" s="19" t="n">
        <v>63</v>
      </c>
      <c r="H2975" s="19" t="s">
        <v>235</v>
      </c>
      <c r="I2975" s="20" t="n">
        <v>8.545</v>
      </c>
      <c r="J2975" s="19" t="n">
        <f aca="false">IF(I2975="","",MIN(Overview!$B$8,MAX(1,CEILING(I2975/Overview!$B$7,1))))</f>
        <v>2</v>
      </c>
      <c r="K2975" s="19" t="n">
        <v>1</v>
      </c>
      <c r="L2975" s="19"/>
      <c r="M2975" s="20"/>
      <c r="N2975" s="19"/>
      <c r="O2975" s="19"/>
      <c r="P2975" s="19" t="s">
        <v>1426</v>
      </c>
      <c r="Q2975" s="19" t="s">
        <v>1204</v>
      </c>
      <c r="R2975" s="21" t="n">
        <v>44611</v>
      </c>
      <c r="S2975" s="19" t="s">
        <v>1259</v>
      </c>
      <c r="T2975" s="19" t="s">
        <v>8680</v>
      </c>
      <c r="U2975" s="19" t="str">
        <f aca="false">HYPERLINK("https://macaulaylibrary.org/asset/531225461","Open")</f>
        <v>Open</v>
      </c>
      <c r="V2975" s="19"/>
    </row>
    <row r="2976" customFormat="false" ht="15" hidden="false" customHeight="false" outlineLevel="0" collapsed="false">
      <c r="A2976" s="19" t="s">
        <v>8681</v>
      </c>
      <c r="B2976" s="19" t="s">
        <v>943</v>
      </c>
      <c r="C2976" s="19" t="s">
        <v>8448</v>
      </c>
      <c r="D2976" s="19" t="s">
        <v>148</v>
      </c>
      <c r="E2976" s="19" t="s">
        <v>147</v>
      </c>
      <c r="F2976" s="19" t="s">
        <v>234</v>
      </c>
      <c r="G2976" s="19" t="n">
        <v>63</v>
      </c>
      <c r="H2976" s="19" t="s">
        <v>235</v>
      </c>
      <c r="I2976" s="20" t="n">
        <v>10.3</v>
      </c>
      <c r="J2976" s="19" t="n">
        <f aca="false">IF(I2976="","",MIN(Overview!$B$8,MAX(1,CEILING(I2976/Overview!$B$7,1))))</f>
        <v>3</v>
      </c>
      <c r="K2976" s="19" t="n">
        <v>1</v>
      </c>
      <c r="L2976" s="19"/>
      <c r="M2976" s="20"/>
      <c r="N2976" s="19"/>
      <c r="O2976" s="19"/>
      <c r="P2976" s="19" t="s">
        <v>4821</v>
      </c>
      <c r="Q2976" s="19" t="s">
        <v>1517</v>
      </c>
      <c r="R2976" s="21" t="n">
        <v>46106</v>
      </c>
      <c r="S2976" s="19" t="s">
        <v>4822</v>
      </c>
      <c r="T2976" s="19" t="s">
        <v>8682</v>
      </c>
      <c r="U2976" s="19" t="str">
        <f aca="false">HYPERLINK("https://macaulaylibrary.org/asset/654361297","Open")</f>
        <v>Open</v>
      </c>
      <c r="V2976" s="19"/>
    </row>
    <row r="2977" customFormat="false" ht="15" hidden="false" customHeight="false" outlineLevel="0" collapsed="false">
      <c r="A2977" s="19" t="s">
        <v>8683</v>
      </c>
      <c r="B2977" s="19" t="s">
        <v>943</v>
      </c>
      <c r="C2977" s="19" t="s">
        <v>8448</v>
      </c>
      <c r="D2977" s="19" t="s">
        <v>148</v>
      </c>
      <c r="E2977" s="19" t="s">
        <v>147</v>
      </c>
      <c r="F2977" s="19" t="s">
        <v>298</v>
      </c>
      <c r="G2977" s="19" t="n">
        <v>66</v>
      </c>
      <c r="H2977" s="19" t="s">
        <v>299</v>
      </c>
      <c r="I2977" s="20" t="n">
        <v>4.43</v>
      </c>
      <c r="J2977" s="19" t="n">
        <f aca="false">IF(I2977="","",MIN(Overview!$B$8,MAX(1,CEILING(I2977/Overview!$B$7,1))))</f>
        <v>1</v>
      </c>
      <c r="K2977" s="19" t="n">
        <v>1</v>
      </c>
      <c r="L2977" s="19" t="s">
        <v>1048</v>
      </c>
      <c r="M2977" s="20" t="n">
        <v>3</v>
      </c>
      <c r="N2977" s="19"/>
      <c r="O2977" s="19"/>
      <c r="P2977" s="19" t="s">
        <v>1390</v>
      </c>
      <c r="Q2977" s="19" t="s">
        <v>1021</v>
      </c>
      <c r="R2977" s="21" t="n">
        <v>36596</v>
      </c>
      <c r="S2977" s="19" t="s">
        <v>1137</v>
      </c>
      <c r="T2977" s="19" t="s">
        <v>8684</v>
      </c>
      <c r="U2977" s="19" t="str">
        <f aca="false">HYPERLINK("https://macaulaylibrary.org/asset/144844301","Open")</f>
        <v>Open</v>
      </c>
      <c r="V2977" s="19"/>
    </row>
    <row r="2978" customFormat="false" ht="15" hidden="false" customHeight="false" outlineLevel="0" collapsed="false">
      <c r="A2978" s="19" t="s">
        <v>8685</v>
      </c>
      <c r="B2978" s="19" t="s">
        <v>943</v>
      </c>
      <c r="C2978" s="19" t="s">
        <v>8448</v>
      </c>
      <c r="D2978" s="19" t="s">
        <v>148</v>
      </c>
      <c r="E2978" s="19" t="s">
        <v>147</v>
      </c>
      <c r="F2978" s="19" t="s">
        <v>298</v>
      </c>
      <c r="G2978" s="19" t="n">
        <v>66</v>
      </c>
      <c r="H2978" s="19" t="s">
        <v>299</v>
      </c>
      <c r="I2978" s="20" t="n">
        <v>21.863</v>
      </c>
      <c r="J2978" s="19" t="n">
        <f aca="false">IF(I2978="","",MIN(Overview!$B$8,MAX(1,CEILING(I2978/Overview!$B$7,1))))</f>
        <v>5</v>
      </c>
      <c r="K2978" s="19" t="n">
        <v>1</v>
      </c>
      <c r="L2978" s="19"/>
      <c r="M2978" s="20" t="n">
        <v>3</v>
      </c>
      <c r="N2978" s="19"/>
      <c r="O2978" s="19"/>
      <c r="P2978" s="19" t="s">
        <v>1080</v>
      </c>
      <c r="Q2978" s="19" t="s">
        <v>1021</v>
      </c>
      <c r="R2978" s="21" t="n">
        <v>36602</v>
      </c>
      <c r="S2978" s="19" t="s">
        <v>1081</v>
      </c>
      <c r="T2978" s="19" t="s">
        <v>8686</v>
      </c>
      <c r="U2978" s="19" t="str">
        <f aca="false">HYPERLINK("https://macaulaylibrary.org/asset/154144361","Open")</f>
        <v>Open</v>
      </c>
      <c r="V2978" s="19"/>
    </row>
    <row r="2979" customFormat="false" ht="15" hidden="false" customHeight="false" outlineLevel="0" collapsed="false">
      <c r="A2979" s="19" t="s">
        <v>8687</v>
      </c>
      <c r="B2979" s="19" t="s">
        <v>943</v>
      </c>
      <c r="C2979" s="19" t="s">
        <v>8448</v>
      </c>
      <c r="D2979" s="19" t="s">
        <v>148</v>
      </c>
      <c r="E2979" s="19" t="s">
        <v>147</v>
      </c>
      <c r="F2979" s="19" t="s">
        <v>298</v>
      </c>
      <c r="G2979" s="19" t="n">
        <v>66</v>
      </c>
      <c r="H2979" s="19" t="s">
        <v>299</v>
      </c>
      <c r="I2979" s="20" t="n">
        <v>39.053</v>
      </c>
      <c r="J2979" s="19" t="n">
        <f aca="false">IF(I2979="","",MIN(Overview!$B$8,MAX(1,CEILING(I2979/Overview!$B$7,1))))</f>
        <v>8</v>
      </c>
      <c r="K2979" s="19" t="n">
        <v>1</v>
      </c>
      <c r="L2979" s="19"/>
      <c r="M2979" s="20" t="n">
        <v>2</v>
      </c>
      <c r="N2979" s="19"/>
      <c r="O2979" s="19" t="s">
        <v>323</v>
      </c>
      <c r="P2979" s="19" t="s">
        <v>2642</v>
      </c>
      <c r="Q2979" s="19" t="s">
        <v>1218</v>
      </c>
      <c r="R2979" s="21" t="n">
        <v>34782</v>
      </c>
      <c r="S2979" s="19" t="s">
        <v>8688</v>
      </c>
      <c r="T2979" s="19" t="s">
        <v>8689</v>
      </c>
      <c r="U2979" s="19" t="str">
        <f aca="false">HYPERLINK("https://macaulaylibrary.org/asset/184008","Open")</f>
        <v>Open</v>
      </c>
      <c r="V2979" s="19"/>
    </row>
    <row r="2980" customFormat="false" ht="15" hidden="false" customHeight="false" outlineLevel="0" collapsed="false">
      <c r="A2980" s="19" t="s">
        <v>8690</v>
      </c>
      <c r="B2980" s="19" t="s">
        <v>943</v>
      </c>
      <c r="C2980" s="19" t="s">
        <v>8448</v>
      </c>
      <c r="D2980" s="19" t="s">
        <v>148</v>
      </c>
      <c r="E2980" s="19" t="s">
        <v>147</v>
      </c>
      <c r="F2980" s="19" t="s">
        <v>200</v>
      </c>
      <c r="G2980" s="19" t="n">
        <v>70</v>
      </c>
      <c r="H2980" s="19" t="s">
        <v>201</v>
      </c>
      <c r="I2980" s="20" t="n">
        <v>12.651</v>
      </c>
      <c r="J2980" s="19" t="n">
        <f aca="false">IF(I2980="","",MIN(Overview!$B$8,MAX(1,CEILING(I2980/Overview!$B$7,1))))</f>
        <v>3</v>
      </c>
      <c r="K2980" s="19" t="n">
        <v>1</v>
      </c>
      <c r="L2980" s="19"/>
      <c r="M2980" s="20" t="n">
        <v>3.33</v>
      </c>
      <c r="N2980" s="19"/>
      <c r="O2980" s="19"/>
      <c r="P2980" s="19" t="s">
        <v>3538</v>
      </c>
      <c r="Q2980" s="19" t="s">
        <v>965</v>
      </c>
      <c r="R2980" s="21" t="n">
        <v>43814</v>
      </c>
      <c r="S2980" s="19" t="s">
        <v>1578</v>
      </c>
      <c r="T2980" s="19" t="s">
        <v>8691</v>
      </c>
      <c r="U2980" s="19" t="str">
        <f aca="false">HYPERLINK("https://macaulaylibrary.org/asset/193422141","Open")</f>
        <v>Open</v>
      </c>
      <c r="V2980" s="19"/>
    </row>
    <row r="2981" customFormat="false" ht="15" hidden="false" customHeight="false" outlineLevel="0" collapsed="false">
      <c r="A2981" s="19" t="s">
        <v>8692</v>
      </c>
      <c r="B2981" s="19" t="s">
        <v>943</v>
      </c>
      <c r="C2981" s="19" t="s">
        <v>8448</v>
      </c>
      <c r="D2981" s="19" t="s">
        <v>148</v>
      </c>
      <c r="E2981" s="19" t="s">
        <v>147</v>
      </c>
      <c r="F2981" s="19" t="s">
        <v>200</v>
      </c>
      <c r="G2981" s="19" t="n">
        <v>70</v>
      </c>
      <c r="H2981" s="19" t="s">
        <v>201</v>
      </c>
      <c r="I2981" s="20" t="n">
        <v>121.277</v>
      </c>
      <c r="J2981" s="19" t="n">
        <f aca="false">IF(I2981="","",MIN(Overview!$B$8,MAX(1,CEILING(I2981/Overview!$B$7,1))))</f>
        <v>25</v>
      </c>
      <c r="K2981" s="19" t="n">
        <v>1</v>
      </c>
      <c r="L2981" s="19"/>
      <c r="M2981" s="20" t="n">
        <v>2.5</v>
      </c>
      <c r="N2981" s="19"/>
      <c r="O2981" s="19"/>
      <c r="P2981" s="19" t="s">
        <v>8693</v>
      </c>
      <c r="Q2981" s="19" t="s">
        <v>1289</v>
      </c>
      <c r="R2981" s="21" t="n">
        <v>42543</v>
      </c>
      <c r="S2981" s="19" t="s">
        <v>1387</v>
      </c>
      <c r="T2981" s="19" t="s">
        <v>8694</v>
      </c>
      <c r="U2981" s="19" t="str">
        <f aca="false">HYPERLINK("https://macaulaylibrary.org/asset/32601321","Open")</f>
        <v>Open</v>
      </c>
      <c r="V2981" s="19"/>
    </row>
    <row r="2982" customFormat="false" ht="15" hidden="false" customHeight="false" outlineLevel="0" collapsed="false">
      <c r="A2982" s="19" t="s">
        <v>8695</v>
      </c>
      <c r="B2982" s="19" t="s">
        <v>943</v>
      </c>
      <c r="C2982" s="19" t="s">
        <v>8448</v>
      </c>
      <c r="D2982" s="19" t="s">
        <v>148</v>
      </c>
      <c r="E2982" s="19" t="s">
        <v>147</v>
      </c>
      <c r="F2982" s="19" t="s">
        <v>200</v>
      </c>
      <c r="G2982" s="19" t="n">
        <v>70</v>
      </c>
      <c r="H2982" s="19" t="s">
        <v>201</v>
      </c>
      <c r="I2982" s="20" t="n">
        <v>2.156</v>
      </c>
      <c r="J2982" s="19" t="n">
        <f aca="false">IF(I2982="","",MIN(Overview!$B$8,MAX(1,CEILING(I2982/Overview!$B$7,1))))</f>
        <v>1</v>
      </c>
      <c r="K2982" s="19" t="n">
        <v>1</v>
      </c>
      <c r="L2982" s="19" t="s">
        <v>1048</v>
      </c>
      <c r="M2982" s="20" t="n">
        <v>1</v>
      </c>
      <c r="N2982" s="19"/>
      <c r="O2982" s="19"/>
      <c r="P2982" s="19" t="s">
        <v>3159</v>
      </c>
      <c r="Q2982" s="19" t="s">
        <v>1076</v>
      </c>
      <c r="R2982" s="21" t="n">
        <v>43398</v>
      </c>
      <c r="S2982" s="19" t="s">
        <v>1275</v>
      </c>
      <c r="T2982" s="19" t="s">
        <v>8696</v>
      </c>
      <c r="U2982" s="19" t="str">
        <f aca="false">HYPERLINK("https://macaulaylibrary.org/asset/471210211","Open")</f>
        <v>Open</v>
      </c>
      <c r="V2982" s="19"/>
    </row>
    <row r="2983" customFormat="false" ht="15" hidden="false" customHeight="false" outlineLevel="0" collapsed="false">
      <c r="A2983" s="19" t="s">
        <v>8697</v>
      </c>
      <c r="B2983" s="19" t="s">
        <v>943</v>
      </c>
      <c r="C2983" s="19" t="s">
        <v>8448</v>
      </c>
      <c r="D2983" s="19" t="s">
        <v>148</v>
      </c>
      <c r="E2983" s="19" t="s">
        <v>147</v>
      </c>
      <c r="F2983" s="19" t="s">
        <v>200</v>
      </c>
      <c r="G2983" s="19" t="n">
        <v>70</v>
      </c>
      <c r="H2983" s="19" t="s">
        <v>201</v>
      </c>
      <c r="I2983" s="20" t="n">
        <v>28.283</v>
      </c>
      <c r="J2983" s="19" t="n">
        <f aca="false">IF(I2983="","",MIN(Overview!$B$8,MAX(1,CEILING(I2983/Overview!$B$7,1))))</f>
        <v>6</v>
      </c>
      <c r="K2983" s="19" t="n">
        <v>1</v>
      </c>
      <c r="L2983" s="19"/>
      <c r="M2983" s="20" t="n">
        <v>3</v>
      </c>
      <c r="N2983" s="19"/>
      <c r="O2983" s="19"/>
      <c r="P2983" s="19" t="s">
        <v>1441</v>
      </c>
      <c r="Q2983" s="19" t="s">
        <v>951</v>
      </c>
      <c r="R2983" s="21" t="n">
        <v>45223</v>
      </c>
      <c r="S2983" s="19" t="s">
        <v>1442</v>
      </c>
      <c r="T2983" s="19" t="s">
        <v>8698</v>
      </c>
      <c r="U2983" s="19" t="str">
        <f aca="false">HYPERLINK("https://macaulaylibrary.org/asset/610572007","Open")</f>
        <v>Open</v>
      </c>
      <c r="V2983" s="19"/>
    </row>
    <row r="2984" customFormat="false" ht="15" hidden="false" customHeight="false" outlineLevel="0" collapsed="false">
      <c r="A2984" s="19" t="s">
        <v>8699</v>
      </c>
      <c r="B2984" s="19" t="s">
        <v>943</v>
      </c>
      <c r="C2984" s="19" t="s">
        <v>8448</v>
      </c>
      <c r="D2984" s="19" t="s">
        <v>148</v>
      </c>
      <c r="E2984" s="19" t="s">
        <v>147</v>
      </c>
      <c r="F2984" s="19" t="s">
        <v>200</v>
      </c>
      <c r="G2984" s="19" t="n">
        <v>70</v>
      </c>
      <c r="H2984" s="19" t="s">
        <v>201</v>
      </c>
      <c r="I2984" s="20" t="n">
        <v>1.99</v>
      </c>
      <c r="J2984" s="19" t="n">
        <f aca="false">IF(I2984="","",MIN(Overview!$B$8,MAX(1,CEILING(I2984/Overview!$B$7,1))))</f>
        <v>1</v>
      </c>
      <c r="K2984" s="19" t="n">
        <v>1</v>
      </c>
      <c r="L2984" s="19" t="s">
        <v>1048</v>
      </c>
      <c r="M2984" s="20" t="n">
        <v>3</v>
      </c>
      <c r="N2984" s="19"/>
      <c r="O2984" s="19"/>
      <c r="P2984" s="19" t="s">
        <v>1441</v>
      </c>
      <c r="Q2984" s="19" t="s">
        <v>951</v>
      </c>
      <c r="R2984" s="21" t="n">
        <v>45223</v>
      </c>
      <c r="S2984" s="19" t="s">
        <v>1442</v>
      </c>
      <c r="T2984" s="19" t="s">
        <v>8700</v>
      </c>
      <c r="U2984" s="19" t="str">
        <f aca="false">HYPERLINK("https://macaulaylibrary.org/asset/610572438","Open")</f>
        <v>Open</v>
      </c>
      <c r="V2984" s="19"/>
    </row>
    <row r="2985" customFormat="false" ht="15" hidden="false" customHeight="false" outlineLevel="0" collapsed="false">
      <c r="A2985" s="19" t="s">
        <v>8701</v>
      </c>
      <c r="B2985" s="19" t="s">
        <v>943</v>
      </c>
      <c r="C2985" s="19" t="s">
        <v>8448</v>
      </c>
      <c r="D2985" s="19" t="s">
        <v>148</v>
      </c>
      <c r="E2985" s="19" t="s">
        <v>147</v>
      </c>
      <c r="F2985" s="19" t="s">
        <v>301</v>
      </c>
      <c r="G2985" s="19" t="n">
        <v>71</v>
      </c>
      <c r="H2985" s="19" t="s">
        <v>302</v>
      </c>
      <c r="I2985" s="20" t="n">
        <v>86.878</v>
      </c>
      <c r="J2985" s="19" t="n">
        <f aca="false">IF(I2985="","",MIN(Overview!$B$8,MAX(1,CEILING(I2985/Overview!$B$7,1))))</f>
        <v>18</v>
      </c>
      <c r="K2985" s="19" t="n">
        <v>1</v>
      </c>
      <c r="L2985" s="19"/>
      <c r="M2985" s="20" t="n">
        <v>1</v>
      </c>
      <c r="N2985" s="19"/>
      <c r="O2985" s="19" t="s">
        <v>8702</v>
      </c>
      <c r="P2985" s="19" t="s">
        <v>1135</v>
      </c>
      <c r="Q2985" s="19" t="s">
        <v>1136</v>
      </c>
      <c r="R2985" s="21" t="n">
        <v>29735</v>
      </c>
      <c r="S2985" s="19" t="s">
        <v>8703</v>
      </c>
      <c r="T2985" s="19" t="s">
        <v>8704</v>
      </c>
      <c r="U2985" s="19" t="str">
        <f aca="false">HYPERLINK("https://macaulaylibrary.org/asset/28134","Open")</f>
        <v>Open</v>
      </c>
      <c r="V2985" s="19"/>
    </row>
    <row r="2986" customFormat="false" ht="15" hidden="false" customHeight="false" outlineLevel="0" collapsed="false">
      <c r="A2986" s="19" t="s">
        <v>8705</v>
      </c>
      <c r="B2986" s="19" t="s">
        <v>943</v>
      </c>
      <c r="C2986" s="19" t="s">
        <v>8448</v>
      </c>
      <c r="D2986" s="19" t="s">
        <v>148</v>
      </c>
      <c r="E2986" s="19" t="s">
        <v>147</v>
      </c>
      <c r="F2986" s="19" t="s">
        <v>301</v>
      </c>
      <c r="G2986" s="19" t="n">
        <v>71</v>
      </c>
      <c r="H2986" s="19" t="s">
        <v>302</v>
      </c>
      <c r="I2986" s="20" t="n">
        <v>18.923</v>
      </c>
      <c r="J2986" s="19" t="n">
        <f aca="false">IF(I2986="","",MIN(Overview!$B$8,MAX(1,CEILING(I2986/Overview!$B$7,1))))</f>
        <v>4</v>
      </c>
      <c r="K2986" s="19" t="n">
        <v>1</v>
      </c>
      <c r="L2986" s="19"/>
      <c r="M2986" s="20"/>
      <c r="N2986" s="19"/>
      <c r="O2986" s="19"/>
      <c r="P2986" s="19" t="s">
        <v>8706</v>
      </c>
      <c r="Q2986" s="19" t="s">
        <v>2207</v>
      </c>
      <c r="R2986" s="21" t="n">
        <v>45610</v>
      </c>
      <c r="S2986" s="19" t="s">
        <v>8707</v>
      </c>
      <c r="T2986" s="19" t="s">
        <v>8708</v>
      </c>
      <c r="U2986" s="19" t="str">
        <f aca="false">HYPERLINK("https://macaulaylibrary.org/asset/626522302","Open")</f>
        <v>Open</v>
      </c>
      <c r="V2986" s="19"/>
    </row>
    <row r="2987" customFormat="false" ht="15" hidden="false" customHeight="false" outlineLevel="0" collapsed="false">
      <c r="A2987" s="19" t="s">
        <v>8709</v>
      </c>
      <c r="B2987" s="19" t="s">
        <v>943</v>
      </c>
      <c r="C2987" s="19" t="s">
        <v>8448</v>
      </c>
      <c r="D2987" s="19" t="s">
        <v>148</v>
      </c>
      <c r="E2987" s="19" t="s">
        <v>147</v>
      </c>
      <c r="F2987" s="19" t="s">
        <v>301</v>
      </c>
      <c r="G2987" s="19" t="n">
        <v>71</v>
      </c>
      <c r="H2987" s="19" t="s">
        <v>302</v>
      </c>
      <c r="I2987" s="20" t="n">
        <v>23.962</v>
      </c>
      <c r="J2987" s="19" t="n">
        <f aca="false">IF(I2987="","",MIN(Overview!$B$8,MAX(1,CEILING(I2987/Overview!$B$7,1))))</f>
        <v>5</v>
      </c>
      <c r="K2987" s="19" t="n">
        <v>1</v>
      </c>
      <c r="L2987" s="19"/>
      <c r="M2987" s="20" t="n">
        <v>1</v>
      </c>
      <c r="N2987" s="19"/>
      <c r="O2987" s="19"/>
      <c r="P2987" s="19" t="s">
        <v>8710</v>
      </c>
      <c r="Q2987" s="19" t="s">
        <v>4178</v>
      </c>
      <c r="R2987" s="21" t="n">
        <v>43187</v>
      </c>
      <c r="S2987" s="19" t="s">
        <v>8711</v>
      </c>
      <c r="T2987" s="19" t="s">
        <v>8712</v>
      </c>
      <c r="U2987" s="19" t="str">
        <f aca="false">HYPERLINK("https://macaulaylibrary.org/asset/91833691","Open")</f>
        <v>Open</v>
      </c>
      <c r="V2987" s="19"/>
    </row>
    <row r="2988" customFormat="false" ht="15" hidden="false" customHeight="false" outlineLevel="0" collapsed="false">
      <c r="A2988" s="19" t="s">
        <v>8713</v>
      </c>
      <c r="B2988" s="19" t="s">
        <v>943</v>
      </c>
      <c r="C2988" s="19" t="s">
        <v>8448</v>
      </c>
      <c r="D2988" s="19" t="s">
        <v>148</v>
      </c>
      <c r="E2988" s="19" t="s">
        <v>147</v>
      </c>
      <c r="F2988" s="19" t="s">
        <v>225</v>
      </c>
      <c r="G2988" s="19" t="n">
        <v>76</v>
      </c>
      <c r="H2988" s="19" t="s">
        <v>226</v>
      </c>
      <c r="I2988" s="20" t="n">
        <v>63.632</v>
      </c>
      <c r="J2988" s="19" t="n">
        <f aca="false">IF(I2988="","",MIN(Overview!$B$8,MAX(1,CEILING(I2988/Overview!$B$7,1))))</f>
        <v>13</v>
      </c>
      <c r="K2988" s="19" t="n">
        <v>1</v>
      </c>
      <c r="L2988" s="19"/>
      <c r="M2988" s="20" t="n">
        <v>3</v>
      </c>
      <c r="N2988" s="19"/>
      <c r="O2988" s="19"/>
      <c r="P2988" s="19" t="s">
        <v>2054</v>
      </c>
      <c r="Q2988" s="19" t="s">
        <v>2055</v>
      </c>
      <c r="R2988" s="21" t="n">
        <v>43511</v>
      </c>
      <c r="S2988" s="19" t="s">
        <v>2056</v>
      </c>
      <c r="T2988" s="19" t="s">
        <v>8714</v>
      </c>
      <c r="U2988" s="19" t="str">
        <f aca="false">HYPERLINK("https://macaulaylibrary.org/asset/169970691","Open")</f>
        <v>Open</v>
      </c>
      <c r="V2988" s="19"/>
    </row>
    <row r="2989" customFormat="false" ht="15" hidden="false" customHeight="false" outlineLevel="0" collapsed="false">
      <c r="A2989" s="19" t="s">
        <v>8715</v>
      </c>
      <c r="B2989" s="19" t="s">
        <v>943</v>
      </c>
      <c r="C2989" s="19" t="s">
        <v>8448</v>
      </c>
      <c r="D2989" s="19" t="s">
        <v>148</v>
      </c>
      <c r="E2989" s="19" t="s">
        <v>147</v>
      </c>
      <c r="F2989" s="19" t="s">
        <v>225</v>
      </c>
      <c r="G2989" s="19" t="n">
        <v>76</v>
      </c>
      <c r="H2989" s="19" t="s">
        <v>226</v>
      </c>
      <c r="I2989" s="20" t="n">
        <v>59.878</v>
      </c>
      <c r="J2989" s="19" t="n">
        <f aca="false">IF(I2989="","",MIN(Overview!$B$8,MAX(1,CEILING(I2989/Overview!$B$7,1))))</f>
        <v>12</v>
      </c>
      <c r="K2989" s="19" t="n">
        <v>1</v>
      </c>
      <c r="L2989" s="19"/>
      <c r="M2989" s="20" t="n">
        <v>4</v>
      </c>
      <c r="N2989" s="19"/>
      <c r="O2989" s="19"/>
      <c r="P2989" s="19" t="s">
        <v>1768</v>
      </c>
      <c r="Q2989" s="19" t="s">
        <v>1063</v>
      </c>
      <c r="R2989" s="21" t="n">
        <v>44087</v>
      </c>
      <c r="S2989" s="19" t="s">
        <v>1769</v>
      </c>
      <c r="T2989" s="19" t="s">
        <v>8716</v>
      </c>
      <c r="U2989" s="19" t="str">
        <f aca="false">HYPERLINK("https://macaulaylibrary.org/asset/267818301","Open")</f>
        <v>Open</v>
      </c>
      <c r="V2989" s="19"/>
    </row>
    <row r="2990" customFormat="false" ht="15" hidden="false" customHeight="false" outlineLevel="0" collapsed="false">
      <c r="A2990" s="19" t="s">
        <v>8717</v>
      </c>
      <c r="B2990" s="19" t="s">
        <v>943</v>
      </c>
      <c r="C2990" s="19" t="s">
        <v>8448</v>
      </c>
      <c r="D2990" s="19" t="s">
        <v>148</v>
      </c>
      <c r="E2990" s="19" t="s">
        <v>147</v>
      </c>
      <c r="F2990" s="19" t="s">
        <v>225</v>
      </c>
      <c r="G2990" s="19" t="n">
        <v>76</v>
      </c>
      <c r="H2990" s="19" t="s">
        <v>226</v>
      </c>
      <c r="I2990" s="20" t="n">
        <v>23.76</v>
      </c>
      <c r="J2990" s="19" t="n">
        <f aca="false">IF(I2990="","",MIN(Overview!$B$8,MAX(1,CEILING(I2990/Overview!$B$7,1))))</f>
        <v>5</v>
      </c>
      <c r="K2990" s="19" t="n">
        <v>1</v>
      </c>
      <c r="L2990" s="19"/>
      <c r="M2990" s="20" t="n">
        <v>4</v>
      </c>
      <c r="N2990" s="19"/>
      <c r="O2990" s="19"/>
      <c r="P2990" s="19" t="s">
        <v>2119</v>
      </c>
      <c r="Q2990" s="19" t="s">
        <v>1368</v>
      </c>
      <c r="R2990" s="21" t="n">
        <v>45489</v>
      </c>
      <c r="S2990" s="19" t="s">
        <v>1211</v>
      </c>
      <c r="T2990" s="19" t="s">
        <v>8718</v>
      </c>
      <c r="U2990" s="19" t="str">
        <f aca="false">HYPERLINK("https://macaulaylibrary.org/asset/623181370","Open")</f>
        <v>Open</v>
      </c>
      <c r="V2990" s="19"/>
    </row>
    <row r="2991" customFormat="false" ht="15" hidden="false" customHeight="false" outlineLevel="0" collapsed="false">
      <c r="A2991" s="19" t="s">
        <v>8719</v>
      </c>
      <c r="B2991" s="19" t="s">
        <v>943</v>
      </c>
      <c r="C2991" s="19" t="s">
        <v>8448</v>
      </c>
      <c r="D2991" s="19" t="s">
        <v>148</v>
      </c>
      <c r="E2991" s="19" t="s">
        <v>147</v>
      </c>
      <c r="F2991" s="19" t="s">
        <v>225</v>
      </c>
      <c r="G2991" s="19" t="n">
        <v>76</v>
      </c>
      <c r="H2991" s="19" t="s">
        <v>226</v>
      </c>
      <c r="I2991" s="20" t="n">
        <v>40.287</v>
      </c>
      <c r="J2991" s="19" t="n">
        <f aca="false">IF(I2991="","",MIN(Overview!$B$8,MAX(1,CEILING(I2991/Overview!$B$7,1))))</f>
        <v>9</v>
      </c>
      <c r="K2991" s="19" t="n">
        <v>1</v>
      </c>
      <c r="L2991" s="19"/>
      <c r="M2991" s="20" t="n">
        <v>4</v>
      </c>
      <c r="N2991" s="19"/>
      <c r="O2991" s="19"/>
      <c r="P2991" s="19" t="s">
        <v>2119</v>
      </c>
      <c r="Q2991" s="19" t="s">
        <v>1368</v>
      </c>
      <c r="R2991" s="21" t="n">
        <v>45489</v>
      </c>
      <c r="S2991" s="19" t="s">
        <v>1211</v>
      </c>
      <c r="T2991" s="19" t="s">
        <v>8720</v>
      </c>
      <c r="U2991" s="19" t="str">
        <f aca="false">HYPERLINK("https://macaulaylibrary.org/asset/623181372","Open")</f>
        <v>Open</v>
      </c>
      <c r="V2991" s="19"/>
    </row>
    <row r="2992" customFormat="false" ht="15" hidden="false" customHeight="false" outlineLevel="0" collapsed="false">
      <c r="A2992" s="19" t="s">
        <v>8721</v>
      </c>
      <c r="B2992" s="19" t="s">
        <v>943</v>
      </c>
      <c r="C2992" s="19" t="s">
        <v>8448</v>
      </c>
      <c r="D2992" s="19" t="s">
        <v>148</v>
      </c>
      <c r="E2992" s="19" t="s">
        <v>147</v>
      </c>
      <c r="F2992" s="19" t="s">
        <v>225</v>
      </c>
      <c r="G2992" s="19" t="n">
        <v>76</v>
      </c>
      <c r="H2992" s="19" t="s">
        <v>226</v>
      </c>
      <c r="I2992" s="20" t="n">
        <v>63.482</v>
      </c>
      <c r="J2992" s="19" t="n">
        <f aca="false">IF(I2992="","",MIN(Overview!$B$8,MAX(1,CEILING(I2992/Overview!$B$7,1))))</f>
        <v>13</v>
      </c>
      <c r="K2992" s="19" t="n">
        <v>1</v>
      </c>
      <c r="L2992" s="19"/>
      <c r="M2992" s="20"/>
      <c r="N2992" s="19"/>
      <c r="O2992" s="19" t="s">
        <v>404</v>
      </c>
      <c r="P2992" s="19" t="s">
        <v>1674</v>
      </c>
      <c r="Q2992" s="19" t="s">
        <v>1091</v>
      </c>
      <c r="R2992" s="21" t="n">
        <v>45843</v>
      </c>
      <c r="S2992" s="19" t="s">
        <v>1009</v>
      </c>
      <c r="T2992" s="19" t="s">
        <v>8722</v>
      </c>
      <c r="U2992" s="19" t="str">
        <f aca="false">HYPERLINK("https://macaulaylibrary.org/asset/639163451","Open")</f>
        <v>Open</v>
      </c>
      <c r="V2992" s="19"/>
    </row>
    <row r="2993" customFormat="false" ht="15" hidden="false" customHeight="false" outlineLevel="0" collapsed="false">
      <c r="A2993" s="19" t="s">
        <v>8723</v>
      </c>
      <c r="B2993" s="19" t="s">
        <v>943</v>
      </c>
      <c r="C2993" s="19" t="s">
        <v>8448</v>
      </c>
      <c r="D2993" s="19" t="s">
        <v>148</v>
      </c>
      <c r="E2993" s="19" t="s">
        <v>147</v>
      </c>
      <c r="F2993" s="19" t="s">
        <v>280</v>
      </c>
      <c r="G2993" s="19" t="n">
        <v>78</v>
      </c>
      <c r="H2993" s="19" t="s">
        <v>281</v>
      </c>
      <c r="I2993" s="20" t="n">
        <v>69.004</v>
      </c>
      <c r="J2993" s="19" t="n">
        <f aca="false">IF(I2993="","",MIN(Overview!$B$8,MAX(1,CEILING(I2993/Overview!$B$7,1))))</f>
        <v>14</v>
      </c>
      <c r="K2993" s="19" t="n">
        <v>1</v>
      </c>
      <c r="L2993" s="19"/>
      <c r="M2993" s="20" t="n">
        <v>2</v>
      </c>
      <c r="N2993" s="19"/>
      <c r="O2993" s="19"/>
      <c r="P2993" s="19" t="s">
        <v>1109</v>
      </c>
      <c r="Q2993" s="19" t="s">
        <v>1110</v>
      </c>
      <c r="R2993" s="21" t="n">
        <v>36969</v>
      </c>
      <c r="S2993" s="19" t="s">
        <v>8724</v>
      </c>
      <c r="T2993" s="19" t="s">
        <v>8725</v>
      </c>
      <c r="U2993" s="19" t="str">
        <f aca="false">HYPERLINK("https://macaulaylibrary.org/asset/185752","Open")</f>
        <v>Open</v>
      </c>
      <c r="V2993" s="19"/>
    </row>
    <row r="2994" customFormat="false" ht="15" hidden="false" customHeight="false" outlineLevel="0" collapsed="false">
      <c r="A2994" s="19" t="s">
        <v>8726</v>
      </c>
      <c r="B2994" s="19" t="s">
        <v>943</v>
      </c>
      <c r="C2994" s="19" t="s">
        <v>8448</v>
      </c>
      <c r="D2994" s="19" t="s">
        <v>148</v>
      </c>
      <c r="E2994" s="19" t="s">
        <v>147</v>
      </c>
      <c r="F2994" s="19" t="s">
        <v>280</v>
      </c>
      <c r="G2994" s="19" t="n">
        <v>78</v>
      </c>
      <c r="H2994" s="19" t="s">
        <v>281</v>
      </c>
      <c r="I2994" s="20" t="n">
        <v>156.802</v>
      </c>
      <c r="J2994" s="19" t="n">
        <f aca="false">IF(I2994="","",MIN(Overview!$B$8,MAX(1,CEILING(I2994/Overview!$B$7,1))))</f>
        <v>32</v>
      </c>
      <c r="K2994" s="19" t="n">
        <v>1</v>
      </c>
      <c r="L2994" s="19"/>
      <c r="M2994" s="20" t="n">
        <v>4</v>
      </c>
      <c r="N2994" s="19"/>
      <c r="O2994" s="19"/>
      <c r="P2994" s="19" t="s">
        <v>2278</v>
      </c>
      <c r="Q2994" s="19" t="s">
        <v>1408</v>
      </c>
      <c r="R2994" s="21" t="n">
        <v>32611</v>
      </c>
      <c r="S2994" s="19" t="s">
        <v>1009</v>
      </c>
      <c r="T2994" s="19" t="s">
        <v>8727</v>
      </c>
      <c r="U2994" s="19" t="str">
        <f aca="false">HYPERLINK("https://macaulaylibrary.org/asset/348066131","Open")</f>
        <v>Open</v>
      </c>
      <c r="V2994" s="19"/>
    </row>
    <row r="2995" customFormat="false" ht="15" hidden="false" customHeight="false" outlineLevel="0" collapsed="false">
      <c r="A2995" s="19" t="s">
        <v>8728</v>
      </c>
      <c r="B2995" s="19" t="s">
        <v>943</v>
      </c>
      <c r="C2995" s="19" t="s">
        <v>8448</v>
      </c>
      <c r="D2995" s="19" t="s">
        <v>148</v>
      </c>
      <c r="E2995" s="19" t="s">
        <v>147</v>
      </c>
      <c r="F2995" s="19" t="s">
        <v>280</v>
      </c>
      <c r="G2995" s="19" t="n">
        <v>78</v>
      </c>
      <c r="H2995" s="19" t="s">
        <v>281</v>
      </c>
      <c r="I2995" s="20" t="n">
        <v>21.995</v>
      </c>
      <c r="J2995" s="19" t="n">
        <f aca="false">IF(I2995="","",MIN(Overview!$B$8,MAX(1,CEILING(I2995/Overview!$B$7,1))))</f>
        <v>5</v>
      </c>
      <c r="K2995" s="19" t="n">
        <v>1</v>
      </c>
      <c r="L2995" s="19"/>
      <c r="M2995" s="20" t="n">
        <v>4</v>
      </c>
      <c r="N2995" s="19"/>
      <c r="O2995" s="19"/>
      <c r="P2995" s="19" t="s">
        <v>1143</v>
      </c>
      <c r="Q2995" s="19" t="s">
        <v>965</v>
      </c>
      <c r="R2995" s="21" t="n">
        <v>44548</v>
      </c>
      <c r="S2995" s="19" t="s">
        <v>1144</v>
      </c>
      <c r="T2995" s="19" t="s">
        <v>8729</v>
      </c>
      <c r="U2995" s="19" t="str">
        <f aca="false">HYPERLINK("https://macaulaylibrary.org/asset/398720561","Open")</f>
        <v>Open</v>
      </c>
      <c r="V2995" s="19"/>
    </row>
    <row r="2996" customFormat="false" ht="15" hidden="false" customHeight="false" outlineLevel="0" collapsed="false">
      <c r="A2996" s="19" t="s">
        <v>8730</v>
      </c>
      <c r="B2996" s="19" t="s">
        <v>943</v>
      </c>
      <c r="C2996" s="19" t="s">
        <v>8448</v>
      </c>
      <c r="D2996" s="19" t="s">
        <v>148</v>
      </c>
      <c r="E2996" s="19" t="s">
        <v>147</v>
      </c>
      <c r="F2996" s="19" t="s">
        <v>265</v>
      </c>
      <c r="G2996" s="19" t="n">
        <v>81</v>
      </c>
      <c r="H2996" s="19" t="s">
        <v>266</v>
      </c>
      <c r="I2996" s="20" t="n">
        <v>4.224</v>
      </c>
      <c r="J2996" s="19" t="n">
        <f aca="false">IF(I2996="","",MIN(Overview!$B$8,MAX(1,CEILING(I2996/Overview!$B$7,1))))</f>
        <v>1</v>
      </c>
      <c r="K2996" s="19" t="n">
        <v>1</v>
      </c>
      <c r="L2996" s="19" t="s">
        <v>1048</v>
      </c>
      <c r="M2996" s="20" t="n">
        <v>4</v>
      </c>
      <c r="N2996" s="19"/>
      <c r="O2996" s="19"/>
      <c r="P2996" s="19" t="s">
        <v>1143</v>
      </c>
      <c r="Q2996" s="19" t="s">
        <v>965</v>
      </c>
      <c r="R2996" s="21" t="n">
        <v>44548</v>
      </c>
      <c r="S2996" s="19" t="s">
        <v>1144</v>
      </c>
      <c r="T2996" s="19" t="s">
        <v>8731</v>
      </c>
      <c r="U2996" s="19" t="str">
        <f aca="false">HYPERLINK("https://macaulaylibrary.org/asset/398719801","Open")</f>
        <v>Open</v>
      </c>
      <c r="V2996" s="19"/>
    </row>
    <row r="2997" customFormat="false" ht="15" hidden="false" customHeight="false" outlineLevel="0" collapsed="false">
      <c r="A2997" s="19" t="s">
        <v>8732</v>
      </c>
      <c r="B2997" s="19" t="s">
        <v>943</v>
      </c>
      <c r="C2997" s="19" t="s">
        <v>8448</v>
      </c>
      <c r="D2997" s="19" t="s">
        <v>148</v>
      </c>
      <c r="E2997" s="19" t="s">
        <v>147</v>
      </c>
      <c r="F2997" s="19" t="s">
        <v>265</v>
      </c>
      <c r="G2997" s="19" t="n">
        <v>81</v>
      </c>
      <c r="H2997" s="19" t="s">
        <v>266</v>
      </c>
      <c r="I2997" s="20" t="n">
        <v>18.845</v>
      </c>
      <c r="J2997" s="19" t="n">
        <f aca="false">IF(I2997="","",MIN(Overview!$B$8,MAX(1,CEILING(I2997/Overview!$B$7,1))))</f>
        <v>4</v>
      </c>
      <c r="K2997" s="19" t="n">
        <v>1</v>
      </c>
      <c r="L2997" s="19"/>
      <c r="M2997" s="20" t="n">
        <v>4</v>
      </c>
      <c r="N2997" s="19"/>
      <c r="O2997" s="19"/>
      <c r="P2997" s="19" t="s">
        <v>2901</v>
      </c>
      <c r="Q2997" s="19" t="s">
        <v>1368</v>
      </c>
      <c r="R2997" s="21" t="n">
        <v>45624</v>
      </c>
      <c r="S2997" s="19" t="s">
        <v>1036</v>
      </c>
      <c r="T2997" s="19" t="s">
        <v>8733</v>
      </c>
      <c r="U2997" s="19" t="str">
        <f aca="false">HYPERLINK("https://macaulaylibrary.org/asset/642913244","Open")</f>
        <v>Open</v>
      </c>
      <c r="V2997" s="19"/>
    </row>
    <row r="2998" customFormat="false" ht="15" hidden="false" customHeight="false" outlineLevel="0" collapsed="false">
      <c r="A2998" s="19" t="s">
        <v>8734</v>
      </c>
      <c r="B2998" s="19" t="s">
        <v>943</v>
      </c>
      <c r="C2998" s="19" t="s">
        <v>8448</v>
      </c>
      <c r="D2998" s="19" t="s">
        <v>148</v>
      </c>
      <c r="E2998" s="19" t="s">
        <v>147</v>
      </c>
      <c r="F2998" s="19" t="s">
        <v>265</v>
      </c>
      <c r="G2998" s="19" t="n">
        <v>81</v>
      </c>
      <c r="H2998" s="19" t="s">
        <v>266</v>
      </c>
      <c r="I2998" s="20" t="n">
        <v>3.041</v>
      </c>
      <c r="J2998" s="19" t="n">
        <f aca="false">IF(I2998="","",MIN(Overview!$B$8,MAX(1,CEILING(I2998/Overview!$B$7,1))))</f>
        <v>1</v>
      </c>
      <c r="K2998" s="19" t="n">
        <v>1</v>
      </c>
      <c r="L2998" s="19" t="s">
        <v>1048</v>
      </c>
      <c r="M2998" s="20" t="n">
        <v>4</v>
      </c>
      <c r="N2998" s="19"/>
      <c r="O2998" s="19"/>
      <c r="P2998" s="19" t="s">
        <v>2901</v>
      </c>
      <c r="Q2998" s="19" t="s">
        <v>1368</v>
      </c>
      <c r="R2998" s="21" t="n">
        <v>45624</v>
      </c>
      <c r="S2998" s="19" t="s">
        <v>1036</v>
      </c>
      <c r="T2998" s="19" t="s">
        <v>8735</v>
      </c>
      <c r="U2998" s="19" t="str">
        <f aca="false">HYPERLINK("https://macaulaylibrary.org/asset/642913245","Open")</f>
        <v>Open</v>
      </c>
      <c r="V2998" s="19"/>
    </row>
    <row r="2999" customFormat="false" ht="15" hidden="false" customHeight="false" outlineLevel="0" collapsed="false">
      <c r="A2999" s="19" t="s">
        <v>8736</v>
      </c>
      <c r="B2999" s="19" t="s">
        <v>943</v>
      </c>
      <c r="C2999" s="19" t="s">
        <v>8448</v>
      </c>
      <c r="D2999" s="19" t="s">
        <v>148</v>
      </c>
      <c r="E2999" s="19" t="s">
        <v>147</v>
      </c>
      <c r="F2999" s="19" t="s">
        <v>419</v>
      </c>
      <c r="G2999" s="19" t="n">
        <v>82</v>
      </c>
      <c r="H2999" s="19" t="s">
        <v>420</v>
      </c>
      <c r="I2999" s="20" t="n">
        <v>87.801</v>
      </c>
      <c r="J2999" s="19" t="n">
        <f aca="false">IF(I2999="","",MIN(Overview!$B$8,MAX(1,CEILING(I2999/Overview!$B$7,1))))</f>
        <v>18</v>
      </c>
      <c r="K2999" s="19" t="n">
        <v>1</v>
      </c>
      <c r="L2999" s="19"/>
      <c r="M2999" s="20" t="n">
        <v>2.2</v>
      </c>
      <c r="N2999" s="19"/>
      <c r="O2999" s="19" t="s">
        <v>231</v>
      </c>
      <c r="P2999" s="19" t="s">
        <v>3433</v>
      </c>
      <c r="Q2999" s="19" t="s">
        <v>2343</v>
      </c>
      <c r="R2999" s="21" t="n">
        <v>31504</v>
      </c>
      <c r="S2999" s="19" t="s">
        <v>3255</v>
      </c>
      <c r="T2999" s="19" t="s">
        <v>8737</v>
      </c>
      <c r="U2999" s="19" t="str">
        <f aca="false">HYPERLINK("https://macaulaylibrary.org/asset/249427","Open")</f>
        <v>Open</v>
      </c>
      <c r="V2999" s="19" t="s">
        <v>3238</v>
      </c>
    </row>
    <row r="3000" customFormat="false" ht="15" hidden="false" customHeight="false" outlineLevel="0" collapsed="false">
      <c r="A3000" s="19" t="s">
        <v>8738</v>
      </c>
      <c r="B3000" s="19" t="s">
        <v>943</v>
      </c>
      <c r="C3000" s="19" t="s">
        <v>8448</v>
      </c>
      <c r="D3000" s="19" t="s">
        <v>148</v>
      </c>
      <c r="E3000" s="19" t="s">
        <v>147</v>
      </c>
      <c r="F3000" s="19" t="s">
        <v>419</v>
      </c>
      <c r="G3000" s="19" t="n">
        <v>82</v>
      </c>
      <c r="H3000" s="19" t="s">
        <v>420</v>
      </c>
      <c r="I3000" s="20" t="n">
        <v>51.56</v>
      </c>
      <c r="J3000" s="19" t="n">
        <f aca="false">IF(I3000="","",MIN(Overview!$B$8,MAX(1,CEILING(I3000/Overview!$B$7,1))))</f>
        <v>11</v>
      </c>
      <c r="K3000" s="19" t="n">
        <v>1</v>
      </c>
      <c r="L3000" s="19"/>
      <c r="M3000" s="20" t="n">
        <v>3</v>
      </c>
      <c r="N3000" s="19"/>
      <c r="O3000" s="19"/>
      <c r="P3000" s="19" t="s">
        <v>1587</v>
      </c>
      <c r="Q3000" s="19" t="s">
        <v>1136</v>
      </c>
      <c r="R3000" s="21" t="n">
        <v>29733</v>
      </c>
      <c r="S3000" s="19" t="s">
        <v>1245</v>
      </c>
      <c r="T3000" s="19" t="s">
        <v>8739</v>
      </c>
      <c r="U3000" s="19" t="str">
        <f aca="false">HYPERLINK("https://macaulaylibrary.org/asset/28156","Open")</f>
        <v>Open</v>
      </c>
      <c r="V3000" s="19" t="s">
        <v>3238</v>
      </c>
    </row>
    <row r="3001" customFormat="false" ht="15" hidden="false" customHeight="false" outlineLevel="0" collapsed="false">
      <c r="A3001" s="19" t="s">
        <v>8740</v>
      </c>
      <c r="B3001" s="19" t="s">
        <v>943</v>
      </c>
      <c r="C3001" s="19" t="s">
        <v>8448</v>
      </c>
      <c r="D3001" s="19" t="s">
        <v>148</v>
      </c>
      <c r="E3001" s="19" t="s">
        <v>147</v>
      </c>
      <c r="F3001" s="19" t="s">
        <v>310</v>
      </c>
      <c r="G3001" s="19" t="n">
        <v>83</v>
      </c>
      <c r="H3001" s="19" t="s">
        <v>311</v>
      </c>
      <c r="I3001" s="20" t="n">
        <v>51.2</v>
      </c>
      <c r="J3001" s="19" t="n">
        <f aca="false">IF(I3001="","",MIN(Overview!$B$8,MAX(1,CEILING(I3001/Overview!$B$7,1))))</f>
        <v>11</v>
      </c>
      <c r="K3001" s="19" t="n">
        <v>1</v>
      </c>
      <c r="L3001" s="19"/>
      <c r="M3001" s="20" t="n">
        <v>1</v>
      </c>
      <c r="N3001" s="19"/>
      <c r="O3001" s="19"/>
      <c r="P3001" s="19" t="s">
        <v>3195</v>
      </c>
      <c r="Q3001" s="19" t="s">
        <v>965</v>
      </c>
      <c r="R3001" s="21" t="n">
        <v>43813</v>
      </c>
      <c r="S3001" s="19" t="s">
        <v>3196</v>
      </c>
      <c r="T3001" s="19" t="s">
        <v>8741</v>
      </c>
      <c r="U3001" s="19" t="str">
        <f aca="false">HYPERLINK("https://macaulaylibrary.org/asset/193418041","Open")</f>
        <v>Open</v>
      </c>
      <c r="V3001" s="19"/>
    </row>
    <row r="3002" customFormat="false" ht="15" hidden="false" customHeight="false" outlineLevel="0" collapsed="false">
      <c r="A3002" s="19" t="s">
        <v>8742</v>
      </c>
      <c r="B3002" s="19" t="s">
        <v>943</v>
      </c>
      <c r="C3002" s="19" t="s">
        <v>8448</v>
      </c>
      <c r="D3002" s="19" t="s">
        <v>148</v>
      </c>
      <c r="E3002" s="19" t="s">
        <v>147</v>
      </c>
      <c r="F3002" s="19" t="s">
        <v>310</v>
      </c>
      <c r="G3002" s="19" t="n">
        <v>83</v>
      </c>
      <c r="H3002" s="19" t="s">
        <v>311</v>
      </c>
      <c r="I3002" s="20" t="n">
        <v>74.805</v>
      </c>
      <c r="J3002" s="19" t="n">
        <f aca="false">IF(I3002="","",MIN(Overview!$B$8,MAX(1,CEILING(I3002/Overview!$B$7,1))))</f>
        <v>15</v>
      </c>
      <c r="K3002" s="19" t="n">
        <v>1</v>
      </c>
      <c r="L3002" s="19"/>
      <c r="M3002" s="20" t="n">
        <v>3</v>
      </c>
      <c r="N3002" s="19"/>
      <c r="O3002" s="19"/>
      <c r="P3002" s="19" t="s">
        <v>1140</v>
      </c>
      <c r="Q3002" s="19" t="s">
        <v>1030</v>
      </c>
      <c r="R3002" s="21" t="n">
        <v>40250</v>
      </c>
      <c r="S3002" s="19" t="s">
        <v>1017</v>
      </c>
      <c r="T3002" s="19" t="s">
        <v>8743</v>
      </c>
      <c r="U3002" s="19" t="str">
        <f aca="false">HYPERLINK("https://macaulaylibrary.org/asset/299559","Open")</f>
        <v>Open</v>
      </c>
      <c r="V3002" s="19"/>
    </row>
    <row r="3003" customFormat="false" ht="15" hidden="false" customHeight="false" outlineLevel="0" collapsed="false">
      <c r="A3003" s="19" t="s">
        <v>8744</v>
      </c>
      <c r="B3003" s="19" t="s">
        <v>943</v>
      </c>
      <c r="C3003" s="19" t="s">
        <v>8448</v>
      </c>
      <c r="D3003" s="19" t="s">
        <v>148</v>
      </c>
      <c r="E3003" s="19" t="s">
        <v>147</v>
      </c>
      <c r="F3003" s="19" t="s">
        <v>310</v>
      </c>
      <c r="G3003" s="19" t="n">
        <v>83</v>
      </c>
      <c r="H3003" s="19" t="s">
        <v>311</v>
      </c>
      <c r="I3003" s="20" t="n">
        <v>73.792</v>
      </c>
      <c r="J3003" s="19" t="n">
        <f aca="false">IF(I3003="","",MIN(Overview!$B$8,MAX(1,CEILING(I3003/Overview!$B$7,1))))</f>
        <v>15</v>
      </c>
      <c r="K3003" s="19" t="n">
        <v>1</v>
      </c>
      <c r="L3003" s="19"/>
      <c r="M3003" s="20" t="n">
        <v>1</v>
      </c>
      <c r="N3003" s="19"/>
      <c r="O3003" s="19"/>
      <c r="P3003" s="19" t="s">
        <v>8745</v>
      </c>
      <c r="Q3003" s="19" t="s">
        <v>1148</v>
      </c>
      <c r="R3003" s="21" t="n">
        <v>46124</v>
      </c>
      <c r="S3003" s="19" t="s">
        <v>1357</v>
      </c>
      <c r="T3003" s="19" t="s">
        <v>8746</v>
      </c>
      <c r="U3003" s="19" t="str">
        <f aca="false">HYPERLINK("https://macaulaylibrary.org/asset/656839256","Open")</f>
        <v>Open</v>
      </c>
      <c r="V3003" s="19"/>
    </row>
    <row r="3004" customFormat="false" ht="15" hidden="false" customHeight="false" outlineLevel="0" collapsed="false">
      <c r="A3004" s="19" t="s">
        <v>8747</v>
      </c>
      <c r="B3004" s="19" t="s">
        <v>943</v>
      </c>
      <c r="C3004" s="19" t="s">
        <v>8448</v>
      </c>
      <c r="D3004" s="19" t="s">
        <v>148</v>
      </c>
      <c r="E3004" s="19" t="s">
        <v>147</v>
      </c>
      <c r="F3004" s="19" t="s">
        <v>286</v>
      </c>
      <c r="G3004" s="19" t="n">
        <v>85</v>
      </c>
      <c r="H3004" s="19" t="s">
        <v>287</v>
      </c>
      <c r="I3004" s="20" t="n">
        <v>72.386</v>
      </c>
      <c r="J3004" s="19" t="n">
        <f aca="false">IF(I3004="","",MIN(Overview!$B$8,MAX(1,CEILING(I3004/Overview!$B$7,1))))</f>
        <v>15</v>
      </c>
      <c r="K3004" s="19" t="n">
        <v>1</v>
      </c>
      <c r="L3004" s="19"/>
      <c r="M3004" s="20" t="n">
        <v>2</v>
      </c>
      <c r="N3004" s="19"/>
      <c r="O3004" s="19" t="s">
        <v>335</v>
      </c>
      <c r="P3004" s="19" t="s">
        <v>2642</v>
      </c>
      <c r="Q3004" s="19" t="s">
        <v>1218</v>
      </c>
      <c r="R3004" s="21" t="n">
        <v>34782</v>
      </c>
      <c r="S3004" s="19" t="s">
        <v>4426</v>
      </c>
      <c r="T3004" s="19" t="s">
        <v>8748</v>
      </c>
      <c r="U3004" s="19" t="str">
        <f aca="false">HYPERLINK("https://macaulaylibrary.org/asset/184007","Open")</f>
        <v>Open</v>
      </c>
      <c r="V3004" s="19"/>
    </row>
    <row r="3005" customFormat="false" ht="15" hidden="false" customHeight="false" outlineLevel="0" collapsed="false">
      <c r="A3005" s="19" t="s">
        <v>8749</v>
      </c>
      <c r="B3005" s="19" t="s">
        <v>943</v>
      </c>
      <c r="C3005" s="19" t="s">
        <v>8448</v>
      </c>
      <c r="D3005" s="19" t="s">
        <v>148</v>
      </c>
      <c r="E3005" s="19" t="s">
        <v>147</v>
      </c>
      <c r="F3005" s="19" t="s">
        <v>286</v>
      </c>
      <c r="G3005" s="19" t="n">
        <v>85</v>
      </c>
      <c r="H3005" s="19" t="s">
        <v>287</v>
      </c>
      <c r="I3005" s="20" t="n">
        <v>37.534</v>
      </c>
      <c r="J3005" s="19" t="n">
        <f aca="false">IF(I3005="","",MIN(Overview!$B$8,MAX(1,CEILING(I3005/Overview!$B$7,1))))</f>
        <v>8</v>
      </c>
      <c r="K3005" s="19" t="n">
        <v>1</v>
      </c>
      <c r="L3005" s="19"/>
      <c r="M3005" s="20" t="n">
        <v>3.5</v>
      </c>
      <c r="N3005" s="19"/>
      <c r="O3005" s="19"/>
      <c r="P3005" s="19" t="s">
        <v>2499</v>
      </c>
      <c r="Q3005" s="19" t="s">
        <v>1063</v>
      </c>
      <c r="R3005" s="21" t="n">
        <v>44087</v>
      </c>
      <c r="S3005" s="19" t="s">
        <v>2500</v>
      </c>
      <c r="T3005" s="19" t="s">
        <v>8750</v>
      </c>
      <c r="U3005" s="19" t="str">
        <f aca="false">HYPERLINK("https://macaulaylibrary.org/asset/267822031","Open")</f>
        <v>Open</v>
      </c>
      <c r="V3005" s="19"/>
    </row>
    <row r="3006" customFormat="false" ht="15" hidden="false" customHeight="false" outlineLevel="0" collapsed="false">
      <c r="A3006" s="19" t="s">
        <v>8751</v>
      </c>
      <c r="B3006" s="19" t="s">
        <v>943</v>
      </c>
      <c r="C3006" s="19" t="s">
        <v>8448</v>
      </c>
      <c r="D3006" s="19" t="s">
        <v>148</v>
      </c>
      <c r="E3006" s="19" t="s">
        <v>147</v>
      </c>
      <c r="F3006" s="19" t="s">
        <v>286</v>
      </c>
      <c r="G3006" s="19" t="n">
        <v>85</v>
      </c>
      <c r="H3006" s="19" t="s">
        <v>287</v>
      </c>
      <c r="I3006" s="20" t="n">
        <v>14.229</v>
      </c>
      <c r="J3006" s="19" t="n">
        <f aca="false">IF(I3006="","",MIN(Overview!$B$8,MAX(1,CEILING(I3006/Overview!$B$7,1))))</f>
        <v>3</v>
      </c>
      <c r="K3006" s="19" t="n">
        <v>1</v>
      </c>
      <c r="L3006" s="19"/>
      <c r="M3006" s="20" t="n">
        <v>2</v>
      </c>
      <c r="N3006" s="19"/>
      <c r="O3006" s="19"/>
      <c r="P3006" s="19" t="s">
        <v>8547</v>
      </c>
      <c r="Q3006" s="19" t="s">
        <v>1847</v>
      </c>
      <c r="R3006" s="21" t="n">
        <v>44258</v>
      </c>
      <c r="S3006" s="19" t="s">
        <v>1315</v>
      </c>
      <c r="T3006" s="19" t="s">
        <v>8752</v>
      </c>
      <c r="U3006" s="19" t="str">
        <f aca="false">HYPERLINK("https://macaulaylibrary.org/asset/357682151","Open")</f>
        <v>Open</v>
      </c>
      <c r="V3006" s="19"/>
    </row>
    <row r="3007" customFormat="false" ht="15" hidden="false" customHeight="false" outlineLevel="0" collapsed="false">
      <c r="A3007" s="19" t="s">
        <v>8753</v>
      </c>
      <c r="B3007" s="19" t="s">
        <v>943</v>
      </c>
      <c r="C3007" s="19" t="s">
        <v>8448</v>
      </c>
      <c r="D3007" s="19" t="s">
        <v>148</v>
      </c>
      <c r="E3007" s="19" t="s">
        <v>147</v>
      </c>
      <c r="F3007" s="19" t="s">
        <v>316</v>
      </c>
      <c r="G3007" s="19" t="n">
        <v>86</v>
      </c>
      <c r="H3007" s="19" t="s">
        <v>317</v>
      </c>
      <c r="I3007" s="20" t="n">
        <v>22.443</v>
      </c>
      <c r="J3007" s="19" t="n">
        <f aca="false">IF(I3007="","",MIN(Overview!$B$8,MAX(1,CEILING(I3007/Overview!$B$7,1))))</f>
        <v>5</v>
      </c>
      <c r="K3007" s="19" t="n">
        <v>1</v>
      </c>
      <c r="L3007" s="19"/>
      <c r="M3007" s="20" t="n">
        <v>3.67</v>
      </c>
      <c r="N3007" s="19"/>
      <c r="O3007" s="19"/>
      <c r="P3007" s="19" t="s">
        <v>3195</v>
      </c>
      <c r="Q3007" s="19" t="s">
        <v>965</v>
      </c>
      <c r="R3007" s="21" t="n">
        <v>43813</v>
      </c>
      <c r="S3007" s="19" t="s">
        <v>3196</v>
      </c>
      <c r="T3007" s="19" t="s">
        <v>8754</v>
      </c>
      <c r="U3007" s="19" t="str">
        <f aca="false">HYPERLINK("https://macaulaylibrary.org/asset/193417741","Open")</f>
        <v>Open</v>
      </c>
      <c r="V3007" s="19"/>
    </row>
    <row r="3008" customFormat="false" ht="15" hidden="false" customHeight="false" outlineLevel="0" collapsed="false">
      <c r="A3008" s="19" t="s">
        <v>8755</v>
      </c>
      <c r="B3008" s="19" t="s">
        <v>943</v>
      </c>
      <c r="C3008" s="19" t="s">
        <v>8448</v>
      </c>
      <c r="D3008" s="19" t="s">
        <v>148</v>
      </c>
      <c r="E3008" s="19" t="s">
        <v>147</v>
      </c>
      <c r="F3008" s="19" t="s">
        <v>316</v>
      </c>
      <c r="G3008" s="19" t="n">
        <v>86</v>
      </c>
      <c r="H3008" s="19" t="s">
        <v>317</v>
      </c>
      <c r="I3008" s="20" t="n">
        <v>61.402</v>
      </c>
      <c r="J3008" s="19" t="n">
        <f aca="false">IF(I3008="","",MIN(Overview!$B$8,MAX(1,CEILING(I3008/Overview!$B$7,1))))</f>
        <v>13</v>
      </c>
      <c r="K3008" s="19" t="n">
        <v>1</v>
      </c>
      <c r="L3008" s="19"/>
      <c r="M3008" s="20"/>
      <c r="N3008" s="19"/>
      <c r="O3008" s="19"/>
      <c r="P3008" s="19" t="s">
        <v>1140</v>
      </c>
      <c r="Q3008" s="19" t="s">
        <v>1030</v>
      </c>
      <c r="R3008" s="21" t="n">
        <v>40250</v>
      </c>
      <c r="S3008" s="19" t="s">
        <v>1774</v>
      </c>
      <c r="T3008" s="19" t="s">
        <v>8756</v>
      </c>
      <c r="U3008" s="19" t="str">
        <f aca="false">HYPERLINK("https://macaulaylibrary.org/asset/299595","Open")</f>
        <v>Open</v>
      </c>
      <c r="V3008" s="19"/>
    </row>
    <row r="3009" customFormat="false" ht="15" hidden="false" customHeight="false" outlineLevel="0" collapsed="false">
      <c r="A3009" s="19" t="s">
        <v>8757</v>
      </c>
      <c r="B3009" s="19" t="s">
        <v>943</v>
      </c>
      <c r="C3009" s="19" t="s">
        <v>8448</v>
      </c>
      <c r="D3009" s="19" t="s">
        <v>148</v>
      </c>
      <c r="E3009" s="19" t="s">
        <v>147</v>
      </c>
      <c r="F3009" s="19" t="s">
        <v>316</v>
      </c>
      <c r="G3009" s="19" t="n">
        <v>86</v>
      </c>
      <c r="H3009" s="19" t="s">
        <v>317</v>
      </c>
      <c r="I3009" s="20" t="n">
        <v>85.208</v>
      </c>
      <c r="J3009" s="19" t="n">
        <f aca="false">IF(I3009="","",MIN(Overview!$B$8,MAX(1,CEILING(I3009/Overview!$B$7,1))))</f>
        <v>18</v>
      </c>
      <c r="K3009" s="19" t="n">
        <v>1</v>
      </c>
      <c r="L3009" s="19"/>
      <c r="M3009" s="20"/>
      <c r="N3009" s="19"/>
      <c r="O3009" s="19" t="s">
        <v>8758</v>
      </c>
      <c r="P3009" s="19" t="s">
        <v>2587</v>
      </c>
      <c r="Q3009" s="19" t="s">
        <v>1236</v>
      </c>
      <c r="R3009" s="21" t="n">
        <v>46074</v>
      </c>
      <c r="S3009" s="19" t="s">
        <v>1299</v>
      </c>
      <c r="T3009" s="19" t="s">
        <v>8759</v>
      </c>
      <c r="U3009" s="19" t="str">
        <f aca="false">HYPERLINK("https://macaulaylibrary.org/asset/654240325","Open")</f>
        <v>Open</v>
      </c>
      <c r="V3009" s="19"/>
    </row>
    <row r="3010" customFormat="false" ht="15" hidden="false" customHeight="false" outlineLevel="0" collapsed="false">
      <c r="A3010" s="19" t="s">
        <v>8760</v>
      </c>
      <c r="B3010" s="19" t="s">
        <v>943</v>
      </c>
      <c r="C3010" s="19" t="s">
        <v>8448</v>
      </c>
      <c r="D3010" s="19" t="s">
        <v>148</v>
      </c>
      <c r="E3010" s="19" t="s">
        <v>147</v>
      </c>
      <c r="F3010" s="19" t="s">
        <v>249</v>
      </c>
      <c r="G3010" s="19" t="n">
        <v>90</v>
      </c>
      <c r="H3010" s="19" t="s">
        <v>250</v>
      </c>
      <c r="I3010" s="20" t="n">
        <v>11.691</v>
      </c>
      <c r="J3010" s="19" t="n">
        <f aca="false">IF(I3010="","",MIN(Overview!$B$8,MAX(1,CEILING(I3010/Overview!$B$7,1))))</f>
        <v>3</v>
      </c>
      <c r="K3010" s="19" t="n">
        <v>1</v>
      </c>
      <c r="L3010" s="19"/>
      <c r="M3010" s="20" t="n">
        <v>2.5</v>
      </c>
      <c r="N3010" s="19"/>
      <c r="O3010" s="19"/>
      <c r="P3010" s="19" t="s">
        <v>2916</v>
      </c>
      <c r="Q3010" s="19" t="s">
        <v>2235</v>
      </c>
      <c r="R3010" s="21" t="n">
        <v>43469</v>
      </c>
      <c r="S3010" s="19" t="s">
        <v>1484</v>
      </c>
      <c r="T3010" s="19" t="s">
        <v>8761</v>
      </c>
      <c r="U3010" s="19" t="str">
        <f aca="false">HYPERLINK("https://macaulaylibrary.org/asset/137859661","Open")</f>
        <v>Open</v>
      </c>
      <c r="V3010" s="19"/>
    </row>
    <row r="3011" customFormat="false" ht="15" hidden="false" customHeight="false" outlineLevel="0" collapsed="false">
      <c r="A3011" s="19" t="s">
        <v>8762</v>
      </c>
      <c r="B3011" s="19" t="s">
        <v>943</v>
      </c>
      <c r="C3011" s="19" t="s">
        <v>8448</v>
      </c>
      <c r="D3011" s="19" t="s">
        <v>148</v>
      </c>
      <c r="E3011" s="19" t="s">
        <v>147</v>
      </c>
      <c r="F3011" s="19" t="s">
        <v>249</v>
      </c>
      <c r="G3011" s="19" t="n">
        <v>90</v>
      </c>
      <c r="H3011" s="19" t="s">
        <v>250</v>
      </c>
      <c r="I3011" s="20" t="n">
        <v>14.686</v>
      </c>
      <c r="J3011" s="19" t="n">
        <f aca="false">IF(I3011="","",MIN(Overview!$B$8,MAX(1,CEILING(I3011/Overview!$B$7,1))))</f>
        <v>3</v>
      </c>
      <c r="K3011" s="19" t="n">
        <v>1</v>
      </c>
      <c r="L3011" s="19"/>
      <c r="M3011" s="20" t="n">
        <v>3</v>
      </c>
      <c r="N3011" s="19"/>
      <c r="O3011" s="19"/>
      <c r="P3011" s="19" t="s">
        <v>2916</v>
      </c>
      <c r="Q3011" s="19" t="s">
        <v>2235</v>
      </c>
      <c r="R3011" s="21" t="n">
        <v>43469</v>
      </c>
      <c r="S3011" s="19" t="s">
        <v>1484</v>
      </c>
      <c r="T3011" s="19" t="s">
        <v>8763</v>
      </c>
      <c r="U3011" s="19" t="str">
        <f aca="false">HYPERLINK("https://macaulaylibrary.org/asset/137863831","Open")</f>
        <v>Open</v>
      </c>
      <c r="V3011" s="19"/>
    </row>
    <row r="3012" customFormat="false" ht="15" hidden="false" customHeight="false" outlineLevel="0" collapsed="false">
      <c r="A3012" s="19" t="s">
        <v>8764</v>
      </c>
      <c r="B3012" s="19" t="s">
        <v>943</v>
      </c>
      <c r="C3012" s="19" t="s">
        <v>8448</v>
      </c>
      <c r="D3012" s="19" t="s">
        <v>148</v>
      </c>
      <c r="E3012" s="19" t="s">
        <v>147</v>
      </c>
      <c r="F3012" s="19" t="s">
        <v>249</v>
      </c>
      <c r="G3012" s="19" t="n">
        <v>90</v>
      </c>
      <c r="H3012" s="19" t="s">
        <v>250</v>
      </c>
      <c r="I3012" s="20" t="n">
        <v>6.196</v>
      </c>
      <c r="J3012" s="19" t="n">
        <f aca="false">IF(I3012="","",MIN(Overview!$B$8,MAX(1,CEILING(I3012/Overview!$B$7,1))))</f>
        <v>2</v>
      </c>
      <c r="K3012" s="19" t="n">
        <v>1</v>
      </c>
      <c r="L3012" s="19"/>
      <c r="M3012" s="20" t="n">
        <v>3</v>
      </c>
      <c r="N3012" s="19"/>
      <c r="O3012" s="19" t="s">
        <v>169</v>
      </c>
      <c r="P3012" s="19" t="s">
        <v>4969</v>
      </c>
      <c r="Q3012" s="19" t="s">
        <v>1050</v>
      </c>
      <c r="R3012" s="21" t="n">
        <v>43407</v>
      </c>
      <c r="S3012" s="19" t="s">
        <v>4970</v>
      </c>
      <c r="T3012" s="19" t="s">
        <v>8765</v>
      </c>
      <c r="U3012" s="19" t="str">
        <f aca="false">HYPERLINK("https://macaulaylibrary.org/asset/642595823","Open")</f>
        <v>Open</v>
      </c>
      <c r="V3012" s="19"/>
    </row>
    <row r="3013" customFormat="false" ht="15" hidden="false" customHeight="false" outlineLevel="0" collapsed="false">
      <c r="A3013" s="19" t="s">
        <v>8766</v>
      </c>
      <c r="B3013" s="19" t="s">
        <v>943</v>
      </c>
      <c r="C3013" s="19" t="s">
        <v>8448</v>
      </c>
      <c r="D3013" s="19" t="s">
        <v>148</v>
      </c>
      <c r="E3013" s="19" t="s">
        <v>147</v>
      </c>
      <c r="F3013" s="19" t="s">
        <v>249</v>
      </c>
      <c r="G3013" s="19" t="n">
        <v>90</v>
      </c>
      <c r="H3013" s="19" t="s">
        <v>250</v>
      </c>
      <c r="I3013" s="20" t="n">
        <v>13.772</v>
      </c>
      <c r="J3013" s="19" t="n">
        <f aca="false">IF(I3013="","",MIN(Overview!$B$8,MAX(1,CEILING(I3013/Overview!$B$7,1))))</f>
        <v>3</v>
      </c>
      <c r="K3013" s="19" t="n">
        <v>1</v>
      </c>
      <c r="L3013" s="19"/>
      <c r="M3013" s="20" t="n">
        <v>3</v>
      </c>
      <c r="N3013" s="19"/>
      <c r="O3013" s="19"/>
      <c r="P3013" s="19" t="s">
        <v>1742</v>
      </c>
      <c r="Q3013" s="19" t="s">
        <v>1021</v>
      </c>
      <c r="R3013" s="21" t="n">
        <v>35860</v>
      </c>
      <c r="S3013" s="19" t="s">
        <v>1743</v>
      </c>
      <c r="T3013" s="19" t="s">
        <v>8767</v>
      </c>
      <c r="U3013" s="19" t="str">
        <f aca="false">HYPERLINK("https://macaulaylibrary.org/asset/98013981","Open")</f>
        <v>Open</v>
      </c>
      <c r="V3013" s="19"/>
    </row>
    <row r="3014" customFormat="false" ht="15" hidden="false" customHeight="false" outlineLevel="0" collapsed="false">
      <c r="A3014" s="19" t="s">
        <v>8768</v>
      </c>
      <c r="B3014" s="19" t="s">
        <v>943</v>
      </c>
      <c r="C3014" s="19" t="s">
        <v>8448</v>
      </c>
      <c r="D3014" s="19" t="s">
        <v>148</v>
      </c>
      <c r="E3014" s="19" t="s">
        <v>147</v>
      </c>
      <c r="F3014" s="19" t="s">
        <v>289</v>
      </c>
      <c r="G3014" s="19" t="n">
        <v>102</v>
      </c>
      <c r="H3014" s="19" t="s">
        <v>290</v>
      </c>
      <c r="I3014" s="20" t="n">
        <v>22.818</v>
      </c>
      <c r="J3014" s="19" t="n">
        <f aca="false">IF(I3014="","",MIN(Overview!$B$8,MAX(1,CEILING(I3014/Overview!$B$7,1))))</f>
        <v>5</v>
      </c>
      <c r="K3014" s="19" t="n">
        <v>1</v>
      </c>
      <c r="L3014" s="19"/>
      <c r="M3014" s="20" t="n">
        <v>3.5</v>
      </c>
      <c r="N3014" s="19"/>
      <c r="O3014" s="19"/>
      <c r="P3014" s="19" t="s">
        <v>1356</v>
      </c>
      <c r="Q3014" s="19" t="s">
        <v>1021</v>
      </c>
      <c r="R3014" s="21" t="n">
        <v>36603</v>
      </c>
      <c r="S3014" s="19" t="s">
        <v>1357</v>
      </c>
      <c r="T3014" s="19" t="s">
        <v>8769</v>
      </c>
      <c r="U3014" s="19" t="str">
        <f aca="false">HYPERLINK("https://macaulaylibrary.org/asset/156781091","Open")</f>
        <v>Open</v>
      </c>
      <c r="V3014" s="19"/>
    </row>
    <row r="3015" customFormat="false" ht="15" hidden="false" customHeight="false" outlineLevel="0" collapsed="false">
      <c r="A3015" s="19" t="s">
        <v>8770</v>
      </c>
      <c r="B3015" s="19" t="s">
        <v>943</v>
      </c>
      <c r="C3015" s="19" t="s">
        <v>8448</v>
      </c>
      <c r="D3015" s="19" t="s">
        <v>148</v>
      </c>
      <c r="E3015" s="19" t="s">
        <v>147</v>
      </c>
      <c r="F3015" s="19" t="s">
        <v>289</v>
      </c>
      <c r="G3015" s="19" t="n">
        <v>102</v>
      </c>
      <c r="H3015" s="19" t="s">
        <v>290</v>
      </c>
      <c r="I3015" s="20" t="n">
        <v>22.419</v>
      </c>
      <c r="J3015" s="19" t="n">
        <f aca="false">IF(I3015="","",MIN(Overview!$B$8,MAX(1,CEILING(I3015/Overview!$B$7,1))))</f>
        <v>5</v>
      </c>
      <c r="K3015" s="19" t="n">
        <v>1</v>
      </c>
      <c r="L3015" s="19"/>
      <c r="M3015" s="20" t="n">
        <v>2</v>
      </c>
      <c r="N3015" s="19"/>
      <c r="O3015" s="19"/>
      <c r="P3015" s="19" t="s">
        <v>5297</v>
      </c>
      <c r="Q3015" s="19" t="s">
        <v>1050</v>
      </c>
      <c r="R3015" s="21" t="n">
        <v>43406</v>
      </c>
      <c r="S3015" s="19" t="s">
        <v>3042</v>
      </c>
      <c r="T3015" s="19" t="s">
        <v>8771</v>
      </c>
      <c r="U3015" s="19" t="str">
        <f aca="false">HYPERLINK("https://macaulaylibrary.org/asset/293062621","Open")</f>
        <v>Open</v>
      </c>
      <c r="V3015" s="19"/>
    </row>
    <row r="3016" customFormat="false" ht="15" hidden="false" customHeight="false" outlineLevel="0" collapsed="false">
      <c r="A3016" s="19" t="s">
        <v>8772</v>
      </c>
      <c r="B3016" s="19" t="s">
        <v>943</v>
      </c>
      <c r="C3016" s="19" t="s">
        <v>8448</v>
      </c>
      <c r="D3016" s="19" t="s">
        <v>148</v>
      </c>
      <c r="E3016" s="19" t="s">
        <v>147</v>
      </c>
      <c r="F3016" s="19" t="s">
        <v>289</v>
      </c>
      <c r="G3016" s="19" t="n">
        <v>102</v>
      </c>
      <c r="H3016" s="19" t="s">
        <v>290</v>
      </c>
      <c r="I3016" s="20" t="n">
        <v>73.895</v>
      </c>
      <c r="J3016" s="19" t="n">
        <f aca="false">IF(I3016="","",MIN(Overview!$B$8,MAX(1,CEILING(I3016/Overview!$B$7,1))))</f>
        <v>15</v>
      </c>
      <c r="K3016" s="19" t="n">
        <v>1</v>
      </c>
      <c r="L3016" s="19"/>
      <c r="M3016" s="20" t="n">
        <v>3</v>
      </c>
      <c r="N3016" s="19"/>
      <c r="O3016" s="19"/>
      <c r="P3016" s="19" t="s">
        <v>1001</v>
      </c>
      <c r="Q3016" s="19" t="s">
        <v>980</v>
      </c>
      <c r="R3016" s="21" t="n">
        <v>33299</v>
      </c>
      <c r="S3016" s="19" t="s">
        <v>1002</v>
      </c>
      <c r="T3016" s="19" t="s">
        <v>8773</v>
      </c>
      <c r="U3016" s="19" t="str">
        <f aca="false">HYPERLINK("https://macaulaylibrary.org/asset/72660","Open")</f>
        <v>Open</v>
      </c>
      <c r="V3016" s="19"/>
    </row>
    <row r="3017" customFormat="false" ht="15" hidden="false" customHeight="false" outlineLevel="0" collapsed="false">
      <c r="A3017" s="19" t="s">
        <v>8774</v>
      </c>
      <c r="B3017" s="19" t="s">
        <v>943</v>
      </c>
      <c r="C3017" s="19" t="s">
        <v>8448</v>
      </c>
      <c r="D3017" s="19" t="s">
        <v>148</v>
      </c>
      <c r="E3017" s="19" t="s">
        <v>147</v>
      </c>
      <c r="F3017" s="19" t="s">
        <v>422</v>
      </c>
      <c r="G3017" s="19" t="n">
        <v>103</v>
      </c>
      <c r="H3017" s="19" t="s">
        <v>423</v>
      </c>
      <c r="I3017" s="20" t="n">
        <v>80.19</v>
      </c>
      <c r="J3017" s="19" t="n">
        <f aca="false">IF(I3017="","",MIN(Overview!$B$8,MAX(1,CEILING(I3017/Overview!$B$7,1))))</f>
        <v>17</v>
      </c>
      <c r="K3017" s="19" t="n">
        <v>1</v>
      </c>
      <c r="L3017" s="19"/>
      <c r="M3017" s="20" t="n">
        <v>2</v>
      </c>
      <c r="N3017" s="19"/>
      <c r="O3017" s="19"/>
      <c r="P3017" s="19" t="s">
        <v>1121</v>
      </c>
      <c r="Q3017" s="19" t="s">
        <v>980</v>
      </c>
      <c r="R3017" s="21" t="n">
        <v>32556</v>
      </c>
      <c r="S3017" s="19" t="s">
        <v>8775</v>
      </c>
      <c r="T3017" s="19" t="s">
        <v>8776</v>
      </c>
      <c r="U3017" s="19" t="str">
        <f aca="false">HYPERLINK("https://macaulaylibrary.org/asset/215382","Open")</f>
        <v>Open</v>
      </c>
      <c r="V3017" s="19"/>
    </row>
    <row r="3018" customFormat="false" ht="15" hidden="false" customHeight="false" outlineLevel="0" collapsed="false">
      <c r="A3018" s="19" t="s">
        <v>8777</v>
      </c>
      <c r="B3018" s="19" t="s">
        <v>943</v>
      </c>
      <c r="C3018" s="19" t="s">
        <v>8448</v>
      </c>
      <c r="D3018" s="19" t="s">
        <v>148</v>
      </c>
      <c r="E3018" s="19" t="s">
        <v>147</v>
      </c>
      <c r="F3018" s="19" t="s">
        <v>422</v>
      </c>
      <c r="G3018" s="19" t="n">
        <v>103</v>
      </c>
      <c r="H3018" s="19" t="s">
        <v>423</v>
      </c>
      <c r="I3018" s="20" t="n">
        <v>7.508</v>
      </c>
      <c r="J3018" s="19" t="n">
        <f aca="false">IF(I3018="","",MIN(Overview!$B$8,MAX(1,CEILING(I3018/Overview!$B$7,1))))</f>
        <v>2</v>
      </c>
      <c r="K3018" s="19" t="n">
        <v>1</v>
      </c>
      <c r="L3018" s="19"/>
      <c r="M3018" s="20"/>
      <c r="N3018" s="19"/>
      <c r="O3018" s="19"/>
      <c r="P3018" s="19" t="s">
        <v>8778</v>
      </c>
      <c r="Q3018" s="19" t="s">
        <v>2483</v>
      </c>
      <c r="R3018" s="21" t="n">
        <v>45906</v>
      </c>
      <c r="S3018" s="19" t="s">
        <v>6590</v>
      </c>
      <c r="T3018" s="19" t="s">
        <v>8779</v>
      </c>
      <c r="U3018" s="19" t="str">
        <f aca="false">HYPERLINK("https://macaulaylibrary.org/asset/641471138","Open")</f>
        <v>Open</v>
      </c>
      <c r="V3018" s="19"/>
    </row>
    <row r="3019" customFormat="false" ht="15" hidden="false" customHeight="false" outlineLevel="0" collapsed="false">
      <c r="A3019" s="19" t="s">
        <v>8780</v>
      </c>
      <c r="B3019" s="19" t="s">
        <v>943</v>
      </c>
      <c r="C3019" s="19" t="s">
        <v>8448</v>
      </c>
      <c r="D3019" s="19" t="s">
        <v>148</v>
      </c>
      <c r="E3019" s="19" t="s">
        <v>147</v>
      </c>
      <c r="F3019" s="19" t="s">
        <v>155</v>
      </c>
      <c r="G3019" s="19" t="n">
        <v>104</v>
      </c>
      <c r="H3019" s="19" t="s">
        <v>156</v>
      </c>
      <c r="I3019" s="20" t="n">
        <v>8.885</v>
      </c>
      <c r="J3019" s="19" t="n">
        <f aca="false">IF(I3019="","",MIN(Overview!$B$8,MAX(1,CEILING(I3019/Overview!$B$7,1))))</f>
        <v>2</v>
      </c>
      <c r="K3019" s="19" t="n">
        <v>1</v>
      </c>
      <c r="L3019" s="19"/>
      <c r="M3019" s="20" t="n">
        <v>3</v>
      </c>
      <c r="N3019" s="19"/>
      <c r="O3019" s="19" t="s">
        <v>8781</v>
      </c>
      <c r="P3019" s="19" t="s">
        <v>5616</v>
      </c>
      <c r="Q3019" s="19" t="s">
        <v>990</v>
      </c>
      <c r="R3019" s="21" t="n">
        <v>44547</v>
      </c>
      <c r="S3019" s="19" t="s">
        <v>5617</v>
      </c>
      <c r="T3019" s="19" t="s">
        <v>8782</v>
      </c>
      <c r="U3019" s="19" t="str">
        <f aca="false">HYPERLINK("https://macaulaylibrary.org/asset/403166031","Open")</f>
        <v>Open</v>
      </c>
      <c r="V3019" s="19"/>
    </row>
    <row r="3020" customFormat="false" ht="15" hidden="false" customHeight="false" outlineLevel="0" collapsed="false">
      <c r="A3020" s="19" t="s">
        <v>8783</v>
      </c>
      <c r="B3020" s="19" t="s">
        <v>943</v>
      </c>
      <c r="C3020" s="19" t="s">
        <v>8448</v>
      </c>
      <c r="D3020" s="19" t="s">
        <v>148</v>
      </c>
      <c r="E3020" s="19" t="s">
        <v>147</v>
      </c>
      <c r="F3020" s="19" t="s">
        <v>155</v>
      </c>
      <c r="G3020" s="19" t="n">
        <v>104</v>
      </c>
      <c r="H3020" s="19" t="s">
        <v>156</v>
      </c>
      <c r="I3020" s="20" t="n">
        <v>16.822</v>
      </c>
      <c r="J3020" s="19" t="n">
        <f aca="false">IF(I3020="","",MIN(Overview!$B$8,MAX(1,CEILING(I3020/Overview!$B$7,1))))</f>
        <v>4</v>
      </c>
      <c r="K3020" s="19" t="n">
        <v>1</v>
      </c>
      <c r="L3020" s="19"/>
      <c r="M3020" s="20" t="n">
        <v>3.5</v>
      </c>
      <c r="N3020" s="19"/>
      <c r="O3020" s="19"/>
      <c r="P3020" s="19" t="s">
        <v>2780</v>
      </c>
      <c r="Q3020" s="19" t="s">
        <v>1040</v>
      </c>
      <c r="R3020" s="21" t="n">
        <v>42736</v>
      </c>
      <c r="S3020" s="19" t="s">
        <v>1884</v>
      </c>
      <c r="T3020" s="19" t="s">
        <v>8784</v>
      </c>
      <c r="U3020" s="19" t="str">
        <f aca="false">HYPERLINK("https://macaulaylibrary.org/asset/45570571","Open")</f>
        <v>Open</v>
      </c>
      <c r="V3020" s="19"/>
    </row>
    <row r="3021" customFormat="false" ht="15" hidden="false" customHeight="false" outlineLevel="0" collapsed="false">
      <c r="A3021" s="19" t="s">
        <v>8785</v>
      </c>
      <c r="B3021" s="19" t="s">
        <v>943</v>
      </c>
      <c r="C3021" s="19" t="s">
        <v>8448</v>
      </c>
      <c r="D3021" s="19" t="s">
        <v>148</v>
      </c>
      <c r="E3021" s="19" t="s">
        <v>147</v>
      </c>
      <c r="F3021" s="19" t="s">
        <v>155</v>
      </c>
      <c r="G3021" s="19" t="n">
        <v>104</v>
      </c>
      <c r="H3021" s="19" t="s">
        <v>156</v>
      </c>
      <c r="I3021" s="20" t="n">
        <v>21.035</v>
      </c>
      <c r="J3021" s="19" t="n">
        <f aca="false">IF(I3021="","",MIN(Overview!$B$8,MAX(1,CEILING(I3021/Overview!$B$7,1))))</f>
        <v>5</v>
      </c>
      <c r="K3021" s="19" t="n">
        <v>1</v>
      </c>
      <c r="L3021" s="19"/>
      <c r="M3021" s="20" t="n">
        <v>2</v>
      </c>
      <c r="N3021" s="19"/>
      <c r="O3021" s="19"/>
      <c r="P3021" s="19" t="s">
        <v>5906</v>
      </c>
      <c r="Q3021" s="19" t="s">
        <v>2106</v>
      </c>
      <c r="R3021" s="21" t="n">
        <v>44896</v>
      </c>
      <c r="S3021" s="19" t="s">
        <v>5076</v>
      </c>
      <c r="T3021" s="19" t="s">
        <v>8786</v>
      </c>
      <c r="U3021" s="19" t="str">
        <f aca="false">HYPERLINK("https://macaulaylibrary.org/asset/514573731","Open")</f>
        <v>Open</v>
      </c>
      <c r="V3021" s="19"/>
    </row>
    <row r="3022" customFormat="false" ht="15" hidden="false" customHeight="false" outlineLevel="0" collapsed="false">
      <c r="A3022" s="19" t="s">
        <v>8787</v>
      </c>
      <c r="B3022" s="19" t="s">
        <v>943</v>
      </c>
      <c r="C3022" s="19" t="s">
        <v>8448</v>
      </c>
      <c r="D3022" s="19" t="s">
        <v>148</v>
      </c>
      <c r="E3022" s="19" t="s">
        <v>147</v>
      </c>
      <c r="F3022" s="19" t="s">
        <v>155</v>
      </c>
      <c r="G3022" s="19" t="n">
        <v>104</v>
      </c>
      <c r="H3022" s="19" t="s">
        <v>156</v>
      </c>
      <c r="I3022" s="20" t="n">
        <v>8.917</v>
      </c>
      <c r="J3022" s="19" t="n">
        <f aca="false">IF(I3022="","",MIN(Overview!$B$8,MAX(1,CEILING(I3022/Overview!$B$7,1))))</f>
        <v>2</v>
      </c>
      <c r="K3022" s="19" t="n">
        <v>1</v>
      </c>
      <c r="L3022" s="19"/>
      <c r="M3022" s="20" t="n">
        <v>3</v>
      </c>
      <c r="N3022" s="19"/>
      <c r="O3022" s="19"/>
      <c r="P3022" s="19" t="s">
        <v>5906</v>
      </c>
      <c r="Q3022" s="19" t="s">
        <v>2106</v>
      </c>
      <c r="R3022" s="21" t="n">
        <v>44896</v>
      </c>
      <c r="S3022" s="19" t="s">
        <v>5076</v>
      </c>
      <c r="T3022" s="19" t="s">
        <v>8788</v>
      </c>
      <c r="U3022" s="19" t="str">
        <f aca="false">HYPERLINK("https://macaulaylibrary.org/asset/514573741","Open")</f>
        <v>Open</v>
      </c>
      <c r="V3022" s="19"/>
    </row>
    <row r="3023" customFormat="false" ht="15" hidden="false" customHeight="false" outlineLevel="0" collapsed="false">
      <c r="A3023" s="19" t="s">
        <v>8789</v>
      </c>
      <c r="B3023" s="19" t="s">
        <v>943</v>
      </c>
      <c r="C3023" s="19" t="s">
        <v>8448</v>
      </c>
      <c r="D3023" s="19" t="s">
        <v>148</v>
      </c>
      <c r="E3023" s="19" t="s">
        <v>147</v>
      </c>
      <c r="F3023" s="19" t="s">
        <v>155</v>
      </c>
      <c r="G3023" s="19" t="n">
        <v>104</v>
      </c>
      <c r="H3023" s="19" t="s">
        <v>156</v>
      </c>
      <c r="I3023" s="20" t="n">
        <v>13.065</v>
      </c>
      <c r="J3023" s="19" t="n">
        <f aca="false">IF(I3023="","",MIN(Overview!$B$8,MAX(1,CEILING(I3023/Overview!$B$7,1))))</f>
        <v>3</v>
      </c>
      <c r="K3023" s="19" t="n">
        <v>1</v>
      </c>
      <c r="L3023" s="19"/>
      <c r="M3023" s="20" t="n">
        <v>3.33</v>
      </c>
      <c r="N3023" s="19"/>
      <c r="O3023" s="19"/>
      <c r="P3023" s="19" t="s">
        <v>8790</v>
      </c>
      <c r="Q3023" s="19" t="s">
        <v>8791</v>
      </c>
      <c r="R3023" s="21" t="n">
        <v>42881</v>
      </c>
      <c r="S3023" s="19" t="s">
        <v>8792</v>
      </c>
      <c r="T3023" s="19" t="s">
        <v>8793</v>
      </c>
      <c r="U3023" s="19" t="str">
        <f aca="false">HYPERLINK("https://macaulaylibrary.org/asset/60645451","Open")</f>
        <v>Open</v>
      </c>
      <c r="V3023" s="19"/>
    </row>
    <row r="3024" customFormat="false" ht="15" hidden="false" customHeight="false" outlineLevel="0" collapsed="false">
      <c r="A3024" s="19" t="s">
        <v>8794</v>
      </c>
      <c r="B3024" s="19" t="s">
        <v>943</v>
      </c>
      <c r="C3024" s="19" t="s">
        <v>8448</v>
      </c>
      <c r="D3024" s="19" t="s">
        <v>148</v>
      </c>
      <c r="E3024" s="19" t="s">
        <v>147</v>
      </c>
      <c r="F3024" s="19" t="s">
        <v>155</v>
      </c>
      <c r="G3024" s="19" t="n">
        <v>104</v>
      </c>
      <c r="H3024" s="19" t="s">
        <v>156</v>
      </c>
      <c r="I3024" s="20" t="n">
        <v>16.694</v>
      </c>
      <c r="J3024" s="19" t="n">
        <f aca="false">IF(I3024="","",MIN(Overview!$B$8,MAX(1,CEILING(I3024/Overview!$B$7,1))))</f>
        <v>4</v>
      </c>
      <c r="K3024" s="19" t="n">
        <v>1</v>
      </c>
      <c r="L3024" s="19"/>
      <c r="M3024" s="20" t="n">
        <v>3.5</v>
      </c>
      <c r="N3024" s="19"/>
      <c r="O3024" s="19"/>
      <c r="P3024" s="19" t="s">
        <v>8795</v>
      </c>
      <c r="Q3024" s="19" t="s">
        <v>8796</v>
      </c>
      <c r="R3024" s="21" t="n">
        <v>45347</v>
      </c>
      <c r="S3024" s="19" t="s">
        <v>8797</v>
      </c>
      <c r="T3024" s="19" t="s">
        <v>8798</v>
      </c>
      <c r="U3024" s="19" t="str">
        <f aca="false">HYPERLINK("https://macaulaylibrary.org/asset/617443262","Open")</f>
        <v>Open</v>
      </c>
      <c r="V3024" s="19"/>
    </row>
    <row r="3025" customFormat="false" ht="15" hidden="false" customHeight="false" outlineLevel="0" collapsed="false">
      <c r="A3025" s="19" t="s">
        <v>8799</v>
      </c>
      <c r="B3025" s="19" t="s">
        <v>943</v>
      </c>
      <c r="C3025" s="19" t="s">
        <v>8448</v>
      </c>
      <c r="D3025" s="19" t="s">
        <v>148</v>
      </c>
      <c r="E3025" s="19" t="s">
        <v>147</v>
      </c>
      <c r="F3025" s="19" t="s">
        <v>155</v>
      </c>
      <c r="G3025" s="19" t="n">
        <v>104</v>
      </c>
      <c r="H3025" s="19" t="s">
        <v>156</v>
      </c>
      <c r="I3025" s="20" t="n">
        <v>3.446</v>
      </c>
      <c r="J3025" s="19" t="n">
        <f aca="false">IF(I3025="","",MIN(Overview!$B$8,MAX(1,CEILING(I3025/Overview!$B$7,1))))</f>
        <v>1</v>
      </c>
      <c r="K3025" s="19" t="n">
        <v>1</v>
      </c>
      <c r="L3025" s="19" t="s">
        <v>1048</v>
      </c>
      <c r="M3025" s="20" t="n">
        <v>3</v>
      </c>
      <c r="N3025" s="19"/>
      <c r="O3025" s="19"/>
      <c r="P3025" s="19" t="s">
        <v>1943</v>
      </c>
      <c r="Q3025" s="19" t="s">
        <v>1368</v>
      </c>
      <c r="R3025" s="21" t="n">
        <v>45488</v>
      </c>
      <c r="S3025" s="19" t="s">
        <v>1936</v>
      </c>
      <c r="T3025" s="19" t="s">
        <v>8800</v>
      </c>
      <c r="U3025" s="19" t="str">
        <f aca="false">HYPERLINK("https://macaulaylibrary.org/asset/628598633","Open")</f>
        <v>Open</v>
      </c>
      <c r="V3025" s="19"/>
    </row>
    <row r="3026" customFormat="false" ht="15" hidden="false" customHeight="false" outlineLevel="0" collapsed="false">
      <c r="A3026" s="19" t="s">
        <v>8801</v>
      </c>
      <c r="B3026" s="19" t="s">
        <v>943</v>
      </c>
      <c r="C3026" s="19" t="s">
        <v>8448</v>
      </c>
      <c r="D3026" s="19" t="s">
        <v>148</v>
      </c>
      <c r="E3026" s="19" t="s">
        <v>147</v>
      </c>
      <c r="F3026" s="19" t="s">
        <v>155</v>
      </c>
      <c r="G3026" s="19" t="n">
        <v>104</v>
      </c>
      <c r="H3026" s="19" t="s">
        <v>156</v>
      </c>
      <c r="I3026" s="20" t="n">
        <v>11.111</v>
      </c>
      <c r="J3026" s="19" t="n">
        <f aca="false">IF(I3026="","",MIN(Overview!$B$8,MAX(1,CEILING(I3026/Overview!$B$7,1))))</f>
        <v>3</v>
      </c>
      <c r="K3026" s="19" t="n">
        <v>1</v>
      </c>
      <c r="L3026" s="19"/>
      <c r="M3026" s="20" t="n">
        <v>3.67</v>
      </c>
      <c r="N3026" s="19"/>
      <c r="O3026" s="19"/>
      <c r="P3026" s="19" t="s">
        <v>8802</v>
      </c>
      <c r="Q3026" s="19" t="s">
        <v>1513</v>
      </c>
      <c r="R3026" s="21" t="n">
        <v>45759</v>
      </c>
      <c r="S3026" s="19" t="s">
        <v>8803</v>
      </c>
      <c r="T3026" s="19" t="s">
        <v>8804</v>
      </c>
      <c r="U3026" s="19" t="str">
        <f aca="false">HYPERLINK("https://macaulaylibrary.org/asset/640139284","Open")</f>
        <v>Open</v>
      </c>
      <c r="V3026" s="19"/>
    </row>
    <row r="3027" customFormat="false" ht="15" hidden="false" customHeight="false" outlineLevel="0" collapsed="false">
      <c r="A3027" s="19" t="s">
        <v>8805</v>
      </c>
      <c r="B3027" s="19" t="s">
        <v>943</v>
      </c>
      <c r="C3027" s="19" t="s">
        <v>8448</v>
      </c>
      <c r="D3027" s="19" t="s">
        <v>148</v>
      </c>
      <c r="E3027" s="19" t="s">
        <v>147</v>
      </c>
      <c r="F3027" s="19" t="s">
        <v>155</v>
      </c>
      <c r="G3027" s="19" t="n">
        <v>104</v>
      </c>
      <c r="H3027" s="19" t="s">
        <v>156</v>
      </c>
      <c r="I3027" s="20" t="n">
        <v>11.284</v>
      </c>
      <c r="J3027" s="19" t="n">
        <f aca="false">IF(I3027="","",MIN(Overview!$B$8,MAX(1,CEILING(I3027/Overview!$B$7,1))))</f>
        <v>3</v>
      </c>
      <c r="K3027" s="19" t="n">
        <v>1</v>
      </c>
      <c r="L3027" s="19"/>
      <c r="M3027" s="20"/>
      <c r="N3027" s="19"/>
      <c r="O3027" s="19"/>
      <c r="P3027" s="19" t="s">
        <v>2142</v>
      </c>
      <c r="Q3027" s="19" t="s">
        <v>1204</v>
      </c>
      <c r="R3027" s="21" t="n">
        <v>46047</v>
      </c>
      <c r="S3027" s="19" t="s">
        <v>2143</v>
      </c>
      <c r="T3027" s="19" t="s">
        <v>8806</v>
      </c>
      <c r="U3027" s="19" t="str">
        <f aca="false">HYPERLINK("https://macaulaylibrary.org/asset/653762082","Open")</f>
        <v>Open</v>
      </c>
      <c r="V3027" s="19"/>
    </row>
    <row r="3028" customFormat="false" ht="15" hidden="false" customHeight="false" outlineLevel="0" collapsed="false">
      <c r="A3028" s="19" t="s">
        <v>8807</v>
      </c>
      <c r="B3028" s="19" t="s">
        <v>943</v>
      </c>
      <c r="C3028" s="19" t="s">
        <v>8448</v>
      </c>
      <c r="D3028" s="19" t="s">
        <v>148</v>
      </c>
      <c r="E3028" s="19" t="s">
        <v>147</v>
      </c>
      <c r="F3028" s="19" t="s">
        <v>252</v>
      </c>
      <c r="G3028" s="19" t="n">
        <v>106</v>
      </c>
      <c r="H3028" s="19" t="s">
        <v>253</v>
      </c>
      <c r="I3028" s="20" t="n">
        <v>71.887</v>
      </c>
      <c r="J3028" s="19" t="n">
        <f aca="false">IF(I3028="","",MIN(Overview!$B$8,MAX(1,CEILING(I3028/Overview!$B$7,1))))</f>
        <v>15</v>
      </c>
      <c r="K3028" s="19" t="n">
        <v>1</v>
      </c>
      <c r="L3028" s="19"/>
      <c r="M3028" s="20" t="n">
        <v>2.67</v>
      </c>
      <c r="N3028" s="19"/>
      <c r="O3028" s="19" t="s">
        <v>8808</v>
      </c>
      <c r="P3028" s="19" t="s">
        <v>2499</v>
      </c>
      <c r="Q3028" s="19" t="s">
        <v>1063</v>
      </c>
      <c r="R3028" s="21" t="n">
        <v>44087</v>
      </c>
      <c r="S3028" s="19" t="s">
        <v>2500</v>
      </c>
      <c r="T3028" s="19" t="s">
        <v>8809</v>
      </c>
      <c r="U3028" s="19" t="str">
        <f aca="false">HYPERLINK("https://macaulaylibrary.org/asset/267824921","Open")</f>
        <v>Open</v>
      </c>
      <c r="V3028" s="19"/>
    </row>
    <row r="3029" customFormat="false" ht="15" hidden="false" customHeight="false" outlineLevel="0" collapsed="false">
      <c r="A3029" s="19" t="s">
        <v>8810</v>
      </c>
      <c r="B3029" s="19" t="s">
        <v>943</v>
      </c>
      <c r="C3029" s="19" t="s">
        <v>8448</v>
      </c>
      <c r="D3029" s="19" t="s">
        <v>148</v>
      </c>
      <c r="E3029" s="19" t="s">
        <v>147</v>
      </c>
      <c r="F3029" s="19" t="s">
        <v>252</v>
      </c>
      <c r="G3029" s="19" t="n">
        <v>106</v>
      </c>
      <c r="H3029" s="19" t="s">
        <v>253</v>
      </c>
      <c r="I3029" s="20" t="n">
        <v>17.6</v>
      </c>
      <c r="J3029" s="19" t="n">
        <f aca="false">IF(I3029="","",MIN(Overview!$B$8,MAX(1,CEILING(I3029/Overview!$B$7,1))))</f>
        <v>4</v>
      </c>
      <c r="K3029" s="19" t="n">
        <v>1</v>
      </c>
      <c r="L3029" s="19"/>
      <c r="M3029" s="20" t="n">
        <v>2</v>
      </c>
      <c r="N3029" s="19"/>
      <c r="O3029" s="19"/>
      <c r="P3029" s="19" t="s">
        <v>3605</v>
      </c>
      <c r="Q3029" s="19" t="s">
        <v>1319</v>
      </c>
      <c r="R3029" s="21" t="n">
        <v>44679</v>
      </c>
      <c r="S3029" s="19" t="s">
        <v>3606</v>
      </c>
      <c r="T3029" s="19" t="s">
        <v>8811</v>
      </c>
      <c r="U3029" s="19" t="str">
        <f aca="false">HYPERLINK("https://macaulaylibrary.org/asset/614213516","Open")</f>
        <v>Open</v>
      </c>
      <c r="V3029" s="19"/>
    </row>
    <row r="3030" customFormat="false" ht="15" hidden="false" customHeight="false" outlineLevel="0" collapsed="false">
      <c r="A3030" s="19" t="s">
        <v>8812</v>
      </c>
      <c r="B3030" s="19" t="s">
        <v>943</v>
      </c>
      <c r="C3030" s="19" t="s">
        <v>8448</v>
      </c>
      <c r="D3030" s="19" t="s">
        <v>148</v>
      </c>
      <c r="E3030" s="19" t="s">
        <v>147</v>
      </c>
      <c r="F3030" s="19" t="s">
        <v>252</v>
      </c>
      <c r="G3030" s="19" t="n">
        <v>106</v>
      </c>
      <c r="H3030" s="19" t="s">
        <v>253</v>
      </c>
      <c r="I3030" s="20" t="n">
        <v>35.243</v>
      </c>
      <c r="J3030" s="19" t="n">
        <f aca="false">IF(I3030="","",MIN(Overview!$B$8,MAX(1,CEILING(I3030/Overview!$B$7,1))))</f>
        <v>8</v>
      </c>
      <c r="K3030" s="19" t="n">
        <v>1</v>
      </c>
      <c r="L3030" s="19"/>
      <c r="M3030" s="20" t="n">
        <v>5</v>
      </c>
      <c r="N3030" s="19"/>
      <c r="O3030" s="19"/>
      <c r="P3030" s="19" t="s">
        <v>8813</v>
      </c>
      <c r="Q3030" s="19" t="s">
        <v>2106</v>
      </c>
      <c r="R3030" s="21" t="n">
        <v>45368</v>
      </c>
      <c r="S3030" s="19" t="s">
        <v>3265</v>
      </c>
      <c r="T3030" s="19" t="s">
        <v>8814</v>
      </c>
      <c r="U3030" s="19" t="str">
        <f aca="false">HYPERLINK("https://macaulaylibrary.org/asset/616460294","Open")</f>
        <v>Open</v>
      </c>
      <c r="V3030" s="19"/>
    </row>
    <row r="3031" customFormat="false" ht="15" hidden="false" customHeight="false" outlineLevel="0" collapsed="false">
      <c r="A3031" s="19" t="s">
        <v>8815</v>
      </c>
      <c r="B3031" s="19" t="s">
        <v>943</v>
      </c>
      <c r="C3031" s="19" t="s">
        <v>8448</v>
      </c>
      <c r="D3031" s="19" t="s">
        <v>148</v>
      </c>
      <c r="E3031" s="19" t="s">
        <v>147</v>
      </c>
      <c r="F3031" s="19" t="s">
        <v>252</v>
      </c>
      <c r="G3031" s="19" t="n">
        <v>106</v>
      </c>
      <c r="H3031" s="19" t="s">
        <v>253</v>
      </c>
      <c r="I3031" s="20" t="n">
        <v>6.991</v>
      </c>
      <c r="J3031" s="19" t="n">
        <f aca="false">IF(I3031="","",MIN(Overview!$B$8,MAX(1,CEILING(I3031/Overview!$B$7,1))))</f>
        <v>2</v>
      </c>
      <c r="K3031" s="19" t="n">
        <v>1</v>
      </c>
      <c r="L3031" s="19"/>
      <c r="M3031" s="20"/>
      <c r="N3031" s="19"/>
      <c r="O3031" s="19"/>
      <c r="P3031" s="19" t="s">
        <v>2851</v>
      </c>
      <c r="Q3031" s="19" t="s">
        <v>1348</v>
      </c>
      <c r="R3031" s="21" t="n">
        <v>46099</v>
      </c>
      <c r="S3031" s="19" t="s">
        <v>1884</v>
      </c>
      <c r="T3031" s="19" t="s">
        <v>8816</v>
      </c>
      <c r="U3031" s="19" t="str">
        <f aca="false">HYPERLINK("https://macaulaylibrary.org/asset/654441784","Open")</f>
        <v>Open</v>
      </c>
      <c r="V3031" s="19"/>
    </row>
    <row r="3032" customFormat="false" ht="15" hidden="false" customHeight="false" outlineLevel="0" collapsed="false">
      <c r="A3032" s="19" t="s">
        <v>8817</v>
      </c>
      <c r="B3032" s="19" t="s">
        <v>943</v>
      </c>
      <c r="C3032" s="19" t="s">
        <v>8448</v>
      </c>
      <c r="D3032" s="19" t="s">
        <v>148</v>
      </c>
      <c r="E3032" s="19" t="s">
        <v>147</v>
      </c>
      <c r="F3032" s="19" t="s">
        <v>243</v>
      </c>
      <c r="G3032" s="19" t="n">
        <v>112</v>
      </c>
      <c r="H3032" s="19" t="s">
        <v>244</v>
      </c>
      <c r="I3032" s="20" t="n">
        <v>21.337</v>
      </c>
      <c r="J3032" s="19" t="n">
        <f aca="false">IF(I3032="","",MIN(Overview!$B$8,MAX(1,CEILING(I3032/Overview!$B$7,1))))</f>
        <v>5</v>
      </c>
      <c r="K3032" s="19" t="n">
        <v>1</v>
      </c>
      <c r="L3032" s="19"/>
      <c r="M3032" s="20" t="n">
        <v>4</v>
      </c>
      <c r="N3032" s="19"/>
      <c r="O3032" s="19"/>
      <c r="P3032" s="19" t="s">
        <v>1390</v>
      </c>
      <c r="Q3032" s="19" t="s">
        <v>1021</v>
      </c>
      <c r="R3032" s="21" t="n">
        <v>36596</v>
      </c>
      <c r="S3032" s="19" t="s">
        <v>1137</v>
      </c>
      <c r="T3032" s="19" t="s">
        <v>8818</v>
      </c>
      <c r="U3032" s="19" t="str">
        <f aca="false">HYPERLINK("https://macaulaylibrary.org/asset/145177401","Open")</f>
        <v>Open</v>
      </c>
      <c r="V3032" s="19"/>
    </row>
    <row r="3033" customFormat="false" ht="15" hidden="false" customHeight="false" outlineLevel="0" collapsed="false">
      <c r="A3033" s="19" t="s">
        <v>8819</v>
      </c>
      <c r="B3033" s="19" t="s">
        <v>943</v>
      </c>
      <c r="C3033" s="19" t="s">
        <v>8448</v>
      </c>
      <c r="D3033" s="19" t="s">
        <v>148</v>
      </c>
      <c r="E3033" s="19" t="s">
        <v>147</v>
      </c>
      <c r="F3033" s="19" t="s">
        <v>243</v>
      </c>
      <c r="G3033" s="19" t="n">
        <v>112</v>
      </c>
      <c r="H3033" s="19" t="s">
        <v>244</v>
      </c>
      <c r="I3033" s="20" t="n">
        <v>56.15</v>
      </c>
      <c r="J3033" s="19" t="n">
        <f aca="false">IF(I3033="","",MIN(Overview!$B$8,MAX(1,CEILING(I3033/Overview!$B$7,1))))</f>
        <v>12</v>
      </c>
      <c r="K3033" s="19" t="n">
        <v>1</v>
      </c>
      <c r="L3033" s="19"/>
      <c r="M3033" s="20" t="n">
        <v>4</v>
      </c>
      <c r="N3033" s="19"/>
      <c r="O3033" s="19"/>
      <c r="P3033" s="19" t="s">
        <v>1811</v>
      </c>
      <c r="Q3033" s="19" t="s">
        <v>1368</v>
      </c>
      <c r="R3033" s="21" t="n">
        <v>45489</v>
      </c>
      <c r="S3033" s="19" t="s">
        <v>1081</v>
      </c>
      <c r="T3033" s="19" t="s">
        <v>8820</v>
      </c>
      <c r="U3033" s="19" t="str">
        <f aca="false">HYPERLINK("https://macaulaylibrary.org/asset/631662771","Open")</f>
        <v>Open</v>
      </c>
      <c r="V3033" s="19"/>
    </row>
    <row r="3034" customFormat="false" ht="15" hidden="false" customHeight="false" outlineLevel="0" collapsed="false">
      <c r="A3034" s="19" t="s">
        <v>8821</v>
      </c>
      <c r="B3034" s="19" t="s">
        <v>943</v>
      </c>
      <c r="C3034" s="19" t="s">
        <v>8448</v>
      </c>
      <c r="D3034" s="19" t="s">
        <v>148</v>
      </c>
      <c r="E3034" s="19" t="s">
        <v>147</v>
      </c>
      <c r="F3034" s="19" t="s">
        <v>243</v>
      </c>
      <c r="G3034" s="19" t="n">
        <v>112</v>
      </c>
      <c r="H3034" s="19" t="s">
        <v>244</v>
      </c>
      <c r="I3034" s="20" t="n">
        <v>89.147</v>
      </c>
      <c r="J3034" s="19" t="n">
        <f aca="false">IF(I3034="","",MIN(Overview!$B$8,MAX(1,CEILING(I3034/Overview!$B$7,1))))</f>
        <v>18</v>
      </c>
      <c r="K3034" s="19" t="n">
        <v>1</v>
      </c>
      <c r="L3034" s="19"/>
      <c r="M3034" s="20" t="n">
        <v>4</v>
      </c>
      <c r="N3034" s="19"/>
      <c r="O3034" s="19"/>
      <c r="P3034" s="19" t="s">
        <v>1811</v>
      </c>
      <c r="Q3034" s="19" t="s">
        <v>1368</v>
      </c>
      <c r="R3034" s="21" t="n">
        <v>45489</v>
      </c>
      <c r="S3034" s="19" t="s">
        <v>1081</v>
      </c>
      <c r="T3034" s="19" t="s">
        <v>8822</v>
      </c>
      <c r="U3034" s="19" t="str">
        <f aca="false">HYPERLINK("https://macaulaylibrary.org/asset/631662772","Open")</f>
        <v>Open</v>
      </c>
      <c r="V3034" s="19"/>
    </row>
    <row r="3035" customFormat="false" ht="15" hidden="false" customHeight="false" outlineLevel="0" collapsed="false">
      <c r="A3035" s="19" t="s">
        <v>8823</v>
      </c>
      <c r="B3035" s="19" t="s">
        <v>943</v>
      </c>
      <c r="C3035" s="19" t="s">
        <v>8448</v>
      </c>
      <c r="D3035" s="19" t="s">
        <v>148</v>
      </c>
      <c r="E3035" s="19" t="s">
        <v>147</v>
      </c>
      <c r="F3035" s="19" t="s">
        <v>243</v>
      </c>
      <c r="G3035" s="19" t="n">
        <v>112</v>
      </c>
      <c r="H3035" s="19" t="s">
        <v>244</v>
      </c>
      <c r="I3035" s="20" t="n">
        <v>8.857</v>
      </c>
      <c r="J3035" s="19" t="n">
        <f aca="false">IF(I3035="","",MIN(Overview!$B$8,MAX(1,CEILING(I3035/Overview!$B$7,1))))</f>
        <v>2</v>
      </c>
      <c r="K3035" s="19" t="n">
        <v>1</v>
      </c>
      <c r="L3035" s="19"/>
      <c r="M3035" s="20"/>
      <c r="N3035" s="19"/>
      <c r="O3035" s="19"/>
      <c r="P3035" s="19" t="s">
        <v>2168</v>
      </c>
      <c r="Q3035" s="19" t="s">
        <v>1382</v>
      </c>
      <c r="R3035" s="21" t="n">
        <v>46104</v>
      </c>
      <c r="S3035" s="19" t="s">
        <v>1259</v>
      </c>
      <c r="T3035" s="19" t="s">
        <v>8824</v>
      </c>
      <c r="U3035" s="19" t="str">
        <f aca="false">HYPERLINK("https://macaulaylibrary.org/asset/654600602","Open")</f>
        <v>Open</v>
      </c>
      <c r="V3035" s="19"/>
    </row>
    <row r="3036" customFormat="false" ht="15" hidden="false" customHeight="false" outlineLevel="0" collapsed="false">
      <c r="A3036" s="19" t="s">
        <v>8825</v>
      </c>
      <c r="B3036" s="19" t="s">
        <v>943</v>
      </c>
      <c r="C3036" s="19" t="s">
        <v>8448</v>
      </c>
      <c r="D3036" s="19" t="s">
        <v>148</v>
      </c>
      <c r="E3036" s="19" t="s">
        <v>147</v>
      </c>
      <c r="F3036" s="19" t="s">
        <v>376</v>
      </c>
      <c r="G3036" s="19" t="n">
        <v>115</v>
      </c>
      <c r="H3036" s="19" t="s">
        <v>377</v>
      </c>
      <c r="I3036" s="20" t="n">
        <v>15.296</v>
      </c>
      <c r="J3036" s="19" t="n">
        <f aca="false">IF(I3036="","",MIN(Overview!$B$8,MAX(1,CEILING(I3036/Overview!$B$7,1))))</f>
        <v>4</v>
      </c>
      <c r="K3036" s="19" t="n">
        <v>1</v>
      </c>
      <c r="L3036" s="19"/>
      <c r="M3036" s="20" t="n">
        <v>4.5</v>
      </c>
      <c r="N3036" s="19"/>
      <c r="O3036" s="19"/>
      <c r="P3036" s="19" t="s">
        <v>2465</v>
      </c>
      <c r="Q3036" s="19" t="s">
        <v>965</v>
      </c>
      <c r="R3036" s="21" t="n">
        <v>43812</v>
      </c>
      <c r="S3036" s="19" t="s">
        <v>2466</v>
      </c>
      <c r="T3036" s="19" t="s">
        <v>8826</v>
      </c>
      <c r="U3036" s="19" t="str">
        <f aca="false">HYPERLINK("https://macaulaylibrary.org/asset/193406031","Open")</f>
        <v>Open</v>
      </c>
      <c r="V3036" s="19"/>
    </row>
    <row r="3037" customFormat="false" ht="15" hidden="false" customHeight="false" outlineLevel="0" collapsed="false">
      <c r="A3037" s="19" t="s">
        <v>8827</v>
      </c>
      <c r="B3037" s="19" t="s">
        <v>943</v>
      </c>
      <c r="C3037" s="19" t="s">
        <v>8448</v>
      </c>
      <c r="D3037" s="19" t="s">
        <v>148</v>
      </c>
      <c r="E3037" s="19" t="s">
        <v>147</v>
      </c>
      <c r="F3037" s="19" t="s">
        <v>376</v>
      </c>
      <c r="G3037" s="19" t="n">
        <v>115</v>
      </c>
      <c r="H3037" s="19" t="s">
        <v>377</v>
      </c>
      <c r="I3037" s="20" t="n">
        <v>18.319</v>
      </c>
      <c r="J3037" s="19" t="n">
        <f aca="false">IF(I3037="","",MIN(Overview!$B$8,MAX(1,CEILING(I3037/Overview!$B$7,1))))</f>
        <v>4</v>
      </c>
      <c r="K3037" s="19" t="n">
        <v>1</v>
      </c>
      <c r="L3037" s="19"/>
      <c r="M3037" s="20"/>
      <c r="N3037" s="19"/>
      <c r="O3037" s="19"/>
      <c r="P3037" s="19" t="s">
        <v>8828</v>
      </c>
      <c r="Q3037" s="19" t="s">
        <v>3085</v>
      </c>
      <c r="R3037" s="21" t="n">
        <v>44981</v>
      </c>
      <c r="S3037" s="19" t="s">
        <v>2444</v>
      </c>
      <c r="T3037" s="19" t="s">
        <v>8829</v>
      </c>
      <c r="U3037" s="19" t="str">
        <f aca="false">HYPERLINK("https://macaulaylibrary.org/asset/611524195","Open")</f>
        <v>Open</v>
      </c>
      <c r="V3037" s="19"/>
    </row>
    <row r="3038" customFormat="false" ht="15" hidden="false" customHeight="false" outlineLevel="0" collapsed="false">
      <c r="A3038" s="19" t="s">
        <v>8830</v>
      </c>
      <c r="B3038" s="19" t="s">
        <v>943</v>
      </c>
      <c r="C3038" s="19" t="s">
        <v>8448</v>
      </c>
      <c r="D3038" s="19" t="s">
        <v>148</v>
      </c>
      <c r="E3038" s="19" t="s">
        <v>147</v>
      </c>
      <c r="F3038" s="19" t="s">
        <v>329</v>
      </c>
      <c r="G3038" s="19" t="n">
        <v>116</v>
      </c>
      <c r="H3038" s="19" t="s">
        <v>330</v>
      </c>
      <c r="I3038" s="20" t="n">
        <v>47.513</v>
      </c>
      <c r="J3038" s="19" t="n">
        <f aca="false">IF(I3038="","",MIN(Overview!$B$8,MAX(1,CEILING(I3038/Overview!$B$7,1))))</f>
        <v>10</v>
      </c>
      <c r="K3038" s="19" t="n">
        <v>1</v>
      </c>
      <c r="L3038" s="19"/>
      <c r="M3038" s="20" t="n">
        <v>3</v>
      </c>
      <c r="N3038" s="19"/>
      <c r="O3038" s="19"/>
      <c r="P3038" s="19" t="s">
        <v>1526</v>
      </c>
      <c r="Q3038" s="19" t="s">
        <v>1021</v>
      </c>
      <c r="R3038" s="21" t="n">
        <v>35865</v>
      </c>
      <c r="S3038" s="19" t="s">
        <v>1279</v>
      </c>
      <c r="T3038" s="19" t="s">
        <v>8831</v>
      </c>
      <c r="U3038" s="19" t="str">
        <f aca="false">HYPERLINK("https://macaulaylibrary.org/asset/102485271","Open")</f>
        <v>Open</v>
      </c>
      <c r="V3038" s="19"/>
    </row>
    <row r="3039" customFormat="false" ht="15" hidden="false" customHeight="false" outlineLevel="0" collapsed="false">
      <c r="A3039" s="19" t="s">
        <v>8832</v>
      </c>
      <c r="B3039" s="19" t="s">
        <v>943</v>
      </c>
      <c r="C3039" s="19" t="s">
        <v>8448</v>
      </c>
      <c r="D3039" s="19" t="s">
        <v>148</v>
      </c>
      <c r="E3039" s="19" t="s">
        <v>147</v>
      </c>
      <c r="F3039" s="19" t="s">
        <v>329</v>
      </c>
      <c r="G3039" s="19" t="n">
        <v>116</v>
      </c>
      <c r="H3039" s="19" t="s">
        <v>330</v>
      </c>
      <c r="I3039" s="20" t="n">
        <v>59.131</v>
      </c>
      <c r="J3039" s="19" t="n">
        <f aca="false">IF(I3039="","",MIN(Overview!$B$8,MAX(1,CEILING(I3039/Overview!$B$7,1))))</f>
        <v>12</v>
      </c>
      <c r="K3039" s="19" t="n">
        <v>1</v>
      </c>
      <c r="L3039" s="19"/>
      <c r="M3039" s="20" t="n">
        <v>2</v>
      </c>
      <c r="N3039" s="19"/>
      <c r="O3039" s="19" t="s">
        <v>520</v>
      </c>
      <c r="P3039" s="19" t="s">
        <v>1533</v>
      </c>
      <c r="Q3039" s="19" t="s">
        <v>1110</v>
      </c>
      <c r="R3039" s="21" t="n">
        <v>36968</v>
      </c>
      <c r="S3039" s="19" t="s">
        <v>4102</v>
      </c>
      <c r="T3039" s="19" t="s">
        <v>8833</v>
      </c>
      <c r="U3039" s="19" t="str">
        <f aca="false">HYPERLINK("https://macaulaylibrary.org/asset/185741","Open")</f>
        <v>Open</v>
      </c>
      <c r="V3039" s="19" t="s">
        <v>7748</v>
      </c>
    </row>
    <row r="3040" customFormat="false" ht="15" hidden="false" customHeight="false" outlineLevel="0" collapsed="false">
      <c r="A3040" s="19" t="s">
        <v>8834</v>
      </c>
      <c r="B3040" s="19" t="s">
        <v>943</v>
      </c>
      <c r="C3040" s="19" t="s">
        <v>8448</v>
      </c>
      <c r="D3040" s="19" t="s">
        <v>148</v>
      </c>
      <c r="E3040" s="19" t="s">
        <v>147</v>
      </c>
      <c r="F3040" s="19" t="s">
        <v>357</v>
      </c>
      <c r="G3040" s="19" t="n">
        <v>117</v>
      </c>
      <c r="H3040" s="19" t="s">
        <v>358</v>
      </c>
      <c r="I3040" s="20" t="n">
        <v>4.162</v>
      </c>
      <c r="J3040" s="19" t="n">
        <f aca="false">IF(I3040="","",MIN(Overview!$B$8,MAX(1,CEILING(I3040/Overview!$B$7,1))))</f>
        <v>1</v>
      </c>
      <c r="K3040" s="19" t="n">
        <v>1</v>
      </c>
      <c r="L3040" s="19" t="s">
        <v>1048</v>
      </c>
      <c r="M3040" s="20" t="n">
        <v>5</v>
      </c>
      <c r="N3040" s="19"/>
      <c r="O3040" s="19"/>
      <c r="P3040" s="19" t="s">
        <v>7339</v>
      </c>
      <c r="Q3040" s="19" t="s">
        <v>7340</v>
      </c>
      <c r="R3040" s="21" t="n">
        <v>44367</v>
      </c>
      <c r="S3040" s="19" t="s">
        <v>1013</v>
      </c>
      <c r="T3040" s="19" t="s">
        <v>8835</v>
      </c>
      <c r="U3040" s="19" t="str">
        <f aca="false">HYPERLINK("https://macaulaylibrary.org/asset/349505021","Open")</f>
        <v>Open</v>
      </c>
      <c r="V3040" s="19"/>
    </row>
    <row r="3041" customFormat="false" ht="15" hidden="false" customHeight="false" outlineLevel="0" collapsed="false">
      <c r="A3041" s="19" t="s">
        <v>8836</v>
      </c>
      <c r="B3041" s="19" t="s">
        <v>943</v>
      </c>
      <c r="C3041" s="19" t="s">
        <v>8448</v>
      </c>
      <c r="D3041" s="19" t="s">
        <v>148</v>
      </c>
      <c r="E3041" s="19" t="s">
        <v>147</v>
      </c>
      <c r="F3041" s="19" t="s">
        <v>357</v>
      </c>
      <c r="G3041" s="19" t="n">
        <v>117</v>
      </c>
      <c r="H3041" s="19" t="s">
        <v>358</v>
      </c>
      <c r="I3041" s="20" t="n">
        <v>85.643</v>
      </c>
      <c r="J3041" s="19" t="n">
        <f aca="false">IF(I3041="","",MIN(Overview!$B$8,MAX(1,CEILING(I3041/Overview!$B$7,1))))</f>
        <v>18</v>
      </c>
      <c r="K3041" s="19" t="n">
        <v>1</v>
      </c>
      <c r="L3041" s="19"/>
      <c r="M3041" s="20" t="n">
        <v>4</v>
      </c>
      <c r="N3041" s="19"/>
      <c r="O3041" s="19"/>
      <c r="P3041" s="19" t="s">
        <v>2152</v>
      </c>
      <c r="Q3041" s="19" t="s">
        <v>1218</v>
      </c>
      <c r="R3041" s="21" t="n">
        <v>33329</v>
      </c>
      <c r="S3041" s="19" t="s">
        <v>1419</v>
      </c>
      <c r="T3041" s="19" t="s">
        <v>8837</v>
      </c>
      <c r="U3041" s="19" t="str">
        <f aca="false">HYPERLINK("https://macaulaylibrary.org/asset/76607","Open")</f>
        <v>Open</v>
      </c>
      <c r="V3041" s="19"/>
    </row>
    <row r="3042" customFormat="false" ht="15" hidden="false" customHeight="false" outlineLevel="0" collapsed="false">
      <c r="A3042" s="19" t="s">
        <v>8838</v>
      </c>
      <c r="B3042" s="19" t="s">
        <v>943</v>
      </c>
      <c r="C3042" s="19" t="s">
        <v>8448</v>
      </c>
      <c r="D3042" s="19" t="s">
        <v>148</v>
      </c>
      <c r="E3042" s="19" t="s">
        <v>147</v>
      </c>
      <c r="F3042" s="19" t="s">
        <v>332</v>
      </c>
      <c r="G3042" s="19" t="n">
        <v>118</v>
      </c>
      <c r="H3042" s="19" t="s">
        <v>333</v>
      </c>
      <c r="I3042" s="20" t="n">
        <v>3.327</v>
      </c>
      <c r="J3042" s="19" t="n">
        <f aca="false">IF(I3042="","",MIN(Overview!$B$8,MAX(1,CEILING(I3042/Overview!$B$7,1))))</f>
        <v>1</v>
      </c>
      <c r="K3042" s="19" t="n">
        <v>1</v>
      </c>
      <c r="L3042" s="19" t="s">
        <v>1048</v>
      </c>
      <c r="M3042" s="20"/>
      <c r="N3042" s="19"/>
      <c r="O3042" s="19"/>
      <c r="P3042" s="19" t="s">
        <v>1756</v>
      </c>
      <c r="Q3042" s="19" t="s">
        <v>1757</v>
      </c>
      <c r="R3042" s="21" t="n">
        <v>43817</v>
      </c>
      <c r="S3042" s="19" t="s">
        <v>1315</v>
      </c>
      <c r="T3042" s="19" t="s">
        <v>8839</v>
      </c>
      <c r="U3042" s="19" t="str">
        <f aca="false">HYPERLINK("https://macaulaylibrary.org/asset/196079171","Open")</f>
        <v>Open</v>
      </c>
      <c r="V3042" s="19"/>
    </row>
    <row r="3043" customFormat="false" ht="15" hidden="false" customHeight="false" outlineLevel="0" collapsed="false">
      <c r="A3043" s="19" t="s">
        <v>8840</v>
      </c>
      <c r="B3043" s="19" t="s">
        <v>943</v>
      </c>
      <c r="C3043" s="19" t="s">
        <v>8448</v>
      </c>
      <c r="D3043" s="19" t="s">
        <v>148</v>
      </c>
      <c r="E3043" s="19" t="s">
        <v>147</v>
      </c>
      <c r="F3043" s="19" t="s">
        <v>332</v>
      </c>
      <c r="G3043" s="19" t="n">
        <v>118</v>
      </c>
      <c r="H3043" s="19" t="s">
        <v>333</v>
      </c>
      <c r="I3043" s="20" t="n">
        <v>18.11</v>
      </c>
      <c r="J3043" s="19" t="n">
        <f aca="false">IF(I3043="","",MIN(Overview!$B$8,MAX(1,CEILING(I3043/Overview!$B$7,1))))</f>
        <v>4</v>
      </c>
      <c r="K3043" s="19" t="n">
        <v>1</v>
      </c>
      <c r="L3043" s="19"/>
      <c r="M3043" s="20"/>
      <c r="N3043" s="19"/>
      <c r="O3043" s="19"/>
      <c r="P3043" s="19" t="s">
        <v>1426</v>
      </c>
      <c r="Q3043" s="19" t="s">
        <v>1204</v>
      </c>
      <c r="R3043" s="21" t="n">
        <v>44611</v>
      </c>
      <c r="S3043" s="19" t="s">
        <v>1259</v>
      </c>
      <c r="T3043" s="19" t="s">
        <v>8841</v>
      </c>
      <c r="U3043" s="19" t="str">
        <f aca="false">HYPERLINK("https://macaulaylibrary.org/asset/531225961","Open")</f>
        <v>Open</v>
      </c>
      <c r="V3043" s="19"/>
    </row>
    <row r="3044" customFormat="false" ht="15" hidden="false" customHeight="false" outlineLevel="0" collapsed="false">
      <c r="A3044" s="19" t="s">
        <v>8842</v>
      </c>
      <c r="B3044" s="19" t="s">
        <v>943</v>
      </c>
      <c r="C3044" s="19" t="s">
        <v>8448</v>
      </c>
      <c r="D3044" s="19" t="s">
        <v>148</v>
      </c>
      <c r="E3044" s="19" t="s">
        <v>147</v>
      </c>
      <c r="F3044" s="19" t="s">
        <v>379</v>
      </c>
      <c r="G3044" s="19" t="n">
        <v>119</v>
      </c>
      <c r="H3044" s="19" t="s">
        <v>380</v>
      </c>
      <c r="I3044" s="20" t="n">
        <v>94.408</v>
      </c>
      <c r="J3044" s="19" t="n">
        <f aca="false">IF(I3044="","",MIN(Overview!$B$8,MAX(1,CEILING(I3044/Overview!$B$7,1))))</f>
        <v>19</v>
      </c>
      <c r="K3044" s="19" t="n">
        <v>1</v>
      </c>
      <c r="L3044" s="19"/>
      <c r="M3044" s="20" t="n">
        <v>4.33</v>
      </c>
      <c r="N3044" s="19"/>
      <c r="O3044" s="19"/>
      <c r="P3044" s="19" t="s">
        <v>2381</v>
      </c>
      <c r="Q3044" s="19" t="s">
        <v>1408</v>
      </c>
      <c r="R3044" s="21" t="n">
        <v>32098</v>
      </c>
      <c r="S3044" s="19" t="s">
        <v>1009</v>
      </c>
      <c r="T3044" s="19" t="s">
        <v>8843</v>
      </c>
      <c r="U3044" s="19" t="str">
        <f aca="false">HYPERLINK("https://macaulaylibrary.org/asset/338490121","Open")</f>
        <v>Open</v>
      </c>
      <c r="V3044" s="19"/>
    </row>
    <row r="3045" customFormat="false" ht="15" hidden="false" customHeight="false" outlineLevel="0" collapsed="false">
      <c r="A3045" s="19" t="s">
        <v>8844</v>
      </c>
      <c r="B3045" s="19" t="s">
        <v>943</v>
      </c>
      <c r="C3045" s="19" t="s">
        <v>8448</v>
      </c>
      <c r="D3045" s="19" t="s">
        <v>148</v>
      </c>
      <c r="E3045" s="19" t="s">
        <v>147</v>
      </c>
      <c r="F3045" s="19" t="s">
        <v>379</v>
      </c>
      <c r="G3045" s="19" t="n">
        <v>119</v>
      </c>
      <c r="H3045" s="19" t="s">
        <v>380</v>
      </c>
      <c r="I3045" s="20" t="n">
        <v>242.012</v>
      </c>
      <c r="J3045" s="19" t="n">
        <f aca="false">IF(I3045="","",MIN(Overview!$B$8,MAX(1,CEILING(I3045/Overview!$B$7,1))))</f>
        <v>49</v>
      </c>
      <c r="K3045" s="19" t="n">
        <v>1</v>
      </c>
      <c r="L3045" s="19"/>
      <c r="M3045" s="20" t="n">
        <v>3</v>
      </c>
      <c r="N3045" s="19"/>
      <c r="O3045" s="19"/>
      <c r="P3045" s="19" t="s">
        <v>4463</v>
      </c>
      <c r="Q3045" s="19" t="s">
        <v>980</v>
      </c>
      <c r="R3045" s="21"/>
      <c r="S3045" s="19" t="s">
        <v>1002</v>
      </c>
      <c r="T3045" s="19" t="s">
        <v>8845</v>
      </c>
      <c r="U3045" s="19" t="str">
        <f aca="false">HYPERLINK("https://macaulaylibrary.org/asset/74220","Open")</f>
        <v>Open</v>
      </c>
      <c r="V3045" s="19" t="s">
        <v>3930</v>
      </c>
    </row>
    <row r="3046" customFormat="false" ht="15" hidden="false" customHeight="false" outlineLevel="0" collapsed="false">
      <c r="A3046" s="19" t="s">
        <v>8846</v>
      </c>
      <c r="B3046" s="19" t="s">
        <v>943</v>
      </c>
      <c r="C3046" s="19" t="s">
        <v>8448</v>
      </c>
      <c r="D3046" s="19" t="s">
        <v>148</v>
      </c>
      <c r="E3046" s="19" t="s">
        <v>147</v>
      </c>
      <c r="F3046" s="19" t="s">
        <v>338</v>
      </c>
      <c r="G3046" s="19" t="n">
        <v>121</v>
      </c>
      <c r="H3046" s="19" t="s">
        <v>339</v>
      </c>
      <c r="I3046" s="20" t="n">
        <v>19.435</v>
      </c>
      <c r="J3046" s="19" t="n">
        <f aca="false">IF(I3046="","",MIN(Overview!$B$8,MAX(1,CEILING(I3046/Overview!$B$7,1))))</f>
        <v>4</v>
      </c>
      <c r="K3046" s="19" t="n">
        <v>1</v>
      </c>
      <c r="L3046" s="19"/>
      <c r="M3046" s="20" t="n">
        <v>3</v>
      </c>
      <c r="N3046" s="19"/>
      <c r="O3046" s="19"/>
      <c r="P3046" s="19" t="s">
        <v>3195</v>
      </c>
      <c r="Q3046" s="19" t="s">
        <v>965</v>
      </c>
      <c r="R3046" s="21" t="n">
        <v>43813</v>
      </c>
      <c r="S3046" s="19" t="s">
        <v>3196</v>
      </c>
      <c r="T3046" s="19" t="s">
        <v>8847</v>
      </c>
      <c r="U3046" s="19" t="str">
        <f aca="false">HYPERLINK("https://macaulaylibrary.org/asset/193419481","Open")</f>
        <v>Open</v>
      </c>
      <c r="V3046" s="19"/>
    </row>
    <row r="3047" customFormat="false" ht="15" hidden="false" customHeight="false" outlineLevel="0" collapsed="false">
      <c r="A3047" s="19" t="s">
        <v>8848</v>
      </c>
      <c r="B3047" s="19" t="s">
        <v>943</v>
      </c>
      <c r="C3047" s="19" t="s">
        <v>8448</v>
      </c>
      <c r="D3047" s="19" t="s">
        <v>148</v>
      </c>
      <c r="E3047" s="19" t="s">
        <v>147</v>
      </c>
      <c r="F3047" s="19" t="s">
        <v>338</v>
      </c>
      <c r="G3047" s="19" t="n">
        <v>121</v>
      </c>
      <c r="H3047" s="19" t="s">
        <v>339</v>
      </c>
      <c r="I3047" s="20" t="n">
        <v>344.118</v>
      </c>
      <c r="J3047" s="19" t="n">
        <f aca="false">IF(I3047="","",MIN(Overview!$B$8,MAX(1,CEILING(I3047/Overview!$B$7,1))))</f>
        <v>69</v>
      </c>
      <c r="K3047" s="19" t="n">
        <v>1</v>
      </c>
      <c r="L3047" s="19"/>
      <c r="M3047" s="20" t="n">
        <v>2</v>
      </c>
      <c r="N3047" s="19"/>
      <c r="O3047" s="19"/>
      <c r="P3047" s="19" t="s">
        <v>1115</v>
      </c>
      <c r="Q3047" s="19" t="s">
        <v>980</v>
      </c>
      <c r="R3047" s="21" t="n">
        <v>34125</v>
      </c>
      <c r="S3047" s="19" t="s">
        <v>8849</v>
      </c>
      <c r="T3047" s="19" t="s">
        <v>8850</v>
      </c>
      <c r="U3047" s="19" t="str">
        <f aca="false">HYPERLINK("https://macaulaylibrary.org/asset/209486","Open")</f>
        <v>Open</v>
      </c>
      <c r="V3047" s="19"/>
    </row>
    <row r="3048" customFormat="false" ht="15" hidden="false" customHeight="false" outlineLevel="0" collapsed="false">
      <c r="A3048" s="19" t="s">
        <v>8851</v>
      </c>
      <c r="B3048" s="19" t="s">
        <v>943</v>
      </c>
      <c r="C3048" s="19" t="s">
        <v>8448</v>
      </c>
      <c r="D3048" s="19" t="s">
        <v>148</v>
      </c>
      <c r="E3048" s="19" t="s">
        <v>147</v>
      </c>
      <c r="F3048" s="19" t="s">
        <v>319</v>
      </c>
      <c r="G3048" s="19" t="n">
        <v>124</v>
      </c>
      <c r="H3048" s="19" t="s">
        <v>320</v>
      </c>
      <c r="I3048" s="20" t="n">
        <v>67.956</v>
      </c>
      <c r="J3048" s="19" t="n">
        <f aca="false">IF(I3048="","",MIN(Overview!$B$8,MAX(1,CEILING(I3048/Overview!$B$7,1))))</f>
        <v>14</v>
      </c>
      <c r="K3048" s="19" t="n">
        <v>1</v>
      </c>
      <c r="L3048" s="19"/>
      <c r="M3048" s="20" t="n">
        <v>3.67</v>
      </c>
      <c r="N3048" s="19"/>
      <c r="O3048" s="19"/>
      <c r="P3048" s="19" t="s">
        <v>2165</v>
      </c>
      <c r="Q3048" s="19" t="s">
        <v>1021</v>
      </c>
      <c r="R3048" s="21" t="n">
        <v>36598</v>
      </c>
      <c r="S3048" s="19" t="s">
        <v>1106</v>
      </c>
      <c r="T3048" s="19" t="s">
        <v>8852</v>
      </c>
      <c r="U3048" s="19" t="str">
        <f aca="false">HYPERLINK("https://macaulaylibrary.org/asset/147721451","Open")</f>
        <v>Open</v>
      </c>
      <c r="V3048" s="19"/>
    </row>
    <row r="3049" customFormat="false" ht="15" hidden="false" customHeight="false" outlineLevel="0" collapsed="false">
      <c r="A3049" s="19" t="s">
        <v>8853</v>
      </c>
      <c r="B3049" s="19" t="s">
        <v>943</v>
      </c>
      <c r="C3049" s="19" t="s">
        <v>8448</v>
      </c>
      <c r="D3049" s="19" t="s">
        <v>148</v>
      </c>
      <c r="E3049" s="19" t="s">
        <v>147</v>
      </c>
      <c r="F3049" s="19" t="s">
        <v>319</v>
      </c>
      <c r="G3049" s="19" t="n">
        <v>124</v>
      </c>
      <c r="H3049" s="19" t="s">
        <v>320</v>
      </c>
      <c r="I3049" s="20" t="n">
        <v>6.784</v>
      </c>
      <c r="J3049" s="19" t="n">
        <f aca="false">IF(I3049="","",MIN(Overview!$B$8,MAX(1,CEILING(I3049/Overview!$B$7,1))))</f>
        <v>2</v>
      </c>
      <c r="K3049" s="19" t="n">
        <v>1</v>
      </c>
      <c r="L3049" s="19"/>
      <c r="M3049" s="20"/>
      <c r="N3049" s="19"/>
      <c r="O3049" s="19"/>
      <c r="P3049" s="19" t="s">
        <v>1414</v>
      </c>
      <c r="Q3049" s="19" t="s">
        <v>1204</v>
      </c>
      <c r="R3049" s="21" t="n">
        <v>44608</v>
      </c>
      <c r="S3049" s="19" t="s">
        <v>1415</v>
      </c>
      <c r="T3049" s="19" t="s">
        <v>8854</v>
      </c>
      <c r="U3049" s="19" t="str">
        <f aca="false">HYPERLINK("https://macaulaylibrary.org/asset/531098001","Open")</f>
        <v>Open</v>
      </c>
      <c r="V3049" s="19"/>
    </row>
    <row r="3050" customFormat="false" ht="15" hidden="false" customHeight="false" outlineLevel="0" collapsed="false">
      <c r="A3050" s="19" t="s">
        <v>8855</v>
      </c>
      <c r="B3050" s="19" t="s">
        <v>943</v>
      </c>
      <c r="C3050" s="19" t="s">
        <v>8448</v>
      </c>
      <c r="D3050" s="19" t="s">
        <v>148</v>
      </c>
      <c r="E3050" s="19" t="s">
        <v>147</v>
      </c>
      <c r="F3050" s="19" t="s">
        <v>319</v>
      </c>
      <c r="G3050" s="19" t="n">
        <v>124</v>
      </c>
      <c r="H3050" s="19" t="s">
        <v>320</v>
      </c>
      <c r="I3050" s="20" t="n">
        <v>75.259</v>
      </c>
      <c r="J3050" s="19" t="n">
        <f aca="false">IF(I3050="","",MIN(Overview!$B$8,MAX(1,CEILING(I3050/Overview!$B$7,1))))</f>
        <v>16</v>
      </c>
      <c r="K3050" s="19" t="n">
        <v>1</v>
      </c>
      <c r="L3050" s="19"/>
      <c r="M3050" s="20" t="n">
        <v>4</v>
      </c>
      <c r="N3050" s="19"/>
      <c r="O3050" s="19"/>
      <c r="P3050" s="19" t="s">
        <v>2519</v>
      </c>
      <c r="Q3050" s="19" t="s">
        <v>1236</v>
      </c>
      <c r="R3050" s="21" t="n">
        <v>46192</v>
      </c>
      <c r="S3050" s="19" t="s">
        <v>2520</v>
      </c>
      <c r="T3050" s="19" t="s">
        <v>8856</v>
      </c>
      <c r="U3050" s="19" t="str">
        <f aca="false">HYPERLINK("https://macaulaylibrary.org/asset/660494254","Open")</f>
        <v>Open</v>
      </c>
      <c r="V3050" s="19"/>
    </row>
    <row r="3051" customFormat="false" ht="15" hidden="false" customHeight="false" outlineLevel="0" collapsed="false">
      <c r="A3051" s="19" t="s">
        <v>8857</v>
      </c>
      <c r="B3051" s="19" t="s">
        <v>943</v>
      </c>
      <c r="C3051" s="19" t="s">
        <v>8448</v>
      </c>
      <c r="D3051" s="19" t="s">
        <v>148</v>
      </c>
      <c r="E3051" s="19" t="s">
        <v>147</v>
      </c>
      <c r="F3051" s="19" t="s">
        <v>212</v>
      </c>
      <c r="G3051" s="19" t="n">
        <v>126</v>
      </c>
      <c r="H3051" s="19" t="s">
        <v>213</v>
      </c>
      <c r="I3051" s="20" t="n">
        <v>14.227</v>
      </c>
      <c r="J3051" s="19" t="n">
        <f aca="false">IF(I3051="","",MIN(Overview!$B$8,MAX(1,CEILING(I3051/Overview!$B$7,1))))</f>
        <v>3</v>
      </c>
      <c r="K3051" s="19" t="n">
        <v>1</v>
      </c>
      <c r="L3051" s="19"/>
      <c r="M3051" s="20" t="n">
        <v>3</v>
      </c>
      <c r="N3051" s="19"/>
      <c r="O3051" s="19"/>
      <c r="P3051" s="19" t="s">
        <v>2381</v>
      </c>
      <c r="Q3051" s="19" t="s">
        <v>1408</v>
      </c>
      <c r="R3051" s="21" t="n">
        <v>32098</v>
      </c>
      <c r="S3051" s="19" t="s">
        <v>1009</v>
      </c>
      <c r="T3051" s="19" t="s">
        <v>8858</v>
      </c>
      <c r="U3051" s="19" t="str">
        <f aca="false">HYPERLINK("https://macaulaylibrary.org/asset/338507501","Open")</f>
        <v>Open</v>
      </c>
      <c r="V3051" s="19"/>
    </row>
    <row r="3052" customFormat="false" ht="15" hidden="false" customHeight="false" outlineLevel="0" collapsed="false">
      <c r="A3052" s="19" t="s">
        <v>8859</v>
      </c>
      <c r="B3052" s="19" t="s">
        <v>943</v>
      </c>
      <c r="C3052" s="19" t="s">
        <v>8448</v>
      </c>
      <c r="D3052" s="19" t="s">
        <v>148</v>
      </c>
      <c r="E3052" s="19" t="s">
        <v>147</v>
      </c>
      <c r="F3052" s="19" t="s">
        <v>212</v>
      </c>
      <c r="G3052" s="19" t="n">
        <v>126</v>
      </c>
      <c r="H3052" s="19" t="s">
        <v>213</v>
      </c>
      <c r="I3052" s="20" t="n">
        <v>6.533</v>
      </c>
      <c r="J3052" s="19" t="n">
        <f aca="false">IF(I3052="","",MIN(Overview!$B$8,MAX(1,CEILING(I3052/Overview!$B$7,1))))</f>
        <v>2</v>
      </c>
      <c r="K3052" s="19" t="n">
        <v>1</v>
      </c>
      <c r="L3052" s="19"/>
      <c r="M3052" s="20" t="n">
        <v>1</v>
      </c>
      <c r="N3052" s="19"/>
      <c r="O3052" s="19"/>
      <c r="P3052" s="19" t="s">
        <v>8860</v>
      </c>
      <c r="Q3052" s="19" t="s">
        <v>1040</v>
      </c>
      <c r="R3052" s="21" t="n">
        <v>42732</v>
      </c>
      <c r="S3052" s="19" t="s">
        <v>4065</v>
      </c>
      <c r="T3052" s="19" t="s">
        <v>8861</v>
      </c>
      <c r="U3052" s="19" t="str">
        <f aca="false">HYPERLINK("https://macaulaylibrary.org/asset/45821011","Open")</f>
        <v>Open</v>
      </c>
      <c r="V3052" s="19"/>
    </row>
    <row r="3053" customFormat="false" ht="15" hidden="false" customHeight="false" outlineLevel="0" collapsed="false">
      <c r="A3053" s="19" t="s">
        <v>8862</v>
      </c>
      <c r="B3053" s="19" t="s">
        <v>943</v>
      </c>
      <c r="C3053" s="19" t="s">
        <v>8448</v>
      </c>
      <c r="D3053" s="19" t="s">
        <v>148</v>
      </c>
      <c r="E3053" s="19" t="s">
        <v>147</v>
      </c>
      <c r="F3053" s="19" t="s">
        <v>212</v>
      </c>
      <c r="G3053" s="19" t="n">
        <v>126</v>
      </c>
      <c r="H3053" s="19" t="s">
        <v>213</v>
      </c>
      <c r="I3053" s="20" t="n">
        <v>8.622</v>
      </c>
      <c r="J3053" s="19" t="n">
        <f aca="false">IF(I3053="","",MIN(Overview!$B$8,MAX(1,CEILING(I3053/Overview!$B$7,1))))</f>
        <v>2</v>
      </c>
      <c r="K3053" s="19" t="n">
        <v>1</v>
      </c>
      <c r="L3053" s="19"/>
      <c r="M3053" s="20" t="n">
        <v>3</v>
      </c>
      <c r="N3053" s="19"/>
      <c r="O3053" s="19"/>
      <c r="P3053" s="19" t="s">
        <v>8863</v>
      </c>
      <c r="Q3053" s="19" t="s">
        <v>1086</v>
      </c>
      <c r="R3053" s="21" t="n">
        <v>45296</v>
      </c>
      <c r="S3053" s="19" t="s">
        <v>4050</v>
      </c>
      <c r="T3053" s="19" t="s">
        <v>8864</v>
      </c>
      <c r="U3053" s="19" t="str">
        <f aca="false">HYPERLINK("https://macaulaylibrary.org/asset/614020046","Open")</f>
        <v>Open</v>
      </c>
      <c r="V3053" s="19"/>
    </row>
    <row r="3054" customFormat="false" ht="15" hidden="false" customHeight="false" outlineLevel="0" collapsed="false">
      <c r="A3054" s="19" t="s">
        <v>8865</v>
      </c>
      <c r="B3054" s="19" t="s">
        <v>943</v>
      </c>
      <c r="C3054" s="19" t="s">
        <v>8448</v>
      </c>
      <c r="D3054" s="19" t="s">
        <v>148</v>
      </c>
      <c r="E3054" s="19" t="s">
        <v>147</v>
      </c>
      <c r="F3054" s="19" t="s">
        <v>212</v>
      </c>
      <c r="G3054" s="19" t="n">
        <v>126</v>
      </c>
      <c r="H3054" s="19" t="s">
        <v>213</v>
      </c>
      <c r="I3054" s="20" t="n">
        <v>8.843</v>
      </c>
      <c r="J3054" s="19" t="n">
        <f aca="false">IF(I3054="","",MIN(Overview!$B$8,MAX(1,CEILING(I3054/Overview!$B$7,1))))</f>
        <v>2</v>
      </c>
      <c r="K3054" s="19" t="n">
        <v>1</v>
      </c>
      <c r="L3054" s="19"/>
      <c r="M3054" s="20"/>
      <c r="N3054" s="19"/>
      <c r="O3054" s="19"/>
      <c r="P3054" s="19" t="s">
        <v>8863</v>
      </c>
      <c r="Q3054" s="19" t="s">
        <v>1086</v>
      </c>
      <c r="R3054" s="21" t="n">
        <v>45296</v>
      </c>
      <c r="S3054" s="19" t="s">
        <v>4050</v>
      </c>
      <c r="T3054" s="19" t="s">
        <v>8866</v>
      </c>
      <c r="U3054" s="19" t="str">
        <f aca="false">HYPERLINK("https://macaulaylibrary.org/asset/614020047","Open")</f>
        <v>Open</v>
      </c>
      <c r="V3054" s="19"/>
    </row>
    <row r="3055" customFormat="false" ht="15" hidden="false" customHeight="false" outlineLevel="0" collapsed="false">
      <c r="A3055" s="19" t="s">
        <v>8867</v>
      </c>
      <c r="B3055" s="19" t="s">
        <v>943</v>
      </c>
      <c r="C3055" s="19" t="s">
        <v>8448</v>
      </c>
      <c r="D3055" s="19" t="s">
        <v>148</v>
      </c>
      <c r="E3055" s="19" t="s">
        <v>147</v>
      </c>
      <c r="F3055" s="19" t="s">
        <v>212</v>
      </c>
      <c r="G3055" s="19" t="n">
        <v>126</v>
      </c>
      <c r="H3055" s="19" t="s">
        <v>213</v>
      </c>
      <c r="I3055" s="20" t="n">
        <v>5.835</v>
      </c>
      <c r="J3055" s="19" t="n">
        <f aca="false">IF(I3055="","",MIN(Overview!$B$8,MAX(1,CEILING(I3055/Overview!$B$7,1))))</f>
        <v>2</v>
      </c>
      <c r="K3055" s="19" t="n">
        <v>1</v>
      </c>
      <c r="L3055" s="19"/>
      <c r="M3055" s="20"/>
      <c r="N3055" s="19"/>
      <c r="O3055" s="19"/>
      <c r="P3055" s="19" t="s">
        <v>2851</v>
      </c>
      <c r="Q3055" s="19" t="s">
        <v>1348</v>
      </c>
      <c r="R3055" s="21" t="n">
        <v>46099</v>
      </c>
      <c r="S3055" s="19" t="s">
        <v>1884</v>
      </c>
      <c r="T3055" s="19" t="s">
        <v>8868</v>
      </c>
      <c r="U3055" s="19" t="str">
        <f aca="false">HYPERLINK("https://macaulaylibrary.org/asset/654441795","Open")</f>
        <v>Open</v>
      </c>
      <c r="V3055" s="19"/>
    </row>
    <row r="3056" customFormat="false" ht="15" hidden="false" customHeight="false" outlineLevel="0" collapsed="false">
      <c r="A3056" s="19" t="s">
        <v>8869</v>
      </c>
      <c r="B3056" s="19" t="s">
        <v>943</v>
      </c>
      <c r="C3056" s="19" t="s">
        <v>8448</v>
      </c>
      <c r="D3056" s="19" t="s">
        <v>148</v>
      </c>
      <c r="E3056" s="19" t="s">
        <v>147</v>
      </c>
      <c r="F3056" s="19" t="s">
        <v>206</v>
      </c>
      <c r="G3056" s="19" t="n">
        <v>128</v>
      </c>
      <c r="H3056" s="19" t="s">
        <v>207</v>
      </c>
      <c r="I3056" s="20" t="n">
        <v>134.213</v>
      </c>
      <c r="J3056" s="19" t="n">
        <f aca="false">IF(I3056="","",MIN(Overview!$B$8,MAX(1,CEILING(I3056/Overview!$B$7,1))))</f>
        <v>27</v>
      </c>
      <c r="K3056" s="19" t="n">
        <v>1</v>
      </c>
      <c r="L3056" s="19"/>
      <c r="M3056" s="20" t="n">
        <v>4</v>
      </c>
      <c r="N3056" s="19"/>
      <c r="O3056" s="19"/>
      <c r="P3056" s="19" t="s">
        <v>3831</v>
      </c>
      <c r="Q3056" s="19" t="s">
        <v>1021</v>
      </c>
      <c r="R3056" s="21" t="n">
        <v>35862</v>
      </c>
      <c r="S3056" s="19" t="s">
        <v>1036</v>
      </c>
      <c r="T3056" s="19" t="s">
        <v>8870</v>
      </c>
      <c r="U3056" s="19" t="str">
        <f aca="false">HYPERLINK("https://macaulaylibrary.org/asset/100771791","Open")</f>
        <v>Open</v>
      </c>
      <c r="V3056" s="19"/>
    </row>
    <row r="3057" customFormat="false" ht="15" hidden="false" customHeight="false" outlineLevel="0" collapsed="false">
      <c r="A3057" s="19" t="s">
        <v>8871</v>
      </c>
      <c r="B3057" s="19" t="s">
        <v>943</v>
      </c>
      <c r="C3057" s="19" t="s">
        <v>8448</v>
      </c>
      <c r="D3057" s="19" t="s">
        <v>148</v>
      </c>
      <c r="E3057" s="19" t="s">
        <v>147</v>
      </c>
      <c r="F3057" s="19" t="s">
        <v>206</v>
      </c>
      <c r="G3057" s="19" t="n">
        <v>128</v>
      </c>
      <c r="H3057" s="19" t="s">
        <v>207</v>
      </c>
      <c r="I3057" s="20" t="n">
        <v>25.768</v>
      </c>
      <c r="J3057" s="19" t="n">
        <f aca="false">IF(I3057="","",MIN(Overview!$B$8,MAX(1,CEILING(I3057/Overview!$B$7,1))))</f>
        <v>6</v>
      </c>
      <c r="K3057" s="19" t="n">
        <v>1</v>
      </c>
      <c r="L3057" s="19"/>
      <c r="M3057" s="20" t="n">
        <v>5</v>
      </c>
      <c r="N3057" s="19"/>
      <c r="O3057" s="19"/>
      <c r="P3057" s="19" t="s">
        <v>4309</v>
      </c>
      <c r="Q3057" s="19" t="s">
        <v>1408</v>
      </c>
      <c r="R3057" s="21" t="n">
        <v>31808</v>
      </c>
      <c r="S3057" s="19" t="s">
        <v>1009</v>
      </c>
      <c r="T3057" s="19" t="s">
        <v>8872</v>
      </c>
      <c r="U3057" s="19" t="str">
        <f aca="false">HYPERLINK("https://macaulaylibrary.org/asset/306066781","Open")</f>
        <v>Open</v>
      </c>
      <c r="V3057" s="19"/>
    </row>
    <row r="3058" customFormat="false" ht="15" hidden="false" customHeight="false" outlineLevel="0" collapsed="false">
      <c r="A3058" s="19" t="s">
        <v>8873</v>
      </c>
      <c r="B3058" s="19" t="s">
        <v>943</v>
      </c>
      <c r="C3058" s="19" t="s">
        <v>8448</v>
      </c>
      <c r="D3058" s="19" t="s">
        <v>148</v>
      </c>
      <c r="E3058" s="19" t="s">
        <v>147</v>
      </c>
      <c r="F3058" s="19" t="s">
        <v>206</v>
      </c>
      <c r="G3058" s="19" t="n">
        <v>128</v>
      </c>
      <c r="H3058" s="19" t="s">
        <v>207</v>
      </c>
      <c r="I3058" s="20" t="n">
        <v>13.543</v>
      </c>
      <c r="J3058" s="19" t="n">
        <f aca="false">IF(I3058="","",MIN(Overview!$B$8,MAX(1,CEILING(I3058/Overview!$B$7,1))))</f>
        <v>3</v>
      </c>
      <c r="K3058" s="19" t="n">
        <v>1</v>
      </c>
      <c r="L3058" s="19"/>
      <c r="M3058" s="20" t="n">
        <v>2</v>
      </c>
      <c r="N3058" s="19"/>
      <c r="O3058" s="19"/>
      <c r="P3058" s="19" t="s">
        <v>1170</v>
      </c>
      <c r="Q3058" s="19" t="s">
        <v>1166</v>
      </c>
      <c r="R3058" s="21" t="n">
        <v>44900</v>
      </c>
      <c r="S3058" s="19" t="s">
        <v>1092</v>
      </c>
      <c r="T3058" s="19" t="s">
        <v>8874</v>
      </c>
      <c r="U3058" s="19" t="str">
        <f aca="false">HYPERLINK("https://macaulaylibrary.org/asset/597933531","Open")</f>
        <v>Open</v>
      </c>
      <c r="V3058" s="19"/>
    </row>
    <row r="3059" customFormat="false" ht="15" hidden="false" customHeight="false" outlineLevel="0" collapsed="false">
      <c r="A3059" s="19" t="s">
        <v>8875</v>
      </c>
      <c r="B3059" s="19" t="s">
        <v>943</v>
      </c>
      <c r="C3059" s="19" t="s">
        <v>8448</v>
      </c>
      <c r="D3059" s="19" t="s">
        <v>148</v>
      </c>
      <c r="E3059" s="19" t="s">
        <v>147</v>
      </c>
      <c r="F3059" s="19" t="s">
        <v>206</v>
      </c>
      <c r="G3059" s="19" t="n">
        <v>128</v>
      </c>
      <c r="H3059" s="19" t="s">
        <v>207</v>
      </c>
      <c r="I3059" s="20" t="n">
        <v>4.2</v>
      </c>
      <c r="J3059" s="19" t="n">
        <f aca="false">IF(I3059="","",MIN(Overview!$B$8,MAX(1,CEILING(I3059/Overview!$B$7,1))))</f>
        <v>1</v>
      </c>
      <c r="K3059" s="19" t="n">
        <v>1</v>
      </c>
      <c r="L3059" s="19" t="s">
        <v>1048</v>
      </c>
      <c r="M3059" s="20" t="n">
        <v>4</v>
      </c>
      <c r="N3059" s="19"/>
      <c r="O3059" s="19"/>
      <c r="P3059" s="19" t="s">
        <v>1170</v>
      </c>
      <c r="Q3059" s="19" t="s">
        <v>1166</v>
      </c>
      <c r="R3059" s="21" t="n">
        <v>44900</v>
      </c>
      <c r="S3059" s="19" t="s">
        <v>1092</v>
      </c>
      <c r="T3059" s="19" t="s">
        <v>8876</v>
      </c>
      <c r="U3059" s="19" t="str">
        <f aca="false">HYPERLINK("https://macaulaylibrary.org/asset/597934231","Open")</f>
        <v>Open</v>
      </c>
      <c r="V3059" s="19"/>
    </row>
    <row r="3060" customFormat="false" ht="15" hidden="false" customHeight="false" outlineLevel="0" collapsed="false">
      <c r="A3060" s="19" t="s">
        <v>8877</v>
      </c>
      <c r="B3060" s="19" t="s">
        <v>943</v>
      </c>
      <c r="C3060" s="19" t="s">
        <v>8448</v>
      </c>
      <c r="D3060" s="19" t="s">
        <v>148</v>
      </c>
      <c r="E3060" s="19" t="s">
        <v>147</v>
      </c>
      <c r="F3060" s="19" t="s">
        <v>206</v>
      </c>
      <c r="G3060" s="19" t="n">
        <v>128</v>
      </c>
      <c r="H3060" s="19" t="s">
        <v>207</v>
      </c>
      <c r="I3060" s="20" t="n">
        <v>86.055</v>
      </c>
      <c r="J3060" s="19" t="n">
        <f aca="false">IF(I3060="","",MIN(Overview!$B$8,MAX(1,CEILING(I3060/Overview!$B$7,1))))</f>
        <v>18</v>
      </c>
      <c r="K3060" s="19" t="n">
        <v>1</v>
      </c>
      <c r="L3060" s="19"/>
      <c r="M3060" s="20" t="n">
        <v>3.67</v>
      </c>
      <c r="N3060" s="19"/>
      <c r="O3060" s="19"/>
      <c r="P3060" s="19" t="s">
        <v>2750</v>
      </c>
      <c r="Q3060" s="19" t="s">
        <v>1021</v>
      </c>
      <c r="R3060" s="21" t="n">
        <v>35859</v>
      </c>
      <c r="S3060" s="19" t="s">
        <v>1658</v>
      </c>
      <c r="T3060" s="19" t="s">
        <v>8878</v>
      </c>
      <c r="U3060" s="19" t="str">
        <f aca="false">HYPERLINK("https://macaulaylibrary.org/asset/97469461","Open")</f>
        <v>Open</v>
      </c>
      <c r="V3060" s="19"/>
    </row>
    <row r="3061" customFormat="false" ht="15" hidden="false" customHeight="false" outlineLevel="0" collapsed="false">
      <c r="A3061" s="19" t="s">
        <v>8879</v>
      </c>
      <c r="B3061" s="19" t="s">
        <v>943</v>
      </c>
      <c r="C3061" s="19" t="s">
        <v>8448</v>
      </c>
      <c r="D3061" s="19" t="s">
        <v>148</v>
      </c>
      <c r="E3061" s="19" t="s">
        <v>147</v>
      </c>
      <c r="F3061" s="19" t="s">
        <v>292</v>
      </c>
      <c r="G3061" s="19" t="n">
        <v>133</v>
      </c>
      <c r="H3061" s="19" t="s">
        <v>293</v>
      </c>
      <c r="I3061" s="20" t="n">
        <v>8.189</v>
      </c>
      <c r="J3061" s="19" t="n">
        <f aca="false">IF(I3061="","",MIN(Overview!$B$8,MAX(1,CEILING(I3061/Overview!$B$7,1))))</f>
        <v>2</v>
      </c>
      <c r="K3061" s="19" t="n">
        <v>1</v>
      </c>
      <c r="L3061" s="19"/>
      <c r="M3061" s="20" t="n">
        <v>2.5</v>
      </c>
      <c r="N3061" s="19"/>
      <c r="O3061" s="19"/>
      <c r="P3061" s="19" t="s">
        <v>7516</v>
      </c>
      <c r="Q3061" s="19" t="s">
        <v>2085</v>
      </c>
      <c r="R3061" s="21" t="n">
        <v>44185</v>
      </c>
      <c r="S3061" s="19" t="s">
        <v>1106</v>
      </c>
      <c r="T3061" s="19" t="s">
        <v>8880</v>
      </c>
      <c r="U3061" s="19" t="str">
        <f aca="false">HYPERLINK("https://macaulaylibrary.org/asset/297142331","Open")</f>
        <v>Open</v>
      </c>
      <c r="V3061" s="19"/>
    </row>
    <row r="3062" customFormat="false" ht="15" hidden="false" customHeight="false" outlineLevel="0" collapsed="false">
      <c r="A3062" s="19" t="s">
        <v>8881</v>
      </c>
      <c r="B3062" s="19" t="s">
        <v>943</v>
      </c>
      <c r="C3062" s="19" t="s">
        <v>8448</v>
      </c>
      <c r="D3062" s="19" t="s">
        <v>148</v>
      </c>
      <c r="E3062" s="19" t="s">
        <v>147</v>
      </c>
      <c r="F3062" s="19" t="s">
        <v>292</v>
      </c>
      <c r="G3062" s="19" t="n">
        <v>133</v>
      </c>
      <c r="H3062" s="19" t="s">
        <v>293</v>
      </c>
      <c r="I3062" s="20" t="n">
        <v>38.194</v>
      </c>
      <c r="J3062" s="19" t="n">
        <f aca="false">IF(I3062="","",MIN(Overview!$B$8,MAX(1,CEILING(I3062/Overview!$B$7,1))))</f>
        <v>8</v>
      </c>
      <c r="K3062" s="19" t="n">
        <v>1</v>
      </c>
      <c r="L3062" s="19"/>
      <c r="M3062" s="20" t="n">
        <v>4.5</v>
      </c>
      <c r="N3062" s="19"/>
      <c r="O3062" s="19"/>
      <c r="P3062" s="19" t="s">
        <v>1029</v>
      </c>
      <c r="Q3062" s="19" t="s">
        <v>1030</v>
      </c>
      <c r="R3062" s="21" t="n">
        <v>40251</v>
      </c>
      <c r="S3062" s="19" t="s">
        <v>1036</v>
      </c>
      <c r="T3062" s="19" t="s">
        <v>8882</v>
      </c>
      <c r="U3062" s="19" t="str">
        <f aca="false">HYPERLINK("https://macaulaylibrary.org/asset/299609","Open")</f>
        <v>Open</v>
      </c>
      <c r="V3062" s="19"/>
    </row>
    <row r="3063" customFormat="false" ht="15" hidden="false" customHeight="false" outlineLevel="0" collapsed="false">
      <c r="A3063" s="19" t="s">
        <v>8883</v>
      </c>
      <c r="B3063" s="19" t="s">
        <v>943</v>
      </c>
      <c r="C3063" s="19" t="s">
        <v>8448</v>
      </c>
      <c r="D3063" s="19" t="s">
        <v>148</v>
      </c>
      <c r="E3063" s="19" t="s">
        <v>147</v>
      </c>
      <c r="F3063" s="19" t="s">
        <v>292</v>
      </c>
      <c r="G3063" s="19" t="n">
        <v>133</v>
      </c>
      <c r="H3063" s="19" t="s">
        <v>293</v>
      </c>
      <c r="I3063" s="20" t="n">
        <v>8.294</v>
      </c>
      <c r="J3063" s="19" t="n">
        <f aca="false">IF(I3063="","",MIN(Overview!$B$8,MAX(1,CEILING(I3063/Overview!$B$7,1))))</f>
        <v>2</v>
      </c>
      <c r="K3063" s="19" t="n">
        <v>1</v>
      </c>
      <c r="L3063" s="19"/>
      <c r="M3063" s="20" t="n">
        <v>4</v>
      </c>
      <c r="N3063" s="19"/>
      <c r="O3063" s="19"/>
      <c r="P3063" s="19" t="s">
        <v>1029</v>
      </c>
      <c r="Q3063" s="19" t="s">
        <v>1030</v>
      </c>
      <c r="R3063" s="21" t="n">
        <v>40251</v>
      </c>
      <c r="S3063" s="19" t="s">
        <v>1106</v>
      </c>
      <c r="T3063" s="19" t="s">
        <v>8884</v>
      </c>
      <c r="U3063" s="19" t="str">
        <f aca="false">HYPERLINK("https://macaulaylibrary.org/asset/299612","Open")</f>
        <v>Open</v>
      </c>
      <c r="V3063" s="19"/>
    </row>
    <row r="3064" customFormat="false" ht="15" hidden="false" customHeight="false" outlineLevel="0" collapsed="false">
      <c r="A3064" s="19" t="s">
        <v>8885</v>
      </c>
      <c r="B3064" s="19" t="s">
        <v>943</v>
      </c>
      <c r="C3064" s="19" t="s">
        <v>8448</v>
      </c>
      <c r="D3064" s="19" t="s">
        <v>148</v>
      </c>
      <c r="E3064" s="19" t="s">
        <v>147</v>
      </c>
      <c r="F3064" s="19" t="s">
        <v>382</v>
      </c>
      <c r="G3064" s="19" t="n">
        <v>135</v>
      </c>
      <c r="H3064" s="19" t="s">
        <v>383</v>
      </c>
      <c r="I3064" s="20" t="n">
        <v>105.192</v>
      </c>
      <c r="J3064" s="19" t="n">
        <f aca="false">IF(I3064="","",MIN(Overview!$B$8,MAX(1,CEILING(I3064/Overview!$B$7,1))))</f>
        <v>22</v>
      </c>
      <c r="K3064" s="19" t="n">
        <v>1</v>
      </c>
      <c r="L3064" s="19"/>
      <c r="M3064" s="20" t="n">
        <v>4</v>
      </c>
      <c r="N3064" s="19"/>
      <c r="O3064" s="19"/>
      <c r="P3064" s="19" t="s">
        <v>1763</v>
      </c>
      <c r="Q3064" s="19" t="s">
        <v>980</v>
      </c>
      <c r="R3064" s="21" t="n">
        <v>34127</v>
      </c>
      <c r="S3064" s="19" t="s">
        <v>8803</v>
      </c>
      <c r="T3064" s="19" t="s">
        <v>8886</v>
      </c>
      <c r="U3064" s="19" t="str">
        <f aca="false">HYPERLINK("https://macaulaylibrary.org/asset/209498","Open")</f>
        <v>Open</v>
      </c>
      <c r="V3064" s="19" t="s">
        <v>4244</v>
      </c>
    </row>
    <row r="3065" customFormat="false" ht="15" hidden="false" customHeight="false" outlineLevel="0" collapsed="false">
      <c r="A3065" s="19" t="s">
        <v>8887</v>
      </c>
      <c r="B3065" s="19" t="s">
        <v>943</v>
      </c>
      <c r="C3065" s="19" t="s">
        <v>8448</v>
      </c>
      <c r="D3065" s="19" t="s">
        <v>148</v>
      </c>
      <c r="E3065" s="19" t="s">
        <v>147</v>
      </c>
      <c r="F3065" s="19" t="s">
        <v>382</v>
      </c>
      <c r="G3065" s="19" t="n">
        <v>135</v>
      </c>
      <c r="H3065" s="19" t="s">
        <v>383</v>
      </c>
      <c r="I3065" s="20" t="n">
        <v>8.214</v>
      </c>
      <c r="J3065" s="19" t="n">
        <f aca="false">IF(I3065="","",MIN(Overview!$B$8,MAX(1,CEILING(I3065/Overview!$B$7,1))))</f>
        <v>2</v>
      </c>
      <c r="K3065" s="19" t="n">
        <v>1</v>
      </c>
      <c r="L3065" s="19"/>
      <c r="M3065" s="20" t="n">
        <v>1</v>
      </c>
      <c r="N3065" s="19"/>
      <c r="O3065" s="19"/>
      <c r="P3065" s="19" t="s">
        <v>4236</v>
      </c>
      <c r="Q3065" s="19" t="s">
        <v>1397</v>
      </c>
      <c r="R3065" s="21" t="n">
        <v>46218</v>
      </c>
      <c r="S3065" s="19" t="s">
        <v>1419</v>
      </c>
      <c r="T3065" s="19" t="s">
        <v>8888</v>
      </c>
      <c r="U3065" s="19" t="str">
        <f aca="false">HYPERLINK("https://macaulaylibrary.org/asset/661712133","Open")</f>
        <v>Open</v>
      </c>
      <c r="V3065" s="19"/>
    </row>
    <row r="3066" customFormat="false" ht="15" hidden="false" customHeight="false" outlineLevel="0" collapsed="false">
      <c r="A3066" s="19" t="s">
        <v>8889</v>
      </c>
      <c r="B3066" s="19" t="s">
        <v>943</v>
      </c>
      <c r="C3066" s="19" t="s">
        <v>8448</v>
      </c>
      <c r="D3066" s="19" t="s">
        <v>148</v>
      </c>
      <c r="E3066" s="19" t="s">
        <v>147</v>
      </c>
      <c r="F3066" s="19" t="s">
        <v>228</v>
      </c>
      <c r="G3066" s="19" t="n">
        <v>139</v>
      </c>
      <c r="H3066" s="19" t="s">
        <v>229</v>
      </c>
      <c r="I3066" s="20" t="n">
        <v>232.187</v>
      </c>
      <c r="J3066" s="19" t="n">
        <f aca="false">IF(I3066="","",MIN(Overview!$B$8,MAX(1,CEILING(I3066/Overview!$B$7,1))))</f>
        <v>47</v>
      </c>
      <c r="K3066" s="19" t="n">
        <v>1</v>
      </c>
      <c r="L3066" s="19"/>
      <c r="M3066" s="20" t="n">
        <v>3.5</v>
      </c>
      <c r="N3066" s="19"/>
      <c r="O3066" s="19"/>
      <c r="P3066" s="19" t="s">
        <v>2165</v>
      </c>
      <c r="Q3066" s="19" t="s">
        <v>1021</v>
      </c>
      <c r="R3066" s="21" t="n">
        <v>36598</v>
      </c>
      <c r="S3066" s="19" t="s">
        <v>1106</v>
      </c>
      <c r="T3066" s="19" t="s">
        <v>8890</v>
      </c>
      <c r="U3066" s="19" t="str">
        <f aca="false">HYPERLINK("https://macaulaylibrary.org/asset/148043851","Open")</f>
        <v>Open</v>
      </c>
      <c r="V3066" s="19"/>
    </row>
    <row r="3067" customFormat="false" ht="15" hidden="false" customHeight="false" outlineLevel="0" collapsed="false">
      <c r="A3067" s="19" t="s">
        <v>8891</v>
      </c>
      <c r="B3067" s="19" t="s">
        <v>943</v>
      </c>
      <c r="C3067" s="19" t="s">
        <v>8448</v>
      </c>
      <c r="D3067" s="19" t="s">
        <v>148</v>
      </c>
      <c r="E3067" s="19" t="s">
        <v>147</v>
      </c>
      <c r="F3067" s="19" t="s">
        <v>228</v>
      </c>
      <c r="G3067" s="19" t="n">
        <v>139</v>
      </c>
      <c r="H3067" s="19" t="s">
        <v>229</v>
      </c>
      <c r="I3067" s="20" t="n">
        <v>69.5</v>
      </c>
      <c r="J3067" s="19" t="n">
        <f aca="false">IF(I3067="","",MIN(Overview!$B$8,MAX(1,CEILING(I3067/Overview!$B$7,1))))</f>
        <v>14</v>
      </c>
      <c r="K3067" s="19" t="n">
        <v>1</v>
      </c>
      <c r="L3067" s="19"/>
      <c r="M3067" s="20" t="n">
        <v>3</v>
      </c>
      <c r="N3067" s="19"/>
      <c r="O3067" s="19"/>
      <c r="P3067" s="19" t="s">
        <v>4763</v>
      </c>
      <c r="Q3067" s="19" t="s">
        <v>4764</v>
      </c>
      <c r="R3067" s="21" t="n">
        <v>38422</v>
      </c>
      <c r="S3067" s="19" t="s">
        <v>1002</v>
      </c>
      <c r="T3067" s="19" t="s">
        <v>8892</v>
      </c>
      <c r="U3067" s="19" t="str">
        <f aca="false">HYPERLINK("https://macaulaylibrary.org/asset/228671611","Open")</f>
        <v>Open</v>
      </c>
      <c r="V3067" s="19"/>
    </row>
    <row r="3068" customFormat="false" ht="15" hidden="false" customHeight="false" outlineLevel="0" collapsed="false">
      <c r="A3068" s="19" t="s">
        <v>8893</v>
      </c>
      <c r="B3068" s="19" t="s">
        <v>943</v>
      </c>
      <c r="C3068" s="19" t="s">
        <v>8448</v>
      </c>
      <c r="D3068" s="19" t="s">
        <v>148</v>
      </c>
      <c r="E3068" s="19" t="s">
        <v>147</v>
      </c>
      <c r="F3068" s="19" t="s">
        <v>228</v>
      </c>
      <c r="G3068" s="19" t="n">
        <v>139</v>
      </c>
      <c r="H3068" s="19" t="s">
        <v>229</v>
      </c>
      <c r="I3068" s="20" t="n">
        <v>59.132</v>
      </c>
      <c r="J3068" s="19" t="n">
        <f aca="false">IF(I3068="","",MIN(Overview!$B$8,MAX(1,CEILING(I3068/Overview!$B$7,1))))</f>
        <v>12</v>
      </c>
      <c r="K3068" s="19" t="n">
        <v>1</v>
      </c>
      <c r="L3068" s="19"/>
      <c r="M3068" s="20" t="n">
        <v>2</v>
      </c>
      <c r="N3068" s="19"/>
      <c r="O3068" s="19"/>
      <c r="P3068" s="19" t="s">
        <v>1591</v>
      </c>
      <c r="Q3068" s="19" t="s">
        <v>1592</v>
      </c>
      <c r="R3068" s="21" t="n">
        <v>30404</v>
      </c>
      <c r="S3068" s="19" t="s">
        <v>1017</v>
      </c>
      <c r="T3068" s="19" t="s">
        <v>8894</v>
      </c>
      <c r="U3068" s="19" t="str">
        <f aca="false">HYPERLINK("https://macaulaylibrary.org/asset/39223","Open")</f>
        <v>Open</v>
      </c>
      <c r="V3068" s="19"/>
    </row>
    <row r="3069" customFormat="false" ht="15" hidden="false" customHeight="false" outlineLevel="0" collapsed="false">
      <c r="A3069" s="19" t="s">
        <v>8895</v>
      </c>
      <c r="B3069" s="19" t="s">
        <v>943</v>
      </c>
      <c r="C3069" s="19" t="s">
        <v>8448</v>
      </c>
      <c r="D3069" s="19" t="s">
        <v>148</v>
      </c>
      <c r="E3069" s="19" t="s">
        <v>147</v>
      </c>
      <c r="F3069" s="19" t="s">
        <v>228</v>
      </c>
      <c r="G3069" s="19" t="n">
        <v>139</v>
      </c>
      <c r="H3069" s="19" t="s">
        <v>229</v>
      </c>
      <c r="I3069" s="20" t="n">
        <v>76.62</v>
      </c>
      <c r="J3069" s="19" t="n">
        <f aca="false">IF(I3069="","",MIN(Overview!$B$8,MAX(1,CEILING(I3069/Overview!$B$7,1))))</f>
        <v>16</v>
      </c>
      <c r="K3069" s="19" t="n">
        <v>1</v>
      </c>
      <c r="L3069" s="19"/>
      <c r="M3069" s="20" t="n">
        <v>3</v>
      </c>
      <c r="N3069" s="19"/>
      <c r="O3069" s="19"/>
      <c r="P3069" s="19" t="s">
        <v>2750</v>
      </c>
      <c r="Q3069" s="19" t="s">
        <v>1021</v>
      </c>
      <c r="R3069" s="21" t="n">
        <v>35859</v>
      </c>
      <c r="S3069" s="19" t="s">
        <v>1658</v>
      </c>
      <c r="T3069" s="19" t="s">
        <v>8896</v>
      </c>
      <c r="U3069" s="19" t="str">
        <f aca="false">HYPERLINK("https://macaulaylibrary.org/asset/97064211","Open")</f>
        <v>Open</v>
      </c>
      <c r="V3069" s="19"/>
    </row>
    <row r="3070" customFormat="false" ht="15" hidden="false" customHeight="false" outlineLevel="0" collapsed="false">
      <c r="A3070" s="19" t="s">
        <v>8897</v>
      </c>
      <c r="B3070" s="19" t="s">
        <v>943</v>
      </c>
      <c r="C3070" s="19" t="s">
        <v>8448</v>
      </c>
      <c r="D3070" s="19" t="s">
        <v>148</v>
      </c>
      <c r="E3070" s="19" t="s">
        <v>147</v>
      </c>
      <c r="F3070" s="19" t="s">
        <v>228</v>
      </c>
      <c r="G3070" s="19" t="n">
        <v>139</v>
      </c>
      <c r="H3070" s="19" t="s">
        <v>229</v>
      </c>
      <c r="I3070" s="20" t="n">
        <v>182.013</v>
      </c>
      <c r="J3070" s="19" t="n">
        <f aca="false">IF(I3070="","",MIN(Overview!$B$8,MAX(1,CEILING(I3070/Overview!$B$7,1))))</f>
        <v>37</v>
      </c>
      <c r="K3070" s="19" t="n">
        <v>1</v>
      </c>
      <c r="L3070" s="19"/>
      <c r="M3070" s="20" t="n">
        <v>3</v>
      </c>
      <c r="N3070" s="19"/>
      <c r="O3070" s="19"/>
      <c r="P3070" s="19" t="s">
        <v>2750</v>
      </c>
      <c r="Q3070" s="19" t="s">
        <v>1021</v>
      </c>
      <c r="R3070" s="21" t="n">
        <v>35859</v>
      </c>
      <c r="S3070" s="19" t="s">
        <v>1658</v>
      </c>
      <c r="T3070" s="19" t="s">
        <v>8898</v>
      </c>
      <c r="U3070" s="19" t="str">
        <f aca="false">HYPERLINK("https://macaulaylibrary.org/asset/97065501","Open")</f>
        <v>Open</v>
      </c>
      <c r="V3070" s="19"/>
    </row>
    <row r="3071" customFormat="false" ht="15" hidden="false" customHeight="false" outlineLevel="0" collapsed="false">
      <c r="A3071" s="19" t="s">
        <v>8899</v>
      </c>
      <c r="B3071" s="19" t="s">
        <v>943</v>
      </c>
      <c r="C3071" s="19" t="s">
        <v>8448</v>
      </c>
      <c r="D3071" s="19" t="s">
        <v>148</v>
      </c>
      <c r="E3071" s="19" t="s">
        <v>147</v>
      </c>
      <c r="F3071" s="19" t="s">
        <v>169</v>
      </c>
      <c r="G3071" s="19" t="n">
        <v>141</v>
      </c>
      <c r="H3071" s="19" t="s">
        <v>170</v>
      </c>
      <c r="I3071" s="20" t="n">
        <v>17.711</v>
      </c>
      <c r="J3071" s="19" t="n">
        <f aca="false">IF(I3071="","",MIN(Overview!$B$8,MAX(1,CEILING(I3071/Overview!$B$7,1))))</f>
        <v>4</v>
      </c>
      <c r="K3071" s="19" t="n">
        <v>1</v>
      </c>
      <c r="L3071" s="19"/>
      <c r="M3071" s="20" t="n">
        <v>1.5</v>
      </c>
      <c r="N3071" s="19"/>
      <c r="O3071" s="19"/>
      <c r="P3071" s="19" t="s">
        <v>1855</v>
      </c>
      <c r="Q3071" s="19" t="s">
        <v>1401</v>
      </c>
      <c r="R3071" s="21" t="n">
        <v>35811</v>
      </c>
      <c r="S3071" s="19" t="s">
        <v>1002</v>
      </c>
      <c r="T3071" s="19" t="s">
        <v>8900</v>
      </c>
      <c r="U3071" s="19" t="str">
        <f aca="false">HYPERLINK("https://macaulaylibrary.org/asset/129264611","Open")</f>
        <v>Open</v>
      </c>
      <c r="V3071" s="19"/>
    </row>
    <row r="3072" customFormat="false" ht="15" hidden="false" customHeight="false" outlineLevel="0" collapsed="false">
      <c r="A3072" s="19" t="s">
        <v>8901</v>
      </c>
      <c r="B3072" s="19" t="s">
        <v>943</v>
      </c>
      <c r="C3072" s="19" t="s">
        <v>8448</v>
      </c>
      <c r="D3072" s="19" t="s">
        <v>148</v>
      </c>
      <c r="E3072" s="19" t="s">
        <v>147</v>
      </c>
      <c r="F3072" s="19" t="s">
        <v>169</v>
      </c>
      <c r="G3072" s="19" t="n">
        <v>141</v>
      </c>
      <c r="H3072" s="19" t="s">
        <v>170</v>
      </c>
      <c r="I3072" s="20" t="n">
        <v>46.805</v>
      </c>
      <c r="J3072" s="19" t="n">
        <f aca="false">IF(I3072="","",MIN(Overview!$B$8,MAX(1,CEILING(I3072/Overview!$B$7,1))))</f>
        <v>10</v>
      </c>
      <c r="K3072" s="19" t="n">
        <v>1</v>
      </c>
      <c r="L3072" s="19"/>
      <c r="M3072" s="20" t="n">
        <v>1</v>
      </c>
      <c r="N3072" s="19"/>
      <c r="O3072" s="19"/>
      <c r="P3072" s="19" t="s">
        <v>2338</v>
      </c>
      <c r="Q3072" s="19" t="s">
        <v>965</v>
      </c>
      <c r="R3072" s="21" t="n">
        <v>43449</v>
      </c>
      <c r="S3072" s="19" t="s">
        <v>1137</v>
      </c>
      <c r="T3072" s="19" t="s">
        <v>8902</v>
      </c>
      <c r="U3072" s="19" t="str">
        <f aca="false">HYPERLINK("https://macaulaylibrary.org/asset/129894341","Open")</f>
        <v>Open</v>
      </c>
      <c r="V3072" s="19"/>
    </row>
    <row r="3073" customFormat="false" ht="15" hidden="false" customHeight="false" outlineLevel="0" collapsed="false">
      <c r="A3073" s="19" t="s">
        <v>8903</v>
      </c>
      <c r="B3073" s="19" t="s">
        <v>943</v>
      </c>
      <c r="C3073" s="19" t="s">
        <v>8448</v>
      </c>
      <c r="D3073" s="19" t="s">
        <v>148</v>
      </c>
      <c r="E3073" s="19" t="s">
        <v>147</v>
      </c>
      <c r="F3073" s="19" t="s">
        <v>169</v>
      </c>
      <c r="G3073" s="19" t="n">
        <v>141</v>
      </c>
      <c r="H3073" s="19" t="s">
        <v>170</v>
      </c>
      <c r="I3073" s="20" t="n">
        <v>57.574</v>
      </c>
      <c r="J3073" s="19" t="n">
        <f aca="false">IF(I3073="","",MIN(Overview!$B$8,MAX(1,CEILING(I3073/Overview!$B$7,1))))</f>
        <v>12</v>
      </c>
      <c r="K3073" s="19" t="n">
        <v>1</v>
      </c>
      <c r="L3073" s="19"/>
      <c r="M3073" s="20" t="n">
        <v>3</v>
      </c>
      <c r="N3073" s="19"/>
      <c r="O3073" s="19"/>
      <c r="P3073" s="19" t="s">
        <v>974</v>
      </c>
      <c r="Q3073" s="19" t="s">
        <v>975</v>
      </c>
      <c r="R3073" s="21" t="n">
        <v>43666</v>
      </c>
      <c r="S3073" s="19" t="s">
        <v>976</v>
      </c>
      <c r="T3073" s="19" t="s">
        <v>8904</v>
      </c>
      <c r="U3073" s="19" t="str">
        <f aca="false">HYPERLINK("https://macaulaylibrary.org/asset/179453121","Open")</f>
        <v>Open</v>
      </c>
      <c r="V3073" s="19"/>
    </row>
    <row r="3074" customFormat="false" ht="15" hidden="false" customHeight="false" outlineLevel="0" collapsed="false">
      <c r="A3074" s="19" t="s">
        <v>8905</v>
      </c>
      <c r="B3074" s="19" t="s">
        <v>943</v>
      </c>
      <c r="C3074" s="19" t="s">
        <v>8448</v>
      </c>
      <c r="D3074" s="19" t="s">
        <v>148</v>
      </c>
      <c r="E3074" s="19" t="s">
        <v>147</v>
      </c>
      <c r="F3074" s="19" t="s">
        <v>169</v>
      </c>
      <c r="G3074" s="19" t="n">
        <v>141</v>
      </c>
      <c r="H3074" s="19" t="s">
        <v>170</v>
      </c>
      <c r="I3074" s="20" t="n">
        <v>37.669</v>
      </c>
      <c r="J3074" s="19" t="n">
        <f aca="false">IF(I3074="","",MIN(Overview!$B$8,MAX(1,CEILING(I3074/Overview!$B$7,1))))</f>
        <v>8</v>
      </c>
      <c r="K3074" s="19" t="n">
        <v>1</v>
      </c>
      <c r="L3074" s="19"/>
      <c r="M3074" s="20" t="n">
        <v>3.33</v>
      </c>
      <c r="N3074" s="19"/>
      <c r="O3074" s="19"/>
      <c r="P3074" s="19" t="s">
        <v>7230</v>
      </c>
      <c r="Q3074" s="19" t="s">
        <v>1063</v>
      </c>
      <c r="R3074" s="21" t="n">
        <v>44086</v>
      </c>
      <c r="S3074" s="19" t="s">
        <v>7231</v>
      </c>
      <c r="T3074" s="19" t="s">
        <v>8906</v>
      </c>
      <c r="U3074" s="19" t="str">
        <f aca="false">HYPERLINK("https://macaulaylibrary.org/asset/266289801","Open")</f>
        <v>Open</v>
      </c>
      <c r="V3074" s="19"/>
    </row>
    <row r="3075" customFormat="false" ht="15" hidden="false" customHeight="false" outlineLevel="0" collapsed="false">
      <c r="A3075" s="19" t="s">
        <v>8907</v>
      </c>
      <c r="B3075" s="19" t="s">
        <v>943</v>
      </c>
      <c r="C3075" s="19" t="s">
        <v>8448</v>
      </c>
      <c r="D3075" s="19" t="s">
        <v>148</v>
      </c>
      <c r="E3075" s="19" t="s">
        <v>147</v>
      </c>
      <c r="F3075" s="19" t="s">
        <v>169</v>
      </c>
      <c r="G3075" s="19" t="n">
        <v>141</v>
      </c>
      <c r="H3075" s="19" t="s">
        <v>170</v>
      </c>
      <c r="I3075" s="20" t="n">
        <v>137.446</v>
      </c>
      <c r="J3075" s="19" t="n">
        <f aca="false">IF(I3075="","",MIN(Overview!$B$8,MAX(1,CEILING(I3075/Overview!$B$7,1))))</f>
        <v>28</v>
      </c>
      <c r="K3075" s="19" t="n">
        <v>1</v>
      </c>
      <c r="L3075" s="19"/>
      <c r="M3075" s="20" t="n">
        <v>1.4</v>
      </c>
      <c r="N3075" s="19"/>
      <c r="O3075" s="19"/>
      <c r="P3075" s="19" t="s">
        <v>5717</v>
      </c>
      <c r="Q3075" s="19" t="s">
        <v>1781</v>
      </c>
      <c r="R3075" s="21" t="n">
        <v>30404</v>
      </c>
      <c r="S3075" s="19" t="s">
        <v>8908</v>
      </c>
      <c r="T3075" s="19" t="s">
        <v>8909</v>
      </c>
      <c r="U3075" s="19" t="str">
        <f aca="false">HYPERLINK("https://macaulaylibrary.org/asset/31390","Open")</f>
        <v>Open</v>
      </c>
      <c r="V3075" s="19"/>
    </row>
    <row r="3076" customFormat="false" ht="15" hidden="false" customHeight="false" outlineLevel="0" collapsed="false">
      <c r="A3076" s="19" t="s">
        <v>8910</v>
      </c>
      <c r="B3076" s="19" t="s">
        <v>943</v>
      </c>
      <c r="C3076" s="19" t="s">
        <v>8448</v>
      </c>
      <c r="D3076" s="19" t="s">
        <v>148</v>
      </c>
      <c r="E3076" s="19" t="s">
        <v>147</v>
      </c>
      <c r="F3076" s="19" t="s">
        <v>169</v>
      </c>
      <c r="G3076" s="19" t="n">
        <v>141</v>
      </c>
      <c r="H3076" s="19" t="s">
        <v>170</v>
      </c>
      <c r="I3076" s="20" t="n">
        <v>12.705</v>
      </c>
      <c r="J3076" s="19" t="n">
        <f aca="false">IF(I3076="","",MIN(Overview!$B$8,MAX(1,CEILING(I3076/Overview!$B$7,1))))</f>
        <v>3</v>
      </c>
      <c r="K3076" s="19" t="n">
        <v>1</v>
      </c>
      <c r="L3076" s="19"/>
      <c r="M3076" s="20" t="n">
        <v>3.5</v>
      </c>
      <c r="N3076" s="19"/>
      <c r="O3076" s="19"/>
      <c r="P3076" s="19" t="s">
        <v>2096</v>
      </c>
      <c r="Q3076" s="19" t="s">
        <v>1076</v>
      </c>
      <c r="R3076" s="21" t="n">
        <v>43399</v>
      </c>
      <c r="S3076" s="19" t="s">
        <v>1205</v>
      </c>
      <c r="T3076" s="19" t="s">
        <v>8911</v>
      </c>
      <c r="U3076" s="19" t="str">
        <f aca="false">HYPERLINK("https://macaulaylibrary.org/asset/470079011","Open")</f>
        <v>Open</v>
      </c>
      <c r="V3076" s="19"/>
    </row>
    <row r="3077" customFormat="false" ht="15" hidden="false" customHeight="false" outlineLevel="0" collapsed="false">
      <c r="A3077" s="19" t="s">
        <v>8912</v>
      </c>
      <c r="B3077" s="19" t="s">
        <v>943</v>
      </c>
      <c r="C3077" s="19" t="s">
        <v>8448</v>
      </c>
      <c r="D3077" s="19" t="s">
        <v>148</v>
      </c>
      <c r="E3077" s="19" t="s">
        <v>147</v>
      </c>
      <c r="F3077" s="19" t="s">
        <v>169</v>
      </c>
      <c r="G3077" s="19" t="n">
        <v>141</v>
      </c>
      <c r="H3077" s="19" t="s">
        <v>170</v>
      </c>
      <c r="I3077" s="20" t="n">
        <v>9.833</v>
      </c>
      <c r="J3077" s="19" t="n">
        <f aca="false">IF(I3077="","",MIN(Overview!$B$8,MAX(1,CEILING(I3077/Overview!$B$7,1))))</f>
        <v>2</v>
      </c>
      <c r="K3077" s="19" t="n">
        <v>1</v>
      </c>
      <c r="L3077" s="19"/>
      <c r="M3077" s="20"/>
      <c r="N3077" s="19"/>
      <c r="O3077" s="19"/>
      <c r="P3077" s="19" t="s">
        <v>5118</v>
      </c>
      <c r="Q3077" s="19" t="s">
        <v>1204</v>
      </c>
      <c r="R3077" s="21" t="n">
        <v>46050</v>
      </c>
      <c r="S3077" s="19" t="s">
        <v>1383</v>
      </c>
      <c r="T3077" s="19" t="s">
        <v>8913</v>
      </c>
      <c r="U3077" s="19" t="str">
        <f aca="false">HYPERLINK("https://macaulaylibrary.org/asset/653762714","Open")</f>
        <v>Open</v>
      </c>
      <c r="V3077" s="19"/>
    </row>
    <row r="3078" customFormat="false" ht="15" hidden="false" customHeight="false" outlineLevel="0" collapsed="false">
      <c r="A3078" s="19" t="s">
        <v>8914</v>
      </c>
      <c r="B3078" s="19" t="s">
        <v>943</v>
      </c>
      <c r="C3078" s="19" t="s">
        <v>8448</v>
      </c>
      <c r="D3078" s="19" t="s">
        <v>148</v>
      </c>
      <c r="E3078" s="19" t="s">
        <v>147</v>
      </c>
      <c r="F3078" s="19" t="s">
        <v>169</v>
      </c>
      <c r="G3078" s="19" t="n">
        <v>141</v>
      </c>
      <c r="H3078" s="19" t="s">
        <v>170</v>
      </c>
      <c r="I3078" s="20" t="n">
        <v>19.48</v>
      </c>
      <c r="J3078" s="19" t="n">
        <f aca="false">IF(I3078="","",MIN(Overview!$B$8,MAX(1,CEILING(I3078/Overview!$B$7,1))))</f>
        <v>4</v>
      </c>
      <c r="K3078" s="19" t="n">
        <v>1</v>
      </c>
      <c r="L3078" s="19"/>
      <c r="M3078" s="20"/>
      <c r="N3078" s="19"/>
      <c r="O3078" s="19"/>
      <c r="P3078" s="19" t="s">
        <v>1386</v>
      </c>
      <c r="Q3078" s="19" t="s">
        <v>1382</v>
      </c>
      <c r="R3078" s="21" t="n">
        <v>46103</v>
      </c>
      <c r="S3078" s="19" t="s">
        <v>1387</v>
      </c>
      <c r="T3078" s="19" t="s">
        <v>8915</v>
      </c>
      <c r="U3078" s="19" t="str">
        <f aca="false">HYPERLINK("https://macaulaylibrary.org/asset/654319371","Open")</f>
        <v>Open</v>
      </c>
      <c r="V3078" s="19"/>
    </row>
    <row r="3079" customFormat="false" ht="15" hidden="false" customHeight="false" outlineLevel="0" collapsed="false">
      <c r="A3079" s="19" t="s">
        <v>8916</v>
      </c>
      <c r="B3079" s="19" t="s">
        <v>943</v>
      </c>
      <c r="C3079" s="19" t="s">
        <v>8448</v>
      </c>
      <c r="D3079" s="19" t="s">
        <v>148</v>
      </c>
      <c r="E3079" s="19" t="s">
        <v>147</v>
      </c>
      <c r="F3079" s="19" t="s">
        <v>425</v>
      </c>
      <c r="G3079" s="19" t="n">
        <v>142</v>
      </c>
      <c r="H3079" s="19" t="s">
        <v>426</v>
      </c>
      <c r="I3079" s="20" t="n">
        <v>59.804</v>
      </c>
      <c r="J3079" s="19" t="n">
        <f aca="false">IF(I3079="","",MIN(Overview!$B$8,MAX(1,CEILING(I3079/Overview!$B$7,1))))</f>
        <v>12</v>
      </c>
      <c r="K3079" s="19" t="n">
        <v>1</v>
      </c>
      <c r="L3079" s="19"/>
      <c r="M3079" s="20" t="n">
        <v>4</v>
      </c>
      <c r="N3079" s="19"/>
      <c r="O3079" s="19"/>
      <c r="P3079" s="19" t="s">
        <v>2600</v>
      </c>
      <c r="Q3079" s="19" t="s">
        <v>980</v>
      </c>
      <c r="R3079" s="21" t="n">
        <v>34124</v>
      </c>
      <c r="S3079" s="19" t="s">
        <v>7422</v>
      </c>
      <c r="T3079" s="19" t="s">
        <v>8917</v>
      </c>
      <c r="U3079" s="19" t="str">
        <f aca="false">HYPERLINK("https://macaulaylibrary.org/asset/209475","Open")</f>
        <v>Open</v>
      </c>
      <c r="V3079" s="19" t="s">
        <v>4434</v>
      </c>
    </row>
    <row r="3080" customFormat="false" ht="15" hidden="false" customHeight="false" outlineLevel="0" collapsed="false">
      <c r="A3080" s="19" t="s">
        <v>8918</v>
      </c>
      <c r="B3080" s="19" t="s">
        <v>943</v>
      </c>
      <c r="C3080" s="19" t="s">
        <v>8448</v>
      </c>
      <c r="D3080" s="19" t="s">
        <v>148</v>
      </c>
      <c r="E3080" s="19" t="s">
        <v>147</v>
      </c>
      <c r="F3080" s="19" t="s">
        <v>425</v>
      </c>
      <c r="G3080" s="19" t="n">
        <v>142</v>
      </c>
      <c r="H3080" s="19" t="s">
        <v>426</v>
      </c>
      <c r="I3080" s="20" t="n">
        <v>15.147</v>
      </c>
      <c r="J3080" s="19" t="n">
        <f aca="false">IF(I3080="","",MIN(Overview!$B$8,MAX(1,CEILING(I3080/Overview!$B$7,1))))</f>
        <v>4</v>
      </c>
      <c r="K3080" s="19" t="n">
        <v>1</v>
      </c>
      <c r="L3080" s="19"/>
      <c r="M3080" s="20" t="n">
        <v>3</v>
      </c>
      <c r="N3080" s="19"/>
      <c r="O3080" s="19"/>
      <c r="P3080" s="19" t="s">
        <v>2871</v>
      </c>
      <c r="Q3080" s="19" t="s">
        <v>990</v>
      </c>
      <c r="R3080" s="21" t="n">
        <v>44548</v>
      </c>
      <c r="S3080" s="19" t="s">
        <v>1144</v>
      </c>
      <c r="T3080" s="19" t="s">
        <v>8919</v>
      </c>
      <c r="U3080" s="19" t="str">
        <f aca="false">HYPERLINK("https://macaulaylibrary.org/asset/400105401","Open")</f>
        <v>Open</v>
      </c>
      <c r="V3080" s="19"/>
    </row>
    <row r="3081" customFormat="false" ht="15" hidden="false" customHeight="false" outlineLevel="0" collapsed="false">
      <c r="A3081" s="19" t="s">
        <v>8920</v>
      </c>
      <c r="B3081" s="19" t="s">
        <v>943</v>
      </c>
      <c r="C3081" s="19" t="s">
        <v>8448</v>
      </c>
      <c r="D3081" s="19" t="s">
        <v>148</v>
      </c>
      <c r="E3081" s="19" t="s">
        <v>147</v>
      </c>
      <c r="F3081" s="19" t="s">
        <v>231</v>
      </c>
      <c r="G3081" s="19" t="n">
        <v>145</v>
      </c>
      <c r="H3081" s="19" t="s">
        <v>232</v>
      </c>
      <c r="I3081" s="20" t="n">
        <v>27.395</v>
      </c>
      <c r="J3081" s="19" t="n">
        <f aca="false">IF(I3081="","",MIN(Overview!$B$8,MAX(1,CEILING(I3081/Overview!$B$7,1))))</f>
        <v>6</v>
      </c>
      <c r="K3081" s="19" t="n">
        <v>1</v>
      </c>
      <c r="L3081" s="19"/>
      <c r="M3081" s="20" t="n">
        <v>4</v>
      </c>
      <c r="N3081" s="19"/>
      <c r="O3081" s="19"/>
      <c r="P3081" s="19" t="s">
        <v>1768</v>
      </c>
      <c r="Q3081" s="19" t="s">
        <v>1063</v>
      </c>
      <c r="R3081" s="21" t="n">
        <v>44087</v>
      </c>
      <c r="S3081" s="19" t="s">
        <v>1769</v>
      </c>
      <c r="T3081" s="19" t="s">
        <v>8921</v>
      </c>
      <c r="U3081" s="19" t="str">
        <f aca="false">HYPERLINK("https://macaulaylibrary.org/asset/267828481","Open")</f>
        <v>Open</v>
      </c>
      <c r="V3081" s="19"/>
    </row>
    <row r="3082" customFormat="false" ht="15" hidden="false" customHeight="false" outlineLevel="0" collapsed="false">
      <c r="A3082" s="19" t="s">
        <v>8922</v>
      </c>
      <c r="B3082" s="19" t="s">
        <v>943</v>
      </c>
      <c r="C3082" s="19" t="s">
        <v>8448</v>
      </c>
      <c r="D3082" s="19" t="s">
        <v>148</v>
      </c>
      <c r="E3082" s="19" t="s">
        <v>147</v>
      </c>
      <c r="F3082" s="19" t="s">
        <v>231</v>
      </c>
      <c r="G3082" s="19" t="n">
        <v>145</v>
      </c>
      <c r="H3082" s="19" t="s">
        <v>232</v>
      </c>
      <c r="I3082" s="20" t="n">
        <v>16.644</v>
      </c>
      <c r="J3082" s="19" t="n">
        <f aca="false">IF(I3082="","",MIN(Overview!$B$8,MAX(1,CEILING(I3082/Overview!$B$7,1))))</f>
        <v>4</v>
      </c>
      <c r="K3082" s="19" t="n">
        <v>1</v>
      </c>
      <c r="L3082" s="19"/>
      <c r="M3082" s="20" t="n">
        <v>3</v>
      </c>
      <c r="N3082" s="19"/>
      <c r="O3082" s="19"/>
      <c r="P3082" s="19" t="s">
        <v>2091</v>
      </c>
      <c r="Q3082" s="19" t="s">
        <v>2085</v>
      </c>
      <c r="R3082" s="21" t="n">
        <v>44548</v>
      </c>
      <c r="S3082" s="19" t="s">
        <v>1144</v>
      </c>
      <c r="T3082" s="19" t="s">
        <v>8923</v>
      </c>
      <c r="U3082" s="19" t="str">
        <f aca="false">HYPERLINK("https://macaulaylibrary.org/asset/403411621","Open")</f>
        <v>Open</v>
      </c>
      <c r="V3082" s="19"/>
    </row>
    <row r="3083" customFormat="false" ht="15" hidden="false" customHeight="false" outlineLevel="0" collapsed="false">
      <c r="A3083" s="19" t="s">
        <v>8924</v>
      </c>
      <c r="B3083" s="19" t="s">
        <v>943</v>
      </c>
      <c r="C3083" s="19" t="s">
        <v>8448</v>
      </c>
      <c r="D3083" s="19" t="s">
        <v>148</v>
      </c>
      <c r="E3083" s="19" t="s">
        <v>147</v>
      </c>
      <c r="F3083" s="19" t="s">
        <v>231</v>
      </c>
      <c r="G3083" s="19" t="n">
        <v>145</v>
      </c>
      <c r="H3083" s="19" t="s">
        <v>232</v>
      </c>
      <c r="I3083" s="20" t="n">
        <v>13.032</v>
      </c>
      <c r="J3083" s="19" t="n">
        <f aca="false">IF(I3083="","",MIN(Overview!$B$8,MAX(1,CEILING(I3083/Overview!$B$7,1))))</f>
        <v>3</v>
      </c>
      <c r="K3083" s="19" t="n">
        <v>1</v>
      </c>
      <c r="L3083" s="19"/>
      <c r="M3083" s="20" t="n">
        <v>3</v>
      </c>
      <c r="N3083" s="19"/>
      <c r="O3083" s="19"/>
      <c r="P3083" s="19" t="s">
        <v>1811</v>
      </c>
      <c r="Q3083" s="19" t="s">
        <v>1368</v>
      </c>
      <c r="R3083" s="21" t="n">
        <v>45489</v>
      </c>
      <c r="S3083" s="19" t="s">
        <v>1081</v>
      </c>
      <c r="T3083" s="19" t="s">
        <v>8925</v>
      </c>
      <c r="U3083" s="19" t="str">
        <f aca="false">HYPERLINK("https://macaulaylibrary.org/asset/628597519","Open")</f>
        <v>Open</v>
      </c>
      <c r="V3083" s="19"/>
    </row>
    <row r="3084" customFormat="false" ht="15" hidden="false" customHeight="false" outlineLevel="0" collapsed="false">
      <c r="A3084" s="19" t="s">
        <v>8926</v>
      </c>
      <c r="B3084" s="19" t="s">
        <v>943</v>
      </c>
      <c r="C3084" s="19" t="s">
        <v>8448</v>
      </c>
      <c r="D3084" s="19" t="s">
        <v>148</v>
      </c>
      <c r="E3084" s="19" t="s">
        <v>147</v>
      </c>
      <c r="F3084" s="19" t="s">
        <v>231</v>
      </c>
      <c r="G3084" s="19" t="n">
        <v>145</v>
      </c>
      <c r="H3084" s="19" t="s">
        <v>232</v>
      </c>
      <c r="I3084" s="20" t="n">
        <v>18.74</v>
      </c>
      <c r="J3084" s="19" t="n">
        <f aca="false">IF(I3084="","",MIN(Overview!$B$8,MAX(1,CEILING(I3084/Overview!$B$7,1))))</f>
        <v>4</v>
      </c>
      <c r="K3084" s="19" t="n">
        <v>1</v>
      </c>
      <c r="L3084" s="19"/>
      <c r="M3084" s="20" t="n">
        <v>3</v>
      </c>
      <c r="N3084" s="19"/>
      <c r="O3084" s="19"/>
      <c r="P3084" s="19" t="s">
        <v>1811</v>
      </c>
      <c r="Q3084" s="19" t="s">
        <v>1368</v>
      </c>
      <c r="R3084" s="21" t="n">
        <v>45489</v>
      </c>
      <c r="S3084" s="19" t="s">
        <v>1081</v>
      </c>
      <c r="T3084" s="19" t="s">
        <v>8927</v>
      </c>
      <c r="U3084" s="19" t="str">
        <f aca="false">HYPERLINK("https://macaulaylibrary.org/asset/628653637","Open")</f>
        <v>Open</v>
      </c>
      <c r="V3084" s="19"/>
    </row>
    <row r="3085" customFormat="false" ht="15" hidden="false" customHeight="false" outlineLevel="0" collapsed="false">
      <c r="A3085" s="19" t="s">
        <v>8928</v>
      </c>
      <c r="B3085" s="19" t="s">
        <v>943</v>
      </c>
      <c r="C3085" s="19" t="s">
        <v>8448</v>
      </c>
      <c r="D3085" s="19" t="s">
        <v>148</v>
      </c>
      <c r="E3085" s="19" t="s">
        <v>147</v>
      </c>
      <c r="F3085" s="19" t="s">
        <v>231</v>
      </c>
      <c r="G3085" s="19" t="n">
        <v>145</v>
      </c>
      <c r="H3085" s="19" t="s">
        <v>232</v>
      </c>
      <c r="I3085" s="20" t="n">
        <v>13.427</v>
      </c>
      <c r="J3085" s="19" t="n">
        <f aca="false">IF(I3085="","",MIN(Overview!$B$8,MAX(1,CEILING(I3085/Overview!$B$7,1))))</f>
        <v>3</v>
      </c>
      <c r="K3085" s="19" t="n">
        <v>1</v>
      </c>
      <c r="L3085" s="19"/>
      <c r="M3085" s="20"/>
      <c r="N3085" s="19"/>
      <c r="O3085" s="19"/>
      <c r="P3085" s="19" t="s">
        <v>5972</v>
      </c>
      <c r="Q3085" s="19" t="s">
        <v>5973</v>
      </c>
      <c r="R3085" s="21" t="n">
        <v>46067</v>
      </c>
      <c r="S3085" s="19" t="s">
        <v>5974</v>
      </c>
      <c r="T3085" s="19" t="s">
        <v>8929</v>
      </c>
      <c r="U3085" s="19" t="str">
        <f aca="false">HYPERLINK("https://macaulaylibrary.org/asset/652408530","Open")</f>
        <v>Open</v>
      </c>
      <c r="V3085" s="19"/>
    </row>
    <row r="3086" customFormat="false" ht="15" hidden="false" customHeight="false" outlineLevel="0" collapsed="false">
      <c r="A3086" s="19" t="s">
        <v>8930</v>
      </c>
      <c r="B3086" s="19" t="s">
        <v>943</v>
      </c>
      <c r="C3086" s="19" t="s">
        <v>8448</v>
      </c>
      <c r="D3086" s="19" t="s">
        <v>148</v>
      </c>
      <c r="E3086" s="19" t="s">
        <v>147</v>
      </c>
      <c r="F3086" s="19" t="s">
        <v>256</v>
      </c>
      <c r="G3086" s="19" t="n">
        <v>148</v>
      </c>
      <c r="H3086" s="19" t="s">
        <v>257</v>
      </c>
      <c r="I3086" s="20" t="n">
        <v>35.918</v>
      </c>
      <c r="J3086" s="19" t="n">
        <f aca="false">IF(I3086="","",MIN(Overview!$B$8,MAX(1,CEILING(I3086/Overview!$B$7,1))))</f>
        <v>8</v>
      </c>
      <c r="K3086" s="19" t="n">
        <v>1</v>
      </c>
      <c r="L3086" s="19"/>
      <c r="M3086" s="20" t="n">
        <v>4</v>
      </c>
      <c r="N3086" s="19"/>
      <c r="O3086" s="19"/>
      <c r="P3086" s="19" t="s">
        <v>1054</v>
      </c>
      <c r="Q3086" s="19" t="s">
        <v>1055</v>
      </c>
      <c r="R3086" s="21" t="n">
        <v>40218</v>
      </c>
      <c r="S3086" s="19" t="s">
        <v>1002</v>
      </c>
      <c r="T3086" s="19" t="s">
        <v>8931</v>
      </c>
      <c r="U3086" s="19" t="str">
        <f aca="false">HYPERLINK("https://macaulaylibrary.org/asset/203939471","Open")</f>
        <v>Open</v>
      </c>
      <c r="V3086" s="19"/>
    </row>
    <row r="3087" customFormat="false" ht="15" hidden="false" customHeight="false" outlineLevel="0" collapsed="false">
      <c r="A3087" s="19" t="s">
        <v>8932</v>
      </c>
      <c r="B3087" s="19" t="s">
        <v>943</v>
      </c>
      <c r="C3087" s="19" t="s">
        <v>8448</v>
      </c>
      <c r="D3087" s="19" t="s">
        <v>148</v>
      </c>
      <c r="E3087" s="19" t="s">
        <v>147</v>
      </c>
      <c r="F3087" s="19" t="s">
        <v>256</v>
      </c>
      <c r="G3087" s="19" t="n">
        <v>148</v>
      </c>
      <c r="H3087" s="19" t="s">
        <v>257</v>
      </c>
      <c r="I3087" s="20" t="n">
        <v>891.642</v>
      </c>
      <c r="J3087" s="19" t="n">
        <f aca="false">IF(I3087="","",MIN(Overview!$B$8,MAX(1,CEILING(I3087/Overview!$B$7,1))))</f>
        <v>120</v>
      </c>
      <c r="K3087" s="19" t="n">
        <v>1</v>
      </c>
      <c r="L3087" s="19"/>
      <c r="M3087" s="20" t="n">
        <v>3</v>
      </c>
      <c r="N3087" s="19"/>
      <c r="O3087" s="19"/>
      <c r="P3087" s="19" t="s">
        <v>1121</v>
      </c>
      <c r="Q3087" s="19" t="s">
        <v>980</v>
      </c>
      <c r="R3087" s="21" t="n">
        <v>32556</v>
      </c>
      <c r="S3087" s="19" t="s">
        <v>8933</v>
      </c>
      <c r="T3087" s="19" t="s">
        <v>8934</v>
      </c>
      <c r="U3087" s="19" t="str">
        <f aca="false">HYPERLINK("https://macaulaylibrary.org/asset/215375","Open")</f>
        <v>Open</v>
      </c>
      <c r="V3087" s="19"/>
    </row>
    <row r="3088" customFormat="false" ht="15" hidden="false" customHeight="false" outlineLevel="0" collapsed="false">
      <c r="A3088" s="19" t="s">
        <v>8935</v>
      </c>
      <c r="B3088" s="19" t="s">
        <v>943</v>
      </c>
      <c r="C3088" s="19" t="s">
        <v>8448</v>
      </c>
      <c r="D3088" s="19" t="s">
        <v>148</v>
      </c>
      <c r="E3088" s="19" t="s">
        <v>147</v>
      </c>
      <c r="F3088" s="19" t="s">
        <v>256</v>
      </c>
      <c r="G3088" s="19" t="n">
        <v>148</v>
      </c>
      <c r="H3088" s="19" t="s">
        <v>257</v>
      </c>
      <c r="I3088" s="20" t="n">
        <v>16.804</v>
      </c>
      <c r="J3088" s="19" t="n">
        <f aca="false">IF(I3088="","",MIN(Overview!$B$8,MAX(1,CEILING(I3088/Overview!$B$7,1))))</f>
        <v>4</v>
      </c>
      <c r="K3088" s="19" t="n">
        <v>1</v>
      </c>
      <c r="L3088" s="19"/>
      <c r="M3088" s="20" t="n">
        <v>3</v>
      </c>
      <c r="N3088" s="19"/>
      <c r="O3088" s="19"/>
      <c r="P3088" s="19" t="s">
        <v>1850</v>
      </c>
      <c r="Q3088" s="19" t="s">
        <v>1076</v>
      </c>
      <c r="R3088" s="21" t="n">
        <v>43398</v>
      </c>
      <c r="S3088" s="19" t="s">
        <v>1051</v>
      </c>
      <c r="T3088" s="19" t="s">
        <v>8936</v>
      </c>
      <c r="U3088" s="19" t="str">
        <f aca="false">HYPERLINK("https://macaulaylibrary.org/asset/471210531","Open")</f>
        <v>Open</v>
      </c>
      <c r="V3088" s="19"/>
    </row>
    <row r="3089" customFormat="false" ht="15" hidden="false" customHeight="false" outlineLevel="0" collapsed="false">
      <c r="A3089" s="19" t="s">
        <v>8937</v>
      </c>
      <c r="B3089" s="19" t="s">
        <v>943</v>
      </c>
      <c r="C3089" s="19" t="s">
        <v>8448</v>
      </c>
      <c r="D3089" s="19" t="s">
        <v>148</v>
      </c>
      <c r="E3089" s="19" t="s">
        <v>147</v>
      </c>
      <c r="F3089" s="19" t="s">
        <v>256</v>
      </c>
      <c r="G3089" s="19" t="n">
        <v>148</v>
      </c>
      <c r="H3089" s="19" t="s">
        <v>257</v>
      </c>
      <c r="I3089" s="20" t="n">
        <v>49.57</v>
      </c>
      <c r="J3089" s="19" t="n">
        <f aca="false">IF(I3089="","",MIN(Overview!$B$8,MAX(1,CEILING(I3089/Overview!$B$7,1))))</f>
        <v>10</v>
      </c>
      <c r="K3089" s="19" t="n">
        <v>1</v>
      </c>
      <c r="L3089" s="19"/>
      <c r="M3089" s="20" t="n">
        <v>3</v>
      </c>
      <c r="N3089" s="19"/>
      <c r="O3089" s="19" t="s">
        <v>151</v>
      </c>
      <c r="P3089" s="19" t="s">
        <v>2969</v>
      </c>
      <c r="Q3089" s="19" t="s">
        <v>2970</v>
      </c>
      <c r="R3089" s="21" t="n">
        <v>46062</v>
      </c>
      <c r="S3089" s="19" t="s">
        <v>2971</v>
      </c>
      <c r="T3089" s="19" t="s">
        <v>8938</v>
      </c>
      <c r="U3089" s="19" t="str">
        <f aca="false">HYPERLINK("https://macaulaylibrary.org/asset/651343386","Open")</f>
        <v>Open</v>
      </c>
      <c r="V3089" s="19"/>
    </row>
    <row r="3090" customFormat="false" ht="15" hidden="false" customHeight="false" outlineLevel="0" collapsed="false">
      <c r="A3090" s="19" t="s">
        <v>8939</v>
      </c>
      <c r="B3090" s="19" t="s">
        <v>943</v>
      </c>
      <c r="C3090" s="19" t="s">
        <v>8448</v>
      </c>
      <c r="D3090" s="19" t="s">
        <v>148</v>
      </c>
      <c r="E3090" s="19" t="s">
        <v>147</v>
      </c>
      <c r="F3090" s="19" t="s">
        <v>385</v>
      </c>
      <c r="G3090" s="19" t="n">
        <v>152</v>
      </c>
      <c r="H3090" s="19" t="s">
        <v>386</v>
      </c>
      <c r="I3090" s="20" t="n">
        <v>95.302</v>
      </c>
      <c r="J3090" s="19" t="n">
        <f aca="false">IF(I3090="","",MIN(Overview!$B$8,MAX(1,CEILING(I3090/Overview!$B$7,1))))</f>
        <v>20</v>
      </c>
      <c r="K3090" s="19" t="n">
        <v>1</v>
      </c>
      <c r="L3090" s="19"/>
      <c r="M3090" s="20" t="n">
        <v>2</v>
      </c>
      <c r="N3090" s="19"/>
      <c r="O3090" s="19"/>
      <c r="P3090" s="19" t="s">
        <v>1730</v>
      </c>
      <c r="Q3090" s="19" t="s">
        <v>980</v>
      </c>
      <c r="R3090" s="21" t="n">
        <v>32558</v>
      </c>
      <c r="S3090" s="19" t="s">
        <v>8199</v>
      </c>
      <c r="T3090" s="19" t="s">
        <v>8940</v>
      </c>
      <c r="U3090" s="19" t="str">
        <f aca="false">HYPERLINK("https://macaulaylibrary.org/asset/215412","Open")</f>
        <v>Open</v>
      </c>
      <c r="V3090" s="19" t="s">
        <v>4634</v>
      </c>
    </row>
    <row r="3091" customFormat="false" ht="15" hidden="false" customHeight="false" outlineLevel="0" collapsed="false">
      <c r="A3091" s="19" t="s">
        <v>8941</v>
      </c>
      <c r="B3091" s="19" t="s">
        <v>943</v>
      </c>
      <c r="C3091" s="19" t="s">
        <v>8448</v>
      </c>
      <c r="D3091" s="19" t="s">
        <v>148</v>
      </c>
      <c r="E3091" s="19" t="s">
        <v>147</v>
      </c>
      <c r="F3091" s="19" t="s">
        <v>385</v>
      </c>
      <c r="G3091" s="19" t="n">
        <v>152</v>
      </c>
      <c r="H3091" s="19" t="s">
        <v>386</v>
      </c>
      <c r="I3091" s="20" t="n">
        <v>30.211</v>
      </c>
      <c r="J3091" s="19" t="n">
        <f aca="false">IF(I3091="","",MIN(Overview!$B$8,MAX(1,CEILING(I3091/Overview!$B$7,1))))</f>
        <v>7</v>
      </c>
      <c r="K3091" s="19" t="n">
        <v>1</v>
      </c>
      <c r="L3091" s="19"/>
      <c r="M3091" s="20" t="n">
        <v>1</v>
      </c>
      <c r="N3091" s="19"/>
      <c r="O3091" s="19"/>
      <c r="P3091" s="19" t="s">
        <v>3717</v>
      </c>
      <c r="Q3091" s="19" t="s">
        <v>2343</v>
      </c>
      <c r="R3091" s="21" t="n">
        <v>31505</v>
      </c>
      <c r="S3091" s="19" t="s">
        <v>1658</v>
      </c>
      <c r="T3091" s="19" t="s">
        <v>8942</v>
      </c>
      <c r="U3091" s="19" t="str">
        <f aca="false">HYPERLINK("https://macaulaylibrary.org/asset/249443","Open")</f>
        <v>Open</v>
      </c>
      <c r="V3091" s="19"/>
    </row>
    <row r="3092" customFormat="false" ht="15" hidden="false" customHeight="false" outlineLevel="0" collapsed="false">
      <c r="A3092" s="19" t="s">
        <v>8943</v>
      </c>
      <c r="B3092" s="19" t="s">
        <v>943</v>
      </c>
      <c r="C3092" s="19" t="s">
        <v>8448</v>
      </c>
      <c r="D3092" s="19" t="s">
        <v>148</v>
      </c>
      <c r="E3092" s="19" t="s">
        <v>147</v>
      </c>
      <c r="F3092" s="19" t="s">
        <v>360</v>
      </c>
      <c r="G3092" s="19" t="n">
        <v>155</v>
      </c>
      <c r="H3092" s="19" t="s">
        <v>361</v>
      </c>
      <c r="I3092" s="20" t="n">
        <v>41.033</v>
      </c>
      <c r="J3092" s="19" t="n">
        <f aca="false">IF(I3092="","",MIN(Overview!$B$8,MAX(1,CEILING(I3092/Overview!$B$7,1))))</f>
        <v>9</v>
      </c>
      <c r="K3092" s="19" t="n">
        <v>1</v>
      </c>
      <c r="L3092" s="19"/>
      <c r="M3092" s="20" t="n">
        <v>3</v>
      </c>
      <c r="N3092" s="19"/>
      <c r="O3092" s="19" t="s">
        <v>313</v>
      </c>
      <c r="P3092" s="19" t="s">
        <v>2381</v>
      </c>
      <c r="Q3092" s="19" t="s">
        <v>1408</v>
      </c>
      <c r="R3092" s="21" t="n">
        <v>32098</v>
      </c>
      <c r="S3092" s="19" t="s">
        <v>1009</v>
      </c>
      <c r="T3092" s="19" t="s">
        <v>8944</v>
      </c>
      <c r="U3092" s="19" t="str">
        <f aca="false">HYPERLINK("https://macaulaylibrary.org/asset/338496081","Open")</f>
        <v>Open</v>
      </c>
      <c r="V3092" s="19"/>
    </row>
    <row r="3093" customFormat="false" ht="15" hidden="false" customHeight="false" outlineLevel="0" collapsed="false">
      <c r="A3093" s="19" t="s">
        <v>8945</v>
      </c>
      <c r="B3093" s="19" t="s">
        <v>943</v>
      </c>
      <c r="C3093" s="19" t="s">
        <v>8448</v>
      </c>
      <c r="D3093" s="19" t="s">
        <v>148</v>
      </c>
      <c r="E3093" s="19" t="s">
        <v>147</v>
      </c>
      <c r="F3093" s="19" t="s">
        <v>360</v>
      </c>
      <c r="G3093" s="19" t="n">
        <v>155</v>
      </c>
      <c r="H3093" s="19" t="s">
        <v>361</v>
      </c>
      <c r="I3093" s="20" t="n">
        <v>1105.163</v>
      </c>
      <c r="J3093" s="19" t="n">
        <f aca="false">IF(I3093="","",MIN(Overview!$B$8,MAX(1,CEILING(I3093/Overview!$B$7,1))))</f>
        <v>120</v>
      </c>
      <c r="K3093" s="19" t="n">
        <v>1</v>
      </c>
      <c r="L3093" s="19"/>
      <c r="M3093" s="20" t="n">
        <v>2</v>
      </c>
      <c r="N3093" s="19"/>
      <c r="O3093" s="19"/>
      <c r="P3093" s="19" t="s">
        <v>3586</v>
      </c>
      <c r="Q3093" s="19" t="s">
        <v>980</v>
      </c>
      <c r="R3093" s="21" t="n">
        <v>33293</v>
      </c>
      <c r="S3093" s="19" t="s">
        <v>8946</v>
      </c>
      <c r="T3093" s="19" t="s">
        <v>8947</v>
      </c>
      <c r="U3093" s="19" t="str">
        <f aca="false">HYPERLINK("https://macaulaylibrary.org/asset/57496","Open")</f>
        <v>Open</v>
      </c>
      <c r="V3093" s="19"/>
    </row>
    <row r="3094" customFormat="false" ht="15" hidden="false" customHeight="false" outlineLevel="0" collapsed="false">
      <c r="A3094" s="19" t="s">
        <v>8948</v>
      </c>
      <c r="B3094" s="19" t="s">
        <v>943</v>
      </c>
      <c r="C3094" s="19" t="s">
        <v>8448</v>
      </c>
      <c r="D3094" s="19" t="s">
        <v>148</v>
      </c>
      <c r="E3094" s="19" t="s">
        <v>147</v>
      </c>
      <c r="F3094" s="19" t="s">
        <v>295</v>
      </c>
      <c r="G3094" s="19" t="n">
        <v>157</v>
      </c>
      <c r="H3094" s="19" t="s">
        <v>296</v>
      </c>
      <c r="I3094" s="20" t="n">
        <v>144.716</v>
      </c>
      <c r="J3094" s="19" t="n">
        <f aca="false">IF(I3094="","",MIN(Overview!$B$8,MAX(1,CEILING(I3094/Overview!$B$7,1))))</f>
        <v>29</v>
      </c>
      <c r="K3094" s="19" t="n">
        <v>1</v>
      </c>
      <c r="L3094" s="19"/>
      <c r="M3094" s="20" t="n">
        <v>3</v>
      </c>
      <c r="N3094" s="19"/>
      <c r="O3094" s="19"/>
      <c r="P3094" s="19" t="s">
        <v>1722</v>
      </c>
      <c r="Q3094" s="19" t="s">
        <v>1401</v>
      </c>
      <c r="R3094" s="21" t="n">
        <v>33287</v>
      </c>
      <c r="S3094" s="19" t="s">
        <v>1013</v>
      </c>
      <c r="T3094" s="19" t="s">
        <v>8949</v>
      </c>
      <c r="U3094" s="19" t="str">
        <f aca="false">HYPERLINK("https://macaulaylibrary.org/asset/131965711","Open")</f>
        <v>Open</v>
      </c>
      <c r="V3094" s="19"/>
    </row>
    <row r="3095" customFormat="false" ht="15" hidden="false" customHeight="false" outlineLevel="0" collapsed="false">
      <c r="A3095" s="19" t="s">
        <v>8950</v>
      </c>
      <c r="B3095" s="19" t="s">
        <v>943</v>
      </c>
      <c r="C3095" s="19" t="s">
        <v>8448</v>
      </c>
      <c r="D3095" s="19" t="s">
        <v>148</v>
      </c>
      <c r="E3095" s="19" t="s">
        <v>147</v>
      </c>
      <c r="F3095" s="19" t="s">
        <v>295</v>
      </c>
      <c r="G3095" s="19" t="n">
        <v>157</v>
      </c>
      <c r="H3095" s="19" t="s">
        <v>296</v>
      </c>
      <c r="I3095" s="20" t="n">
        <v>13.982</v>
      </c>
      <c r="J3095" s="19" t="n">
        <f aca="false">IF(I3095="","",MIN(Overview!$B$8,MAX(1,CEILING(I3095/Overview!$B$7,1))))</f>
        <v>3</v>
      </c>
      <c r="K3095" s="19" t="n">
        <v>1</v>
      </c>
      <c r="L3095" s="19"/>
      <c r="M3095" s="20" t="n">
        <v>3.33</v>
      </c>
      <c r="N3095" s="19"/>
      <c r="O3095" s="19"/>
      <c r="P3095" s="19" t="s">
        <v>1080</v>
      </c>
      <c r="Q3095" s="19" t="s">
        <v>1021</v>
      </c>
      <c r="R3095" s="21" t="n">
        <v>36602</v>
      </c>
      <c r="S3095" s="19" t="s">
        <v>1081</v>
      </c>
      <c r="T3095" s="19" t="s">
        <v>8951</v>
      </c>
      <c r="U3095" s="19" t="str">
        <f aca="false">HYPERLINK("https://macaulaylibrary.org/asset/153723711","Open")</f>
        <v>Open</v>
      </c>
      <c r="V3095" s="19"/>
    </row>
    <row r="3096" customFormat="false" ht="15" hidden="false" customHeight="false" outlineLevel="0" collapsed="false">
      <c r="A3096" s="19" t="s">
        <v>8952</v>
      </c>
      <c r="B3096" s="19" t="s">
        <v>943</v>
      </c>
      <c r="C3096" s="19" t="s">
        <v>8448</v>
      </c>
      <c r="D3096" s="19" t="s">
        <v>148</v>
      </c>
      <c r="E3096" s="19" t="s">
        <v>147</v>
      </c>
      <c r="F3096" s="19" t="s">
        <v>295</v>
      </c>
      <c r="G3096" s="19" t="n">
        <v>157</v>
      </c>
      <c r="H3096" s="19" t="s">
        <v>296</v>
      </c>
      <c r="I3096" s="20" t="n">
        <v>35.311</v>
      </c>
      <c r="J3096" s="19" t="n">
        <f aca="false">IF(I3096="","",MIN(Overview!$B$8,MAX(1,CEILING(I3096/Overview!$B$7,1))))</f>
        <v>8</v>
      </c>
      <c r="K3096" s="19" t="n">
        <v>1</v>
      </c>
      <c r="L3096" s="19"/>
      <c r="M3096" s="20" t="n">
        <v>1</v>
      </c>
      <c r="N3096" s="19"/>
      <c r="O3096" s="19"/>
      <c r="P3096" s="19" t="s">
        <v>1780</v>
      </c>
      <c r="Q3096" s="19" t="s">
        <v>1781</v>
      </c>
      <c r="R3096" s="21" t="n">
        <v>30405</v>
      </c>
      <c r="S3096" s="19" t="s">
        <v>1858</v>
      </c>
      <c r="T3096" s="19" t="s">
        <v>8953</v>
      </c>
      <c r="U3096" s="19" t="str">
        <f aca="false">HYPERLINK("https://macaulaylibrary.org/asset/31394","Open")</f>
        <v>Open</v>
      </c>
      <c r="V3096" s="19"/>
    </row>
    <row r="3097" customFormat="false" ht="15" hidden="false" customHeight="false" outlineLevel="0" collapsed="false">
      <c r="A3097" s="19" t="s">
        <v>8954</v>
      </c>
      <c r="B3097" s="19" t="s">
        <v>943</v>
      </c>
      <c r="C3097" s="19" t="s">
        <v>8448</v>
      </c>
      <c r="D3097" s="19" t="s">
        <v>148</v>
      </c>
      <c r="E3097" s="19" t="s">
        <v>147</v>
      </c>
      <c r="F3097" s="19" t="s">
        <v>221</v>
      </c>
      <c r="G3097" s="19" t="n">
        <v>159</v>
      </c>
      <c r="H3097" s="19" t="s">
        <v>222</v>
      </c>
      <c r="I3097" s="20" t="n">
        <v>76.149</v>
      </c>
      <c r="J3097" s="19" t="n">
        <f aca="false">IF(I3097="","",MIN(Overview!$B$8,MAX(1,CEILING(I3097/Overview!$B$7,1))))</f>
        <v>16</v>
      </c>
      <c r="K3097" s="19" t="n">
        <v>1</v>
      </c>
      <c r="L3097" s="19"/>
      <c r="M3097" s="20" t="n">
        <v>3.5</v>
      </c>
      <c r="N3097" s="19"/>
      <c r="O3097" s="19"/>
      <c r="P3097" s="19" t="s">
        <v>4288</v>
      </c>
      <c r="Q3097" s="19" t="s">
        <v>1021</v>
      </c>
      <c r="R3097" s="21" t="n">
        <v>35864</v>
      </c>
      <c r="S3097" s="19" t="s">
        <v>1534</v>
      </c>
      <c r="T3097" s="19" t="s">
        <v>8955</v>
      </c>
      <c r="U3097" s="19" t="str">
        <f aca="false">HYPERLINK("https://macaulaylibrary.org/asset/102310421","Open")</f>
        <v>Open</v>
      </c>
      <c r="V3097" s="19"/>
    </row>
    <row r="3098" customFormat="false" ht="15" hidden="false" customHeight="false" outlineLevel="0" collapsed="false">
      <c r="A3098" s="19" t="s">
        <v>8956</v>
      </c>
      <c r="B3098" s="19" t="s">
        <v>943</v>
      </c>
      <c r="C3098" s="19" t="s">
        <v>8448</v>
      </c>
      <c r="D3098" s="19" t="s">
        <v>148</v>
      </c>
      <c r="E3098" s="19" t="s">
        <v>147</v>
      </c>
      <c r="F3098" s="19" t="s">
        <v>221</v>
      </c>
      <c r="G3098" s="19" t="n">
        <v>159</v>
      </c>
      <c r="H3098" s="19" t="s">
        <v>222</v>
      </c>
      <c r="I3098" s="20" t="n">
        <v>6.464</v>
      </c>
      <c r="J3098" s="19" t="n">
        <f aca="false">IF(I3098="","",MIN(Overview!$B$8,MAX(1,CEILING(I3098/Overview!$B$7,1))))</f>
        <v>2</v>
      </c>
      <c r="K3098" s="19" t="n">
        <v>1</v>
      </c>
      <c r="L3098" s="19"/>
      <c r="M3098" s="20" t="n">
        <v>2</v>
      </c>
      <c r="N3098" s="19"/>
      <c r="O3098" s="19"/>
      <c r="P3098" s="19" t="s">
        <v>3195</v>
      </c>
      <c r="Q3098" s="19" t="s">
        <v>965</v>
      </c>
      <c r="R3098" s="21" t="n">
        <v>43813</v>
      </c>
      <c r="S3098" s="19" t="s">
        <v>3196</v>
      </c>
      <c r="T3098" s="19" t="s">
        <v>8957</v>
      </c>
      <c r="U3098" s="19" t="str">
        <f aca="false">HYPERLINK("https://macaulaylibrary.org/asset/193419721","Open")</f>
        <v>Open</v>
      </c>
      <c r="V3098" s="19"/>
    </row>
    <row r="3099" customFormat="false" ht="15" hidden="false" customHeight="false" outlineLevel="0" collapsed="false">
      <c r="A3099" s="19" t="s">
        <v>8958</v>
      </c>
      <c r="B3099" s="19" t="s">
        <v>943</v>
      </c>
      <c r="C3099" s="19" t="s">
        <v>8448</v>
      </c>
      <c r="D3099" s="19" t="s">
        <v>148</v>
      </c>
      <c r="E3099" s="19" t="s">
        <v>147</v>
      </c>
      <c r="F3099" s="19" t="s">
        <v>221</v>
      </c>
      <c r="G3099" s="19" t="n">
        <v>159</v>
      </c>
      <c r="H3099" s="19" t="s">
        <v>222</v>
      </c>
      <c r="I3099" s="20" t="n">
        <v>24.656</v>
      </c>
      <c r="J3099" s="19" t="n">
        <f aca="false">IF(I3099="","",MIN(Overview!$B$8,MAX(1,CEILING(I3099/Overview!$B$7,1))))</f>
        <v>5</v>
      </c>
      <c r="K3099" s="19" t="n">
        <v>1</v>
      </c>
      <c r="L3099" s="19"/>
      <c r="M3099" s="20" t="n">
        <v>3</v>
      </c>
      <c r="N3099" s="19"/>
      <c r="O3099" s="19"/>
      <c r="P3099" s="19" t="s">
        <v>1140</v>
      </c>
      <c r="Q3099" s="19" t="s">
        <v>1030</v>
      </c>
      <c r="R3099" s="21" t="n">
        <v>40250</v>
      </c>
      <c r="S3099" s="19" t="s">
        <v>1369</v>
      </c>
      <c r="T3099" s="19" t="s">
        <v>8959</v>
      </c>
      <c r="U3099" s="19" t="str">
        <f aca="false">HYPERLINK("https://macaulaylibrary.org/asset/299546","Open")</f>
        <v>Open</v>
      </c>
      <c r="V3099" s="19"/>
    </row>
    <row r="3100" customFormat="false" ht="15" hidden="false" customHeight="false" outlineLevel="0" collapsed="false">
      <c r="A3100" s="19" t="s">
        <v>8960</v>
      </c>
      <c r="B3100" s="19" t="s">
        <v>943</v>
      </c>
      <c r="C3100" s="19" t="s">
        <v>8448</v>
      </c>
      <c r="D3100" s="19" t="s">
        <v>148</v>
      </c>
      <c r="E3100" s="19" t="s">
        <v>147</v>
      </c>
      <c r="F3100" s="19" t="s">
        <v>221</v>
      </c>
      <c r="G3100" s="19" t="n">
        <v>159</v>
      </c>
      <c r="H3100" s="19" t="s">
        <v>222</v>
      </c>
      <c r="I3100" s="20" t="n">
        <v>11.412</v>
      </c>
      <c r="J3100" s="19" t="n">
        <f aca="false">IF(I3100="","",MIN(Overview!$B$8,MAX(1,CEILING(I3100/Overview!$B$7,1))))</f>
        <v>3</v>
      </c>
      <c r="K3100" s="19" t="n">
        <v>1</v>
      </c>
      <c r="L3100" s="19"/>
      <c r="M3100" s="20" t="n">
        <v>4</v>
      </c>
      <c r="N3100" s="19"/>
      <c r="O3100" s="19"/>
      <c r="P3100" s="19" t="s">
        <v>1140</v>
      </c>
      <c r="Q3100" s="19" t="s">
        <v>1030</v>
      </c>
      <c r="R3100" s="21" t="n">
        <v>40250</v>
      </c>
      <c r="S3100" s="19" t="s">
        <v>1774</v>
      </c>
      <c r="T3100" s="19" t="s">
        <v>8961</v>
      </c>
      <c r="U3100" s="19" t="str">
        <f aca="false">HYPERLINK("https://macaulaylibrary.org/asset/299596","Open")</f>
        <v>Open</v>
      </c>
      <c r="V3100" s="19"/>
    </row>
    <row r="3101" customFormat="false" ht="15" hidden="false" customHeight="false" outlineLevel="0" collapsed="false">
      <c r="A3101" s="19" t="s">
        <v>8962</v>
      </c>
      <c r="B3101" s="19" t="s">
        <v>943</v>
      </c>
      <c r="C3101" s="19" t="s">
        <v>8448</v>
      </c>
      <c r="D3101" s="19" t="s">
        <v>148</v>
      </c>
      <c r="E3101" s="19" t="s">
        <v>147</v>
      </c>
      <c r="F3101" s="19" t="s">
        <v>221</v>
      </c>
      <c r="G3101" s="19" t="n">
        <v>159</v>
      </c>
      <c r="H3101" s="19" t="s">
        <v>222</v>
      </c>
      <c r="I3101" s="20" t="n">
        <v>7.398</v>
      </c>
      <c r="J3101" s="19" t="n">
        <f aca="false">IF(I3101="","",MIN(Overview!$B$8,MAX(1,CEILING(I3101/Overview!$B$7,1))))</f>
        <v>2</v>
      </c>
      <c r="K3101" s="19" t="n">
        <v>1</v>
      </c>
      <c r="L3101" s="19"/>
      <c r="M3101" s="20" t="n">
        <v>3</v>
      </c>
      <c r="N3101" s="19"/>
      <c r="O3101" s="19"/>
      <c r="P3101" s="19" t="s">
        <v>1396</v>
      </c>
      <c r="Q3101" s="19" t="s">
        <v>1397</v>
      </c>
      <c r="R3101" s="21" t="n">
        <v>46217</v>
      </c>
      <c r="S3101" s="19" t="s">
        <v>1137</v>
      </c>
      <c r="T3101" s="19" t="s">
        <v>8963</v>
      </c>
      <c r="U3101" s="19" t="str">
        <f aca="false">HYPERLINK("https://macaulaylibrary.org/asset/661734236","Open")</f>
        <v>Open</v>
      </c>
      <c r="V3101" s="19"/>
    </row>
    <row r="3102" customFormat="false" ht="15" hidden="false" customHeight="false" outlineLevel="0" collapsed="false">
      <c r="A3102" s="19" t="s">
        <v>8964</v>
      </c>
      <c r="B3102" s="19" t="s">
        <v>943</v>
      </c>
      <c r="C3102" s="19" t="s">
        <v>8448</v>
      </c>
      <c r="D3102" s="19" t="s">
        <v>148</v>
      </c>
      <c r="E3102" s="19" t="s">
        <v>147</v>
      </c>
      <c r="F3102" s="19" t="s">
        <v>191</v>
      </c>
      <c r="G3102" s="19" t="n">
        <v>160</v>
      </c>
      <c r="H3102" s="19" t="s">
        <v>192</v>
      </c>
      <c r="I3102" s="20" t="n">
        <v>25.579</v>
      </c>
      <c r="J3102" s="19" t="n">
        <f aca="false">IF(I3102="","",MIN(Overview!$B$8,MAX(1,CEILING(I3102/Overview!$B$7,1))))</f>
        <v>6</v>
      </c>
      <c r="K3102" s="19" t="n">
        <v>1</v>
      </c>
      <c r="L3102" s="19"/>
      <c r="M3102" s="20" t="n">
        <v>2</v>
      </c>
      <c r="N3102" s="19"/>
      <c r="O3102" s="19"/>
      <c r="P3102" s="19" t="s">
        <v>1025</v>
      </c>
      <c r="Q3102" s="19" t="s">
        <v>965</v>
      </c>
      <c r="R3102" s="21" t="n">
        <v>43450</v>
      </c>
      <c r="S3102" s="19" t="s">
        <v>1026</v>
      </c>
      <c r="T3102" s="19" t="s">
        <v>8965</v>
      </c>
      <c r="U3102" s="19" t="str">
        <f aca="false">HYPERLINK("https://macaulaylibrary.org/asset/129903131","Open")</f>
        <v>Open</v>
      </c>
      <c r="V3102" s="19"/>
    </row>
    <row r="3103" customFormat="false" ht="15" hidden="false" customHeight="false" outlineLevel="0" collapsed="false">
      <c r="A3103" s="19" t="s">
        <v>8966</v>
      </c>
      <c r="B3103" s="19" t="s">
        <v>943</v>
      </c>
      <c r="C3103" s="19" t="s">
        <v>8448</v>
      </c>
      <c r="D3103" s="19" t="s">
        <v>148</v>
      </c>
      <c r="E3103" s="19" t="s">
        <v>147</v>
      </c>
      <c r="F3103" s="19" t="s">
        <v>191</v>
      </c>
      <c r="G3103" s="19" t="n">
        <v>160</v>
      </c>
      <c r="H3103" s="19" t="s">
        <v>192</v>
      </c>
      <c r="I3103" s="20" t="n">
        <v>36.416</v>
      </c>
      <c r="J3103" s="19" t="n">
        <f aca="false">IF(I3103="","",MIN(Overview!$B$8,MAX(1,CEILING(I3103/Overview!$B$7,1))))</f>
        <v>8</v>
      </c>
      <c r="K3103" s="19" t="n">
        <v>1</v>
      </c>
      <c r="L3103" s="19"/>
      <c r="M3103" s="20" t="n">
        <v>2.5</v>
      </c>
      <c r="N3103" s="19"/>
      <c r="O3103" s="19"/>
      <c r="P3103" s="19" t="s">
        <v>974</v>
      </c>
      <c r="Q3103" s="19" t="s">
        <v>975</v>
      </c>
      <c r="R3103" s="21" t="n">
        <v>43666</v>
      </c>
      <c r="S3103" s="19" t="s">
        <v>976</v>
      </c>
      <c r="T3103" s="19" t="s">
        <v>8967</v>
      </c>
      <c r="U3103" s="19" t="str">
        <f aca="false">HYPERLINK("https://macaulaylibrary.org/asset/179453191","Open")</f>
        <v>Open</v>
      </c>
      <c r="V3103" s="19"/>
    </row>
    <row r="3104" customFormat="false" ht="15" hidden="false" customHeight="false" outlineLevel="0" collapsed="false">
      <c r="A3104" s="19" t="s">
        <v>8968</v>
      </c>
      <c r="B3104" s="19" t="s">
        <v>943</v>
      </c>
      <c r="C3104" s="19" t="s">
        <v>8448</v>
      </c>
      <c r="D3104" s="19" t="s">
        <v>148</v>
      </c>
      <c r="E3104" s="19" t="s">
        <v>147</v>
      </c>
      <c r="F3104" s="19" t="s">
        <v>191</v>
      </c>
      <c r="G3104" s="19" t="n">
        <v>160</v>
      </c>
      <c r="H3104" s="19" t="s">
        <v>192</v>
      </c>
      <c r="I3104" s="20" t="n">
        <v>62.531</v>
      </c>
      <c r="J3104" s="19" t="n">
        <f aca="false">IF(I3104="","",MIN(Overview!$B$8,MAX(1,CEILING(I3104/Overview!$B$7,1))))</f>
        <v>13</v>
      </c>
      <c r="K3104" s="19" t="n">
        <v>1</v>
      </c>
      <c r="L3104" s="19"/>
      <c r="M3104" s="20" t="n">
        <v>3.5</v>
      </c>
      <c r="N3104" s="19"/>
      <c r="O3104" s="19" t="s">
        <v>231</v>
      </c>
      <c r="P3104" s="19" t="s">
        <v>1062</v>
      </c>
      <c r="Q3104" s="19" t="s">
        <v>1063</v>
      </c>
      <c r="R3104" s="21" t="n">
        <v>44086</v>
      </c>
      <c r="S3104" s="19" t="s">
        <v>1064</v>
      </c>
      <c r="T3104" s="19" t="s">
        <v>8969</v>
      </c>
      <c r="U3104" s="19" t="str">
        <f aca="false">HYPERLINK("https://macaulaylibrary.org/asset/266229081","Open")</f>
        <v>Open</v>
      </c>
      <c r="V3104" s="19"/>
    </row>
    <row r="3105" customFormat="false" ht="15" hidden="false" customHeight="false" outlineLevel="0" collapsed="false">
      <c r="A3105" s="19" t="s">
        <v>8970</v>
      </c>
      <c r="B3105" s="19" t="s">
        <v>943</v>
      </c>
      <c r="C3105" s="19" t="s">
        <v>8448</v>
      </c>
      <c r="D3105" s="19" t="s">
        <v>148</v>
      </c>
      <c r="E3105" s="19" t="s">
        <v>147</v>
      </c>
      <c r="F3105" s="19" t="s">
        <v>191</v>
      </c>
      <c r="G3105" s="19" t="n">
        <v>160</v>
      </c>
      <c r="H3105" s="19" t="s">
        <v>192</v>
      </c>
      <c r="I3105" s="20" t="n">
        <v>208.508</v>
      </c>
      <c r="J3105" s="19" t="n">
        <f aca="false">IF(I3105="","",MIN(Overview!$B$8,MAX(1,CEILING(I3105/Overview!$B$7,1))))</f>
        <v>42</v>
      </c>
      <c r="K3105" s="19" t="n">
        <v>1</v>
      </c>
      <c r="L3105" s="19"/>
      <c r="M3105" s="20" t="n">
        <v>2</v>
      </c>
      <c r="N3105" s="19"/>
      <c r="O3105" s="19"/>
      <c r="P3105" s="19" t="s">
        <v>1832</v>
      </c>
      <c r="Q3105" s="19" t="s">
        <v>980</v>
      </c>
      <c r="R3105" s="21" t="n">
        <v>33296</v>
      </c>
      <c r="S3105" s="19" t="s">
        <v>1002</v>
      </c>
      <c r="T3105" s="19" t="s">
        <v>8971</v>
      </c>
      <c r="U3105" s="19" t="str">
        <f aca="false">HYPERLINK("https://macaulaylibrary.org/asset/72613","Open")</f>
        <v>Open</v>
      </c>
      <c r="V3105" s="19" t="s">
        <v>4799</v>
      </c>
    </row>
    <row r="3106" customFormat="false" ht="15" hidden="false" customHeight="false" outlineLevel="0" collapsed="false">
      <c r="A3106" s="19" t="s">
        <v>8972</v>
      </c>
      <c r="B3106" s="19" t="s">
        <v>943</v>
      </c>
      <c r="C3106" s="19" t="s">
        <v>8448</v>
      </c>
      <c r="D3106" s="19" t="s">
        <v>148</v>
      </c>
      <c r="E3106" s="19" t="s">
        <v>147</v>
      </c>
      <c r="F3106" s="19" t="s">
        <v>191</v>
      </c>
      <c r="G3106" s="19" t="n">
        <v>160</v>
      </c>
      <c r="H3106" s="19" t="s">
        <v>192</v>
      </c>
      <c r="I3106" s="20" t="n">
        <v>41.316</v>
      </c>
      <c r="J3106" s="19" t="n">
        <f aca="false">IF(I3106="","",MIN(Overview!$B$8,MAX(1,CEILING(I3106/Overview!$B$7,1))))</f>
        <v>9</v>
      </c>
      <c r="K3106" s="19" t="n">
        <v>1</v>
      </c>
      <c r="L3106" s="19"/>
      <c r="M3106" s="20" t="n">
        <v>2</v>
      </c>
      <c r="N3106" s="19"/>
      <c r="O3106" s="19"/>
      <c r="P3106" s="19" t="s">
        <v>1832</v>
      </c>
      <c r="Q3106" s="19" t="s">
        <v>980</v>
      </c>
      <c r="R3106" s="21" t="n">
        <v>33296</v>
      </c>
      <c r="S3106" s="19" t="s">
        <v>1002</v>
      </c>
      <c r="T3106" s="19" t="s">
        <v>8973</v>
      </c>
      <c r="U3106" s="19" t="str">
        <f aca="false">HYPERLINK("https://macaulaylibrary.org/asset/72615","Open")</f>
        <v>Open</v>
      </c>
      <c r="V3106" s="19" t="s">
        <v>4799</v>
      </c>
    </row>
    <row r="3107" customFormat="false" ht="15" hidden="false" customHeight="false" outlineLevel="0" collapsed="false">
      <c r="A3107" s="19" t="s">
        <v>8974</v>
      </c>
      <c r="B3107" s="19" t="s">
        <v>943</v>
      </c>
      <c r="C3107" s="19" t="s">
        <v>8448</v>
      </c>
      <c r="D3107" s="19" t="s">
        <v>148</v>
      </c>
      <c r="E3107" s="19" t="s">
        <v>147</v>
      </c>
      <c r="F3107" s="19" t="s">
        <v>191</v>
      </c>
      <c r="G3107" s="19" t="n">
        <v>160</v>
      </c>
      <c r="H3107" s="19" t="s">
        <v>192</v>
      </c>
      <c r="I3107" s="20" t="n">
        <v>390.751</v>
      </c>
      <c r="J3107" s="19" t="n">
        <f aca="false">IF(I3107="","",MIN(Overview!$B$8,MAX(1,CEILING(I3107/Overview!$B$7,1))))</f>
        <v>79</v>
      </c>
      <c r="K3107" s="19" t="n">
        <v>1</v>
      </c>
      <c r="L3107" s="19"/>
      <c r="M3107" s="20" t="n">
        <v>3</v>
      </c>
      <c r="N3107" s="19"/>
      <c r="O3107" s="19"/>
      <c r="P3107" s="19" t="s">
        <v>1832</v>
      </c>
      <c r="Q3107" s="19" t="s">
        <v>980</v>
      </c>
      <c r="R3107" s="21" t="n">
        <v>33296</v>
      </c>
      <c r="S3107" s="19" t="s">
        <v>971</v>
      </c>
      <c r="T3107" s="19" t="s">
        <v>8975</v>
      </c>
      <c r="U3107" s="19" t="str">
        <f aca="false">HYPERLINK("https://macaulaylibrary.org/asset/72616","Open")</f>
        <v>Open</v>
      </c>
      <c r="V3107" s="19" t="s">
        <v>4799</v>
      </c>
    </row>
    <row r="3108" customFormat="false" ht="15" hidden="false" customHeight="false" outlineLevel="0" collapsed="false">
      <c r="A3108" s="19" t="s">
        <v>8976</v>
      </c>
      <c r="B3108" s="19" t="s">
        <v>943</v>
      </c>
      <c r="C3108" s="19" t="s">
        <v>8448</v>
      </c>
      <c r="D3108" s="19" t="s">
        <v>148</v>
      </c>
      <c r="E3108" s="19" t="s">
        <v>147</v>
      </c>
      <c r="F3108" s="19" t="s">
        <v>162</v>
      </c>
      <c r="G3108" s="19" t="n">
        <v>165</v>
      </c>
      <c r="H3108" s="19" t="s">
        <v>163</v>
      </c>
      <c r="I3108" s="20" t="n">
        <v>75.637</v>
      </c>
      <c r="J3108" s="19" t="n">
        <f aca="false">IF(I3108="","",MIN(Overview!$B$8,MAX(1,CEILING(I3108/Overview!$B$7,1))))</f>
        <v>16</v>
      </c>
      <c r="K3108" s="19" t="n">
        <v>1</v>
      </c>
      <c r="L3108" s="19"/>
      <c r="M3108" s="20" t="n">
        <v>3</v>
      </c>
      <c r="N3108" s="19"/>
      <c r="O3108" s="19"/>
      <c r="P3108" s="19" t="s">
        <v>7703</v>
      </c>
      <c r="Q3108" s="19" t="s">
        <v>7704</v>
      </c>
      <c r="R3108" s="21" t="n">
        <v>43188</v>
      </c>
      <c r="S3108" s="19" t="s">
        <v>1009</v>
      </c>
      <c r="T3108" s="19" t="s">
        <v>8977</v>
      </c>
      <c r="U3108" s="19" t="str">
        <f aca="false">HYPERLINK("https://macaulaylibrary.org/asset/111002481","Open")</f>
        <v>Open</v>
      </c>
      <c r="V3108" s="19"/>
    </row>
    <row r="3109" customFormat="false" ht="15" hidden="false" customHeight="false" outlineLevel="0" collapsed="false">
      <c r="A3109" s="19" t="s">
        <v>8978</v>
      </c>
      <c r="B3109" s="19" t="s">
        <v>943</v>
      </c>
      <c r="C3109" s="19" t="s">
        <v>8448</v>
      </c>
      <c r="D3109" s="19" t="s">
        <v>148</v>
      </c>
      <c r="E3109" s="19" t="s">
        <v>147</v>
      </c>
      <c r="F3109" s="19" t="s">
        <v>162</v>
      </c>
      <c r="G3109" s="19" t="n">
        <v>165</v>
      </c>
      <c r="H3109" s="19" t="s">
        <v>163</v>
      </c>
      <c r="I3109" s="20" t="n">
        <v>11.62</v>
      </c>
      <c r="J3109" s="19" t="n">
        <f aca="false">IF(I3109="","",MIN(Overview!$B$8,MAX(1,CEILING(I3109/Overview!$B$7,1))))</f>
        <v>3</v>
      </c>
      <c r="K3109" s="19" t="n">
        <v>1</v>
      </c>
      <c r="L3109" s="19"/>
      <c r="M3109" s="20" t="n">
        <v>2</v>
      </c>
      <c r="N3109" s="19"/>
      <c r="O3109" s="19"/>
      <c r="P3109" s="19" t="s">
        <v>2054</v>
      </c>
      <c r="Q3109" s="19" t="s">
        <v>2055</v>
      </c>
      <c r="R3109" s="21" t="n">
        <v>43511</v>
      </c>
      <c r="S3109" s="19" t="s">
        <v>2056</v>
      </c>
      <c r="T3109" s="19" t="s">
        <v>8979</v>
      </c>
      <c r="U3109" s="19" t="str">
        <f aca="false">HYPERLINK("https://macaulaylibrary.org/asset/169970611","Open")</f>
        <v>Open</v>
      </c>
      <c r="V3109" s="19"/>
    </row>
    <row r="3110" customFormat="false" ht="15" hidden="false" customHeight="false" outlineLevel="0" collapsed="false">
      <c r="A3110" s="19" t="s">
        <v>8980</v>
      </c>
      <c r="B3110" s="19" t="s">
        <v>943</v>
      </c>
      <c r="C3110" s="19" t="s">
        <v>8448</v>
      </c>
      <c r="D3110" s="19" t="s">
        <v>148</v>
      </c>
      <c r="E3110" s="19" t="s">
        <v>147</v>
      </c>
      <c r="F3110" s="19" t="s">
        <v>162</v>
      </c>
      <c r="G3110" s="19" t="n">
        <v>165</v>
      </c>
      <c r="H3110" s="19" t="s">
        <v>163</v>
      </c>
      <c r="I3110" s="20" t="n">
        <v>318.153</v>
      </c>
      <c r="J3110" s="19" t="n">
        <f aca="false">IF(I3110="","",MIN(Overview!$B$8,MAX(1,CEILING(I3110/Overview!$B$7,1))))</f>
        <v>64</v>
      </c>
      <c r="K3110" s="19" t="n">
        <v>1</v>
      </c>
      <c r="L3110" s="19"/>
      <c r="M3110" s="20" t="n">
        <v>2</v>
      </c>
      <c r="N3110" s="19"/>
      <c r="O3110" s="19"/>
      <c r="P3110" s="19" t="s">
        <v>1121</v>
      </c>
      <c r="Q3110" s="19" t="s">
        <v>980</v>
      </c>
      <c r="R3110" s="21" t="n">
        <v>32556</v>
      </c>
      <c r="S3110" s="19" t="s">
        <v>7546</v>
      </c>
      <c r="T3110" s="19" t="s">
        <v>8981</v>
      </c>
      <c r="U3110" s="19" t="str">
        <f aca="false">HYPERLINK("https://macaulaylibrary.org/asset/215362","Open")</f>
        <v>Open</v>
      </c>
      <c r="V3110" s="19"/>
    </row>
    <row r="3111" customFormat="false" ht="15" hidden="false" customHeight="false" outlineLevel="0" collapsed="false">
      <c r="A3111" s="19" t="s">
        <v>8982</v>
      </c>
      <c r="B3111" s="19" t="s">
        <v>943</v>
      </c>
      <c r="C3111" s="19" t="s">
        <v>8448</v>
      </c>
      <c r="D3111" s="19" t="s">
        <v>148</v>
      </c>
      <c r="E3111" s="19" t="s">
        <v>147</v>
      </c>
      <c r="F3111" s="19" t="s">
        <v>162</v>
      </c>
      <c r="G3111" s="19" t="n">
        <v>165</v>
      </c>
      <c r="H3111" s="19" t="s">
        <v>163</v>
      </c>
      <c r="I3111" s="20" t="n">
        <v>610.608</v>
      </c>
      <c r="J3111" s="19" t="n">
        <f aca="false">IF(I3111="","",MIN(Overview!$B$8,MAX(1,CEILING(I3111/Overview!$B$7,1))))</f>
        <v>120</v>
      </c>
      <c r="K3111" s="19" t="n">
        <v>1</v>
      </c>
      <c r="L3111" s="19"/>
      <c r="M3111" s="20" t="n">
        <v>2</v>
      </c>
      <c r="N3111" s="19"/>
      <c r="O3111" s="19"/>
      <c r="P3111" s="19" t="s">
        <v>1121</v>
      </c>
      <c r="Q3111" s="19" t="s">
        <v>980</v>
      </c>
      <c r="R3111" s="21" t="n">
        <v>32556</v>
      </c>
      <c r="S3111" s="19"/>
      <c r="T3111" s="19" t="s">
        <v>8983</v>
      </c>
      <c r="U3111" s="19" t="str">
        <f aca="false">HYPERLINK("https://macaulaylibrary.org/asset/215368","Open")</f>
        <v>Open</v>
      </c>
      <c r="V3111" s="19"/>
    </row>
    <row r="3112" customFormat="false" ht="15" hidden="false" customHeight="false" outlineLevel="0" collapsed="false">
      <c r="A3112" s="19" t="s">
        <v>8984</v>
      </c>
      <c r="B3112" s="19" t="s">
        <v>943</v>
      </c>
      <c r="C3112" s="19" t="s">
        <v>8448</v>
      </c>
      <c r="D3112" s="19" t="s">
        <v>148</v>
      </c>
      <c r="E3112" s="19" t="s">
        <v>147</v>
      </c>
      <c r="F3112" s="19" t="s">
        <v>162</v>
      </c>
      <c r="G3112" s="19" t="n">
        <v>165</v>
      </c>
      <c r="H3112" s="19" t="s">
        <v>163</v>
      </c>
      <c r="I3112" s="20" t="n">
        <v>61.44</v>
      </c>
      <c r="J3112" s="19" t="n">
        <f aca="false">IF(I3112="","",MIN(Overview!$B$8,MAX(1,CEILING(I3112/Overview!$B$7,1))))</f>
        <v>13</v>
      </c>
      <c r="K3112" s="19" t="n">
        <v>1</v>
      </c>
      <c r="L3112" s="19"/>
      <c r="M3112" s="20" t="n">
        <v>3</v>
      </c>
      <c r="N3112" s="19"/>
      <c r="O3112" s="19" t="s">
        <v>8985</v>
      </c>
      <c r="P3112" s="19" t="s">
        <v>3476</v>
      </c>
      <c r="Q3112" s="19" t="s">
        <v>1063</v>
      </c>
      <c r="R3112" s="21" t="n">
        <v>44086</v>
      </c>
      <c r="S3112" s="19" t="s">
        <v>1092</v>
      </c>
      <c r="T3112" s="19" t="s">
        <v>8986</v>
      </c>
      <c r="U3112" s="19" t="str">
        <f aca="false">HYPERLINK("https://macaulaylibrary.org/asset/266230451","Open")</f>
        <v>Open</v>
      </c>
      <c r="V3112" s="19"/>
    </row>
    <row r="3113" customFormat="false" ht="15" hidden="false" customHeight="false" outlineLevel="0" collapsed="false">
      <c r="A3113" s="19" t="s">
        <v>8987</v>
      </c>
      <c r="B3113" s="19" t="s">
        <v>943</v>
      </c>
      <c r="C3113" s="19" t="s">
        <v>8448</v>
      </c>
      <c r="D3113" s="19" t="s">
        <v>148</v>
      </c>
      <c r="E3113" s="19" t="s">
        <v>147</v>
      </c>
      <c r="F3113" s="19" t="s">
        <v>162</v>
      </c>
      <c r="G3113" s="19" t="n">
        <v>165</v>
      </c>
      <c r="H3113" s="19" t="s">
        <v>163</v>
      </c>
      <c r="I3113" s="20" t="n">
        <v>10.572</v>
      </c>
      <c r="J3113" s="19" t="n">
        <f aca="false">IF(I3113="","",MIN(Overview!$B$8,MAX(1,CEILING(I3113/Overview!$B$7,1))))</f>
        <v>3</v>
      </c>
      <c r="K3113" s="19" t="n">
        <v>1</v>
      </c>
      <c r="L3113" s="19"/>
      <c r="M3113" s="20" t="n">
        <v>1.5</v>
      </c>
      <c r="N3113" s="19"/>
      <c r="O3113" s="19" t="s">
        <v>262</v>
      </c>
      <c r="P3113" s="19" t="s">
        <v>2871</v>
      </c>
      <c r="Q3113" s="19" t="s">
        <v>990</v>
      </c>
      <c r="R3113" s="21" t="n">
        <v>44548</v>
      </c>
      <c r="S3113" s="19" t="s">
        <v>1144</v>
      </c>
      <c r="T3113" s="19" t="s">
        <v>8988</v>
      </c>
      <c r="U3113" s="19" t="str">
        <f aca="false">HYPERLINK("https://macaulaylibrary.org/asset/400112321","Open")</f>
        <v>Open</v>
      </c>
      <c r="V3113" s="19"/>
    </row>
    <row r="3114" customFormat="false" ht="15" hidden="false" customHeight="false" outlineLevel="0" collapsed="false">
      <c r="A3114" s="19" t="s">
        <v>8989</v>
      </c>
      <c r="B3114" s="19" t="s">
        <v>943</v>
      </c>
      <c r="C3114" s="19" t="s">
        <v>8448</v>
      </c>
      <c r="D3114" s="19" t="s">
        <v>148</v>
      </c>
      <c r="E3114" s="19" t="s">
        <v>147</v>
      </c>
      <c r="F3114" s="19" t="s">
        <v>162</v>
      </c>
      <c r="G3114" s="19" t="n">
        <v>165</v>
      </c>
      <c r="H3114" s="19" t="s">
        <v>163</v>
      </c>
      <c r="I3114" s="20" t="n">
        <v>14.441</v>
      </c>
      <c r="J3114" s="19" t="n">
        <f aca="false">IF(I3114="","",MIN(Overview!$B$8,MAX(1,CEILING(I3114/Overview!$B$7,1))))</f>
        <v>3</v>
      </c>
      <c r="K3114" s="19" t="n">
        <v>1</v>
      </c>
      <c r="L3114" s="19"/>
      <c r="M3114" s="20"/>
      <c r="N3114" s="19"/>
      <c r="O3114" s="19"/>
      <c r="P3114" s="19" t="s">
        <v>1203</v>
      </c>
      <c r="Q3114" s="19" t="s">
        <v>1204</v>
      </c>
      <c r="R3114" s="21" t="n">
        <v>46049</v>
      </c>
      <c r="S3114" s="19" t="s">
        <v>1205</v>
      </c>
      <c r="T3114" s="19" t="s">
        <v>8990</v>
      </c>
      <c r="U3114" s="19" t="str">
        <f aca="false">HYPERLINK("https://macaulaylibrary.org/asset/653762395","Open")</f>
        <v>Open</v>
      </c>
      <c r="V3114" s="19"/>
    </row>
    <row r="3115" customFormat="false" ht="15" hidden="false" customHeight="false" outlineLevel="0" collapsed="false">
      <c r="A3115" s="19" t="s">
        <v>8991</v>
      </c>
      <c r="B3115" s="19" t="s">
        <v>943</v>
      </c>
      <c r="C3115" s="19" t="s">
        <v>8448</v>
      </c>
      <c r="D3115" s="19" t="s">
        <v>148</v>
      </c>
      <c r="E3115" s="19" t="s">
        <v>147</v>
      </c>
      <c r="F3115" s="19" t="s">
        <v>162</v>
      </c>
      <c r="G3115" s="19" t="n">
        <v>165</v>
      </c>
      <c r="H3115" s="19" t="s">
        <v>163</v>
      </c>
      <c r="I3115" s="20" t="n">
        <v>18.872</v>
      </c>
      <c r="J3115" s="19" t="n">
        <f aca="false">IF(I3115="","",MIN(Overview!$B$8,MAX(1,CEILING(I3115/Overview!$B$7,1))))</f>
        <v>4</v>
      </c>
      <c r="K3115" s="19" t="n">
        <v>1</v>
      </c>
      <c r="L3115" s="19"/>
      <c r="M3115" s="20"/>
      <c r="N3115" s="19"/>
      <c r="O3115" s="19" t="s">
        <v>184</v>
      </c>
      <c r="P3115" s="19" t="s">
        <v>2854</v>
      </c>
      <c r="Q3115" s="19" t="s">
        <v>2855</v>
      </c>
      <c r="R3115" s="21" t="n">
        <v>46258</v>
      </c>
      <c r="S3115" s="19" t="s">
        <v>2088</v>
      </c>
      <c r="T3115" s="19" t="s">
        <v>8992</v>
      </c>
      <c r="U3115" s="19" t="str">
        <f aca="false">HYPERLINK("https://macaulaylibrary.org/asset/663617766","Open")</f>
        <v>Open</v>
      </c>
      <c r="V3115" s="19"/>
    </row>
    <row r="3116" customFormat="false" ht="15" hidden="false" customHeight="false" outlineLevel="0" collapsed="false">
      <c r="A3116" s="19" t="s">
        <v>8993</v>
      </c>
      <c r="B3116" s="19" t="s">
        <v>943</v>
      </c>
      <c r="C3116" s="19" t="s">
        <v>8448</v>
      </c>
      <c r="D3116" s="19" t="s">
        <v>148</v>
      </c>
      <c r="E3116" s="19" t="s">
        <v>147</v>
      </c>
      <c r="F3116" s="19" t="s">
        <v>363</v>
      </c>
      <c r="G3116" s="19" t="n">
        <v>166</v>
      </c>
      <c r="H3116" s="19" t="s">
        <v>364</v>
      </c>
      <c r="I3116" s="20" t="n">
        <v>5.343</v>
      </c>
      <c r="J3116" s="19" t="n">
        <f aca="false">IF(I3116="","",MIN(Overview!$B$8,MAX(1,CEILING(I3116/Overview!$B$7,1))))</f>
        <v>2</v>
      </c>
      <c r="K3116" s="19" t="n">
        <v>1</v>
      </c>
      <c r="L3116" s="19"/>
      <c r="M3116" s="20" t="n">
        <v>3</v>
      </c>
      <c r="N3116" s="19"/>
      <c r="O3116" s="19"/>
      <c r="P3116" s="19" t="s">
        <v>1467</v>
      </c>
      <c r="Q3116" s="19" t="s">
        <v>1258</v>
      </c>
      <c r="R3116" s="21" t="n">
        <v>45230</v>
      </c>
      <c r="S3116" s="19" t="s">
        <v>1306</v>
      </c>
      <c r="T3116" s="19" t="s">
        <v>8994</v>
      </c>
      <c r="U3116" s="19" t="str">
        <f aca="false">HYPERLINK("https://macaulaylibrary.org/asset/621759999","Open")</f>
        <v>Open</v>
      </c>
      <c r="V3116" s="19"/>
    </row>
    <row r="3117" customFormat="false" ht="15" hidden="false" customHeight="false" outlineLevel="0" collapsed="false">
      <c r="A3117" s="19" t="s">
        <v>8995</v>
      </c>
      <c r="B3117" s="19" t="s">
        <v>943</v>
      </c>
      <c r="C3117" s="19" t="s">
        <v>8448</v>
      </c>
      <c r="D3117" s="19" t="s">
        <v>148</v>
      </c>
      <c r="E3117" s="19" t="s">
        <v>147</v>
      </c>
      <c r="F3117" s="19" t="s">
        <v>363</v>
      </c>
      <c r="G3117" s="19" t="n">
        <v>166</v>
      </c>
      <c r="H3117" s="19" t="s">
        <v>364</v>
      </c>
      <c r="I3117" s="20" t="n">
        <v>20.776</v>
      </c>
      <c r="J3117" s="19" t="n">
        <f aca="false">IF(I3117="","",MIN(Overview!$B$8,MAX(1,CEILING(I3117/Overview!$B$7,1))))</f>
        <v>5</v>
      </c>
      <c r="K3117" s="19" t="n">
        <v>1</v>
      </c>
      <c r="L3117" s="19"/>
      <c r="M3117" s="20" t="n">
        <v>4</v>
      </c>
      <c r="N3117" s="19"/>
      <c r="O3117" s="19"/>
      <c r="P3117" s="19" t="s">
        <v>1467</v>
      </c>
      <c r="Q3117" s="19" t="s">
        <v>1258</v>
      </c>
      <c r="R3117" s="21" t="n">
        <v>45230</v>
      </c>
      <c r="S3117" s="19" t="s">
        <v>1306</v>
      </c>
      <c r="T3117" s="19" t="s">
        <v>8996</v>
      </c>
      <c r="U3117" s="19" t="str">
        <f aca="false">HYPERLINK("https://macaulaylibrary.org/asset/621760026","Open")</f>
        <v>Open</v>
      </c>
      <c r="V3117" s="19"/>
    </row>
    <row r="3118" customFormat="false" ht="15" hidden="false" customHeight="false" outlineLevel="0" collapsed="false">
      <c r="A3118" s="19" t="s">
        <v>8997</v>
      </c>
      <c r="B3118" s="19" t="s">
        <v>943</v>
      </c>
      <c r="C3118" s="19" t="s">
        <v>8448</v>
      </c>
      <c r="D3118" s="19" t="s">
        <v>148</v>
      </c>
      <c r="E3118" s="19" t="s">
        <v>147</v>
      </c>
      <c r="F3118" s="19" t="s">
        <v>407</v>
      </c>
      <c r="G3118" s="19" t="n">
        <v>169</v>
      </c>
      <c r="H3118" s="19" t="s">
        <v>408</v>
      </c>
      <c r="I3118" s="20" t="n">
        <v>64.516</v>
      </c>
      <c r="J3118" s="19" t="n">
        <f aca="false">IF(I3118="","",MIN(Overview!$B$8,MAX(1,CEILING(I3118/Overview!$B$7,1))))</f>
        <v>13</v>
      </c>
      <c r="K3118" s="19" t="n">
        <v>1</v>
      </c>
      <c r="L3118" s="19"/>
      <c r="M3118" s="20" t="n">
        <v>3</v>
      </c>
      <c r="N3118" s="19"/>
      <c r="O3118" s="19"/>
      <c r="P3118" s="19" t="s">
        <v>1581</v>
      </c>
      <c r="Q3118" s="19" t="s">
        <v>1021</v>
      </c>
      <c r="R3118" s="21" t="n">
        <v>36595</v>
      </c>
      <c r="S3118" s="19" t="s">
        <v>1459</v>
      </c>
      <c r="T3118" s="19" t="s">
        <v>8998</v>
      </c>
      <c r="U3118" s="19" t="str">
        <f aca="false">HYPERLINK("https://macaulaylibrary.org/asset/143856231","Open")</f>
        <v>Open</v>
      </c>
      <c r="V3118" s="19"/>
    </row>
    <row r="3119" customFormat="false" ht="15" hidden="false" customHeight="false" outlineLevel="0" collapsed="false">
      <c r="A3119" s="19" t="s">
        <v>8999</v>
      </c>
      <c r="B3119" s="19" t="s">
        <v>943</v>
      </c>
      <c r="C3119" s="19" t="s">
        <v>8448</v>
      </c>
      <c r="D3119" s="19" t="s">
        <v>148</v>
      </c>
      <c r="E3119" s="19" t="s">
        <v>147</v>
      </c>
      <c r="F3119" s="19" t="s">
        <v>407</v>
      </c>
      <c r="G3119" s="19" t="n">
        <v>169</v>
      </c>
      <c r="H3119" s="19" t="s">
        <v>408</v>
      </c>
      <c r="I3119" s="20" t="n">
        <v>121.787</v>
      </c>
      <c r="J3119" s="19" t="n">
        <f aca="false">IF(I3119="","",MIN(Overview!$B$8,MAX(1,CEILING(I3119/Overview!$B$7,1))))</f>
        <v>25</v>
      </c>
      <c r="K3119" s="19" t="n">
        <v>1</v>
      </c>
      <c r="L3119" s="19"/>
      <c r="M3119" s="20" t="n">
        <v>3</v>
      </c>
      <c r="N3119" s="19"/>
      <c r="O3119" s="19"/>
      <c r="P3119" s="19" t="s">
        <v>1710</v>
      </c>
      <c r="Q3119" s="19" t="s">
        <v>1218</v>
      </c>
      <c r="R3119" s="21" t="n">
        <v>33331</v>
      </c>
      <c r="S3119" s="19" t="s">
        <v>4970</v>
      </c>
      <c r="T3119" s="19" t="s">
        <v>9000</v>
      </c>
      <c r="U3119" s="19" t="str">
        <f aca="false">HYPERLINK("https://macaulaylibrary.org/asset/76633","Open")</f>
        <v>Open</v>
      </c>
      <c r="V3119" s="19" t="s">
        <v>9001</v>
      </c>
    </row>
    <row r="3120" customFormat="false" ht="15" hidden="false" customHeight="false" outlineLevel="0" collapsed="false">
      <c r="A3120" s="19" t="s">
        <v>9002</v>
      </c>
      <c r="B3120" s="19" t="s">
        <v>943</v>
      </c>
      <c r="C3120" s="19" t="s">
        <v>8448</v>
      </c>
      <c r="D3120" s="19" t="s">
        <v>148</v>
      </c>
      <c r="E3120" s="19" t="s">
        <v>147</v>
      </c>
      <c r="F3120" s="19" t="s">
        <v>215</v>
      </c>
      <c r="G3120" s="19" t="n">
        <v>170</v>
      </c>
      <c r="H3120" s="19" t="s">
        <v>216</v>
      </c>
      <c r="I3120" s="20" t="n">
        <v>33.704</v>
      </c>
      <c r="J3120" s="19" t="n">
        <f aca="false">IF(I3120="","",MIN(Overview!$B$8,MAX(1,CEILING(I3120/Overview!$B$7,1))))</f>
        <v>7</v>
      </c>
      <c r="K3120" s="19" t="n">
        <v>1</v>
      </c>
      <c r="L3120" s="19"/>
      <c r="M3120" s="20" t="n">
        <v>4</v>
      </c>
      <c r="N3120" s="19"/>
      <c r="O3120" s="19"/>
      <c r="P3120" s="19" t="s">
        <v>1879</v>
      </c>
      <c r="Q3120" s="19" t="s">
        <v>975</v>
      </c>
      <c r="R3120" s="21" t="n">
        <v>43665</v>
      </c>
      <c r="S3120" s="19" t="s">
        <v>1880</v>
      </c>
      <c r="T3120" s="19" t="s">
        <v>9003</v>
      </c>
      <c r="U3120" s="19" t="str">
        <f aca="false">HYPERLINK("https://macaulaylibrary.org/asset/179453771","Open")</f>
        <v>Open</v>
      </c>
      <c r="V3120" s="19"/>
    </row>
    <row r="3121" customFormat="false" ht="15" hidden="false" customHeight="false" outlineLevel="0" collapsed="false">
      <c r="A3121" s="19" t="s">
        <v>9004</v>
      </c>
      <c r="B3121" s="19" t="s">
        <v>943</v>
      </c>
      <c r="C3121" s="19" t="s">
        <v>8448</v>
      </c>
      <c r="D3121" s="19" t="s">
        <v>148</v>
      </c>
      <c r="E3121" s="19" t="s">
        <v>147</v>
      </c>
      <c r="F3121" s="19" t="s">
        <v>215</v>
      </c>
      <c r="G3121" s="19" t="n">
        <v>170</v>
      </c>
      <c r="H3121" s="19" t="s">
        <v>216</v>
      </c>
      <c r="I3121" s="20" t="n">
        <v>6.721</v>
      </c>
      <c r="J3121" s="19" t="n">
        <f aca="false">IF(I3121="","",MIN(Overview!$B$8,MAX(1,CEILING(I3121/Overview!$B$7,1))))</f>
        <v>2</v>
      </c>
      <c r="K3121" s="19" t="n">
        <v>1</v>
      </c>
      <c r="L3121" s="19"/>
      <c r="M3121" s="20" t="n">
        <v>4</v>
      </c>
      <c r="N3121" s="19"/>
      <c r="O3121" s="19"/>
      <c r="P3121" s="19" t="s">
        <v>7339</v>
      </c>
      <c r="Q3121" s="19" t="s">
        <v>7340</v>
      </c>
      <c r="R3121" s="21" t="n">
        <v>44367</v>
      </c>
      <c r="S3121" s="19" t="s">
        <v>1013</v>
      </c>
      <c r="T3121" s="19" t="s">
        <v>9005</v>
      </c>
      <c r="U3121" s="19" t="str">
        <f aca="false">HYPERLINK("https://macaulaylibrary.org/asset/349505591","Open")</f>
        <v>Open</v>
      </c>
      <c r="V3121" s="19"/>
    </row>
    <row r="3122" customFormat="false" ht="15" hidden="false" customHeight="false" outlineLevel="0" collapsed="false">
      <c r="A3122" s="19" t="s">
        <v>9006</v>
      </c>
      <c r="B3122" s="19" t="s">
        <v>943</v>
      </c>
      <c r="C3122" s="19" t="s">
        <v>8448</v>
      </c>
      <c r="D3122" s="19" t="s">
        <v>148</v>
      </c>
      <c r="E3122" s="19" t="s">
        <v>147</v>
      </c>
      <c r="F3122" s="19" t="s">
        <v>215</v>
      </c>
      <c r="G3122" s="19" t="n">
        <v>170</v>
      </c>
      <c r="H3122" s="19" t="s">
        <v>216</v>
      </c>
      <c r="I3122" s="20" t="n">
        <v>15.899</v>
      </c>
      <c r="J3122" s="19" t="n">
        <f aca="false">IF(I3122="","",MIN(Overview!$B$8,MAX(1,CEILING(I3122/Overview!$B$7,1))))</f>
        <v>4</v>
      </c>
      <c r="K3122" s="19" t="n">
        <v>1</v>
      </c>
      <c r="L3122" s="19"/>
      <c r="M3122" s="20"/>
      <c r="N3122" s="19"/>
      <c r="O3122" s="19"/>
      <c r="P3122" s="19" t="s">
        <v>1984</v>
      </c>
      <c r="Q3122" s="19" t="s">
        <v>1985</v>
      </c>
      <c r="R3122" s="21" t="n">
        <v>44874</v>
      </c>
      <c r="S3122" s="19" t="s">
        <v>1986</v>
      </c>
      <c r="T3122" s="19" t="s">
        <v>9007</v>
      </c>
      <c r="U3122" s="19" t="str">
        <f aca="false">HYPERLINK("https://macaulaylibrary.org/asset/539986541","Open")</f>
        <v>Open</v>
      </c>
      <c r="V3122" s="19"/>
    </row>
    <row r="3123" customFormat="false" ht="15" hidden="false" customHeight="false" outlineLevel="0" collapsed="false">
      <c r="A3123" s="19" t="s">
        <v>9008</v>
      </c>
      <c r="B3123" s="19" t="s">
        <v>943</v>
      </c>
      <c r="C3123" s="19" t="s">
        <v>8448</v>
      </c>
      <c r="D3123" s="19" t="s">
        <v>148</v>
      </c>
      <c r="E3123" s="19" t="s">
        <v>147</v>
      </c>
      <c r="F3123" s="19" t="s">
        <v>215</v>
      </c>
      <c r="G3123" s="19" t="n">
        <v>170</v>
      </c>
      <c r="H3123" s="19" t="s">
        <v>216</v>
      </c>
      <c r="I3123" s="20" t="n">
        <v>94.701</v>
      </c>
      <c r="J3123" s="19" t="n">
        <f aca="false">IF(I3123="","",MIN(Overview!$B$8,MAX(1,CEILING(I3123/Overview!$B$7,1))))</f>
        <v>19</v>
      </c>
      <c r="K3123" s="19" t="n">
        <v>1</v>
      </c>
      <c r="L3123" s="19"/>
      <c r="M3123" s="20" t="n">
        <v>2.2</v>
      </c>
      <c r="N3123" s="19"/>
      <c r="O3123" s="19"/>
      <c r="P3123" s="19" t="s">
        <v>1797</v>
      </c>
      <c r="Q3123" s="19" t="s">
        <v>1798</v>
      </c>
      <c r="R3123" s="21" t="n">
        <v>33584</v>
      </c>
      <c r="S3123" s="19" t="s">
        <v>1715</v>
      </c>
      <c r="T3123" s="19" t="s">
        <v>9009</v>
      </c>
      <c r="U3123" s="19" t="str">
        <f aca="false">HYPERLINK("https://macaulaylibrary.org/asset/57208","Open")</f>
        <v>Open</v>
      </c>
      <c r="V3123" s="19" t="s">
        <v>4997</v>
      </c>
    </row>
    <row r="3124" customFormat="false" ht="15" hidden="false" customHeight="false" outlineLevel="0" collapsed="false">
      <c r="A3124" s="19" t="s">
        <v>9010</v>
      </c>
      <c r="B3124" s="19" t="s">
        <v>943</v>
      </c>
      <c r="C3124" s="19" t="s">
        <v>8448</v>
      </c>
      <c r="D3124" s="19" t="s">
        <v>148</v>
      </c>
      <c r="E3124" s="19" t="s">
        <v>147</v>
      </c>
      <c r="F3124" s="19" t="s">
        <v>215</v>
      </c>
      <c r="G3124" s="19" t="n">
        <v>170</v>
      </c>
      <c r="H3124" s="19" t="s">
        <v>216</v>
      </c>
      <c r="I3124" s="20" t="n">
        <v>9.387</v>
      </c>
      <c r="J3124" s="19" t="n">
        <f aca="false">IF(I3124="","",MIN(Overview!$B$8,MAX(1,CEILING(I3124/Overview!$B$7,1))))</f>
        <v>2</v>
      </c>
      <c r="K3124" s="19" t="n">
        <v>1</v>
      </c>
      <c r="L3124" s="19"/>
      <c r="M3124" s="20" t="n">
        <v>4</v>
      </c>
      <c r="N3124" s="19"/>
      <c r="O3124" s="19"/>
      <c r="P3124" s="19" t="s">
        <v>9011</v>
      </c>
      <c r="Q3124" s="19" t="s">
        <v>1199</v>
      </c>
      <c r="R3124" s="21" t="n">
        <v>46027</v>
      </c>
      <c r="S3124" s="19" t="s">
        <v>4565</v>
      </c>
      <c r="T3124" s="19" t="s">
        <v>9012</v>
      </c>
      <c r="U3124" s="19" t="str">
        <f aca="false">HYPERLINK("https://macaulaylibrary.org/asset/648568273","Open")</f>
        <v>Open</v>
      </c>
      <c r="V3124" s="19"/>
    </row>
    <row r="3125" customFormat="false" ht="15" hidden="false" customHeight="false" outlineLevel="0" collapsed="false">
      <c r="A3125" s="19" t="s">
        <v>9013</v>
      </c>
      <c r="B3125" s="19" t="s">
        <v>943</v>
      </c>
      <c r="C3125" s="19" t="s">
        <v>8448</v>
      </c>
      <c r="D3125" s="19" t="s">
        <v>148</v>
      </c>
      <c r="E3125" s="19" t="s">
        <v>147</v>
      </c>
      <c r="F3125" s="19" t="s">
        <v>209</v>
      </c>
      <c r="G3125" s="19" t="n">
        <v>176</v>
      </c>
      <c r="H3125" s="19" t="s">
        <v>210</v>
      </c>
      <c r="I3125" s="20" t="n">
        <v>36.722</v>
      </c>
      <c r="J3125" s="19" t="n">
        <f aca="false">IF(I3125="","",MIN(Overview!$B$8,MAX(1,CEILING(I3125/Overview!$B$7,1))))</f>
        <v>8</v>
      </c>
      <c r="K3125" s="19" t="n">
        <v>1</v>
      </c>
      <c r="L3125" s="19"/>
      <c r="M3125" s="20" t="n">
        <v>3</v>
      </c>
      <c r="N3125" s="19"/>
      <c r="O3125" s="19"/>
      <c r="P3125" s="19" t="s">
        <v>1529</v>
      </c>
      <c r="Q3125" s="19" t="s">
        <v>1021</v>
      </c>
      <c r="R3125" s="21" t="n">
        <v>36594</v>
      </c>
      <c r="S3125" s="19" t="s">
        <v>1530</v>
      </c>
      <c r="T3125" s="19" t="s">
        <v>9014</v>
      </c>
      <c r="U3125" s="19" t="str">
        <f aca="false">HYPERLINK("https://macaulaylibrary.org/asset/110448191","Open")</f>
        <v>Open</v>
      </c>
      <c r="V3125" s="19"/>
    </row>
    <row r="3126" customFormat="false" ht="15" hidden="false" customHeight="false" outlineLevel="0" collapsed="false">
      <c r="A3126" s="19" t="s">
        <v>9015</v>
      </c>
      <c r="B3126" s="19" t="s">
        <v>943</v>
      </c>
      <c r="C3126" s="19" t="s">
        <v>8448</v>
      </c>
      <c r="D3126" s="19" t="s">
        <v>148</v>
      </c>
      <c r="E3126" s="19" t="s">
        <v>147</v>
      </c>
      <c r="F3126" s="19" t="s">
        <v>209</v>
      </c>
      <c r="G3126" s="19" t="n">
        <v>176</v>
      </c>
      <c r="H3126" s="19" t="s">
        <v>210</v>
      </c>
      <c r="I3126" s="20" t="n">
        <v>103.809</v>
      </c>
      <c r="J3126" s="19" t="n">
        <f aca="false">IF(I3126="","",MIN(Overview!$B$8,MAX(1,CEILING(I3126/Overview!$B$7,1))))</f>
        <v>21</v>
      </c>
      <c r="K3126" s="19" t="n">
        <v>1</v>
      </c>
      <c r="L3126" s="19"/>
      <c r="M3126" s="20" t="n">
        <v>4</v>
      </c>
      <c r="N3126" s="19"/>
      <c r="O3126" s="19"/>
      <c r="P3126" s="19" t="s">
        <v>1698</v>
      </c>
      <c r="Q3126" s="19" t="s">
        <v>1021</v>
      </c>
      <c r="R3126" s="21" t="n">
        <v>36599</v>
      </c>
      <c r="S3126" s="19" t="s">
        <v>1036</v>
      </c>
      <c r="T3126" s="19" t="s">
        <v>9016</v>
      </c>
      <c r="U3126" s="19" t="str">
        <f aca="false">HYPERLINK("https://macaulaylibrary.org/asset/150959151","Open")</f>
        <v>Open</v>
      </c>
      <c r="V3126" s="19"/>
    </row>
    <row r="3127" customFormat="false" ht="15" hidden="false" customHeight="false" outlineLevel="0" collapsed="false">
      <c r="A3127" s="19" t="s">
        <v>9017</v>
      </c>
      <c r="B3127" s="19" t="s">
        <v>943</v>
      </c>
      <c r="C3127" s="19" t="s">
        <v>8448</v>
      </c>
      <c r="D3127" s="19" t="s">
        <v>148</v>
      </c>
      <c r="E3127" s="19" t="s">
        <v>147</v>
      </c>
      <c r="F3127" s="19" t="s">
        <v>209</v>
      </c>
      <c r="G3127" s="19" t="n">
        <v>176</v>
      </c>
      <c r="H3127" s="19" t="s">
        <v>210</v>
      </c>
      <c r="I3127" s="20" t="n">
        <v>36.253</v>
      </c>
      <c r="J3127" s="19" t="n">
        <f aca="false">IF(I3127="","",MIN(Overview!$B$8,MAX(1,CEILING(I3127/Overview!$B$7,1))))</f>
        <v>8</v>
      </c>
      <c r="K3127" s="19" t="n">
        <v>1</v>
      </c>
      <c r="L3127" s="19"/>
      <c r="M3127" s="20" t="n">
        <v>2.5</v>
      </c>
      <c r="N3127" s="19"/>
      <c r="O3127" s="19"/>
      <c r="P3127" s="19" t="s">
        <v>5300</v>
      </c>
      <c r="Q3127" s="19" t="s">
        <v>1408</v>
      </c>
      <c r="R3127" s="21" t="n">
        <v>32456</v>
      </c>
      <c r="S3127" s="19" t="s">
        <v>1009</v>
      </c>
      <c r="T3127" s="19" t="s">
        <v>9018</v>
      </c>
      <c r="U3127" s="19" t="str">
        <f aca="false">HYPERLINK("https://macaulaylibrary.org/asset/347765361","Open")</f>
        <v>Open</v>
      </c>
      <c r="V3127" s="19"/>
    </row>
    <row r="3128" customFormat="false" ht="15" hidden="false" customHeight="false" outlineLevel="0" collapsed="false">
      <c r="A3128" s="19" t="s">
        <v>9019</v>
      </c>
      <c r="B3128" s="19" t="s">
        <v>943</v>
      </c>
      <c r="C3128" s="19" t="s">
        <v>8448</v>
      </c>
      <c r="D3128" s="19" t="s">
        <v>148</v>
      </c>
      <c r="E3128" s="19" t="s">
        <v>147</v>
      </c>
      <c r="F3128" s="19" t="s">
        <v>209</v>
      </c>
      <c r="G3128" s="19" t="n">
        <v>176</v>
      </c>
      <c r="H3128" s="19" t="s">
        <v>210</v>
      </c>
      <c r="I3128" s="20" t="n">
        <v>30.71</v>
      </c>
      <c r="J3128" s="19" t="n">
        <f aca="false">IF(I3128="","",MIN(Overview!$B$8,MAX(1,CEILING(I3128/Overview!$B$7,1))))</f>
        <v>7</v>
      </c>
      <c r="K3128" s="19" t="n">
        <v>1</v>
      </c>
      <c r="L3128" s="19"/>
      <c r="M3128" s="20" t="n">
        <v>4</v>
      </c>
      <c r="N3128" s="19"/>
      <c r="O3128" s="19"/>
      <c r="P3128" s="19" t="s">
        <v>1367</v>
      </c>
      <c r="Q3128" s="19" t="s">
        <v>1368</v>
      </c>
      <c r="R3128" s="21" t="n">
        <v>45488</v>
      </c>
      <c r="S3128" s="19" t="s">
        <v>1369</v>
      </c>
      <c r="T3128" s="19" t="s">
        <v>9020</v>
      </c>
      <c r="U3128" s="19" t="str">
        <f aca="false">HYPERLINK("https://macaulaylibrary.org/asset/628728172","Open")</f>
        <v>Open</v>
      </c>
      <c r="V3128" s="19"/>
    </row>
    <row r="3129" customFormat="false" ht="15" hidden="false" customHeight="false" outlineLevel="0" collapsed="false">
      <c r="A3129" s="19" t="s">
        <v>9021</v>
      </c>
      <c r="B3129" s="19" t="s">
        <v>943</v>
      </c>
      <c r="C3129" s="19" t="s">
        <v>8448</v>
      </c>
      <c r="D3129" s="19" t="s">
        <v>148</v>
      </c>
      <c r="E3129" s="19" t="s">
        <v>147</v>
      </c>
      <c r="F3129" s="19" t="s">
        <v>209</v>
      </c>
      <c r="G3129" s="19" t="n">
        <v>176</v>
      </c>
      <c r="H3129" s="19" t="s">
        <v>210</v>
      </c>
      <c r="I3129" s="20" t="n">
        <v>17.737</v>
      </c>
      <c r="J3129" s="19" t="n">
        <f aca="false">IF(I3129="","",MIN(Overview!$B$8,MAX(1,CEILING(I3129/Overview!$B$7,1))))</f>
        <v>4</v>
      </c>
      <c r="K3129" s="19" t="n">
        <v>1</v>
      </c>
      <c r="L3129" s="19"/>
      <c r="M3129" s="20" t="n">
        <v>4.5</v>
      </c>
      <c r="N3129" s="19"/>
      <c r="O3129" s="19"/>
      <c r="P3129" s="19" t="s">
        <v>1367</v>
      </c>
      <c r="Q3129" s="19" t="s">
        <v>1368</v>
      </c>
      <c r="R3129" s="21" t="n">
        <v>45488</v>
      </c>
      <c r="S3129" s="19" t="s">
        <v>1369</v>
      </c>
      <c r="T3129" s="19" t="s">
        <v>9022</v>
      </c>
      <c r="U3129" s="19" t="str">
        <f aca="false">HYPERLINK("https://macaulaylibrary.org/asset/628728271","Open")</f>
        <v>Open</v>
      </c>
      <c r="V3129" s="19"/>
    </row>
    <row r="3130" customFormat="false" ht="15" hidden="false" customHeight="false" outlineLevel="0" collapsed="false">
      <c r="A3130" s="19" t="s">
        <v>9023</v>
      </c>
      <c r="B3130" s="19" t="s">
        <v>943</v>
      </c>
      <c r="C3130" s="19" t="s">
        <v>8448</v>
      </c>
      <c r="D3130" s="19" t="s">
        <v>148</v>
      </c>
      <c r="E3130" s="19" t="s">
        <v>147</v>
      </c>
      <c r="F3130" s="19" t="s">
        <v>259</v>
      </c>
      <c r="G3130" s="19" t="n">
        <v>177</v>
      </c>
      <c r="H3130" s="19" t="s">
        <v>260</v>
      </c>
      <c r="I3130" s="20" t="n">
        <v>45.16</v>
      </c>
      <c r="J3130" s="19" t="n">
        <f aca="false">IF(I3130="","",MIN(Overview!$B$8,MAX(1,CEILING(I3130/Overview!$B$7,1))))</f>
        <v>10</v>
      </c>
      <c r="K3130" s="19" t="n">
        <v>1</v>
      </c>
      <c r="L3130" s="19"/>
      <c r="M3130" s="20" t="n">
        <v>3</v>
      </c>
      <c r="N3130" s="19"/>
      <c r="O3130" s="19"/>
      <c r="P3130" s="19" t="s">
        <v>1703</v>
      </c>
      <c r="Q3130" s="19" t="s">
        <v>1021</v>
      </c>
      <c r="R3130" s="21" t="n">
        <v>36601</v>
      </c>
      <c r="S3130" s="19" t="s">
        <v>1036</v>
      </c>
      <c r="T3130" s="19" t="s">
        <v>9024</v>
      </c>
      <c r="U3130" s="19" t="str">
        <f aca="false">HYPERLINK("https://macaulaylibrary.org/asset/152753701","Open")</f>
        <v>Open</v>
      </c>
      <c r="V3130" s="19"/>
    </row>
    <row r="3131" customFormat="false" ht="15" hidden="false" customHeight="false" outlineLevel="0" collapsed="false">
      <c r="A3131" s="19" t="s">
        <v>9025</v>
      </c>
      <c r="B3131" s="19" t="s">
        <v>943</v>
      </c>
      <c r="C3131" s="19" t="s">
        <v>8448</v>
      </c>
      <c r="D3131" s="19" t="s">
        <v>148</v>
      </c>
      <c r="E3131" s="19" t="s">
        <v>147</v>
      </c>
      <c r="F3131" s="19" t="s">
        <v>259</v>
      </c>
      <c r="G3131" s="19" t="n">
        <v>177</v>
      </c>
      <c r="H3131" s="19" t="s">
        <v>260</v>
      </c>
      <c r="I3131" s="20" t="n">
        <v>87.093</v>
      </c>
      <c r="J3131" s="19" t="n">
        <f aca="false">IF(I3131="","",MIN(Overview!$B$8,MAX(1,CEILING(I3131/Overview!$B$7,1))))</f>
        <v>18</v>
      </c>
      <c r="K3131" s="19" t="n">
        <v>1</v>
      </c>
      <c r="L3131" s="19"/>
      <c r="M3131" s="20" t="n">
        <v>2.2</v>
      </c>
      <c r="N3131" s="19"/>
      <c r="O3131" s="19" t="s">
        <v>323</v>
      </c>
      <c r="P3131" s="19" t="s">
        <v>2649</v>
      </c>
      <c r="Q3131" s="19" t="s">
        <v>1218</v>
      </c>
      <c r="R3131" s="21" t="n">
        <v>34783</v>
      </c>
      <c r="S3131" s="19" t="s">
        <v>2792</v>
      </c>
      <c r="T3131" s="19" t="s">
        <v>9026</v>
      </c>
      <c r="U3131" s="19" t="str">
        <f aca="false">HYPERLINK("https://macaulaylibrary.org/asset/184016","Open")</f>
        <v>Open</v>
      </c>
      <c r="V3131" s="19" t="s">
        <v>5126</v>
      </c>
    </row>
    <row r="3132" customFormat="false" ht="15" hidden="false" customHeight="false" outlineLevel="0" collapsed="false">
      <c r="A3132" s="19" t="s">
        <v>9027</v>
      </c>
      <c r="B3132" s="19" t="s">
        <v>943</v>
      </c>
      <c r="C3132" s="19" t="s">
        <v>8448</v>
      </c>
      <c r="D3132" s="19" t="s">
        <v>148</v>
      </c>
      <c r="E3132" s="19" t="s">
        <v>147</v>
      </c>
      <c r="F3132" s="19" t="s">
        <v>259</v>
      </c>
      <c r="G3132" s="19" t="n">
        <v>177</v>
      </c>
      <c r="H3132" s="19" t="s">
        <v>260</v>
      </c>
      <c r="I3132" s="20" t="n">
        <v>12.467</v>
      </c>
      <c r="J3132" s="19" t="n">
        <f aca="false">IF(I3132="","",MIN(Overview!$B$8,MAX(1,CEILING(I3132/Overview!$B$7,1))))</f>
        <v>3</v>
      </c>
      <c r="K3132" s="19" t="n">
        <v>1</v>
      </c>
      <c r="L3132" s="19"/>
      <c r="M3132" s="20" t="n">
        <v>3</v>
      </c>
      <c r="N3132" s="19"/>
      <c r="O3132" s="19"/>
      <c r="P3132" s="19" t="s">
        <v>1049</v>
      </c>
      <c r="Q3132" s="19" t="s">
        <v>1050</v>
      </c>
      <c r="R3132" s="21" t="n">
        <v>43406</v>
      </c>
      <c r="S3132" s="19" t="s">
        <v>1051</v>
      </c>
      <c r="T3132" s="19" t="s">
        <v>9028</v>
      </c>
      <c r="U3132" s="19" t="str">
        <f aca="false">HYPERLINK("https://macaulaylibrary.org/asset/662832435","Open")</f>
        <v>Open</v>
      </c>
      <c r="V3132" s="19" t="s">
        <v>5126</v>
      </c>
    </row>
    <row r="3133" customFormat="false" ht="15" hidden="false" customHeight="false" outlineLevel="0" collapsed="false">
      <c r="A3133" s="19" t="s">
        <v>9029</v>
      </c>
      <c r="B3133" s="19" t="s">
        <v>943</v>
      </c>
      <c r="C3133" s="19" t="s">
        <v>8448</v>
      </c>
      <c r="D3133" s="19" t="s">
        <v>148</v>
      </c>
      <c r="E3133" s="19" t="s">
        <v>147</v>
      </c>
      <c r="F3133" s="19" t="s">
        <v>268</v>
      </c>
      <c r="G3133" s="19" t="n">
        <v>178</v>
      </c>
      <c r="H3133" s="19" t="s">
        <v>269</v>
      </c>
      <c r="I3133" s="20" t="n">
        <v>34.441</v>
      </c>
      <c r="J3133" s="19" t="n">
        <f aca="false">IF(I3133="","",MIN(Overview!$B$8,MAX(1,CEILING(I3133/Overview!$B$7,1))))</f>
        <v>7</v>
      </c>
      <c r="K3133" s="19" t="n">
        <v>1</v>
      </c>
      <c r="L3133" s="19"/>
      <c r="M3133" s="20" t="n">
        <v>3</v>
      </c>
      <c r="N3133" s="19"/>
      <c r="O3133" s="19"/>
      <c r="P3133" s="19" t="s">
        <v>1879</v>
      </c>
      <c r="Q3133" s="19" t="s">
        <v>975</v>
      </c>
      <c r="R3133" s="21" t="n">
        <v>43665</v>
      </c>
      <c r="S3133" s="19" t="s">
        <v>1880</v>
      </c>
      <c r="T3133" s="19" t="s">
        <v>9030</v>
      </c>
      <c r="U3133" s="19" t="str">
        <f aca="false">HYPERLINK("https://macaulaylibrary.org/asset/179453711","Open")</f>
        <v>Open</v>
      </c>
      <c r="V3133" s="19"/>
    </row>
    <row r="3134" customFormat="false" ht="15" hidden="false" customHeight="false" outlineLevel="0" collapsed="false">
      <c r="A3134" s="19" t="s">
        <v>9031</v>
      </c>
      <c r="B3134" s="19" t="s">
        <v>943</v>
      </c>
      <c r="C3134" s="19" t="s">
        <v>8448</v>
      </c>
      <c r="D3134" s="19" t="s">
        <v>148</v>
      </c>
      <c r="E3134" s="19" t="s">
        <v>147</v>
      </c>
      <c r="F3134" s="19" t="s">
        <v>268</v>
      </c>
      <c r="G3134" s="19" t="n">
        <v>178</v>
      </c>
      <c r="H3134" s="19" t="s">
        <v>269</v>
      </c>
      <c r="I3134" s="20" t="n">
        <v>68.32</v>
      </c>
      <c r="J3134" s="19" t="n">
        <f aca="false">IF(I3134="","",MIN(Overview!$B$8,MAX(1,CEILING(I3134/Overview!$B$7,1))))</f>
        <v>14</v>
      </c>
      <c r="K3134" s="19" t="n">
        <v>1</v>
      </c>
      <c r="L3134" s="19"/>
      <c r="M3134" s="20" t="n">
        <v>2</v>
      </c>
      <c r="N3134" s="19"/>
      <c r="O3134" s="19"/>
      <c r="P3134" s="19" t="s">
        <v>4408</v>
      </c>
      <c r="Q3134" s="19" t="s">
        <v>965</v>
      </c>
      <c r="R3134" s="21" t="n">
        <v>46012</v>
      </c>
      <c r="S3134" s="19" t="s">
        <v>4409</v>
      </c>
      <c r="T3134" s="19" t="s">
        <v>9032</v>
      </c>
      <c r="U3134" s="19" t="str">
        <f aca="false">HYPERLINK("https://macaulaylibrary.org/asset/647390255","Open")</f>
        <v>Open</v>
      </c>
      <c r="V3134" s="19"/>
    </row>
    <row r="3135" customFormat="false" ht="15" hidden="false" customHeight="false" outlineLevel="0" collapsed="false">
      <c r="A3135" s="19" t="s">
        <v>9033</v>
      </c>
      <c r="B3135" s="19" t="s">
        <v>943</v>
      </c>
      <c r="C3135" s="19" t="s">
        <v>8448</v>
      </c>
      <c r="D3135" s="19" t="s">
        <v>148</v>
      </c>
      <c r="E3135" s="19" t="s">
        <v>147</v>
      </c>
      <c r="F3135" s="19" t="s">
        <v>268</v>
      </c>
      <c r="G3135" s="19" t="n">
        <v>178</v>
      </c>
      <c r="H3135" s="19" t="s">
        <v>269</v>
      </c>
      <c r="I3135" s="20" t="n">
        <v>9.435</v>
      </c>
      <c r="J3135" s="19" t="n">
        <f aca="false">IF(I3135="","",MIN(Overview!$B$8,MAX(1,CEILING(I3135/Overview!$B$7,1))))</f>
        <v>2</v>
      </c>
      <c r="K3135" s="19" t="n">
        <v>1</v>
      </c>
      <c r="L3135" s="19"/>
      <c r="M3135" s="20" t="n">
        <v>3</v>
      </c>
      <c r="N3135" s="19"/>
      <c r="O3135" s="19"/>
      <c r="P3135" s="19" t="s">
        <v>4408</v>
      </c>
      <c r="Q3135" s="19" t="s">
        <v>965</v>
      </c>
      <c r="R3135" s="21" t="n">
        <v>46012</v>
      </c>
      <c r="S3135" s="19" t="s">
        <v>4409</v>
      </c>
      <c r="T3135" s="19" t="s">
        <v>9034</v>
      </c>
      <c r="U3135" s="19" t="str">
        <f aca="false">HYPERLINK("https://macaulaylibrary.org/asset/647390409","Open")</f>
        <v>Open</v>
      </c>
      <c r="V3135" s="19"/>
    </row>
    <row r="3136" customFormat="false" ht="15" hidden="false" customHeight="false" outlineLevel="0" collapsed="false">
      <c r="A3136" s="19" t="s">
        <v>9035</v>
      </c>
      <c r="B3136" s="19" t="s">
        <v>943</v>
      </c>
      <c r="C3136" s="19" t="s">
        <v>8448</v>
      </c>
      <c r="D3136" s="19" t="s">
        <v>148</v>
      </c>
      <c r="E3136" s="19" t="s">
        <v>147</v>
      </c>
      <c r="F3136" s="19" t="s">
        <v>246</v>
      </c>
      <c r="G3136" s="19" t="n">
        <v>180</v>
      </c>
      <c r="H3136" s="19" t="s">
        <v>247</v>
      </c>
      <c r="I3136" s="20" t="n">
        <v>4.637</v>
      </c>
      <c r="J3136" s="19" t="n">
        <f aca="false">IF(I3136="","",MIN(Overview!$B$8,MAX(1,CEILING(I3136/Overview!$B$7,1))))</f>
        <v>1</v>
      </c>
      <c r="K3136" s="19" t="n">
        <v>1</v>
      </c>
      <c r="L3136" s="19" t="s">
        <v>1048</v>
      </c>
      <c r="M3136" s="20" t="n">
        <v>2</v>
      </c>
      <c r="N3136" s="19"/>
      <c r="O3136" s="19"/>
      <c r="P3136" s="19" t="s">
        <v>2234</v>
      </c>
      <c r="Q3136" s="19" t="s">
        <v>2235</v>
      </c>
      <c r="R3136" s="21" t="n">
        <v>43467</v>
      </c>
      <c r="S3136" s="19" t="s">
        <v>1534</v>
      </c>
      <c r="T3136" s="19" t="s">
        <v>9036</v>
      </c>
      <c r="U3136" s="19" t="str">
        <f aca="false">HYPERLINK("https://macaulaylibrary.org/asset/143086351","Open")</f>
        <v>Open</v>
      </c>
      <c r="V3136" s="19"/>
    </row>
    <row r="3137" customFormat="false" ht="15" hidden="false" customHeight="false" outlineLevel="0" collapsed="false">
      <c r="A3137" s="19" t="s">
        <v>9037</v>
      </c>
      <c r="B3137" s="19" t="s">
        <v>943</v>
      </c>
      <c r="C3137" s="19" t="s">
        <v>8448</v>
      </c>
      <c r="D3137" s="19" t="s">
        <v>148</v>
      </c>
      <c r="E3137" s="19" t="s">
        <v>147</v>
      </c>
      <c r="F3137" s="19" t="s">
        <v>246</v>
      </c>
      <c r="G3137" s="19" t="n">
        <v>180</v>
      </c>
      <c r="H3137" s="19" t="s">
        <v>247</v>
      </c>
      <c r="I3137" s="20" t="n">
        <v>80.091</v>
      </c>
      <c r="J3137" s="19" t="n">
        <f aca="false">IF(I3137="","",MIN(Overview!$B$8,MAX(1,CEILING(I3137/Overview!$B$7,1))))</f>
        <v>17</v>
      </c>
      <c r="K3137" s="19" t="n">
        <v>1</v>
      </c>
      <c r="L3137" s="19"/>
      <c r="M3137" s="20" t="n">
        <v>3</v>
      </c>
      <c r="N3137" s="19"/>
      <c r="O3137" s="19" t="s">
        <v>9038</v>
      </c>
      <c r="P3137" s="19" t="s">
        <v>3476</v>
      </c>
      <c r="Q3137" s="19" t="s">
        <v>1063</v>
      </c>
      <c r="R3137" s="21" t="n">
        <v>44086</v>
      </c>
      <c r="S3137" s="19" t="s">
        <v>1092</v>
      </c>
      <c r="T3137" s="19" t="s">
        <v>9039</v>
      </c>
      <c r="U3137" s="19" t="str">
        <f aca="false">HYPERLINK("https://macaulaylibrary.org/asset/266231531","Open")</f>
        <v>Open</v>
      </c>
      <c r="V3137" s="19"/>
    </row>
    <row r="3138" customFormat="false" ht="15" hidden="false" customHeight="false" outlineLevel="0" collapsed="false">
      <c r="A3138" s="19" t="s">
        <v>9040</v>
      </c>
      <c r="B3138" s="19" t="s">
        <v>943</v>
      </c>
      <c r="C3138" s="19" t="s">
        <v>8448</v>
      </c>
      <c r="D3138" s="19" t="s">
        <v>148</v>
      </c>
      <c r="E3138" s="19" t="s">
        <v>147</v>
      </c>
      <c r="F3138" s="19" t="s">
        <v>246</v>
      </c>
      <c r="G3138" s="19" t="n">
        <v>180</v>
      </c>
      <c r="H3138" s="19" t="s">
        <v>247</v>
      </c>
      <c r="I3138" s="20" t="n">
        <v>15.845</v>
      </c>
      <c r="J3138" s="19" t="n">
        <f aca="false">IF(I3138="","",MIN(Overview!$B$8,MAX(1,CEILING(I3138/Overview!$B$7,1))))</f>
        <v>4</v>
      </c>
      <c r="K3138" s="19" t="n">
        <v>1</v>
      </c>
      <c r="L3138" s="19"/>
      <c r="M3138" s="20"/>
      <c r="N3138" s="19"/>
      <c r="O3138" s="19"/>
      <c r="P3138" s="19" t="s">
        <v>9041</v>
      </c>
      <c r="Q3138" s="19" t="s">
        <v>3122</v>
      </c>
      <c r="R3138" s="21" t="n">
        <v>43517</v>
      </c>
      <c r="S3138" s="19" t="s">
        <v>1534</v>
      </c>
      <c r="T3138" s="19" t="s">
        <v>9042</v>
      </c>
      <c r="U3138" s="19" t="str">
        <f aca="false">HYPERLINK("https://macaulaylibrary.org/asset/661209207","Open")</f>
        <v>Open</v>
      </c>
      <c r="V3138" s="19"/>
    </row>
    <row r="3139" customFormat="false" ht="15" hidden="false" customHeight="false" outlineLevel="0" collapsed="false">
      <c r="A3139" s="19" t="s">
        <v>9043</v>
      </c>
      <c r="B3139" s="19" t="s">
        <v>943</v>
      </c>
      <c r="C3139" s="19" t="s">
        <v>8448</v>
      </c>
      <c r="D3139" s="19" t="s">
        <v>148</v>
      </c>
      <c r="E3139" s="19" t="s">
        <v>147</v>
      </c>
      <c r="F3139" s="19" t="s">
        <v>246</v>
      </c>
      <c r="G3139" s="19" t="n">
        <v>180</v>
      </c>
      <c r="H3139" s="19" t="s">
        <v>247</v>
      </c>
      <c r="I3139" s="20" t="n">
        <v>26.843</v>
      </c>
      <c r="J3139" s="19" t="n">
        <f aca="false">IF(I3139="","",MIN(Overview!$B$8,MAX(1,CEILING(I3139/Overview!$B$7,1))))</f>
        <v>6</v>
      </c>
      <c r="K3139" s="19" t="n">
        <v>1</v>
      </c>
      <c r="L3139" s="19"/>
      <c r="M3139" s="20" t="n">
        <v>5</v>
      </c>
      <c r="N3139" s="19"/>
      <c r="O3139" s="19"/>
      <c r="P3139" s="19" t="s">
        <v>9041</v>
      </c>
      <c r="Q3139" s="19" t="s">
        <v>3122</v>
      </c>
      <c r="R3139" s="21" t="n">
        <v>43517</v>
      </c>
      <c r="S3139" s="19" t="s">
        <v>1534</v>
      </c>
      <c r="T3139" s="19" t="s">
        <v>9044</v>
      </c>
      <c r="U3139" s="19" t="str">
        <f aca="false">HYPERLINK("https://macaulaylibrary.org/asset/661209644","Open")</f>
        <v>Open</v>
      </c>
      <c r="V3139" s="19"/>
    </row>
    <row r="3140" customFormat="false" ht="15" hidden="false" customHeight="false" outlineLevel="0" collapsed="false">
      <c r="A3140" s="19" t="s">
        <v>9045</v>
      </c>
      <c r="B3140" s="19" t="s">
        <v>943</v>
      </c>
      <c r="C3140" s="19" t="s">
        <v>8448</v>
      </c>
      <c r="D3140" s="19" t="s">
        <v>148</v>
      </c>
      <c r="E3140" s="19" t="s">
        <v>147</v>
      </c>
      <c r="F3140" s="19" t="s">
        <v>431</v>
      </c>
      <c r="G3140" s="19" t="n">
        <v>182</v>
      </c>
      <c r="H3140" s="19" t="s">
        <v>432</v>
      </c>
      <c r="I3140" s="20" t="n">
        <v>134.297</v>
      </c>
      <c r="J3140" s="19" t="n">
        <f aca="false">IF(I3140="","",MIN(Overview!$B$8,MAX(1,CEILING(I3140/Overview!$B$7,1))))</f>
        <v>27</v>
      </c>
      <c r="K3140" s="19" t="n">
        <v>1</v>
      </c>
      <c r="L3140" s="19"/>
      <c r="M3140" s="20" t="n">
        <v>3</v>
      </c>
      <c r="N3140" s="19"/>
      <c r="O3140" s="19"/>
      <c r="P3140" s="19" t="s">
        <v>1125</v>
      </c>
      <c r="Q3140" s="19" t="s">
        <v>980</v>
      </c>
      <c r="R3140" s="21" t="n">
        <v>32557</v>
      </c>
      <c r="S3140" s="19" t="s">
        <v>1464</v>
      </c>
      <c r="T3140" s="19" t="s">
        <v>9046</v>
      </c>
      <c r="U3140" s="19" t="str">
        <f aca="false">HYPERLINK("https://macaulaylibrary.org/asset/215385","Open")</f>
        <v>Open</v>
      </c>
      <c r="V3140" s="19"/>
    </row>
    <row r="3141" customFormat="false" ht="15" hidden="false" customHeight="false" outlineLevel="0" collapsed="false">
      <c r="A3141" s="19" t="s">
        <v>9047</v>
      </c>
      <c r="B3141" s="19" t="s">
        <v>943</v>
      </c>
      <c r="C3141" s="19" t="s">
        <v>8448</v>
      </c>
      <c r="D3141" s="19" t="s">
        <v>148</v>
      </c>
      <c r="E3141" s="19" t="s">
        <v>147</v>
      </c>
      <c r="F3141" s="19" t="s">
        <v>431</v>
      </c>
      <c r="G3141" s="19" t="n">
        <v>182</v>
      </c>
      <c r="H3141" s="19" t="s">
        <v>432</v>
      </c>
      <c r="I3141" s="20" t="n">
        <v>12.307</v>
      </c>
      <c r="J3141" s="19" t="n">
        <f aca="false">IF(I3141="","",MIN(Overview!$B$8,MAX(1,CEILING(I3141/Overview!$B$7,1))))</f>
        <v>3</v>
      </c>
      <c r="K3141" s="19" t="n">
        <v>1</v>
      </c>
      <c r="L3141" s="19"/>
      <c r="M3141" s="20" t="n">
        <v>2.75</v>
      </c>
      <c r="N3141" s="19"/>
      <c r="O3141" s="19"/>
      <c r="P3141" s="19" t="s">
        <v>3654</v>
      </c>
      <c r="Q3141" s="19" t="s">
        <v>3655</v>
      </c>
      <c r="R3141" s="21" t="n">
        <v>44448</v>
      </c>
      <c r="S3141" s="19" t="s">
        <v>1279</v>
      </c>
      <c r="T3141" s="19" t="s">
        <v>9048</v>
      </c>
      <c r="U3141" s="19" t="str">
        <f aca="false">HYPERLINK("https://macaulaylibrary.org/asset/368118351","Open")</f>
        <v>Open</v>
      </c>
      <c r="V3141" s="19"/>
    </row>
    <row r="3142" customFormat="false" ht="15" hidden="false" customHeight="false" outlineLevel="0" collapsed="false">
      <c r="A3142" s="19" t="s">
        <v>9049</v>
      </c>
      <c r="B3142" s="19" t="s">
        <v>943</v>
      </c>
      <c r="C3142" s="19" t="s">
        <v>8448</v>
      </c>
      <c r="D3142" s="19" t="s">
        <v>148</v>
      </c>
      <c r="E3142" s="19" t="s">
        <v>147</v>
      </c>
      <c r="F3142" s="19" t="s">
        <v>410</v>
      </c>
      <c r="G3142" s="19" t="n">
        <v>185</v>
      </c>
      <c r="H3142" s="19" t="s">
        <v>411</v>
      </c>
      <c r="I3142" s="20" t="n">
        <v>157.084</v>
      </c>
      <c r="J3142" s="19" t="n">
        <f aca="false">IF(I3142="","",MIN(Overview!$B$8,MAX(1,CEILING(I3142/Overview!$B$7,1))))</f>
        <v>32</v>
      </c>
      <c r="K3142" s="19" t="n">
        <v>1</v>
      </c>
      <c r="L3142" s="19"/>
      <c r="M3142" s="20" t="n">
        <v>2</v>
      </c>
      <c r="N3142" s="19"/>
      <c r="O3142" s="19"/>
      <c r="P3142" s="19" t="s">
        <v>1730</v>
      </c>
      <c r="Q3142" s="19" t="s">
        <v>980</v>
      </c>
      <c r="R3142" s="21" t="n">
        <v>32558</v>
      </c>
      <c r="S3142" s="19" t="s">
        <v>9050</v>
      </c>
      <c r="T3142" s="19" t="s">
        <v>9051</v>
      </c>
      <c r="U3142" s="19" t="str">
        <f aca="false">HYPERLINK("https://macaulaylibrary.org/asset/215426","Open")</f>
        <v>Open</v>
      </c>
      <c r="V3142" s="19"/>
    </row>
    <row r="3143" customFormat="false" ht="15" hidden="false" customHeight="false" outlineLevel="0" collapsed="false">
      <c r="A3143" s="19" t="s">
        <v>9052</v>
      </c>
      <c r="B3143" s="19" t="s">
        <v>943</v>
      </c>
      <c r="C3143" s="19" t="s">
        <v>8448</v>
      </c>
      <c r="D3143" s="19" t="s">
        <v>148</v>
      </c>
      <c r="E3143" s="19" t="s">
        <v>147</v>
      </c>
      <c r="F3143" s="19" t="s">
        <v>410</v>
      </c>
      <c r="G3143" s="19" t="n">
        <v>185</v>
      </c>
      <c r="H3143" s="19" t="s">
        <v>411</v>
      </c>
      <c r="I3143" s="20" t="n">
        <v>14.507</v>
      </c>
      <c r="J3143" s="19" t="n">
        <f aca="false">IF(I3143="","",MIN(Overview!$B$8,MAX(1,CEILING(I3143/Overview!$B$7,1))))</f>
        <v>3</v>
      </c>
      <c r="K3143" s="19" t="n">
        <v>1</v>
      </c>
      <c r="L3143" s="19"/>
      <c r="M3143" s="20" t="n">
        <v>2</v>
      </c>
      <c r="N3143" s="19"/>
      <c r="O3143" s="19"/>
      <c r="P3143" s="19" t="s">
        <v>9053</v>
      </c>
      <c r="Q3143" s="19" t="s">
        <v>9054</v>
      </c>
      <c r="R3143" s="21" t="n">
        <v>44100</v>
      </c>
      <c r="S3143" s="19" t="s">
        <v>3642</v>
      </c>
      <c r="T3143" s="19" t="s">
        <v>9055</v>
      </c>
      <c r="U3143" s="19" t="str">
        <f aca="false">HYPERLINK("https://macaulaylibrary.org/asset/266525661","Open")</f>
        <v>Open</v>
      </c>
      <c r="V3143" s="19"/>
    </row>
    <row r="3144" customFormat="false" ht="15" hidden="false" customHeight="false" outlineLevel="0" collapsed="false">
      <c r="A3144" s="19" t="s">
        <v>9056</v>
      </c>
      <c r="B3144" s="19" t="s">
        <v>943</v>
      </c>
      <c r="C3144" s="19" t="s">
        <v>8448</v>
      </c>
      <c r="D3144" s="19" t="s">
        <v>148</v>
      </c>
      <c r="E3144" s="19" t="s">
        <v>147</v>
      </c>
      <c r="F3144" s="19" t="s">
        <v>240</v>
      </c>
      <c r="G3144" s="19" t="n">
        <v>186</v>
      </c>
      <c r="H3144" s="19" t="s">
        <v>241</v>
      </c>
      <c r="I3144" s="20" t="n">
        <v>27.925</v>
      </c>
      <c r="J3144" s="19" t="n">
        <f aca="false">IF(I3144="","",MIN(Overview!$B$8,MAX(1,CEILING(I3144/Overview!$B$7,1))))</f>
        <v>6</v>
      </c>
      <c r="K3144" s="19" t="n">
        <v>1</v>
      </c>
      <c r="L3144" s="19"/>
      <c r="M3144" s="20" t="n">
        <v>1</v>
      </c>
      <c r="N3144" s="19"/>
      <c r="O3144" s="19"/>
      <c r="P3144" s="19" t="s">
        <v>9057</v>
      </c>
      <c r="Q3144" s="19" t="s">
        <v>1847</v>
      </c>
      <c r="R3144" s="21" t="n">
        <v>43517</v>
      </c>
      <c r="S3144" s="19" t="s">
        <v>2693</v>
      </c>
      <c r="T3144" s="19" t="s">
        <v>9058</v>
      </c>
      <c r="U3144" s="19" t="str">
        <f aca="false">HYPERLINK("https://macaulaylibrary.org/asset/147151861","Open")</f>
        <v>Open</v>
      </c>
      <c r="V3144" s="19"/>
    </row>
    <row r="3145" customFormat="false" ht="15" hidden="false" customHeight="false" outlineLevel="0" collapsed="false">
      <c r="A3145" s="19" t="s">
        <v>9059</v>
      </c>
      <c r="B3145" s="19" t="s">
        <v>943</v>
      </c>
      <c r="C3145" s="19" t="s">
        <v>8448</v>
      </c>
      <c r="D3145" s="19" t="s">
        <v>148</v>
      </c>
      <c r="E3145" s="19" t="s">
        <v>147</v>
      </c>
      <c r="F3145" s="19" t="s">
        <v>240</v>
      </c>
      <c r="G3145" s="19" t="n">
        <v>186</v>
      </c>
      <c r="H3145" s="19" t="s">
        <v>241</v>
      </c>
      <c r="I3145" s="20" t="n">
        <v>39.488</v>
      </c>
      <c r="J3145" s="19" t="n">
        <f aca="false">IF(I3145="","",MIN(Overview!$B$8,MAX(1,CEILING(I3145/Overview!$B$7,1))))</f>
        <v>8</v>
      </c>
      <c r="K3145" s="19" t="n">
        <v>1</v>
      </c>
      <c r="L3145" s="19"/>
      <c r="M3145" s="20" t="n">
        <v>1</v>
      </c>
      <c r="N3145" s="19"/>
      <c r="O3145" s="19"/>
      <c r="P3145" s="19" t="s">
        <v>9057</v>
      </c>
      <c r="Q3145" s="19" t="s">
        <v>1847</v>
      </c>
      <c r="R3145" s="21" t="n">
        <v>43517</v>
      </c>
      <c r="S3145" s="19" t="s">
        <v>2693</v>
      </c>
      <c r="T3145" s="19" t="s">
        <v>9060</v>
      </c>
      <c r="U3145" s="19" t="str">
        <f aca="false">HYPERLINK("https://macaulaylibrary.org/asset/147151871","Open")</f>
        <v>Open</v>
      </c>
      <c r="V3145" s="19"/>
    </row>
    <row r="3146" customFormat="false" ht="15" hidden="false" customHeight="false" outlineLevel="0" collapsed="false">
      <c r="A3146" s="19" t="s">
        <v>9061</v>
      </c>
      <c r="B3146" s="19" t="s">
        <v>943</v>
      </c>
      <c r="C3146" s="19" t="s">
        <v>8448</v>
      </c>
      <c r="D3146" s="19" t="s">
        <v>148</v>
      </c>
      <c r="E3146" s="19" t="s">
        <v>147</v>
      </c>
      <c r="F3146" s="19" t="s">
        <v>240</v>
      </c>
      <c r="G3146" s="19" t="n">
        <v>186</v>
      </c>
      <c r="H3146" s="19" t="s">
        <v>241</v>
      </c>
      <c r="I3146" s="20" t="n">
        <v>9.221</v>
      </c>
      <c r="J3146" s="19" t="n">
        <f aca="false">IF(I3146="","",MIN(Overview!$B$8,MAX(1,CEILING(I3146/Overview!$B$7,1))))</f>
        <v>2</v>
      </c>
      <c r="K3146" s="19" t="n">
        <v>1</v>
      </c>
      <c r="L3146" s="19"/>
      <c r="M3146" s="20" t="n">
        <v>4</v>
      </c>
      <c r="N3146" s="19"/>
      <c r="O3146" s="19"/>
      <c r="P3146" s="19" t="s">
        <v>9062</v>
      </c>
      <c r="Q3146" s="19" t="s">
        <v>9063</v>
      </c>
      <c r="R3146" s="21" t="n">
        <v>43895</v>
      </c>
      <c r="S3146" s="19" t="s">
        <v>1059</v>
      </c>
      <c r="T3146" s="19" t="s">
        <v>9064</v>
      </c>
      <c r="U3146" s="19" t="str">
        <f aca="false">HYPERLINK("https://macaulaylibrary.org/asset/233838141","Open")</f>
        <v>Open</v>
      </c>
      <c r="V3146" s="19"/>
    </row>
    <row r="3147" customFormat="false" ht="15" hidden="false" customHeight="false" outlineLevel="0" collapsed="false">
      <c r="A3147" s="19" t="s">
        <v>9065</v>
      </c>
      <c r="B3147" s="19" t="s">
        <v>943</v>
      </c>
      <c r="C3147" s="19" t="s">
        <v>8448</v>
      </c>
      <c r="D3147" s="19" t="s">
        <v>148</v>
      </c>
      <c r="E3147" s="19" t="s">
        <v>147</v>
      </c>
      <c r="F3147" s="19" t="s">
        <v>240</v>
      </c>
      <c r="G3147" s="19" t="n">
        <v>186</v>
      </c>
      <c r="H3147" s="19" t="s">
        <v>241</v>
      </c>
      <c r="I3147" s="20" t="n">
        <v>370.697</v>
      </c>
      <c r="J3147" s="19" t="n">
        <f aca="false">IF(I3147="","",MIN(Overview!$B$8,MAX(1,CEILING(I3147/Overview!$B$7,1))))</f>
        <v>75</v>
      </c>
      <c r="K3147" s="19" t="n">
        <v>1</v>
      </c>
      <c r="L3147" s="19"/>
      <c r="M3147" s="20" t="n">
        <v>5</v>
      </c>
      <c r="N3147" s="19"/>
      <c r="O3147" s="19"/>
      <c r="P3147" s="19" t="s">
        <v>1542</v>
      </c>
      <c r="Q3147" s="19" t="s">
        <v>1408</v>
      </c>
      <c r="R3147" s="21" t="n">
        <v>31806</v>
      </c>
      <c r="S3147" s="19" t="s">
        <v>1009</v>
      </c>
      <c r="T3147" s="19" t="s">
        <v>9066</v>
      </c>
      <c r="U3147" s="19" t="str">
        <f aca="false">HYPERLINK("https://macaulaylibrary.org/asset/336555401","Open")</f>
        <v>Open</v>
      </c>
      <c r="V3147" s="19"/>
    </row>
    <row r="3148" customFormat="false" ht="15" hidden="false" customHeight="false" outlineLevel="0" collapsed="false">
      <c r="A3148" s="19" t="s">
        <v>9067</v>
      </c>
      <c r="B3148" s="19" t="s">
        <v>943</v>
      </c>
      <c r="C3148" s="19" t="s">
        <v>8448</v>
      </c>
      <c r="D3148" s="19" t="s">
        <v>148</v>
      </c>
      <c r="E3148" s="19" t="s">
        <v>147</v>
      </c>
      <c r="F3148" s="19" t="s">
        <v>197</v>
      </c>
      <c r="G3148" s="19" t="n">
        <v>187</v>
      </c>
      <c r="H3148" s="19" t="s">
        <v>198</v>
      </c>
      <c r="I3148" s="20" t="n">
        <v>41.323</v>
      </c>
      <c r="J3148" s="19" t="n">
        <f aca="false">IF(I3148="","",MIN(Overview!$B$8,MAX(1,CEILING(I3148/Overview!$B$7,1))))</f>
        <v>9</v>
      </c>
      <c r="K3148" s="19" t="n">
        <v>1</v>
      </c>
      <c r="L3148" s="19"/>
      <c r="M3148" s="20" t="n">
        <v>3</v>
      </c>
      <c r="N3148" s="19"/>
      <c r="O3148" s="19"/>
      <c r="P3148" s="19" t="s">
        <v>1025</v>
      </c>
      <c r="Q3148" s="19" t="s">
        <v>965</v>
      </c>
      <c r="R3148" s="21" t="n">
        <v>43450</v>
      </c>
      <c r="S3148" s="19" t="s">
        <v>1026</v>
      </c>
      <c r="T3148" s="19" t="s">
        <v>9068</v>
      </c>
      <c r="U3148" s="19" t="str">
        <f aca="false">HYPERLINK("https://macaulaylibrary.org/asset/129902201","Open")</f>
        <v>Open</v>
      </c>
      <c r="V3148" s="19"/>
    </row>
    <row r="3149" customFormat="false" ht="15" hidden="false" customHeight="false" outlineLevel="0" collapsed="false">
      <c r="A3149" s="19" t="s">
        <v>9069</v>
      </c>
      <c r="B3149" s="19" t="s">
        <v>943</v>
      </c>
      <c r="C3149" s="19" t="s">
        <v>8448</v>
      </c>
      <c r="D3149" s="19" t="s">
        <v>148</v>
      </c>
      <c r="E3149" s="19" t="s">
        <v>147</v>
      </c>
      <c r="F3149" s="19" t="s">
        <v>197</v>
      </c>
      <c r="G3149" s="19" t="n">
        <v>187</v>
      </c>
      <c r="H3149" s="19" t="s">
        <v>198</v>
      </c>
      <c r="I3149" s="20" t="n">
        <v>90.789</v>
      </c>
      <c r="J3149" s="19" t="n">
        <f aca="false">IF(I3149="","",MIN(Overview!$B$8,MAX(1,CEILING(I3149/Overview!$B$7,1))))</f>
        <v>19</v>
      </c>
      <c r="K3149" s="19" t="n">
        <v>1</v>
      </c>
      <c r="L3149" s="19"/>
      <c r="M3149" s="20" t="n">
        <v>3</v>
      </c>
      <c r="N3149" s="19"/>
      <c r="O3149" s="19"/>
      <c r="P3149" s="19" t="s">
        <v>2165</v>
      </c>
      <c r="Q3149" s="19" t="s">
        <v>1021</v>
      </c>
      <c r="R3149" s="21" t="n">
        <v>36598</v>
      </c>
      <c r="S3149" s="19" t="s">
        <v>1106</v>
      </c>
      <c r="T3149" s="19" t="s">
        <v>9070</v>
      </c>
      <c r="U3149" s="19" t="str">
        <f aca="false">HYPERLINK("https://macaulaylibrary.org/asset/147722301","Open")</f>
        <v>Open</v>
      </c>
      <c r="V3149" s="19"/>
    </row>
    <row r="3150" customFormat="false" ht="15" hidden="false" customHeight="false" outlineLevel="0" collapsed="false">
      <c r="A3150" s="19" t="s">
        <v>9071</v>
      </c>
      <c r="B3150" s="19" t="s">
        <v>943</v>
      </c>
      <c r="C3150" s="19" t="s">
        <v>8448</v>
      </c>
      <c r="D3150" s="19" t="s">
        <v>148</v>
      </c>
      <c r="E3150" s="19" t="s">
        <v>147</v>
      </c>
      <c r="F3150" s="19" t="s">
        <v>197</v>
      </c>
      <c r="G3150" s="19" t="n">
        <v>187</v>
      </c>
      <c r="H3150" s="19" t="s">
        <v>198</v>
      </c>
      <c r="I3150" s="20" t="n">
        <v>10.053</v>
      </c>
      <c r="J3150" s="19" t="n">
        <f aca="false">IF(I3150="","",MIN(Overview!$B$8,MAX(1,CEILING(I3150/Overview!$B$7,1))))</f>
        <v>3</v>
      </c>
      <c r="K3150" s="19" t="n">
        <v>1</v>
      </c>
      <c r="L3150" s="19"/>
      <c r="M3150" s="20" t="n">
        <v>1</v>
      </c>
      <c r="N3150" s="19"/>
      <c r="O3150" s="19"/>
      <c r="P3150" s="19" t="s">
        <v>7498</v>
      </c>
      <c r="Q3150" s="19" t="s">
        <v>7499</v>
      </c>
      <c r="R3150" s="21" t="n">
        <v>43906</v>
      </c>
      <c r="S3150" s="19" t="s">
        <v>3247</v>
      </c>
      <c r="T3150" s="19" t="s">
        <v>9072</v>
      </c>
      <c r="U3150" s="19" t="str">
        <f aca="false">HYPERLINK("https://macaulaylibrary.org/asset/218336191","Open")</f>
        <v>Open</v>
      </c>
      <c r="V3150" s="19"/>
    </row>
    <row r="3151" customFormat="false" ht="15" hidden="false" customHeight="false" outlineLevel="0" collapsed="false">
      <c r="A3151" s="19" t="s">
        <v>9073</v>
      </c>
      <c r="B3151" s="19" t="s">
        <v>943</v>
      </c>
      <c r="C3151" s="19" t="s">
        <v>8448</v>
      </c>
      <c r="D3151" s="19" t="s">
        <v>148</v>
      </c>
      <c r="E3151" s="19" t="s">
        <v>147</v>
      </c>
      <c r="F3151" s="19" t="s">
        <v>197</v>
      </c>
      <c r="G3151" s="19" t="n">
        <v>187</v>
      </c>
      <c r="H3151" s="19" t="s">
        <v>198</v>
      </c>
      <c r="I3151" s="20" t="n">
        <v>73.652</v>
      </c>
      <c r="J3151" s="19" t="n">
        <f aca="false">IF(I3151="","",MIN(Overview!$B$8,MAX(1,CEILING(I3151/Overview!$B$7,1))))</f>
        <v>15</v>
      </c>
      <c r="K3151" s="19" t="n">
        <v>1</v>
      </c>
      <c r="L3151" s="19"/>
      <c r="M3151" s="20" t="n">
        <v>3.5</v>
      </c>
      <c r="N3151" s="19"/>
      <c r="O3151" s="19"/>
      <c r="P3151" s="19" t="s">
        <v>1542</v>
      </c>
      <c r="Q3151" s="19" t="s">
        <v>1408</v>
      </c>
      <c r="R3151" s="21" t="n">
        <v>31806</v>
      </c>
      <c r="S3151" s="19" t="s">
        <v>1009</v>
      </c>
      <c r="T3151" s="19" t="s">
        <v>9074</v>
      </c>
      <c r="U3151" s="19" t="str">
        <f aca="false">HYPERLINK("https://macaulaylibrary.org/asset/336549701","Open")</f>
        <v>Open</v>
      </c>
      <c r="V3151" s="19"/>
    </row>
    <row r="3152" customFormat="false" ht="15" hidden="false" customHeight="false" outlineLevel="0" collapsed="false">
      <c r="A3152" s="19" t="s">
        <v>9075</v>
      </c>
      <c r="B3152" s="19" t="s">
        <v>943</v>
      </c>
      <c r="C3152" s="19" t="s">
        <v>8448</v>
      </c>
      <c r="D3152" s="19" t="s">
        <v>148</v>
      </c>
      <c r="E3152" s="19" t="s">
        <v>147</v>
      </c>
      <c r="F3152" s="19" t="s">
        <v>197</v>
      </c>
      <c r="G3152" s="19" t="n">
        <v>187</v>
      </c>
      <c r="H3152" s="19" t="s">
        <v>198</v>
      </c>
      <c r="I3152" s="20" t="n">
        <v>35.177</v>
      </c>
      <c r="J3152" s="19" t="n">
        <f aca="false">IF(I3152="","",MIN(Overview!$B$8,MAX(1,CEILING(I3152/Overview!$B$7,1))))</f>
        <v>8</v>
      </c>
      <c r="K3152" s="19" t="n">
        <v>1</v>
      </c>
      <c r="L3152" s="19"/>
      <c r="M3152" s="20" t="n">
        <v>4</v>
      </c>
      <c r="N3152" s="19"/>
      <c r="O3152" s="19"/>
      <c r="P3152" s="19" t="s">
        <v>1674</v>
      </c>
      <c r="Q3152" s="19" t="s">
        <v>1091</v>
      </c>
      <c r="R3152" s="21" t="n">
        <v>45843</v>
      </c>
      <c r="S3152" s="19" t="s">
        <v>1009</v>
      </c>
      <c r="T3152" s="19" t="s">
        <v>9076</v>
      </c>
      <c r="U3152" s="19" t="str">
        <f aca="false">HYPERLINK("https://macaulaylibrary.org/asset/639163394","Open")</f>
        <v>Open</v>
      </c>
      <c r="V3152" s="19"/>
    </row>
    <row r="3153" customFormat="false" ht="15" hidden="false" customHeight="false" outlineLevel="0" collapsed="false">
      <c r="A3153" s="19" t="s">
        <v>9077</v>
      </c>
      <c r="B3153" s="19" t="s">
        <v>943</v>
      </c>
      <c r="C3153" s="19" t="s">
        <v>8448</v>
      </c>
      <c r="D3153" s="19" t="s">
        <v>148</v>
      </c>
      <c r="E3153" s="19" t="s">
        <v>147</v>
      </c>
      <c r="F3153" s="19" t="s">
        <v>197</v>
      </c>
      <c r="G3153" s="19" t="n">
        <v>187</v>
      </c>
      <c r="H3153" s="19" t="s">
        <v>198</v>
      </c>
      <c r="I3153" s="20" t="n">
        <v>39.89</v>
      </c>
      <c r="J3153" s="19" t="n">
        <f aca="false">IF(I3153="","",MIN(Overview!$B$8,MAX(1,CEILING(I3153/Overview!$B$7,1))))</f>
        <v>8</v>
      </c>
      <c r="K3153" s="19" t="n">
        <v>1</v>
      </c>
      <c r="L3153" s="19"/>
      <c r="M3153" s="20" t="n">
        <v>3</v>
      </c>
      <c r="N3153" s="19"/>
      <c r="O3153" s="19"/>
      <c r="P3153" s="19" t="s">
        <v>1674</v>
      </c>
      <c r="Q3153" s="19" t="s">
        <v>1091</v>
      </c>
      <c r="R3153" s="21" t="n">
        <v>45843</v>
      </c>
      <c r="S3153" s="19" t="s">
        <v>1009</v>
      </c>
      <c r="T3153" s="19" t="s">
        <v>9078</v>
      </c>
      <c r="U3153" s="19" t="str">
        <f aca="false">HYPERLINK("https://macaulaylibrary.org/asset/643661104","Open")</f>
        <v>Open</v>
      </c>
      <c r="V3153" s="19"/>
    </row>
    <row r="3154" customFormat="false" ht="15" hidden="false" customHeight="false" outlineLevel="0" collapsed="false">
      <c r="A3154" s="19" t="s">
        <v>9079</v>
      </c>
      <c r="B3154" s="19" t="s">
        <v>943</v>
      </c>
      <c r="C3154" s="19" t="s">
        <v>8448</v>
      </c>
      <c r="D3154" s="19" t="s">
        <v>148</v>
      </c>
      <c r="E3154" s="19" t="s">
        <v>147</v>
      </c>
      <c r="F3154" s="19" t="s">
        <v>323</v>
      </c>
      <c r="G3154" s="19" t="n">
        <v>189</v>
      </c>
      <c r="H3154" s="19" t="s">
        <v>324</v>
      </c>
      <c r="I3154" s="20" t="n">
        <v>4.96</v>
      </c>
      <c r="J3154" s="19" t="n">
        <f aca="false">IF(I3154="","",MIN(Overview!$B$8,MAX(1,CEILING(I3154/Overview!$B$7,1))))</f>
        <v>1</v>
      </c>
      <c r="K3154" s="19" t="n">
        <v>1</v>
      </c>
      <c r="L3154" s="19" t="s">
        <v>1048</v>
      </c>
      <c r="M3154" s="20" t="n">
        <v>3</v>
      </c>
      <c r="N3154" s="19"/>
      <c r="O3154" s="19"/>
      <c r="P3154" s="19" t="s">
        <v>2054</v>
      </c>
      <c r="Q3154" s="19" t="s">
        <v>2055</v>
      </c>
      <c r="R3154" s="21" t="n">
        <v>43511</v>
      </c>
      <c r="S3154" s="19" t="s">
        <v>2056</v>
      </c>
      <c r="T3154" s="19" t="s">
        <v>9080</v>
      </c>
      <c r="U3154" s="19" t="str">
        <f aca="false">HYPERLINK("https://macaulaylibrary.org/asset/169970631","Open")</f>
        <v>Open</v>
      </c>
      <c r="V3154" s="19"/>
    </row>
    <row r="3155" customFormat="false" ht="15" hidden="false" customHeight="false" outlineLevel="0" collapsed="false">
      <c r="A3155" s="19" t="s">
        <v>9081</v>
      </c>
      <c r="B3155" s="19" t="s">
        <v>943</v>
      </c>
      <c r="C3155" s="19" t="s">
        <v>8448</v>
      </c>
      <c r="D3155" s="19" t="s">
        <v>148</v>
      </c>
      <c r="E3155" s="19" t="s">
        <v>147</v>
      </c>
      <c r="F3155" s="19" t="s">
        <v>323</v>
      </c>
      <c r="G3155" s="19" t="n">
        <v>189</v>
      </c>
      <c r="H3155" s="19" t="s">
        <v>324</v>
      </c>
      <c r="I3155" s="20" t="n">
        <v>154.345</v>
      </c>
      <c r="J3155" s="19" t="n">
        <f aca="false">IF(I3155="","",MIN(Overview!$B$8,MAX(1,CEILING(I3155/Overview!$B$7,1))))</f>
        <v>31</v>
      </c>
      <c r="K3155" s="19" t="n">
        <v>1</v>
      </c>
      <c r="L3155" s="19"/>
      <c r="M3155" s="20" t="n">
        <v>4</v>
      </c>
      <c r="N3155" s="19"/>
      <c r="O3155" s="19"/>
      <c r="P3155" s="19" t="s">
        <v>1742</v>
      </c>
      <c r="Q3155" s="19" t="s">
        <v>1021</v>
      </c>
      <c r="R3155" s="21" t="n">
        <v>35860</v>
      </c>
      <c r="S3155" s="19" t="s">
        <v>1743</v>
      </c>
      <c r="T3155" s="19" t="s">
        <v>9082</v>
      </c>
      <c r="U3155" s="19" t="str">
        <f aca="false">HYPERLINK("https://macaulaylibrary.org/asset/176630281","Open")</f>
        <v>Open</v>
      </c>
      <c r="V3155" s="19"/>
    </row>
    <row r="3156" customFormat="false" ht="15" hidden="false" customHeight="false" outlineLevel="0" collapsed="false">
      <c r="A3156" s="19" t="s">
        <v>9083</v>
      </c>
      <c r="B3156" s="19" t="s">
        <v>943</v>
      </c>
      <c r="C3156" s="19" t="s">
        <v>8448</v>
      </c>
      <c r="D3156" s="19" t="s">
        <v>148</v>
      </c>
      <c r="E3156" s="19" t="s">
        <v>147</v>
      </c>
      <c r="F3156" s="19" t="s">
        <v>323</v>
      </c>
      <c r="G3156" s="19" t="n">
        <v>189</v>
      </c>
      <c r="H3156" s="19" t="s">
        <v>324</v>
      </c>
      <c r="I3156" s="20" t="n">
        <v>4.012</v>
      </c>
      <c r="J3156" s="19" t="n">
        <f aca="false">IF(I3156="","",MIN(Overview!$B$8,MAX(1,CEILING(I3156/Overview!$B$7,1))))</f>
        <v>1</v>
      </c>
      <c r="K3156" s="19" t="n">
        <v>1</v>
      </c>
      <c r="L3156" s="19" t="s">
        <v>1048</v>
      </c>
      <c r="M3156" s="20" t="n">
        <v>1</v>
      </c>
      <c r="N3156" s="19"/>
      <c r="O3156" s="19"/>
      <c r="P3156" s="19" t="s">
        <v>1140</v>
      </c>
      <c r="Q3156" s="19" t="s">
        <v>1030</v>
      </c>
      <c r="R3156" s="21" t="n">
        <v>40250</v>
      </c>
      <c r="S3156" s="19" t="s">
        <v>1737</v>
      </c>
      <c r="T3156" s="19" t="s">
        <v>9084</v>
      </c>
      <c r="U3156" s="19" t="str">
        <f aca="false">HYPERLINK("https://macaulaylibrary.org/asset/299599","Open")</f>
        <v>Open</v>
      </c>
      <c r="V3156" s="19"/>
    </row>
    <row r="3157" customFormat="false" ht="15" hidden="false" customHeight="false" outlineLevel="0" collapsed="false">
      <c r="A3157" s="19" t="s">
        <v>9085</v>
      </c>
      <c r="B3157" s="19" t="s">
        <v>943</v>
      </c>
      <c r="C3157" s="19" t="s">
        <v>8448</v>
      </c>
      <c r="D3157" s="19" t="s">
        <v>148</v>
      </c>
      <c r="E3157" s="19" t="s">
        <v>147</v>
      </c>
      <c r="F3157" s="19" t="s">
        <v>341</v>
      </c>
      <c r="G3157" s="19" t="n">
        <v>194</v>
      </c>
      <c r="H3157" s="19" t="s">
        <v>342</v>
      </c>
      <c r="I3157" s="20" t="n">
        <v>2.437</v>
      </c>
      <c r="J3157" s="19" t="n">
        <f aca="false">IF(I3157="","",MIN(Overview!$B$8,MAX(1,CEILING(I3157/Overview!$B$7,1))))</f>
        <v>1</v>
      </c>
      <c r="K3157" s="19" t="n">
        <v>1</v>
      </c>
      <c r="L3157" s="19" t="s">
        <v>1048</v>
      </c>
      <c r="M3157" s="20" t="n">
        <v>2</v>
      </c>
      <c r="N3157" s="19"/>
      <c r="O3157" s="19"/>
      <c r="P3157" s="19" t="s">
        <v>9086</v>
      </c>
      <c r="Q3157" s="19" t="s">
        <v>2761</v>
      </c>
      <c r="R3157" s="21" t="n">
        <v>42752</v>
      </c>
      <c r="S3157" s="19" t="s">
        <v>1002</v>
      </c>
      <c r="T3157" s="19" t="s">
        <v>9087</v>
      </c>
      <c r="U3157" s="19" t="str">
        <f aca="false">HYPERLINK("https://macaulaylibrary.org/asset/46104581","Open")</f>
        <v>Open</v>
      </c>
      <c r="V3157" s="19"/>
    </row>
    <row r="3158" customFormat="false" ht="15" hidden="false" customHeight="false" outlineLevel="0" collapsed="false">
      <c r="A3158" s="19" t="s">
        <v>9088</v>
      </c>
      <c r="B3158" s="19" t="s">
        <v>943</v>
      </c>
      <c r="C3158" s="19" t="s">
        <v>8448</v>
      </c>
      <c r="D3158" s="19" t="s">
        <v>148</v>
      </c>
      <c r="E3158" s="19" t="s">
        <v>147</v>
      </c>
      <c r="F3158" s="19" t="s">
        <v>341</v>
      </c>
      <c r="G3158" s="19" t="n">
        <v>194</v>
      </c>
      <c r="H3158" s="19" t="s">
        <v>342</v>
      </c>
      <c r="I3158" s="20" t="n">
        <v>2.135</v>
      </c>
      <c r="J3158" s="19" t="n">
        <f aca="false">IF(I3158="","",MIN(Overview!$B$8,MAX(1,CEILING(I3158/Overview!$B$7,1))))</f>
        <v>1</v>
      </c>
      <c r="K3158" s="19" t="n">
        <v>1</v>
      </c>
      <c r="L3158" s="19" t="s">
        <v>1048</v>
      </c>
      <c r="M3158" s="20" t="n">
        <v>3</v>
      </c>
      <c r="N3158" s="19"/>
      <c r="O3158" s="19"/>
      <c r="P3158" s="19" t="s">
        <v>9086</v>
      </c>
      <c r="Q3158" s="19" t="s">
        <v>2761</v>
      </c>
      <c r="R3158" s="21" t="n">
        <v>42752</v>
      </c>
      <c r="S3158" s="19" t="s">
        <v>1002</v>
      </c>
      <c r="T3158" s="19" t="s">
        <v>9089</v>
      </c>
      <c r="U3158" s="19" t="str">
        <f aca="false">HYPERLINK("https://macaulaylibrary.org/asset/80950971","Open")</f>
        <v>Open</v>
      </c>
      <c r="V3158" s="19"/>
    </row>
    <row r="3159" customFormat="false" ht="15" hidden="false" customHeight="false" outlineLevel="0" collapsed="false">
      <c r="A3159" s="19" t="s">
        <v>9090</v>
      </c>
      <c r="B3159" s="19" t="s">
        <v>943</v>
      </c>
      <c r="C3159" s="19" t="s">
        <v>8448</v>
      </c>
      <c r="D3159" s="19" t="s">
        <v>148</v>
      </c>
      <c r="E3159" s="19" t="s">
        <v>147</v>
      </c>
      <c r="F3159" s="19" t="s">
        <v>188</v>
      </c>
      <c r="G3159" s="19" t="n">
        <v>199</v>
      </c>
      <c r="H3159" s="19" t="s">
        <v>189</v>
      </c>
      <c r="I3159" s="20" t="n">
        <v>33.863</v>
      </c>
      <c r="J3159" s="19" t="n">
        <f aca="false">IF(I3159="","",MIN(Overview!$B$8,MAX(1,CEILING(I3159/Overview!$B$7,1))))</f>
        <v>7</v>
      </c>
      <c r="K3159" s="19" t="n">
        <v>1</v>
      </c>
      <c r="L3159" s="19"/>
      <c r="M3159" s="20" t="n">
        <v>3</v>
      </c>
      <c r="N3159" s="19"/>
      <c r="O3159" s="19"/>
      <c r="P3159" s="19" t="s">
        <v>1855</v>
      </c>
      <c r="Q3159" s="19" t="s">
        <v>1401</v>
      </c>
      <c r="R3159" s="21" t="n">
        <v>35811</v>
      </c>
      <c r="S3159" s="19" t="s">
        <v>1002</v>
      </c>
      <c r="T3159" s="19" t="s">
        <v>9091</v>
      </c>
      <c r="U3159" s="19" t="str">
        <f aca="false">HYPERLINK("https://macaulaylibrary.org/asset/129514911","Open")</f>
        <v>Open</v>
      </c>
      <c r="V3159" s="19"/>
    </row>
    <row r="3160" customFormat="false" ht="15" hidden="false" customHeight="false" outlineLevel="0" collapsed="false">
      <c r="A3160" s="19" t="s">
        <v>9092</v>
      </c>
      <c r="B3160" s="19" t="s">
        <v>943</v>
      </c>
      <c r="C3160" s="19" t="s">
        <v>8448</v>
      </c>
      <c r="D3160" s="19" t="s">
        <v>148</v>
      </c>
      <c r="E3160" s="19" t="s">
        <v>147</v>
      </c>
      <c r="F3160" s="19" t="s">
        <v>188</v>
      </c>
      <c r="G3160" s="19" t="n">
        <v>199</v>
      </c>
      <c r="H3160" s="19" t="s">
        <v>189</v>
      </c>
      <c r="I3160" s="20" t="n">
        <v>15.818</v>
      </c>
      <c r="J3160" s="19" t="n">
        <f aca="false">IF(I3160="","",MIN(Overview!$B$8,MAX(1,CEILING(I3160/Overview!$B$7,1))))</f>
        <v>4</v>
      </c>
      <c r="K3160" s="19" t="n">
        <v>1</v>
      </c>
      <c r="L3160" s="19"/>
      <c r="M3160" s="20" t="n">
        <v>4.67</v>
      </c>
      <c r="N3160" s="19"/>
      <c r="O3160" s="19"/>
      <c r="P3160" s="19" t="s">
        <v>5332</v>
      </c>
      <c r="Q3160" s="19" t="s">
        <v>3442</v>
      </c>
      <c r="R3160" s="21" t="n">
        <v>43530</v>
      </c>
      <c r="S3160" s="19" t="s">
        <v>2178</v>
      </c>
      <c r="T3160" s="19" t="s">
        <v>9093</v>
      </c>
      <c r="U3160" s="19" t="str">
        <f aca="false">HYPERLINK("https://macaulaylibrary.org/asset/145229661","Open")</f>
        <v>Open</v>
      </c>
      <c r="V3160" s="19"/>
    </row>
    <row r="3161" customFormat="false" ht="15" hidden="false" customHeight="false" outlineLevel="0" collapsed="false">
      <c r="A3161" s="19" t="s">
        <v>9094</v>
      </c>
      <c r="B3161" s="19" t="s">
        <v>943</v>
      </c>
      <c r="C3161" s="19" t="s">
        <v>8448</v>
      </c>
      <c r="D3161" s="19" t="s">
        <v>148</v>
      </c>
      <c r="E3161" s="19" t="s">
        <v>147</v>
      </c>
      <c r="F3161" s="19" t="s">
        <v>188</v>
      </c>
      <c r="G3161" s="19" t="n">
        <v>199</v>
      </c>
      <c r="H3161" s="19" t="s">
        <v>189</v>
      </c>
      <c r="I3161" s="20" t="n">
        <v>39.222</v>
      </c>
      <c r="J3161" s="19" t="n">
        <f aca="false">IF(I3161="","",MIN(Overview!$B$8,MAX(1,CEILING(I3161/Overview!$B$7,1))))</f>
        <v>8</v>
      </c>
      <c r="K3161" s="19" t="n">
        <v>1</v>
      </c>
      <c r="L3161" s="19"/>
      <c r="M3161" s="20" t="n">
        <v>5</v>
      </c>
      <c r="N3161" s="19"/>
      <c r="O3161" s="19"/>
      <c r="P3161" s="19" t="s">
        <v>3061</v>
      </c>
      <c r="Q3161" s="19" t="s">
        <v>2085</v>
      </c>
      <c r="R3161" s="21" t="n">
        <v>44185</v>
      </c>
      <c r="S3161" s="19" t="s">
        <v>1098</v>
      </c>
      <c r="T3161" s="19" t="s">
        <v>9095</v>
      </c>
      <c r="U3161" s="19" t="str">
        <f aca="false">HYPERLINK("https://macaulaylibrary.org/asset/297142961","Open")</f>
        <v>Open</v>
      </c>
      <c r="V3161" s="19"/>
    </row>
    <row r="3162" customFormat="false" ht="15" hidden="false" customHeight="false" outlineLevel="0" collapsed="false">
      <c r="A3162" s="19" t="s">
        <v>9096</v>
      </c>
      <c r="B3162" s="19" t="s">
        <v>943</v>
      </c>
      <c r="C3162" s="19" t="s">
        <v>8448</v>
      </c>
      <c r="D3162" s="19" t="s">
        <v>148</v>
      </c>
      <c r="E3162" s="19" t="s">
        <v>147</v>
      </c>
      <c r="F3162" s="19" t="s">
        <v>188</v>
      </c>
      <c r="G3162" s="19" t="n">
        <v>199</v>
      </c>
      <c r="H3162" s="19" t="s">
        <v>189</v>
      </c>
      <c r="I3162" s="20" t="n">
        <v>155.66</v>
      </c>
      <c r="J3162" s="19" t="n">
        <f aca="false">IF(I3162="","",MIN(Overview!$B$8,MAX(1,CEILING(I3162/Overview!$B$7,1))))</f>
        <v>32</v>
      </c>
      <c r="K3162" s="19" t="n">
        <v>1</v>
      </c>
      <c r="L3162" s="19"/>
      <c r="M3162" s="20" t="n">
        <v>2</v>
      </c>
      <c r="N3162" s="19"/>
      <c r="O3162" s="19" t="s">
        <v>9097</v>
      </c>
      <c r="P3162" s="19" t="s">
        <v>5723</v>
      </c>
      <c r="Q3162" s="19" t="s">
        <v>1592</v>
      </c>
      <c r="R3162" s="21" t="n">
        <v>30403</v>
      </c>
      <c r="S3162" s="19" t="s">
        <v>1464</v>
      </c>
      <c r="T3162" s="19" t="s">
        <v>9098</v>
      </c>
      <c r="U3162" s="19" t="str">
        <f aca="false">HYPERLINK("https://macaulaylibrary.org/asset/39219","Open")</f>
        <v>Open</v>
      </c>
      <c r="V3162" s="19"/>
    </row>
    <row r="3163" customFormat="false" ht="15" hidden="false" customHeight="false" outlineLevel="0" collapsed="false">
      <c r="A3163" s="19" t="s">
        <v>9099</v>
      </c>
      <c r="B3163" s="19" t="s">
        <v>943</v>
      </c>
      <c r="C3163" s="19" t="s">
        <v>8448</v>
      </c>
      <c r="D3163" s="19" t="s">
        <v>148</v>
      </c>
      <c r="E3163" s="19" t="s">
        <v>147</v>
      </c>
      <c r="F3163" s="19" t="s">
        <v>188</v>
      </c>
      <c r="G3163" s="19" t="n">
        <v>199</v>
      </c>
      <c r="H3163" s="19" t="s">
        <v>189</v>
      </c>
      <c r="I3163" s="20" t="n">
        <v>41.904</v>
      </c>
      <c r="J3163" s="19" t="n">
        <f aca="false">IF(I3163="","",MIN(Overview!$B$8,MAX(1,CEILING(I3163/Overview!$B$7,1))))</f>
        <v>9</v>
      </c>
      <c r="K3163" s="19" t="n">
        <v>1</v>
      </c>
      <c r="L3163" s="19"/>
      <c r="M3163" s="20" t="n">
        <v>3</v>
      </c>
      <c r="N3163" s="19"/>
      <c r="O3163" s="19"/>
      <c r="P3163" s="19" t="s">
        <v>2750</v>
      </c>
      <c r="Q3163" s="19" t="s">
        <v>1021</v>
      </c>
      <c r="R3163" s="21" t="n">
        <v>35859</v>
      </c>
      <c r="S3163" s="19" t="s">
        <v>1658</v>
      </c>
      <c r="T3163" s="19" t="s">
        <v>9100</v>
      </c>
      <c r="U3163" s="19" t="str">
        <f aca="false">HYPERLINK("https://macaulaylibrary.org/asset/97069331","Open")</f>
        <v>Open</v>
      </c>
      <c r="V3163" s="19"/>
    </row>
    <row r="3164" customFormat="false" ht="15" hidden="false" customHeight="false" outlineLevel="0" collapsed="false">
      <c r="A3164" s="19" t="s">
        <v>9101</v>
      </c>
      <c r="B3164" s="19" t="s">
        <v>943</v>
      </c>
      <c r="C3164" s="19" t="s">
        <v>8448</v>
      </c>
      <c r="D3164" s="19" t="s">
        <v>148</v>
      </c>
      <c r="E3164" s="19" t="s">
        <v>147</v>
      </c>
      <c r="F3164" s="19" t="s">
        <v>188</v>
      </c>
      <c r="G3164" s="19" t="n">
        <v>199</v>
      </c>
      <c r="H3164" s="19" t="s">
        <v>189</v>
      </c>
      <c r="I3164" s="20" t="n">
        <v>231.186</v>
      </c>
      <c r="J3164" s="19" t="n">
        <f aca="false">IF(I3164="","",MIN(Overview!$B$8,MAX(1,CEILING(I3164/Overview!$B$7,1))))</f>
        <v>47</v>
      </c>
      <c r="K3164" s="19" t="n">
        <v>1</v>
      </c>
      <c r="L3164" s="19"/>
      <c r="M3164" s="20" t="n">
        <v>3</v>
      </c>
      <c r="N3164" s="19"/>
      <c r="O3164" s="19"/>
      <c r="P3164" s="19" t="s">
        <v>2750</v>
      </c>
      <c r="Q3164" s="19" t="s">
        <v>1021</v>
      </c>
      <c r="R3164" s="21" t="n">
        <v>35859</v>
      </c>
      <c r="S3164" s="19" t="s">
        <v>1658</v>
      </c>
      <c r="T3164" s="19" t="s">
        <v>9102</v>
      </c>
      <c r="U3164" s="19" t="str">
        <f aca="false">HYPERLINK("https://macaulaylibrary.org/asset/97072071","Open")</f>
        <v>Open</v>
      </c>
      <c r="V3164" s="19"/>
    </row>
    <row r="3165" customFormat="false" ht="15" hidden="false" customHeight="false" outlineLevel="0" collapsed="false">
      <c r="A3165" s="19" t="s">
        <v>9103</v>
      </c>
      <c r="B3165" s="19" t="s">
        <v>943</v>
      </c>
      <c r="C3165" s="19" t="s">
        <v>8448</v>
      </c>
      <c r="D3165" s="19" t="s">
        <v>148</v>
      </c>
      <c r="E3165" s="19" t="s">
        <v>147</v>
      </c>
      <c r="F3165" s="19" t="s">
        <v>188</v>
      </c>
      <c r="G3165" s="19" t="n">
        <v>199</v>
      </c>
      <c r="H3165" s="19" t="s">
        <v>189</v>
      </c>
      <c r="I3165" s="20" t="n">
        <v>52.337</v>
      </c>
      <c r="J3165" s="19" t="n">
        <f aca="false">IF(I3165="","",MIN(Overview!$B$8,MAX(1,CEILING(I3165/Overview!$B$7,1))))</f>
        <v>11</v>
      </c>
      <c r="K3165" s="19" t="n">
        <v>1</v>
      </c>
      <c r="L3165" s="19"/>
      <c r="M3165" s="20" t="n">
        <v>3</v>
      </c>
      <c r="N3165" s="19"/>
      <c r="O3165" s="19"/>
      <c r="P3165" s="19" t="s">
        <v>2750</v>
      </c>
      <c r="Q3165" s="19" t="s">
        <v>1021</v>
      </c>
      <c r="R3165" s="21" t="n">
        <v>35859</v>
      </c>
      <c r="S3165" s="19" t="s">
        <v>1658</v>
      </c>
      <c r="T3165" s="19" t="s">
        <v>9104</v>
      </c>
      <c r="U3165" s="19" t="str">
        <f aca="false">HYPERLINK("https://macaulaylibrary.org/asset/97467701","Open")</f>
        <v>Open</v>
      </c>
      <c r="V3165" s="19"/>
    </row>
    <row r="3166" customFormat="false" ht="15" hidden="false" customHeight="false" outlineLevel="0" collapsed="false">
      <c r="A3166" s="19" t="s">
        <v>9105</v>
      </c>
      <c r="B3166" s="19" t="s">
        <v>943</v>
      </c>
      <c r="C3166" s="19" t="s">
        <v>8448</v>
      </c>
      <c r="D3166" s="19" t="s">
        <v>148</v>
      </c>
      <c r="E3166" s="19" t="s">
        <v>147</v>
      </c>
      <c r="F3166" s="19" t="s">
        <v>413</v>
      </c>
      <c r="G3166" s="19" t="n">
        <v>200</v>
      </c>
      <c r="H3166" s="19" t="s">
        <v>414</v>
      </c>
      <c r="I3166" s="20" t="n">
        <v>19.648</v>
      </c>
      <c r="J3166" s="19" t="n">
        <f aca="false">IF(I3166="","",MIN(Overview!$B$8,MAX(1,CEILING(I3166/Overview!$B$7,1))))</f>
        <v>4</v>
      </c>
      <c r="K3166" s="19" t="n">
        <v>1</v>
      </c>
      <c r="L3166" s="19"/>
      <c r="M3166" s="20" t="n">
        <v>2</v>
      </c>
      <c r="N3166" s="19"/>
      <c r="O3166" s="19"/>
      <c r="P3166" s="19" t="s">
        <v>1085</v>
      </c>
      <c r="Q3166" s="19" t="s">
        <v>1086</v>
      </c>
      <c r="R3166" s="21" t="n">
        <v>45298</v>
      </c>
      <c r="S3166" s="19" t="s">
        <v>1087</v>
      </c>
      <c r="T3166" s="19" t="s">
        <v>9106</v>
      </c>
      <c r="U3166" s="19" t="str">
        <f aca="false">HYPERLINK("https://macaulaylibrary.org/asset/614027145","Open")</f>
        <v>Open</v>
      </c>
      <c r="V3166" s="19"/>
    </row>
    <row r="3167" customFormat="false" ht="15" hidden="false" customHeight="false" outlineLevel="0" collapsed="false">
      <c r="A3167" s="19" t="s">
        <v>9107</v>
      </c>
      <c r="B3167" s="19" t="s">
        <v>943</v>
      </c>
      <c r="C3167" s="19" t="s">
        <v>8448</v>
      </c>
      <c r="D3167" s="19" t="s">
        <v>148</v>
      </c>
      <c r="E3167" s="19" t="s">
        <v>147</v>
      </c>
      <c r="F3167" s="19" t="s">
        <v>413</v>
      </c>
      <c r="G3167" s="19" t="n">
        <v>200</v>
      </c>
      <c r="H3167" s="19" t="s">
        <v>414</v>
      </c>
      <c r="I3167" s="20" t="n">
        <v>15.242</v>
      </c>
      <c r="J3167" s="19" t="n">
        <f aca="false">IF(I3167="","",MIN(Overview!$B$8,MAX(1,CEILING(I3167/Overview!$B$7,1))))</f>
        <v>4</v>
      </c>
      <c r="K3167" s="19" t="n">
        <v>1</v>
      </c>
      <c r="L3167" s="19"/>
      <c r="M3167" s="20" t="n">
        <v>2.5</v>
      </c>
      <c r="N3167" s="19"/>
      <c r="O3167" s="19"/>
      <c r="P3167" s="19" t="s">
        <v>9108</v>
      </c>
      <c r="Q3167" s="19" t="s">
        <v>4178</v>
      </c>
      <c r="R3167" s="21" t="n">
        <v>43186</v>
      </c>
      <c r="S3167" s="19" t="s">
        <v>9109</v>
      </c>
      <c r="T3167" s="19" t="s">
        <v>9110</v>
      </c>
      <c r="U3167" s="19" t="str">
        <f aca="false">HYPERLINK("https://macaulaylibrary.org/asset/92292961","Open")</f>
        <v>Open</v>
      </c>
      <c r="V3167" s="19"/>
    </row>
    <row r="3168" customFormat="false" ht="15" hidden="false" customHeight="false" outlineLevel="0" collapsed="false">
      <c r="A3168" s="19" t="s">
        <v>9111</v>
      </c>
      <c r="B3168" s="19" t="s">
        <v>943</v>
      </c>
      <c r="C3168" s="19" t="s">
        <v>8448</v>
      </c>
      <c r="D3168" s="19" t="s">
        <v>148</v>
      </c>
      <c r="E3168" s="19" t="s">
        <v>147</v>
      </c>
      <c r="F3168" s="19" t="s">
        <v>366</v>
      </c>
      <c r="G3168" s="19" t="n">
        <v>208</v>
      </c>
      <c r="H3168" s="19" t="s">
        <v>367</v>
      </c>
      <c r="I3168" s="20" t="n">
        <v>148.426</v>
      </c>
      <c r="J3168" s="19" t="n">
        <f aca="false">IF(I3168="","",MIN(Overview!$B$8,MAX(1,CEILING(I3168/Overview!$B$7,1))))</f>
        <v>30</v>
      </c>
      <c r="K3168" s="19" t="n">
        <v>1</v>
      </c>
      <c r="L3168" s="19"/>
      <c r="M3168" s="20" t="n">
        <v>3</v>
      </c>
      <c r="N3168" s="19"/>
      <c r="O3168" s="19" t="s">
        <v>9112</v>
      </c>
      <c r="P3168" s="19" t="s">
        <v>7889</v>
      </c>
      <c r="Q3168" s="19" t="s">
        <v>1136</v>
      </c>
      <c r="R3168" s="21" t="n">
        <v>29738</v>
      </c>
      <c r="S3168" s="19" t="s">
        <v>3255</v>
      </c>
      <c r="T3168" s="19" t="s">
        <v>9113</v>
      </c>
      <c r="U3168" s="19" t="str">
        <f aca="false">HYPERLINK("https://macaulaylibrary.org/asset/26399","Open")</f>
        <v>Open</v>
      </c>
      <c r="V3168" s="19"/>
    </row>
    <row r="3169" customFormat="false" ht="15" hidden="false" customHeight="false" outlineLevel="0" collapsed="false">
      <c r="A3169" s="19" t="s">
        <v>9114</v>
      </c>
      <c r="B3169" s="19" t="s">
        <v>943</v>
      </c>
      <c r="C3169" s="19" t="s">
        <v>8448</v>
      </c>
      <c r="D3169" s="19" t="s">
        <v>148</v>
      </c>
      <c r="E3169" s="19" t="s">
        <v>147</v>
      </c>
      <c r="F3169" s="19" t="s">
        <v>366</v>
      </c>
      <c r="G3169" s="19" t="n">
        <v>208</v>
      </c>
      <c r="H3169" s="19" t="s">
        <v>367</v>
      </c>
      <c r="I3169" s="20" t="n">
        <v>235.73</v>
      </c>
      <c r="J3169" s="19" t="n">
        <f aca="false">IF(I3169="","",MIN(Overview!$B$8,MAX(1,CEILING(I3169/Overview!$B$7,1))))</f>
        <v>48</v>
      </c>
      <c r="K3169" s="19" t="n">
        <v>1</v>
      </c>
      <c r="L3169" s="19"/>
      <c r="M3169" s="20" t="n">
        <v>2</v>
      </c>
      <c r="N3169" s="19"/>
      <c r="O3169" s="19"/>
      <c r="P3169" s="19" t="s">
        <v>3803</v>
      </c>
      <c r="Q3169" s="19" t="s">
        <v>2343</v>
      </c>
      <c r="R3169" s="21" t="n">
        <v>32222</v>
      </c>
      <c r="S3169" s="19" t="s">
        <v>3967</v>
      </c>
      <c r="T3169" s="19" t="s">
        <v>9115</v>
      </c>
      <c r="U3169" s="19" t="str">
        <f aca="false">HYPERLINK("https://macaulaylibrary.org/asset/272473","Open")</f>
        <v>Open</v>
      </c>
      <c r="V3169" s="19"/>
    </row>
    <row r="3170" customFormat="false" ht="15" hidden="false" customHeight="false" outlineLevel="0" collapsed="false">
      <c r="A3170" s="19" t="s">
        <v>9116</v>
      </c>
      <c r="B3170" s="19" t="s">
        <v>943</v>
      </c>
      <c r="C3170" s="19" t="s">
        <v>8448</v>
      </c>
      <c r="D3170" s="19" t="s">
        <v>148</v>
      </c>
      <c r="E3170" s="19" t="s">
        <v>147</v>
      </c>
      <c r="F3170" s="19" t="s">
        <v>344</v>
      </c>
      <c r="G3170" s="19" t="n">
        <v>209</v>
      </c>
      <c r="H3170" s="19" t="s">
        <v>345</v>
      </c>
      <c r="I3170" s="20" t="n">
        <v>77.053</v>
      </c>
      <c r="J3170" s="19" t="n">
        <f aca="false">IF(I3170="","",MIN(Overview!$B$8,MAX(1,CEILING(I3170/Overview!$B$7,1))))</f>
        <v>16</v>
      </c>
      <c r="K3170" s="19" t="n">
        <v>1</v>
      </c>
      <c r="L3170" s="19"/>
      <c r="M3170" s="20" t="n">
        <v>2</v>
      </c>
      <c r="N3170" s="19"/>
      <c r="O3170" s="19" t="s">
        <v>246</v>
      </c>
      <c r="P3170" s="19" t="s">
        <v>1533</v>
      </c>
      <c r="Q3170" s="19" t="s">
        <v>1110</v>
      </c>
      <c r="R3170" s="21" t="n">
        <v>36968</v>
      </c>
      <c r="S3170" s="19" t="s">
        <v>1285</v>
      </c>
      <c r="T3170" s="19" t="s">
        <v>9117</v>
      </c>
      <c r="U3170" s="19" t="str">
        <f aca="false">HYPERLINK("https://macaulaylibrary.org/asset/185738","Open")</f>
        <v>Open</v>
      </c>
      <c r="V3170" s="19"/>
    </row>
    <row r="3171" customFormat="false" ht="15" hidden="false" customHeight="false" outlineLevel="0" collapsed="false">
      <c r="A3171" s="19" t="s">
        <v>9118</v>
      </c>
      <c r="B3171" s="19" t="s">
        <v>943</v>
      </c>
      <c r="C3171" s="19" t="s">
        <v>8448</v>
      </c>
      <c r="D3171" s="19" t="s">
        <v>148</v>
      </c>
      <c r="E3171" s="19" t="s">
        <v>147</v>
      </c>
      <c r="F3171" s="19" t="s">
        <v>344</v>
      </c>
      <c r="G3171" s="19" t="n">
        <v>209</v>
      </c>
      <c r="H3171" s="19" t="s">
        <v>345</v>
      </c>
      <c r="I3171" s="20" t="n">
        <v>79.296</v>
      </c>
      <c r="J3171" s="19" t="n">
        <f aca="false">IF(I3171="","",MIN(Overview!$B$8,MAX(1,CEILING(I3171/Overview!$B$7,1))))</f>
        <v>16</v>
      </c>
      <c r="K3171" s="19" t="n">
        <v>1</v>
      </c>
      <c r="L3171" s="19"/>
      <c r="M3171" s="20" t="n">
        <v>3</v>
      </c>
      <c r="N3171" s="19"/>
      <c r="O3171" s="19"/>
      <c r="P3171" s="19" t="s">
        <v>974</v>
      </c>
      <c r="Q3171" s="19" t="s">
        <v>975</v>
      </c>
      <c r="R3171" s="21" t="n">
        <v>43666</v>
      </c>
      <c r="S3171" s="19" t="s">
        <v>976</v>
      </c>
      <c r="T3171" s="19" t="s">
        <v>9119</v>
      </c>
      <c r="U3171" s="19" t="str">
        <f aca="false">HYPERLINK("https://macaulaylibrary.org/asset/219382071","Open")</f>
        <v>Open</v>
      </c>
      <c r="V3171" s="19"/>
    </row>
    <row r="3172" customFormat="false" ht="15" hidden="false" customHeight="false" outlineLevel="0" collapsed="false">
      <c r="A3172" s="19" t="s">
        <v>9120</v>
      </c>
      <c r="B3172" s="19" t="s">
        <v>943</v>
      </c>
      <c r="C3172" s="19" t="s">
        <v>8448</v>
      </c>
      <c r="D3172" s="19" t="s">
        <v>148</v>
      </c>
      <c r="E3172" s="19" t="s">
        <v>147</v>
      </c>
      <c r="F3172" s="19" t="s">
        <v>262</v>
      </c>
      <c r="G3172" s="19" t="n">
        <v>216</v>
      </c>
      <c r="H3172" s="19" t="s">
        <v>263</v>
      </c>
      <c r="I3172" s="20" t="n">
        <v>46.443</v>
      </c>
      <c r="J3172" s="19" t="n">
        <f aca="false">IF(I3172="","",MIN(Overview!$B$8,MAX(1,CEILING(I3172/Overview!$B$7,1))))</f>
        <v>10</v>
      </c>
      <c r="K3172" s="19" t="n">
        <v>1</v>
      </c>
      <c r="L3172" s="19"/>
      <c r="M3172" s="20" t="n">
        <v>1.5</v>
      </c>
      <c r="N3172" s="19"/>
      <c r="O3172" s="19" t="s">
        <v>162</v>
      </c>
      <c r="P3172" s="19" t="s">
        <v>2871</v>
      </c>
      <c r="Q3172" s="19" t="s">
        <v>990</v>
      </c>
      <c r="R3172" s="21" t="n">
        <v>44548</v>
      </c>
      <c r="S3172" s="19" t="s">
        <v>1144</v>
      </c>
      <c r="T3172" s="19" t="s">
        <v>9121</v>
      </c>
      <c r="U3172" s="19" t="str">
        <f aca="false">HYPERLINK("https://macaulaylibrary.org/asset/400111111","Open")</f>
        <v>Open</v>
      </c>
      <c r="V3172" s="19"/>
    </row>
    <row r="3173" customFormat="false" ht="15" hidden="false" customHeight="false" outlineLevel="0" collapsed="false">
      <c r="A3173" s="19" t="s">
        <v>9122</v>
      </c>
      <c r="B3173" s="19" t="s">
        <v>943</v>
      </c>
      <c r="C3173" s="19" t="s">
        <v>8448</v>
      </c>
      <c r="D3173" s="19" t="s">
        <v>148</v>
      </c>
      <c r="E3173" s="19" t="s">
        <v>147</v>
      </c>
      <c r="F3173" s="19" t="s">
        <v>262</v>
      </c>
      <c r="G3173" s="19" t="n">
        <v>216</v>
      </c>
      <c r="H3173" s="19" t="s">
        <v>263</v>
      </c>
      <c r="I3173" s="20" t="n">
        <v>13.511</v>
      </c>
      <c r="J3173" s="19" t="n">
        <f aca="false">IF(I3173="","",MIN(Overview!$B$8,MAX(1,CEILING(I3173/Overview!$B$7,1))))</f>
        <v>3</v>
      </c>
      <c r="K3173" s="19" t="n">
        <v>1</v>
      </c>
      <c r="L3173" s="19"/>
      <c r="M3173" s="20" t="n">
        <v>1</v>
      </c>
      <c r="N3173" s="19"/>
      <c r="O3173" s="19"/>
      <c r="P3173" s="19" t="s">
        <v>1335</v>
      </c>
      <c r="Q3173" s="19" t="s">
        <v>990</v>
      </c>
      <c r="R3173" s="21" t="n">
        <v>46011</v>
      </c>
      <c r="S3173" s="19" t="s">
        <v>966</v>
      </c>
      <c r="T3173" s="19" t="s">
        <v>9123</v>
      </c>
      <c r="U3173" s="19" t="str">
        <f aca="false">HYPERLINK("https://macaulaylibrary.org/asset/647570971","Open")</f>
        <v>Open</v>
      </c>
      <c r="V3173" s="19"/>
    </row>
    <row r="3174" customFormat="false" ht="15" hidden="false" customHeight="false" outlineLevel="0" collapsed="false">
      <c r="A3174" s="19" t="s">
        <v>9124</v>
      </c>
      <c r="B3174" s="19" t="s">
        <v>943</v>
      </c>
      <c r="C3174" s="19" t="s">
        <v>8448</v>
      </c>
      <c r="D3174" s="19" t="s">
        <v>148</v>
      </c>
      <c r="E3174" s="19" t="s">
        <v>147</v>
      </c>
      <c r="F3174" s="19" t="s">
        <v>262</v>
      </c>
      <c r="G3174" s="19" t="n">
        <v>216</v>
      </c>
      <c r="H3174" s="19" t="s">
        <v>263</v>
      </c>
      <c r="I3174" s="20" t="n">
        <v>11.527</v>
      </c>
      <c r="J3174" s="19" t="n">
        <f aca="false">IF(I3174="","",MIN(Overview!$B$8,MAX(1,CEILING(I3174/Overview!$B$7,1))))</f>
        <v>3</v>
      </c>
      <c r="K3174" s="19" t="n">
        <v>1</v>
      </c>
      <c r="L3174" s="19"/>
      <c r="M3174" s="20" t="n">
        <v>1</v>
      </c>
      <c r="N3174" s="19"/>
      <c r="O3174" s="19"/>
      <c r="P3174" s="19" t="s">
        <v>1335</v>
      </c>
      <c r="Q3174" s="19" t="s">
        <v>990</v>
      </c>
      <c r="R3174" s="21" t="n">
        <v>46011</v>
      </c>
      <c r="S3174" s="19" t="s">
        <v>966</v>
      </c>
      <c r="T3174" s="19" t="s">
        <v>9125</v>
      </c>
      <c r="U3174" s="19" t="str">
        <f aca="false">HYPERLINK("https://macaulaylibrary.org/asset/647571044","Open")</f>
        <v>Open</v>
      </c>
      <c r="V3174" s="19"/>
    </row>
    <row r="3175" customFormat="false" ht="15" hidden="false" customHeight="false" outlineLevel="0" collapsed="false">
      <c r="A3175" s="19" t="s">
        <v>9126</v>
      </c>
      <c r="B3175" s="19" t="s">
        <v>943</v>
      </c>
      <c r="C3175" s="19" t="s">
        <v>8448</v>
      </c>
      <c r="D3175" s="19" t="s">
        <v>148</v>
      </c>
      <c r="E3175" s="19" t="s">
        <v>147</v>
      </c>
      <c r="F3175" s="19" t="s">
        <v>262</v>
      </c>
      <c r="G3175" s="19" t="n">
        <v>216</v>
      </c>
      <c r="H3175" s="19" t="s">
        <v>263</v>
      </c>
      <c r="I3175" s="20" t="n">
        <v>22.784</v>
      </c>
      <c r="J3175" s="19" t="n">
        <f aca="false">IF(I3175="","",MIN(Overview!$B$8,MAX(1,CEILING(I3175/Overview!$B$7,1))))</f>
        <v>5</v>
      </c>
      <c r="K3175" s="19" t="n">
        <v>1</v>
      </c>
      <c r="L3175" s="19"/>
      <c r="M3175" s="20" t="n">
        <v>2</v>
      </c>
      <c r="N3175" s="19"/>
      <c r="O3175" s="19"/>
      <c r="P3175" s="19" t="s">
        <v>9127</v>
      </c>
      <c r="Q3175" s="19" t="s">
        <v>1847</v>
      </c>
      <c r="R3175" s="21" t="n">
        <v>43160</v>
      </c>
      <c r="S3175" s="19" t="s">
        <v>1559</v>
      </c>
      <c r="T3175" s="19" t="s">
        <v>9128</v>
      </c>
      <c r="U3175" s="19" t="str">
        <f aca="false">HYPERLINK("https://macaulaylibrary.org/asset/89669261","Open")</f>
        <v>Open</v>
      </c>
      <c r="V3175" s="19"/>
    </row>
    <row r="3176" customFormat="false" ht="15" hidden="false" customHeight="false" outlineLevel="0" collapsed="false">
      <c r="A3176" s="19" t="s">
        <v>9129</v>
      </c>
      <c r="B3176" s="19" t="s">
        <v>943</v>
      </c>
      <c r="C3176" s="19" t="s">
        <v>8448</v>
      </c>
      <c r="D3176" s="19" t="s">
        <v>148</v>
      </c>
      <c r="E3176" s="19" t="s">
        <v>147</v>
      </c>
      <c r="F3176" s="19" t="s">
        <v>144</v>
      </c>
      <c r="G3176" s="19" t="n">
        <v>217</v>
      </c>
      <c r="H3176" s="19" t="s">
        <v>145</v>
      </c>
      <c r="I3176" s="20" t="n">
        <v>31.47</v>
      </c>
      <c r="J3176" s="19" t="n">
        <f aca="false">IF(I3176="","",MIN(Overview!$B$8,MAX(1,CEILING(I3176/Overview!$B$7,1))))</f>
        <v>7</v>
      </c>
      <c r="K3176" s="19" t="n">
        <v>1</v>
      </c>
      <c r="L3176" s="19"/>
      <c r="M3176" s="20" t="n">
        <v>4</v>
      </c>
      <c r="N3176" s="19"/>
      <c r="O3176" s="19"/>
      <c r="P3176" s="19" t="s">
        <v>4288</v>
      </c>
      <c r="Q3176" s="19" t="s">
        <v>1021</v>
      </c>
      <c r="R3176" s="21" t="n">
        <v>35864</v>
      </c>
      <c r="S3176" s="19" t="s">
        <v>1534</v>
      </c>
      <c r="T3176" s="19" t="s">
        <v>9130</v>
      </c>
      <c r="U3176" s="19" t="str">
        <f aca="false">HYPERLINK("https://macaulaylibrary.org/asset/102311121","Open")</f>
        <v>Open</v>
      </c>
      <c r="V3176" s="19"/>
    </row>
    <row r="3177" customFormat="false" ht="15" hidden="false" customHeight="false" outlineLevel="0" collapsed="false">
      <c r="A3177" s="19" t="s">
        <v>9131</v>
      </c>
      <c r="B3177" s="19" t="s">
        <v>943</v>
      </c>
      <c r="C3177" s="19" t="s">
        <v>8448</v>
      </c>
      <c r="D3177" s="19" t="s">
        <v>148</v>
      </c>
      <c r="E3177" s="19" t="s">
        <v>147</v>
      </c>
      <c r="F3177" s="19" t="s">
        <v>144</v>
      </c>
      <c r="G3177" s="19" t="n">
        <v>217</v>
      </c>
      <c r="H3177" s="19" t="s">
        <v>145</v>
      </c>
      <c r="I3177" s="20" t="n">
        <v>109.196</v>
      </c>
      <c r="J3177" s="19" t="n">
        <f aca="false">IF(I3177="","",MIN(Overview!$B$8,MAX(1,CEILING(I3177/Overview!$B$7,1))))</f>
        <v>22</v>
      </c>
      <c r="K3177" s="19" t="n">
        <v>1</v>
      </c>
      <c r="L3177" s="19"/>
      <c r="M3177" s="20" t="n">
        <v>4</v>
      </c>
      <c r="N3177" s="19"/>
      <c r="O3177" s="19"/>
      <c r="P3177" s="19" t="s">
        <v>1105</v>
      </c>
      <c r="Q3177" s="19" t="s">
        <v>1021</v>
      </c>
      <c r="R3177" s="21" t="n">
        <v>36597</v>
      </c>
      <c r="S3177" s="19" t="s">
        <v>1106</v>
      </c>
      <c r="T3177" s="19" t="s">
        <v>9132</v>
      </c>
      <c r="U3177" s="19" t="str">
        <f aca="false">HYPERLINK("https://macaulaylibrary.org/asset/145616381","Open")</f>
        <v>Open</v>
      </c>
      <c r="V3177" s="19"/>
    </row>
    <row r="3178" customFormat="false" ht="15" hidden="false" customHeight="false" outlineLevel="0" collapsed="false">
      <c r="A3178" s="19" t="s">
        <v>9133</v>
      </c>
      <c r="B3178" s="19" t="s">
        <v>943</v>
      </c>
      <c r="C3178" s="19" t="s">
        <v>8448</v>
      </c>
      <c r="D3178" s="19" t="s">
        <v>148</v>
      </c>
      <c r="E3178" s="19" t="s">
        <v>147</v>
      </c>
      <c r="F3178" s="19" t="s">
        <v>144</v>
      </c>
      <c r="G3178" s="19" t="n">
        <v>217</v>
      </c>
      <c r="H3178" s="19" t="s">
        <v>145</v>
      </c>
      <c r="I3178" s="20" t="n">
        <v>26.044</v>
      </c>
      <c r="J3178" s="19" t="n">
        <f aca="false">IF(I3178="","",MIN(Overview!$B$8,MAX(1,CEILING(I3178/Overview!$B$7,1))))</f>
        <v>6</v>
      </c>
      <c r="K3178" s="19" t="n">
        <v>1</v>
      </c>
      <c r="L3178" s="19"/>
      <c r="M3178" s="20" t="n">
        <v>4</v>
      </c>
      <c r="N3178" s="19"/>
      <c r="O3178" s="19"/>
      <c r="P3178" s="19" t="s">
        <v>9134</v>
      </c>
      <c r="Q3178" s="19" t="s">
        <v>2085</v>
      </c>
      <c r="R3178" s="21" t="n">
        <v>43450</v>
      </c>
      <c r="S3178" s="19" t="s">
        <v>1137</v>
      </c>
      <c r="T3178" s="19" t="s">
        <v>9135</v>
      </c>
      <c r="U3178" s="19" t="str">
        <f aca="false">HYPERLINK("https://macaulaylibrary.org/asset/213036101","Open")</f>
        <v>Open</v>
      </c>
      <c r="V3178" s="19"/>
    </row>
    <row r="3179" customFormat="false" ht="15" hidden="false" customHeight="false" outlineLevel="0" collapsed="false">
      <c r="A3179" s="19" t="s">
        <v>9136</v>
      </c>
      <c r="B3179" s="19" t="s">
        <v>943</v>
      </c>
      <c r="C3179" s="19" t="s">
        <v>8448</v>
      </c>
      <c r="D3179" s="19" t="s">
        <v>148</v>
      </c>
      <c r="E3179" s="19" t="s">
        <v>147</v>
      </c>
      <c r="F3179" s="19" t="s">
        <v>144</v>
      </c>
      <c r="G3179" s="19" t="n">
        <v>217</v>
      </c>
      <c r="H3179" s="19" t="s">
        <v>145</v>
      </c>
      <c r="I3179" s="20" t="n">
        <v>23.179</v>
      </c>
      <c r="J3179" s="19" t="n">
        <f aca="false">IF(I3179="","",MIN(Overview!$B$8,MAX(1,CEILING(I3179/Overview!$B$7,1))))</f>
        <v>5</v>
      </c>
      <c r="K3179" s="19" t="n">
        <v>1</v>
      </c>
      <c r="L3179" s="19"/>
      <c r="M3179" s="20" t="n">
        <v>3</v>
      </c>
      <c r="N3179" s="19"/>
      <c r="O3179" s="19"/>
      <c r="P3179" s="19" t="s">
        <v>7299</v>
      </c>
      <c r="Q3179" s="19" t="s">
        <v>4764</v>
      </c>
      <c r="R3179" s="21" t="n">
        <v>38424</v>
      </c>
      <c r="S3179" s="19" t="s">
        <v>1002</v>
      </c>
      <c r="T3179" s="19" t="s">
        <v>9137</v>
      </c>
      <c r="U3179" s="19" t="str">
        <f aca="false">HYPERLINK("https://macaulaylibrary.org/asset/228673021","Open")</f>
        <v>Open</v>
      </c>
      <c r="V3179" s="19"/>
    </row>
    <row r="3180" customFormat="false" ht="15" hidden="false" customHeight="false" outlineLevel="0" collapsed="false">
      <c r="A3180" s="19" t="s">
        <v>9138</v>
      </c>
      <c r="B3180" s="19" t="s">
        <v>943</v>
      </c>
      <c r="C3180" s="19" t="s">
        <v>8448</v>
      </c>
      <c r="D3180" s="19" t="s">
        <v>148</v>
      </c>
      <c r="E3180" s="19" t="s">
        <v>147</v>
      </c>
      <c r="F3180" s="19" t="s">
        <v>144</v>
      </c>
      <c r="G3180" s="19" t="n">
        <v>217</v>
      </c>
      <c r="H3180" s="19" t="s">
        <v>145</v>
      </c>
      <c r="I3180" s="20" t="n">
        <v>98</v>
      </c>
      <c r="J3180" s="19" t="n">
        <f aca="false">IF(I3180="","",MIN(Overview!$B$8,MAX(1,CEILING(I3180/Overview!$B$7,1))))</f>
        <v>20</v>
      </c>
      <c r="K3180" s="19" t="n">
        <v>1</v>
      </c>
      <c r="L3180" s="19"/>
      <c r="M3180" s="20" t="n">
        <v>2</v>
      </c>
      <c r="N3180" s="19"/>
      <c r="O3180" s="19"/>
      <c r="P3180" s="19" t="s">
        <v>3717</v>
      </c>
      <c r="Q3180" s="19" t="s">
        <v>2343</v>
      </c>
      <c r="R3180" s="21" t="n">
        <v>31505</v>
      </c>
      <c r="S3180" s="19" t="s">
        <v>1534</v>
      </c>
      <c r="T3180" s="19" t="s">
        <v>9139</v>
      </c>
      <c r="U3180" s="19" t="str">
        <f aca="false">HYPERLINK("https://macaulaylibrary.org/asset/249437","Open")</f>
        <v>Open</v>
      </c>
      <c r="V3180" s="19" t="s">
        <v>5858</v>
      </c>
    </row>
    <row r="3181" customFormat="false" ht="15" hidden="false" customHeight="false" outlineLevel="0" collapsed="false">
      <c r="A3181" s="19" t="s">
        <v>9140</v>
      </c>
      <c r="B3181" s="19" t="s">
        <v>943</v>
      </c>
      <c r="C3181" s="19" t="s">
        <v>8448</v>
      </c>
      <c r="D3181" s="19" t="s">
        <v>148</v>
      </c>
      <c r="E3181" s="19" t="s">
        <v>147</v>
      </c>
      <c r="F3181" s="19" t="s">
        <v>144</v>
      </c>
      <c r="G3181" s="19" t="n">
        <v>217</v>
      </c>
      <c r="H3181" s="19" t="s">
        <v>145</v>
      </c>
      <c r="I3181" s="20" t="n">
        <v>54.979</v>
      </c>
      <c r="J3181" s="19" t="n">
        <f aca="false">IF(I3181="","",MIN(Overview!$B$8,MAX(1,CEILING(I3181/Overview!$B$7,1))))</f>
        <v>11</v>
      </c>
      <c r="K3181" s="19" t="n">
        <v>1</v>
      </c>
      <c r="L3181" s="19"/>
      <c r="M3181" s="20"/>
      <c r="N3181" s="19"/>
      <c r="O3181" s="19"/>
      <c r="P3181" s="19" t="s">
        <v>3152</v>
      </c>
      <c r="Q3181" s="19" t="s">
        <v>1408</v>
      </c>
      <c r="R3181" s="21" t="n">
        <v>31807</v>
      </c>
      <c r="S3181" s="19" t="s">
        <v>1009</v>
      </c>
      <c r="T3181" s="19" t="s">
        <v>9141</v>
      </c>
      <c r="U3181" s="19" t="str">
        <f aca="false">HYPERLINK("https://macaulaylibrary.org/asset/306055891","Open")</f>
        <v>Open</v>
      </c>
      <c r="V3181" s="19"/>
    </row>
    <row r="3182" customFormat="false" ht="15" hidden="false" customHeight="false" outlineLevel="0" collapsed="false">
      <c r="A3182" s="19" t="s">
        <v>9142</v>
      </c>
      <c r="B3182" s="19" t="s">
        <v>943</v>
      </c>
      <c r="C3182" s="19" t="s">
        <v>8448</v>
      </c>
      <c r="D3182" s="19" t="s">
        <v>148</v>
      </c>
      <c r="E3182" s="19" t="s">
        <v>147</v>
      </c>
      <c r="F3182" s="19" t="s">
        <v>144</v>
      </c>
      <c r="G3182" s="19" t="n">
        <v>217</v>
      </c>
      <c r="H3182" s="19" t="s">
        <v>145</v>
      </c>
      <c r="I3182" s="20" t="n">
        <v>11.16</v>
      </c>
      <c r="J3182" s="19" t="n">
        <f aca="false">IF(I3182="","",MIN(Overview!$B$8,MAX(1,CEILING(I3182/Overview!$B$7,1))))</f>
        <v>3</v>
      </c>
      <c r="K3182" s="19" t="n">
        <v>1</v>
      </c>
      <c r="L3182" s="19"/>
      <c r="M3182" s="20" t="n">
        <v>2</v>
      </c>
      <c r="N3182" s="19"/>
      <c r="O3182" s="19"/>
      <c r="P3182" s="19" t="s">
        <v>9143</v>
      </c>
      <c r="Q3182" s="19" t="s">
        <v>1289</v>
      </c>
      <c r="R3182" s="21" t="n">
        <v>42547</v>
      </c>
      <c r="S3182" s="19" t="s">
        <v>1245</v>
      </c>
      <c r="T3182" s="19" t="s">
        <v>9144</v>
      </c>
      <c r="U3182" s="19" t="str">
        <f aca="false">HYPERLINK("https://macaulaylibrary.org/asset/32705181","Open")</f>
        <v>Open</v>
      </c>
      <c r="V3182" s="19"/>
    </row>
    <row r="3183" customFormat="false" ht="15" hidden="false" customHeight="false" outlineLevel="0" collapsed="false">
      <c r="A3183" s="19" t="s">
        <v>9145</v>
      </c>
      <c r="B3183" s="19" t="s">
        <v>943</v>
      </c>
      <c r="C3183" s="19" t="s">
        <v>8448</v>
      </c>
      <c r="D3183" s="19" t="s">
        <v>148</v>
      </c>
      <c r="E3183" s="19" t="s">
        <v>147</v>
      </c>
      <c r="F3183" s="19" t="s">
        <v>144</v>
      </c>
      <c r="G3183" s="19" t="n">
        <v>217</v>
      </c>
      <c r="H3183" s="19" t="s">
        <v>145</v>
      </c>
      <c r="I3183" s="20" t="n">
        <v>11.306</v>
      </c>
      <c r="J3183" s="19" t="n">
        <f aca="false">IF(I3183="","",MIN(Overview!$B$8,MAX(1,CEILING(I3183/Overview!$B$7,1))))</f>
        <v>3</v>
      </c>
      <c r="K3183" s="19" t="n">
        <v>1</v>
      </c>
      <c r="L3183" s="19"/>
      <c r="M3183" s="20" t="n">
        <v>4</v>
      </c>
      <c r="N3183" s="19"/>
      <c r="O3183" s="19"/>
      <c r="P3183" s="19" t="s">
        <v>9146</v>
      </c>
      <c r="Q3183" s="19" t="s">
        <v>1148</v>
      </c>
      <c r="R3183" s="21" t="n">
        <v>44447</v>
      </c>
      <c r="S3183" s="19" t="s">
        <v>4105</v>
      </c>
      <c r="T3183" s="19" t="s">
        <v>9147</v>
      </c>
      <c r="U3183" s="19" t="str">
        <f aca="false">HYPERLINK("https://macaulaylibrary.org/asset/368243101","Open")</f>
        <v>Open</v>
      </c>
      <c r="V3183" s="19"/>
    </row>
    <row r="3184" customFormat="false" ht="15" hidden="false" customHeight="false" outlineLevel="0" collapsed="false">
      <c r="A3184" s="19" t="s">
        <v>9148</v>
      </c>
      <c r="B3184" s="19" t="s">
        <v>943</v>
      </c>
      <c r="C3184" s="19" t="s">
        <v>8448</v>
      </c>
      <c r="D3184" s="19" t="s">
        <v>148</v>
      </c>
      <c r="E3184" s="19" t="s">
        <v>147</v>
      </c>
      <c r="F3184" s="19" t="s">
        <v>144</v>
      </c>
      <c r="G3184" s="19" t="n">
        <v>217</v>
      </c>
      <c r="H3184" s="19" t="s">
        <v>145</v>
      </c>
      <c r="I3184" s="20" t="n">
        <v>20.124</v>
      </c>
      <c r="J3184" s="19" t="n">
        <f aca="false">IF(I3184="","",MIN(Overview!$B$8,MAX(1,CEILING(I3184/Overview!$B$7,1))))</f>
        <v>5</v>
      </c>
      <c r="K3184" s="19" t="n">
        <v>1</v>
      </c>
      <c r="L3184" s="19"/>
      <c r="M3184" s="20"/>
      <c r="N3184" s="19"/>
      <c r="O3184" s="19"/>
      <c r="P3184" s="19" t="s">
        <v>2002</v>
      </c>
      <c r="Q3184" s="19" t="s">
        <v>2003</v>
      </c>
      <c r="R3184" s="21" t="n">
        <v>45324</v>
      </c>
      <c r="S3184" s="19" t="s">
        <v>1144</v>
      </c>
      <c r="T3184" s="19" t="s">
        <v>9149</v>
      </c>
      <c r="U3184" s="19" t="str">
        <f aca="false">HYPERLINK("https://macaulaylibrary.org/asset/615005333","Open")</f>
        <v>Open</v>
      </c>
      <c r="V3184" s="19"/>
    </row>
    <row r="3185" customFormat="false" ht="15" hidden="false" customHeight="false" outlineLevel="0" collapsed="false">
      <c r="A3185" s="19" t="s">
        <v>9150</v>
      </c>
      <c r="B3185" s="19" t="s">
        <v>943</v>
      </c>
      <c r="C3185" s="19" t="s">
        <v>8448</v>
      </c>
      <c r="D3185" s="19" t="s">
        <v>148</v>
      </c>
      <c r="E3185" s="19" t="s">
        <v>147</v>
      </c>
      <c r="F3185" s="19" t="s">
        <v>144</v>
      </c>
      <c r="G3185" s="19" t="n">
        <v>217</v>
      </c>
      <c r="H3185" s="19" t="s">
        <v>145</v>
      </c>
      <c r="I3185" s="20" t="n">
        <v>123.757</v>
      </c>
      <c r="J3185" s="19" t="n">
        <f aca="false">IF(I3185="","",MIN(Overview!$B$8,MAX(1,CEILING(I3185/Overview!$B$7,1))))</f>
        <v>25</v>
      </c>
      <c r="K3185" s="19" t="n">
        <v>1</v>
      </c>
      <c r="L3185" s="19"/>
      <c r="M3185" s="20" t="n">
        <v>5</v>
      </c>
      <c r="N3185" s="19"/>
      <c r="O3185" s="19" t="s">
        <v>9151</v>
      </c>
      <c r="P3185" s="19" t="s">
        <v>3020</v>
      </c>
      <c r="Q3185" s="19" t="s">
        <v>1191</v>
      </c>
      <c r="R3185" s="21" t="n">
        <v>45371</v>
      </c>
      <c r="S3185" s="19" t="s">
        <v>1081</v>
      </c>
      <c r="T3185" s="19" t="s">
        <v>9152</v>
      </c>
      <c r="U3185" s="19" t="str">
        <f aca="false">HYPERLINK("https://macaulaylibrary.org/asset/616378321","Open")</f>
        <v>Open</v>
      </c>
      <c r="V3185" s="19"/>
    </row>
    <row r="3186" customFormat="false" ht="15" hidden="false" customHeight="false" outlineLevel="0" collapsed="false">
      <c r="A3186" s="19" t="s">
        <v>9153</v>
      </c>
      <c r="B3186" s="19" t="s">
        <v>943</v>
      </c>
      <c r="C3186" s="19" t="s">
        <v>8448</v>
      </c>
      <c r="D3186" s="19" t="s">
        <v>148</v>
      </c>
      <c r="E3186" s="19" t="s">
        <v>147</v>
      </c>
      <c r="F3186" s="19" t="s">
        <v>144</v>
      </c>
      <c r="G3186" s="19" t="n">
        <v>217</v>
      </c>
      <c r="H3186" s="19" t="s">
        <v>145</v>
      </c>
      <c r="I3186" s="20" t="n">
        <v>8.634</v>
      </c>
      <c r="J3186" s="19" t="n">
        <f aca="false">IF(I3186="","",MIN(Overview!$B$8,MAX(1,CEILING(I3186/Overview!$B$7,1))))</f>
        <v>2</v>
      </c>
      <c r="K3186" s="19" t="n">
        <v>1</v>
      </c>
      <c r="L3186" s="19"/>
      <c r="M3186" s="20"/>
      <c r="N3186" s="19"/>
      <c r="O3186" s="19"/>
      <c r="P3186" s="19" t="s">
        <v>3843</v>
      </c>
      <c r="Q3186" s="19" t="s">
        <v>2012</v>
      </c>
      <c r="R3186" s="21" t="n">
        <v>45676</v>
      </c>
      <c r="S3186" s="19" t="s">
        <v>1578</v>
      </c>
      <c r="T3186" s="19" t="s">
        <v>9154</v>
      </c>
      <c r="U3186" s="19" t="str">
        <f aca="false">HYPERLINK("https://macaulaylibrary.org/asset/630168484","Open")</f>
        <v>Open</v>
      </c>
      <c r="V3186" s="19"/>
    </row>
    <row r="3187" customFormat="false" ht="15" hidden="false" customHeight="false" outlineLevel="0" collapsed="false">
      <c r="A3187" s="19" t="s">
        <v>9155</v>
      </c>
      <c r="B3187" s="19" t="s">
        <v>943</v>
      </c>
      <c r="C3187" s="19" t="s">
        <v>8448</v>
      </c>
      <c r="D3187" s="19" t="s">
        <v>148</v>
      </c>
      <c r="E3187" s="19" t="s">
        <v>147</v>
      </c>
      <c r="F3187" s="19" t="s">
        <v>144</v>
      </c>
      <c r="G3187" s="19" t="n">
        <v>217</v>
      </c>
      <c r="H3187" s="19" t="s">
        <v>145</v>
      </c>
      <c r="I3187" s="20" t="n">
        <v>9.778</v>
      </c>
      <c r="J3187" s="19" t="n">
        <f aca="false">IF(I3187="","",MIN(Overview!$B$8,MAX(1,CEILING(I3187/Overview!$B$7,1))))</f>
        <v>2</v>
      </c>
      <c r="K3187" s="19" t="n">
        <v>1</v>
      </c>
      <c r="L3187" s="19"/>
      <c r="M3187" s="20"/>
      <c r="N3187" s="19"/>
      <c r="O3187" s="19"/>
      <c r="P3187" s="19" t="s">
        <v>1477</v>
      </c>
      <c r="Q3187" s="19" t="s">
        <v>1478</v>
      </c>
      <c r="R3187" s="21" t="n">
        <v>45715</v>
      </c>
      <c r="S3187" s="19" t="s">
        <v>1479</v>
      </c>
      <c r="T3187" s="19" t="s">
        <v>9156</v>
      </c>
      <c r="U3187" s="19" t="str">
        <f aca="false">HYPERLINK("https://macaulaylibrary.org/asset/632692708","Open")</f>
        <v>Open</v>
      </c>
      <c r="V3187" s="19"/>
    </row>
    <row r="3188" customFormat="false" ht="15" hidden="false" customHeight="false" outlineLevel="0" collapsed="false">
      <c r="A3188" s="19" t="s">
        <v>9157</v>
      </c>
      <c r="B3188" s="19" t="s">
        <v>943</v>
      </c>
      <c r="C3188" s="19" t="s">
        <v>8448</v>
      </c>
      <c r="D3188" s="19" t="s">
        <v>148</v>
      </c>
      <c r="E3188" s="19" t="s">
        <v>147</v>
      </c>
      <c r="F3188" s="19" t="s">
        <v>144</v>
      </c>
      <c r="G3188" s="19" t="n">
        <v>217</v>
      </c>
      <c r="H3188" s="19" t="s">
        <v>145</v>
      </c>
      <c r="I3188" s="20" t="n">
        <v>175.774</v>
      </c>
      <c r="J3188" s="19" t="n">
        <f aca="false">IF(I3188="","",MIN(Overview!$B$8,MAX(1,CEILING(I3188/Overview!$B$7,1))))</f>
        <v>36</v>
      </c>
      <c r="K3188" s="19" t="n">
        <v>1</v>
      </c>
      <c r="L3188" s="19"/>
      <c r="M3188" s="20"/>
      <c r="N3188" s="19"/>
      <c r="O3188" s="19"/>
      <c r="P3188" s="19" t="s">
        <v>2443</v>
      </c>
      <c r="Q3188" s="19" t="s">
        <v>1091</v>
      </c>
      <c r="R3188" s="21" t="n">
        <v>45843</v>
      </c>
      <c r="S3188" s="19" t="s">
        <v>2444</v>
      </c>
      <c r="T3188" s="19" t="s">
        <v>9158</v>
      </c>
      <c r="U3188" s="19" t="str">
        <f aca="false">HYPERLINK("https://macaulaylibrary.org/asset/643650506","Open")</f>
        <v>Open</v>
      </c>
      <c r="V3188" s="19"/>
    </row>
    <row r="3189" customFormat="false" ht="15" hidden="false" customHeight="false" outlineLevel="0" collapsed="false">
      <c r="A3189" s="19" t="s">
        <v>9159</v>
      </c>
      <c r="B3189" s="19" t="s">
        <v>943</v>
      </c>
      <c r="C3189" s="19" t="s">
        <v>8448</v>
      </c>
      <c r="D3189" s="19" t="s">
        <v>148</v>
      </c>
      <c r="E3189" s="19" t="s">
        <v>147</v>
      </c>
      <c r="F3189" s="19" t="s">
        <v>144</v>
      </c>
      <c r="G3189" s="19" t="n">
        <v>217</v>
      </c>
      <c r="H3189" s="19" t="s">
        <v>145</v>
      </c>
      <c r="I3189" s="20" t="n">
        <v>8.809</v>
      </c>
      <c r="J3189" s="19" t="n">
        <f aca="false">IF(I3189="","",MIN(Overview!$B$8,MAX(1,CEILING(I3189/Overview!$B$7,1))))</f>
        <v>2</v>
      </c>
      <c r="K3189" s="19" t="n">
        <v>1</v>
      </c>
      <c r="L3189" s="19"/>
      <c r="M3189" s="20"/>
      <c r="N3189" s="19"/>
      <c r="O3189" s="19"/>
      <c r="P3189" s="19" t="s">
        <v>5118</v>
      </c>
      <c r="Q3189" s="19" t="s">
        <v>1204</v>
      </c>
      <c r="R3189" s="21" t="n">
        <v>46050</v>
      </c>
      <c r="S3189" s="19" t="s">
        <v>1383</v>
      </c>
      <c r="T3189" s="19" t="s">
        <v>9160</v>
      </c>
      <c r="U3189" s="19" t="str">
        <f aca="false">HYPERLINK("https://macaulaylibrary.org/asset/653762746","Open")</f>
        <v>Open</v>
      </c>
      <c r="V3189" s="19"/>
    </row>
    <row r="3190" customFormat="false" ht="15" hidden="false" customHeight="false" outlineLevel="0" collapsed="false">
      <c r="A3190" s="19" t="s">
        <v>9161</v>
      </c>
      <c r="B3190" s="19" t="s">
        <v>943</v>
      </c>
      <c r="C3190" s="19" t="s">
        <v>8448</v>
      </c>
      <c r="D3190" s="19" t="s">
        <v>148</v>
      </c>
      <c r="E3190" s="19" t="s">
        <v>147</v>
      </c>
      <c r="F3190" s="19" t="s">
        <v>144</v>
      </c>
      <c r="G3190" s="19" t="n">
        <v>217</v>
      </c>
      <c r="H3190" s="19" t="s">
        <v>145</v>
      </c>
      <c r="I3190" s="20" t="n">
        <v>15.277</v>
      </c>
      <c r="J3190" s="19" t="n">
        <f aca="false">IF(I3190="","",MIN(Overview!$B$8,MAX(1,CEILING(I3190/Overview!$B$7,1))))</f>
        <v>4</v>
      </c>
      <c r="K3190" s="19" t="n">
        <v>1</v>
      </c>
      <c r="L3190" s="19"/>
      <c r="M3190" s="20"/>
      <c r="N3190" s="19"/>
      <c r="O3190" s="19"/>
      <c r="P3190" s="19" t="s">
        <v>2515</v>
      </c>
      <c r="Q3190" s="19" t="s">
        <v>1382</v>
      </c>
      <c r="R3190" s="21" t="n">
        <v>46105</v>
      </c>
      <c r="S3190" s="19" t="s">
        <v>2516</v>
      </c>
      <c r="T3190" s="19" t="s">
        <v>9162</v>
      </c>
      <c r="U3190" s="19" t="str">
        <f aca="false">HYPERLINK("https://macaulaylibrary.org/asset/654747417","Open")</f>
        <v>Open</v>
      </c>
      <c r="V3190" s="19"/>
    </row>
    <row r="3191" customFormat="false" ht="15" hidden="false" customHeight="false" outlineLevel="0" collapsed="false">
      <c r="A3191" s="19" t="s">
        <v>9163</v>
      </c>
      <c r="B3191" s="19" t="s">
        <v>943</v>
      </c>
      <c r="C3191" s="19" t="s">
        <v>8448</v>
      </c>
      <c r="D3191" s="19" t="s">
        <v>148</v>
      </c>
      <c r="E3191" s="19" t="s">
        <v>147</v>
      </c>
      <c r="F3191" s="19" t="s">
        <v>144</v>
      </c>
      <c r="G3191" s="19" t="n">
        <v>217</v>
      </c>
      <c r="H3191" s="19" t="s">
        <v>145</v>
      </c>
      <c r="I3191" s="20" t="n">
        <v>149.57</v>
      </c>
      <c r="J3191" s="19" t="n">
        <f aca="false">IF(I3191="","",MIN(Overview!$B$8,MAX(1,CEILING(I3191/Overview!$B$7,1))))</f>
        <v>30</v>
      </c>
      <c r="K3191" s="19" t="n">
        <v>1</v>
      </c>
      <c r="L3191" s="19"/>
      <c r="M3191" s="20" t="n">
        <v>4</v>
      </c>
      <c r="N3191" s="19"/>
      <c r="O3191" s="19"/>
      <c r="P3191" s="19" t="s">
        <v>1217</v>
      </c>
      <c r="Q3191" s="19" t="s">
        <v>1218</v>
      </c>
      <c r="R3191" s="21" t="n">
        <v>33330</v>
      </c>
      <c r="S3191" s="19" t="s">
        <v>1369</v>
      </c>
      <c r="T3191" s="19" t="s">
        <v>9164</v>
      </c>
      <c r="U3191" s="19" t="str">
        <f aca="false">HYPERLINK("https://macaulaylibrary.org/asset/76621","Open")</f>
        <v>Open</v>
      </c>
      <c r="V3191" s="19" t="s">
        <v>5858</v>
      </c>
    </row>
    <row r="3192" customFormat="false" ht="15" hidden="false" customHeight="false" outlineLevel="0" collapsed="false">
      <c r="A3192" s="19" t="s">
        <v>9165</v>
      </c>
      <c r="B3192" s="19" t="s">
        <v>943</v>
      </c>
      <c r="C3192" s="19" t="s">
        <v>8448</v>
      </c>
      <c r="D3192" s="19" t="s">
        <v>148</v>
      </c>
      <c r="E3192" s="19" t="s">
        <v>147</v>
      </c>
      <c r="F3192" s="19" t="s">
        <v>144</v>
      </c>
      <c r="G3192" s="19" t="n">
        <v>217</v>
      </c>
      <c r="H3192" s="19" t="s">
        <v>145</v>
      </c>
      <c r="I3192" s="20" t="n">
        <v>106.529</v>
      </c>
      <c r="J3192" s="19" t="n">
        <f aca="false">IF(I3192="","",MIN(Overview!$B$8,MAX(1,CEILING(I3192/Overview!$B$7,1))))</f>
        <v>22</v>
      </c>
      <c r="K3192" s="19" t="n">
        <v>1</v>
      </c>
      <c r="L3192" s="19"/>
      <c r="M3192" s="20" t="n">
        <v>4</v>
      </c>
      <c r="N3192" s="19"/>
      <c r="O3192" s="19"/>
      <c r="P3192" s="19" t="s">
        <v>1217</v>
      </c>
      <c r="Q3192" s="19" t="s">
        <v>1218</v>
      </c>
      <c r="R3192" s="21" t="n">
        <v>33330</v>
      </c>
      <c r="S3192" s="19" t="s">
        <v>1002</v>
      </c>
      <c r="T3192" s="19" t="s">
        <v>9166</v>
      </c>
      <c r="U3192" s="19" t="str">
        <f aca="false">HYPERLINK("https://macaulaylibrary.org/asset/76622","Open")</f>
        <v>Open</v>
      </c>
      <c r="V3192" s="19" t="s">
        <v>5858</v>
      </c>
    </row>
    <row r="3193" customFormat="false" ht="15" hidden="false" customHeight="false" outlineLevel="0" collapsed="false">
      <c r="A3193" s="19" t="s">
        <v>9167</v>
      </c>
      <c r="B3193" s="19" t="s">
        <v>943</v>
      </c>
      <c r="C3193" s="19" t="s">
        <v>8448</v>
      </c>
      <c r="D3193" s="19" t="s">
        <v>148</v>
      </c>
      <c r="E3193" s="19" t="s">
        <v>147</v>
      </c>
      <c r="F3193" s="19" t="s">
        <v>144</v>
      </c>
      <c r="G3193" s="19" t="n">
        <v>217</v>
      </c>
      <c r="H3193" s="19" t="s">
        <v>145</v>
      </c>
      <c r="I3193" s="20" t="n">
        <v>55.922</v>
      </c>
      <c r="J3193" s="19" t="n">
        <f aca="false">IF(I3193="","",MIN(Overview!$B$8,MAX(1,CEILING(I3193/Overview!$B$7,1))))</f>
        <v>12</v>
      </c>
      <c r="K3193" s="19" t="n">
        <v>1</v>
      </c>
      <c r="L3193" s="19"/>
      <c r="M3193" s="20" t="n">
        <v>4</v>
      </c>
      <c r="N3193" s="19"/>
      <c r="O3193" s="19"/>
      <c r="P3193" s="19" t="s">
        <v>1217</v>
      </c>
      <c r="Q3193" s="19" t="s">
        <v>1218</v>
      </c>
      <c r="R3193" s="21" t="n">
        <v>33330</v>
      </c>
      <c r="S3193" s="19" t="s">
        <v>1991</v>
      </c>
      <c r="T3193" s="19" t="s">
        <v>9168</v>
      </c>
      <c r="U3193" s="19" t="str">
        <f aca="false">HYPERLINK("https://macaulaylibrary.org/asset/76623","Open")</f>
        <v>Open</v>
      </c>
      <c r="V3193" s="19" t="s">
        <v>5858</v>
      </c>
    </row>
    <row r="3194" customFormat="false" ht="15" hidden="false" customHeight="false" outlineLevel="0" collapsed="false">
      <c r="A3194" s="19" t="s">
        <v>9169</v>
      </c>
      <c r="B3194" s="19" t="s">
        <v>943</v>
      </c>
      <c r="C3194" s="19" t="s">
        <v>8448</v>
      </c>
      <c r="D3194" s="19" t="s">
        <v>148</v>
      </c>
      <c r="E3194" s="19" t="s">
        <v>147</v>
      </c>
      <c r="F3194" s="19" t="s">
        <v>194</v>
      </c>
      <c r="G3194" s="19" t="n">
        <v>219</v>
      </c>
      <c r="H3194" s="19" t="s">
        <v>195</v>
      </c>
      <c r="I3194" s="20" t="n">
        <v>85.874</v>
      </c>
      <c r="J3194" s="19" t="n">
        <f aca="false">IF(I3194="","",MIN(Overview!$B$8,MAX(1,CEILING(I3194/Overview!$B$7,1))))</f>
        <v>18</v>
      </c>
      <c r="K3194" s="19" t="n">
        <v>1</v>
      </c>
      <c r="L3194" s="19"/>
      <c r="M3194" s="20" t="n">
        <v>3.25</v>
      </c>
      <c r="N3194" s="19"/>
      <c r="O3194" s="19"/>
      <c r="P3194" s="19" t="s">
        <v>1020</v>
      </c>
      <c r="Q3194" s="19" t="s">
        <v>1021</v>
      </c>
      <c r="R3194" s="21" t="n">
        <v>35863</v>
      </c>
      <c r="S3194" s="19" t="s">
        <v>1022</v>
      </c>
      <c r="T3194" s="19" t="s">
        <v>9170</v>
      </c>
      <c r="U3194" s="19" t="str">
        <f aca="false">HYPERLINK("https://macaulaylibrary.org/asset/101755251","Open")</f>
        <v>Open</v>
      </c>
      <c r="V3194" s="19"/>
    </row>
    <row r="3195" customFormat="false" ht="15" hidden="false" customHeight="false" outlineLevel="0" collapsed="false">
      <c r="A3195" s="19" t="s">
        <v>9171</v>
      </c>
      <c r="B3195" s="19" t="s">
        <v>943</v>
      </c>
      <c r="C3195" s="19" t="s">
        <v>8448</v>
      </c>
      <c r="D3195" s="19" t="s">
        <v>148</v>
      </c>
      <c r="E3195" s="19" t="s">
        <v>147</v>
      </c>
      <c r="F3195" s="19" t="s">
        <v>194</v>
      </c>
      <c r="G3195" s="19" t="n">
        <v>219</v>
      </c>
      <c r="H3195" s="19" t="s">
        <v>195</v>
      </c>
      <c r="I3195" s="20" t="n">
        <v>159.119</v>
      </c>
      <c r="J3195" s="19" t="n">
        <f aca="false">IF(I3195="","",MIN(Overview!$B$8,MAX(1,CEILING(I3195/Overview!$B$7,1))))</f>
        <v>32</v>
      </c>
      <c r="K3195" s="19" t="n">
        <v>1</v>
      </c>
      <c r="L3195" s="19"/>
      <c r="M3195" s="20" t="n">
        <v>2</v>
      </c>
      <c r="N3195" s="19"/>
      <c r="O3195" s="19"/>
      <c r="P3195" s="19" t="s">
        <v>3433</v>
      </c>
      <c r="Q3195" s="19" t="s">
        <v>2343</v>
      </c>
      <c r="R3195" s="21" t="n">
        <v>31504</v>
      </c>
      <c r="S3195" s="19" t="s">
        <v>2808</v>
      </c>
      <c r="T3195" s="19" t="s">
        <v>9172</v>
      </c>
      <c r="U3195" s="19" t="str">
        <f aca="false">HYPERLINK("https://macaulaylibrary.org/asset/249432","Open")</f>
        <v>Open</v>
      </c>
      <c r="V3195" s="19"/>
    </row>
    <row r="3196" customFormat="false" ht="15" hidden="false" customHeight="false" outlineLevel="0" collapsed="false">
      <c r="A3196" s="19" t="s">
        <v>9173</v>
      </c>
      <c r="B3196" s="19" t="s">
        <v>943</v>
      </c>
      <c r="C3196" s="19" t="s">
        <v>8448</v>
      </c>
      <c r="D3196" s="19" t="s">
        <v>148</v>
      </c>
      <c r="E3196" s="19" t="s">
        <v>147</v>
      </c>
      <c r="F3196" s="19" t="s">
        <v>194</v>
      </c>
      <c r="G3196" s="19" t="n">
        <v>219</v>
      </c>
      <c r="H3196" s="19" t="s">
        <v>195</v>
      </c>
      <c r="I3196" s="20" t="n">
        <v>4.396</v>
      </c>
      <c r="J3196" s="19" t="n">
        <f aca="false">IF(I3196="","",MIN(Overview!$B$8,MAX(1,CEILING(I3196/Overview!$B$7,1))))</f>
        <v>1</v>
      </c>
      <c r="K3196" s="19" t="n">
        <v>1</v>
      </c>
      <c r="L3196" s="19" t="s">
        <v>1048</v>
      </c>
      <c r="M3196" s="20"/>
      <c r="N3196" s="19"/>
      <c r="O3196" s="19"/>
      <c r="P3196" s="19" t="s">
        <v>1170</v>
      </c>
      <c r="Q3196" s="19" t="s">
        <v>1166</v>
      </c>
      <c r="R3196" s="21" t="n">
        <v>44900</v>
      </c>
      <c r="S3196" s="19" t="s">
        <v>1092</v>
      </c>
      <c r="T3196" s="19" t="s">
        <v>9174</v>
      </c>
      <c r="U3196" s="19" t="str">
        <f aca="false">HYPERLINK("https://macaulaylibrary.org/asset/597933361","Open")</f>
        <v>Open</v>
      </c>
      <c r="V3196" s="19"/>
    </row>
    <row r="3197" customFormat="false" ht="15" hidden="false" customHeight="false" outlineLevel="0" collapsed="false">
      <c r="A3197" s="19" t="s">
        <v>9175</v>
      </c>
      <c r="B3197" s="19" t="s">
        <v>943</v>
      </c>
      <c r="C3197" s="19" t="s">
        <v>8448</v>
      </c>
      <c r="D3197" s="19" t="s">
        <v>148</v>
      </c>
      <c r="E3197" s="19" t="s">
        <v>147</v>
      </c>
      <c r="F3197" s="19" t="s">
        <v>194</v>
      </c>
      <c r="G3197" s="19" t="n">
        <v>219</v>
      </c>
      <c r="H3197" s="19" t="s">
        <v>195</v>
      </c>
      <c r="I3197" s="20" t="n">
        <v>16.162</v>
      </c>
      <c r="J3197" s="19" t="n">
        <f aca="false">IF(I3197="","",MIN(Overview!$B$8,MAX(1,CEILING(I3197/Overview!$B$7,1))))</f>
        <v>4</v>
      </c>
      <c r="K3197" s="19" t="n">
        <v>1</v>
      </c>
      <c r="L3197" s="19"/>
      <c r="M3197" s="20"/>
      <c r="N3197" s="19"/>
      <c r="O3197" s="19"/>
      <c r="P3197" s="19" t="s">
        <v>1170</v>
      </c>
      <c r="Q3197" s="19" t="s">
        <v>1166</v>
      </c>
      <c r="R3197" s="21" t="n">
        <v>44900</v>
      </c>
      <c r="S3197" s="19" t="s">
        <v>1092</v>
      </c>
      <c r="T3197" s="19" t="s">
        <v>9176</v>
      </c>
      <c r="U3197" s="19" t="str">
        <f aca="false">HYPERLINK("https://macaulaylibrary.org/asset/597933861","Open")</f>
        <v>Open</v>
      </c>
      <c r="V3197" s="19"/>
    </row>
    <row r="3198" customFormat="false" ht="15" hidden="false" customHeight="false" outlineLevel="0" collapsed="false">
      <c r="A3198" s="19" t="s">
        <v>9177</v>
      </c>
      <c r="B3198" s="19" t="s">
        <v>943</v>
      </c>
      <c r="C3198" s="19" t="s">
        <v>8448</v>
      </c>
      <c r="D3198" s="19" t="s">
        <v>148</v>
      </c>
      <c r="E3198" s="19" t="s">
        <v>147</v>
      </c>
      <c r="F3198" s="19" t="s">
        <v>194</v>
      </c>
      <c r="G3198" s="19" t="n">
        <v>219</v>
      </c>
      <c r="H3198" s="19" t="s">
        <v>195</v>
      </c>
      <c r="I3198" s="20" t="n">
        <v>15.752</v>
      </c>
      <c r="J3198" s="19" t="n">
        <f aca="false">IF(I3198="","",MIN(Overview!$B$8,MAX(1,CEILING(I3198/Overview!$B$7,1))))</f>
        <v>4</v>
      </c>
      <c r="K3198" s="19" t="n">
        <v>1</v>
      </c>
      <c r="L3198" s="19"/>
      <c r="M3198" s="20" t="n">
        <v>3</v>
      </c>
      <c r="N3198" s="19"/>
      <c r="O3198" s="19"/>
      <c r="P3198" s="19" t="s">
        <v>1386</v>
      </c>
      <c r="Q3198" s="19" t="s">
        <v>1382</v>
      </c>
      <c r="R3198" s="21" t="n">
        <v>46103</v>
      </c>
      <c r="S3198" s="19" t="s">
        <v>1387</v>
      </c>
      <c r="T3198" s="19" t="s">
        <v>9178</v>
      </c>
      <c r="U3198" s="19" t="str">
        <f aca="false">HYPERLINK("https://macaulaylibrary.org/asset/654319020","Open")</f>
        <v>Open</v>
      </c>
      <c r="V3198" s="19"/>
    </row>
    <row r="3199" customFormat="false" ht="15" hidden="false" customHeight="false" outlineLevel="0" collapsed="false">
      <c r="A3199" s="19" t="s">
        <v>9179</v>
      </c>
      <c r="B3199" s="19" t="s">
        <v>943</v>
      </c>
      <c r="C3199" s="19" t="s">
        <v>8448</v>
      </c>
      <c r="D3199" s="19" t="s">
        <v>148</v>
      </c>
      <c r="E3199" s="19" t="s">
        <v>147</v>
      </c>
      <c r="F3199" s="19" t="s">
        <v>194</v>
      </c>
      <c r="G3199" s="19" t="n">
        <v>219</v>
      </c>
      <c r="H3199" s="19" t="s">
        <v>195</v>
      </c>
      <c r="I3199" s="20" t="n">
        <v>18.116</v>
      </c>
      <c r="J3199" s="19" t="n">
        <f aca="false">IF(I3199="","",MIN(Overview!$B$8,MAX(1,CEILING(I3199/Overview!$B$7,1))))</f>
        <v>4</v>
      </c>
      <c r="K3199" s="19" t="n">
        <v>1</v>
      </c>
      <c r="L3199" s="19"/>
      <c r="M3199" s="20"/>
      <c r="N3199" s="19"/>
      <c r="O3199" s="19"/>
      <c r="P3199" s="19" t="s">
        <v>3121</v>
      </c>
      <c r="Q3199" s="19" t="s">
        <v>3122</v>
      </c>
      <c r="R3199" s="21" t="n">
        <v>43516</v>
      </c>
      <c r="S3199" s="19" t="s">
        <v>2159</v>
      </c>
      <c r="T3199" s="19" t="s">
        <v>9180</v>
      </c>
      <c r="U3199" s="19" t="str">
        <f aca="false">HYPERLINK("https://macaulaylibrary.org/asset/661203152","Open")</f>
        <v>Open</v>
      </c>
      <c r="V3199" s="19"/>
    </row>
    <row r="3200" customFormat="false" ht="15" hidden="false" customHeight="false" outlineLevel="0" collapsed="false">
      <c r="A3200" s="19" t="s">
        <v>9181</v>
      </c>
      <c r="B3200" s="19" t="s">
        <v>943</v>
      </c>
      <c r="C3200" s="19" t="s">
        <v>8448</v>
      </c>
      <c r="D3200" s="19" t="s">
        <v>148</v>
      </c>
      <c r="E3200" s="19" t="s">
        <v>147</v>
      </c>
      <c r="F3200" s="19" t="s">
        <v>388</v>
      </c>
      <c r="G3200" s="19" t="n">
        <v>220</v>
      </c>
      <c r="H3200" s="19" t="s">
        <v>389</v>
      </c>
      <c r="I3200" s="20" t="n">
        <v>129.764</v>
      </c>
      <c r="J3200" s="19" t="n">
        <f aca="false">IF(I3200="","",MIN(Overview!$B$8,MAX(1,CEILING(I3200/Overview!$B$7,1))))</f>
        <v>26</v>
      </c>
      <c r="K3200" s="19" t="n">
        <v>1</v>
      </c>
      <c r="L3200" s="19"/>
      <c r="M3200" s="20" t="n">
        <v>3.25</v>
      </c>
      <c r="N3200" s="19"/>
      <c r="O3200" s="19"/>
      <c r="P3200" s="19" t="s">
        <v>1105</v>
      </c>
      <c r="Q3200" s="19" t="s">
        <v>1021</v>
      </c>
      <c r="R3200" s="21" t="n">
        <v>36597</v>
      </c>
      <c r="S3200" s="19" t="s">
        <v>1106</v>
      </c>
      <c r="T3200" s="19" t="s">
        <v>9182</v>
      </c>
      <c r="U3200" s="19" t="str">
        <f aca="false">HYPERLINK("https://macaulaylibrary.org/asset/147428341","Open")</f>
        <v>Open</v>
      </c>
      <c r="V3200" s="19"/>
    </row>
    <row r="3201" customFormat="false" ht="15" hidden="false" customHeight="false" outlineLevel="0" collapsed="false">
      <c r="A3201" s="19" t="s">
        <v>9183</v>
      </c>
      <c r="B3201" s="19" t="s">
        <v>943</v>
      </c>
      <c r="C3201" s="19" t="s">
        <v>8448</v>
      </c>
      <c r="D3201" s="19" t="s">
        <v>148</v>
      </c>
      <c r="E3201" s="19" t="s">
        <v>147</v>
      </c>
      <c r="F3201" s="19" t="s">
        <v>388</v>
      </c>
      <c r="G3201" s="19" t="n">
        <v>220</v>
      </c>
      <c r="H3201" s="19" t="s">
        <v>389</v>
      </c>
      <c r="I3201" s="20" t="n">
        <v>8.375</v>
      </c>
      <c r="J3201" s="19" t="n">
        <f aca="false">IF(I3201="","",MIN(Overview!$B$8,MAX(1,CEILING(I3201/Overview!$B$7,1))))</f>
        <v>2</v>
      </c>
      <c r="K3201" s="19" t="n">
        <v>1</v>
      </c>
      <c r="L3201" s="19"/>
      <c r="M3201" s="20" t="n">
        <v>3.5</v>
      </c>
      <c r="N3201" s="19"/>
      <c r="O3201" s="19"/>
      <c r="P3201" s="19" t="s">
        <v>1140</v>
      </c>
      <c r="Q3201" s="19" t="s">
        <v>1030</v>
      </c>
      <c r="R3201" s="21" t="n">
        <v>40250</v>
      </c>
      <c r="S3201" s="19" t="s">
        <v>1578</v>
      </c>
      <c r="T3201" s="19" t="s">
        <v>9184</v>
      </c>
      <c r="U3201" s="19" t="str">
        <f aca="false">HYPERLINK("https://macaulaylibrary.org/asset/299550","Open")</f>
        <v>Open</v>
      </c>
      <c r="V3201" s="19"/>
    </row>
    <row r="3202" customFormat="false" ht="15" hidden="false" customHeight="false" outlineLevel="0" collapsed="false">
      <c r="A3202" s="19" t="s">
        <v>9185</v>
      </c>
      <c r="B3202" s="19" t="s">
        <v>943</v>
      </c>
      <c r="C3202" s="19" t="s">
        <v>8448</v>
      </c>
      <c r="D3202" s="19" t="s">
        <v>148</v>
      </c>
      <c r="E3202" s="19" t="s">
        <v>147</v>
      </c>
      <c r="F3202" s="19" t="s">
        <v>391</v>
      </c>
      <c r="G3202" s="19" t="n">
        <v>223</v>
      </c>
      <c r="H3202" s="19" t="s">
        <v>392</v>
      </c>
      <c r="I3202" s="20" t="n">
        <v>722.261</v>
      </c>
      <c r="J3202" s="19" t="n">
        <f aca="false">IF(I3202="","",MIN(Overview!$B$8,MAX(1,CEILING(I3202/Overview!$B$7,1))))</f>
        <v>120</v>
      </c>
      <c r="K3202" s="19" t="n">
        <v>1</v>
      </c>
      <c r="L3202" s="19"/>
      <c r="M3202" s="20" t="n">
        <v>3</v>
      </c>
      <c r="N3202" s="19"/>
      <c r="O3202" s="19"/>
      <c r="P3202" s="19" t="s">
        <v>1730</v>
      </c>
      <c r="Q3202" s="19" t="s">
        <v>980</v>
      </c>
      <c r="R3202" s="21" t="n">
        <v>32558</v>
      </c>
      <c r="S3202" s="19" t="s">
        <v>9186</v>
      </c>
      <c r="T3202" s="19" t="s">
        <v>9187</v>
      </c>
      <c r="U3202" s="19" t="str">
        <f aca="false">HYPERLINK("https://macaulaylibrary.org/asset/215420","Open")</f>
        <v>Open</v>
      </c>
      <c r="V3202" s="19" t="s">
        <v>6092</v>
      </c>
    </row>
    <row r="3203" customFormat="false" ht="15" hidden="false" customHeight="false" outlineLevel="0" collapsed="false">
      <c r="A3203" s="19" t="s">
        <v>9188</v>
      </c>
      <c r="B3203" s="19" t="s">
        <v>943</v>
      </c>
      <c r="C3203" s="19" t="s">
        <v>8448</v>
      </c>
      <c r="D3203" s="19" t="s">
        <v>148</v>
      </c>
      <c r="E3203" s="19" t="s">
        <v>147</v>
      </c>
      <c r="F3203" s="19" t="s">
        <v>391</v>
      </c>
      <c r="G3203" s="19" t="n">
        <v>223</v>
      </c>
      <c r="H3203" s="19" t="s">
        <v>392</v>
      </c>
      <c r="I3203" s="20" t="n">
        <v>185.012</v>
      </c>
      <c r="J3203" s="19" t="n">
        <f aca="false">IF(I3203="","",MIN(Overview!$B$8,MAX(1,CEILING(I3203/Overview!$B$7,1))))</f>
        <v>38</v>
      </c>
      <c r="K3203" s="19" t="n">
        <v>1</v>
      </c>
      <c r="L3203" s="19"/>
      <c r="M3203" s="20" t="n">
        <v>4.5</v>
      </c>
      <c r="N3203" s="19"/>
      <c r="O3203" s="19"/>
      <c r="P3203" s="19" t="s">
        <v>1411</v>
      </c>
      <c r="Q3203" s="19" t="s">
        <v>1408</v>
      </c>
      <c r="R3203" s="21" t="n">
        <v>33584</v>
      </c>
      <c r="S3203" s="19" t="s">
        <v>1009</v>
      </c>
      <c r="T3203" s="19" t="s">
        <v>9189</v>
      </c>
      <c r="U3203" s="19" t="str">
        <f aca="false">HYPERLINK("https://macaulaylibrary.org/asset/358074341","Open")</f>
        <v>Open</v>
      </c>
      <c r="V3203" s="19"/>
    </row>
    <row r="3204" customFormat="false" ht="15" hidden="false" customHeight="false" outlineLevel="0" collapsed="false">
      <c r="A3204" s="19" t="s">
        <v>9190</v>
      </c>
      <c r="B3204" s="19" t="s">
        <v>943</v>
      </c>
      <c r="C3204" s="19" t="s">
        <v>8448</v>
      </c>
      <c r="D3204" s="19" t="s">
        <v>148</v>
      </c>
      <c r="E3204" s="19" t="s">
        <v>147</v>
      </c>
      <c r="F3204" s="19" t="s">
        <v>313</v>
      </c>
      <c r="G3204" s="19" t="n">
        <v>225</v>
      </c>
      <c r="H3204" s="19" t="s">
        <v>314</v>
      </c>
      <c r="I3204" s="20" t="n">
        <v>23.856</v>
      </c>
      <c r="J3204" s="19" t="n">
        <f aca="false">IF(I3204="","",MIN(Overview!$B$8,MAX(1,CEILING(I3204/Overview!$B$7,1))))</f>
        <v>5</v>
      </c>
      <c r="K3204" s="19" t="n">
        <v>1</v>
      </c>
      <c r="L3204" s="19"/>
      <c r="M3204" s="20" t="n">
        <v>3</v>
      </c>
      <c r="N3204" s="19"/>
      <c r="O3204" s="19"/>
      <c r="P3204" s="19" t="s">
        <v>1143</v>
      </c>
      <c r="Q3204" s="19" t="s">
        <v>965</v>
      </c>
      <c r="R3204" s="21" t="n">
        <v>44548</v>
      </c>
      <c r="S3204" s="19" t="s">
        <v>1144</v>
      </c>
      <c r="T3204" s="19" t="s">
        <v>9191</v>
      </c>
      <c r="U3204" s="19" t="str">
        <f aca="false">HYPERLINK("https://macaulaylibrary.org/asset/398720021","Open")</f>
        <v>Open</v>
      </c>
      <c r="V3204" s="19"/>
    </row>
    <row r="3205" customFormat="false" ht="15" hidden="false" customHeight="false" outlineLevel="0" collapsed="false">
      <c r="A3205" s="19" t="s">
        <v>9192</v>
      </c>
      <c r="B3205" s="19" t="s">
        <v>943</v>
      </c>
      <c r="C3205" s="19" t="s">
        <v>8448</v>
      </c>
      <c r="D3205" s="19" t="s">
        <v>148</v>
      </c>
      <c r="E3205" s="19" t="s">
        <v>147</v>
      </c>
      <c r="F3205" s="19" t="s">
        <v>313</v>
      </c>
      <c r="G3205" s="19" t="n">
        <v>225</v>
      </c>
      <c r="H3205" s="19" t="s">
        <v>314</v>
      </c>
      <c r="I3205" s="20" t="n">
        <v>21.435</v>
      </c>
      <c r="J3205" s="19" t="n">
        <f aca="false">IF(I3205="","",MIN(Overview!$B$8,MAX(1,CEILING(I3205/Overview!$B$7,1))))</f>
        <v>5</v>
      </c>
      <c r="K3205" s="19" t="n">
        <v>1</v>
      </c>
      <c r="L3205" s="19"/>
      <c r="M3205" s="20" t="n">
        <v>5</v>
      </c>
      <c r="N3205" s="19"/>
      <c r="O3205" s="19" t="s">
        <v>326</v>
      </c>
      <c r="P3205" s="19" t="s">
        <v>1631</v>
      </c>
      <c r="Q3205" s="19" t="s">
        <v>990</v>
      </c>
      <c r="R3205" s="21" t="n">
        <v>46012</v>
      </c>
      <c r="S3205" s="19" t="s">
        <v>1632</v>
      </c>
      <c r="T3205" s="19" t="s">
        <v>9193</v>
      </c>
      <c r="U3205" s="19" t="str">
        <f aca="false">HYPERLINK("https://macaulaylibrary.org/asset/647566675","Open")</f>
        <v>Open</v>
      </c>
      <c r="V3205" s="19"/>
    </row>
    <row r="3206" customFormat="false" ht="15" hidden="false" customHeight="false" outlineLevel="0" collapsed="false">
      <c r="A3206" s="19" t="s">
        <v>9194</v>
      </c>
      <c r="B3206" s="19" t="s">
        <v>943</v>
      </c>
      <c r="C3206" s="19" t="s">
        <v>8448</v>
      </c>
      <c r="D3206" s="19" t="s">
        <v>148</v>
      </c>
      <c r="E3206" s="19" t="s">
        <v>147</v>
      </c>
      <c r="F3206" s="19" t="s">
        <v>313</v>
      </c>
      <c r="G3206" s="19" t="n">
        <v>225</v>
      </c>
      <c r="H3206" s="19" t="s">
        <v>314</v>
      </c>
      <c r="I3206" s="20" t="n">
        <v>11.355</v>
      </c>
      <c r="J3206" s="19" t="n">
        <f aca="false">IF(I3206="","",MIN(Overview!$B$8,MAX(1,CEILING(I3206/Overview!$B$7,1))))</f>
        <v>3</v>
      </c>
      <c r="K3206" s="19" t="n">
        <v>1</v>
      </c>
      <c r="L3206" s="19"/>
      <c r="M3206" s="20" t="n">
        <v>3</v>
      </c>
      <c r="N3206" s="19"/>
      <c r="O3206" s="19" t="s">
        <v>416</v>
      </c>
      <c r="P3206" s="19" t="s">
        <v>1631</v>
      </c>
      <c r="Q3206" s="19" t="s">
        <v>990</v>
      </c>
      <c r="R3206" s="21" t="n">
        <v>46012</v>
      </c>
      <c r="S3206" s="19" t="s">
        <v>1632</v>
      </c>
      <c r="T3206" s="19" t="s">
        <v>9195</v>
      </c>
      <c r="U3206" s="19" t="str">
        <f aca="false">HYPERLINK("https://macaulaylibrary.org/asset/647566793","Open")</f>
        <v>Open</v>
      </c>
      <c r="V3206" s="19"/>
    </row>
    <row r="3207" customFormat="false" ht="15" hidden="false" customHeight="false" outlineLevel="0" collapsed="false">
      <c r="A3207" s="19" t="s">
        <v>9196</v>
      </c>
      <c r="B3207" s="19" t="s">
        <v>943</v>
      </c>
      <c r="C3207" s="19" t="s">
        <v>8448</v>
      </c>
      <c r="D3207" s="19" t="s">
        <v>148</v>
      </c>
      <c r="E3207" s="19" t="s">
        <v>147</v>
      </c>
      <c r="F3207" s="19" t="s">
        <v>394</v>
      </c>
      <c r="G3207" s="19" t="n">
        <v>235</v>
      </c>
      <c r="H3207" s="19" t="s">
        <v>395</v>
      </c>
      <c r="I3207" s="20" t="n">
        <v>16.46</v>
      </c>
      <c r="J3207" s="19" t="n">
        <f aca="false">IF(I3207="","",MIN(Overview!$B$8,MAX(1,CEILING(I3207/Overview!$B$7,1))))</f>
        <v>4</v>
      </c>
      <c r="K3207" s="19" t="n">
        <v>1</v>
      </c>
      <c r="L3207" s="19"/>
      <c r="M3207" s="20"/>
      <c r="N3207" s="19"/>
      <c r="O3207" s="19"/>
      <c r="P3207" s="19" t="s">
        <v>1140</v>
      </c>
      <c r="Q3207" s="19" t="s">
        <v>1030</v>
      </c>
      <c r="R3207" s="21" t="n">
        <v>40250</v>
      </c>
      <c r="S3207" s="19" t="s">
        <v>5180</v>
      </c>
      <c r="T3207" s="19" t="s">
        <v>9197</v>
      </c>
      <c r="U3207" s="19" t="str">
        <f aca="false">HYPERLINK("https://macaulaylibrary.org/asset/299581","Open")</f>
        <v>Open</v>
      </c>
      <c r="V3207" s="19"/>
    </row>
    <row r="3208" customFormat="false" ht="15" hidden="false" customHeight="false" outlineLevel="0" collapsed="false">
      <c r="A3208" s="19" t="s">
        <v>9198</v>
      </c>
      <c r="B3208" s="19" t="s">
        <v>943</v>
      </c>
      <c r="C3208" s="19" t="s">
        <v>8448</v>
      </c>
      <c r="D3208" s="19" t="s">
        <v>148</v>
      </c>
      <c r="E3208" s="19" t="s">
        <v>147</v>
      </c>
      <c r="F3208" s="19" t="s">
        <v>394</v>
      </c>
      <c r="G3208" s="19" t="n">
        <v>235</v>
      </c>
      <c r="H3208" s="19" t="s">
        <v>395</v>
      </c>
      <c r="I3208" s="20" t="n">
        <v>30.346</v>
      </c>
      <c r="J3208" s="19" t="n">
        <f aca="false">IF(I3208="","",MIN(Overview!$B$8,MAX(1,CEILING(I3208/Overview!$B$7,1))))</f>
        <v>7</v>
      </c>
      <c r="K3208" s="19" t="n">
        <v>1</v>
      </c>
      <c r="L3208" s="19"/>
      <c r="M3208" s="20" t="n">
        <v>4.5</v>
      </c>
      <c r="N3208" s="19"/>
      <c r="O3208" s="19"/>
      <c r="P3208" s="19" t="s">
        <v>9199</v>
      </c>
      <c r="Q3208" s="19" t="s">
        <v>990</v>
      </c>
      <c r="R3208" s="21" t="n">
        <v>44185</v>
      </c>
      <c r="S3208" s="19" t="s">
        <v>9200</v>
      </c>
      <c r="T3208" s="19" t="s">
        <v>9201</v>
      </c>
      <c r="U3208" s="19" t="str">
        <f aca="false">HYPERLINK("https://macaulaylibrary.org/asset/359459761","Open")</f>
        <v>Open</v>
      </c>
      <c r="V3208" s="19"/>
    </row>
    <row r="3209" customFormat="false" ht="15" hidden="false" customHeight="false" outlineLevel="0" collapsed="false">
      <c r="A3209" s="19" t="s">
        <v>9202</v>
      </c>
      <c r="B3209" s="19" t="s">
        <v>943</v>
      </c>
      <c r="C3209" s="19" t="s">
        <v>8448</v>
      </c>
      <c r="D3209" s="19" t="s">
        <v>148</v>
      </c>
      <c r="E3209" s="19" t="s">
        <v>147</v>
      </c>
      <c r="F3209" s="19" t="s">
        <v>416</v>
      </c>
      <c r="G3209" s="19" t="n">
        <v>240</v>
      </c>
      <c r="H3209" s="19" t="s">
        <v>417</v>
      </c>
      <c r="I3209" s="20" t="n">
        <v>61.202</v>
      </c>
      <c r="J3209" s="19" t="n">
        <f aca="false">IF(I3209="","",MIN(Overview!$B$8,MAX(1,CEILING(I3209/Overview!$B$7,1))))</f>
        <v>13</v>
      </c>
      <c r="K3209" s="19" t="n">
        <v>1</v>
      </c>
      <c r="L3209" s="19"/>
      <c r="M3209" s="20" t="n">
        <v>3.25</v>
      </c>
      <c r="N3209" s="19"/>
      <c r="O3209" s="19"/>
      <c r="P3209" s="19" t="s">
        <v>1390</v>
      </c>
      <c r="Q3209" s="19" t="s">
        <v>1021</v>
      </c>
      <c r="R3209" s="21" t="n">
        <v>36596</v>
      </c>
      <c r="S3209" s="19" t="s">
        <v>1137</v>
      </c>
      <c r="T3209" s="19" t="s">
        <v>9203</v>
      </c>
      <c r="U3209" s="19" t="str">
        <f aca="false">HYPERLINK("https://macaulaylibrary.org/asset/144844841","Open")</f>
        <v>Open</v>
      </c>
      <c r="V3209" s="19"/>
    </row>
    <row r="3210" customFormat="false" ht="15" hidden="false" customHeight="false" outlineLevel="0" collapsed="false">
      <c r="A3210" s="19" t="s">
        <v>9204</v>
      </c>
      <c r="B3210" s="19" t="s">
        <v>943</v>
      </c>
      <c r="C3210" s="19" t="s">
        <v>8448</v>
      </c>
      <c r="D3210" s="19" t="s">
        <v>148</v>
      </c>
      <c r="E3210" s="19" t="s">
        <v>147</v>
      </c>
      <c r="F3210" s="19" t="s">
        <v>416</v>
      </c>
      <c r="G3210" s="19" t="n">
        <v>240</v>
      </c>
      <c r="H3210" s="19" t="s">
        <v>417</v>
      </c>
      <c r="I3210" s="20" t="n">
        <v>12.393</v>
      </c>
      <c r="J3210" s="19" t="n">
        <f aca="false">IF(I3210="","",MIN(Overview!$B$8,MAX(1,CEILING(I3210/Overview!$B$7,1))))</f>
        <v>3</v>
      </c>
      <c r="K3210" s="19" t="n">
        <v>1</v>
      </c>
      <c r="L3210" s="19"/>
      <c r="M3210" s="20" t="n">
        <v>4</v>
      </c>
      <c r="N3210" s="19"/>
      <c r="O3210" s="19"/>
      <c r="P3210" s="19" t="s">
        <v>1170</v>
      </c>
      <c r="Q3210" s="19" t="s">
        <v>1166</v>
      </c>
      <c r="R3210" s="21" t="n">
        <v>44900</v>
      </c>
      <c r="S3210" s="19" t="s">
        <v>1092</v>
      </c>
      <c r="T3210" s="19" t="s">
        <v>9205</v>
      </c>
      <c r="U3210" s="19" t="str">
        <f aca="false">HYPERLINK("https://macaulaylibrary.org/asset/597934181","Open")</f>
        <v>Open</v>
      </c>
      <c r="V3210" s="19"/>
    </row>
    <row r="3211" customFormat="false" ht="15" hidden="false" customHeight="false" outlineLevel="0" collapsed="false">
      <c r="A3211" s="19" t="s">
        <v>9206</v>
      </c>
      <c r="B3211" s="19" t="s">
        <v>943</v>
      </c>
      <c r="C3211" s="19" t="s">
        <v>8448</v>
      </c>
      <c r="D3211" s="19" t="s">
        <v>148</v>
      </c>
      <c r="E3211" s="19" t="s">
        <v>147</v>
      </c>
      <c r="F3211" s="19" t="s">
        <v>151</v>
      </c>
      <c r="G3211" s="19" t="n">
        <v>245</v>
      </c>
      <c r="H3211" s="19" t="s">
        <v>152</v>
      </c>
      <c r="I3211" s="20" t="n">
        <v>120.64</v>
      </c>
      <c r="J3211" s="19" t="n">
        <f aca="false">IF(I3211="","",MIN(Overview!$B$8,MAX(1,CEILING(I3211/Overview!$B$7,1))))</f>
        <v>25</v>
      </c>
      <c r="K3211" s="19" t="n">
        <v>1</v>
      </c>
      <c r="L3211" s="19"/>
      <c r="M3211" s="20" t="n">
        <v>3.5</v>
      </c>
      <c r="N3211" s="19"/>
      <c r="O3211" s="19"/>
      <c r="P3211" s="19" t="s">
        <v>3831</v>
      </c>
      <c r="Q3211" s="19" t="s">
        <v>1021</v>
      </c>
      <c r="R3211" s="21" t="n">
        <v>35862</v>
      </c>
      <c r="S3211" s="19" t="s">
        <v>1036</v>
      </c>
      <c r="T3211" s="19" t="s">
        <v>9207</v>
      </c>
      <c r="U3211" s="19" t="str">
        <f aca="false">HYPERLINK("https://macaulaylibrary.org/asset/100769291","Open")</f>
        <v>Open</v>
      </c>
      <c r="V3211" s="19"/>
    </row>
    <row r="3212" customFormat="false" ht="15" hidden="false" customHeight="false" outlineLevel="0" collapsed="false">
      <c r="A3212" s="19" t="s">
        <v>9208</v>
      </c>
      <c r="B3212" s="19" t="s">
        <v>943</v>
      </c>
      <c r="C3212" s="19" t="s">
        <v>8448</v>
      </c>
      <c r="D3212" s="19" t="s">
        <v>148</v>
      </c>
      <c r="E3212" s="19" t="s">
        <v>147</v>
      </c>
      <c r="F3212" s="19" t="s">
        <v>151</v>
      </c>
      <c r="G3212" s="19" t="n">
        <v>245</v>
      </c>
      <c r="H3212" s="19" t="s">
        <v>152</v>
      </c>
      <c r="I3212" s="20" t="n">
        <v>103.634</v>
      </c>
      <c r="J3212" s="19" t="n">
        <f aca="false">IF(I3212="","",MIN(Overview!$B$8,MAX(1,CEILING(I3212/Overview!$B$7,1))))</f>
        <v>21</v>
      </c>
      <c r="K3212" s="19" t="n">
        <v>1</v>
      </c>
      <c r="L3212" s="19"/>
      <c r="M3212" s="20" t="n">
        <v>5</v>
      </c>
      <c r="N3212" s="19"/>
      <c r="O3212" s="19"/>
      <c r="P3212" s="19" t="s">
        <v>7230</v>
      </c>
      <c r="Q3212" s="19" t="s">
        <v>1063</v>
      </c>
      <c r="R3212" s="21" t="n">
        <v>44086</v>
      </c>
      <c r="S3212" s="19" t="s">
        <v>7231</v>
      </c>
      <c r="T3212" s="19" t="s">
        <v>9209</v>
      </c>
      <c r="U3212" s="19" t="str">
        <f aca="false">HYPERLINK("https://macaulaylibrary.org/asset/266292271","Open")</f>
        <v>Open</v>
      </c>
      <c r="V3212" s="19"/>
    </row>
    <row r="3213" customFormat="false" ht="15" hidden="false" customHeight="false" outlineLevel="0" collapsed="false">
      <c r="A3213" s="19" t="s">
        <v>9210</v>
      </c>
      <c r="B3213" s="19" t="s">
        <v>943</v>
      </c>
      <c r="C3213" s="19" t="s">
        <v>8448</v>
      </c>
      <c r="D3213" s="19" t="s">
        <v>148</v>
      </c>
      <c r="E3213" s="19" t="s">
        <v>147</v>
      </c>
      <c r="F3213" s="19" t="s">
        <v>151</v>
      </c>
      <c r="G3213" s="19" t="n">
        <v>245</v>
      </c>
      <c r="H3213" s="19" t="s">
        <v>152</v>
      </c>
      <c r="I3213" s="20" t="n">
        <v>18.225</v>
      </c>
      <c r="J3213" s="19" t="n">
        <f aca="false">IF(I3213="","",MIN(Overview!$B$8,MAX(1,CEILING(I3213/Overview!$B$7,1))))</f>
        <v>4</v>
      </c>
      <c r="K3213" s="19" t="n">
        <v>1</v>
      </c>
      <c r="L3213" s="19"/>
      <c r="M3213" s="20" t="n">
        <v>2</v>
      </c>
      <c r="N3213" s="19"/>
      <c r="O3213" s="19"/>
      <c r="P3213" s="19" t="s">
        <v>3316</v>
      </c>
      <c r="Q3213" s="19" t="s">
        <v>1289</v>
      </c>
      <c r="R3213" s="21" t="n">
        <v>42534</v>
      </c>
      <c r="S3213" s="19" t="s">
        <v>1369</v>
      </c>
      <c r="T3213" s="19" t="s">
        <v>9211</v>
      </c>
      <c r="U3213" s="19" t="str">
        <f aca="false">HYPERLINK("https://macaulaylibrary.org/asset/32577591","Open")</f>
        <v>Open</v>
      </c>
      <c r="V3213" s="19" t="s">
        <v>6257</v>
      </c>
    </row>
    <row r="3214" customFormat="false" ht="15" hidden="false" customHeight="false" outlineLevel="0" collapsed="false">
      <c r="A3214" s="19" t="s">
        <v>9212</v>
      </c>
      <c r="B3214" s="19" t="s">
        <v>943</v>
      </c>
      <c r="C3214" s="19" t="s">
        <v>8448</v>
      </c>
      <c r="D3214" s="19" t="s">
        <v>148</v>
      </c>
      <c r="E3214" s="19" t="s">
        <v>147</v>
      </c>
      <c r="F3214" s="19" t="s">
        <v>151</v>
      </c>
      <c r="G3214" s="19" t="n">
        <v>245</v>
      </c>
      <c r="H3214" s="19" t="s">
        <v>152</v>
      </c>
      <c r="I3214" s="20" t="n">
        <v>9.102</v>
      </c>
      <c r="J3214" s="19" t="n">
        <f aca="false">IF(I3214="","",MIN(Overview!$B$8,MAX(1,CEILING(I3214/Overview!$B$7,1))))</f>
        <v>2</v>
      </c>
      <c r="K3214" s="19" t="n">
        <v>1</v>
      </c>
      <c r="L3214" s="19"/>
      <c r="M3214" s="20" t="n">
        <v>2.5</v>
      </c>
      <c r="N3214" s="19"/>
      <c r="O3214" s="19"/>
      <c r="P3214" s="19" t="s">
        <v>9213</v>
      </c>
      <c r="Q3214" s="19" t="s">
        <v>3655</v>
      </c>
      <c r="R3214" s="21" t="n">
        <v>44447</v>
      </c>
      <c r="S3214" s="19" t="s">
        <v>6271</v>
      </c>
      <c r="T3214" s="19" t="s">
        <v>9214</v>
      </c>
      <c r="U3214" s="19" t="str">
        <f aca="false">HYPERLINK("https://macaulaylibrary.org/asset/368118801","Open")</f>
        <v>Open</v>
      </c>
      <c r="V3214" s="19"/>
    </row>
    <row r="3215" customFormat="false" ht="15" hidden="false" customHeight="false" outlineLevel="0" collapsed="false">
      <c r="A3215" s="19" t="s">
        <v>9215</v>
      </c>
      <c r="B3215" s="19" t="s">
        <v>943</v>
      </c>
      <c r="C3215" s="19" t="s">
        <v>8448</v>
      </c>
      <c r="D3215" s="19" t="s">
        <v>148</v>
      </c>
      <c r="E3215" s="19" t="s">
        <v>147</v>
      </c>
      <c r="F3215" s="19" t="s">
        <v>151</v>
      </c>
      <c r="G3215" s="19" t="n">
        <v>245</v>
      </c>
      <c r="H3215" s="19" t="s">
        <v>152</v>
      </c>
      <c r="I3215" s="20" t="n">
        <v>13.631</v>
      </c>
      <c r="J3215" s="19" t="n">
        <f aca="false">IF(I3215="","",MIN(Overview!$B$8,MAX(1,CEILING(I3215/Overview!$B$7,1))))</f>
        <v>3</v>
      </c>
      <c r="K3215" s="19" t="n">
        <v>1</v>
      </c>
      <c r="L3215" s="19"/>
      <c r="M3215" s="20" t="n">
        <v>1</v>
      </c>
      <c r="N3215" s="19"/>
      <c r="O3215" s="19"/>
      <c r="P3215" s="19" t="s">
        <v>9216</v>
      </c>
      <c r="Q3215" s="19" t="s">
        <v>1687</v>
      </c>
      <c r="R3215" s="21" t="n">
        <v>42787</v>
      </c>
      <c r="S3215" s="19" t="s">
        <v>9217</v>
      </c>
      <c r="T3215" s="19" t="s">
        <v>9218</v>
      </c>
      <c r="U3215" s="19" t="str">
        <f aca="false">HYPERLINK("https://macaulaylibrary.org/asset/49771131","Open")</f>
        <v>Open</v>
      </c>
      <c r="V3215" s="19" t="s">
        <v>6257</v>
      </c>
    </row>
    <row r="3216" customFormat="false" ht="15" hidden="false" customHeight="false" outlineLevel="0" collapsed="false">
      <c r="A3216" s="19" t="s">
        <v>9219</v>
      </c>
      <c r="B3216" s="19" t="s">
        <v>943</v>
      </c>
      <c r="C3216" s="19" t="s">
        <v>8448</v>
      </c>
      <c r="D3216" s="19" t="s">
        <v>148</v>
      </c>
      <c r="E3216" s="19" t="s">
        <v>147</v>
      </c>
      <c r="F3216" s="19" t="s">
        <v>151</v>
      </c>
      <c r="G3216" s="19" t="n">
        <v>245</v>
      </c>
      <c r="H3216" s="19" t="s">
        <v>152</v>
      </c>
      <c r="I3216" s="20" t="n">
        <v>10.992</v>
      </c>
      <c r="J3216" s="19" t="n">
        <f aca="false">IF(I3216="","",MIN(Overview!$B$8,MAX(1,CEILING(I3216/Overview!$B$7,1))))</f>
        <v>3</v>
      </c>
      <c r="K3216" s="19" t="n">
        <v>1</v>
      </c>
      <c r="L3216" s="19"/>
      <c r="M3216" s="20" t="n">
        <v>4</v>
      </c>
      <c r="N3216" s="19"/>
      <c r="O3216" s="19"/>
      <c r="P3216" s="19" t="s">
        <v>9220</v>
      </c>
      <c r="Q3216" s="19" t="s">
        <v>9221</v>
      </c>
      <c r="R3216" s="21" t="n">
        <v>45491</v>
      </c>
      <c r="S3216" s="19" t="s">
        <v>5737</v>
      </c>
      <c r="T3216" s="19" t="s">
        <v>9222</v>
      </c>
      <c r="U3216" s="19" t="str">
        <f aca="false">HYPERLINK("https://macaulaylibrary.org/asset/621625807","Open")</f>
        <v>Open</v>
      </c>
      <c r="V3216" s="19"/>
    </row>
    <row r="3217" customFormat="false" ht="15" hidden="false" customHeight="false" outlineLevel="0" collapsed="false">
      <c r="A3217" s="19" t="s">
        <v>9223</v>
      </c>
      <c r="B3217" s="19" t="s">
        <v>943</v>
      </c>
      <c r="C3217" s="19" t="s">
        <v>8448</v>
      </c>
      <c r="D3217" s="19" t="s">
        <v>148</v>
      </c>
      <c r="E3217" s="19" t="s">
        <v>147</v>
      </c>
      <c r="F3217" s="19" t="s">
        <v>151</v>
      </c>
      <c r="G3217" s="19" t="n">
        <v>245</v>
      </c>
      <c r="H3217" s="19" t="s">
        <v>152</v>
      </c>
      <c r="I3217" s="20" t="n">
        <v>105.913</v>
      </c>
      <c r="J3217" s="19" t="n">
        <f aca="false">IF(I3217="","",MIN(Overview!$B$8,MAX(1,CEILING(I3217/Overview!$B$7,1))))</f>
        <v>22</v>
      </c>
      <c r="K3217" s="19" t="n">
        <v>1</v>
      </c>
      <c r="L3217" s="19"/>
      <c r="M3217" s="20" t="n">
        <v>3</v>
      </c>
      <c r="N3217" s="19"/>
      <c r="O3217" s="19"/>
      <c r="P3217" s="19" t="s">
        <v>2119</v>
      </c>
      <c r="Q3217" s="19" t="s">
        <v>1368</v>
      </c>
      <c r="R3217" s="21" t="n">
        <v>45489</v>
      </c>
      <c r="S3217" s="19" t="s">
        <v>1211</v>
      </c>
      <c r="T3217" s="19" t="s">
        <v>9224</v>
      </c>
      <c r="U3217" s="19" t="str">
        <f aca="false">HYPERLINK("https://macaulaylibrary.org/asset/623181533","Open")</f>
        <v>Open</v>
      </c>
      <c r="V3217" s="19"/>
    </row>
    <row r="3218" customFormat="false" ht="15" hidden="false" customHeight="false" outlineLevel="0" collapsed="false">
      <c r="A3218" s="19" t="s">
        <v>9225</v>
      </c>
      <c r="B3218" s="19" t="s">
        <v>943</v>
      </c>
      <c r="C3218" s="19" t="s">
        <v>8448</v>
      </c>
      <c r="D3218" s="19" t="s">
        <v>148</v>
      </c>
      <c r="E3218" s="19" t="s">
        <v>147</v>
      </c>
      <c r="F3218" s="19" t="s">
        <v>151</v>
      </c>
      <c r="G3218" s="19" t="n">
        <v>245</v>
      </c>
      <c r="H3218" s="19" t="s">
        <v>152</v>
      </c>
      <c r="I3218" s="20" t="n">
        <v>164.422</v>
      </c>
      <c r="J3218" s="19" t="n">
        <f aca="false">IF(I3218="","",MIN(Overview!$B$8,MAX(1,CEILING(I3218/Overview!$B$7,1))))</f>
        <v>33</v>
      </c>
      <c r="K3218" s="19" t="n">
        <v>1</v>
      </c>
      <c r="L3218" s="19"/>
      <c r="M3218" s="20"/>
      <c r="N3218" s="19"/>
      <c r="O3218" s="19"/>
      <c r="P3218" s="19" t="s">
        <v>2119</v>
      </c>
      <c r="Q3218" s="19" t="s">
        <v>1368</v>
      </c>
      <c r="R3218" s="21" t="n">
        <v>45489</v>
      </c>
      <c r="S3218" s="19" t="s">
        <v>1211</v>
      </c>
      <c r="T3218" s="19" t="s">
        <v>9226</v>
      </c>
      <c r="U3218" s="19" t="str">
        <f aca="false">HYPERLINK("https://macaulaylibrary.org/asset/628728834","Open")</f>
        <v>Open</v>
      </c>
      <c r="V3218" s="19"/>
    </row>
    <row r="3219" customFormat="false" ht="15" hidden="false" customHeight="false" outlineLevel="0" collapsed="false">
      <c r="A3219" s="19" t="s">
        <v>9227</v>
      </c>
      <c r="B3219" s="19" t="s">
        <v>943</v>
      </c>
      <c r="C3219" s="19" t="s">
        <v>8448</v>
      </c>
      <c r="D3219" s="19" t="s">
        <v>148</v>
      </c>
      <c r="E3219" s="19" t="s">
        <v>147</v>
      </c>
      <c r="F3219" s="19" t="s">
        <v>151</v>
      </c>
      <c r="G3219" s="19" t="n">
        <v>245</v>
      </c>
      <c r="H3219" s="19" t="s">
        <v>152</v>
      </c>
      <c r="I3219" s="20" t="n">
        <v>47.662</v>
      </c>
      <c r="J3219" s="19" t="n">
        <f aca="false">IF(I3219="","",MIN(Overview!$B$8,MAX(1,CEILING(I3219/Overview!$B$7,1))))</f>
        <v>10</v>
      </c>
      <c r="K3219" s="19" t="n">
        <v>1</v>
      </c>
      <c r="L3219" s="19"/>
      <c r="M3219" s="20"/>
      <c r="N3219" s="19"/>
      <c r="O3219" s="19" t="s">
        <v>169</v>
      </c>
      <c r="P3219" s="19" t="s">
        <v>2119</v>
      </c>
      <c r="Q3219" s="19" t="s">
        <v>1368</v>
      </c>
      <c r="R3219" s="21" t="n">
        <v>45489</v>
      </c>
      <c r="S3219" s="19" t="s">
        <v>1211</v>
      </c>
      <c r="T3219" s="19" t="s">
        <v>9228</v>
      </c>
      <c r="U3219" s="19" t="str">
        <f aca="false">HYPERLINK("https://macaulaylibrary.org/asset/628729132","Open")</f>
        <v>Open</v>
      </c>
      <c r="V3219" s="19"/>
    </row>
    <row r="3220" customFormat="false" ht="15" hidden="false" customHeight="false" outlineLevel="0" collapsed="false">
      <c r="A3220" s="19" t="s">
        <v>9229</v>
      </c>
      <c r="B3220" s="19" t="s">
        <v>943</v>
      </c>
      <c r="C3220" s="19" t="s">
        <v>8448</v>
      </c>
      <c r="D3220" s="19" t="s">
        <v>148</v>
      </c>
      <c r="E3220" s="19" t="s">
        <v>147</v>
      </c>
      <c r="F3220" s="19" t="s">
        <v>151</v>
      </c>
      <c r="G3220" s="19" t="n">
        <v>245</v>
      </c>
      <c r="H3220" s="19" t="s">
        <v>152</v>
      </c>
      <c r="I3220" s="20" t="n">
        <v>8.016</v>
      </c>
      <c r="J3220" s="19" t="n">
        <f aca="false">IF(I3220="","",MIN(Overview!$B$8,MAX(1,CEILING(I3220/Overview!$B$7,1))))</f>
        <v>2</v>
      </c>
      <c r="K3220" s="19" t="n">
        <v>1</v>
      </c>
      <c r="L3220" s="19"/>
      <c r="M3220" s="20"/>
      <c r="N3220" s="19"/>
      <c r="O3220" s="19"/>
      <c r="P3220" s="19" t="s">
        <v>3843</v>
      </c>
      <c r="Q3220" s="19" t="s">
        <v>2012</v>
      </c>
      <c r="R3220" s="21" t="n">
        <v>45676</v>
      </c>
      <c r="S3220" s="19" t="s">
        <v>1578</v>
      </c>
      <c r="T3220" s="19" t="s">
        <v>9230</v>
      </c>
      <c r="U3220" s="19" t="str">
        <f aca="false">HYPERLINK("https://macaulaylibrary.org/asset/630271037","Open")</f>
        <v>Open</v>
      </c>
      <c r="V3220" s="19"/>
    </row>
    <row r="3221" customFormat="false" ht="15" hidden="false" customHeight="false" outlineLevel="0" collapsed="false">
      <c r="A3221" s="19" t="s">
        <v>9231</v>
      </c>
      <c r="B3221" s="19" t="s">
        <v>943</v>
      </c>
      <c r="C3221" s="19" t="s">
        <v>8448</v>
      </c>
      <c r="D3221" s="19" t="s">
        <v>148</v>
      </c>
      <c r="E3221" s="19" t="s">
        <v>147</v>
      </c>
      <c r="F3221" s="19" t="s">
        <v>151</v>
      </c>
      <c r="G3221" s="19" t="n">
        <v>245</v>
      </c>
      <c r="H3221" s="19" t="s">
        <v>152</v>
      </c>
      <c r="I3221" s="20" t="n">
        <v>163.374</v>
      </c>
      <c r="J3221" s="19" t="n">
        <f aca="false">IF(I3221="","",MIN(Overview!$B$8,MAX(1,CEILING(I3221/Overview!$B$7,1))))</f>
        <v>33</v>
      </c>
      <c r="K3221" s="19" t="n">
        <v>1</v>
      </c>
      <c r="L3221" s="19"/>
      <c r="M3221" s="20"/>
      <c r="N3221" s="19"/>
      <c r="O3221" s="19" t="s">
        <v>9232</v>
      </c>
      <c r="P3221" s="19" t="s">
        <v>1090</v>
      </c>
      <c r="Q3221" s="19" t="s">
        <v>1091</v>
      </c>
      <c r="R3221" s="21" t="n">
        <v>45845</v>
      </c>
      <c r="S3221" s="19" t="s">
        <v>1092</v>
      </c>
      <c r="T3221" s="19" t="s">
        <v>9233</v>
      </c>
      <c r="U3221" s="19" t="str">
        <f aca="false">HYPERLINK("https://macaulaylibrary.org/asset/643526790","Open")</f>
        <v>Open</v>
      </c>
      <c r="V3221" s="19"/>
    </row>
    <row r="3222" customFormat="false" ht="15" hidden="false" customHeight="false" outlineLevel="0" collapsed="false">
      <c r="A3222" s="19" t="s">
        <v>9234</v>
      </c>
      <c r="B3222" s="19" t="s">
        <v>943</v>
      </c>
      <c r="C3222" s="19" t="s">
        <v>8448</v>
      </c>
      <c r="D3222" s="19" t="s">
        <v>148</v>
      </c>
      <c r="E3222" s="19" t="s">
        <v>147</v>
      </c>
      <c r="F3222" s="19" t="s">
        <v>151</v>
      </c>
      <c r="G3222" s="19" t="n">
        <v>245</v>
      </c>
      <c r="H3222" s="19" t="s">
        <v>152</v>
      </c>
      <c r="I3222" s="20" t="n">
        <v>11.113</v>
      </c>
      <c r="J3222" s="19" t="n">
        <f aca="false">IF(I3222="","",MIN(Overview!$B$8,MAX(1,CEILING(I3222/Overview!$B$7,1))))</f>
        <v>3</v>
      </c>
      <c r="K3222" s="19" t="n">
        <v>1</v>
      </c>
      <c r="L3222" s="19"/>
      <c r="M3222" s="20"/>
      <c r="N3222" s="19"/>
      <c r="O3222" s="19"/>
      <c r="P3222" s="19" t="s">
        <v>2142</v>
      </c>
      <c r="Q3222" s="19" t="s">
        <v>1204</v>
      </c>
      <c r="R3222" s="21" t="n">
        <v>46047</v>
      </c>
      <c r="S3222" s="19" t="s">
        <v>2143</v>
      </c>
      <c r="T3222" s="19" t="s">
        <v>9235</v>
      </c>
      <c r="U3222" s="19" t="str">
        <f aca="false">HYPERLINK("https://macaulaylibrary.org/asset/653762003","Open")</f>
        <v>Open</v>
      </c>
      <c r="V3222" s="19"/>
    </row>
    <row r="3223" customFormat="false" ht="15" hidden="false" customHeight="false" outlineLevel="0" collapsed="false">
      <c r="A3223" s="19" t="s">
        <v>9236</v>
      </c>
      <c r="B3223" s="19" t="s">
        <v>943</v>
      </c>
      <c r="C3223" s="19" t="s">
        <v>8448</v>
      </c>
      <c r="D3223" s="19" t="s">
        <v>148</v>
      </c>
      <c r="E3223" s="19" t="s">
        <v>911</v>
      </c>
      <c r="F3223" s="19" t="s">
        <v>910</v>
      </c>
      <c r="G3223" s="19" t="n">
        <v>247</v>
      </c>
      <c r="H3223" s="19" t="s">
        <v>6463</v>
      </c>
      <c r="I3223" s="20" t="n">
        <v>106.693</v>
      </c>
      <c r="J3223" s="19" t="n">
        <f aca="false">IF(I3223="","",MIN(Overview!$B$8,MAX(1,CEILING(I3223/Overview!$B$7,1))))</f>
        <v>22</v>
      </c>
      <c r="K3223" s="19" t="n">
        <v>1</v>
      </c>
      <c r="L3223" s="19"/>
      <c r="M3223" s="20"/>
      <c r="N3223" s="19"/>
      <c r="O3223" s="19"/>
      <c r="P3223" s="19" t="s">
        <v>9237</v>
      </c>
      <c r="Q3223" s="19" t="s">
        <v>6397</v>
      </c>
      <c r="R3223" s="21" t="n">
        <v>36719</v>
      </c>
      <c r="S3223" s="19" t="s">
        <v>9238</v>
      </c>
      <c r="T3223" s="19" t="s">
        <v>9239</v>
      </c>
      <c r="U3223" s="19" t="str">
        <f aca="false">HYPERLINK("https://macaulaylibrary.org/asset/104037","Open")</f>
        <v>Open</v>
      </c>
      <c r="V3223" s="19" t="s">
        <v>6465</v>
      </c>
    </row>
    <row r="3224" customFormat="false" ht="15" hidden="false" customHeight="false" outlineLevel="0" collapsed="false">
      <c r="A3224" s="19" t="s">
        <v>9240</v>
      </c>
      <c r="B3224" s="19" t="s">
        <v>943</v>
      </c>
      <c r="C3224" s="19" t="s">
        <v>8448</v>
      </c>
      <c r="D3224" s="19" t="s">
        <v>148</v>
      </c>
      <c r="E3224" s="19" t="s">
        <v>911</v>
      </c>
      <c r="F3224" s="19" t="s">
        <v>910</v>
      </c>
      <c r="G3224" s="19" t="n">
        <v>247</v>
      </c>
      <c r="H3224" s="19" t="s">
        <v>6463</v>
      </c>
      <c r="I3224" s="20" t="n">
        <v>81.763</v>
      </c>
      <c r="J3224" s="19" t="n">
        <f aca="false">IF(I3224="","",MIN(Overview!$B$8,MAX(1,CEILING(I3224/Overview!$B$7,1))))</f>
        <v>17</v>
      </c>
      <c r="K3224" s="19" t="n">
        <v>1</v>
      </c>
      <c r="L3224" s="19"/>
      <c r="M3224" s="20"/>
      <c r="N3224" s="19"/>
      <c r="O3224" s="19"/>
      <c r="P3224" s="19" t="s">
        <v>9237</v>
      </c>
      <c r="Q3224" s="19" t="s">
        <v>6397</v>
      </c>
      <c r="R3224" s="21" t="n">
        <v>36719</v>
      </c>
      <c r="S3224" s="19" t="s">
        <v>1550</v>
      </c>
      <c r="T3224" s="19" t="s">
        <v>9241</v>
      </c>
      <c r="U3224" s="19" t="str">
        <f aca="false">HYPERLINK("https://macaulaylibrary.org/asset/104038","Open")</f>
        <v>Open</v>
      </c>
      <c r="V3224" s="19" t="s">
        <v>6465</v>
      </c>
    </row>
    <row r="3225" customFormat="false" ht="15" hidden="false" customHeight="false" outlineLevel="0" collapsed="false">
      <c r="A3225" s="19" t="s">
        <v>9242</v>
      </c>
      <c r="B3225" s="19" t="s">
        <v>943</v>
      </c>
      <c r="C3225" s="19" t="s">
        <v>8448</v>
      </c>
      <c r="D3225" s="19" t="s">
        <v>148</v>
      </c>
      <c r="E3225" s="19" t="s">
        <v>911</v>
      </c>
      <c r="F3225" s="19" t="s">
        <v>910</v>
      </c>
      <c r="G3225" s="19" t="n">
        <v>247</v>
      </c>
      <c r="H3225" s="19" t="s">
        <v>6463</v>
      </c>
      <c r="I3225" s="20" t="n">
        <v>49.737</v>
      </c>
      <c r="J3225" s="19" t="n">
        <f aca="false">IF(I3225="","",MIN(Overview!$B$8,MAX(1,CEILING(I3225/Overview!$B$7,1))))</f>
        <v>10</v>
      </c>
      <c r="K3225" s="19" t="n">
        <v>1</v>
      </c>
      <c r="L3225" s="19"/>
      <c r="M3225" s="20"/>
      <c r="N3225" s="19"/>
      <c r="O3225" s="19"/>
      <c r="P3225" s="19" t="s">
        <v>9237</v>
      </c>
      <c r="Q3225" s="19" t="s">
        <v>6397</v>
      </c>
      <c r="R3225" s="21" t="n">
        <v>36719</v>
      </c>
      <c r="S3225" s="19" t="s">
        <v>1550</v>
      </c>
      <c r="T3225" s="19" t="s">
        <v>9243</v>
      </c>
      <c r="U3225" s="19" t="str">
        <f aca="false">HYPERLINK("https://macaulaylibrary.org/asset/104039","Open")</f>
        <v>Open</v>
      </c>
      <c r="V3225" s="19" t="s">
        <v>6465</v>
      </c>
    </row>
    <row r="3226" customFormat="false" ht="15" hidden="false" customHeight="false" outlineLevel="0" collapsed="false">
      <c r="A3226" s="19" t="s">
        <v>9244</v>
      </c>
      <c r="B3226" s="19" t="s">
        <v>943</v>
      </c>
      <c r="C3226" s="19" t="s">
        <v>8448</v>
      </c>
      <c r="D3226" s="19" t="s">
        <v>148</v>
      </c>
      <c r="E3226" s="19" t="s">
        <v>911</v>
      </c>
      <c r="F3226" s="19" t="s">
        <v>910</v>
      </c>
      <c r="G3226" s="19" t="n">
        <v>247</v>
      </c>
      <c r="H3226" s="19" t="s">
        <v>6463</v>
      </c>
      <c r="I3226" s="20" t="n">
        <v>100.491</v>
      </c>
      <c r="J3226" s="19" t="n">
        <f aca="false">IF(I3226="","",MIN(Overview!$B$8,MAX(1,CEILING(I3226/Overview!$B$7,1))))</f>
        <v>21</v>
      </c>
      <c r="K3226" s="19" t="n">
        <v>1</v>
      </c>
      <c r="L3226" s="19"/>
      <c r="M3226" s="20"/>
      <c r="N3226" s="19"/>
      <c r="O3226" s="19"/>
      <c r="P3226" s="19" t="s">
        <v>9237</v>
      </c>
      <c r="Q3226" s="19" t="s">
        <v>6397</v>
      </c>
      <c r="R3226" s="21" t="n">
        <v>36719</v>
      </c>
      <c r="S3226" s="19" t="s">
        <v>1550</v>
      </c>
      <c r="T3226" s="19" t="s">
        <v>9245</v>
      </c>
      <c r="U3226" s="19" t="str">
        <f aca="false">HYPERLINK("https://macaulaylibrary.org/asset/104040","Open")</f>
        <v>Open</v>
      </c>
      <c r="V3226" s="19" t="s">
        <v>6465</v>
      </c>
    </row>
    <row r="3227" customFormat="false" ht="15" hidden="false" customHeight="false" outlineLevel="0" collapsed="false">
      <c r="A3227" s="19" t="s">
        <v>9246</v>
      </c>
      <c r="B3227" s="19" t="s">
        <v>943</v>
      </c>
      <c r="C3227" s="19" t="s">
        <v>8448</v>
      </c>
      <c r="D3227" s="19" t="s">
        <v>148</v>
      </c>
      <c r="E3227" s="19" t="s">
        <v>911</v>
      </c>
      <c r="F3227" s="19" t="s">
        <v>910</v>
      </c>
      <c r="G3227" s="19" t="n">
        <v>247</v>
      </c>
      <c r="H3227" s="19" t="s">
        <v>6463</v>
      </c>
      <c r="I3227" s="20" t="n">
        <v>105.147</v>
      </c>
      <c r="J3227" s="19" t="n">
        <f aca="false">IF(I3227="","",MIN(Overview!$B$8,MAX(1,CEILING(I3227/Overview!$B$7,1))))</f>
        <v>22</v>
      </c>
      <c r="K3227" s="19" t="n">
        <v>1</v>
      </c>
      <c r="L3227" s="19"/>
      <c r="M3227" s="20"/>
      <c r="N3227" s="19"/>
      <c r="O3227" s="19"/>
      <c r="P3227" s="19" t="s">
        <v>9237</v>
      </c>
      <c r="Q3227" s="19" t="s">
        <v>6397</v>
      </c>
      <c r="R3227" s="21" t="n">
        <v>36719</v>
      </c>
      <c r="S3227" s="19" t="s">
        <v>2804</v>
      </c>
      <c r="T3227" s="19" t="s">
        <v>9247</v>
      </c>
      <c r="U3227" s="19" t="str">
        <f aca="false">HYPERLINK("https://macaulaylibrary.org/asset/104041","Open")</f>
        <v>Open</v>
      </c>
      <c r="V3227" s="19" t="s">
        <v>6465</v>
      </c>
    </row>
    <row r="3228" customFormat="false" ht="15" hidden="false" customHeight="false" outlineLevel="0" collapsed="false">
      <c r="A3228" s="19" t="s">
        <v>9248</v>
      </c>
      <c r="B3228" s="19" t="s">
        <v>943</v>
      </c>
      <c r="C3228" s="19" t="s">
        <v>8448</v>
      </c>
      <c r="D3228" s="19" t="s">
        <v>148</v>
      </c>
      <c r="E3228" s="19" t="s">
        <v>911</v>
      </c>
      <c r="F3228" s="19" t="s">
        <v>910</v>
      </c>
      <c r="G3228" s="19" t="n">
        <v>247</v>
      </c>
      <c r="H3228" s="19" t="s">
        <v>6463</v>
      </c>
      <c r="I3228" s="20" t="n">
        <v>106.974</v>
      </c>
      <c r="J3228" s="19" t="n">
        <f aca="false">IF(I3228="","",MIN(Overview!$B$8,MAX(1,CEILING(I3228/Overview!$B$7,1))))</f>
        <v>22</v>
      </c>
      <c r="K3228" s="19" t="n">
        <v>1</v>
      </c>
      <c r="L3228" s="19"/>
      <c r="M3228" s="20"/>
      <c r="N3228" s="19"/>
      <c r="O3228" s="19"/>
      <c r="P3228" s="19" t="s">
        <v>9237</v>
      </c>
      <c r="Q3228" s="19" t="s">
        <v>6397</v>
      </c>
      <c r="R3228" s="21" t="n">
        <v>36719</v>
      </c>
      <c r="S3228" s="19" t="s">
        <v>6532</v>
      </c>
      <c r="T3228" s="19" t="s">
        <v>9249</v>
      </c>
      <c r="U3228" s="19" t="str">
        <f aca="false">HYPERLINK("https://macaulaylibrary.org/asset/104042","Open")</f>
        <v>Open</v>
      </c>
      <c r="V3228" s="19" t="s">
        <v>6465</v>
      </c>
    </row>
    <row r="3229" customFormat="false" ht="15" hidden="false" customHeight="false" outlineLevel="0" collapsed="false">
      <c r="A3229" s="19" t="s">
        <v>9250</v>
      </c>
      <c r="B3229" s="19" t="s">
        <v>943</v>
      </c>
      <c r="C3229" s="19" t="s">
        <v>8448</v>
      </c>
      <c r="D3229" s="19" t="s">
        <v>148</v>
      </c>
      <c r="E3229" s="19" t="s">
        <v>911</v>
      </c>
      <c r="F3229" s="19" t="s">
        <v>910</v>
      </c>
      <c r="G3229" s="19" t="n">
        <v>247</v>
      </c>
      <c r="H3229" s="19" t="s">
        <v>6453</v>
      </c>
      <c r="I3229" s="20" t="n">
        <v>57.203</v>
      </c>
      <c r="J3229" s="19" t="n">
        <f aca="false">IF(I3229="","",MIN(Overview!$B$8,MAX(1,CEILING(I3229/Overview!$B$7,1))))</f>
        <v>12</v>
      </c>
      <c r="K3229" s="19" t="n">
        <v>1</v>
      </c>
      <c r="L3229" s="19"/>
      <c r="M3229" s="20"/>
      <c r="N3229" s="19"/>
      <c r="O3229" s="19"/>
      <c r="P3229" s="19" t="s">
        <v>9237</v>
      </c>
      <c r="Q3229" s="19" t="s">
        <v>6397</v>
      </c>
      <c r="R3229" s="21" t="n">
        <v>36719</v>
      </c>
      <c r="S3229" s="19" t="s">
        <v>4158</v>
      </c>
      <c r="T3229" s="19" t="s">
        <v>9251</v>
      </c>
      <c r="U3229" s="19" t="str">
        <f aca="false">HYPERLINK("https://macaulaylibrary.org/asset/104043","Open")</f>
        <v>Open</v>
      </c>
      <c r="V3229" s="19" t="s">
        <v>6455</v>
      </c>
    </row>
    <row r="3230" customFormat="false" ht="15" hidden="false" customHeight="false" outlineLevel="0" collapsed="false">
      <c r="A3230" s="19" t="s">
        <v>9252</v>
      </c>
      <c r="B3230" s="19" t="s">
        <v>943</v>
      </c>
      <c r="C3230" s="19" t="s">
        <v>8448</v>
      </c>
      <c r="D3230" s="19" t="s">
        <v>148</v>
      </c>
      <c r="E3230" s="19" t="s">
        <v>911</v>
      </c>
      <c r="F3230" s="19" t="s">
        <v>910</v>
      </c>
      <c r="G3230" s="19" t="n">
        <v>247</v>
      </c>
      <c r="H3230" s="19" t="s">
        <v>6453</v>
      </c>
      <c r="I3230" s="20" t="n">
        <v>68.183</v>
      </c>
      <c r="J3230" s="19" t="n">
        <f aca="false">IF(I3230="","",MIN(Overview!$B$8,MAX(1,CEILING(I3230/Overview!$B$7,1))))</f>
        <v>14</v>
      </c>
      <c r="K3230" s="19" t="n">
        <v>1</v>
      </c>
      <c r="L3230" s="19"/>
      <c r="M3230" s="20"/>
      <c r="N3230" s="19"/>
      <c r="O3230" s="19"/>
      <c r="P3230" s="19" t="s">
        <v>9237</v>
      </c>
      <c r="Q3230" s="19" t="s">
        <v>6397</v>
      </c>
      <c r="R3230" s="21" t="n">
        <v>36719</v>
      </c>
      <c r="S3230" s="19" t="s">
        <v>4158</v>
      </c>
      <c r="T3230" s="19" t="s">
        <v>9253</v>
      </c>
      <c r="U3230" s="19" t="str">
        <f aca="false">HYPERLINK("https://macaulaylibrary.org/asset/104044","Open")</f>
        <v>Open</v>
      </c>
      <c r="V3230" s="19" t="s">
        <v>6455</v>
      </c>
    </row>
    <row r="3231" customFormat="false" ht="15" hidden="false" customHeight="false" outlineLevel="0" collapsed="false">
      <c r="A3231" s="19" t="s">
        <v>9254</v>
      </c>
      <c r="B3231" s="19" t="s">
        <v>943</v>
      </c>
      <c r="C3231" s="19" t="s">
        <v>8448</v>
      </c>
      <c r="D3231" s="19" t="s">
        <v>148</v>
      </c>
      <c r="E3231" s="19" t="s">
        <v>911</v>
      </c>
      <c r="F3231" s="19" t="s">
        <v>910</v>
      </c>
      <c r="G3231" s="19" t="n">
        <v>247</v>
      </c>
      <c r="H3231" s="19" t="s">
        <v>6453</v>
      </c>
      <c r="I3231" s="20" t="n">
        <v>87.174</v>
      </c>
      <c r="J3231" s="19" t="n">
        <f aca="false">IF(I3231="","",MIN(Overview!$B$8,MAX(1,CEILING(I3231/Overview!$B$7,1))))</f>
        <v>18</v>
      </c>
      <c r="K3231" s="19" t="n">
        <v>1</v>
      </c>
      <c r="L3231" s="19"/>
      <c r="M3231" s="20"/>
      <c r="N3231" s="19"/>
      <c r="O3231" s="19"/>
      <c r="P3231" s="19" t="s">
        <v>9237</v>
      </c>
      <c r="Q3231" s="19" t="s">
        <v>6397</v>
      </c>
      <c r="R3231" s="21" t="n">
        <v>36719</v>
      </c>
      <c r="S3231" s="19" t="s">
        <v>4011</v>
      </c>
      <c r="T3231" s="19" t="s">
        <v>9255</v>
      </c>
      <c r="U3231" s="19" t="str">
        <f aca="false">HYPERLINK("https://macaulaylibrary.org/asset/104045","Open")</f>
        <v>Open</v>
      </c>
      <c r="V3231" s="19" t="s">
        <v>6455</v>
      </c>
    </row>
    <row r="3232" customFormat="false" ht="15" hidden="false" customHeight="false" outlineLevel="0" collapsed="false">
      <c r="A3232" s="19" t="s">
        <v>9256</v>
      </c>
      <c r="B3232" s="19" t="s">
        <v>943</v>
      </c>
      <c r="C3232" s="19" t="s">
        <v>8448</v>
      </c>
      <c r="D3232" s="19" t="s">
        <v>148</v>
      </c>
      <c r="E3232" s="19" t="s">
        <v>911</v>
      </c>
      <c r="F3232" s="19" t="s">
        <v>910</v>
      </c>
      <c r="G3232" s="19" t="n">
        <v>247</v>
      </c>
      <c r="H3232" s="19" t="s">
        <v>6453</v>
      </c>
      <c r="I3232" s="20" t="n">
        <v>66.303</v>
      </c>
      <c r="J3232" s="19" t="n">
        <f aca="false">IF(I3232="","",MIN(Overview!$B$8,MAX(1,CEILING(I3232/Overview!$B$7,1))))</f>
        <v>14</v>
      </c>
      <c r="K3232" s="19" t="n">
        <v>1</v>
      </c>
      <c r="L3232" s="19"/>
      <c r="M3232" s="20"/>
      <c r="N3232" s="19"/>
      <c r="O3232" s="19"/>
      <c r="P3232" s="19" t="s">
        <v>9237</v>
      </c>
      <c r="Q3232" s="19" t="s">
        <v>6397</v>
      </c>
      <c r="R3232" s="21" t="n">
        <v>36719</v>
      </c>
      <c r="S3232" s="19" t="s">
        <v>4011</v>
      </c>
      <c r="T3232" s="19" t="s">
        <v>9257</v>
      </c>
      <c r="U3232" s="19" t="str">
        <f aca="false">HYPERLINK("https://macaulaylibrary.org/asset/104046","Open")</f>
        <v>Open</v>
      </c>
      <c r="V3232" s="19" t="s">
        <v>6455</v>
      </c>
    </row>
    <row r="3233" customFormat="false" ht="15" hidden="false" customHeight="false" outlineLevel="0" collapsed="false">
      <c r="A3233" s="19" t="s">
        <v>9258</v>
      </c>
      <c r="B3233" s="19" t="s">
        <v>943</v>
      </c>
      <c r="C3233" s="19" t="s">
        <v>8448</v>
      </c>
      <c r="D3233" s="19" t="s">
        <v>148</v>
      </c>
      <c r="E3233" s="19" t="s">
        <v>911</v>
      </c>
      <c r="F3233" s="19" t="s">
        <v>910</v>
      </c>
      <c r="G3233" s="19" t="n">
        <v>247</v>
      </c>
      <c r="H3233" s="19" t="s">
        <v>6453</v>
      </c>
      <c r="I3233" s="20" t="n">
        <v>95.203</v>
      </c>
      <c r="J3233" s="19" t="n">
        <f aca="false">IF(I3233="","",MIN(Overview!$B$8,MAX(1,CEILING(I3233/Overview!$B$7,1))))</f>
        <v>20</v>
      </c>
      <c r="K3233" s="19" t="n">
        <v>1</v>
      </c>
      <c r="L3233" s="19"/>
      <c r="M3233" s="20"/>
      <c r="N3233" s="19"/>
      <c r="O3233" s="19"/>
      <c r="P3233" s="19" t="s">
        <v>9237</v>
      </c>
      <c r="Q3233" s="19" t="s">
        <v>6397</v>
      </c>
      <c r="R3233" s="21" t="n">
        <v>36719</v>
      </c>
      <c r="S3233" s="19" t="s">
        <v>4011</v>
      </c>
      <c r="T3233" s="19" t="s">
        <v>9259</v>
      </c>
      <c r="U3233" s="19" t="str">
        <f aca="false">HYPERLINK("https://macaulaylibrary.org/asset/104047","Open")</f>
        <v>Open</v>
      </c>
      <c r="V3233" s="19" t="s">
        <v>6455</v>
      </c>
    </row>
    <row r="3234" customFormat="false" ht="15" hidden="false" customHeight="false" outlineLevel="0" collapsed="false">
      <c r="A3234" s="19" t="s">
        <v>9260</v>
      </c>
      <c r="B3234" s="19" t="s">
        <v>943</v>
      </c>
      <c r="C3234" s="19" t="s">
        <v>8448</v>
      </c>
      <c r="D3234" s="19" t="s">
        <v>148</v>
      </c>
      <c r="E3234" s="19" t="s">
        <v>911</v>
      </c>
      <c r="F3234" s="19" t="s">
        <v>910</v>
      </c>
      <c r="G3234" s="19" t="n">
        <v>247</v>
      </c>
      <c r="H3234" s="19" t="s">
        <v>6453</v>
      </c>
      <c r="I3234" s="20" t="n">
        <v>66.584</v>
      </c>
      <c r="J3234" s="19" t="n">
        <f aca="false">IF(I3234="","",MIN(Overview!$B$8,MAX(1,CEILING(I3234/Overview!$B$7,1))))</f>
        <v>14</v>
      </c>
      <c r="K3234" s="19" t="n">
        <v>1</v>
      </c>
      <c r="L3234" s="19"/>
      <c r="M3234" s="20"/>
      <c r="N3234" s="19"/>
      <c r="O3234" s="19"/>
      <c r="P3234" s="19" t="s">
        <v>9237</v>
      </c>
      <c r="Q3234" s="19" t="s">
        <v>6397</v>
      </c>
      <c r="R3234" s="21" t="n">
        <v>36719</v>
      </c>
      <c r="S3234" s="19" t="s">
        <v>4061</v>
      </c>
      <c r="T3234" s="19" t="s">
        <v>9261</v>
      </c>
      <c r="U3234" s="19" t="str">
        <f aca="false">HYPERLINK("https://macaulaylibrary.org/asset/104048","Open")</f>
        <v>Open</v>
      </c>
      <c r="V3234" s="19" t="s">
        <v>6455</v>
      </c>
    </row>
    <row r="3235" customFormat="false" ht="15" hidden="false" customHeight="false" outlineLevel="0" collapsed="false">
      <c r="A3235" s="19" t="s">
        <v>9262</v>
      </c>
      <c r="B3235" s="19" t="s">
        <v>943</v>
      </c>
      <c r="C3235" s="19" t="s">
        <v>8448</v>
      </c>
      <c r="D3235" s="19" t="s">
        <v>148</v>
      </c>
      <c r="E3235" s="19" t="s">
        <v>911</v>
      </c>
      <c r="F3235" s="19" t="s">
        <v>910</v>
      </c>
      <c r="G3235" s="19" t="n">
        <v>247</v>
      </c>
      <c r="H3235" s="19" t="s">
        <v>6453</v>
      </c>
      <c r="I3235" s="20" t="n">
        <v>73.014</v>
      </c>
      <c r="J3235" s="19" t="n">
        <f aca="false">IF(I3235="","",MIN(Overview!$B$8,MAX(1,CEILING(I3235/Overview!$B$7,1))))</f>
        <v>15</v>
      </c>
      <c r="K3235" s="19" t="n">
        <v>1</v>
      </c>
      <c r="L3235" s="19"/>
      <c r="M3235" s="20"/>
      <c r="N3235" s="19"/>
      <c r="O3235" s="19"/>
      <c r="P3235" s="19" t="s">
        <v>9237</v>
      </c>
      <c r="Q3235" s="19" t="s">
        <v>6397</v>
      </c>
      <c r="R3235" s="21" t="n">
        <v>36719</v>
      </c>
      <c r="S3235" s="19" t="s">
        <v>4061</v>
      </c>
      <c r="T3235" s="19" t="s">
        <v>9263</v>
      </c>
      <c r="U3235" s="19" t="str">
        <f aca="false">HYPERLINK("https://macaulaylibrary.org/asset/104049","Open")</f>
        <v>Open</v>
      </c>
      <c r="V3235" s="19" t="s">
        <v>6455</v>
      </c>
    </row>
    <row r="3236" customFormat="false" ht="15" hidden="false" customHeight="false" outlineLevel="0" collapsed="false">
      <c r="A3236" s="19" t="s">
        <v>9264</v>
      </c>
      <c r="B3236" s="19" t="s">
        <v>943</v>
      </c>
      <c r="C3236" s="19" t="s">
        <v>8448</v>
      </c>
      <c r="D3236" s="19" t="s">
        <v>148</v>
      </c>
      <c r="E3236" s="19" t="s">
        <v>911</v>
      </c>
      <c r="F3236" s="19" t="s">
        <v>910</v>
      </c>
      <c r="G3236" s="19" t="n">
        <v>247</v>
      </c>
      <c r="H3236" s="19" t="s">
        <v>6453</v>
      </c>
      <c r="I3236" s="20" t="n">
        <v>81.271</v>
      </c>
      <c r="J3236" s="19" t="n">
        <f aca="false">IF(I3236="","",MIN(Overview!$B$8,MAX(1,CEILING(I3236/Overview!$B$7,1))))</f>
        <v>17</v>
      </c>
      <c r="K3236" s="19" t="n">
        <v>1</v>
      </c>
      <c r="L3236" s="19"/>
      <c r="M3236" s="20"/>
      <c r="N3236" s="19"/>
      <c r="O3236" s="19"/>
      <c r="P3236" s="19" t="s">
        <v>9237</v>
      </c>
      <c r="Q3236" s="19" t="s">
        <v>6397</v>
      </c>
      <c r="R3236" s="21" t="n">
        <v>36719</v>
      </c>
      <c r="S3236" s="19" t="s">
        <v>9265</v>
      </c>
      <c r="T3236" s="19" t="s">
        <v>9266</v>
      </c>
      <c r="U3236" s="19" t="str">
        <f aca="false">HYPERLINK("https://macaulaylibrary.org/asset/104050","Open")</f>
        <v>Open</v>
      </c>
      <c r="V3236" s="19" t="s">
        <v>6455</v>
      </c>
    </row>
    <row r="3237" customFormat="false" ht="15" hidden="false" customHeight="false" outlineLevel="0" collapsed="false">
      <c r="A3237" s="19" t="s">
        <v>9267</v>
      </c>
      <c r="B3237" s="19" t="s">
        <v>943</v>
      </c>
      <c r="C3237" s="19" t="s">
        <v>8448</v>
      </c>
      <c r="D3237" s="19" t="s">
        <v>148</v>
      </c>
      <c r="E3237" s="19" t="s">
        <v>911</v>
      </c>
      <c r="F3237" s="19" t="s">
        <v>910</v>
      </c>
      <c r="G3237" s="19" t="n">
        <v>247</v>
      </c>
      <c r="H3237" s="19" t="s">
        <v>6453</v>
      </c>
      <c r="I3237" s="20" t="n">
        <v>96.363</v>
      </c>
      <c r="J3237" s="19" t="n">
        <f aca="false">IF(I3237="","",MIN(Overview!$B$8,MAX(1,CEILING(I3237/Overview!$B$7,1))))</f>
        <v>20</v>
      </c>
      <c r="K3237" s="19" t="n">
        <v>1</v>
      </c>
      <c r="L3237" s="19"/>
      <c r="M3237" s="20"/>
      <c r="N3237" s="19"/>
      <c r="O3237" s="19"/>
      <c r="P3237" s="19" t="s">
        <v>9237</v>
      </c>
      <c r="Q3237" s="19" t="s">
        <v>6397</v>
      </c>
      <c r="R3237" s="21" t="n">
        <v>36719</v>
      </c>
      <c r="S3237" s="19" t="s">
        <v>9265</v>
      </c>
      <c r="T3237" s="19" t="s">
        <v>9268</v>
      </c>
      <c r="U3237" s="19" t="str">
        <f aca="false">HYPERLINK("https://macaulaylibrary.org/asset/104051","Open")</f>
        <v>Open</v>
      </c>
      <c r="V3237" s="19" t="s">
        <v>6455</v>
      </c>
    </row>
    <row r="3238" customFormat="false" ht="15" hidden="false" customHeight="false" outlineLevel="0" collapsed="false">
      <c r="A3238" s="19" t="s">
        <v>9269</v>
      </c>
      <c r="B3238" s="19" t="s">
        <v>943</v>
      </c>
      <c r="C3238" s="19" t="s">
        <v>8448</v>
      </c>
      <c r="D3238" s="19" t="s">
        <v>148</v>
      </c>
      <c r="E3238" s="19" t="s">
        <v>911</v>
      </c>
      <c r="F3238" s="19" t="s">
        <v>910</v>
      </c>
      <c r="G3238" s="19" t="n">
        <v>247</v>
      </c>
      <c r="H3238" s="19" t="s">
        <v>6453</v>
      </c>
      <c r="I3238" s="20" t="n">
        <v>98.4</v>
      </c>
      <c r="J3238" s="19" t="n">
        <f aca="false">IF(I3238="","",MIN(Overview!$B$8,MAX(1,CEILING(I3238/Overview!$B$7,1))))</f>
        <v>20</v>
      </c>
      <c r="K3238" s="19" t="n">
        <v>1</v>
      </c>
      <c r="L3238" s="19"/>
      <c r="M3238" s="20"/>
      <c r="N3238" s="19"/>
      <c r="O3238" s="19"/>
      <c r="P3238" s="19" t="s">
        <v>9237</v>
      </c>
      <c r="Q3238" s="19" t="s">
        <v>6397</v>
      </c>
      <c r="R3238" s="21" t="n">
        <v>36719</v>
      </c>
      <c r="S3238" s="19" t="s">
        <v>8334</v>
      </c>
      <c r="T3238" s="19" t="s">
        <v>9270</v>
      </c>
      <c r="U3238" s="19" t="str">
        <f aca="false">HYPERLINK("https://macaulaylibrary.org/asset/104052","Open")</f>
        <v>Open</v>
      </c>
      <c r="V3238" s="19" t="s">
        <v>6455</v>
      </c>
    </row>
    <row r="3239" customFormat="false" ht="15" hidden="false" customHeight="false" outlineLevel="0" collapsed="false">
      <c r="A3239" s="19" t="s">
        <v>9271</v>
      </c>
      <c r="B3239" s="19" t="s">
        <v>943</v>
      </c>
      <c r="C3239" s="19" t="s">
        <v>8448</v>
      </c>
      <c r="D3239" s="19" t="s">
        <v>148</v>
      </c>
      <c r="E3239" s="19" t="s">
        <v>911</v>
      </c>
      <c r="F3239" s="19" t="s">
        <v>910</v>
      </c>
      <c r="G3239" s="19" t="n">
        <v>247</v>
      </c>
      <c r="H3239" s="19" t="s">
        <v>6453</v>
      </c>
      <c r="I3239" s="20" t="n">
        <v>96.45</v>
      </c>
      <c r="J3239" s="19" t="n">
        <f aca="false">IF(I3239="","",MIN(Overview!$B$8,MAX(1,CEILING(I3239/Overview!$B$7,1))))</f>
        <v>20</v>
      </c>
      <c r="K3239" s="19" t="n">
        <v>1</v>
      </c>
      <c r="L3239" s="19"/>
      <c r="M3239" s="20"/>
      <c r="N3239" s="19"/>
      <c r="O3239" s="19"/>
      <c r="P3239" s="19" t="s">
        <v>9237</v>
      </c>
      <c r="Q3239" s="19" t="s">
        <v>6397</v>
      </c>
      <c r="R3239" s="21" t="n">
        <v>36719</v>
      </c>
      <c r="S3239" s="19" t="s">
        <v>6797</v>
      </c>
      <c r="T3239" s="19" t="s">
        <v>9272</v>
      </c>
      <c r="U3239" s="19" t="str">
        <f aca="false">HYPERLINK("https://macaulaylibrary.org/asset/104053","Open")</f>
        <v>Open</v>
      </c>
      <c r="V3239" s="19" t="s">
        <v>6455</v>
      </c>
    </row>
    <row r="3240" customFormat="false" ht="15" hidden="false" customHeight="false" outlineLevel="0" collapsed="false">
      <c r="A3240" s="19" t="s">
        <v>9273</v>
      </c>
      <c r="B3240" s="19" t="s">
        <v>943</v>
      </c>
      <c r="C3240" s="19" t="s">
        <v>8448</v>
      </c>
      <c r="D3240" s="19" t="s">
        <v>148</v>
      </c>
      <c r="E3240" s="19" t="s">
        <v>911</v>
      </c>
      <c r="F3240" s="19" t="s">
        <v>910</v>
      </c>
      <c r="G3240" s="19" t="n">
        <v>247</v>
      </c>
      <c r="H3240" s="19" t="s">
        <v>6453</v>
      </c>
      <c r="I3240" s="20" t="n">
        <v>97.434</v>
      </c>
      <c r="J3240" s="19" t="n">
        <f aca="false">IF(I3240="","",MIN(Overview!$B$8,MAX(1,CEILING(I3240/Overview!$B$7,1))))</f>
        <v>20</v>
      </c>
      <c r="K3240" s="19" t="n">
        <v>1</v>
      </c>
      <c r="L3240" s="19"/>
      <c r="M3240" s="20"/>
      <c r="N3240" s="19"/>
      <c r="O3240" s="19"/>
      <c r="P3240" s="19" t="s">
        <v>9237</v>
      </c>
      <c r="Q3240" s="19" t="s">
        <v>6397</v>
      </c>
      <c r="R3240" s="21" t="n">
        <v>36719</v>
      </c>
      <c r="S3240" s="19" t="s">
        <v>6653</v>
      </c>
      <c r="T3240" s="19" t="s">
        <v>9274</v>
      </c>
      <c r="U3240" s="19" t="str">
        <f aca="false">HYPERLINK("https://macaulaylibrary.org/asset/104054","Open")</f>
        <v>Open</v>
      </c>
      <c r="V3240" s="19" t="s">
        <v>6455</v>
      </c>
    </row>
    <row r="3241" customFormat="false" ht="15" hidden="false" customHeight="false" outlineLevel="0" collapsed="false">
      <c r="A3241" s="19" t="s">
        <v>9275</v>
      </c>
      <c r="B3241" s="19" t="s">
        <v>943</v>
      </c>
      <c r="C3241" s="19" t="s">
        <v>8448</v>
      </c>
      <c r="D3241" s="19" t="s">
        <v>148</v>
      </c>
      <c r="E3241" s="19" t="s">
        <v>911</v>
      </c>
      <c r="F3241" s="19" t="s">
        <v>910</v>
      </c>
      <c r="G3241" s="19" t="n">
        <v>247</v>
      </c>
      <c r="H3241" s="19" t="s">
        <v>6453</v>
      </c>
      <c r="I3241" s="20" t="n">
        <v>139.274</v>
      </c>
      <c r="J3241" s="19" t="n">
        <f aca="false">IF(I3241="","",MIN(Overview!$B$8,MAX(1,CEILING(I3241/Overview!$B$7,1))))</f>
        <v>28</v>
      </c>
      <c r="K3241" s="19" t="n">
        <v>1</v>
      </c>
      <c r="L3241" s="19"/>
      <c r="M3241" s="20"/>
      <c r="N3241" s="19"/>
      <c r="O3241" s="19"/>
      <c r="P3241" s="19" t="s">
        <v>9237</v>
      </c>
      <c r="Q3241" s="19" t="s">
        <v>6397</v>
      </c>
      <c r="R3241" s="21" t="n">
        <v>36719</v>
      </c>
      <c r="S3241" s="19" t="s">
        <v>6653</v>
      </c>
      <c r="T3241" s="19" t="s">
        <v>9276</v>
      </c>
      <c r="U3241" s="19" t="str">
        <f aca="false">HYPERLINK("https://macaulaylibrary.org/asset/104055","Open")</f>
        <v>Open</v>
      </c>
      <c r="V3241" s="19" t="s">
        <v>6455</v>
      </c>
    </row>
    <row r="3242" customFormat="false" ht="15" hidden="false" customHeight="false" outlineLevel="0" collapsed="false">
      <c r="A3242" s="19" t="s">
        <v>9277</v>
      </c>
      <c r="B3242" s="19" t="s">
        <v>943</v>
      </c>
      <c r="C3242" s="19" t="s">
        <v>8448</v>
      </c>
      <c r="D3242" s="19" t="s">
        <v>148</v>
      </c>
      <c r="E3242" s="19" t="s">
        <v>911</v>
      </c>
      <c r="F3242" s="19" t="s">
        <v>910</v>
      </c>
      <c r="G3242" s="19" t="n">
        <v>247</v>
      </c>
      <c r="H3242" s="19" t="s">
        <v>6463</v>
      </c>
      <c r="I3242" s="20" t="n">
        <v>57.777</v>
      </c>
      <c r="J3242" s="19" t="n">
        <f aca="false">IF(I3242="","",MIN(Overview!$B$8,MAX(1,CEILING(I3242/Overview!$B$7,1))))</f>
        <v>12</v>
      </c>
      <c r="K3242" s="19" t="n">
        <v>1</v>
      </c>
      <c r="L3242" s="19"/>
      <c r="M3242" s="20"/>
      <c r="N3242" s="19"/>
      <c r="O3242" s="19"/>
      <c r="P3242" s="19" t="s">
        <v>9278</v>
      </c>
      <c r="Q3242" s="19" t="s">
        <v>6397</v>
      </c>
      <c r="R3242" s="21" t="n">
        <v>36726</v>
      </c>
      <c r="S3242" s="19" t="s">
        <v>6680</v>
      </c>
      <c r="T3242" s="19" t="s">
        <v>9279</v>
      </c>
      <c r="U3242" s="19" t="str">
        <f aca="false">HYPERLINK("https://macaulaylibrary.org/asset/104166","Open")</f>
        <v>Open</v>
      </c>
      <c r="V3242" s="19" t="s">
        <v>6465</v>
      </c>
    </row>
    <row r="3243" customFormat="false" ht="15" hidden="false" customHeight="false" outlineLevel="0" collapsed="false">
      <c r="A3243" s="19" t="s">
        <v>9280</v>
      </c>
      <c r="B3243" s="19" t="s">
        <v>943</v>
      </c>
      <c r="C3243" s="19" t="s">
        <v>8448</v>
      </c>
      <c r="D3243" s="19" t="s">
        <v>148</v>
      </c>
      <c r="E3243" s="19" t="s">
        <v>911</v>
      </c>
      <c r="F3243" s="19" t="s">
        <v>910</v>
      </c>
      <c r="G3243" s="19" t="n">
        <v>247</v>
      </c>
      <c r="H3243" s="19" t="s">
        <v>6463</v>
      </c>
      <c r="I3243" s="20" t="n">
        <v>97.228</v>
      </c>
      <c r="J3243" s="19" t="n">
        <f aca="false">IF(I3243="","",MIN(Overview!$B$8,MAX(1,CEILING(I3243/Overview!$B$7,1))))</f>
        <v>20</v>
      </c>
      <c r="K3243" s="19" t="n">
        <v>1</v>
      </c>
      <c r="L3243" s="19"/>
      <c r="M3243" s="20"/>
      <c r="N3243" s="19"/>
      <c r="O3243" s="19"/>
      <c r="P3243" s="19" t="s">
        <v>9278</v>
      </c>
      <c r="Q3243" s="19" t="s">
        <v>6397</v>
      </c>
      <c r="R3243" s="21" t="n">
        <v>36726</v>
      </c>
      <c r="S3243" s="19" t="s">
        <v>6479</v>
      </c>
      <c r="T3243" s="19" t="s">
        <v>9281</v>
      </c>
      <c r="U3243" s="19" t="str">
        <f aca="false">HYPERLINK("https://macaulaylibrary.org/asset/104167","Open")</f>
        <v>Open</v>
      </c>
      <c r="V3243" s="19" t="s">
        <v>6465</v>
      </c>
    </row>
    <row r="3244" customFormat="false" ht="15" hidden="false" customHeight="false" outlineLevel="0" collapsed="false">
      <c r="A3244" s="19" t="s">
        <v>9282</v>
      </c>
      <c r="B3244" s="19" t="s">
        <v>943</v>
      </c>
      <c r="C3244" s="19" t="s">
        <v>8448</v>
      </c>
      <c r="D3244" s="19" t="s">
        <v>148</v>
      </c>
      <c r="E3244" s="19" t="s">
        <v>911</v>
      </c>
      <c r="F3244" s="19" t="s">
        <v>910</v>
      </c>
      <c r="G3244" s="19" t="n">
        <v>247</v>
      </c>
      <c r="H3244" s="19" t="s">
        <v>6463</v>
      </c>
      <c r="I3244" s="20" t="n">
        <v>104.084</v>
      </c>
      <c r="J3244" s="19" t="n">
        <f aca="false">IF(I3244="","",MIN(Overview!$B$8,MAX(1,CEILING(I3244/Overview!$B$7,1))))</f>
        <v>21</v>
      </c>
      <c r="K3244" s="19" t="n">
        <v>1</v>
      </c>
      <c r="L3244" s="19"/>
      <c r="M3244" s="20"/>
      <c r="N3244" s="19"/>
      <c r="O3244" s="19"/>
      <c r="P3244" s="19" t="s">
        <v>9278</v>
      </c>
      <c r="Q3244" s="19" t="s">
        <v>6397</v>
      </c>
      <c r="R3244" s="21" t="n">
        <v>36726</v>
      </c>
      <c r="S3244" s="19" t="s">
        <v>6685</v>
      </c>
      <c r="T3244" s="19" t="s">
        <v>9283</v>
      </c>
      <c r="U3244" s="19" t="str">
        <f aca="false">HYPERLINK("https://macaulaylibrary.org/asset/104168","Open")</f>
        <v>Open</v>
      </c>
      <c r="V3244" s="19" t="s">
        <v>6465</v>
      </c>
    </row>
    <row r="3245" customFormat="false" ht="15" hidden="false" customHeight="false" outlineLevel="0" collapsed="false">
      <c r="A3245" s="19" t="s">
        <v>9284</v>
      </c>
      <c r="B3245" s="19" t="s">
        <v>943</v>
      </c>
      <c r="C3245" s="19" t="s">
        <v>8448</v>
      </c>
      <c r="D3245" s="19" t="s">
        <v>148</v>
      </c>
      <c r="E3245" s="19" t="s">
        <v>911</v>
      </c>
      <c r="F3245" s="19" t="s">
        <v>910</v>
      </c>
      <c r="G3245" s="19" t="n">
        <v>247</v>
      </c>
      <c r="H3245" s="19" t="s">
        <v>6463</v>
      </c>
      <c r="I3245" s="20" t="n">
        <v>104.338</v>
      </c>
      <c r="J3245" s="19" t="n">
        <f aca="false">IF(I3245="","",MIN(Overview!$B$8,MAX(1,CEILING(I3245/Overview!$B$7,1))))</f>
        <v>21</v>
      </c>
      <c r="K3245" s="19" t="n">
        <v>1</v>
      </c>
      <c r="L3245" s="19"/>
      <c r="M3245" s="20"/>
      <c r="N3245" s="19"/>
      <c r="O3245" s="19"/>
      <c r="P3245" s="19" t="s">
        <v>9278</v>
      </c>
      <c r="Q3245" s="19" t="s">
        <v>6397</v>
      </c>
      <c r="R3245" s="21" t="n">
        <v>36726</v>
      </c>
      <c r="S3245" s="19" t="s">
        <v>3941</v>
      </c>
      <c r="T3245" s="19" t="s">
        <v>9285</v>
      </c>
      <c r="U3245" s="19" t="str">
        <f aca="false">HYPERLINK("https://macaulaylibrary.org/asset/104169","Open")</f>
        <v>Open</v>
      </c>
      <c r="V3245" s="19" t="s">
        <v>6465</v>
      </c>
    </row>
    <row r="3246" customFormat="false" ht="15" hidden="false" customHeight="false" outlineLevel="0" collapsed="false">
      <c r="A3246" s="19" t="s">
        <v>9286</v>
      </c>
      <c r="B3246" s="19" t="s">
        <v>943</v>
      </c>
      <c r="C3246" s="19" t="s">
        <v>8448</v>
      </c>
      <c r="D3246" s="19" t="s">
        <v>148</v>
      </c>
      <c r="E3246" s="19" t="s">
        <v>911</v>
      </c>
      <c r="F3246" s="19" t="s">
        <v>910</v>
      </c>
      <c r="G3246" s="19" t="n">
        <v>247</v>
      </c>
      <c r="H3246" s="19" t="s">
        <v>6463</v>
      </c>
      <c r="I3246" s="20" t="n">
        <v>105.25</v>
      </c>
      <c r="J3246" s="19" t="n">
        <f aca="false">IF(I3246="","",MIN(Overview!$B$8,MAX(1,CEILING(I3246/Overview!$B$7,1))))</f>
        <v>22</v>
      </c>
      <c r="K3246" s="19" t="n">
        <v>1</v>
      </c>
      <c r="L3246" s="19"/>
      <c r="M3246" s="20"/>
      <c r="N3246" s="19"/>
      <c r="O3246" s="19"/>
      <c r="P3246" s="19" t="s">
        <v>9278</v>
      </c>
      <c r="Q3246" s="19" t="s">
        <v>6397</v>
      </c>
      <c r="R3246" s="21" t="n">
        <v>36726</v>
      </c>
      <c r="S3246" s="19" t="s">
        <v>9287</v>
      </c>
      <c r="T3246" s="19" t="s">
        <v>9288</v>
      </c>
      <c r="U3246" s="19" t="str">
        <f aca="false">HYPERLINK("https://macaulaylibrary.org/asset/104170","Open")</f>
        <v>Open</v>
      </c>
      <c r="V3246" s="19" t="s">
        <v>6465</v>
      </c>
    </row>
    <row r="3247" customFormat="false" ht="15" hidden="false" customHeight="false" outlineLevel="0" collapsed="false">
      <c r="A3247" s="19" t="s">
        <v>9289</v>
      </c>
      <c r="B3247" s="19" t="s">
        <v>943</v>
      </c>
      <c r="C3247" s="19" t="s">
        <v>8448</v>
      </c>
      <c r="D3247" s="19" t="s">
        <v>148</v>
      </c>
      <c r="E3247" s="19" t="s">
        <v>911</v>
      </c>
      <c r="F3247" s="19" t="s">
        <v>910</v>
      </c>
      <c r="G3247" s="19" t="n">
        <v>247</v>
      </c>
      <c r="H3247" s="19" t="s">
        <v>6463</v>
      </c>
      <c r="I3247" s="20" t="n">
        <v>105.529</v>
      </c>
      <c r="J3247" s="19" t="n">
        <f aca="false">IF(I3247="","",MIN(Overview!$B$8,MAX(1,CEILING(I3247/Overview!$B$7,1))))</f>
        <v>22</v>
      </c>
      <c r="K3247" s="19" t="n">
        <v>1</v>
      </c>
      <c r="L3247" s="19"/>
      <c r="M3247" s="20"/>
      <c r="N3247" s="19"/>
      <c r="O3247" s="19"/>
      <c r="P3247" s="19" t="s">
        <v>9278</v>
      </c>
      <c r="Q3247" s="19" t="s">
        <v>6397</v>
      </c>
      <c r="R3247" s="21" t="n">
        <v>36726</v>
      </c>
      <c r="S3247" s="19" t="s">
        <v>6690</v>
      </c>
      <c r="T3247" s="19" t="s">
        <v>9290</v>
      </c>
      <c r="U3247" s="19" t="str">
        <f aca="false">HYPERLINK("https://macaulaylibrary.org/asset/104171","Open")</f>
        <v>Open</v>
      </c>
      <c r="V3247" s="19" t="s">
        <v>6465</v>
      </c>
    </row>
    <row r="3248" customFormat="false" ht="15" hidden="false" customHeight="false" outlineLevel="0" collapsed="false">
      <c r="A3248" s="19" t="s">
        <v>9291</v>
      </c>
      <c r="B3248" s="19" t="s">
        <v>943</v>
      </c>
      <c r="C3248" s="19" t="s">
        <v>8448</v>
      </c>
      <c r="D3248" s="19" t="s">
        <v>148</v>
      </c>
      <c r="E3248" s="19" t="s">
        <v>911</v>
      </c>
      <c r="F3248" s="19" t="s">
        <v>910</v>
      </c>
      <c r="G3248" s="19" t="n">
        <v>247</v>
      </c>
      <c r="H3248" s="19" t="s">
        <v>6463</v>
      </c>
      <c r="I3248" s="20" t="n">
        <v>108.697</v>
      </c>
      <c r="J3248" s="19" t="n">
        <f aca="false">IF(I3248="","",MIN(Overview!$B$8,MAX(1,CEILING(I3248/Overview!$B$7,1))))</f>
        <v>22</v>
      </c>
      <c r="K3248" s="19" t="n">
        <v>1</v>
      </c>
      <c r="L3248" s="19"/>
      <c r="M3248" s="20"/>
      <c r="N3248" s="19"/>
      <c r="O3248" s="19"/>
      <c r="P3248" s="19" t="s">
        <v>9278</v>
      </c>
      <c r="Q3248" s="19" t="s">
        <v>6397</v>
      </c>
      <c r="R3248" s="21" t="n">
        <v>36726</v>
      </c>
      <c r="S3248" s="19" t="s">
        <v>2820</v>
      </c>
      <c r="T3248" s="19" t="s">
        <v>9292</v>
      </c>
      <c r="U3248" s="19" t="str">
        <f aca="false">HYPERLINK("https://macaulaylibrary.org/asset/104172","Open")</f>
        <v>Open</v>
      </c>
      <c r="V3248" s="19" t="s">
        <v>6465</v>
      </c>
    </row>
    <row r="3249" customFormat="false" ht="15" hidden="false" customHeight="false" outlineLevel="0" collapsed="false">
      <c r="A3249" s="19" t="s">
        <v>9293</v>
      </c>
      <c r="B3249" s="19" t="s">
        <v>943</v>
      </c>
      <c r="C3249" s="19" t="s">
        <v>8448</v>
      </c>
      <c r="D3249" s="19" t="s">
        <v>148</v>
      </c>
      <c r="E3249" s="19" t="s">
        <v>911</v>
      </c>
      <c r="F3249" s="19" t="s">
        <v>910</v>
      </c>
      <c r="G3249" s="19" t="n">
        <v>247</v>
      </c>
      <c r="H3249" s="19" t="s">
        <v>6463</v>
      </c>
      <c r="I3249" s="20" t="n">
        <v>57.6</v>
      </c>
      <c r="J3249" s="19" t="n">
        <f aca="false">IF(I3249="","",MIN(Overview!$B$8,MAX(1,CEILING(I3249/Overview!$B$7,1))))</f>
        <v>12</v>
      </c>
      <c r="K3249" s="19" t="n">
        <v>1</v>
      </c>
      <c r="L3249" s="19"/>
      <c r="M3249" s="20"/>
      <c r="N3249" s="19"/>
      <c r="O3249" s="19"/>
      <c r="P3249" s="19" t="s">
        <v>9278</v>
      </c>
      <c r="Q3249" s="19" t="s">
        <v>6397</v>
      </c>
      <c r="R3249" s="21" t="n">
        <v>36726</v>
      </c>
      <c r="S3249" s="19" t="s">
        <v>9294</v>
      </c>
      <c r="T3249" s="19" t="s">
        <v>9295</v>
      </c>
      <c r="U3249" s="19" t="str">
        <f aca="false">HYPERLINK("https://macaulaylibrary.org/asset/104175","Open")</f>
        <v>Open</v>
      </c>
      <c r="V3249" s="19" t="s">
        <v>6465</v>
      </c>
    </row>
    <row r="3250" customFormat="false" ht="15" hidden="false" customHeight="false" outlineLevel="0" collapsed="false">
      <c r="A3250" s="19" t="s">
        <v>9296</v>
      </c>
      <c r="B3250" s="19" t="s">
        <v>943</v>
      </c>
      <c r="C3250" s="19" t="s">
        <v>8448</v>
      </c>
      <c r="D3250" s="19" t="s">
        <v>148</v>
      </c>
      <c r="E3250" s="19" t="s">
        <v>911</v>
      </c>
      <c r="F3250" s="19" t="s">
        <v>912</v>
      </c>
      <c r="G3250" s="19" t="n">
        <v>248</v>
      </c>
      <c r="H3250" s="19" t="s">
        <v>9297</v>
      </c>
      <c r="I3250" s="20" t="n">
        <v>1604.694</v>
      </c>
      <c r="J3250" s="19" t="n">
        <f aca="false">IF(I3250="","",MIN(Overview!$B$8,MAX(1,CEILING(I3250/Overview!$B$7,1))))</f>
        <v>120</v>
      </c>
      <c r="K3250" s="19" t="n">
        <v>1</v>
      </c>
      <c r="L3250" s="19"/>
      <c r="M3250" s="20" t="n">
        <v>3</v>
      </c>
      <c r="N3250" s="19"/>
      <c r="O3250" s="19" t="s">
        <v>9298</v>
      </c>
      <c r="P3250" s="19" t="s">
        <v>7092</v>
      </c>
      <c r="Q3250" s="19" t="s">
        <v>980</v>
      </c>
      <c r="R3250" s="21" t="n">
        <v>35198</v>
      </c>
      <c r="S3250" s="19" t="s">
        <v>9299</v>
      </c>
      <c r="T3250" s="19" t="s">
        <v>9300</v>
      </c>
      <c r="U3250" s="19" t="str">
        <f aca="false">HYPERLINK("https://macaulaylibrary.org/asset/166888","Open")</f>
        <v>Open</v>
      </c>
      <c r="V3250" s="19" t="s">
        <v>9301</v>
      </c>
    </row>
    <row r="3251" customFormat="false" ht="15" hidden="false" customHeight="false" outlineLevel="0" collapsed="false">
      <c r="A3251" s="19" t="s">
        <v>9302</v>
      </c>
      <c r="B3251" s="19" t="s">
        <v>943</v>
      </c>
      <c r="C3251" s="19" t="s">
        <v>8448</v>
      </c>
      <c r="D3251" s="19" t="s">
        <v>148</v>
      </c>
      <c r="E3251" s="19" t="s">
        <v>911</v>
      </c>
      <c r="F3251" s="19" t="s">
        <v>912</v>
      </c>
      <c r="G3251" s="19" t="n">
        <v>248</v>
      </c>
      <c r="H3251" s="19" t="s">
        <v>6744</v>
      </c>
      <c r="I3251" s="20" t="n">
        <v>299.832</v>
      </c>
      <c r="J3251" s="19" t="n">
        <f aca="false">IF(I3251="","",MIN(Overview!$B$8,MAX(1,CEILING(I3251/Overview!$B$7,1))))</f>
        <v>60</v>
      </c>
      <c r="K3251" s="19" t="n">
        <v>1</v>
      </c>
      <c r="L3251" s="19"/>
      <c r="M3251" s="20" t="n">
        <v>3</v>
      </c>
      <c r="N3251" s="19"/>
      <c r="O3251" s="19" t="s">
        <v>9303</v>
      </c>
      <c r="P3251" s="19" t="s">
        <v>7092</v>
      </c>
      <c r="Q3251" s="19" t="s">
        <v>980</v>
      </c>
      <c r="R3251" s="21" t="n">
        <v>35198</v>
      </c>
      <c r="S3251" s="19" t="s">
        <v>9304</v>
      </c>
      <c r="T3251" s="19" t="s">
        <v>9305</v>
      </c>
      <c r="U3251" s="19" t="str">
        <f aca="false">HYPERLINK("https://macaulaylibrary.org/asset/166889","Open")</f>
        <v>Open</v>
      </c>
      <c r="V3251" s="19" t="s">
        <v>6746</v>
      </c>
    </row>
    <row r="3252" customFormat="false" ht="15" hidden="false" customHeight="false" outlineLevel="0" collapsed="false">
      <c r="A3252" s="19" t="s">
        <v>9306</v>
      </c>
      <c r="B3252" s="19" t="s">
        <v>943</v>
      </c>
      <c r="C3252" s="19" t="s">
        <v>8448</v>
      </c>
      <c r="D3252" s="19" t="s">
        <v>148</v>
      </c>
      <c r="E3252" s="19" t="s">
        <v>911</v>
      </c>
      <c r="F3252" s="19" t="s">
        <v>912</v>
      </c>
      <c r="G3252" s="19" t="n">
        <v>248</v>
      </c>
      <c r="H3252" s="19" t="s">
        <v>8410</v>
      </c>
      <c r="I3252" s="20" t="n">
        <v>255.933</v>
      </c>
      <c r="J3252" s="19" t="n">
        <f aca="false">IF(I3252="","",MIN(Overview!$B$8,MAX(1,CEILING(I3252/Overview!$B$7,1))))</f>
        <v>52</v>
      </c>
      <c r="K3252" s="19" t="n">
        <v>1</v>
      </c>
      <c r="L3252" s="19"/>
      <c r="M3252" s="20" t="n">
        <v>3</v>
      </c>
      <c r="N3252" s="19"/>
      <c r="O3252" s="19" t="s">
        <v>9307</v>
      </c>
      <c r="P3252" s="19" t="s">
        <v>7092</v>
      </c>
      <c r="Q3252" s="19" t="s">
        <v>980</v>
      </c>
      <c r="R3252" s="21" t="n">
        <v>35198</v>
      </c>
      <c r="S3252" s="19"/>
      <c r="T3252" s="19" t="s">
        <v>9308</v>
      </c>
      <c r="U3252" s="19" t="str">
        <f aca="false">HYPERLINK("https://macaulaylibrary.org/asset/166894","Open")</f>
        <v>Open</v>
      </c>
      <c r="V3252" s="19" t="s">
        <v>8414</v>
      </c>
    </row>
    <row r="3253" customFormat="false" ht="15" hidden="false" customHeight="false" outlineLevel="0" collapsed="false">
      <c r="A3253" s="19" t="s">
        <v>9309</v>
      </c>
      <c r="B3253" s="19" t="s">
        <v>943</v>
      </c>
      <c r="C3253" s="19" t="s">
        <v>8448</v>
      </c>
      <c r="D3253" s="19" t="s">
        <v>148</v>
      </c>
      <c r="E3253" s="19" t="s">
        <v>911</v>
      </c>
      <c r="F3253" s="19" t="s">
        <v>912</v>
      </c>
      <c r="G3253" s="19" t="n">
        <v>248</v>
      </c>
      <c r="H3253" s="19" t="s">
        <v>9310</v>
      </c>
      <c r="I3253" s="20" t="n">
        <v>402.759</v>
      </c>
      <c r="J3253" s="19" t="n">
        <f aca="false">IF(I3253="","",MIN(Overview!$B$8,MAX(1,CEILING(I3253/Overview!$B$7,1))))</f>
        <v>81</v>
      </c>
      <c r="K3253" s="19" t="n">
        <v>1</v>
      </c>
      <c r="L3253" s="19"/>
      <c r="M3253" s="20" t="n">
        <v>3</v>
      </c>
      <c r="N3253" s="19"/>
      <c r="O3253" s="19" t="s">
        <v>9311</v>
      </c>
      <c r="P3253" s="19" t="s">
        <v>7092</v>
      </c>
      <c r="Q3253" s="19" t="s">
        <v>980</v>
      </c>
      <c r="R3253" s="21" t="n">
        <v>35198</v>
      </c>
      <c r="S3253" s="19" t="s">
        <v>9312</v>
      </c>
      <c r="T3253" s="19" t="s">
        <v>9313</v>
      </c>
      <c r="U3253" s="19" t="str">
        <f aca="false">HYPERLINK("https://macaulaylibrary.org/asset/166895","Open")</f>
        <v>Open</v>
      </c>
      <c r="V3253" s="19" t="s">
        <v>9314</v>
      </c>
    </row>
    <row r="3254" customFormat="false" ht="15" hidden="false" customHeight="false" outlineLevel="0" collapsed="false">
      <c r="A3254" s="19" t="s">
        <v>9315</v>
      </c>
      <c r="B3254" s="19" t="s">
        <v>943</v>
      </c>
      <c r="C3254" s="19" t="s">
        <v>8448</v>
      </c>
      <c r="D3254" s="19" t="s">
        <v>148</v>
      </c>
      <c r="E3254" s="19" t="s">
        <v>911</v>
      </c>
      <c r="F3254" s="19" t="s">
        <v>912</v>
      </c>
      <c r="G3254" s="19" t="n">
        <v>248</v>
      </c>
      <c r="H3254" s="19" t="s">
        <v>6814</v>
      </c>
      <c r="I3254" s="20" t="n">
        <v>18.027</v>
      </c>
      <c r="J3254" s="19" t="n">
        <f aca="false">IF(I3254="","",MIN(Overview!$B$8,MAX(1,CEILING(I3254/Overview!$B$7,1))))</f>
        <v>4</v>
      </c>
      <c r="K3254" s="19" t="n">
        <v>1</v>
      </c>
      <c r="L3254" s="19"/>
      <c r="M3254" s="20"/>
      <c r="N3254" s="19"/>
      <c r="O3254" s="19"/>
      <c r="P3254" s="19" t="s">
        <v>9316</v>
      </c>
      <c r="Q3254" s="19" t="s">
        <v>2207</v>
      </c>
      <c r="R3254" s="21" t="n">
        <v>45609</v>
      </c>
      <c r="S3254" s="19" t="s">
        <v>9317</v>
      </c>
      <c r="T3254" s="19" t="s">
        <v>9318</v>
      </c>
      <c r="U3254" s="19" t="str">
        <f aca="false">HYPERLINK("https://macaulaylibrary.org/asset/635720110","Open")</f>
        <v>Open</v>
      </c>
      <c r="V3254" s="19" t="s">
        <v>6817</v>
      </c>
    </row>
    <row r="3255" customFormat="false" ht="15" hidden="false" customHeight="false" outlineLevel="0" collapsed="false">
      <c r="A3255" s="19" t="s">
        <v>9319</v>
      </c>
      <c r="B3255" s="19" t="s">
        <v>943</v>
      </c>
      <c r="C3255" s="19" t="s">
        <v>8448</v>
      </c>
      <c r="D3255" s="19" t="s">
        <v>148</v>
      </c>
      <c r="E3255" s="19" t="s">
        <v>911</v>
      </c>
      <c r="F3255" s="19" t="s">
        <v>912</v>
      </c>
      <c r="G3255" s="19" t="n">
        <v>248</v>
      </c>
      <c r="H3255" s="19" t="s">
        <v>6744</v>
      </c>
      <c r="I3255" s="20" t="n">
        <v>253.952</v>
      </c>
      <c r="J3255" s="19" t="n">
        <f aca="false">IF(I3255="","",MIN(Overview!$B$8,MAX(1,CEILING(I3255/Overview!$B$7,1))))</f>
        <v>51</v>
      </c>
      <c r="K3255" s="19" t="n">
        <v>1</v>
      </c>
      <c r="L3255" s="19"/>
      <c r="M3255" s="20" t="n">
        <v>4</v>
      </c>
      <c r="N3255" s="19"/>
      <c r="O3255" s="19"/>
      <c r="P3255" s="19" t="s">
        <v>1567</v>
      </c>
      <c r="Q3255" s="19" t="s">
        <v>980</v>
      </c>
      <c r="R3255" s="21" t="n">
        <v>33294</v>
      </c>
      <c r="S3255" s="19" t="s">
        <v>9320</v>
      </c>
      <c r="T3255" s="19" t="s">
        <v>9321</v>
      </c>
      <c r="U3255" s="19" t="str">
        <f aca="false">HYPERLINK("https://macaulaylibrary.org/asset/72601","Open")</f>
        <v>Open</v>
      </c>
      <c r="V3255" s="19" t="s">
        <v>6746</v>
      </c>
    </row>
    <row r="3256" customFormat="false" ht="15" hidden="false" customHeight="false" outlineLevel="0" collapsed="false">
      <c r="A3256" s="19" t="s">
        <v>9322</v>
      </c>
      <c r="B3256" s="19" t="s">
        <v>943</v>
      </c>
      <c r="C3256" s="19" t="s">
        <v>8448</v>
      </c>
      <c r="D3256" s="19" t="s">
        <v>148</v>
      </c>
      <c r="E3256" s="19" t="s">
        <v>911</v>
      </c>
      <c r="F3256" s="19" t="s">
        <v>914</v>
      </c>
      <c r="G3256" s="19" t="n">
        <v>250</v>
      </c>
      <c r="H3256" s="19" t="s">
        <v>9323</v>
      </c>
      <c r="I3256" s="20" t="n">
        <v>59.5</v>
      </c>
      <c r="J3256" s="19" t="n">
        <f aca="false">IF(I3256="","",MIN(Overview!$B$8,MAX(1,CEILING(I3256/Overview!$B$7,1))))</f>
        <v>12</v>
      </c>
      <c r="K3256" s="19" t="n">
        <v>1</v>
      </c>
      <c r="L3256" s="19"/>
      <c r="M3256" s="20" t="n">
        <v>1.6</v>
      </c>
      <c r="N3256" s="19"/>
      <c r="O3256" s="19"/>
      <c r="P3256" s="19" t="s">
        <v>9324</v>
      </c>
      <c r="Q3256" s="19" t="s">
        <v>1218</v>
      </c>
      <c r="R3256" s="21" t="n">
        <v>34811</v>
      </c>
      <c r="S3256" s="19" t="s">
        <v>2930</v>
      </c>
      <c r="T3256" s="19" t="s">
        <v>9325</v>
      </c>
      <c r="U3256" s="19" t="str">
        <f aca="false">HYPERLINK("https://macaulaylibrary.org/asset/184240","Open")</f>
        <v>Open</v>
      </c>
      <c r="V3256" s="19" t="s">
        <v>9326</v>
      </c>
    </row>
    <row r="3257" customFormat="false" ht="15" hidden="false" customHeight="false" outlineLevel="0" collapsed="false">
      <c r="A3257" s="19" t="s">
        <v>9327</v>
      </c>
      <c r="B3257" s="19" t="s">
        <v>943</v>
      </c>
      <c r="C3257" s="19" t="s">
        <v>8448</v>
      </c>
      <c r="D3257" s="19" t="s">
        <v>148</v>
      </c>
      <c r="E3257" s="19" t="s">
        <v>911</v>
      </c>
      <c r="F3257" s="19" t="s">
        <v>914</v>
      </c>
      <c r="G3257" s="19" t="n">
        <v>250</v>
      </c>
      <c r="H3257" s="19" t="s">
        <v>8432</v>
      </c>
      <c r="I3257" s="20" t="n">
        <v>18.413</v>
      </c>
      <c r="J3257" s="19" t="n">
        <f aca="false">IF(I3257="","",MIN(Overview!$B$8,MAX(1,CEILING(I3257/Overview!$B$7,1))))</f>
        <v>4</v>
      </c>
      <c r="K3257" s="19" t="n">
        <v>1</v>
      </c>
      <c r="L3257" s="19"/>
      <c r="M3257" s="20"/>
      <c r="N3257" s="19"/>
      <c r="O3257" s="19"/>
      <c r="P3257" s="19" t="s">
        <v>2424</v>
      </c>
      <c r="Q3257" s="19" t="s">
        <v>2207</v>
      </c>
      <c r="R3257" s="21" t="n">
        <v>45610</v>
      </c>
      <c r="S3257" s="19" t="s">
        <v>2425</v>
      </c>
      <c r="T3257" s="19" t="s">
        <v>9328</v>
      </c>
      <c r="U3257" s="19" t="str">
        <f aca="false">HYPERLINK("https://macaulaylibrary.org/asset/635719840","Open")</f>
        <v>Open</v>
      </c>
      <c r="V3257" s="19" t="s">
        <v>8434</v>
      </c>
    </row>
    <row r="3258" customFormat="false" ht="15" hidden="false" customHeight="false" outlineLevel="0" collapsed="false">
      <c r="A3258" s="19" t="s">
        <v>9329</v>
      </c>
      <c r="B3258" s="19" t="s">
        <v>9330</v>
      </c>
      <c r="C3258" s="19" t="s">
        <v>9331</v>
      </c>
      <c r="D3258" s="19" t="s">
        <v>9332</v>
      </c>
      <c r="E3258" s="19" t="s">
        <v>147</v>
      </c>
      <c r="F3258" s="19" t="s">
        <v>155</v>
      </c>
      <c r="G3258" s="19" t="n">
        <v>104</v>
      </c>
      <c r="H3258" s="19" t="s">
        <v>156</v>
      </c>
      <c r="I3258" s="20"/>
      <c r="J3258" s="19" t="str">
        <f aca="false">IF(I3258="","",MIN(Overview!$B$8,MAX(1,CEILING(I3258/Overview!$B$7,1))))</f>
        <v/>
      </c>
      <c r="K3258" s="19"/>
      <c r="L3258" s="19"/>
      <c r="M3258" s="20"/>
      <c r="N3258" s="19"/>
      <c r="O3258" s="19"/>
      <c r="P3258" s="19" t="s">
        <v>9333</v>
      </c>
      <c r="Q3258" s="19" t="s">
        <v>9334</v>
      </c>
      <c r="R3258" s="21" t="n">
        <v>44730</v>
      </c>
      <c r="S3258" s="19" t="s">
        <v>9335</v>
      </c>
      <c r="T3258" s="19" t="s">
        <v>9336</v>
      </c>
      <c r="U3258" s="19" t="str">
        <f aca="false">HYPERLINK("https://drive.google.com/file/d/1OLWgL-ozIaPw9gmSt2KbrXVLhmRgwsN6/view","Open")</f>
        <v>Open</v>
      </c>
      <c r="V3258" s="19" t="s">
        <v>9337</v>
      </c>
    </row>
    <row r="3259" customFormat="false" ht="15" hidden="false" customHeight="false" outlineLevel="0" collapsed="false">
      <c r="A3259" s="19" t="s">
        <v>9338</v>
      </c>
      <c r="B3259" s="19" t="s">
        <v>9330</v>
      </c>
      <c r="C3259" s="19" t="s">
        <v>9331</v>
      </c>
      <c r="D3259" s="19" t="s">
        <v>9332</v>
      </c>
      <c r="E3259" s="19" t="s">
        <v>147</v>
      </c>
      <c r="F3259" s="19" t="s">
        <v>252</v>
      </c>
      <c r="G3259" s="19" t="n">
        <v>106</v>
      </c>
      <c r="H3259" s="19" t="s">
        <v>253</v>
      </c>
      <c r="I3259" s="20"/>
      <c r="J3259" s="19" t="str">
        <f aca="false">IF(I3259="","",MIN(Overview!$B$8,MAX(1,CEILING(I3259/Overview!$B$7,1))))</f>
        <v/>
      </c>
      <c r="K3259" s="19"/>
      <c r="L3259" s="19"/>
      <c r="M3259" s="20"/>
      <c r="N3259" s="19"/>
      <c r="O3259" s="19"/>
      <c r="P3259" s="19" t="s">
        <v>9333</v>
      </c>
      <c r="Q3259" s="19" t="s">
        <v>9334</v>
      </c>
      <c r="R3259" s="21" t="n">
        <v>44730</v>
      </c>
      <c r="S3259" s="19" t="s">
        <v>9339</v>
      </c>
      <c r="T3259" s="19" t="s">
        <v>9340</v>
      </c>
      <c r="U3259" s="19" t="str">
        <f aca="false">HYPERLINK("https://drive.google.com/file/d/1PTf7yxHUFUPr7xcm0rpVJ0oVRyrN3l9a/view","Open")</f>
        <v>Open</v>
      </c>
      <c r="V3259" s="19" t="s">
        <v>9341</v>
      </c>
    </row>
    <row r="3260" customFormat="false" ht="15" hidden="false" customHeight="false" outlineLevel="0" collapsed="false">
      <c r="A3260" s="19" t="s">
        <v>9342</v>
      </c>
      <c r="B3260" s="19" t="s">
        <v>9330</v>
      </c>
      <c r="C3260" s="19" t="s">
        <v>9331</v>
      </c>
      <c r="D3260" s="19" t="s">
        <v>9332</v>
      </c>
      <c r="E3260" s="19" t="s">
        <v>147</v>
      </c>
      <c r="F3260" s="19" t="s">
        <v>252</v>
      </c>
      <c r="G3260" s="19" t="n">
        <v>106</v>
      </c>
      <c r="H3260" s="19" t="s">
        <v>253</v>
      </c>
      <c r="I3260" s="20"/>
      <c r="J3260" s="19" t="str">
        <f aca="false">IF(I3260="","",MIN(Overview!$B$8,MAX(1,CEILING(I3260/Overview!$B$7,1))))</f>
        <v/>
      </c>
      <c r="K3260" s="19"/>
      <c r="L3260" s="19"/>
      <c r="M3260" s="20"/>
      <c r="N3260" s="19"/>
      <c r="O3260" s="19"/>
      <c r="P3260" s="19" t="s">
        <v>9333</v>
      </c>
      <c r="Q3260" s="19" t="s">
        <v>9334</v>
      </c>
      <c r="R3260" s="21" t="n">
        <v>44730</v>
      </c>
      <c r="S3260" s="19" t="s">
        <v>9343</v>
      </c>
      <c r="T3260" s="19" t="s">
        <v>9344</v>
      </c>
      <c r="U3260" s="19" t="str">
        <f aca="false">HYPERLINK("https://drive.google.com/file/d/1R5GoR5zDhvgnwl9HiltF3F69JuFsIi-x/view","Open")</f>
        <v>Open</v>
      </c>
      <c r="V3260" s="19" t="s">
        <v>9345</v>
      </c>
    </row>
    <row r="3261" customFormat="false" ht="15" hidden="false" customHeight="false" outlineLevel="0" collapsed="false">
      <c r="A3261" s="19" t="s">
        <v>9346</v>
      </c>
      <c r="B3261" s="19" t="s">
        <v>9330</v>
      </c>
      <c r="C3261" s="19" t="s">
        <v>9331</v>
      </c>
      <c r="D3261" s="19" t="s">
        <v>9332</v>
      </c>
      <c r="E3261" s="19" t="s">
        <v>911</v>
      </c>
      <c r="F3261" s="19" t="s">
        <v>914</v>
      </c>
      <c r="G3261" s="19" t="n">
        <v>250</v>
      </c>
      <c r="H3261" s="19"/>
      <c r="I3261" s="20"/>
      <c r="J3261" s="19" t="str">
        <f aca="false">IF(I3261="","",MIN(Overview!$B$8,MAX(1,CEILING(I3261/Overview!$B$7,1))))</f>
        <v/>
      </c>
      <c r="K3261" s="19"/>
      <c r="L3261" s="19"/>
      <c r="M3261" s="20"/>
      <c r="N3261" s="19"/>
      <c r="O3261" s="19"/>
      <c r="P3261" s="19" t="s">
        <v>9333</v>
      </c>
      <c r="Q3261" s="19" t="s">
        <v>9334</v>
      </c>
      <c r="R3261" s="21" t="n">
        <v>44730</v>
      </c>
      <c r="S3261" s="19" t="s">
        <v>9347</v>
      </c>
      <c r="T3261" s="19" t="s">
        <v>9348</v>
      </c>
      <c r="U3261" s="19" t="str">
        <f aca="false">HYPERLINK("https://drive.google.com/file/d/1NTWYCaxeNt_6DnJo-cNppForrrKF4gr1/view","Open")</f>
        <v>Open</v>
      </c>
      <c r="V3261" s="19" t="s">
        <v>9349</v>
      </c>
    </row>
    <row r="3262" customFormat="false" ht="15" hidden="false" customHeight="false" outlineLevel="0" collapsed="false">
      <c r="A3262" s="19" t="s">
        <v>9350</v>
      </c>
      <c r="B3262" s="19" t="s">
        <v>9330</v>
      </c>
      <c r="C3262" s="19" t="s">
        <v>9331</v>
      </c>
      <c r="D3262" s="19" t="s">
        <v>9332</v>
      </c>
      <c r="E3262" s="19" t="s">
        <v>147</v>
      </c>
      <c r="F3262" s="19" t="s">
        <v>252</v>
      </c>
      <c r="G3262" s="19" t="n">
        <v>106</v>
      </c>
      <c r="H3262" s="19" t="s">
        <v>253</v>
      </c>
      <c r="I3262" s="20"/>
      <c r="J3262" s="19" t="str">
        <f aca="false">IF(I3262="","",MIN(Overview!$B$8,MAX(1,CEILING(I3262/Overview!$B$7,1))))</f>
        <v/>
      </c>
      <c r="K3262" s="19"/>
      <c r="L3262" s="19" t="s">
        <v>9351</v>
      </c>
      <c r="M3262" s="20"/>
      <c r="N3262" s="19"/>
      <c r="O3262" s="19"/>
      <c r="P3262" s="19" t="s">
        <v>9333</v>
      </c>
      <c r="Q3262" s="19" t="s">
        <v>9334</v>
      </c>
      <c r="R3262" s="21" t="n">
        <v>44730</v>
      </c>
      <c r="S3262" s="19" t="s">
        <v>9352</v>
      </c>
      <c r="T3262" s="19" t="s">
        <v>9353</v>
      </c>
      <c r="U3262" s="19" t="str">
        <f aca="false">HYPERLINK("https://drive.google.com/file/d/1Lj4AhqhgrC6NLnIM5cWfFpkcMOvLgFLJ/view","Open")</f>
        <v>Open</v>
      </c>
      <c r="V3262" s="19" t="s">
        <v>9354</v>
      </c>
    </row>
    <row r="3263" customFormat="false" ht="15" hidden="false" customHeight="false" outlineLevel="0" collapsed="false">
      <c r="A3263" s="19" t="s">
        <v>9355</v>
      </c>
      <c r="B3263" s="19" t="s">
        <v>9330</v>
      </c>
      <c r="C3263" s="19" t="s">
        <v>9331</v>
      </c>
      <c r="D3263" s="19" t="s">
        <v>9332</v>
      </c>
      <c r="E3263" s="19" t="s">
        <v>147</v>
      </c>
      <c r="F3263" s="19" t="s">
        <v>184</v>
      </c>
      <c r="G3263" s="19" t="n">
        <v>39</v>
      </c>
      <c r="H3263" s="19" t="s">
        <v>185</v>
      </c>
      <c r="I3263" s="20"/>
      <c r="J3263" s="19" t="str">
        <f aca="false">IF(I3263="","",MIN(Overview!$B$8,MAX(1,CEILING(I3263/Overview!$B$7,1))))</f>
        <v/>
      </c>
      <c r="K3263" s="19"/>
      <c r="L3263" s="19" t="s">
        <v>9351</v>
      </c>
      <c r="M3263" s="20"/>
      <c r="N3263" s="19"/>
      <c r="O3263" s="19"/>
      <c r="P3263" s="19" t="s">
        <v>9333</v>
      </c>
      <c r="Q3263" s="19" t="s">
        <v>9334</v>
      </c>
      <c r="R3263" s="21" t="n">
        <v>44730</v>
      </c>
      <c r="S3263" s="19" t="s">
        <v>9356</v>
      </c>
      <c r="T3263" s="19" t="s">
        <v>9357</v>
      </c>
      <c r="U3263" s="19" t="str">
        <f aca="false">HYPERLINK("https://drive.google.com/file/d/1N0hh-DcQUJqNcyiLik9hi1A2VhCdALJe/view","Open")</f>
        <v>Open</v>
      </c>
      <c r="V3263" s="19" t="s">
        <v>9358</v>
      </c>
    </row>
    <row r="3264" customFormat="false" ht="15" hidden="false" customHeight="false" outlineLevel="0" collapsed="false">
      <c r="A3264" s="19" t="s">
        <v>9359</v>
      </c>
      <c r="B3264" s="19" t="s">
        <v>9330</v>
      </c>
      <c r="C3264" s="19" t="s">
        <v>9331</v>
      </c>
      <c r="D3264" s="19" t="s">
        <v>9332</v>
      </c>
      <c r="E3264" s="19" t="s">
        <v>147</v>
      </c>
      <c r="F3264" s="19" t="s">
        <v>184</v>
      </c>
      <c r="G3264" s="19" t="n">
        <v>39</v>
      </c>
      <c r="H3264" s="19" t="s">
        <v>185</v>
      </c>
      <c r="I3264" s="20"/>
      <c r="J3264" s="19" t="str">
        <f aca="false">IF(I3264="","",MIN(Overview!$B$8,MAX(1,CEILING(I3264/Overview!$B$7,1))))</f>
        <v/>
      </c>
      <c r="K3264" s="19"/>
      <c r="L3264" s="19"/>
      <c r="M3264" s="20"/>
      <c r="N3264" s="19"/>
      <c r="O3264" s="19"/>
      <c r="P3264" s="19" t="s">
        <v>9333</v>
      </c>
      <c r="Q3264" s="19" t="s">
        <v>9334</v>
      </c>
      <c r="R3264" s="21" t="n">
        <v>44730</v>
      </c>
      <c r="S3264" s="19" t="s">
        <v>9360</v>
      </c>
      <c r="T3264" s="19" t="s">
        <v>9361</v>
      </c>
      <c r="U3264" s="19" t="str">
        <f aca="false">HYPERLINK("https://drive.google.com/file/d/1MEkqIrIWhF_0mYMOsXNOzAIh9pgjU3Gl/view","Open")</f>
        <v>Open</v>
      </c>
      <c r="V3264" s="19" t="s">
        <v>9362</v>
      </c>
    </row>
    <row r="3265" customFormat="false" ht="15" hidden="false" customHeight="false" outlineLevel="0" collapsed="false">
      <c r="A3265" s="19" t="s">
        <v>9363</v>
      </c>
      <c r="B3265" s="19" t="s">
        <v>9330</v>
      </c>
      <c r="C3265" s="19" t="s">
        <v>9331</v>
      </c>
      <c r="D3265" s="19" t="s">
        <v>9332</v>
      </c>
      <c r="E3265" s="19" t="s">
        <v>147</v>
      </c>
      <c r="F3265" s="19" t="s">
        <v>292</v>
      </c>
      <c r="G3265" s="19" t="n">
        <v>133</v>
      </c>
      <c r="H3265" s="19" t="s">
        <v>293</v>
      </c>
      <c r="I3265" s="20"/>
      <c r="J3265" s="19" t="str">
        <f aca="false">IF(I3265="","",MIN(Overview!$B$8,MAX(1,CEILING(I3265/Overview!$B$7,1))))</f>
        <v/>
      </c>
      <c r="K3265" s="19"/>
      <c r="L3265" s="19"/>
      <c r="M3265" s="20"/>
      <c r="N3265" s="19"/>
      <c r="O3265" s="19"/>
      <c r="P3265" s="19" t="s">
        <v>9333</v>
      </c>
      <c r="Q3265" s="19" t="s">
        <v>9334</v>
      </c>
      <c r="R3265" s="21" t="n">
        <v>44730</v>
      </c>
      <c r="S3265" s="19" t="s">
        <v>9364</v>
      </c>
      <c r="T3265" s="19" t="s">
        <v>9365</v>
      </c>
      <c r="U3265" s="19" t="str">
        <f aca="false">HYPERLINK("https://drive.google.com/file/d/1OUogRQYoSpr4TWydvvpZiuw8eAWS67p1/view","Open")</f>
        <v>Open</v>
      </c>
      <c r="V3265" s="19" t="s">
        <v>9366</v>
      </c>
    </row>
    <row r="3266" customFormat="false" ht="15" hidden="false" customHeight="false" outlineLevel="0" collapsed="false">
      <c r="A3266" s="19" t="s">
        <v>9367</v>
      </c>
      <c r="B3266" s="19" t="s">
        <v>9330</v>
      </c>
      <c r="C3266" s="19" t="s">
        <v>9331</v>
      </c>
      <c r="D3266" s="19" t="s">
        <v>9332</v>
      </c>
      <c r="E3266" s="19" t="s">
        <v>147</v>
      </c>
      <c r="F3266" s="19" t="s">
        <v>162</v>
      </c>
      <c r="G3266" s="19" t="n">
        <v>165</v>
      </c>
      <c r="H3266" s="19" t="s">
        <v>163</v>
      </c>
      <c r="I3266" s="20"/>
      <c r="J3266" s="19" t="str">
        <f aca="false">IF(I3266="","",MIN(Overview!$B$8,MAX(1,CEILING(I3266/Overview!$B$7,1))))</f>
        <v/>
      </c>
      <c r="K3266" s="19"/>
      <c r="L3266" s="19"/>
      <c r="M3266" s="20"/>
      <c r="N3266" s="19"/>
      <c r="O3266" s="19"/>
      <c r="P3266" s="19" t="s">
        <v>9333</v>
      </c>
      <c r="Q3266" s="19" t="s">
        <v>9334</v>
      </c>
      <c r="R3266" s="21" t="n">
        <v>44730</v>
      </c>
      <c r="S3266" s="19" t="s">
        <v>9368</v>
      </c>
      <c r="T3266" s="19" t="s">
        <v>9369</v>
      </c>
      <c r="U3266" s="19" t="str">
        <f aca="false">HYPERLINK("https://drive.google.com/file/d/1OGzS2JhE_aVyrJFDGJCtSQLqqcHzZsl6/view","Open")</f>
        <v>Open</v>
      </c>
      <c r="V3266" s="19" t="s">
        <v>9370</v>
      </c>
    </row>
    <row r="3267" customFormat="false" ht="15" hidden="false" customHeight="false" outlineLevel="0" collapsed="false">
      <c r="A3267" s="19" t="s">
        <v>9371</v>
      </c>
      <c r="B3267" s="19" t="s">
        <v>9330</v>
      </c>
      <c r="C3267" s="19" t="s">
        <v>9331</v>
      </c>
      <c r="D3267" s="19" t="s">
        <v>9332</v>
      </c>
      <c r="E3267" s="19" t="s">
        <v>147</v>
      </c>
      <c r="F3267" s="19" t="s">
        <v>144</v>
      </c>
      <c r="G3267" s="19" t="n">
        <v>217</v>
      </c>
      <c r="H3267" s="19" t="s">
        <v>145</v>
      </c>
      <c r="I3267" s="20"/>
      <c r="J3267" s="19" t="str">
        <f aca="false">IF(I3267="","",MIN(Overview!$B$8,MAX(1,CEILING(I3267/Overview!$B$7,1))))</f>
        <v/>
      </c>
      <c r="K3267" s="19"/>
      <c r="L3267" s="19" t="s">
        <v>9372</v>
      </c>
      <c r="M3267" s="20"/>
      <c r="N3267" s="19"/>
      <c r="O3267" s="19"/>
      <c r="P3267" s="19" t="s">
        <v>9333</v>
      </c>
      <c r="Q3267" s="19" t="s">
        <v>9334</v>
      </c>
      <c r="R3267" s="21" t="n">
        <v>44730</v>
      </c>
      <c r="S3267" s="19" t="s">
        <v>9373</v>
      </c>
      <c r="T3267" s="19" t="s">
        <v>9374</v>
      </c>
      <c r="U3267" s="19" t="str">
        <f aca="false">HYPERLINK("https://drive.google.com/file/d/1Ph30uo9N5juiSDqbCtfE5uVHUYuCKU2M/view","Open")</f>
        <v>Open</v>
      </c>
      <c r="V3267" s="19" t="s">
        <v>9375</v>
      </c>
    </row>
    <row r="3268" customFormat="false" ht="15" hidden="false" customHeight="false" outlineLevel="0" collapsed="false">
      <c r="A3268" s="19" t="s">
        <v>9376</v>
      </c>
      <c r="B3268" s="19" t="s">
        <v>9330</v>
      </c>
      <c r="C3268" s="19" t="s">
        <v>9331</v>
      </c>
      <c r="D3268" s="19" t="s">
        <v>9332</v>
      </c>
      <c r="E3268" s="19" t="s">
        <v>147</v>
      </c>
      <c r="F3268" s="19" t="s">
        <v>144</v>
      </c>
      <c r="G3268" s="19" t="n">
        <v>217</v>
      </c>
      <c r="H3268" s="19" t="s">
        <v>145</v>
      </c>
      <c r="I3268" s="20"/>
      <c r="J3268" s="19" t="str">
        <f aca="false">IF(I3268="","",MIN(Overview!$B$8,MAX(1,CEILING(I3268/Overview!$B$7,1))))</f>
        <v/>
      </c>
      <c r="K3268" s="19"/>
      <c r="L3268" s="19" t="s">
        <v>9372</v>
      </c>
      <c r="M3268" s="20"/>
      <c r="N3268" s="19"/>
      <c r="O3268" s="19"/>
      <c r="P3268" s="19" t="s">
        <v>9333</v>
      </c>
      <c r="Q3268" s="19" t="s">
        <v>9334</v>
      </c>
      <c r="R3268" s="21" t="n">
        <v>44730</v>
      </c>
      <c r="S3268" s="19" t="s">
        <v>9377</v>
      </c>
      <c r="T3268" s="19" t="s">
        <v>9378</v>
      </c>
      <c r="U3268" s="19" t="str">
        <f aca="false">HYPERLINK("https://drive.google.com/file/d/1LvbwVMJSpY5jFOaFXA3jeoTf49hpxVyJ/view","Open")</f>
        <v>Open</v>
      </c>
      <c r="V3268" s="19" t="s">
        <v>9379</v>
      </c>
    </row>
    <row r="3269" customFormat="false" ht="15" hidden="false" customHeight="false" outlineLevel="0" collapsed="false">
      <c r="A3269" s="19" t="s">
        <v>9380</v>
      </c>
      <c r="B3269" s="19" t="s">
        <v>9330</v>
      </c>
      <c r="C3269" s="19" t="s">
        <v>9331</v>
      </c>
      <c r="D3269" s="19" t="s">
        <v>9332</v>
      </c>
      <c r="E3269" s="19" t="s">
        <v>147</v>
      </c>
      <c r="F3269" s="19" t="s">
        <v>144</v>
      </c>
      <c r="G3269" s="19" t="n">
        <v>217</v>
      </c>
      <c r="H3269" s="19" t="s">
        <v>145</v>
      </c>
      <c r="I3269" s="20"/>
      <c r="J3269" s="19" t="str">
        <f aca="false">IF(I3269="","",MIN(Overview!$B$8,MAX(1,CEILING(I3269/Overview!$B$7,1))))</f>
        <v/>
      </c>
      <c r="K3269" s="19"/>
      <c r="L3269" s="19" t="s">
        <v>9381</v>
      </c>
      <c r="M3269" s="20"/>
      <c r="N3269" s="19"/>
      <c r="O3269" s="19"/>
      <c r="P3269" s="19" t="s">
        <v>9333</v>
      </c>
      <c r="Q3269" s="19" t="s">
        <v>9334</v>
      </c>
      <c r="R3269" s="21" t="n">
        <v>44730</v>
      </c>
      <c r="S3269" s="19" t="s">
        <v>9382</v>
      </c>
      <c r="T3269" s="19" t="s">
        <v>9383</v>
      </c>
      <c r="U3269" s="19" t="str">
        <f aca="false">HYPERLINK("https://drive.google.com/file/d/1OS_MC9AClW2o7uiAbNizmeUIM8YOk-ME/view","Open")</f>
        <v>Open</v>
      </c>
      <c r="V3269" s="19" t="s">
        <v>9384</v>
      </c>
    </row>
    <row r="3270" customFormat="false" ht="15" hidden="false" customHeight="false" outlineLevel="0" collapsed="false">
      <c r="A3270" s="19" t="s">
        <v>9385</v>
      </c>
      <c r="B3270" s="19" t="s">
        <v>9330</v>
      </c>
      <c r="C3270" s="19" t="s">
        <v>9331</v>
      </c>
      <c r="D3270" s="19" t="s">
        <v>9332</v>
      </c>
      <c r="E3270" s="19" t="s">
        <v>147</v>
      </c>
      <c r="F3270" s="19" t="s">
        <v>901</v>
      </c>
      <c r="G3270" s="19"/>
      <c r="H3270" s="19" t="s">
        <v>902</v>
      </c>
      <c r="I3270" s="20"/>
      <c r="J3270" s="19" t="str">
        <f aca="false">IF(I3270="","",MIN(Overview!$B$8,MAX(1,CEILING(I3270/Overview!$B$7,1))))</f>
        <v/>
      </c>
      <c r="K3270" s="19"/>
      <c r="L3270" s="19" t="s">
        <v>9351</v>
      </c>
      <c r="M3270" s="20"/>
      <c r="N3270" s="19"/>
      <c r="O3270" s="19" t="s">
        <v>144</v>
      </c>
      <c r="P3270" s="19" t="s">
        <v>9333</v>
      </c>
      <c r="Q3270" s="19" t="s">
        <v>9334</v>
      </c>
      <c r="R3270" s="21" t="n">
        <v>44730</v>
      </c>
      <c r="S3270" s="19" t="s">
        <v>9386</v>
      </c>
      <c r="T3270" s="19" t="s">
        <v>9387</v>
      </c>
      <c r="U3270" s="19" t="str">
        <f aca="false">HYPERLINK("https://drive.google.com/file/d/1QqkobA0-Lc4BINRmcrwGLjIhdT763Zyz/view","Open")</f>
        <v>Open</v>
      </c>
      <c r="V3270" s="19" t="s">
        <v>9388</v>
      </c>
    </row>
    <row r="3271" customFormat="false" ht="15" hidden="false" customHeight="false" outlineLevel="0" collapsed="false">
      <c r="A3271" s="19" t="s">
        <v>9389</v>
      </c>
      <c r="B3271" s="19" t="s">
        <v>9330</v>
      </c>
      <c r="C3271" s="19" t="s">
        <v>9331</v>
      </c>
      <c r="D3271" s="19" t="s">
        <v>9332</v>
      </c>
      <c r="E3271" s="19" t="s">
        <v>147</v>
      </c>
      <c r="F3271" s="19" t="s">
        <v>151</v>
      </c>
      <c r="G3271" s="19" t="n">
        <v>245</v>
      </c>
      <c r="H3271" s="19" t="s">
        <v>152</v>
      </c>
      <c r="I3271" s="20"/>
      <c r="J3271" s="19" t="str">
        <f aca="false">IF(I3271="","",MIN(Overview!$B$8,MAX(1,CEILING(I3271/Overview!$B$7,1))))</f>
        <v/>
      </c>
      <c r="K3271" s="19"/>
      <c r="L3271" s="19"/>
      <c r="M3271" s="20"/>
      <c r="N3271" s="19"/>
      <c r="O3271" s="19"/>
      <c r="P3271" s="19" t="s">
        <v>9333</v>
      </c>
      <c r="Q3271" s="19" t="s">
        <v>9334</v>
      </c>
      <c r="R3271" s="21" t="n">
        <v>44730</v>
      </c>
      <c r="S3271" s="19" t="s">
        <v>9390</v>
      </c>
      <c r="T3271" s="19" t="s">
        <v>9391</v>
      </c>
      <c r="U3271" s="19" t="str">
        <f aca="false">HYPERLINK("https://drive.google.com/file/d/1Q7Wnzi5nPYZxjBQw_UVV66coNOw_Q103/view","Open")</f>
        <v>Open</v>
      </c>
      <c r="V3271" s="19" t="s">
        <v>9392</v>
      </c>
    </row>
    <row r="3272" customFormat="false" ht="15" hidden="false" customHeight="false" outlineLevel="0" collapsed="false">
      <c r="A3272" s="19" t="s">
        <v>9393</v>
      </c>
      <c r="B3272" s="19" t="s">
        <v>9330</v>
      </c>
      <c r="C3272" s="19" t="s">
        <v>9331</v>
      </c>
      <c r="D3272" s="19" t="s">
        <v>9332</v>
      </c>
      <c r="E3272" s="19" t="s">
        <v>911</v>
      </c>
      <c r="F3272" s="19" t="s">
        <v>912</v>
      </c>
      <c r="G3272" s="19" t="n">
        <v>248</v>
      </c>
      <c r="H3272" s="19"/>
      <c r="I3272" s="20"/>
      <c r="J3272" s="19" t="str">
        <f aca="false">IF(I3272="","",MIN(Overview!$B$8,MAX(1,CEILING(I3272/Overview!$B$7,1))))</f>
        <v/>
      </c>
      <c r="K3272" s="19"/>
      <c r="L3272" s="19"/>
      <c r="M3272" s="20"/>
      <c r="N3272" s="19"/>
      <c r="O3272" s="19"/>
      <c r="P3272" s="19" t="s">
        <v>9333</v>
      </c>
      <c r="Q3272" s="19" t="s">
        <v>9334</v>
      </c>
      <c r="R3272" s="21" t="n">
        <v>44730</v>
      </c>
      <c r="S3272" s="19" t="s">
        <v>9394</v>
      </c>
      <c r="T3272" s="19" t="s">
        <v>9395</v>
      </c>
      <c r="U3272" s="19" t="str">
        <f aca="false">HYPERLINK("https://drive.google.com/file/d/1QjoOyggvPph1RYP9LO2EZnQErt6maAWX/view","Open")</f>
        <v>Open</v>
      </c>
      <c r="V3272" s="19" t="s">
        <v>9396</v>
      </c>
    </row>
    <row r="3273" customFormat="false" ht="15" hidden="false" customHeight="false" outlineLevel="0" collapsed="false">
      <c r="A3273" s="19" t="s">
        <v>9397</v>
      </c>
      <c r="B3273" s="19" t="s">
        <v>9330</v>
      </c>
      <c r="C3273" s="19" t="s">
        <v>9331</v>
      </c>
      <c r="D3273" s="19" t="s">
        <v>9332</v>
      </c>
      <c r="E3273" s="19" t="s">
        <v>147</v>
      </c>
      <c r="F3273" s="19" t="s">
        <v>144</v>
      </c>
      <c r="G3273" s="19" t="n">
        <v>217</v>
      </c>
      <c r="H3273" s="19" t="s">
        <v>145</v>
      </c>
      <c r="I3273" s="20"/>
      <c r="J3273" s="19" t="str">
        <f aca="false">IF(I3273="","",MIN(Overview!$B$8,MAX(1,CEILING(I3273/Overview!$B$7,1))))</f>
        <v/>
      </c>
      <c r="K3273" s="19"/>
      <c r="L3273" s="19"/>
      <c r="M3273" s="20"/>
      <c r="N3273" s="19"/>
      <c r="O3273" s="19"/>
      <c r="P3273" s="19" t="s">
        <v>9333</v>
      </c>
      <c r="Q3273" s="19" t="s">
        <v>9334</v>
      </c>
      <c r="R3273" s="21" t="n">
        <v>44730</v>
      </c>
      <c r="S3273" s="19" t="s">
        <v>9398</v>
      </c>
      <c r="T3273" s="19" t="s">
        <v>9399</v>
      </c>
      <c r="U3273" s="19" t="str">
        <f aca="false">HYPERLINK("https://drive.google.com/file/d/1OXZFPhXO1LgFl3th7S50pZVXMDHBMPTw/view","Open")</f>
        <v>Open</v>
      </c>
      <c r="V3273" s="19" t="s">
        <v>9400</v>
      </c>
    </row>
    <row r="3274" customFormat="false" ht="15" hidden="false" customHeight="false" outlineLevel="0" collapsed="false">
      <c r="A3274" s="19" t="s">
        <v>9401</v>
      </c>
      <c r="B3274" s="19" t="s">
        <v>9330</v>
      </c>
      <c r="C3274" s="19" t="s">
        <v>9331</v>
      </c>
      <c r="D3274" s="19" t="s">
        <v>9332</v>
      </c>
      <c r="E3274" s="19" t="s">
        <v>147</v>
      </c>
      <c r="F3274" s="19" t="s">
        <v>151</v>
      </c>
      <c r="G3274" s="19" t="n">
        <v>245</v>
      </c>
      <c r="H3274" s="19" t="s">
        <v>152</v>
      </c>
      <c r="I3274" s="20"/>
      <c r="J3274" s="19" t="str">
        <f aca="false">IF(I3274="","",MIN(Overview!$B$8,MAX(1,CEILING(I3274/Overview!$B$7,1))))</f>
        <v/>
      </c>
      <c r="K3274" s="19"/>
      <c r="L3274" s="19" t="s">
        <v>9402</v>
      </c>
      <c r="M3274" s="20"/>
      <c r="N3274" s="19"/>
      <c r="O3274" s="19" t="s">
        <v>155</v>
      </c>
      <c r="P3274" s="19" t="s">
        <v>9333</v>
      </c>
      <c r="Q3274" s="19" t="s">
        <v>9334</v>
      </c>
      <c r="R3274" s="21" t="n">
        <v>44730</v>
      </c>
      <c r="S3274" s="19" t="s">
        <v>9403</v>
      </c>
      <c r="T3274" s="19" t="s">
        <v>9404</v>
      </c>
      <c r="U3274" s="19" t="str">
        <f aca="false">HYPERLINK("https://drive.google.com/file/d/1OY-WA3n0_QCTuOpvgbACXfN0KXTtswxq/view","Open")</f>
        <v>Open</v>
      </c>
      <c r="V3274" s="19" t="s">
        <v>9405</v>
      </c>
    </row>
    <row r="3275" customFormat="false" ht="15" hidden="false" customHeight="false" outlineLevel="0" collapsed="false">
      <c r="A3275" s="19" t="s">
        <v>9406</v>
      </c>
      <c r="B3275" s="19" t="s">
        <v>9330</v>
      </c>
      <c r="C3275" s="19" t="s">
        <v>9331</v>
      </c>
      <c r="D3275" s="19" t="s">
        <v>9332</v>
      </c>
      <c r="E3275" s="19" t="s">
        <v>147</v>
      </c>
      <c r="F3275" s="19" t="s">
        <v>144</v>
      </c>
      <c r="G3275" s="19" t="n">
        <v>217</v>
      </c>
      <c r="H3275" s="19" t="s">
        <v>145</v>
      </c>
      <c r="I3275" s="20"/>
      <c r="J3275" s="19" t="str">
        <f aca="false">IF(I3275="","",MIN(Overview!$B$8,MAX(1,CEILING(I3275/Overview!$B$7,1))))</f>
        <v/>
      </c>
      <c r="K3275" s="19"/>
      <c r="L3275" s="19"/>
      <c r="M3275" s="20"/>
      <c r="N3275" s="19"/>
      <c r="O3275" s="19"/>
      <c r="P3275" s="19" t="s">
        <v>9333</v>
      </c>
      <c r="Q3275" s="19" t="s">
        <v>9334</v>
      </c>
      <c r="R3275" s="21" t="n">
        <v>44730</v>
      </c>
      <c r="S3275" s="19" t="s">
        <v>9407</v>
      </c>
      <c r="T3275" s="19" t="s">
        <v>9408</v>
      </c>
      <c r="U3275" s="19" t="str">
        <f aca="false">HYPERLINK("https://drive.google.com/file/d/1R5BJDlpF1thNjqQgqqBeEDpiMgxUGm6v/view","Open")</f>
        <v>Open</v>
      </c>
      <c r="V3275" s="19" t="s">
        <v>9409</v>
      </c>
    </row>
    <row r="3276" customFormat="false" ht="15" hidden="false" customHeight="false" outlineLevel="0" collapsed="false">
      <c r="A3276" s="19" t="s">
        <v>9410</v>
      </c>
      <c r="B3276" s="19" t="s">
        <v>9330</v>
      </c>
      <c r="C3276" s="19" t="s">
        <v>9331</v>
      </c>
      <c r="D3276" s="19" t="s">
        <v>9332</v>
      </c>
      <c r="E3276" s="19" t="s">
        <v>147</v>
      </c>
      <c r="F3276" s="19" t="s">
        <v>151</v>
      </c>
      <c r="G3276" s="19" t="n">
        <v>245</v>
      </c>
      <c r="H3276" s="19" t="s">
        <v>152</v>
      </c>
      <c r="I3276" s="20"/>
      <c r="J3276" s="19" t="str">
        <f aca="false">IF(I3276="","",MIN(Overview!$B$8,MAX(1,CEILING(I3276/Overview!$B$7,1))))</f>
        <v/>
      </c>
      <c r="K3276" s="19"/>
      <c r="L3276" s="19"/>
      <c r="M3276" s="20"/>
      <c r="N3276" s="19"/>
      <c r="O3276" s="19"/>
      <c r="P3276" s="19" t="s">
        <v>9333</v>
      </c>
      <c r="Q3276" s="19" t="s">
        <v>9334</v>
      </c>
      <c r="R3276" s="21" t="n">
        <v>44730</v>
      </c>
      <c r="S3276" s="19" t="s">
        <v>9411</v>
      </c>
      <c r="T3276" s="19" t="s">
        <v>9412</v>
      </c>
      <c r="U3276" s="19" t="str">
        <f aca="false">HYPERLINK("https://drive.google.com/file/d/1LcqhEZ_t2VLNPm0QelcUh-Ybnwzjia9S/view","Open")</f>
        <v>Open</v>
      </c>
      <c r="V3276" s="19" t="s">
        <v>9413</v>
      </c>
    </row>
    <row r="3277" customFormat="false" ht="15" hidden="false" customHeight="false" outlineLevel="0" collapsed="false">
      <c r="A3277" s="19" t="s">
        <v>9414</v>
      </c>
      <c r="B3277" s="19" t="s">
        <v>9330</v>
      </c>
      <c r="C3277" s="19" t="s">
        <v>9331</v>
      </c>
      <c r="D3277" s="19" t="s">
        <v>9332</v>
      </c>
      <c r="E3277" s="19" t="s">
        <v>147</v>
      </c>
      <c r="F3277" s="19" t="s">
        <v>151</v>
      </c>
      <c r="G3277" s="19" t="n">
        <v>245</v>
      </c>
      <c r="H3277" s="19" t="s">
        <v>152</v>
      </c>
      <c r="I3277" s="20"/>
      <c r="J3277" s="19" t="str">
        <f aca="false">IF(I3277="","",MIN(Overview!$B$8,MAX(1,CEILING(I3277/Overview!$B$7,1))))</f>
        <v/>
      </c>
      <c r="K3277" s="19"/>
      <c r="L3277" s="19"/>
      <c r="M3277" s="20"/>
      <c r="N3277" s="19"/>
      <c r="O3277" s="19"/>
      <c r="P3277" s="19" t="s">
        <v>9333</v>
      </c>
      <c r="Q3277" s="19" t="s">
        <v>9334</v>
      </c>
      <c r="R3277" s="21" t="n">
        <v>44730</v>
      </c>
      <c r="S3277" s="19" t="s">
        <v>9415</v>
      </c>
      <c r="T3277" s="19" t="s">
        <v>9416</v>
      </c>
      <c r="U3277" s="19" t="str">
        <f aca="false">HYPERLINK("https://drive.google.com/file/d/1NEmCYDzlcH7dpiFoRjCPwuOitRrtrBDz/view","Open")</f>
        <v>Open</v>
      </c>
      <c r="V3277" s="19" t="s">
        <v>9417</v>
      </c>
    </row>
    <row r="3278" customFormat="false" ht="15" hidden="false" customHeight="false" outlineLevel="0" collapsed="false">
      <c r="A3278" s="19" t="s">
        <v>9418</v>
      </c>
      <c r="B3278" s="19" t="s">
        <v>9330</v>
      </c>
      <c r="C3278" s="19" t="s">
        <v>9331</v>
      </c>
      <c r="D3278" s="19" t="s">
        <v>9332</v>
      </c>
      <c r="E3278" s="19" t="s">
        <v>147</v>
      </c>
      <c r="F3278" s="19" t="s">
        <v>144</v>
      </c>
      <c r="G3278" s="19" t="n">
        <v>217</v>
      </c>
      <c r="H3278" s="19" t="s">
        <v>145</v>
      </c>
      <c r="I3278" s="20"/>
      <c r="J3278" s="19" t="str">
        <f aca="false">IF(I3278="","",MIN(Overview!$B$8,MAX(1,CEILING(I3278/Overview!$B$7,1))))</f>
        <v/>
      </c>
      <c r="K3278" s="19"/>
      <c r="L3278" s="19"/>
      <c r="M3278" s="20"/>
      <c r="N3278" s="19"/>
      <c r="O3278" s="19"/>
      <c r="P3278" s="19" t="s">
        <v>9333</v>
      </c>
      <c r="Q3278" s="19" t="s">
        <v>9334</v>
      </c>
      <c r="R3278" s="21" t="n">
        <v>44730</v>
      </c>
      <c r="S3278" s="19" t="s">
        <v>9419</v>
      </c>
      <c r="T3278" s="19" t="s">
        <v>9420</v>
      </c>
      <c r="U3278" s="19" t="str">
        <f aca="false">HYPERLINK("https://drive.google.com/file/d/1PhLzPtk__JKJogT9oN79sUfwx0JfjITz/view","Open")</f>
        <v>Open</v>
      </c>
      <c r="V3278" s="19" t="s">
        <v>9421</v>
      </c>
    </row>
    <row r="3279" customFormat="false" ht="15" hidden="false" customHeight="false" outlineLevel="0" collapsed="false">
      <c r="A3279" s="19" t="s">
        <v>9422</v>
      </c>
      <c r="B3279" s="19" t="s">
        <v>9330</v>
      </c>
      <c r="C3279" s="19" t="s">
        <v>9331</v>
      </c>
      <c r="D3279" s="19" t="s">
        <v>9332</v>
      </c>
      <c r="E3279" s="19" t="s">
        <v>911</v>
      </c>
      <c r="F3279" s="19" t="s">
        <v>912</v>
      </c>
      <c r="G3279" s="19" t="n">
        <v>248</v>
      </c>
      <c r="H3279" s="19"/>
      <c r="I3279" s="20"/>
      <c r="J3279" s="19" t="str">
        <f aca="false">IF(I3279="","",MIN(Overview!$B$8,MAX(1,CEILING(I3279/Overview!$B$7,1))))</f>
        <v/>
      </c>
      <c r="K3279" s="19"/>
      <c r="L3279" s="19"/>
      <c r="M3279" s="20"/>
      <c r="N3279" s="19"/>
      <c r="O3279" s="19"/>
      <c r="P3279" s="19" t="s">
        <v>9333</v>
      </c>
      <c r="Q3279" s="19" t="s">
        <v>9334</v>
      </c>
      <c r="R3279" s="21" t="n">
        <v>44730</v>
      </c>
      <c r="S3279" s="19" t="s">
        <v>9423</v>
      </c>
      <c r="T3279" s="19" t="s">
        <v>9424</v>
      </c>
      <c r="U3279" s="19" t="str">
        <f aca="false">HYPERLINK("https://drive.google.com/file/d/1LmrehfnxZCSubakCx8HpG_Awc18BQXug/view","Open")</f>
        <v>Open</v>
      </c>
      <c r="V3279" s="19" t="s">
        <v>9425</v>
      </c>
    </row>
    <row r="3280" customFormat="false" ht="15" hidden="false" customHeight="false" outlineLevel="0" collapsed="false">
      <c r="A3280" s="19" t="s">
        <v>9426</v>
      </c>
      <c r="B3280" s="19" t="s">
        <v>9330</v>
      </c>
      <c r="C3280" s="19" t="s">
        <v>9331</v>
      </c>
      <c r="D3280" s="19" t="s">
        <v>9332</v>
      </c>
      <c r="E3280" s="19" t="s">
        <v>147</v>
      </c>
      <c r="F3280" s="19" t="s">
        <v>184</v>
      </c>
      <c r="G3280" s="19" t="n">
        <v>39</v>
      </c>
      <c r="H3280" s="19" t="s">
        <v>185</v>
      </c>
      <c r="I3280" s="20"/>
      <c r="J3280" s="19" t="str">
        <f aca="false">IF(I3280="","",MIN(Overview!$B$8,MAX(1,CEILING(I3280/Overview!$B$7,1))))</f>
        <v/>
      </c>
      <c r="K3280" s="19"/>
      <c r="L3280" s="19"/>
      <c r="M3280" s="20"/>
      <c r="N3280" s="19"/>
      <c r="O3280" s="19"/>
      <c r="P3280" s="19" t="s">
        <v>9333</v>
      </c>
      <c r="Q3280" s="19" t="s">
        <v>9334</v>
      </c>
      <c r="R3280" s="21" t="n">
        <v>44730</v>
      </c>
      <c r="S3280" s="19" t="s">
        <v>9427</v>
      </c>
      <c r="T3280" s="19" t="s">
        <v>9428</v>
      </c>
      <c r="U3280" s="19" t="str">
        <f aca="false">HYPERLINK("https://drive.google.com/file/d/1R9JBAbCcuDfomerQa4jeznZIlucukwev/view","Open")</f>
        <v>Open</v>
      </c>
      <c r="V3280" s="19" t="s">
        <v>9429</v>
      </c>
    </row>
    <row r="3281" customFormat="false" ht="15" hidden="false" customHeight="false" outlineLevel="0" collapsed="false">
      <c r="A3281" s="19" t="s">
        <v>9430</v>
      </c>
      <c r="B3281" s="19" t="s">
        <v>9330</v>
      </c>
      <c r="C3281" s="19" t="s">
        <v>9331</v>
      </c>
      <c r="D3281" s="19" t="s">
        <v>9332</v>
      </c>
      <c r="E3281" s="19" t="s">
        <v>147</v>
      </c>
      <c r="F3281" s="19" t="s">
        <v>319</v>
      </c>
      <c r="G3281" s="19" t="n">
        <v>124</v>
      </c>
      <c r="H3281" s="19" t="s">
        <v>320</v>
      </c>
      <c r="I3281" s="20"/>
      <c r="J3281" s="19" t="str">
        <f aca="false">IF(I3281="","",MIN(Overview!$B$8,MAX(1,CEILING(I3281/Overview!$B$7,1))))</f>
        <v/>
      </c>
      <c r="K3281" s="19"/>
      <c r="L3281" s="19"/>
      <c r="M3281" s="20"/>
      <c r="N3281" s="19"/>
      <c r="O3281" s="19"/>
      <c r="P3281" s="19" t="s">
        <v>9333</v>
      </c>
      <c r="Q3281" s="19" t="s">
        <v>9334</v>
      </c>
      <c r="R3281" s="21" t="n">
        <v>44730</v>
      </c>
      <c r="S3281" s="19" t="s">
        <v>9431</v>
      </c>
      <c r="T3281" s="19" t="s">
        <v>9432</v>
      </c>
      <c r="U3281" s="19" t="str">
        <f aca="false">HYPERLINK("https://drive.google.com/file/d/1ObGDqOUup6sxeMNzDhu8nbJHMGqUlC_r/view","Open")</f>
        <v>Open</v>
      </c>
      <c r="V3281" s="19" t="s">
        <v>9433</v>
      </c>
    </row>
    <row r="3282" customFormat="false" ht="15" hidden="false" customHeight="false" outlineLevel="0" collapsed="false">
      <c r="A3282" s="19" t="s">
        <v>9434</v>
      </c>
      <c r="B3282" s="19" t="s">
        <v>9330</v>
      </c>
      <c r="C3282" s="19" t="s">
        <v>9331</v>
      </c>
      <c r="D3282" s="19" t="s">
        <v>9332</v>
      </c>
      <c r="E3282" s="19" t="s">
        <v>147</v>
      </c>
      <c r="F3282" s="19" t="s">
        <v>144</v>
      </c>
      <c r="G3282" s="19" t="n">
        <v>217</v>
      </c>
      <c r="H3282" s="19" t="s">
        <v>145</v>
      </c>
      <c r="I3282" s="20"/>
      <c r="J3282" s="19" t="str">
        <f aca="false">IF(I3282="","",MIN(Overview!$B$8,MAX(1,CEILING(I3282/Overview!$B$7,1))))</f>
        <v/>
      </c>
      <c r="K3282" s="19"/>
      <c r="L3282" s="19"/>
      <c r="M3282" s="20"/>
      <c r="N3282" s="19"/>
      <c r="O3282" s="19"/>
      <c r="P3282" s="19" t="s">
        <v>9333</v>
      </c>
      <c r="Q3282" s="19" t="s">
        <v>9334</v>
      </c>
      <c r="R3282" s="21" t="n">
        <v>44730</v>
      </c>
      <c r="S3282" s="19" t="s">
        <v>9435</v>
      </c>
      <c r="T3282" s="19" t="s">
        <v>9436</v>
      </c>
      <c r="U3282" s="19" t="str">
        <f aca="false">HYPERLINK("https://drive.google.com/file/d/1LrxnHJzhh5qmOYFqXtn9fI__56GlW5Xt/view","Open")</f>
        <v>Open</v>
      </c>
      <c r="V3282" s="19" t="s">
        <v>9437</v>
      </c>
    </row>
    <row r="3283" customFormat="false" ht="15" hidden="false" customHeight="false" outlineLevel="0" collapsed="false">
      <c r="A3283" s="19" t="s">
        <v>9438</v>
      </c>
      <c r="B3283" s="19" t="s">
        <v>9330</v>
      </c>
      <c r="C3283" s="19" t="s">
        <v>9331</v>
      </c>
      <c r="D3283" s="19" t="s">
        <v>9332</v>
      </c>
      <c r="E3283" s="19" t="s">
        <v>147</v>
      </c>
      <c r="F3283" s="19" t="s">
        <v>319</v>
      </c>
      <c r="G3283" s="19" t="n">
        <v>124</v>
      </c>
      <c r="H3283" s="19" t="s">
        <v>320</v>
      </c>
      <c r="I3283" s="20"/>
      <c r="J3283" s="19" t="str">
        <f aca="false">IF(I3283="","",MIN(Overview!$B$8,MAX(1,CEILING(I3283/Overview!$B$7,1))))</f>
        <v/>
      </c>
      <c r="K3283" s="19"/>
      <c r="L3283" s="19"/>
      <c r="M3283" s="20"/>
      <c r="N3283" s="19"/>
      <c r="O3283" s="19"/>
      <c r="P3283" s="19" t="s">
        <v>9333</v>
      </c>
      <c r="Q3283" s="19" t="s">
        <v>9334</v>
      </c>
      <c r="R3283" s="21" t="n">
        <v>44730</v>
      </c>
      <c r="S3283" s="19" t="s">
        <v>9439</v>
      </c>
      <c r="T3283" s="19" t="s">
        <v>9440</v>
      </c>
      <c r="U3283" s="19" t="str">
        <f aca="false">HYPERLINK("https://drive.google.com/file/d/1Ol_wa-unD9U-uJHWGHcVehBqKP3AVeRi/view","Open")</f>
        <v>Open</v>
      </c>
      <c r="V3283" s="19" t="s">
        <v>9441</v>
      </c>
    </row>
    <row r="3284" customFormat="false" ht="15" hidden="false" customHeight="false" outlineLevel="0" collapsed="false">
      <c r="A3284" s="19" t="s">
        <v>9442</v>
      </c>
      <c r="B3284" s="19" t="s">
        <v>9330</v>
      </c>
      <c r="C3284" s="19" t="s">
        <v>9331</v>
      </c>
      <c r="D3284" s="19" t="s">
        <v>9332</v>
      </c>
      <c r="E3284" s="19" t="s">
        <v>911</v>
      </c>
      <c r="F3284" s="19" t="s">
        <v>916</v>
      </c>
      <c r="G3284" s="19" t="n">
        <v>249</v>
      </c>
      <c r="H3284" s="19"/>
      <c r="I3284" s="20"/>
      <c r="J3284" s="19" t="str">
        <f aca="false">IF(I3284="","",MIN(Overview!$B$8,MAX(1,CEILING(I3284/Overview!$B$7,1))))</f>
        <v/>
      </c>
      <c r="K3284" s="19"/>
      <c r="L3284" s="19" t="s">
        <v>9402</v>
      </c>
      <c r="M3284" s="20"/>
      <c r="N3284" s="19"/>
      <c r="O3284" s="19"/>
      <c r="P3284" s="19" t="s">
        <v>9333</v>
      </c>
      <c r="Q3284" s="19" t="s">
        <v>9334</v>
      </c>
      <c r="R3284" s="21" t="n">
        <v>44730</v>
      </c>
      <c r="S3284" s="19" t="s">
        <v>9443</v>
      </c>
      <c r="T3284" s="19" t="s">
        <v>9444</v>
      </c>
      <c r="U3284" s="19" t="str">
        <f aca="false">HYPERLINK("https://drive.google.com/file/d/1QPrguGf9v5ZcVYAa6datE5E7VLwba80-/view","Open")</f>
        <v>Open</v>
      </c>
      <c r="V3284" s="19" t="s">
        <v>9445</v>
      </c>
    </row>
    <row r="3285" customFormat="false" ht="15" hidden="false" customHeight="false" outlineLevel="0" collapsed="false">
      <c r="A3285" s="19" t="s">
        <v>9446</v>
      </c>
      <c r="B3285" s="19" t="s">
        <v>9330</v>
      </c>
      <c r="C3285" s="19" t="s">
        <v>9331</v>
      </c>
      <c r="D3285" s="19" t="s">
        <v>9332</v>
      </c>
      <c r="E3285" s="19" t="s">
        <v>147</v>
      </c>
      <c r="F3285" s="19" t="s">
        <v>292</v>
      </c>
      <c r="G3285" s="19" t="n">
        <v>133</v>
      </c>
      <c r="H3285" s="19" t="s">
        <v>293</v>
      </c>
      <c r="I3285" s="20"/>
      <c r="J3285" s="19" t="str">
        <f aca="false">IF(I3285="","",MIN(Overview!$B$8,MAX(1,CEILING(I3285/Overview!$B$7,1))))</f>
        <v/>
      </c>
      <c r="K3285" s="19"/>
      <c r="L3285" s="19"/>
      <c r="M3285" s="20"/>
      <c r="N3285" s="19"/>
      <c r="O3285" s="19"/>
      <c r="P3285" s="19" t="s">
        <v>9333</v>
      </c>
      <c r="Q3285" s="19" t="s">
        <v>9334</v>
      </c>
      <c r="R3285" s="21" t="n">
        <v>44730</v>
      </c>
      <c r="S3285" s="19" t="s">
        <v>9447</v>
      </c>
      <c r="T3285" s="19" t="s">
        <v>9448</v>
      </c>
      <c r="U3285" s="19" t="str">
        <f aca="false">HYPERLINK("https://drive.google.com/file/d/1O8C_t3_fUO9Lc-cPBDkr7nq4tkvbUBE6/view","Open")</f>
        <v>Open</v>
      </c>
      <c r="V3285" s="19" t="s">
        <v>9449</v>
      </c>
    </row>
    <row r="3286" customFormat="false" ht="15" hidden="false" customHeight="false" outlineLevel="0" collapsed="false">
      <c r="A3286" s="19" t="s">
        <v>9450</v>
      </c>
      <c r="B3286" s="19" t="s">
        <v>9330</v>
      </c>
      <c r="C3286" s="19" t="s">
        <v>9331</v>
      </c>
      <c r="D3286" s="19" t="s">
        <v>9332</v>
      </c>
      <c r="E3286" s="19" t="s">
        <v>147</v>
      </c>
      <c r="F3286" s="19" t="s">
        <v>209</v>
      </c>
      <c r="G3286" s="19" t="n">
        <v>176</v>
      </c>
      <c r="H3286" s="19" t="s">
        <v>210</v>
      </c>
      <c r="I3286" s="20"/>
      <c r="J3286" s="19" t="str">
        <f aca="false">IF(I3286="","",MIN(Overview!$B$8,MAX(1,CEILING(I3286/Overview!$B$7,1))))</f>
        <v/>
      </c>
      <c r="K3286" s="19"/>
      <c r="L3286" s="19"/>
      <c r="M3286" s="20"/>
      <c r="N3286" s="19"/>
      <c r="O3286" s="19"/>
      <c r="P3286" s="19" t="s">
        <v>9333</v>
      </c>
      <c r="Q3286" s="19" t="s">
        <v>9334</v>
      </c>
      <c r="R3286" s="21" t="n">
        <v>44730</v>
      </c>
      <c r="S3286" s="19" t="s">
        <v>9451</v>
      </c>
      <c r="T3286" s="19" t="s">
        <v>9452</v>
      </c>
      <c r="U3286" s="19" t="str">
        <f aca="false">HYPERLINK("https://drive.google.com/file/d/1OekFxn0YyLfJ88QXhU_ZpSXyuEwBmBmd/view","Open")</f>
        <v>Open</v>
      </c>
      <c r="V3286" s="19" t="s">
        <v>9453</v>
      </c>
    </row>
    <row r="3287" customFormat="false" ht="15" hidden="false" customHeight="false" outlineLevel="0" collapsed="false">
      <c r="A3287" s="19" t="s">
        <v>9454</v>
      </c>
      <c r="B3287" s="19" t="s">
        <v>9330</v>
      </c>
      <c r="C3287" s="19" t="s">
        <v>9331</v>
      </c>
      <c r="D3287" s="19" t="s">
        <v>9332</v>
      </c>
      <c r="E3287" s="19" t="s">
        <v>147</v>
      </c>
      <c r="F3287" s="19" t="s">
        <v>188</v>
      </c>
      <c r="G3287" s="19" t="n">
        <v>199</v>
      </c>
      <c r="H3287" s="19" t="s">
        <v>189</v>
      </c>
      <c r="I3287" s="20"/>
      <c r="J3287" s="19" t="str">
        <f aca="false">IF(I3287="","",MIN(Overview!$B$8,MAX(1,CEILING(I3287/Overview!$B$7,1))))</f>
        <v/>
      </c>
      <c r="K3287" s="19"/>
      <c r="L3287" s="19"/>
      <c r="M3287" s="20"/>
      <c r="N3287" s="19"/>
      <c r="O3287" s="19"/>
      <c r="P3287" s="19" t="s">
        <v>9333</v>
      </c>
      <c r="Q3287" s="19" t="s">
        <v>9334</v>
      </c>
      <c r="R3287" s="21" t="n">
        <v>44730</v>
      </c>
      <c r="S3287" s="19" t="s">
        <v>9455</v>
      </c>
      <c r="T3287" s="19" t="s">
        <v>9456</v>
      </c>
      <c r="U3287" s="19" t="str">
        <f aca="false">HYPERLINK("https://drive.google.com/file/d/1MJSD7Dg_wFW1I9ivrngTp4iqqh7l71Tx/view","Open")</f>
        <v>Open</v>
      </c>
      <c r="V3287" s="19" t="s">
        <v>9457</v>
      </c>
    </row>
    <row r="3288" customFormat="false" ht="15" hidden="false" customHeight="false" outlineLevel="0" collapsed="false">
      <c r="A3288" s="19" t="s">
        <v>9458</v>
      </c>
      <c r="B3288" s="19" t="s">
        <v>9330</v>
      </c>
      <c r="C3288" s="19" t="s">
        <v>9331</v>
      </c>
      <c r="D3288" s="19" t="s">
        <v>9332</v>
      </c>
      <c r="E3288" s="19" t="s">
        <v>147</v>
      </c>
      <c r="F3288" s="19" t="s">
        <v>162</v>
      </c>
      <c r="G3288" s="19" t="n">
        <v>165</v>
      </c>
      <c r="H3288" s="19" t="s">
        <v>163</v>
      </c>
      <c r="I3288" s="20"/>
      <c r="J3288" s="19" t="str">
        <f aca="false">IF(I3288="","",MIN(Overview!$B$8,MAX(1,CEILING(I3288/Overview!$B$7,1))))</f>
        <v/>
      </c>
      <c r="K3288" s="19"/>
      <c r="L3288" s="19"/>
      <c r="M3288" s="20"/>
      <c r="N3288" s="19"/>
      <c r="O3288" s="19"/>
      <c r="P3288" s="19" t="s">
        <v>9333</v>
      </c>
      <c r="Q3288" s="19" t="s">
        <v>9334</v>
      </c>
      <c r="R3288" s="21" t="n">
        <v>44730</v>
      </c>
      <c r="S3288" s="19" t="s">
        <v>9459</v>
      </c>
      <c r="T3288" s="19" t="s">
        <v>9460</v>
      </c>
      <c r="U3288" s="19" t="str">
        <f aca="false">HYPERLINK("https://drive.google.com/file/d/1OOWY7xhMNbjtVmDrcX8NtDIz72P5eL9-/view","Open")</f>
        <v>Open</v>
      </c>
      <c r="V3288" s="19" t="s">
        <v>9461</v>
      </c>
    </row>
    <row r="3289" customFormat="false" ht="15" hidden="false" customHeight="false" outlineLevel="0" collapsed="false">
      <c r="A3289" s="19" t="s">
        <v>9462</v>
      </c>
      <c r="B3289" s="19" t="s">
        <v>9330</v>
      </c>
      <c r="C3289" s="19" t="s">
        <v>9331</v>
      </c>
      <c r="D3289" s="19" t="s">
        <v>9332</v>
      </c>
      <c r="E3289" s="19" t="s">
        <v>147</v>
      </c>
      <c r="F3289" s="19" t="s">
        <v>155</v>
      </c>
      <c r="G3289" s="19" t="n">
        <v>104</v>
      </c>
      <c r="H3289" s="19" t="s">
        <v>156</v>
      </c>
      <c r="I3289" s="20"/>
      <c r="J3289" s="19" t="str">
        <f aca="false">IF(I3289="","",MIN(Overview!$B$8,MAX(1,CEILING(I3289/Overview!$B$7,1))))</f>
        <v/>
      </c>
      <c r="K3289" s="19"/>
      <c r="L3289" s="19" t="s">
        <v>9402</v>
      </c>
      <c r="M3289" s="20"/>
      <c r="N3289" s="19"/>
      <c r="O3289" s="19" t="s">
        <v>9463</v>
      </c>
      <c r="P3289" s="19" t="s">
        <v>9333</v>
      </c>
      <c r="Q3289" s="19" t="s">
        <v>9334</v>
      </c>
      <c r="R3289" s="21" t="n">
        <v>44730</v>
      </c>
      <c r="S3289" s="19" t="s">
        <v>9464</v>
      </c>
      <c r="T3289" s="19" t="s">
        <v>9465</v>
      </c>
      <c r="U3289" s="19" t="str">
        <f aca="false">HYPERLINK("https://drive.google.com/file/d/1QUBq0yZBayf-qcmUTpUNqbKkgwxWlQcR/view","Open")</f>
        <v>Open</v>
      </c>
      <c r="V3289" s="19" t="s">
        <v>9466</v>
      </c>
    </row>
    <row r="3290" customFormat="false" ht="15" hidden="false" customHeight="false" outlineLevel="0" collapsed="false">
      <c r="A3290" s="19" t="s">
        <v>9467</v>
      </c>
      <c r="B3290" s="19" t="s">
        <v>9330</v>
      </c>
      <c r="C3290" s="19" t="s">
        <v>9331</v>
      </c>
      <c r="D3290" s="19" t="s">
        <v>9332</v>
      </c>
      <c r="E3290" s="19" t="s">
        <v>147</v>
      </c>
      <c r="F3290" s="19" t="s">
        <v>221</v>
      </c>
      <c r="G3290" s="19" t="n">
        <v>159</v>
      </c>
      <c r="H3290" s="19" t="s">
        <v>222</v>
      </c>
      <c r="I3290" s="20"/>
      <c r="J3290" s="19" t="str">
        <f aca="false">IF(I3290="","",MIN(Overview!$B$8,MAX(1,CEILING(I3290/Overview!$B$7,1))))</f>
        <v/>
      </c>
      <c r="K3290" s="19"/>
      <c r="L3290" s="19" t="s">
        <v>9402</v>
      </c>
      <c r="M3290" s="20"/>
      <c r="N3290" s="19"/>
      <c r="O3290" s="19"/>
      <c r="P3290" s="19" t="s">
        <v>9333</v>
      </c>
      <c r="Q3290" s="19" t="s">
        <v>9334</v>
      </c>
      <c r="R3290" s="21" t="n">
        <v>44730</v>
      </c>
      <c r="S3290" s="19" t="s">
        <v>9468</v>
      </c>
      <c r="T3290" s="19" t="s">
        <v>9469</v>
      </c>
      <c r="U3290" s="19" t="str">
        <f aca="false">HYPERLINK("https://drive.google.com/file/d/1LyW8nNstobehi41CbZky7DBb4_F8QqEG/view","Open")</f>
        <v>Open</v>
      </c>
      <c r="V3290" s="19" t="s">
        <v>9470</v>
      </c>
    </row>
    <row r="3291" customFormat="false" ht="15" hidden="false" customHeight="false" outlineLevel="0" collapsed="false">
      <c r="A3291" s="19" t="s">
        <v>9471</v>
      </c>
      <c r="B3291" s="19" t="s">
        <v>9330</v>
      </c>
      <c r="C3291" s="19" t="s">
        <v>9331</v>
      </c>
      <c r="D3291" s="19" t="s">
        <v>9332</v>
      </c>
      <c r="E3291" s="19" t="s">
        <v>147</v>
      </c>
      <c r="F3291" s="19" t="s">
        <v>329</v>
      </c>
      <c r="G3291" s="19" t="n">
        <v>116</v>
      </c>
      <c r="H3291" s="19" t="s">
        <v>330</v>
      </c>
      <c r="I3291" s="20"/>
      <c r="J3291" s="19" t="str">
        <f aca="false">IF(I3291="","",MIN(Overview!$B$8,MAX(1,CEILING(I3291/Overview!$B$7,1))))</f>
        <v/>
      </c>
      <c r="K3291" s="19"/>
      <c r="L3291" s="19"/>
      <c r="M3291" s="20"/>
      <c r="N3291" s="19"/>
      <c r="O3291" s="19"/>
      <c r="P3291" s="19" t="s">
        <v>9333</v>
      </c>
      <c r="Q3291" s="19" t="s">
        <v>9334</v>
      </c>
      <c r="R3291" s="21" t="n">
        <v>44730</v>
      </c>
      <c r="S3291" s="19" t="s">
        <v>9472</v>
      </c>
      <c r="T3291" s="19" t="s">
        <v>9473</v>
      </c>
      <c r="U3291" s="19" t="str">
        <f aca="false">HYPERLINK("https://drive.google.com/file/d/1MhCNjxmYrH5vqJ3vfYqC7l6w47aL8lBw/view","Open")</f>
        <v>Open</v>
      </c>
      <c r="V3291" s="19" t="s">
        <v>9474</v>
      </c>
    </row>
    <row r="3292" customFormat="false" ht="15" hidden="false" customHeight="false" outlineLevel="0" collapsed="false">
      <c r="A3292" s="19" t="s">
        <v>9475</v>
      </c>
      <c r="B3292" s="19" t="s">
        <v>9330</v>
      </c>
      <c r="C3292" s="19" t="s">
        <v>9331</v>
      </c>
      <c r="D3292" s="19" t="s">
        <v>9332</v>
      </c>
      <c r="E3292" s="19" t="s">
        <v>147</v>
      </c>
      <c r="F3292" s="19" t="s">
        <v>319</v>
      </c>
      <c r="G3292" s="19" t="n">
        <v>124</v>
      </c>
      <c r="H3292" s="19" t="s">
        <v>320</v>
      </c>
      <c r="I3292" s="20"/>
      <c r="J3292" s="19" t="str">
        <f aca="false">IF(I3292="","",MIN(Overview!$B$8,MAX(1,CEILING(I3292/Overview!$B$7,1))))</f>
        <v/>
      </c>
      <c r="K3292" s="19"/>
      <c r="L3292" s="19"/>
      <c r="M3292" s="20"/>
      <c r="N3292" s="19"/>
      <c r="O3292" s="19"/>
      <c r="P3292" s="19" t="s">
        <v>9333</v>
      </c>
      <c r="Q3292" s="19" t="s">
        <v>9334</v>
      </c>
      <c r="R3292" s="21" t="n">
        <v>44730</v>
      </c>
      <c r="S3292" s="19" t="s">
        <v>9476</v>
      </c>
      <c r="T3292" s="19" t="s">
        <v>9477</v>
      </c>
      <c r="U3292" s="19" t="str">
        <f aca="false">HYPERLINK("https://drive.google.com/file/d/1MMDv4CjtGOm8sMvkfMogyWiADOA3w6eA/view","Open")</f>
        <v>Open</v>
      </c>
      <c r="V3292" s="19" t="s">
        <v>9478</v>
      </c>
    </row>
    <row r="3293" customFormat="false" ht="15" hidden="false" customHeight="false" outlineLevel="0" collapsed="false">
      <c r="A3293" s="19" t="s">
        <v>9479</v>
      </c>
      <c r="B3293" s="19" t="s">
        <v>9330</v>
      </c>
      <c r="C3293" s="19" t="s">
        <v>9331</v>
      </c>
      <c r="D3293" s="19" t="s">
        <v>9332</v>
      </c>
      <c r="E3293" s="19" t="s">
        <v>147</v>
      </c>
      <c r="F3293" s="19" t="s">
        <v>165</v>
      </c>
      <c r="G3293" s="19" t="n">
        <v>50</v>
      </c>
      <c r="H3293" s="19" t="s">
        <v>166</v>
      </c>
      <c r="I3293" s="20"/>
      <c r="J3293" s="19" t="str">
        <f aca="false">IF(I3293="","",MIN(Overview!$B$8,MAX(1,CEILING(I3293/Overview!$B$7,1))))</f>
        <v/>
      </c>
      <c r="K3293" s="19"/>
      <c r="L3293" s="19"/>
      <c r="M3293" s="20"/>
      <c r="N3293" s="19"/>
      <c r="O3293" s="19"/>
      <c r="P3293" s="19" t="s">
        <v>9333</v>
      </c>
      <c r="Q3293" s="19" t="s">
        <v>9334</v>
      </c>
      <c r="R3293" s="21" t="n">
        <v>44730</v>
      </c>
      <c r="S3293" s="19" t="s">
        <v>9480</v>
      </c>
      <c r="T3293" s="19" t="s">
        <v>9481</v>
      </c>
      <c r="U3293" s="19" t="str">
        <f aca="false">HYPERLINK("https://drive.google.com/file/d/1Q3SymxnsfEBVVUt5V9N8nxZi8HdgpL-o/view","Open")</f>
        <v>Open</v>
      </c>
      <c r="V3293" s="19" t="s">
        <v>9482</v>
      </c>
    </row>
    <row r="3294" customFormat="false" ht="15" hidden="false" customHeight="false" outlineLevel="0" collapsed="false">
      <c r="A3294" s="19" t="s">
        <v>9483</v>
      </c>
      <c r="B3294" s="19" t="s">
        <v>9330</v>
      </c>
      <c r="C3294" s="19" t="s">
        <v>9331</v>
      </c>
      <c r="D3294" s="19" t="s">
        <v>9332</v>
      </c>
      <c r="E3294" s="19" t="s">
        <v>147</v>
      </c>
      <c r="F3294" s="19" t="s">
        <v>144</v>
      </c>
      <c r="G3294" s="19" t="n">
        <v>217</v>
      </c>
      <c r="H3294" s="19" t="s">
        <v>145</v>
      </c>
      <c r="I3294" s="20"/>
      <c r="J3294" s="19" t="str">
        <f aca="false">IF(I3294="","",MIN(Overview!$B$8,MAX(1,CEILING(I3294/Overview!$B$7,1))))</f>
        <v/>
      </c>
      <c r="K3294" s="19"/>
      <c r="L3294" s="19"/>
      <c r="M3294" s="20"/>
      <c r="N3294" s="19"/>
      <c r="O3294" s="19"/>
      <c r="P3294" s="19" t="s">
        <v>9333</v>
      </c>
      <c r="Q3294" s="19" t="s">
        <v>9334</v>
      </c>
      <c r="R3294" s="21" t="n">
        <v>44730</v>
      </c>
      <c r="S3294" s="19" t="s">
        <v>9484</v>
      </c>
      <c r="T3294" s="19" t="s">
        <v>9485</v>
      </c>
      <c r="U3294" s="19" t="str">
        <f aca="false">HYPERLINK("https://drive.google.com/file/d/1Qv_nkcoFKxVy1IBnttHjFCPico1twY7v/view","Open")</f>
        <v>Open</v>
      </c>
      <c r="V3294" s="19" t="s">
        <v>9486</v>
      </c>
    </row>
    <row r="3295" customFormat="false" ht="15" hidden="false" customHeight="false" outlineLevel="0" collapsed="false">
      <c r="A3295" s="19" t="s">
        <v>9487</v>
      </c>
      <c r="B3295" s="19" t="s">
        <v>9330</v>
      </c>
      <c r="C3295" s="19" t="s">
        <v>9331</v>
      </c>
      <c r="D3295" s="19" t="s">
        <v>9332</v>
      </c>
      <c r="E3295" s="19" t="s">
        <v>147</v>
      </c>
      <c r="F3295" s="19" t="s">
        <v>144</v>
      </c>
      <c r="G3295" s="19" t="n">
        <v>217</v>
      </c>
      <c r="H3295" s="19" t="s">
        <v>145</v>
      </c>
      <c r="I3295" s="20"/>
      <c r="J3295" s="19" t="str">
        <f aca="false">IF(I3295="","",MIN(Overview!$B$8,MAX(1,CEILING(I3295/Overview!$B$7,1))))</f>
        <v/>
      </c>
      <c r="K3295" s="19"/>
      <c r="L3295" s="19"/>
      <c r="M3295" s="20"/>
      <c r="N3295" s="19"/>
      <c r="O3295" s="19"/>
      <c r="P3295" s="19" t="s">
        <v>9333</v>
      </c>
      <c r="Q3295" s="19" t="s">
        <v>9334</v>
      </c>
      <c r="R3295" s="21" t="n">
        <v>44730</v>
      </c>
      <c r="S3295" s="19" t="s">
        <v>9488</v>
      </c>
      <c r="T3295" s="19" t="s">
        <v>9489</v>
      </c>
      <c r="U3295" s="19" t="str">
        <f aca="false">HYPERLINK("https://drive.google.com/file/d/1NP93wRtaAaKQ7bc9oz67Jlx7W5FeIdPc/view","Open")</f>
        <v>Open</v>
      </c>
      <c r="V3295" s="19" t="s">
        <v>9490</v>
      </c>
    </row>
    <row r="3296" customFormat="false" ht="15" hidden="false" customHeight="false" outlineLevel="0" collapsed="false">
      <c r="A3296" s="19" t="s">
        <v>9491</v>
      </c>
      <c r="B3296" s="19" t="s">
        <v>9330</v>
      </c>
      <c r="C3296" s="19" t="s">
        <v>9331</v>
      </c>
      <c r="D3296" s="19" t="s">
        <v>9332</v>
      </c>
      <c r="E3296" s="19" t="s">
        <v>147</v>
      </c>
      <c r="F3296" s="19" t="s">
        <v>144</v>
      </c>
      <c r="G3296" s="19" t="n">
        <v>217</v>
      </c>
      <c r="H3296" s="19" t="s">
        <v>145</v>
      </c>
      <c r="I3296" s="20"/>
      <c r="J3296" s="19" t="str">
        <f aca="false">IF(I3296="","",MIN(Overview!$B$8,MAX(1,CEILING(I3296/Overview!$B$7,1))))</f>
        <v/>
      </c>
      <c r="K3296" s="19"/>
      <c r="L3296" s="19" t="s">
        <v>9492</v>
      </c>
      <c r="M3296" s="20"/>
      <c r="N3296" s="19"/>
      <c r="O3296" s="19"/>
      <c r="P3296" s="19" t="s">
        <v>9333</v>
      </c>
      <c r="Q3296" s="19" t="s">
        <v>9334</v>
      </c>
      <c r="R3296" s="21" t="n">
        <v>44730</v>
      </c>
      <c r="S3296" s="19"/>
      <c r="T3296" s="19" t="s">
        <v>9493</v>
      </c>
      <c r="U3296" s="19" t="str">
        <f aca="false">HYPERLINK("https://drive.google.com/file/d/1Pdak2ABC1pdXnWuGrIDdbvrtHIb5_PYc/view","Open")</f>
        <v>Open</v>
      </c>
      <c r="V3296" s="19" t="s">
        <v>9494</v>
      </c>
    </row>
    <row r="3297" customFormat="false" ht="15" hidden="false" customHeight="false" outlineLevel="0" collapsed="false">
      <c r="A3297" s="19" t="s">
        <v>9495</v>
      </c>
      <c r="B3297" s="19" t="s">
        <v>9330</v>
      </c>
      <c r="C3297" s="19" t="s">
        <v>9331</v>
      </c>
      <c r="D3297" s="19" t="s">
        <v>9332</v>
      </c>
      <c r="E3297" s="19" t="s">
        <v>147</v>
      </c>
      <c r="F3297" s="19" t="s">
        <v>144</v>
      </c>
      <c r="G3297" s="19" t="n">
        <v>217</v>
      </c>
      <c r="H3297" s="19" t="s">
        <v>145</v>
      </c>
      <c r="I3297" s="20"/>
      <c r="J3297" s="19" t="str">
        <f aca="false">IF(I3297="","",MIN(Overview!$B$8,MAX(1,CEILING(I3297/Overview!$B$7,1))))</f>
        <v/>
      </c>
      <c r="K3297" s="19"/>
      <c r="L3297" s="19" t="s">
        <v>9496</v>
      </c>
      <c r="M3297" s="20"/>
      <c r="N3297" s="19"/>
      <c r="O3297" s="19"/>
      <c r="P3297" s="19" t="s">
        <v>9333</v>
      </c>
      <c r="Q3297" s="19" t="s">
        <v>9334</v>
      </c>
      <c r="R3297" s="21" t="n">
        <v>44730</v>
      </c>
      <c r="S3297" s="19"/>
      <c r="T3297" s="19" t="s">
        <v>9497</v>
      </c>
      <c r="U3297" s="19" t="str">
        <f aca="false">HYPERLINK("https://drive.google.com/file/d/1Q0A4vLRAdI6mQLwBmkFzxUuEqfXCWdDS/view","Open")</f>
        <v>Open</v>
      </c>
      <c r="V3297" s="19" t="s">
        <v>9498</v>
      </c>
    </row>
    <row r="3298" customFormat="false" ht="15" hidden="false" customHeight="false" outlineLevel="0" collapsed="false">
      <c r="A3298" s="19" t="s">
        <v>9499</v>
      </c>
      <c r="B3298" s="19" t="s">
        <v>9330</v>
      </c>
      <c r="C3298" s="19" t="s">
        <v>9331</v>
      </c>
      <c r="D3298" s="19" t="s">
        <v>9332</v>
      </c>
      <c r="E3298" s="19" t="s">
        <v>147</v>
      </c>
      <c r="F3298" s="19" t="s">
        <v>329</v>
      </c>
      <c r="G3298" s="19" t="n">
        <v>116</v>
      </c>
      <c r="H3298" s="19" t="s">
        <v>330</v>
      </c>
      <c r="I3298" s="20"/>
      <c r="J3298" s="19" t="str">
        <f aca="false">IF(I3298="","",MIN(Overview!$B$8,MAX(1,CEILING(I3298/Overview!$B$7,1))))</f>
        <v/>
      </c>
      <c r="K3298" s="19"/>
      <c r="L3298" s="19"/>
      <c r="M3298" s="20"/>
      <c r="N3298" s="19"/>
      <c r="O3298" s="19"/>
      <c r="P3298" s="19" t="s">
        <v>9333</v>
      </c>
      <c r="Q3298" s="19" t="s">
        <v>9334</v>
      </c>
      <c r="R3298" s="21" t="n">
        <v>44730</v>
      </c>
      <c r="S3298" s="19" t="s">
        <v>9500</v>
      </c>
      <c r="T3298" s="19" t="s">
        <v>9501</v>
      </c>
      <c r="U3298" s="19" t="str">
        <f aca="false">HYPERLINK("https://drive.google.com/file/d/1NE9GBfwap16oD5vnRI_UBifaTvNuQgbP/view","Open")</f>
        <v>Open</v>
      </c>
      <c r="V3298" s="19" t="s">
        <v>9502</v>
      </c>
    </row>
    <row r="3299" customFormat="false" ht="15" hidden="false" customHeight="false" outlineLevel="0" collapsed="false">
      <c r="A3299" s="19" t="s">
        <v>9503</v>
      </c>
      <c r="B3299" s="19" t="s">
        <v>9330</v>
      </c>
      <c r="C3299" s="19" t="s">
        <v>9331</v>
      </c>
      <c r="D3299" s="19" t="s">
        <v>9332</v>
      </c>
      <c r="E3299" s="19" t="s">
        <v>147</v>
      </c>
      <c r="F3299" s="19" t="s">
        <v>144</v>
      </c>
      <c r="G3299" s="19" t="n">
        <v>217</v>
      </c>
      <c r="H3299" s="19" t="s">
        <v>145</v>
      </c>
      <c r="I3299" s="20"/>
      <c r="J3299" s="19" t="str">
        <f aca="false">IF(I3299="","",MIN(Overview!$B$8,MAX(1,CEILING(I3299/Overview!$B$7,1))))</f>
        <v/>
      </c>
      <c r="K3299" s="19"/>
      <c r="L3299" s="19"/>
      <c r="M3299" s="20"/>
      <c r="N3299" s="19"/>
      <c r="O3299" s="19"/>
      <c r="P3299" s="19" t="s">
        <v>9333</v>
      </c>
      <c r="Q3299" s="19" t="s">
        <v>9334</v>
      </c>
      <c r="R3299" s="21" t="n">
        <v>44730</v>
      </c>
      <c r="S3299" s="19" t="s">
        <v>9504</v>
      </c>
      <c r="T3299" s="19" t="s">
        <v>9505</v>
      </c>
      <c r="U3299" s="19" t="str">
        <f aca="false">HYPERLINK("https://drive.google.com/file/d/1MWzw36_cmZLLiT1hGwv6ZcytA7OpsaR_/view","Open")</f>
        <v>Open</v>
      </c>
      <c r="V3299" s="19" t="s">
        <v>9506</v>
      </c>
    </row>
    <row r="3300" customFormat="false" ht="15" hidden="false" customHeight="false" outlineLevel="0" collapsed="false">
      <c r="A3300" s="19" t="s">
        <v>9507</v>
      </c>
      <c r="B3300" s="19" t="s">
        <v>9330</v>
      </c>
      <c r="C3300" s="19" t="s">
        <v>9331</v>
      </c>
      <c r="D3300" s="19" t="s">
        <v>9332</v>
      </c>
      <c r="E3300" s="19" t="s">
        <v>911</v>
      </c>
      <c r="F3300" s="19" t="s">
        <v>912</v>
      </c>
      <c r="G3300" s="19" t="n">
        <v>248</v>
      </c>
      <c r="H3300" s="19"/>
      <c r="I3300" s="20"/>
      <c r="J3300" s="19" t="str">
        <f aca="false">IF(I3300="","",MIN(Overview!$B$8,MAX(1,CEILING(I3300/Overview!$B$7,1))))</f>
        <v/>
      </c>
      <c r="K3300" s="19"/>
      <c r="L3300" s="19"/>
      <c r="M3300" s="20"/>
      <c r="N3300" s="19"/>
      <c r="O3300" s="19"/>
      <c r="P3300" s="19" t="s">
        <v>9333</v>
      </c>
      <c r="Q3300" s="19" t="s">
        <v>9334</v>
      </c>
      <c r="R3300" s="21" t="n">
        <v>44730</v>
      </c>
      <c r="S3300" s="19" t="s">
        <v>9508</v>
      </c>
      <c r="T3300" s="19" t="s">
        <v>9509</v>
      </c>
      <c r="U3300" s="19" t="str">
        <f aca="false">HYPERLINK("https://drive.google.com/file/d/1OoB_BHni35y9fuHFXVEgJ3JTEes4_xak/view","Open")</f>
        <v>Open</v>
      </c>
      <c r="V3300" s="19" t="s">
        <v>9510</v>
      </c>
    </row>
    <row r="3301" customFormat="false" ht="15" hidden="false" customHeight="false" outlineLevel="0" collapsed="false">
      <c r="A3301" s="19" t="s">
        <v>9511</v>
      </c>
      <c r="B3301" s="19" t="s">
        <v>9330</v>
      </c>
      <c r="C3301" s="19" t="s">
        <v>9331</v>
      </c>
      <c r="D3301" s="19" t="s">
        <v>9332</v>
      </c>
      <c r="E3301" s="19" t="s">
        <v>911</v>
      </c>
      <c r="F3301" s="19" t="s">
        <v>912</v>
      </c>
      <c r="G3301" s="19" t="n">
        <v>248</v>
      </c>
      <c r="H3301" s="19"/>
      <c r="I3301" s="20"/>
      <c r="J3301" s="19" t="str">
        <f aca="false">IF(I3301="","",MIN(Overview!$B$8,MAX(1,CEILING(I3301/Overview!$B$7,1))))</f>
        <v/>
      </c>
      <c r="K3301" s="19"/>
      <c r="L3301" s="19"/>
      <c r="M3301" s="20"/>
      <c r="N3301" s="19"/>
      <c r="O3301" s="19"/>
      <c r="P3301" s="19" t="s">
        <v>9333</v>
      </c>
      <c r="Q3301" s="19" t="s">
        <v>9334</v>
      </c>
      <c r="R3301" s="21" t="n">
        <v>44730</v>
      </c>
      <c r="S3301" s="19" t="s">
        <v>9512</v>
      </c>
      <c r="T3301" s="19" t="s">
        <v>9513</v>
      </c>
      <c r="U3301" s="19" t="str">
        <f aca="false">HYPERLINK("https://drive.google.com/file/d/1PiBSrioOqjePkI2iYAavq8vj_FTTH2D-/view","Open")</f>
        <v>Open</v>
      </c>
      <c r="V3301" s="19" t="s">
        <v>9514</v>
      </c>
    </row>
    <row r="3302" customFormat="false" ht="15" hidden="false" customHeight="false" outlineLevel="0" collapsed="false">
      <c r="A3302" s="19" t="s">
        <v>9515</v>
      </c>
      <c r="B3302" s="19" t="s">
        <v>9330</v>
      </c>
      <c r="C3302" s="19" t="s">
        <v>9331</v>
      </c>
      <c r="D3302" s="19" t="s">
        <v>9332</v>
      </c>
      <c r="E3302" s="19" t="s">
        <v>911</v>
      </c>
      <c r="F3302" s="19" t="s">
        <v>912</v>
      </c>
      <c r="G3302" s="19" t="n">
        <v>248</v>
      </c>
      <c r="H3302" s="19"/>
      <c r="I3302" s="20"/>
      <c r="J3302" s="19" t="str">
        <f aca="false">IF(I3302="","",MIN(Overview!$B$8,MAX(1,CEILING(I3302/Overview!$B$7,1))))</f>
        <v/>
      </c>
      <c r="K3302" s="19"/>
      <c r="L3302" s="19"/>
      <c r="M3302" s="20"/>
      <c r="N3302" s="19"/>
      <c r="O3302" s="19"/>
      <c r="P3302" s="19" t="s">
        <v>9333</v>
      </c>
      <c r="Q3302" s="19" t="s">
        <v>9334</v>
      </c>
      <c r="R3302" s="21" t="n">
        <v>44730</v>
      </c>
      <c r="S3302" s="19" t="s">
        <v>9516</v>
      </c>
      <c r="T3302" s="19" t="s">
        <v>9517</v>
      </c>
      <c r="U3302" s="19" t="str">
        <f aca="false">HYPERLINK("https://drive.google.com/file/d/1L_LLl5qV2wyp6j25I_Bla-CfrQlbi5I3/view","Open")</f>
        <v>Open</v>
      </c>
      <c r="V3302" s="19" t="s">
        <v>9518</v>
      </c>
    </row>
    <row r="3303" customFormat="false" ht="15" hidden="false" customHeight="false" outlineLevel="0" collapsed="false">
      <c r="A3303" s="19" t="s">
        <v>9519</v>
      </c>
      <c r="B3303" s="19" t="s">
        <v>9330</v>
      </c>
      <c r="C3303" s="19" t="s">
        <v>9331</v>
      </c>
      <c r="D3303" s="19" t="s">
        <v>9332</v>
      </c>
      <c r="E3303" s="19" t="s">
        <v>911</v>
      </c>
      <c r="F3303" s="19" t="s">
        <v>912</v>
      </c>
      <c r="G3303" s="19" t="n">
        <v>248</v>
      </c>
      <c r="H3303" s="19"/>
      <c r="I3303" s="20"/>
      <c r="J3303" s="19" t="str">
        <f aca="false">IF(I3303="","",MIN(Overview!$B$8,MAX(1,CEILING(I3303/Overview!$B$7,1))))</f>
        <v/>
      </c>
      <c r="K3303" s="19"/>
      <c r="L3303" s="19"/>
      <c r="M3303" s="20"/>
      <c r="N3303" s="19"/>
      <c r="O3303" s="19"/>
      <c r="P3303" s="19" t="s">
        <v>9333</v>
      </c>
      <c r="Q3303" s="19" t="s">
        <v>9334</v>
      </c>
      <c r="R3303" s="21" t="n">
        <v>44730</v>
      </c>
      <c r="S3303" s="19" t="s">
        <v>9520</v>
      </c>
      <c r="T3303" s="19" t="s">
        <v>9521</v>
      </c>
      <c r="U3303" s="19" t="str">
        <f aca="false">HYPERLINK("https://drive.google.com/file/d/1QDiJtr_0ERxtQ5-TqA9cHJxeEItP01VW/view","Open")</f>
        <v>Open</v>
      </c>
      <c r="V3303" s="19" t="s">
        <v>9522</v>
      </c>
    </row>
    <row r="3304" customFormat="false" ht="15" hidden="false" customHeight="false" outlineLevel="0" collapsed="false">
      <c r="A3304" s="19" t="s">
        <v>9523</v>
      </c>
      <c r="B3304" s="19" t="s">
        <v>9330</v>
      </c>
      <c r="C3304" s="19" t="s">
        <v>9331</v>
      </c>
      <c r="D3304" s="19" t="s">
        <v>9332</v>
      </c>
      <c r="E3304" s="19" t="s">
        <v>911</v>
      </c>
      <c r="F3304" s="19" t="s">
        <v>912</v>
      </c>
      <c r="G3304" s="19" t="n">
        <v>248</v>
      </c>
      <c r="H3304" s="19"/>
      <c r="I3304" s="20"/>
      <c r="J3304" s="19" t="str">
        <f aca="false">IF(I3304="","",MIN(Overview!$B$8,MAX(1,CEILING(I3304/Overview!$B$7,1))))</f>
        <v/>
      </c>
      <c r="K3304" s="19"/>
      <c r="L3304" s="19"/>
      <c r="M3304" s="20"/>
      <c r="N3304" s="19"/>
      <c r="O3304" s="19"/>
      <c r="P3304" s="19" t="s">
        <v>9333</v>
      </c>
      <c r="Q3304" s="19" t="s">
        <v>9334</v>
      </c>
      <c r="R3304" s="21" t="n">
        <v>44730</v>
      </c>
      <c r="S3304" s="19" t="s">
        <v>9524</v>
      </c>
      <c r="T3304" s="19" t="s">
        <v>9525</v>
      </c>
      <c r="U3304" s="19" t="str">
        <f aca="false">HYPERLINK("https://drive.google.com/file/d/1Qj62a__PHggWmUFc23SNPHJQJLmlWki-/view","Open")</f>
        <v>Open</v>
      </c>
      <c r="V3304" s="19" t="s">
        <v>9526</v>
      </c>
    </row>
    <row r="3305" customFormat="false" ht="15" hidden="false" customHeight="false" outlineLevel="0" collapsed="false">
      <c r="A3305" s="19" t="s">
        <v>9527</v>
      </c>
      <c r="B3305" s="19" t="s">
        <v>9330</v>
      </c>
      <c r="C3305" s="19" t="s">
        <v>9331</v>
      </c>
      <c r="D3305" s="19" t="s">
        <v>9332</v>
      </c>
      <c r="E3305" s="19" t="s">
        <v>911</v>
      </c>
      <c r="F3305" s="19" t="s">
        <v>912</v>
      </c>
      <c r="G3305" s="19" t="n">
        <v>248</v>
      </c>
      <c r="H3305" s="19"/>
      <c r="I3305" s="20"/>
      <c r="J3305" s="19" t="str">
        <f aca="false">IF(I3305="","",MIN(Overview!$B$8,MAX(1,CEILING(I3305/Overview!$B$7,1))))</f>
        <v/>
      </c>
      <c r="K3305" s="19"/>
      <c r="L3305" s="19"/>
      <c r="M3305" s="20"/>
      <c r="N3305" s="19"/>
      <c r="O3305" s="19"/>
      <c r="P3305" s="19" t="s">
        <v>9333</v>
      </c>
      <c r="Q3305" s="19" t="s">
        <v>9334</v>
      </c>
      <c r="R3305" s="21" t="n">
        <v>44730</v>
      </c>
      <c r="S3305" s="19" t="s">
        <v>9528</v>
      </c>
      <c r="T3305" s="19" t="s">
        <v>9529</v>
      </c>
      <c r="U3305" s="19" t="str">
        <f aca="false">HYPERLINK("https://drive.google.com/file/d/1P0ezjnvvlN9fPdv0gadhju4Q-f1Bdumc/view","Open")</f>
        <v>Open</v>
      </c>
      <c r="V3305" s="19" t="s">
        <v>9530</v>
      </c>
    </row>
    <row r="3306" customFormat="false" ht="15" hidden="false" customHeight="false" outlineLevel="0" collapsed="false">
      <c r="A3306" s="19" t="s">
        <v>9531</v>
      </c>
      <c r="B3306" s="19" t="s">
        <v>9330</v>
      </c>
      <c r="C3306" s="19" t="s">
        <v>9331</v>
      </c>
      <c r="D3306" s="19" t="s">
        <v>9332</v>
      </c>
      <c r="E3306" s="19" t="s">
        <v>911</v>
      </c>
      <c r="F3306" s="19" t="s">
        <v>912</v>
      </c>
      <c r="G3306" s="19" t="n">
        <v>248</v>
      </c>
      <c r="H3306" s="19"/>
      <c r="I3306" s="20"/>
      <c r="J3306" s="19" t="str">
        <f aca="false">IF(I3306="","",MIN(Overview!$B$8,MAX(1,CEILING(I3306/Overview!$B$7,1))))</f>
        <v/>
      </c>
      <c r="K3306" s="19"/>
      <c r="L3306" s="19"/>
      <c r="M3306" s="20"/>
      <c r="N3306" s="19"/>
      <c r="O3306" s="19"/>
      <c r="P3306" s="19" t="s">
        <v>9333</v>
      </c>
      <c r="Q3306" s="19" t="s">
        <v>9334</v>
      </c>
      <c r="R3306" s="21" t="n">
        <v>44730</v>
      </c>
      <c r="S3306" s="19" t="s">
        <v>9532</v>
      </c>
      <c r="T3306" s="19" t="s">
        <v>9533</v>
      </c>
      <c r="U3306" s="19" t="str">
        <f aca="false">HYPERLINK("https://drive.google.com/file/d/1PUBRK_T1IHGD3L70xF5jPLUpO4UTAqga/view","Open")</f>
        <v>Open</v>
      </c>
      <c r="V3306" s="19" t="s">
        <v>9534</v>
      </c>
    </row>
    <row r="3307" customFormat="false" ht="15" hidden="false" customHeight="false" outlineLevel="0" collapsed="false">
      <c r="A3307" s="19" t="s">
        <v>9535</v>
      </c>
      <c r="B3307" s="19" t="s">
        <v>9330</v>
      </c>
      <c r="C3307" s="19" t="s">
        <v>9331</v>
      </c>
      <c r="D3307" s="19" t="s">
        <v>9332</v>
      </c>
      <c r="E3307" s="19" t="s">
        <v>911</v>
      </c>
      <c r="F3307" s="19" t="s">
        <v>912</v>
      </c>
      <c r="G3307" s="19" t="n">
        <v>248</v>
      </c>
      <c r="H3307" s="19"/>
      <c r="I3307" s="20"/>
      <c r="J3307" s="19" t="str">
        <f aca="false">IF(I3307="","",MIN(Overview!$B$8,MAX(1,CEILING(I3307/Overview!$B$7,1))))</f>
        <v/>
      </c>
      <c r="K3307" s="19"/>
      <c r="L3307" s="19"/>
      <c r="M3307" s="20"/>
      <c r="N3307" s="19"/>
      <c r="O3307" s="19"/>
      <c r="P3307" s="19" t="s">
        <v>9333</v>
      </c>
      <c r="Q3307" s="19" t="s">
        <v>9334</v>
      </c>
      <c r="R3307" s="21" t="n">
        <v>44730</v>
      </c>
      <c r="S3307" s="19" t="s">
        <v>9536</v>
      </c>
      <c r="T3307" s="19" t="s">
        <v>9537</v>
      </c>
      <c r="U3307" s="19" t="str">
        <f aca="false">HYPERLINK("https://drive.google.com/file/d/1POm-4Dt3M_BBI8rBVFtyLbpp7YB3qpF5/view","Open")</f>
        <v>Open</v>
      </c>
      <c r="V3307" s="19" t="s">
        <v>9538</v>
      </c>
    </row>
    <row r="3308" customFormat="false" ht="15" hidden="false" customHeight="false" outlineLevel="0" collapsed="false">
      <c r="A3308" s="19" t="s">
        <v>9539</v>
      </c>
      <c r="B3308" s="19" t="s">
        <v>9330</v>
      </c>
      <c r="C3308" s="19" t="s">
        <v>9331</v>
      </c>
      <c r="D3308" s="19" t="s">
        <v>9332</v>
      </c>
      <c r="E3308" s="19" t="s">
        <v>911</v>
      </c>
      <c r="F3308" s="19" t="s">
        <v>912</v>
      </c>
      <c r="G3308" s="19" t="n">
        <v>248</v>
      </c>
      <c r="H3308" s="19"/>
      <c r="I3308" s="20"/>
      <c r="J3308" s="19" t="str">
        <f aca="false">IF(I3308="","",MIN(Overview!$B$8,MAX(1,CEILING(I3308/Overview!$B$7,1))))</f>
        <v/>
      </c>
      <c r="K3308" s="19"/>
      <c r="L3308" s="19"/>
      <c r="M3308" s="20"/>
      <c r="N3308" s="19"/>
      <c r="O3308" s="19"/>
      <c r="P3308" s="19" t="s">
        <v>9333</v>
      </c>
      <c r="Q3308" s="19" t="s">
        <v>9334</v>
      </c>
      <c r="R3308" s="21" t="n">
        <v>44730</v>
      </c>
      <c r="S3308" s="19" t="s">
        <v>9540</v>
      </c>
      <c r="T3308" s="19" t="s">
        <v>9541</v>
      </c>
      <c r="U3308" s="19" t="str">
        <f aca="false">HYPERLINK("https://drive.google.com/file/d/1QbxU3MmHvJWMjcO2Z-287jnRod19ZdFn/view","Open")</f>
        <v>Open</v>
      </c>
      <c r="V3308" s="19" t="s">
        <v>9542</v>
      </c>
    </row>
    <row r="3309" customFormat="false" ht="15" hidden="false" customHeight="false" outlineLevel="0" collapsed="false">
      <c r="A3309" s="19" t="s">
        <v>9543</v>
      </c>
      <c r="B3309" s="19" t="s">
        <v>9330</v>
      </c>
      <c r="C3309" s="19" t="s">
        <v>9331</v>
      </c>
      <c r="D3309" s="19" t="s">
        <v>9332</v>
      </c>
      <c r="E3309" s="19" t="s">
        <v>911</v>
      </c>
      <c r="F3309" s="19" t="s">
        <v>912</v>
      </c>
      <c r="G3309" s="19" t="n">
        <v>248</v>
      </c>
      <c r="H3309" s="19"/>
      <c r="I3309" s="20"/>
      <c r="J3309" s="19" t="str">
        <f aca="false">IF(I3309="","",MIN(Overview!$B$8,MAX(1,CEILING(I3309/Overview!$B$7,1))))</f>
        <v/>
      </c>
      <c r="K3309" s="19"/>
      <c r="L3309" s="19"/>
      <c r="M3309" s="20"/>
      <c r="N3309" s="19"/>
      <c r="O3309" s="19"/>
      <c r="P3309" s="19" t="s">
        <v>9333</v>
      </c>
      <c r="Q3309" s="19" t="s">
        <v>9334</v>
      </c>
      <c r="R3309" s="21" t="n">
        <v>44730</v>
      </c>
      <c r="S3309" s="19" t="s">
        <v>9544</v>
      </c>
      <c r="T3309" s="19" t="s">
        <v>9545</v>
      </c>
      <c r="U3309" s="19" t="str">
        <f aca="false">HYPERLINK("https://drive.google.com/file/d/1MGQTLTs8LeYT0kYk4d765JLzdAgDDwSW/view","Open")</f>
        <v>Open</v>
      </c>
      <c r="V3309" s="19" t="s">
        <v>9546</v>
      </c>
    </row>
    <row r="3310" customFormat="false" ht="15" hidden="false" customHeight="false" outlineLevel="0" collapsed="false">
      <c r="A3310" s="19" t="s">
        <v>9547</v>
      </c>
      <c r="B3310" s="19" t="s">
        <v>9330</v>
      </c>
      <c r="C3310" s="19" t="s">
        <v>9331</v>
      </c>
      <c r="D3310" s="19" t="s">
        <v>9332</v>
      </c>
      <c r="E3310" s="19" t="s">
        <v>911</v>
      </c>
      <c r="F3310" s="19" t="s">
        <v>912</v>
      </c>
      <c r="G3310" s="19" t="n">
        <v>248</v>
      </c>
      <c r="H3310" s="19"/>
      <c r="I3310" s="20"/>
      <c r="J3310" s="19" t="str">
        <f aca="false">IF(I3310="","",MIN(Overview!$B$8,MAX(1,CEILING(I3310/Overview!$B$7,1))))</f>
        <v/>
      </c>
      <c r="K3310" s="19"/>
      <c r="L3310" s="19"/>
      <c r="M3310" s="20"/>
      <c r="N3310" s="19"/>
      <c r="O3310" s="19"/>
      <c r="P3310" s="19" t="s">
        <v>9333</v>
      </c>
      <c r="Q3310" s="19" t="s">
        <v>9334</v>
      </c>
      <c r="R3310" s="21" t="n">
        <v>44730</v>
      </c>
      <c r="S3310" s="19" t="s">
        <v>9548</v>
      </c>
      <c r="T3310" s="19" t="s">
        <v>9549</v>
      </c>
      <c r="U3310" s="19" t="str">
        <f aca="false">HYPERLINK("https://drive.google.com/file/d/1MbNsb5RW2_REXxJ_aaQk65yYh_795kRk/view","Open")</f>
        <v>Open</v>
      </c>
      <c r="V3310" s="19" t="s">
        <v>9550</v>
      </c>
    </row>
    <row r="3311" customFormat="false" ht="15" hidden="false" customHeight="false" outlineLevel="0" collapsed="false">
      <c r="A3311" s="19" t="s">
        <v>9551</v>
      </c>
      <c r="B3311" s="19" t="s">
        <v>9330</v>
      </c>
      <c r="C3311" s="19" t="s">
        <v>9331</v>
      </c>
      <c r="D3311" s="19" t="s">
        <v>9332</v>
      </c>
      <c r="E3311" s="19" t="s">
        <v>147</v>
      </c>
      <c r="F3311" s="19" t="s">
        <v>144</v>
      </c>
      <c r="G3311" s="19" t="n">
        <v>217</v>
      </c>
      <c r="H3311" s="19" t="s">
        <v>145</v>
      </c>
      <c r="I3311" s="20"/>
      <c r="J3311" s="19" t="str">
        <f aca="false">IF(I3311="","",MIN(Overview!$B$8,MAX(1,CEILING(I3311/Overview!$B$7,1))))</f>
        <v/>
      </c>
      <c r="K3311" s="19"/>
      <c r="L3311" s="19"/>
      <c r="M3311" s="20"/>
      <c r="N3311" s="19"/>
      <c r="O3311" s="19"/>
      <c r="P3311" s="19" t="s">
        <v>9552</v>
      </c>
      <c r="Q3311" s="19" t="s">
        <v>9334</v>
      </c>
      <c r="R3311" s="21" t="n">
        <v>44729</v>
      </c>
      <c r="S3311" s="19" t="s">
        <v>9553</v>
      </c>
      <c r="T3311" s="19" t="s">
        <v>9554</v>
      </c>
      <c r="U3311" s="19" t="str">
        <f aca="false">HYPERLINK("https://drive.google.com/file/d/1KslMZnTM4gRy19XP12qYwdDKzsKcI6CC/view","Open")</f>
        <v>Open</v>
      </c>
      <c r="V3311" s="19" t="s">
        <v>9555</v>
      </c>
    </row>
    <row r="3312" customFormat="false" ht="15" hidden="false" customHeight="false" outlineLevel="0" collapsed="false">
      <c r="A3312" s="19" t="s">
        <v>9556</v>
      </c>
      <c r="B3312" s="19" t="s">
        <v>9330</v>
      </c>
      <c r="C3312" s="19" t="s">
        <v>9331</v>
      </c>
      <c r="D3312" s="19" t="s">
        <v>9332</v>
      </c>
      <c r="E3312" s="19" t="s">
        <v>911</v>
      </c>
      <c r="F3312" s="19" t="s">
        <v>912</v>
      </c>
      <c r="G3312" s="19" t="n">
        <v>248</v>
      </c>
      <c r="H3312" s="19"/>
      <c r="I3312" s="20"/>
      <c r="J3312" s="19" t="str">
        <f aca="false">IF(I3312="","",MIN(Overview!$B$8,MAX(1,CEILING(I3312/Overview!$B$7,1))))</f>
        <v/>
      </c>
      <c r="K3312" s="19"/>
      <c r="L3312" s="19"/>
      <c r="M3312" s="20"/>
      <c r="N3312" s="19"/>
      <c r="O3312" s="19"/>
      <c r="P3312" s="19" t="s">
        <v>9552</v>
      </c>
      <c r="Q3312" s="19" t="s">
        <v>9334</v>
      </c>
      <c r="R3312" s="21" t="n">
        <v>44729</v>
      </c>
      <c r="S3312" s="19" t="s">
        <v>9557</v>
      </c>
      <c r="T3312" s="19" t="s">
        <v>9558</v>
      </c>
      <c r="U3312" s="19" t="str">
        <f aca="false">HYPERLINK("https://drive.google.com/file/d/1LRwHEqyJaPtOTMNTp3c81H4rW7EzRjZh/view","Open")</f>
        <v>Open</v>
      </c>
      <c r="V3312" s="19" t="s">
        <v>9559</v>
      </c>
    </row>
    <row r="3313" customFormat="false" ht="15" hidden="false" customHeight="false" outlineLevel="0" collapsed="false">
      <c r="A3313" s="19" t="s">
        <v>9560</v>
      </c>
      <c r="B3313" s="19" t="s">
        <v>9330</v>
      </c>
      <c r="C3313" s="19" t="s">
        <v>9331</v>
      </c>
      <c r="D3313" s="19" t="s">
        <v>9332</v>
      </c>
      <c r="E3313" s="19" t="s">
        <v>147</v>
      </c>
      <c r="F3313" s="19" t="s">
        <v>144</v>
      </c>
      <c r="G3313" s="19" t="n">
        <v>217</v>
      </c>
      <c r="H3313" s="19" t="s">
        <v>145</v>
      </c>
      <c r="I3313" s="20"/>
      <c r="J3313" s="19" t="str">
        <f aca="false">IF(I3313="","",MIN(Overview!$B$8,MAX(1,CEILING(I3313/Overview!$B$7,1))))</f>
        <v/>
      </c>
      <c r="K3313" s="19"/>
      <c r="L3313" s="19"/>
      <c r="M3313" s="20"/>
      <c r="N3313" s="19"/>
      <c r="O3313" s="19"/>
      <c r="P3313" s="19" t="s">
        <v>9552</v>
      </c>
      <c r="Q3313" s="19" t="s">
        <v>9334</v>
      </c>
      <c r="R3313" s="21" t="n">
        <v>44729</v>
      </c>
      <c r="S3313" s="19" t="s">
        <v>9561</v>
      </c>
      <c r="T3313" s="19" t="s">
        <v>9562</v>
      </c>
      <c r="U3313" s="19" t="str">
        <f aca="false">HYPERLINK("https://drive.google.com/file/d/1L54PpyWBP3mlVJ1n8Ok-ofucroo4P7f4/view","Open")</f>
        <v>Open</v>
      </c>
      <c r="V3313" s="19" t="s">
        <v>9563</v>
      </c>
    </row>
    <row r="3314" customFormat="false" ht="15" hidden="false" customHeight="false" outlineLevel="0" collapsed="false">
      <c r="A3314" s="19" t="s">
        <v>9564</v>
      </c>
      <c r="B3314" s="19" t="s">
        <v>9330</v>
      </c>
      <c r="C3314" s="19" t="s">
        <v>9331</v>
      </c>
      <c r="D3314" s="19" t="s">
        <v>9332</v>
      </c>
      <c r="E3314" s="19" t="s">
        <v>147</v>
      </c>
      <c r="F3314" s="19" t="s">
        <v>144</v>
      </c>
      <c r="G3314" s="19" t="n">
        <v>217</v>
      </c>
      <c r="H3314" s="19" t="s">
        <v>145</v>
      </c>
      <c r="I3314" s="20"/>
      <c r="J3314" s="19" t="str">
        <f aca="false">IF(I3314="","",MIN(Overview!$B$8,MAX(1,CEILING(I3314/Overview!$B$7,1))))</f>
        <v/>
      </c>
      <c r="K3314" s="19"/>
      <c r="L3314" s="19"/>
      <c r="M3314" s="20"/>
      <c r="N3314" s="19"/>
      <c r="O3314" s="19"/>
      <c r="P3314" s="19" t="s">
        <v>9552</v>
      </c>
      <c r="Q3314" s="19" t="s">
        <v>9334</v>
      </c>
      <c r="R3314" s="21" t="n">
        <v>44729</v>
      </c>
      <c r="S3314" s="19" t="s">
        <v>9565</v>
      </c>
      <c r="T3314" s="19" t="s">
        <v>9566</v>
      </c>
      <c r="U3314" s="19" t="str">
        <f aca="false">HYPERLINK("https://drive.google.com/file/d/1LXATZi4KrYbpoSzRUUB9-uq4k1xPkEj9/view","Open")</f>
        <v>Open</v>
      </c>
      <c r="V3314" s="19" t="s">
        <v>9567</v>
      </c>
    </row>
    <row r="3315" customFormat="false" ht="15" hidden="false" customHeight="false" outlineLevel="0" collapsed="false">
      <c r="A3315" s="19" t="s">
        <v>9568</v>
      </c>
      <c r="B3315" s="19" t="s">
        <v>9330</v>
      </c>
      <c r="C3315" s="19" t="s">
        <v>9331</v>
      </c>
      <c r="D3315" s="19" t="s">
        <v>9332</v>
      </c>
      <c r="E3315" s="19" t="s">
        <v>911</v>
      </c>
      <c r="F3315" s="19" t="s">
        <v>916</v>
      </c>
      <c r="G3315" s="19" t="n">
        <v>249</v>
      </c>
      <c r="H3315" s="19"/>
      <c r="I3315" s="20"/>
      <c r="J3315" s="19" t="str">
        <f aca="false">IF(I3315="","",MIN(Overview!$B$8,MAX(1,CEILING(I3315/Overview!$B$7,1))))</f>
        <v/>
      </c>
      <c r="K3315" s="19"/>
      <c r="L3315" s="19"/>
      <c r="M3315" s="20"/>
      <c r="N3315" s="19"/>
      <c r="O3315" s="19"/>
      <c r="P3315" s="19" t="s">
        <v>9552</v>
      </c>
      <c r="Q3315" s="19" t="s">
        <v>9334</v>
      </c>
      <c r="R3315" s="21" t="n">
        <v>44729</v>
      </c>
      <c r="S3315" s="19" t="s">
        <v>9569</v>
      </c>
      <c r="T3315" s="19" t="s">
        <v>9570</v>
      </c>
      <c r="U3315" s="19" t="str">
        <f aca="false">HYPERLINK("https://drive.google.com/file/d/1L4GdU1ynSLFDBfu4hrxEuO6ywWPumBkP/view","Open")</f>
        <v>Open</v>
      </c>
      <c r="V3315" s="19" t="s">
        <v>9571</v>
      </c>
    </row>
    <row r="3316" customFormat="false" ht="15" hidden="false" customHeight="false" outlineLevel="0" collapsed="false">
      <c r="A3316" s="19" t="s">
        <v>9572</v>
      </c>
      <c r="B3316" s="19" t="s">
        <v>9330</v>
      </c>
      <c r="C3316" s="19" t="s">
        <v>9331</v>
      </c>
      <c r="D3316" s="19" t="s">
        <v>9332</v>
      </c>
      <c r="E3316" s="19" t="s">
        <v>147</v>
      </c>
      <c r="F3316" s="19" t="s">
        <v>155</v>
      </c>
      <c r="G3316" s="19" t="n">
        <v>104</v>
      </c>
      <c r="H3316" s="19" t="s">
        <v>156</v>
      </c>
      <c r="I3316" s="20"/>
      <c r="J3316" s="19" t="str">
        <f aca="false">IF(I3316="","",MIN(Overview!$B$8,MAX(1,CEILING(I3316/Overview!$B$7,1))))</f>
        <v/>
      </c>
      <c r="K3316" s="19"/>
      <c r="L3316" s="19"/>
      <c r="M3316" s="20"/>
      <c r="N3316" s="19"/>
      <c r="O3316" s="19"/>
      <c r="P3316" s="19" t="s">
        <v>9552</v>
      </c>
      <c r="Q3316" s="19" t="s">
        <v>9334</v>
      </c>
      <c r="R3316" s="21" t="n">
        <v>44729</v>
      </c>
      <c r="S3316" s="19" t="s">
        <v>9573</v>
      </c>
      <c r="T3316" s="19" t="s">
        <v>9574</v>
      </c>
      <c r="U3316" s="19" t="str">
        <f aca="false">HYPERLINK("https://drive.google.com/file/d/1KtQ7Yj7q43tU2lDgl8GlAoagkYVgGPhn/view","Open")</f>
        <v>Open</v>
      </c>
      <c r="V3316" s="19" t="s">
        <v>9575</v>
      </c>
    </row>
    <row r="3317" customFormat="false" ht="15" hidden="false" customHeight="false" outlineLevel="0" collapsed="false">
      <c r="A3317" s="19" t="s">
        <v>9576</v>
      </c>
      <c r="B3317" s="19" t="s">
        <v>9330</v>
      </c>
      <c r="C3317" s="19" t="s">
        <v>9331</v>
      </c>
      <c r="D3317" s="19" t="s">
        <v>9332</v>
      </c>
      <c r="E3317" s="19" t="s">
        <v>147</v>
      </c>
      <c r="F3317" s="19" t="s">
        <v>353</v>
      </c>
      <c r="G3317" s="19" t="n">
        <v>52</v>
      </c>
      <c r="H3317" s="19" t="s">
        <v>354</v>
      </c>
      <c r="I3317" s="20"/>
      <c r="J3317" s="19" t="str">
        <f aca="false">IF(I3317="","",MIN(Overview!$B$8,MAX(1,CEILING(I3317/Overview!$B$7,1))))</f>
        <v/>
      </c>
      <c r="K3317" s="19"/>
      <c r="L3317" s="19" t="s">
        <v>9402</v>
      </c>
      <c r="M3317" s="20"/>
      <c r="N3317" s="19"/>
      <c r="O3317" s="19"/>
      <c r="P3317" s="19" t="s">
        <v>9552</v>
      </c>
      <c r="Q3317" s="19" t="s">
        <v>9334</v>
      </c>
      <c r="R3317" s="21" t="n">
        <v>44729</v>
      </c>
      <c r="S3317" s="19" t="s">
        <v>9577</v>
      </c>
      <c r="T3317" s="19" t="s">
        <v>9578</v>
      </c>
      <c r="U3317" s="19" t="str">
        <f aca="false">HYPERLINK("https://drive.google.com/file/d/1M-t9UjFkR_aaUAtqHSm64Tkhf77xvqqs/view","Open")</f>
        <v>Open</v>
      </c>
      <c r="V3317" s="19" t="s">
        <v>9579</v>
      </c>
    </row>
    <row r="3318" customFormat="false" ht="15" hidden="false" customHeight="false" outlineLevel="0" collapsed="false">
      <c r="A3318" s="19" t="s">
        <v>9580</v>
      </c>
      <c r="B3318" s="19" t="s">
        <v>9330</v>
      </c>
      <c r="C3318" s="19" t="s">
        <v>9331</v>
      </c>
      <c r="D3318" s="19" t="s">
        <v>9332</v>
      </c>
      <c r="E3318" s="19" t="s">
        <v>911</v>
      </c>
      <c r="F3318" s="19" t="s">
        <v>912</v>
      </c>
      <c r="G3318" s="19" t="n">
        <v>248</v>
      </c>
      <c r="H3318" s="19"/>
      <c r="I3318" s="20"/>
      <c r="J3318" s="19" t="str">
        <f aca="false">IF(I3318="","",MIN(Overview!$B$8,MAX(1,CEILING(I3318/Overview!$B$7,1))))</f>
        <v/>
      </c>
      <c r="K3318" s="19"/>
      <c r="L3318" s="19"/>
      <c r="M3318" s="20"/>
      <c r="N3318" s="19"/>
      <c r="O3318" s="19"/>
      <c r="P3318" s="19" t="s">
        <v>9552</v>
      </c>
      <c r="Q3318" s="19" t="s">
        <v>9334</v>
      </c>
      <c r="R3318" s="21" t="n">
        <v>44729</v>
      </c>
      <c r="S3318" s="19" t="s">
        <v>9581</v>
      </c>
      <c r="T3318" s="19" t="s">
        <v>9582</v>
      </c>
      <c r="U3318" s="19" t="str">
        <f aca="false">HYPERLINK("https://drive.google.com/file/d/1L56X-kS23x0qYo9I5KaID6YXRMdVddGR/view","Open")</f>
        <v>Open</v>
      </c>
      <c r="V3318" s="19" t="s">
        <v>9583</v>
      </c>
    </row>
    <row r="3319" customFormat="false" ht="15" hidden="false" customHeight="false" outlineLevel="0" collapsed="false">
      <c r="A3319" s="19" t="s">
        <v>9584</v>
      </c>
      <c r="B3319" s="19" t="s">
        <v>9330</v>
      </c>
      <c r="C3319" s="19" t="s">
        <v>9331</v>
      </c>
      <c r="D3319" s="19" t="s">
        <v>9332</v>
      </c>
      <c r="E3319" s="19" t="s">
        <v>147</v>
      </c>
      <c r="F3319" s="19" t="s">
        <v>434</v>
      </c>
      <c r="G3319" s="19" t="n">
        <v>28</v>
      </c>
      <c r="H3319" s="19" t="s">
        <v>435</v>
      </c>
      <c r="I3319" s="20"/>
      <c r="J3319" s="19" t="str">
        <f aca="false">IF(I3319="","",MIN(Overview!$B$8,MAX(1,CEILING(I3319/Overview!$B$7,1))))</f>
        <v/>
      </c>
      <c r="K3319" s="19"/>
      <c r="L3319" s="19"/>
      <c r="M3319" s="20"/>
      <c r="N3319" s="19"/>
      <c r="O3319" s="19"/>
      <c r="P3319" s="19" t="s">
        <v>9552</v>
      </c>
      <c r="Q3319" s="19" t="s">
        <v>9334</v>
      </c>
      <c r="R3319" s="21" t="n">
        <v>44729</v>
      </c>
      <c r="S3319" s="19" t="s">
        <v>9585</v>
      </c>
      <c r="T3319" s="19" t="s">
        <v>9586</v>
      </c>
      <c r="U3319" s="19" t="str">
        <f aca="false">HYPERLINK("https://drive.google.com/file/d/1LLffGFQxgmunF67n6O_vL_wvlSCQ5ITb/view","Open")</f>
        <v>Open</v>
      </c>
      <c r="V3319" s="19" t="s">
        <v>9587</v>
      </c>
    </row>
    <row r="3320" customFormat="false" ht="15" hidden="false" customHeight="false" outlineLevel="0" collapsed="false">
      <c r="A3320" s="19" t="s">
        <v>9588</v>
      </c>
      <c r="B3320" s="19" t="s">
        <v>9330</v>
      </c>
      <c r="C3320" s="19" t="s">
        <v>9331</v>
      </c>
      <c r="D3320" s="19" t="s">
        <v>9332</v>
      </c>
      <c r="E3320" s="19" t="s">
        <v>911</v>
      </c>
      <c r="F3320" s="19" t="s">
        <v>912</v>
      </c>
      <c r="G3320" s="19" t="n">
        <v>248</v>
      </c>
      <c r="H3320" s="19"/>
      <c r="I3320" s="20"/>
      <c r="J3320" s="19" t="str">
        <f aca="false">IF(I3320="","",MIN(Overview!$B$8,MAX(1,CEILING(I3320/Overview!$B$7,1))))</f>
        <v/>
      </c>
      <c r="K3320" s="19"/>
      <c r="L3320" s="19"/>
      <c r="M3320" s="20"/>
      <c r="N3320" s="19"/>
      <c r="O3320" s="19"/>
      <c r="P3320" s="19" t="s">
        <v>9552</v>
      </c>
      <c r="Q3320" s="19" t="s">
        <v>9334</v>
      </c>
      <c r="R3320" s="21" t="n">
        <v>44729</v>
      </c>
      <c r="S3320" s="19" t="s">
        <v>9589</v>
      </c>
      <c r="T3320" s="19" t="s">
        <v>9590</v>
      </c>
      <c r="U3320" s="19" t="str">
        <f aca="false">HYPERLINK("https://drive.google.com/file/d/1LMX7tyZq5C7oRwhZEaUHeyngz5raumqr/view","Open")</f>
        <v>Open</v>
      </c>
      <c r="V3320" s="19" t="s">
        <v>9591</v>
      </c>
    </row>
    <row r="3321" customFormat="false" ht="15" hidden="false" customHeight="false" outlineLevel="0" collapsed="false">
      <c r="A3321" s="19" t="s">
        <v>9592</v>
      </c>
      <c r="B3321" s="19" t="s">
        <v>9330</v>
      </c>
      <c r="C3321" s="19" t="s">
        <v>9331</v>
      </c>
      <c r="D3321" s="19" t="s">
        <v>9332</v>
      </c>
      <c r="E3321" s="19" t="s">
        <v>911</v>
      </c>
      <c r="F3321" s="19" t="s">
        <v>912</v>
      </c>
      <c r="G3321" s="19" t="n">
        <v>248</v>
      </c>
      <c r="H3321" s="19"/>
      <c r="I3321" s="20"/>
      <c r="J3321" s="19" t="str">
        <f aca="false">IF(I3321="","",MIN(Overview!$B$8,MAX(1,CEILING(I3321/Overview!$B$7,1))))</f>
        <v/>
      </c>
      <c r="K3321" s="19"/>
      <c r="L3321" s="19"/>
      <c r="M3321" s="20"/>
      <c r="N3321" s="19"/>
      <c r="O3321" s="19"/>
      <c r="P3321" s="19" t="s">
        <v>9552</v>
      </c>
      <c r="Q3321" s="19" t="s">
        <v>9334</v>
      </c>
      <c r="R3321" s="21" t="n">
        <v>44729</v>
      </c>
      <c r="S3321" s="19" t="s">
        <v>9593</v>
      </c>
      <c r="T3321" s="19" t="s">
        <v>9594</v>
      </c>
      <c r="U3321" s="19" t="str">
        <f aca="false">HYPERLINK("https://drive.google.com/file/d/1KoiGQC9QjiztyDOrzdXm5NWurbJ9ktoW/view","Open")</f>
        <v>Open</v>
      </c>
      <c r="V3321" s="19" t="s">
        <v>9595</v>
      </c>
    </row>
  </sheetData>
  <autoFilter ref="A1:V3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3"/>
    <col collapsed="false" customWidth="true" hidden="false" outlineLevel="0" max="7" min="4" style="0" width="15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22" t="s">
        <v>9596</v>
      </c>
    </row>
    <row r="2" customFormat="false" ht="15" hidden="false" customHeight="false" outlineLevel="0" collapsed="false">
      <c r="A2" s="23" t="s">
        <v>9597</v>
      </c>
      <c r="B2" s="23"/>
      <c r="C2" s="23"/>
      <c r="D2" s="23"/>
      <c r="E2" s="23"/>
      <c r="F2" s="23"/>
      <c r="G2" s="23"/>
      <c r="H2" s="23"/>
    </row>
    <row r="4" customFormat="false" ht="31.5" hidden="false" customHeight="true" outlineLevel="0" collapsed="false">
      <c r="A4" s="14" t="s">
        <v>9598</v>
      </c>
      <c r="B4" s="14" t="s">
        <v>44</v>
      </c>
      <c r="C4" s="14" t="s">
        <v>91</v>
      </c>
      <c r="D4" s="14" t="s">
        <v>9599</v>
      </c>
      <c r="E4" s="14" t="s">
        <v>9600</v>
      </c>
      <c r="F4" s="14" t="s">
        <v>9601</v>
      </c>
      <c r="G4" s="14" t="s">
        <v>9602</v>
      </c>
      <c r="H4" s="14" t="s">
        <v>9603</v>
      </c>
    </row>
    <row r="5" customFormat="false" ht="15" hidden="false" customHeight="false" outlineLevel="0" collapsed="false">
      <c r="A5" s="5" t="s">
        <v>944</v>
      </c>
      <c r="B5" s="24" t="n">
        <f aca="false">COUNTIF(Clips!$C:$C,$A5)</f>
        <v>2229</v>
      </c>
      <c r="C5" s="18" t="n">
        <f aca="false">SUMIF(Clips!$C:$C,$A5,Clips!$I:$I)/3600</f>
        <v>50.0239538888889</v>
      </c>
      <c r="D5" s="24" t="n">
        <f aca="false">SUMIF(Clips!$C:$C,$A5,Clips!$J:$J)</f>
        <v>33035</v>
      </c>
      <c r="E5" s="24" t="n">
        <f aca="false">COUNTIFS(Clips!$C:$C,$A5,Clips!$E:$E,"bird")</f>
        <v>2059</v>
      </c>
      <c r="F5" s="24" t="n">
        <f aca="false">COUNTIFS(Clips!$C:$C,$A5,Clips!$E:$E,"nonbird")</f>
        <v>170</v>
      </c>
      <c r="G5" s="15" t="n">
        <f aca="false">COUNTIF(Species!$P:$P,"&gt;0")</f>
        <v>212</v>
      </c>
      <c r="H5" s="5" t="s">
        <v>9604</v>
      </c>
    </row>
    <row r="6" customFormat="false" ht="15" hidden="false" customHeight="false" outlineLevel="0" collapsed="false">
      <c r="A6" s="5" t="s">
        <v>8448</v>
      </c>
      <c r="B6" s="24" t="n">
        <f aca="false">COUNTIF(Clips!$C:$C,$A6)</f>
        <v>387</v>
      </c>
      <c r="C6" s="18" t="n">
        <f aca="false">SUMIF(Clips!$C:$C,$A6,Clips!$I:$I)/3600</f>
        <v>8.52981472222222</v>
      </c>
      <c r="D6" s="24" t="n">
        <f aca="false">SUMIF(Clips!$C:$C,$A6,Clips!$J:$J)</f>
        <v>5698</v>
      </c>
      <c r="E6" s="24" t="n">
        <f aca="false">COUNTIFS(Clips!$C:$C,$A6,Clips!$E:$E,"bird")</f>
        <v>352</v>
      </c>
      <c r="F6" s="24" t="n">
        <f aca="false">COUNTIFS(Clips!$C:$C,$A6,Clips!$E:$E,"nonbird")</f>
        <v>35</v>
      </c>
      <c r="G6" s="15" t="n">
        <f aca="false">COUNTIF(Species!$Q:$Q,"&gt;0")</f>
        <v>93</v>
      </c>
      <c r="H6" s="5" t="s">
        <v>9605</v>
      </c>
    </row>
    <row r="7" customFormat="false" ht="15" hidden="false" customHeight="false" outlineLevel="0" collapsed="false">
      <c r="A7" s="5" t="s">
        <v>7202</v>
      </c>
      <c r="B7" s="24" t="n">
        <f aca="false">COUNTIF(Clips!$C:$C,$A7)</f>
        <v>538</v>
      </c>
      <c r="C7" s="18" t="n">
        <f aca="false">SUMIF(Clips!$C:$C,$A7,Clips!$I:$I)/3600</f>
        <v>10.8763244444444</v>
      </c>
      <c r="D7" s="24" t="n">
        <f aca="false">SUMIF(Clips!$C:$C,$A7,Clips!$J:$J)</f>
        <v>7687</v>
      </c>
      <c r="E7" s="24" t="n">
        <f aca="false">COUNTIFS(Clips!$C:$C,$A7,Clips!$E:$E,"bird")</f>
        <v>499</v>
      </c>
      <c r="F7" s="24" t="n">
        <f aca="false">COUNTIFS(Clips!$C:$C,$A7,Clips!$E:$E,"nonbird")</f>
        <v>39</v>
      </c>
      <c r="G7" s="15" t="n">
        <f aca="false">COUNTIF(Species!$R:$R,"&gt;0")</f>
        <v>235</v>
      </c>
      <c r="H7" s="5" t="s">
        <v>9606</v>
      </c>
    </row>
    <row r="8" customFormat="false" ht="15" hidden="false" customHeight="false" outlineLevel="0" collapsed="false">
      <c r="A8" s="5" t="s">
        <v>7066</v>
      </c>
      <c r="B8" s="24" t="n">
        <f aca="false">COUNTIF(Clips!$C:$C,$A8)</f>
        <v>46</v>
      </c>
      <c r="C8" s="18" t="n">
        <f aca="false">SUMIF(Clips!$C:$C,$A8,Clips!$I:$I)/3600</f>
        <v>3.53371861111111</v>
      </c>
      <c r="D8" s="24" t="n">
        <f aca="false">SUMIF(Clips!$C:$C,$A8,Clips!$J:$J)</f>
        <v>2100</v>
      </c>
      <c r="E8" s="24" t="n">
        <f aca="false">COUNTIFS(Clips!$C:$C,$A8,Clips!$E:$E,"bird")</f>
        <v>0</v>
      </c>
      <c r="F8" s="24" t="n">
        <f aca="false">COUNTIFS(Clips!$C:$C,$A8,Clips!$E:$E,"nonbird")</f>
        <v>0</v>
      </c>
      <c r="G8" s="15"/>
      <c r="H8" s="5" t="s">
        <v>9607</v>
      </c>
    </row>
    <row r="9" customFormat="false" ht="15" hidden="false" customHeight="false" outlineLevel="0" collapsed="false">
      <c r="A9" s="5" t="s">
        <v>6889</v>
      </c>
      <c r="B9" s="24" t="n">
        <f aca="false">COUNTIF(Clips!$C:$C,$A9)</f>
        <v>56</v>
      </c>
      <c r="C9" s="18" t="n">
        <f aca="false">SUMIF(Clips!$C:$C,$A9,Clips!$I:$I)/3600</f>
        <v>1.16305583333333</v>
      </c>
      <c r="D9" s="24" t="n">
        <f aca="false">SUMIF(Clips!$C:$C,$A9,Clips!$J:$J)</f>
        <v>782</v>
      </c>
      <c r="E9" s="24" t="n">
        <f aca="false">COUNTIFS(Clips!$C:$C,$A9,Clips!$E:$E,"bird")</f>
        <v>25</v>
      </c>
      <c r="F9" s="24" t="n">
        <f aca="false">COUNTIFS(Clips!$C:$C,$A9,Clips!$E:$E,"nonbird")</f>
        <v>0</v>
      </c>
      <c r="G9" s="15"/>
      <c r="H9" s="5" t="s">
        <v>9608</v>
      </c>
    </row>
    <row r="10" customFormat="false" ht="23.85" hidden="false" customHeight="false" outlineLevel="0" collapsed="false">
      <c r="A10" s="5" t="s">
        <v>9331</v>
      </c>
      <c r="B10" s="24" t="n">
        <f aca="false">COUNTIF(Clips!$C:$C,$A10)</f>
        <v>64</v>
      </c>
      <c r="C10" s="18" t="n">
        <f aca="false">SUMIF(Clips!$C:$C,$A10,Clips!$I:$I)/3600</f>
        <v>0</v>
      </c>
      <c r="D10" s="24" t="n">
        <f aca="false">SUMIF(Clips!$C:$C,$A10,Clips!$J:$J)</f>
        <v>0</v>
      </c>
      <c r="E10" s="24" t="n">
        <f aca="false">COUNTIFS(Clips!$C:$C,$A10,Clips!$E:$E,"bird")</f>
        <v>44</v>
      </c>
      <c r="F10" s="24" t="n">
        <f aca="false">COUNTIFS(Clips!$C:$C,$A10,Clips!$E:$E,"nonbird")</f>
        <v>20</v>
      </c>
      <c r="G10" s="15"/>
      <c r="H10" s="5" t="s">
        <v>9609</v>
      </c>
    </row>
    <row r="11" customFormat="false" ht="23.85" hidden="false" customHeight="false" outlineLevel="0" collapsed="false">
      <c r="A11" s="11" t="s">
        <v>9610</v>
      </c>
      <c r="B11" s="25" t="n">
        <f aca="false">SUM(B5:B10)</f>
        <v>3320</v>
      </c>
      <c r="C11" s="26" t="n">
        <f aca="false">SUM(C5:C10)</f>
        <v>74.1268675</v>
      </c>
      <c r="D11" s="25" t="n">
        <f aca="false">SUM(D5:D10)</f>
        <v>49302</v>
      </c>
      <c r="E11" s="25" t="n">
        <f aca="false">SUM(E5:E10)</f>
        <v>2979</v>
      </c>
      <c r="F11" s="25" t="n">
        <f aca="false">SUM(F5:F10)</f>
        <v>264</v>
      </c>
      <c r="G11" s="27"/>
      <c r="H11" s="11" t="s">
        <v>9611</v>
      </c>
    </row>
    <row r="13" customFormat="false" ht="15" hidden="false" customHeight="false" outlineLevel="0" collapsed="false">
      <c r="A13" s="3" t="s">
        <v>9612</v>
      </c>
      <c r="B13" s="4"/>
      <c r="C13" s="4"/>
      <c r="D13" s="4"/>
      <c r="E13" s="4"/>
      <c r="F13" s="4"/>
      <c r="G13" s="4"/>
      <c r="H13" s="4"/>
    </row>
    <row r="14" customFormat="false" ht="31.5" hidden="false" customHeight="true" outlineLevel="0" collapsed="false">
      <c r="A14" s="14" t="s">
        <v>9613</v>
      </c>
      <c r="B14" s="14" t="s">
        <v>944</v>
      </c>
      <c r="C14" s="14" t="s">
        <v>8448</v>
      </c>
      <c r="D14" s="14" t="s">
        <v>7202</v>
      </c>
      <c r="E14" s="14" t="s">
        <v>7066</v>
      </c>
      <c r="F14" s="14" t="s">
        <v>6889</v>
      </c>
      <c r="G14" s="14" t="s">
        <v>9331</v>
      </c>
      <c r="H14" s="14" t="s">
        <v>9610</v>
      </c>
    </row>
    <row r="15" customFormat="false" ht="15" hidden="false" customHeight="false" outlineLevel="0" collapsed="false">
      <c r="A15" s="5" t="s">
        <v>148</v>
      </c>
      <c r="B15" s="24" t="n">
        <f aca="false">COUNTIFS(Clips!$D:$D,$A15,Clips!$C:$C,B$14)</f>
        <v>1760</v>
      </c>
      <c r="C15" s="24" t="n">
        <f aca="false">COUNTIFS(Clips!$D:$D,$A15,Clips!$C:$C,C$14)</f>
        <v>387</v>
      </c>
      <c r="D15" s="24" t="n">
        <f aca="false">COUNTIFS(Clips!$D:$D,$A15,Clips!$C:$C,D$14)</f>
        <v>389</v>
      </c>
      <c r="E15" s="24" t="n">
        <f aca="false">COUNTIFS(Clips!$D:$D,$A15,Clips!$C:$C,E$14)</f>
        <v>0</v>
      </c>
      <c r="F15" s="24" t="n">
        <f aca="false">COUNTIFS(Clips!$D:$D,$A15,Clips!$C:$C,F$14)</f>
        <v>0</v>
      </c>
      <c r="G15" s="24" t="n">
        <f aca="false">COUNTIFS(Clips!$D:$D,$A15,Clips!$C:$C,G$14)</f>
        <v>0</v>
      </c>
      <c r="H15" s="24" t="n">
        <f aca="false">SUM(B15:G15)</f>
        <v>2536</v>
      </c>
    </row>
    <row r="16" customFormat="false" ht="15" hidden="false" customHeight="false" outlineLevel="0" collapsed="false">
      <c r="A16" s="5" t="s">
        <v>400</v>
      </c>
      <c r="B16" s="24" t="n">
        <f aca="false">COUNTIFS(Clips!$D:$D,$A16,Clips!$C:$C,B$14)</f>
        <v>388</v>
      </c>
      <c r="C16" s="24" t="n">
        <f aca="false">COUNTIFS(Clips!$D:$D,$A16,Clips!$C:$C,C$14)</f>
        <v>0</v>
      </c>
      <c r="D16" s="24" t="n">
        <f aca="false">COUNTIFS(Clips!$D:$D,$A16,Clips!$C:$C,D$14)</f>
        <v>104</v>
      </c>
      <c r="E16" s="24" t="n">
        <f aca="false">COUNTIFS(Clips!$D:$D,$A16,Clips!$C:$C,E$14)</f>
        <v>0</v>
      </c>
      <c r="F16" s="24" t="n">
        <f aca="false">COUNTIFS(Clips!$D:$D,$A16,Clips!$C:$C,F$14)</f>
        <v>0</v>
      </c>
      <c r="G16" s="24" t="n">
        <f aca="false">COUNTIFS(Clips!$D:$D,$A16,Clips!$C:$C,G$14)</f>
        <v>0</v>
      </c>
      <c r="H16" s="24" t="n">
        <f aca="false">SUM(B16:G16)</f>
        <v>492</v>
      </c>
    </row>
    <row r="17" customFormat="false" ht="15" hidden="false" customHeight="false" outlineLevel="0" collapsed="false">
      <c r="A17" s="5" t="s">
        <v>714</v>
      </c>
      <c r="B17" s="24" t="n">
        <f aca="false">COUNTIFS(Clips!$D:$D,$A17,Clips!$C:$C,B$14)</f>
        <v>4</v>
      </c>
      <c r="C17" s="24" t="n">
        <f aca="false">COUNTIFS(Clips!$D:$D,$A17,Clips!$C:$C,C$14)</f>
        <v>0</v>
      </c>
      <c r="D17" s="24" t="n">
        <f aca="false">COUNTIFS(Clips!$D:$D,$A17,Clips!$C:$C,D$14)</f>
        <v>0</v>
      </c>
      <c r="E17" s="24" t="n">
        <f aca="false">COUNTIFS(Clips!$D:$D,$A17,Clips!$C:$C,E$14)</f>
        <v>0</v>
      </c>
      <c r="F17" s="24" t="n">
        <f aca="false">COUNTIFS(Clips!$D:$D,$A17,Clips!$C:$C,F$14)</f>
        <v>0</v>
      </c>
      <c r="G17" s="24" t="n">
        <f aca="false">COUNTIFS(Clips!$D:$D,$A17,Clips!$C:$C,G$14)</f>
        <v>0</v>
      </c>
      <c r="H17" s="24" t="n">
        <f aca="false">SUM(B17:G17)</f>
        <v>4</v>
      </c>
    </row>
    <row r="18" customFormat="false" ht="15" hidden="false" customHeight="false" outlineLevel="0" collapsed="false">
      <c r="A18" s="5" t="s">
        <v>613</v>
      </c>
      <c r="B18" s="24" t="n">
        <f aca="false">COUNTIFS(Clips!$D:$D,$A18,Clips!$C:$C,B$14)</f>
        <v>0</v>
      </c>
      <c r="C18" s="24" t="n">
        <f aca="false">COUNTIFS(Clips!$D:$D,$A18,Clips!$C:$C,C$14)</f>
        <v>0</v>
      </c>
      <c r="D18" s="24" t="n">
        <f aca="false">COUNTIFS(Clips!$D:$D,$A18,Clips!$C:$C,D$14)</f>
        <v>45</v>
      </c>
      <c r="E18" s="24" t="n">
        <f aca="false">COUNTIFS(Clips!$D:$D,$A18,Clips!$C:$C,E$14)</f>
        <v>0</v>
      </c>
      <c r="F18" s="24" t="n">
        <f aca="false">COUNTIFS(Clips!$D:$D,$A18,Clips!$C:$C,F$14)</f>
        <v>0</v>
      </c>
      <c r="G18" s="24" t="n">
        <f aca="false">COUNTIFS(Clips!$D:$D,$A18,Clips!$C:$C,G$14)</f>
        <v>0</v>
      </c>
      <c r="H18" s="24" t="n">
        <f aca="false">SUM(B18:G18)</f>
        <v>45</v>
      </c>
    </row>
    <row r="19" customFormat="false" ht="15" hidden="false" customHeight="false" outlineLevel="0" collapsed="false">
      <c r="A19" s="5" t="s">
        <v>647</v>
      </c>
      <c r="B19" s="24" t="n">
        <f aca="false">COUNTIFS(Clips!$D:$D,$A19,Clips!$C:$C,B$14)</f>
        <v>77</v>
      </c>
      <c r="C19" s="24" t="n">
        <f aca="false">COUNTIFS(Clips!$D:$D,$A19,Clips!$C:$C,C$14)</f>
        <v>0</v>
      </c>
      <c r="D19" s="24" t="n">
        <f aca="false">COUNTIFS(Clips!$D:$D,$A19,Clips!$C:$C,D$14)</f>
        <v>0</v>
      </c>
      <c r="E19" s="24" t="n">
        <f aca="false">COUNTIFS(Clips!$D:$D,$A19,Clips!$C:$C,E$14)</f>
        <v>0</v>
      </c>
      <c r="F19" s="24" t="n">
        <f aca="false">COUNTIFS(Clips!$D:$D,$A19,Clips!$C:$C,F$14)</f>
        <v>0</v>
      </c>
      <c r="G19" s="24" t="n">
        <f aca="false">COUNTIFS(Clips!$D:$D,$A19,Clips!$C:$C,G$14)</f>
        <v>0</v>
      </c>
      <c r="H19" s="24" t="n">
        <f aca="false">SUM(B19:G19)</f>
        <v>77</v>
      </c>
    </row>
    <row r="20" customFormat="false" ht="15" hidden="false" customHeight="false" outlineLevel="0" collapsed="false">
      <c r="A20" s="5" t="s">
        <v>7067</v>
      </c>
      <c r="B20" s="24" t="n">
        <f aca="false">COUNTIFS(Clips!$D:$D,$A20,Clips!$C:$C,B$14)</f>
        <v>0</v>
      </c>
      <c r="C20" s="24" t="n">
        <f aca="false">COUNTIFS(Clips!$D:$D,$A20,Clips!$C:$C,C$14)</f>
        <v>0</v>
      </c>
      <c r="D20" s="24" t="n">
        <f aca="false">COUNTIFS(Clips!$D:$D,$A20,Clips!$C:$C,D$14)</f>
        <v>0</v>
      </c>
      <c r="E20" s="24" t="n">
        <f aca="false">COUNTIFS(Clips!$D:$D,$A20,Clips!$C:$C,E$14)</f>
        <v>46</v>
      </c>
      <c r="F20" s="24" t="n">
        <f aca="false">COUNTIFS(Clips!$D:$D,$A20,Clips!$C:$C,F$14)</f>
        <v>0</v>
      </c>
      <c r="G20" s="24" t="n">
        <f aca="false">COUNTIFS(Clips!$D:$D,$A20,Clips!$C:$C,G$14)</f>
        <v>0</v>
      </c>
      <c r="H20" s="24" t="n">
        <f aca="false">SUM(B20:G20)</f>
        <v>46</v>
      </c>
    </row>
    <row r="21" customFormat="false" ht="15" hidden="false" customHeight="false" outlineLevel="0" collapsed="false">
      <c r="A21" s="5" t="s">
        <v>6964</v>
      </c>
      <c r="B21" s="24" t="n">
        <f aca="false">COUNTIFS(Clips!$D:$D,$A21,Clips!$C:$C,B$14)</f>
        <v>0</v>
      </c>
      <c r="C21" s="24" t="n">
        <f aca="false">COUNTIFS(Clips!$D:$D,$A21,Clips!$C:$C,C$14)</f>
        <v>0</v>
      </c>
      <c r="D21" s="24" t="n">
        <f aca="false">COUNTIFS(Clips!$D:$D,$A21,Clips!$C:$C,D$14)</f>
        <v>0</v>
      </c>
      <c r="E21" s="24" t="n">
        <f aca="false">COUNTIFS(Clips!$D:$D,$A21,Clips!$C:$C,E$14)</f>
        <v>0</v>
      </c>
      <c r="F21" s="24" t="n">
        <f aca="false">COUNTIFS(Clips!$D:$D,$A21,Clips!$C:$C,F$14)</f>
        <v>31</v>
      </c>
      <c r="G21" s="24" t="n">
        <f aca="false">COUNTIFS(Clips!$D:$D,$A21,Clips!$C:$C,G$14)</f>
        <v>0</v>
      </c>
      <c r="H21" s="24" t="n">
        <f aca="false">SUM(B21:G21)</f>
        <v>31</v>
      </c>
    </row>
    <row r="22" customFormat="false" ht="15" hidden="false" customHeight="false" outlineLevel="0" collapsed="false">
      <c r="A22" s="5" t="s">
        <v>6890</v>
      </c>
      <c r="B22" s="24" t="n">
        <f aca="false">COUNTIFS(Clips!$D:$D,$A22,Clips!$C:$C,B$14)</f>
        <v>0</v>
      </c>
      <c r="C22" s="24" t="n">
        <f aca="false">COUNTIFS(Clips!$D:$D,$A22,Clips!$C:$C,C$14)</f>
        <v>0</v>
      </c>
      <c r="D22" s="24" t="n">
        <f aca="false">COUNTIFS(Clips!$D:$D,$A22,Clips!$C:$C,D$14)</f>
        <v>0</v>
      </c>
      <c r="E22" s="24" t="n">
        <f aca="false">COUNTIFS(Clips!$D:$D,$A22,Clips!$C:$C,E$14)</f>
        <v>0</v>
      </c>
      <c r="F22" s="24" t="n">
        <f aca="false">COUNTIFS(Clips!$D:$D,$A22,Clips!$C:$C,F$14)</f>
        <v>25</v>
      </c>
      <c r="G22" s="24" t="n">
        <f aca="false">COUNTIFS(Clips!$D:$D,$A22,Clips!$C:$C,G$14)</f>
        <v>0</v>
      </c>
      <c r="H22" s="24" t="n">
        <f aca="false">SUM(B22:G22)</f>
        <v>25</v>
      </c>
    </row>
    <row r="23" customFormat="false" ht="15" hidden="false" customHeight="false" outlineLevel="0" collapsed="false">
      <c r="A23" s="5" t="s">
        <v>9332</v>
      </c>
      <c r="B23" s="24" t="n">
        <f aca="false">COUNTIFS(Clips!$D:$D,$A23,Clips!$C:$C,B$14)</f>
        <v>0</v>
      </c>
      <c r="C23" s="24" t="n">
        <f aca="false">COUNTIFS(Clips!$D:$D,$A23,Clips!$C:$C,C$14)</f>
        <v>0</v>
      </c>
      <c r="D23" s="24" t="n">
        <f aca="false">COUNTIFS(Clips!$D:$D,$A23,Clips!$C:$C,D$14)</f>
        <v>0</v>
      </c>
      <c r="E23" s="24" t="n">
        <f aca="false">COUNTIFS(Clips!$D:$D,$A23,Clips!$C:$C,E$14)</f>
        <v>0</v>
      </c>
      <c r="F23" s="24" t="n">
        <f aca="false">COUNTIFS(Clips!$D:$D,$A23,Clips!$C:$C,F$14)</f>
        <v>0</v>
      </c>
      <c r="G23" s="24" t="n">
        <f aca="false">COUNTIFS(Clips!$D:$D,$A23,Clips!$C:$C,G$14)</f>
        <v>64</v>
      </c>
      <c r="H23" s="24" t="n">
        <f aca="false">SUM(B23:G23)</f>
        <v>64</v>
      </c>
    </row>
    <row r="24" customFormat="false" ht="15" hidden="false" customHeight="false" outlineLevel="0" collapsed="false">
      <c r="A24" s="11" t="s">
        <v>9610</v>
      </c>
      <c r="B24" s="25" t="n">
        <f aca="false">SUM(B15:B23)</f>
        <v>2229</v>
      </c>
      <c r="C24" s="25" t="n">
        <f aca="false">SUM(C15:C23)</f>
        <v>387</v>
      </c>
      <c r="D24" s="25" t="n">
        <f aca="false">SUM(D15:D23)</f>
        <v>538</v>
      </c>
      <c r="E24" s="25" t="n">
        <f aca="false">SUM(E15:E23)</f>
        <v>46</v>
      </c>
      <c r="F24" s="25" t="n">
        <f aca="false">SUM(F15:F23)</f>
        <v>56</v>
      </c>
      <c r="G24" s="25" t="n">
        <f aca="false">SUM(G15:G23)</f>
        <v>64</v>
      </c>
      <c r="H24" s="25" t="n">
        <f aca="false">SUM(H15:H23)</f>
        <v>3320</v>
      </c>
    </row>
    <row r="26" customFormat="false" ht="15" hidden="false" customHeight="false" outlineLevel="0" collapsed="false">
      <c r="A26" s="3" t="s">
        <v>9614</v>
      </c>
      <c r="B26" s="4"/>
      <c r="C26" s="4"/>
      <c r="D26" s="4"/>
      <c r="E26" s="4"/>
      <c r="F26" s="4"/>
      <c r="G26" s="4"/>
      <c r="H26" s="4"/>
    </row>
    <row r="27" customFormat="false" ht="31.5" hidden="false" customHeight="true" outlineLevel="0" collapsed="false">
      <c r="A27" s="14" t="s">
        <v>89</v>
      </c>
      <c r="B27" s="14" t="s">
        <v>44</v>
      </c>
      <c r="C27" s="14" t="s">
        <v>91</v>
      </c>
      <c r="D27" s="14" t="s">
        <v>31</v>
      </c>
      <c r="E27" s="14" t="s">
        <v>65</v>
      </c>
      <c r="F27" s="14" t="s">
        <v>68</v>
      </c>
      <c r="G27" s="14" t="s">
        <v>9615</v>
      </c>
      <c r="H27" s="14" t="s">
        <v>143</v>
      </c>
    </row>
    <row r="28" customFormat="false" ht="15" hidden="false" customHeight="false" outlineLevel="0" collapsed="false">
      <c r="A28" s="5" t="s">
        <v>943</v>
      </c>
      <c r="B28" s="24" t="n">
        <f aca="false">COUNTIF(Clips!$B:$B,$A28)</f>
        <v>3179</v>
      </c>
      <c r="C28" s="18" t="n">
        <f aca="false">SUMIF(Clips!$B:$B,$A28,Clips!$I:$I)/3600</f>
        <v>73.2291272222222</v>
      </c>
      <c r="D28" s="24" t="n">
        <f aca="false">COUNTIFS(Clips!$B:$B,$A28,Clips!$C:$C,"train")</f>
        <v>2152</v>
      </c>
      <c r="E28" s="24" t="n">
        <f aca="false">COUNTIFS(Clips!$B:$B,$A28,Clips!$C:$C,"val")</f>
        <v>387</v>
      </c>
      <c r="F28" s="24" t="n">
        <f aca="false">COUNTIFS(Clips!$B:$B,$A28,Clips!$C:$C,"test")</f>
        <v>538</v>
      </c>
      <c r="G28" s="15" t="n">
        <f aca="false">COUNTIFS(Species!$E:$E,"bird",Species!$L:$L,"&gt;0")</f>
        <v>232</v>
      </c>
      <c r="H28" s="5" t="s">
        <v>9616</v>
      </c>
    </row>
    <row r="29" customFormat="false" ht="15" hidden="false" customHeight="false" outlineLevel="0" collapsed="false">
      <c r="A29" s="5" t="s">
        <v>1005</v>
      </c>
      <c r="B29" s="24" t="n">
        <f aca="false">COUNTIF(Clips!$B:$B,$A29)</f>
        <v>77</v>
      </c>
      <c r="C29" s="18" t="n">
        <f aca="false">SUMIF(Clips!$B:$B,$A29,Clips!$I:$I)/3600</f>
        <v>0.897740277777778</v>
      </c>
      <c r="D29" s="24" t="n">
        <f aca="false">COUNTIFS(Clips!$B:$B,$A29,Clips!$C:$C,"train")</f>
        <v>77</v>
      </c>
      <c r="E29" s="24" t="n">
        <f aca="false">COUNTIFS(Clips!$B:$B,$A29,Clips!$C:$C,"val")</f>
        <v>0</v>
      </c>
      <c r="F29" s="24" t="n">
        <f aca="false">COUNTIFS(Clips!$B:$B,$A29,Clips!$C:$C,"test")</f>
        <v>0</v>
      </c>
      <c r="G29" s="15" t="n">
        <f aca="false">COUNTIFS(Species!$E:$E,"bird",Species!$M:$M,"&gt;0")</f>
        <v>52</v>
      </c>
      <c r="H29" s="5" t="s">
        <v>9617</v>
      </c>
    </row>
    <row r="30" customFormat="false" ht="23.85" hidden="false" customHeight="false" outlineLevel="0" collapsed="false">
      <c r="A30" s="5" t="s">
        <v>9330</v>
      </c>
      <c r="B30" s="24" t="n">
        <f aca="false">COUNTIF(Clips!$B:$B,$A30)</f>
        <v>64</v>
      </c>
      <c r="C30" s="18" t="n">
        <f aca="false">SUMIF(Clips!$B:$B,$A30,Clips!$I:$I)/3600</f>
        <v>0</v>
      </c>
      <c r="D30" s="24" t="n">
        <f aca="false">COUNTIFS(Clips!$B:$B,$A30,Clips!$C:$C,"train")</f>
        <v>0</v>
      </c>
      <c r="E30" s="24" t="n">
        <f aca="false">COUNTIFS(Clips!$B:$B,$A30,Clips!$C:$C,"val")</f>
        <v>0</v>
      </c>
      <c r="F30" s="24" t="n">
        <f aca="false">COUNTIFS(Clips!$B:$B,$A30,Clips!$C:$C,"test")</f>
        <v>0</v>
      </c>
      <c r="G30" s="15" t="n">
        <f aca="false">COUNTIFS(Species!$E:$E,"bird",Species!$K:$K,"&gt;0")</f>
        <v>16</v>
      </c>
      <c r="H30" s="5" t="s">
        <v>9618</v>
      </c>
    </row>
    <row r="31" customFormat="false" ht="15" hidden="false" customHeight="false" outlineLevel="0" collapsed="false">
      <c r="A31" s="11" t="s">
        <v>9610</v>
      </c>
      <c r="B31" s="25" t="n">
        <f aca="false">SUM(B28:B30)</f>
        <v>3320</v>
      </c>
      <c r="C31" s="26" t="n">
        <f aca="false">SUM(C28:C30)</f>
        <v>74.1268675</v>
      </c>
      <c r="D31" s="25" t="n">
        <f aca="false">SUM(D28:D30)</f>
        <v>2229</v>
      </c>
      <c r="E31" s="25" t="n">
        <f aca="false">SUM(E28:E30)</f>
        <v>387</v>
      </c>
      <c r="F31" s="25" t="n">
        <f aca="false">SUM(F28:F30)</f>
        <v>538</v>
      </c>
      <c r="G31" s="27"/>
      <c r="H31" s="27"/>
    </row>
    <row r="33" customFormat="false" ht="15" hidden="false" customHeight="false" outlineLevel="0" collapsed="false">
      <c r="A33" s="3" t="s">
        <v>9619</v>
      </c>
      <c r="B33" s="4"/>
      <c r="C33" s="4"/>
      <c r="D33" s="4"/>
      <c r="E33" s="4"/>
      <c r="F33" s="4"/>
      <c r="G33" s="4"/>
      <c r="H33" s="4"/>
    </row>
    <row r="34" customFormat="false" ht="31.5" hidden="false" customHeight="true" outlineLevel="0" collapsed="false">
      <c r="A34" s="14" t="s">
        <v>9613</v>
      </c>
      <c r="B34" s="14" t="s">
        <v>9620</v>
      </c>
      <c r="C34" s="14" t="s">
        <v>9621</v>
      </c>
      <c r="D34" s="14" t="s">
        <v>9622</v>
      </c>
    </row>
    <row r="35" customFormat="false" ht="57.45" hidden="false" customHeight="false" outlineLevel="0" collapsed="false">
      <c r="A35" s="5" t="s">
        <v>148</v>
      </c>
      <c r="B35" s="15" t="n">
        <f aca="false">COUNTIFS(Species!$F:$F,$A35,Species!$E:$E,"bird")</f>
        <v>90</v>
      </c>
      <c r="C35" s="15" t="n">
        <f aca="false">COUNTIFS(Species!$F:$F,$A35,Species!$E:$E,"nonbird")</f>
        <v>3</v>
      </c>
      <c r="D35" s="5" t="s">
        <v>9623</v>
      </c>
    </row>
    <row r="36" customFormat="false" ht="46.25" hidden="false" customHeight="false" outlineLevel="0" collapsed="false">
      <c r="A36" s="5" t="s">
        <v>400</v>
      </c>
      <c r="B36" s="15" t="n">
        <f aca="false">COUNTIFS(Species!$F:$F,$A36,Species!$E:$E,"bird")</f>
        <v>95</v>
      </c>
      <c r="C36" s="15" t="n">
        <f aca="false">COUNTIFS(Species!$F:$F,$A36,Species!$E:$E,"nonbird")</f>
        <v>2</v>
      </c>
      <c r="D36" s="5" t="s">
        <v>9624</v>
      </c>
    </row>
    <row r="37" customFormat="false" ht="35.05" hidden="false" customHeight="false" outlineLevel="0" collapsed="false">
      <c r="A37" s="5" t="s">
        <v>714</v>
      </c>
      <c r="B37" s="15" t="n">
        <f aca="false">COUNTIFS(Species!$F:$F,$A37,Species!$E:$E,"bird")</f>
        <v>2</v>
      </c>
      <c r="C37" s="15" t="n">
        <f aca="false">COUNTIFS(Species!$F:$F,$A37,Species!$E:$E,"nonbird")</f>
        <v>0</v>
      </c>
      <c r="D37" s="5" t="s">
        <v>9625</v>
      </c>
    </row>
    <row r="38" customFormat="false" ht="35.05" hidden="false" customHeight="false" outlineLevel="0" collapsed="false">
      <c r="A38" s="5" t="s">
        <v>613</v>
      </c>
      <c r="B38" s="15" t="n">
        <f aca="false">COUNTIFS(Species!$F:$F,$A38,Species!$E:$E,"bird")</f>
        <v>44</v>
      </c>
      <c r="C38" s="15" t="n">
        <f aca="false">COUNTIFS(Species!$F:$F,$A38,Species!$E:$E,"nonbird")</f>
        <v>1</v>
      </c>
      <c r="D38" s="5" t="s">
        <v>9626</v>
      </c>
    </row>
    <row r="39" customFormat="false" ht="23.85" hidden="false" customHeight="false" outlineLevel="0" collapsed="false">
      <c r="A39" s="5" t="s">
        <v>647</v>
      </c>
      <c r="B39" s="15" t="n">
        <f aca="false">COUNTIFS(Species!$F:$F,$A39,Species!$E:$E,"bird")</f>
        <v>16</v>
      </c>
      <c r="C39" s="15" t="n">
        <f aca="false">COUNTIFS(Species!$F:$F,$A39,Species!$E:$E,"nonbird")</f>
        <v>0</v>
      </c>
      <c r="D39" s="5" t="s">
        <v>9627</v>
      </c>
    </row>
    <row r="40" customFormat="false" ht="15" hidden="false" customHeight="false" outlineLevel="0" collapsed="false">
      <c r="A40" s="11" t="s">
        <v>9610</v>
      </c>
      <c r="B40" s="27" t="n">
        <f aca="false">SUM(B35:B39)</f>
        <v>247</v>
      </c>
      <c r="C40" s="27" t="n">
        <f aca="false">SUM(C35:C39)</f>
        <v>6</v>
      </c>
      <c r="D40" s="27"/>
    </row>
    <row r="42" customFormat="false" ht="15" hidden="false" customHeight="false" outlineLevel="0" collapsed="false">
      <c r="A42" s="3" t="s">
        <v>9628</v>
      </c>
      <c r="B42" s="4"/>
      <c r="C42" s="4"/>
      <c r="D42" s="4"/>
      <c r="E42" s="4"/>
      <c r="F42" s="4"/>
      <c r="G42" s="4"/>
      <c r="H42" s="4"/>
    </row>
    <row r="43" customFormat="false" ht="31.5" hidden="false" customHeight="true" outlineLevel="0" collapsed="false">
      <c r="A43" s="14" t="s">
        <v>31</v>
      </c>
      <c r="B43" s="14" t="s">
        <v>9620</v>
      </c>
    </row>
    <row r="44" customFormat="false" ht="15" hidden="false" customHeight="false" outlineLevel="0" collapsed="false">
      <c r="A44" s="5" t="s">
        <v>9629</v>
      </c>
      <c r="B44" s="15" t="n">
        <f aca="false">COUNTIFS(Species!$E:$E,"bird",Species!$P:$P,"&gt;=30")</f>
        <v>15</v>
      </c>
    </row>
    <row r="45" customFormat="false" ht="15" hidden="false" customHeight="false" outlineLevel="0" collapsed="false">
      <c r="A45" s="5" t="s">
        <v>9630</v>
      </c>
      <c r="B45" s="15" t="n">
        <f aca="false">COUNTIFS(Species!$E:$E,"bird",Species!$P:$P,"&gt;=10",Species!$P:$P,"&lt;30")</f>
        <v>50</v>
      </c>
    </row>
    <row r="46" customFormat="false" ht="15" hidden="false" customHeight="false" outlineLevel="0" collapsed="false">
      <c r="A46" s="5" t="s">
        <v>9631</v>
      </c>
      <c r="B46" s="15" t="n">
        <f aca="false">COUNTIFS(Species!$E:$E,"bird",Species!$P:$P,"&gt;=1",Species!$P:$P,"&lt;10")</f>
        <v>142</v>
      </c>
    </row>
    <row r="47" customFormat="false" ht="15" hidden="false" customHeight="false" outlineLevel="0" collapsed="false">
      <c r="A47" s="5" t="s">
        <v>9632</v>
      </c>
      <c r="B47" s="15" t="n">
        <f aca="false">COUNTIFS(Species!$E:$E,"bird",Species!$P:$P,0)</f>
        <v>42</v>
      </c>
    </row>
    <row r="49" customFormat="false" ht="30" hidden="false" customHeight="true" outlineLevel="0" collapsed="false">
      <c r="A49" s="5" t="s">
        <v>9633</v>
      </c>
      <c r="B49" s="24" t="n">
        <f aca="false">SUM(Species!$V:$V)</f>
        <v>33035</v>
      </c>
      <c r="C49" s="15"/>
      <c r="D49" s="2" t="s">
        <v>9634</v>
      </c>
      <c r="E49" s="2"/>
      <c r="F49" s="2"/>
      <c r="G49" s="2"/>
      <c r="H49" s="2"/>
    </row>
    <row r="50" customFormat="false" ht="15" hidden="false" customHeight="false" outlineLevel="0" collapsed="false">
      <c r="A50" s="5" t="s">
        <v>9635</v>
      </c>
      <c r="B50" s="15" t="n">
        <f aca="false">COUNTIF(Species!$V:$V,"&gt;0")</f>
        <v>212</v>
      </c>
    </row>
    <row r="51" customFormat="false" ht="15" hidden="false" customHeight="false" outlineLevel="0" collapsed="false">
      <c r="A51" s="5" t="s">
        <v>9636</v>
      </c>
      <c r="B51" s="24" t="n">
        <f aca="false">MAX(Species!$V:$V)</f>
        <v>2334</v>
      </c>
    </row>
    <row r="52" customFormat="false" ht="30" hidden="false" customHeight="true" outlineLevel="0" collapsed="false">
      <c r="A52" s="5" t="s">
        <v>9637</v>
      </c>
      <c r="B52" s="15" t="n">
        <f aca="false">COUNTIFS(Species!$P:$P,0,Species!$R:$R,"&gt;0")</f>
        <v>41</v>
      </c>
      <c r="C52" s="15"/>
      <c r="D52" s="2" t="s">
        <v>9638</v>
      </c>
      <c r="E52" s="2"/>
      <c r="F52" s="2"/>
      <c r="G52" s="2"/>
      <c r="H52" s="2"/>
    </row>
    <row r="53" customFormat="false" ht="15" hidden="false" customHeight="false" outlineLevel="0" collapsed="false">
      <c r="A53" s="5" t="s">
        <v>9639</v>
      </c>
      <c r="B53" s="15" t="n">
        <f aca="false">SUMIFS(Species!$R:$R,Species!$P:$P,0)</f>
        <v>41</v>
      </c>
    </row>
    <row r="54" customFormat="false" ht="30" hidden="false" customHeight="true" outlineLevel="0" collapsed="false">
      <c r="A54" s="5" t="s">
        <v>9640</v>
      </c>
      <c r="B54" s="15" t="n">
        <f aca="false">COUNTIFS(Clips!$O:$O,"&lt;&gt;",Clips!$K:$K,1,Clips!$C:$C,"&lt;&gt;excluded")</f>
        <v>345</v>
      </c>
      <c r="C54" s="15"/>
      <c r="D54" s="2" t="s">
        <v>9641</v>
      </c>
      <c r="E54" s="2"/>
      <c r="F54" s="2"/>
      <c r="G54" s="2"/>
      <c r="H54" s="2"/>
    </row>
  </sheetData>
  <mergeCells count="4">
    <mergeCell ref="A2:H2"/>
    <mergeCell ref="D49:H49"/>
    <mergeCell ref="D52:H52"/>
    <mergeCell ref="D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6"/>
    <col collapsed="false" customWidth="true" hidden="false" outlineLevel="0" max="8" min="6" style="0" width="9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4" t="s">
        <v>42</v>
      </c>
      <c r="B1" s="14" t="s">
        <v>120</v>
      </c>
      <c r="C1" s="14" t="s">
        <v>9642</v>
      </c>
      <c r="D1" s="14" t="s">
        <v>9643</v>
      </c>
      <c r="E1" s="14" t="s">
        <v>9644</v>
      </c>
      <c r="F1" s="14" t="s">
        <v>9645</v>
      </c>
      <c r="G1" s="14" t="s">
        <v>9646</v>
      </c>
      <c r="H1" s="14" t="s">
        <v>119</v>
      </c>
      <c r="I1" s="14" t="s">
        <v>9613</v>
      </c>
      <c r="J1" s="14" t="s">
        <v>31</v>
      </c>
      <c r="K1" s="14" t="s">
        <v>9647</v>
      </c>
      <c r="L1" s="14" t="s">
        <v>9648</v>
      </c>
    </row>
    <row r="2" customFormat="false" ht="15" hidden="false" customHeight="false" outlineLevel="0" collapsed="false">
      <c r="A2" s="19" t="s">
        <v>259</v>
      </c>
      <c r="B2" s="19" t="s">
        <v>260</v>
      </c>
      <c r="C2" s="28" t="n">
        <f aca="false">D2/Overview!$B$10</f>
        <v>0.544525851798904</v>
      </c>
      <c r="D2" s="29" t="n">
        <v>18283</v>
      </c>
      <c r="E2" s="19" t="s">
        <v>9649</v>
      </c>
      <c r="F2" s="19" t="n">
        <v>1969</v>
      </c>
      <c r="G2" s="19" t="n">
        <v>2026</v>
      </c>
      <c r="H2" s="19" t="n">
        <f aca="false">IF(COUNTIF(Species!$B:$B,$A2)=0,"",IF(INDEX(Species!$A:$A,MATCH($A2,Species!$B:$B,0))="","",INDEX(Species!$A:$A,MATCH($A2,Species!$B:$B,0))))</f>
        <v>177</v>
      </c>
      <c r="I2" s="19" t="str">
        <f aca="false">IF(COUNTIF(Species!$B:$B,$A2)=0,"",INDEX(Species!$F:$F,MATCH($A2,Species!$B:$B,0)))</f>
        <v>core</v>
      </c>
      <c r="J2" s="19" t="n">
        <f aca="false">COUNTIFS(Clips!$F:$F,$A2,Clips!$C:$C,"train")</f>
        <v>18</v>
      </c>
      <c r="K2" s="19" t="n">
        <f aca="false">COUNTIF(Clips!$F:$F,$A2)</f>
        <v>24</v>
      </c>
      <c r="L2" s="19" t="str">
        <f aca="false">IF(J2&gt;0,"in train",IF(K2&gt;0,"audio, none in train",IF(C2&gt;=Overview!$B$9,"priority gap","no audio")))</f>
        <v>in train</v>
      </c>
    </row>
    <row r="3" customFormat="false" ht="15" hidden="false" customHeight="false" outlineLevel="0" collapsed="false">
      <c r="A3" s="19" t="s">
        <v>151</v>
      </c>
      <c r="B3" s="19" t="s">
        <v>152</v>
      </c>
      <c r="C3" s="28" t="n">
        <f aca="false">D3/Overview!$B$10</f>
        <v>0.519031451036455</v>
      </c>
      <c r="D3" s="29" t="n">
        <v>17427</v>
      </c>
      <c r="E3" s="19" t="s">
        <v>9649</v>
      </c>
      <c r="F3" s="19" t="n">
        <v>1969</v>
      </c>
      <c r="G3" s="19" t="n">
        <v>2026</v>
      </c>
      <c r="H3" s="19" t="n">
        <f aca="false">IF(COUNTIF(Species!$B:$B,$A3)=0,"",IF(INDEX(Species!$A:$A,MATCH($A3,Species!$B:$B,0))="","",INDEX(Species!$A:$A,MATCH($A3,Species!$B:$B,0))))</f>
        <v>245</v>
      </c>
      <c r="I3" s="19" t="str">
        <f aca="false">IF(COUNTIF(Species!$B:$B,$A3)=0,"",INDEX(Species!$F:$F,MATCH($A3,Species!$B:$B,0)))</f>
        <v>core</v>
      </c>
      <c r="J3" s="19" t="n">
        <f aca="false">COUNTIFS(Clips!$F:$F,$A3,Clips!$C:$C,"train")</f>
        <v>55</v>
      </c>
      <c r="K3" s="19" t="n">
        <f aca="false">COUNTIF(Clips!$F:$F,$A3)</f>
        <v>83</v>
      </c>
      <c r="L3" s="19" t="str">
        <f aca="false">IF(J3&gt;0,"in train",IF(K3&gt;0,"audio, none in train",IF(C3&gt;=Overview!$B$9,"priority gap","no audio")))</f>
        <v>in train</v>
      </c>
    </row>
    <row r="4" customFormat="false" ht="15" hidden="false" customHeight="false" outlineLevel="0" collapsed="false">
      <c r="A4" s="19" t="s">
        <v>206</v>
      </c>
      <c r="B4" s="19" t="s">
        <v>207</v>
      </c>
      <c r="C4" s="28" t="n">
        <f aca="false">D4/Overview!$B$10</f>
        <v>0.491750059566357</v>
      </c>
      <c r="D4" s="29" t="n">
        <v>16511</v>
      </c>
      <c r="E4" s="19" t="s">
        <v>9649</v>
      </c>
      <c r="F4" s="19" t="n">
        <v>1969</v>
      </c>
      <c r="G4" s="19" t="n">
        <v>2026</v>
      </c>
      <c r="H4" s="19" t="n">
        <f aca="false">IF(COUNTIF(Species!$B:$B,$A4)=0,"",IF(INDEX(Species!$A:$A,MATCH($A4,Species!$B:$B,0))="","",INDEX(Species!$A:$A,MATCH($A4,Species!$B:$B,0))))</f>
        <v>128</v>
      </c>
      <c r="I4" s="19" t="str">
        <f aca="false">IF(COUNTIF(Species!$B:$B,$A4)=0,"",INDEX(Species!$F:$F,MATCH($A4,Species!$B:$B,0)))</f>
        <v>core</v>
      </c>
      <c r="J4" s="19" t="n">
        <f aca="false">COUNTIFS(Clips!$F:$F,$A4,Clips!$C:$C,"train")</f>
        <v>25</v>
      </c>
      <c r="K4" s="19" t="n">
        <f aca="false">COUNTIF(Clips!$F:$F,$A4)</f>
        <v>35</v>
      </c>
      <c r="L4" s="19" t="str">
        <f aca="false">IF(J4&gt;0,"in train",IF(K4&gt;0,"audio, none in train",IF(C4&gt;=Overview!$B$9,"priority gap","no audio")))</f>
        <v>in train</v>
      </c>
    </row>
    <row r="5" customFormat="false" ht="15" hidden="false" customHeight="false" outlineLevel="0" collapsed="false">
      <c r="A5" s="19" t="s">
        <v>289</v>
      </c>
      <c r="B5" s="19" t="s">
        <v>290</v>
      </c>
      <c r="C5" s="28" t="n">
        <f aca="false">D5/Overview!$B$10</f>
        <v>0.485644507981892</v>
      </c>
      <c r="D5" s="29" t="n">
        <v>16306</v>
      </c>
      <c r="E5" s="19" t="s">
        <v>9649</v>
      </c>
      <c r="F5" s="19" t="n">
        <v>1969</v>
      </c>
      <c r="G5" s="19" t="n">
        <v>2026</v>
      </c>
      <c r="H5" s="19" t="n">
        <f aca="false">IF(COUNTIF(Species!$B:$B,$A5)=0,"",IF(INDEX(Species!$A:$A,MATCH($A5,Species!$B:$B,0))="","",INDEX(Species!$A:$A,MATCH($A5,Species!$B:$B,0))))</f>
        <v>102</v>
      </c>
      <c r="I5" s="19" t="str">
        <f aca="false">IF(COUNTIF(Species!$B:$B,$A5)=0,"",INDEX(Species!$F:$F,MATCH($A5,Species!$B:$B,0)))</f>
        <v>core</v>
      </c>
      <c r="J5" s="19" t="n">
        <f aca="false">COUNTIFS(Clips!$F:$F,$A5,Clips!$C:$C,"train")</f>
        <v>14</v>
      </c>
      <c r="K5" s="19" t="n">
        <f aca="false">COUNTIF(Clips!$F:$F,$A5)</f>
        <v>20</v>
      </c>
      <c r="L5" s="19" t="str">
        <f aca="false">IF(J5&gt;0,"in train",IF(K5&gt;0,"audio, none in train",IF(C5&gt;=Overview!$B$9,"priority gap","no audio")))</f>
        <v>in train</v>
      </c>
    </row>
    <row r="6" customFormat="false" ht="15" hidden="false" customHeight="false" outlineLevel="0" collapsed="false">
      <c r="A6" s="19" t="s">
        <v>407</v>
      </c>
      <c r="B6" s="19" t="s">
        <v>408</v>
      </c>
      <c r="C6" s="28" t="n">
        <f aca="false">D6/Overview!$B$10</f>
        <v>0.45857159876102</v>
      </c>
      <c r="D6" s="29" t="n">
        <v>15397</v>
      </c>
      <c r="E6" s="19" t="s">
        <v>9649</v>
      </c>
      <c r="F6" s="19" t="n">
        <v>1969</v>
      </c>
      <c r="G6" s="19" t="n">
        <v>2026</v>
      </c>
      <c r="H6" s="19" t="n">
        <f aca="false">IF(COUNTIF(Species!$B:$B,$A6)=0,"",IF(INDEX(Species!$A:$A,MATCH($A6,Species!$B:$B,0))="","",INDEX(Species!$A:$A,MATCH($A6,Species!$B:$B,0))))</f>
        <v>169</v>
      </c>
      <c r="I6" s="19" t="str">
        <f aca="false">IF(COUNTIF(Species!$B:$B,$A6)=0,"",INDEX(Species!$F:$F,MATCH($A6,Species!$B:$B,0)))</f>
        <v>core</v>
      </c>
      <c r="J6" s="19" t="n">
        <f aca="false">COUNTIFS(Clips!$F:$F,$A6,Clips!$C:$C,"train")</f>
        <v>7</v>
      </c>
      <c r="K6" s="19" t="n">
        <f aca="false">COUNTIF(Clips!$F:$F,$A6)</f>
        <v>11</v>
      </c>
      <c r="L6" s="19" t="str">
        <f aca="false">IF(J6&gt;0,"in train",IF(K6&gt;0,"audio, none in train",IF(C6&gt;=Overview!$B$9,"priority gap","no audio")))</f>
        <v>in train</v>
      </c>
    </row>
    <row r="7" customFormat="false" ht="15" hidden="false" customHeight="false" outlineLevel="0" collapsed="false">
      <c r="A7" s="19" t="s">
        <v>326</v>
      </c>
      <c r="B7" s="19" t="s">
        <v>327</v>
      </c>
      <c r="C7" s="28" t="n">
        <f aca="false">D7/Overview!$B$10</f>
        <v>0.44639027877055</v>
      </c>
      <c r="D7" s="29" t="n">
        <v>14988</v>
      </c>
      <c r="E7" s="19" t="s">
        <v>9649</v>
      </c>
      <c r="F7" s="19" t="n">
        <v>1969</v>
      </c>
      <c r="G7" s="19" t="n">
        <v>2026</v>
      </c>
      <c r="H7" s="19" t="n">
        <f aca="false">IF(COUNTIF(Species!$B:$B,$A7)=0,"",IF(INDEX(Species!$A:$A,MATCH($A7,Species!$B:$B,0))="","",INDEX(Species!$A:$A,MATCH($A7,Species!$B:$B,0))))</f>
        <v>57</v>
      </c>
      <c r="I7" s="19" t="str">
        <f aca="false">IF(COUNTIF(Species!$B:$B,$A7)=0,"",INDEX(Species!$F:$F,MATCH($A7,Species!$B:$B,0)))</f>
        <v>core</v>
      </c>
      <c r="J7" s="19" t="n">
        <f aca="false">COUNTIFS(Clips!$F:$F,$A7,Clips!$C:$C,"train")</f>
        <v>12</v>
      </c>
      <c r="K7" s="19" t="n">
        <f aca="false">COUNTIF(Clips!$F:$F,$A7)</f>
        <v>16</v>
      </c>
      <c r="L7" s="19" t="str">
        <f aca="false">IF(J7&gt;0,"in train",IF(K7&gt;0,"audio, none in train",IF(C7&gt;=Overview!$B$9,"priority gap","no audio")))</f>
        <v>in train</v>
      </c>
    </row>
    <row r="8" customFormat="false" ht="15" hidden="false" customHeight="false" outlineLevel="0" collapsed="false">
      <c r="A8" s="19" t="s">
        <v>323</v>
      </c>
      <c r="B8" s="19" t="s">
        <v>324</v>
      </c>
      <c r="C8" s="28" t="n">
        <f aca="false">D8/Overview!$B$10</f>
        <v>0.427865141767929</v>
      </c>
      <c r="D8" s="29" t="n">
        <v>14366</v>
      </c>
      <c r="E8" s="19" t="s">
        <v>9649</v>
      </c>
      <c r="F8" s="19" t="n">
        <v>1969</v>
      </c>
      <c r="G8" s="19" t="n">
        <v>2026</v>
      </c>
      <c r="H8" s="19" t="n">
        <f aca="false">IF(COUNTIF(Species!$B:$B,$A8)=0,"",IF(INDEX(Species!$A:$A,MATCH($A8,Species!$B:$B,0))="","",INDEX(Species!$A:$A,MATCH($A8,Species!$B:$B,0))))</f>
        <v>189</v>
      </c>
      <c r="I8" s="19" t="str">
        <f aca="false">IF(COUNTIF(Species!$B:$B,$A8)=0,"",INDEX(Species!$F:$F,MATCH($A8,Species!$B:$B,0)))</f>
        <v>core</v>
      </c>
      <c r="J8" s="19" t="n">
        <f aca="false">COUNTIFS(Clips!$F:$F,$A8,Clips!$C:$C,"train")</f>
        <v>11</v>
      </c>
      <c r="K8" s="19" t="n">
        <f aca="false">COUNTIF(Clips!$F:$F,$A8)</f>
        <v>18</v>
      </c>
      <c r="L8" s="19" t="str">
        <f aca="false">IF(J8&gt;0,"in train",IF(K8&gt;0,"audio, none in train",IF(C8&gt;=Overview!$B$9,"priority gap","no audio")))</f>
        <v>in train</v>
      </c>
    </row>
    <row r="9" customFormat="false" ht="15" hidden="false" customHeight="false" outlineLevel="0" collapsed="false">
      <c r="A9" s="19" t="s">
        <v>286</v>
      </c>
      <c r="B9" s="19" t="s">
        <v>287</v>
      </c>
      <c r="C9" s="28" t="n">
        <f aca="false">D9/Overview!$B$10</f>
        <v>0.411782225399095</v>
      </c>
      <c r="D9" s="29" t="n">
        <v>13826</v>
      </c>
      <c r="E9" s="19" t="s">
        <v>9649</v>
      </c>
      <c r="F9" s="19" t="n">
        <v>1969</v>
      </c>
      <c r="G9" s="19" t="n">
        <v>2026</v>
      </c>
      <c r="H9" s="19" t="n">
        <f aca="false">IF(COUNTIF(Species!$B:$B,$A9)=0,"",IF(INDEX(Species!$A:$A,MATCH($A9,Species!$B:$B,0))="","",INDEX(Species!$A:$A,MATCH($A9,Species!$B:$B,0))))</f>
        <v>85</v>
      </c>
      <c r="I9" s="19" t="str">
        <f aca="false">IF(COUNTIF(Species!$B:$B,$A9)=0,"",INDEX(Species!$F:$F,MATCH($A9,Species!$B:$B,0)))</f>
        <v>core</v>
      </c>
      <c r="J9" s="19" t="n">
        <f aca="false">COUNTIFS(Clips!$F:$F,$A9,Clips!$C:$C,"train")</f>
        <v>14</v>
      </c>
      <c r="K9" s="19" t="n">
        <f aca="false">COUNTIF(Clips!$F:$F,$A9)</f>
        <v>20</v>
      </c>
      <c r="L9" s="19" t="str">
        <f aca="false">IF(J9&gt;0,"in train",IF(K9&gt;0,"audio, none in train",IF(C9&gt;=Overview!$B$9,"priority gap","no audio")))</f>
        <v>in train</v>
      </c>
    </row>
    <row r="10" customFormat="false" ht="15" hidden="false" customHeight="false" outlineLevel="0" collapsed="false">
      <c r="A10" s="19" t="s">
        <v>526</v>
      </c>
      <c r="B10" s="19" t="s">
        <v>527</v>
      </c>
      <c r="C10" s="28" t="n">
        <f aca="false">D10/Overview!$B$10</f>
        <v>0.410710030974506</v>
      </c>
      <c r="D10" s="29" t="n">
        <v>13790</v>
      </c>
      <c r="E10" s="19" t="s">
        <v>9649</v>
      </c>
      <c r="F10" s="19" t="n">
        <v>1969</v>
      </c>
      <c r="G10" s="19" t="n">
        <v>2026</v>
      </c>
      <c r="H10" s="19" t="n">
        <f aca="false">IF(COUNTIF(Species!$B:$B,$A10)=0,"",IF(INDEX(Species!$A:$A,MATCH($A10,Species!$B:$B,0))="","",INDEX(Species!$A:$A,MATCH($A10,Species!$B:$B,0))))</f>
        <v>59</v>
      </c>
      <c r="I10" s="19" t="str">
        <f aca="false">IF(COUNTIF(Species!$B:$B,$A10)=0,"",INDEX(Species!$F:$F,MATCH($A10,Species!$B:$B,0)))</f>
        <v>few_shot</v>
      </c>
      <c r="J10" s="19" t="n">
        <f aca="false">COUNTIFS(Clips!$F:$F,$A10,Clips!$C:$C,"train")</f>
        <v>5</v>
      </c>
      <c r="K10" s="19" t="n">
        <f aca="false">COUNTIF(Clips!$F:$F,$A10)</f>
        <v>6</v>
      </c>
      <c r="L10" s="19" t="str">
        <f aca="false">IF(J10&gt;0,"in train",IF(K10&gt;0,"audio, none in train",IF(C10&gt;=Overview!$B$9,"priority gap","no audio")))</f>
        <v>in train</v>
      </c>
    </row>
    <row r="11" customFormat="false" ht="15" hidden="false" customHeight="false" outlineLevel="0" collapsed="false">
      <c r="A11" s="19" t="s">
        <v>169</v>
      </c>
      <c r="B11" s="19" t="s">
        <v>170</v>
      </c>
      <c r="C11" s="28" t="n">
        <f aca="false">D11/Overview!$B$10</f>
        <v>0.407195615916131</v>
      </c>
      <c r="D11" s="29" t="n">
        <v>13672</v>
      </c>
      <c r="E11" s="19" t="s">
        <v>9649</v>
      </c>
      <c r="F11" s="19" t="n">
        <v>1969</v>
      </c>
      <c r="G11" s="19" t="n">
        <v>2026</v>
      </c>
      <c r="H11" s="19" t="n">
        <f aca="false">IF(COUNTIF(Species!$B:$B,$A11)=0,"",IF(INDEX(Species!$A:$A,MATCH($A11,Species!$B:$B,0))="","",INDEX(Species!$A:$A,MATCH($A11,Species!$B:$B,0))))</f>
        <v>141</v>
      </c>
      <c r="I11" s="19" t="str">
        <f aca="false">IF(COUNTIF(Species!$B:$B,$A11)=0,"",INDEX(Species!$F:$F,MATCH($A11,Species!$B:$B,0)))</f>
        <v>core</v>
      </c>
      <c r="J11" s="19" t="n">
        <f aca="false">COUNTIFS(Clips!$F:$F,$A11,Clips!$C:$C,"train")</f>
        <v>37</v>
      </c>
      <c r="K11" s="19" t="n">
        <f aca="false">COUNTIF(Clips!$F:$F,$A11)</f>
        <v>55</v>
      </c>
      <c r="L11" s="19" t="str">
        <f aca="false">IF(J11&gt;0,"in train",IF(K11&gt;0,"audio, none in train",IF(C11&gt;=Overview!$B$9,"priority gap","no audio")))</f>
        <v>in train</v>
      </c>
    </row>
    <row r="12" customFormat="false" ht="15" hidden="false" customHeight="false" outlineLevel="0" collapsed="false">
      <c r="A12" s="19" t="s">
        <v>520</v>
      </c>
      <c r="B12" s="19" t="s">
        <v>521</v>
      </c>
      <c r="C12" s="28" t="n">
        <f aca="false">D12/Overview!$B$10</f>
        <v>0.405497974743865</v>
      </c>
      <c r="D12" s="29" t="n">
        <v>13615</v>
      </c>
      <c r="E12" s="19" t="s">
        <v>9650</v>
      </c>
      <c r="F12" s="19" t="n">
        <v>1972</v>
      </c>
      <c r="G12" s="19" t="n">
        <v>2026</v>
      </c>
      <c r="H12" s="19" t="n">
        <f aca="false">IF(COUNTIF(Species!$B:$B,$A12)=0,"",IF(INDEX(Species!$A:$A,MATCH($A12,Species!$B:$B,0))="","",INDEX(Species!$A:$A,MATCH($A12,Species!$B:$B,0))))</f>
        <v>53</v>
      </c>
      <c r="I12" s="19" t="str">
        <f aca="false">IF(COUNTIF(Species!$B:$B,$A12)=0,"",INDEX(Species!$F:$F,MATCH($A12,Species!$B:$B,0)))</f>
        <v>few_shot</v>
      </c>
      <c r="J12" s="19" t="n">
        <f aca="false">COUNTIFS(Clips!$F:$F,$A12,Clips!$C:$C,"train")</f>
        <v>5</v>
      </c>
      <c r="K12" s="19" t="n">
        <f aca="false">COUNTIF(Clips!$F:$F,$A12)</f>
        <v>6</v>
      </c>
      <c r="L12" s="19" t="str">
        <f aca="false">IF(J12&gt;0,"in train",IF(K12&gt;0,"audio, none in train",IF(C12&gt;=Overview!$B$9,"priority gap","no audio")))</f>
        <v>in train</v>
      </c>
    </row>
    <row r="13" customFormat="false" ht="15" hidden="false" customHeight="false" outlineLevel="0" collapsed="false">
      <c r="A13" s="19" t="s">
        <v>9651</v>
      </c>
      <c r="B13" s="19" t="s">
        <v>9652</v>
      </c>
      <c r="C13" s="28" t="n">
        <f aca="false">D13/Overview!$B$10</f>
        <v>0.403562068143912</v>
      </c>
      <c r="D13" s="29" t="n">
        <v>13550</v>
      </c>
      <c r="E13" s="19" t="s">
        <v>9649</v>
      </c>
      <c r="F13" s="19" t="n">
        <v>1969</v>
      </c>
      <c r="G13" s="19" t="n">
        <v>2026</v>
      </c>
      <c r="H13" s="19" t="str">
        <f aca="false">IF(COUNTIF(Species!$B:$B,$A13)=0,"",IF(INDEX(Species!$A:$A,MATCH($A13,Species!$B:$B,0))="","",INDEX(Species!$A:$A,MATCH($A13,Species!$B:$B,0))))</f>
        <v/>
      </c>
      <c r="I13" s="19" t="str">
        <f aca="false">IF(COUNTIF(Species!$B:$B,$A13)=0,"",INDEX(Species!$F:$F,MATCH($A13,Species!$B:$B,0)))</f>
        <v/>
      </c>
      <c r="J13" s="19" t="n">
        <f aca="false">COUNTIFS(Clips!$F:$F,$A13,Clips!$C:$C,"train")</f>
        <v>0</v>
      </c>
      <c r="K13" s="19" t="n">
        <f aca="false">COUNTIF(Clips!$F:$F,$A13)</f>
        <v>0</v>
      </c>
      <c r="L13" s="19" t="str">
        <f aca="false">IF(J13&gt;0,"in train",IF(K13&gt;0,"audio, none in train",IF(C13&gt;=Overview!$B$9,"priority gap","no audio")))</f>
        <v>priority gap</v>
      </c>
    </row>
    <row r="14" customFormat="false" ht="15" hidden="false" customHeight="false" outlineLevel="0" collapsed="false">
      <c r="A14" s="19" t="s">
        <v>243</v>
      </c>
      <c r="B14" s="19" t="s">
        <v>244</v>
      </c>
      <c r="C14" s="28" t="n">
        <f aca="false">D14/Overview!$B$10</f>
        <v>0.389534191088873</v>
      </c>
      <c r="D14" s="29" t="n">
        <v>13079</v>
      </c>
      <c r="E14" s="19" t="s">
        <v>9649</v>
      </c>
      <c r="F14" s="19" t="n">
        <v>1969</v>
      </c>
      <c r="G14" s="19" t="n">
        <v>2026</v>
      </c>
      <c r="H14" s="19" t="n">
        <f aca="false">IF(COUNTIF(Species!$B:$B,$A14)=0,"",IF(INDEX(Species!$A:$A,MATCH($A14,Species!$B:$B,0))="","",INDEX(Species!$A:$A,MATCH($A14,Species!$B:$B,0))))</f>
        <v>112</v>
      </c>
      <c r="I14" s="19" t="str">
        <f aca="false">IF(COUNTIF(Species!$B:$B,$A14)=0,"",INDEX(Species!$F:$F,MATCH($A14,Species!$B:$B,0)))</f>
        <v>core</v>
      </c>
      <c r="J14" s="19" t="n">
        <f aca="false">COUNTIFS(Clips!$F:$F,$A14,Clips!$C:$C,"train")</f>
        <v>20</v>
      </c>
      <c r="K14" s="19" t="n">
        <f aca="false">COUNTIF(Clips!$F:$F,$A14)</f>
        <v>28</v>
      </c>
      <c r="L14" s="19" t="str">
        <f aca="false">IF(J14&gt;0,"in train",IF(K14&gt;0,"audio, none in train",IF(C14&gt;=Overview!$B$9,"priority gap","no audio")))</f>
        <v>in train</v>
      </c>
    </row>
    <row r="15" customFormat="false" ht="15" hidden="false" customHeight="false" outlineLevel="0" collapsed="false">
      <c r="A15" s="19" t="s">
        <v>553</v>
      </c>
      <c r="B15" s="19" t="s">
        <v>554</v>
      </c>
      <c r="C15" s="28" t="n">
        <f aca="false">D15/Overview!$B$10</f>
        <v>0.386615439599714</v>
      </c>
      <c r="D15" s="29" t="n">
        <v>12981</v>
      </c>
      <c r="E15" s="19" t="s">
        <v>9649</v>
      </c>
      <c r="F15" s="19" t="n">
        <v>1969</v>
      </c>
      <c r="G15" s="19" t="n">
        <v>2026</v>
      </c>
      <c r="H15" s="19" t="n">
        <f aca="false">IF(COUNTIF(Species!$B:$B,$A15)=0,"",IF(INDEX(Species!$A:$A,MATCH($A15,Species!$B:$B,0))="","",INDEX(Species!$A:$A,MATCH($A15,Species!$B:$B,0))))</f>
        <v>35</v>
      </c>
      <c r="I15" s="19" t="str">
        <f aca="false">IF(COUNTIF(Species!$B:$B,$A15)=0,"",INDEX(Species!$F:$F,MATCH($A15,Species!$B:$B,0)))</f>
        <v>few_shot</v>
      </c>
      <c r="J15" s="19" t="n">
        <f aca="false">COUNTIFS(Clips!$F:$F,$A15,Clips!$C:$C,"train")</f>
        <v>4</v>
      </c>
      <c r="K15" s="19" t="n">
        <f aca="false">COUNTIF(Clips!$F:$F,$A15)</f>
        <v>5</v>
      </c>
      <c r="L15" s="19" t="str">
        <f aca="false">IF(J15&gt;0,"in train",IF(K15&gt;0,"audio, none in train",IF(C15&gt;=Overview!$B$9,"priority gap","no audio")))</f>
        <v>in train</v>
      </c>
    </row>
    <row r="16" customFormat="false" ht="15" hidden="false" customHeight="false" outlineLevel="0" collapsed="false">
      <c r="A16" s="19" t="s">
        <v>200</v>
      </c>
      <c r="B16" s="19" t="s">
        <v>201</v>
      </c>
      <c r="C16" s="28" t="n">
        <f aca="false">D16/Overview!$B$10</f>
        <v>0.385066714319752</v>
      </c>
      <c r="D16" s="29" t="n">
        <v>12929</v>
      </c>
      <c r="E16" s="19" t="s">
        <v>9649</v>
      </c>
      <c r="F16" s="19" t="n">
        <v>1969</v>
      </c>
      <c r="G16" s="19" t="n">
        <v>2026</v>
      </c>
      <c r="H16" s="19" t="n">
        <f aca="false">IF(COUNTIF(Species!$B:$B,$A16)=0,"",IF(INDEX(Species!$A:$A,MATCH($A16,Species!$B:$B,0))="","",INDEX(Species!$A:$A,MATCH($A16,Species!$B:$B,0))))</f>
        <v>70</v>
      </c>
      <c r="I16" s="19" t="str">
        <f aca="false">IF(COUNTIF(Species!$B:$B,$A16)=0,"",INDEX(Species!$F:$F,MATCH($A16,Species!$B:$B,0)))</f>
        <v>core</v>
      </c>
      <c r="J16" s="19" t="n">
        <f aca="false">COUNTIFS(Clips!$F:$F,$A16,Clips!$C:$C,"train")</f>
        <v>26</v>
      </c>
      <c r="K16" s="19" t="n">
        <f aca="false">COUNTIF(Clips!$F:$F,$A16)</f>
        <v>36</v>
      </c>
      <c r="L16" s="19" t="str">
        <f aca="false">IF(J16&gt;0,"in train",IF(K16&gt;0,"audio, none in train",IF(C16&gt;=Overview!$B$9,"priority gap","no audio")))</f>
        <v>in train</v>
      </c>
    </row>
    <row r="17" customFormat="false" ht="15" hidden="false" customHeight="false" outlineLevel="0" collapsed="false">
      <c r="A17" s="19" t="s">
        <v>246</v>
      </c>
      <c r="B17" s="19" t="s">
        <v>247</v>
      </c>
      <c r="C17" s="28" t="n">
        <f aca="false">D17/Overview!$B$10</f>
        <v>0.370592089587801</v>
      </c>
      <c r="D17" s="29" t="n">
        <v>12443</v>
      </c>
      <c r="E17" s="19" t="s">
        <v>9649</v>
      </c>
      <c r="F17" s="19" t="n">
        <v>1969</v>
      </c>
      <c r="G17" s="19" t="n">
        <v>2026</v>
      </c>
      <c r="H17" s="19" t="n">
        <f aca="false">IF(COUNTIF(Species!$B:$B,$A17)=0,"",IF(INDEX(Species!$A:$A,MATCH($A17,Species!$B:$B,0))="","",INDEX(Species!$A:$A,MATCH($A17,Species!$B:$B,0))))</f>
        <v>180</v>
      </c>
      <c r="I17" s="19" t="str">
        <f aca="false">IF(COUNTIF(Species!$B:$B,$A17)=0,"",INDEX(Species!$F:$F,MATCH($A17,Species!$B:$B,0)))</f>
        <v>core</v>
      </c>
      <c r="J17" s="19" t="n">
        <f aca="false">COUNTIFS(Clips!$F:$F,$A17,Clips!$C:$C,"train")</f>
        <v>20</v>
      </c>
      <c r="K17" s="19" t="n">
        <f aca="false">COUNTIF(Clips!$F:$F,$A17)</f>
        <v>28</v>
      </c>
      <c r="L17" s="19" t="str">
        <f aca="false">IF(J17&gt;0,"in train",IF(K17&gt;0,"audio, none in train",IF(C17&gt;=Overview!$B$9,"priority gap","no audio")))</f>
        <v>in train</v>
      </c>
    </row>
    <row r="18" customFormat="false" ht="15" hidden="false" customHeight="false" outlineLevel="0" collapsed="false">
      <c r="A18" s="19" t="s">
        <v>347</v>
      </c>
      <c r="B18" s="19" t="s">
        <v>348</v>
      </c>
      <c r="C18" s="28" t="n">
        <f aca="false">D18/Overview!$B$10</f>
        <v>0.366362878246366</v>
      </c>
      <c r="D18" s="29" t="n">
        <v>12301</v>
      </c>
      <c r="E18" s="19" t="s">
        <v>9649</v>
      </c>
      <c r="F18" s="19" t="n">
        <v>1969</v>
      </c>
      <c r="G18" s="19" t="n">
        <v>2026</v>
      </c>
      <c r="H18" s="19" t="n">
        <f aca="false">IF(COUNTIF(Species!$B:$B,$A18)=0,"",IF(INDEX(Species!$A:$A,MATCH($A18,Species!$B:$B,0))="","",INDEX(Species!$A:$A,MATCH($A18,Species!$B:$B,0))))</f>
        <v>19</v>
      </c>
      <c r="I18" s="19" t="str">
        <f aca="false">IF(COUNTIF(Species!$B:$B,$A18)=0,"",INDEX(Species!$F:$F,MATCH($A18,Species!$B:$B,0)))</f>
        <v>core</v>
      </c>
      <c r="J18" s="19" t="n">
        <f aca="false">COUNTIFS(Clips!$F:$F,$A18,Clips!$C:$C,"train")</f>
        <v>9</v>
      </c>
      <c r="K18" s="19" t="n">
        <f aca="false">COUNTIF(Clips!$F:$F,$A18)</f>
        <v>13</v>
      </c>
      <c r="L18" s="19" t="str">
        <f aca="false">IF(J18&gt;0,"in train",IF(K18&gt;0,"audio, none in train",IF(C18&gt;=Overview!$B$9,"priority gap","no audio")))</f>
        <v>in train</v>
      </c>
    </row>
    <row r="19" customFormat="false" ht="15" hidden="false" customHeight="false" outlineLevel="0" collapsed="false">
      <c r="A19" s="19" t="s">
        <v>194</v>
      </c>
      <c r="B19" s="19" t="s">
        <v>195</v>
      </c>
      <c r="C19" s="28" t="n">
        <f aca="false">D19/Overview!$B$10</f>
        <v>0.357010960209674</v>
      </c>
      <c r="D19" s="29" t="n">
        <v>11987</v>
      </c>
      <c r="E19" s="19" t="s">
        <v>9649</v>
      </c>
      <c r="F19" s="19" t="n">
        <v>1969</v>
      </c>
      <c r="G19" s="19" t="n">
        <v>2026</v>
      </c>
      <c r="H19" s="19" t="n">
        <f aca="false">IF(COUNTIF(Species!$B:$B,$A19)=0,"",IF(INDEX(Species!$A:$A,MATCH($A19,Species!$B:$B,0))="","",INDEX(Species!$A:$A,MATCH($A19,Species!$B:$B,0))))</f>
        <v>219</v>
      </c>
      <c r="I19" s="19" t="str">
        <f aca="false">IF(COUNTIF(Species!$B:$B,$A19)=0,"",INDEX(Species!$F:$F,MATCH($A19,Species!$B:$B,0)))</f>
        <v>core</v>
      </c>
      <c r="J19" s="19" t="n">
        <f aca="false">COUNTIFS(Clips!$F:$F,$A19,Clips!$C:$C,"train")</f>
        <v>30</v>
      </c>
      <c r="K19" s="19" t="n">
        <f aca="false">COUNTIF(Clips!$F:$F,$A19)</f>
        <v>43</v>
      </c>
      <c r="L19" s="19" t="str">
        <f aca="false">IF(J19&gt;0,"in train",IF(K19&gt;0,"audio, none in train",IF(C19&gt;=Overview!$B$9,"priority gap","no audio")))</f>
        <v>in train</v>
      </c>
    </row>
    <row r="20" customFormat="false" ht="15" hidden="false" customHeight="false" outlineLevel="0" collapsed="false">
      <c r="A20" s="19" t="s">
        <v>184</v>
      </c>
      <c r="B20" s="19" t="s">
        <v>185</v>
      </c>
      <c r="C20" s="28" t="n">
        <f aca="false">D20/Overview!$B$10</f>
        <v>0.35540266857279</v>
      </c>
      <c r="D20" s="29" t="n">
        <v>11933</v>
      </c>
      <c r="E20" s="19" t="s">
        <v>9649</v>
      </c>
      <c r="F20" s="19" t="n">
        <v>1969</v>
      </c>
      <c r="G20" s="19" t="n">
        <v>2026</v>
      </c>
      <c r="H20" s="19" t="n">
        <f aca="false">IF(COUNTIF(Species!$B:$B,$A20)=0,"",IF(INDEX(Species!$A:$A,MATCH($A20,Species!$B:$B,0))="","",INDEX(Species!$A:$A,MATCH($A20,Species!$B:$B,0))))</f>
        <v>39</v>
      </c>
      <c r="I20" s="19" t="str">
        <f aca="false">IF(COUNTIF(Species!$B:$B,$A20)=0,"",INDEX(Species!$F:$F,MATCH($A20,Species!$B:$B,0)))</f>
        <v>core</v>
      </c>
      <c r="J20" s="19" t="n">
        <f aca="false">COUNTIFS(Clips!$F:$F,$A20,Clips!$C:$C,"train")</f>
        <v>33</v>
      </c>
      <c r="K20" s="19" t="n">
        <f aca="false">COUNTIF(Clips!$F:$F,$A20)</f>
        <v>51</v>
      </c>
      <c r="L20" s="19" t="str">
        <f aca="false">IF(J20&gt;0,"in train",IF(K20&gt;0,"audio, none in train",IF(C20&gt;=Overview!$B$9,"priority gap","no audio")))</f>
        <v>in train</v>
      </c>
    </row>
    <row r="21" customFormat="false" ht="15" hidden="false" customHeight="false" outlineLevel="0" collapsed="false">
      <c r="A21" s="19" t="s">
        <v>683</v>
      </c>
      <c r="B21" s="19" t="s">
        <v>684</v>
      </c>
      <c r="C21" s="28" t="n">
        <f aca="false">D21/Overview!$B$10</f>
        <v>0.345961401000715</v>
      </c>
      <c r="D21" s="29" t="n">
        <v>11616</v>
      </c>
      <c r="E21" s="19" t="s">
        <v>9649</v>
      </c>
      <c r="F21" s="19" t="n">
        <v>1969</v>
      </c>
      <c r="G21" s="19" t="n">
        <v>2026</v>
      </c>
      <c r="H21" s="19" t="n">
        <f aca="false">IF(COUNTIF(Species!$B:$B,$A21)=0,"",IF(INDEX(Species!$A:$A,MATCH($A21,Species!$B:$B,0))="","",INDEX(Species!$A:$A,MATCH($A21,Species!$B:$B,0))))</f>
        <v>210</v>
      </c>
      <c r="I21" s="19" t="str">
        <f aca="false">IF(COUNTIF(Species!$B:$B,$A21)=0,"",INDEX(Species!$F:$F,MATCH($A21,Species!$B:$B,0)))</f>
        <v>few_shot</v>
      </c>
      <c r="J21" s="19" t="n">
        <f aca="false">COUNTIFS(Clips!$F:$F,$A21,Clips!$C:$C,"train")</f>
        <v>2</v>
      </c>
      <c r="K21" s="19" t="n">
        <f aca="false">COUNTIF(Clips!$F:$F,$A21)</f>
        <v>3</v>
      </c>
      <c r="L21" s="19" t="str">
        <f aca="false">IF(J21&gt;0,"in train",IF(K21&gt;0,"audio, none in train",IF(C21&gt;=Overview!$B$9,"priority gap","no audio")))</f>
        <v>in train</v>
      </c>
    </row>
    <row r="22" customFormat="false" ht="15" hidden="false" customHeight="false" outlineLevel="0" collapsed="false">
      <c r="A22" s="19" t="s">
        <v>764</v>
      </c>
      <c r="B22" s="19" t="s">
        <v>765</v>
      </c>
      <c r="C22" s="28" t="n">
        <f aca="false">D22/Overview!$B$10</f>
        <v>0.341315225160829</v>
      </c>
      <c r="D22" s="29" t="n">
        <v>11460</v>
      </c>
      <c r="E22" s="19" t="s">
        <v>9649</v>
      </c>
      <c r="F22" s="19" t="n">
        <v>1969</v>
      </c>
      <c r="G22" s="19" t="n">
        <v>2026</v>
      </c>
      <c r="H22" s="19" t="n">
        <f aca="false">IF(COUNTIF(Species!$B:$B,$A22)=0,"",IF(INDEX(Species!$A:$A,MATCH($A22,Species!$B:$B,0))="","",INDEX(Species!$A:$A,MATCH($A22,Species!$B:$B,0))))</f>
        <v>15</v>
      </c>
      <c r="I22" s="19" t="str">
        <f aca="false">IF(COUNTIF(Species!$B:$B,$A22)=0,"",INDEX(Species!$F:$F,MATCH($A22,Species!$B:$B,0)))</f>
        <v>singleton</v>
      </c>
      <c r="J22" s="19" t="n">
        <f aca="false">COUNTIFS(Clips!$F:$F,$A22,Clips!$C:$C,"train")</f>
        <v>0</v>
      </c>
      <c r="K22" s="19" t="n">
        <f aca="false">COUNTIF(Clips!$F:$F,$A22)</f>
        <v>1</v>
      </c>
      <c r="L22" s="19" t="str">
        <f aca="false">IF(J22&gt;0,"in train",IF(K22&gt;0,"audio, none in train",IF(C22&gt;=Overview!$B$9,"priority gap","no audio")))</f>
        <v>audio, none in train</v>
      </c>
    </row>
    <row r="23" customFormat="false" ht="15" hidden="false" customHeight="false" outlineLevel="0" collapsed="false">
      <c r="A23" s="19" t="s">
        <v>197</v>
      </c>
      <c r="B23" s="19" t="s">
        <v>198</v>
      </c>
      <c r="C23" s="28" t="n">
        <f aca="false">D23/Overview!$B$10</f>
        <v>0.338873004527043</v>
      </c>
      <c r="D23" s="29" t="n">
        <v>11378</v>
      </c>
      <c r="E23" s="19" t="s">
        <v>9649</v>
      </c>
      <c r="F23" s="19" t="n">
        <v>1969</v>
      </c>
      <c r="G23" s="19" t="n">
        <v>2026</v>
      </c>
      <c r="H23" s="19" t="n">
        <f aca="false">IF(COUNTIF(Species!$B:$B,$A23)=0,"",IF(INDEX(Species!$A:$A,MATCH($A23,Species!$B:$B,0))="","",INDEX(Species!$A:$A,MATCH($A23,Species!$B:$B,0))))</f>
        <v>187</v>
      </c>
      <c r="I23" s="19" t="str">
        <f aca="false">IF(COUNTIF(Species!$B:$B,$A23)=0,"",INDEX(Species!$F:$F,MATCH($A23,Species!$B:$B,0)))</f>
        <v>core</v>
      </c>
      <c r="J23" s="19" t="n">
        <f aca="false">COUNTIFS(Clips!$F:$F,$A23,Clips!$C:$C,"train")</f>
        <v>27</v>
      </c>
      <c r="K23" s="19" t="n">
        <f aca="false">COUNTIF(Clips!$F:$F,$A23)</f>
        <v>39</v>
      </c>
      <c r="L23" s="19" t="str">
        <f aca="false">IF(J23&gt;0,"in train",IF(K23&gt;0,"audio, none in train",IF(C23&gt;=Overview!$B$9,"priority gap","no audio")))</f>
        <v>in train</v>
      </c>
    </row>
    <row r="24" customFormat="false" ht="15" hidden="false" customHeight="false" outlineLevel="0" collapsed="false">
      <c r="A24" s="19" t="s">
        <v>544</v>
      </c>
      <c r="B24" s="19" t="s">
        <v>545</v>
      </c>
      <c r="C24" s="28" t="n">
        <f aca="false">D24/Overview!$B$10</f>
        <v>0.331456993090303</v>
      </c>
      <c r="D24" s="29" t="n">
        <v>11129</v>
      </c>
      <c r="E24" s="19" t="s">
        <v>9649</v>
      </c>
      <c r="F24" s="19" t="n">
        <v>1969</v>
      </c>
      <c r="G24" s="19" t="n">
        <v>2026</v>
      </c>
      <c r="H24" s="19" t="n">
        <f aca="false">IF(COUNTIF(Species!$B:$B,$A24)=0,"",IF(INDEX(Species!$A:$A,MATCH($A24,Species!$B:$B,0))="","",INDEX(Species!$A:$A,MATCH($A24,Species!$B:$B,0))))</f>
        <v>213</v>
      </c>
      <c r="I24" s="19" t="str">
        <f aca="false">IF(COUNTIF(Species!$B:$B,$A24)=0,"",INDEX(Species!$F:$F,MATCH($A24,Species!$B:$B,0)))</f>
        <v>few_shot</v>
      </c>
      <c r="J24" s="19" t="n">
        <f aca="false">COUNTIFS(Clips!$F:$F,$A24,Clips!$C:$C,"train")</f>
        <v>5</v>
      </c>
      <c r="K24" s="19" t="n">
        <f aca="false">COUNTIF(Clips!$F:$F,$A24)</f>
        <v>6</v>
      </c>
      <c r="L24" s="19" t="str">
        <f aca="false">IF(J24&gt;0,"in train",IF(K24&gt;0,"audio, none in train",IF(C24&gt;=Overview!$B$9,"priority gap","no audio")))</f>
        <v>in train</v>
      </c>
    </row>
    <row r="25" customFormat="false" ht="15" hidden="false" customHeight="false" outlineLevel="0" collapsed="false">
      <c r="A25" s="19" t="s">
        <v>221</v>
      </c>
      <c r="B25" s="19" t="s">
        <v>222</v>
      </c>
      <c r="C25" s="28" t="n">
        <f aca="false">D25/Overview!$B$10</f>
        <v>0.328508458422683</v>
      </c>
      <c r="D25" s="29" t="n">
        <v>11030</v>
      </c>
      <c r="E25" s="19" t="s">
        <v>9649</v>
      </c>
      <c r="F25" s="19" t="n">
        <v>1969</v>
      </c>
      <c r="G25" s="19" t="n">
        <v>2026</v>
      </c>
      <c r="H25" s="19" t="n">
        <f aca="false">IF(COUNTIF(Species!$B:$B,$A25)=0,"",IF(INDEX(Species!$A:$A,MATCH($A25,Species!$B:$B,0))="","",INDEX(Species!$A:$A,MATCH($A25,Species!$B:$B,0))))</f>
        <v>159</v>
      </c>
      <c r="I25" s="19" t="str">
        <f aca="false">IF(COUNTIF(Species!$B:$B,$A25)=0,"",INDEX(Species!$F:$F,MATCH($A25,Species!$B:$B,0)))</f>
        <v>core</v>
      </c>
      <c r="J25" s="19" t="n">
        <f aca="false">COUNTIFS(Clips!$F:$F,$A25,Clips!$C:$C,"train")</f>
        <v>23</v>
      </c>
      <c r="K25" s="19" t="n">
        <f aca="false">COUNTIF(Clips!$F:$F,$A25)</f>
        <v>34</v>
      </c>
      <c r="L25" s="19" t="str">
        <f aca="false">IF(J25&gt;0,"in train",IF(K25&gt;0,"audio, none in train",IF(C25&gt;=Overview!$B$9,"priority gap","no audio")))</f>
        <v>in train</v>
      </c>
    </row>
    <row r="26" customFormat="false" ht="15" hidden="false" customHeight="false" outlineLevel="0" collapsed="false">
      <c r="A26" s="19" t="s">
        <v>304</v>
      </c>
      <c r="B26" s="19" t="s">
        <v>305</v>
      </c>
      <c r="C26" s="28" t="n">
        <f aca="false">D26/Overview!$B$10</f>
        <v>0.324785561115082</v>
      </c>
      <c r="D26" s="29" t="n">
        <v>10905</v>
      </c>
      <c r="E26" s="19" t="s">
        <v>9649</v>
      </c>
      <c r="F26" s="19" t="n">
        <v>1969</v>
      </c>
      <c r="G26" s="19" t="n">
        <v>2026</v>
      </c>
      <c r="H26" s="19" t="n">
        <f aca="false">IF(COUNTIF(Species!$B:$B,$A26)=0,"",IF(INDEX(Species!$A:$A,MATCH($A26,Species!$B:$B,0))="","",INDEX(Species!$A:$A,MATCH($A26,Species!$B:$B,0))))</f>
        <v>45</v>
      </c>
      <c r="I26" s="19" t="str">
        <f aca="false">IF(COUNTIF(Species!$B:$B,$A26)=0,"",INDEX(Species!$F:$F,MATCH($A26,Species!$B:$B,0)))</f>
        <v>core</v>
      </c>
      <c r="J26" s="19" t="n">
        <f aca="false">COUNTIFS(Clips!$F:$F,$A26,Clips!$C:$C,"train")</f>
        <v>12</v>
      </c>
      <c r="K26" s="19" t="n">
        <f aca="false">COUNTIF(Clips!$F:$F,$A26)</f>
        <v>18</v>
      </c>
      <c r="L26" s="19" t="str">
        <f aca="false">IF(J26&gt;0,"in train",IF(K26&gt;0,"audio, none in train",IF(C26&gt;=Overview!$B$9,"priority gap","no audio")))</f>
        <v>in train</v>
      </c>
    </row>
    <row r="27" customFormat="false" ht="15" hidden="false" customHeight="false" outlineLevel="0" collapsed="false">
      <c r="A27" s="19" t="s">
        <v>249</v>
      </c>
      <c r="B27" s="19" t="s">
        <v>250</v>
      </c>
      <c r="C27" s="28" t="n">
        <f aca="false">D27/Overview!$B$10</f>
        <v>0.321330712413629</v>
      </c>
      <c r="D27" s="29" t="n">
        <v>10789</v>
      </c>
      <c r="E27" s="19" t="s">
        <v>9649</v>
      </c>
      <c r="F27" s="19" t="n">
        <v>1969</v>
      </c>
      <c r="G27" s="19" t="n">
        <v>2026</v>
      </c>
      <c r="H27" s="19" t="n">
        <f aca="false">IF(COUNTIF(Species!$B:$B,$A27)=0,"",IF(INDEX(Species!$A:$A,MATCH($A27,Species!$B:$B,0))="","",INDEX(Species!$A:$A,MATCH($A27,Species!$B:$B,0))))</f>
        <v>90</v>
      </c>
      <c r="I27" s="19" t="str">
        <f aca="false">IF(COUNTIF(Species!$B:$B,$A27)=0,"",INDEX(Species!$F:$F,MATCH($A27,Species!$B:$B,0)))</f>
        <v>core</v>
      </c>
      <c r="J27" s="19" t="n">
        <f aca="false">COUNTIFS(Clips!$F:$F,$A27,Clips!$C:$C,"train")</f>
        <v>17</v>
      </c>
      <c r="K27" s="19" t="n">
        <f aca="false">COUNTIF(Clips!$F:$F,$A27)</f>
        <v>25</v>
      </c>
      <c r="L27" s="19" t="str">
        <f aca="false">IF(J27&gt;0,"in train",IF(K27&gt;0,"audio, none in train",IF(C27&gt;=Overview!$B$9,"priority gap","no audio")))</f>
        <v>in train</v>
      </c>
    </row>
    <row r="28" customFormat="false" ht="15" hidden="false" customHeight="false" outlineLevel="0" collapsed="false">
      <c r="A28" s="19" t="s">
        <v>444</v>
      </c>
      <c r="B28" s="19" t="s">
        <v>445</v>
      </c>
      <c r="C28" s="28" t="n">
        <f aca="false">D28/Overview!$B$10</f>
        <v>0.320883964736717</v>
      </c>
      <c r="D28" s="29" t="n">
        <v>10774</v>
      </c>
      <c r="E28" s="19" t="s">
        <v>9649</v>
      </c>
      <c r="F28" s="19" t="n">
        <v>1969</v>
      </c>
      <c r="G28" s="19" t="n">
        <v>2026</v>
      </c>
      <c r="H28" s="19" t="n">
        <f aca="false">IF(COUNTIF(Species!$B:$B,$A28)=0,"",IF(INDEX(Species!$A:$A,MATCH($A28,Species!$B:$B,0))="","",INDEX(Species!$A:$A,MATCH($A28,Species!$B:$B,0))))</f>
        <v>149</v>
      </c>
      <c r="I28" s="19" t="str">
        <f aca="false">IF(COUNTIF(Species!$B:$B,$A28)=0,"",INDEX(Species!$F:$F,MATCH($A28,Species!$B:$B,0)))</f>
        <v>few_shot</v>
      </c>
      <c r="J28" s="19" t="n">
        <f aca="false">COUNTIFS(Clips!$F:$F,$A28,Clips!$C:$C,"train")</f>
        <v>7</v>
      </c>
      <c r="K28" s="19" t="n">
        <f aca="false">COUNTIF(Clips!$F:$F,$A28)</f>
        <v>9</v>
      </c>
      <c r="L28" s="19" t="str">
        <f aca="false">IF(J28&gt;0,"in train",IF(K28&gt;0,"audio, none in train",IF(C28&gt;=Overview!$B$9,"priority gap","no audio")))</f>
        <v>in train</v>
      </c>
    </row>
    <row r="29" customFormat="false" ht="15" hidden="false" customHeight="false" outlineLevel="0" collapsed="false">
      <c r="A29" s="19" t="s">
        <v>162</v>
      </c>
      <c r="B29" s="19" t="s">
        <v>163</v>
      </c>
      <c r="C29" s="28" t="n">
        <f aca="false">D29/Overview!$B$10</f>
        <v>0.313587086013819</v>
      </c>
      <c r="D29" s="29" t="n">
        <v>10529</v>
      </c>
      <c r="E29" s="19" t="s">
        <v>9649</v>
      </c>
      <c r="F29" s="19" t="n">
        <v>1969</v>
      </c>
      <c r="G29" s="19" t="n">
        <v>2026</v>
      </c>
      <c r="H29" s="19" t="n">
        <f aca="false">IF(COUNTIF(Species!$B:$B,$A29)=0,"",IF(INDEX(Species!$A:$A,MATCH($A29,Species!$B:$B,0))="","",INDEX(Species!$A:$A,MATCH($A29,Species!$B:$B,0))))</f>
        <v>165</v>
      </c>
      <c r="I29" s="19" t="str">
        <f aca="false">IF(COUNTIF(Species!$B:$B,$A29)=0,"",INDEX(Species!$F:$F,MATCH($A29,Species!$B:$B,0)))</f>
        <v>core</v>
      </c>
      <c r="J29" s="19" t="n">
        <f aca="false">COUNTIFS(Clips!$F:$F,$A29,Clips!$C:$C,"train")</f>
        <v>39</v>
      </c>
      <c r="K29" s="19" t="n">
        <f aca="false">COUNTIF(Clips!$F:$F,$A29)</f>
        <v>57</v>
      </c>
      <c r="L29" s="19" t="str">
        <f aca="false">IF(J29&gt;0,"in train",IF(K29&gt;0,"audio, none in train",IF(C29&gt;=Overview!$B$9,"priority gap","no audio")))</f>
        <v>in train</v>
      </c>
    </row>
    <row r="30" customFormat="false" ht="15" hidden="false" customHeight="false" outlineLevel="0" collapsed="false">
      <c r="A30" s="19" t="s">
        <v>155</v>
      </c>
      <c r="B30" s="19" t="s">
        <v>156</v>
      </c>
      <c r="C30" s="28" t="n">
        <f aca="false">D30/Overview!$B$10</f>
        <v>0.312246842983083</v>
      </c>
      <c r="D30" s="29" t="n">
        <v>10484</v>
      </c>
      <c r="E30" s="19" t="s">
        <v>9649</v>
      </c>
      <c r="F30" s="19" t="n">
        <v>1969</v>
      </c>
      <c r="G30" s="19" t="n">
        <v>2026</v>
      </c>
      <c r="H30" s="19" t="n">
        <f aca="false">IF(COUNTIF(Species!$B:$B,$A30)=0,"",IF(INDEX(Species!$A:$A,MATCH($A30,Species!$B:$B,0))="","",INDEX(Species!$A:$A,MATCH($A30,Species!$B:$B,0))))</f>
        <v>104</v>
      </c>
      <c r="I30" s="19" t="str">
        <f aca="false">IF(COUNTIF(Species!$B:$B,$A30)=0,"",INDEX(Species!$F:$F,MATCH($A30,Species!$B:$B,0)))</f>
        <v>core</v>
      </c>
      <c r="J30" s="19" t="n">
        <f aca="false">COUNTIFS(Clips!$F:$F,$A30,Clips!$C:$C,"train")</f>
        <v>44</v>
      </c>
      <c r="K30" s="19" t="n">
        <f aca="false">COUNTIF(Clips!$F:$F,$A30)</f>
        <v>66</v>
      </c>
      <c r="L30" s="19" t="str">
        <f aca="false">IF(J30&gt;0,"in train",IF(K30&gt;0,"audio, none in train",IF(C30&gt;=Overview!$B$9,"priority gap","no audio")))</f>
        <v>in train</v>
      </c>
    </row>
    <row r="31" customFormat="false" ht="15" hidden="false" customHeight="false" outlineLevel="0" collapsed="false">
      <c r="A31" s="19" t="s">
        <v>144</v>
      </c>
      <c r="B31" s="19" t="s">
        <v>145</v>
      </c>
      <c r="C31" s="28" t="n">
        <f aca="false">D31/Overview!$B$10</f>
        <v>0.3025077436264</v>
      </c>
      <c r="D31" s="29" t="n">
        <v>10157</v>
      </c>
      <c r="E31" s="19" t="s">
        <v>9649</v>
      </c>
      <c r="F31" s="19" t="n">
        <v>1969</v>
      </c>
      <c r="G31" s="19" t="n">
        <v>2026</v>
      </c>
      <c r="H31" s="19" t="n">
        <f aca="false">IF(COUNTIF(Species!$B:$B,$A31)=0,"",IF(INDEX(Species!$A:$A,MATCH($A31,Species!$B:$B,0))="","",INDEX(Species!$A:$A,MATCH($A31,Species!$B:$B,0))))</f>
        <v>217</v>
      </c>
      <c r="I31" s="19" t="str">
        <f aca="false">IF(COUNTIF(Species!$B:$B,$A31)=0,"",INDEX(Species!$F:$F,MATCH($A31,Species!$B:$B,0)))</f>
        <v>core</v>
      </c>
      <c r="J31" s="19" t="n">
        <f aca="false">COUNTIFS(Clips!$F:$F,$A31,Clips!$C:$C,"train")</f>
        <v>81</v>
      </c>
      <c r="K31" s="19" t="n">
        <f aca="false">COUNTIF(Clips!$F:$F,$A31)</f>
        <v>132</v>
      </c>
      <c r="L31" s="19" t="str">
        <f aca="false">IF(J31&gt;0,"in train",IF(K31&gt;0,"audio, none in train",IF(C31&gt;=Overview!$B$9,"priority gap","no audio")))</f>
        <v>in train</v>
      </c>
    </row>
    <row r="32" customFormat="false" ht="15" hidden="false" customHeight="false" outlineLevel="0" collapsed="false">
      <c r="A32" s="19" t="s">
        <v>397</v>
      </c>
      <c r="B32" s="19" t="s">
        <v>398</v>
      </c>
      <c r="C32" s="28" t="n">
        <f aca="false">D32/Overview!$B$10</f>
        <v>0.29473433404813</v>
      </c>
      <c r="D32" s="29" t="n">
        <v>9896</v>
      </c>
      <c r="E32" s="19" t="s">
        <v>9649</v>
      </c>
      <c r="F32" s="19" t="n">
        <v>1969</v>
      </c>
      <c r="G32" s="19" t="n">
        <v>2026</v>
      </c>
      <c r="H32" s="19" t="n">
        <f aca="false">IF(COUNTIF(Species!$B:$B,$A32)=0,"",IF(INDEX(Species!$A:$A,MATCH($A32,Species!$B:$B,0))="","",INDEX(Species!$A:$A,MATCH($A32,Species!$B:$B,0))))</f>
        <v>3</v>
      </c>
      <c r="I32" s="19" t="str">
        <f aca="false">IF(COUNTIF(Species!$B:$B,$A32)=0,"",INDEX(Species!$F:$F,MATCH($A32,Species!$B:$B,0)))</f>
        <v>few_shot</v>
      </c>
      <c r="J32" s="19" t="n">
        <f aca="false">COUNTIFS(Clips!$F:$F,$A32,Clips!$C:$C,"train")</f>
        <v>10</v>
      </c>
      <c r="K32" s="19" t="n">
        <f aca="false">COUNTIF(Clips!$F:$F,$A32)</f>
        <v>11</v>
      </c>
      <c r="L32" s="19" t="str">
        <f aca="false">IF(J32&gt;0,"in train",IF(K32&gt;0,"audio, none in train",IF(C32&gt;=Overview!$B$9,"priority gap","no audio")))</f>
        <v>in train</v>
      </c>
    </row>
    <row r="33" customFormat="false" ht="15" hidden="false" customHeight="false" outlineLevel="0" collapsed="false">
      <c r="A33" s="19" t="s">
        <v>556</v>
      </c>
      <c r="B33" s="19" t="s">
        <v>557</v>
      </c>
      <c r="C33" s="28" t="n">
        <f aca="false">D33/Overview!$B$10</f>
        <v>0.290117941386705</v>
      </c>
      <c r="D33" s="29" t="n">
        <v>9741</v>
      </c>
      <c r="E33" s="19" t="s">
        <v>9649</v>
      </c>
      <c r="F33" s="19" t="n">
        <v>1969</v>
      </c>
      <c r="G33" s="19" t="n">
        <v>2026</v>
      </c>
      <c r="H33" s="19" t="n">
        <f aca="false">IF(COUNTIF(Species!$B:$B,$A33)=0,"",IF(INDEX(Species!$A:$A,MATCH($A33,Species!$B:$B,0))="","",INDEX(Species!$A:$A,MATCH($A33,Species!$B:$B,0))))</f>
        <v>65</v>
      </c>
      <c r="I33" s="19" t="str">
        <f aca="false">IF(COUNTIF(Species!$B:$B,$A33)=0,"",INDEX(Species!$F:$F,MATCH($A33,Species!$B:$B,0)))</f>
        <v>few_shot</v>
      </c>
      <c r="J33" s="19" t="n">
        <f aca="false">COUNTIFS(Clips!$F:$F,$A33,Clips!$C:$C,"train")</f>
        <v>4</v>
      </c>
      <c r="K33" s="19" t="n">
        <f aca="false">COUNTIF(Clips!$F:$F,$A33)</f>
        <v>5</v>
      </c>
      <c r="L33" s="19" t="str">
        <f aca="false">IF(J33&gt;0,"in train",IF(K33&gt;0,"audio, none in train",IF(C33&gt;=Overview!$B$9,"priority gap","no audio")))</f>
        <v>in train</v>
      </c>
    </row>
    <row r="34" customFormat="false" ht="15" hidden="false" customHeight="false" outlineLevel="0" collapsed="false">
      <c r="A34" s="19" t="s">
        <v>604</v>
      </c>
      <c r="B34" s="19" t="s">
        <v>605</v>
      </c>
      <c r="C34" s="28" t="n">
        <f aca="false">D34/Overview!$B$10</f>
        <v>0.281331903740767</v>
      </c>
      <c r="D34" s="29" t="n">
        <v>9446</v>
      </c>
      <c r="E34" s="19" t="s">
        <v>9649</v>
      </c>
      <c r="F34" s="19" t="n">
        <v>1969</v>
      </c>
      <c r="G34" s="19" t="n">
        <v>2026</v>
      </c>
      <c r="H34" s="19" t="n">
        <f aca="false">IF(COUNTIF(Species!$B:$B,$A34)=0,"",IF(INDEX(Species!$A:$A,MATCH($A34,Species!$B:$B,0))="","",INDEX(Species!$A:$A,MATCH($A34,Species!$B:$B,0))))</f>
        <v>97</v>
      </c>
      <c r="I34" s="19" t="str">
        <f aca="false">IF(COUNTIF(Species!$B:$B,$A34)=0,"",INDEX(Species!$F:$F,MATCH($A34,Species!$B:$B,0)))</f>
        <v>few_shot</v>
      </c>
      <c r="J34" s="19" t="n">
        <f aca="false">COUNTIFS(Clips!$F:$F,$A34,Clips!$C:$C,"train")</f>
        <v>3</v>
      </c>
      <c r="K34" s="19" t="n">
        <f aca="false">COUNTIF(Clips!$F:$F,$A34)</f>
        <v>4</v>
      </c>
      <c r="L34" s="19" t="str">
        <f aca="false">IF(J34&gt;0,"in train",IF(K34&gt;0,"audio, none in train",IF(C34&gt;=Overview!$B$9,"priority gap","no audio")))</f>
        <v>in train</v>
      </c>
    </row>
    <row r="35" customFormat="false" ht="15" hidden="false" customHeight="false" outlineLevel="0" collapsed="false">
      <c r="A35" s="19" t="s">
        <v>478</v>
      </c>
      <c r="B35" s="19" t="s">
        <v>479</v>
      </c>
      <c r="C35" s="28" t="n">
        <f aca="false">D35/Overview!$B$10</f>
        <v>0.268793185608768</v>
      </c>
      <c r="D35" s="29" t="n">
        <v>9025</v>
      </c>
      <c r="E35" s="19" t="s">
        <v>9649</v>
      </c>
      <c r="F35" s="19" t="n">
        <v>1969</v>
      </c>
      <c r="G35" s="19" t="n">
        <v>2026</v>
      </c>
      <c r="H35" s="19" t="n">
        <f aca="false">IF(COUNTIF(Species!$B:$B,$A35)=0,"",IF(INDEX(Species!$A:$A,MATCH($A35,Species!$B:$B,0))="","",INDEX(Species!$A:$A,MATCH($A35,Species!$B:$B,0))))</f>
        <v>105</v>
      </c>
      <c r="I35" s="19" t="str">
        <f aca="false">IF(COUNTIF(Species!$B:$B,$A35)=0,"",INDEX(Species!$F:$F,MATCH($A35,Species!$B:$B,0)))</f>
        <v>few_shot</v>
      </c>
      <c r="J35" s="19" t="n">
        <f aca="false">COUNTIFS(Clips!$F:$F,$A35,Clips!$C:$C,"train")</f>
        <v>7</v>
      </c>
      <c r="K35" s="19" t="n">
        <f aca="false">COUNTIF(Clips!$F:$F,$A35)</f>
        <v>8</v>
      </c>
      <c r="L35" s="19" t="str">
        <f aca="false">IF(J35&gt;0,"in train",IF(K35&gt;0,"audio, none in train",IF(C35&gt;=Overview!$B$9,"priority gap","no audio")))</f>
        <v>in train</v>
      </c>
    </row>
    <row r="36" customFormat="false" ht="15" hidden="false" customHeight="false" outlineLevel="0" collapsed="false">
      <c r="A36" s="19" t="s">
        <v>159</v>
      </c>
      <c r="B36" s="19" t="s">
        <v>160</v>
      </c>
      <c r="C36" s="28" t="n">
        <f aca="false">D36/Overview!$B$10</f>
        <v>0.265010721944246</v>
      </c>
      <c r="D36" s="29" t="n">
        <v>8898</v>
      </c>
      <c r="E36" s="19" t="s">
        <v>9649</v>
      </c>
      <c r="F36" s="19" t="n">
        <v>1969</v>
      </c>
      <c r="G36" s="19" t="n">
        <v>2026</v>
      </c>
      <c r="H36" s="19" t="n">
        <f aca="false">IF(COUNTIF(Species!$B:$B,$A36)=0,"",IF(INDEX(Species!$A:$A,MATCH($A36,Species!$B:$B,0))="","",INDEX(Species!$A:$A,MATCH($A36,Species!$B:$B,0))))</f>
        <v>58</v>
      </c>
      <c r="I36" s="19" t="str">
        <f aca="false">IF(COUNTIF(Species!$B:$B,$A36)=0,"",INDEX(Species!$F:$F,MATCH($A36,Species!$B:$B,0)))</f>
        <v>core</v>
      </c>
      <c r="J36" s="19" t="n">
        <f aca="false">COUNTIFS(Clips!$F:$F,$A36,Clips!$C:$C,"train")</f>
        <v>41</v>
      </c>
      <c r="K36" s="19" t="n">
        <f aca="false">COUNTIF(Clips!$F:$F,$A36)</f>
        <v>61</v>
      </c>
      <c r="L36" s="19" t="str">
        <f aca="false">IF(J36&gt;0,"in train",IF(K36&gt;0,"audio, none in train",IF(C36&gt;=Overview!$B$9,"priority gap","no audio")))</f>
        <v>in train</v>
      </c>
    </row>
    <row r="37" customFormat="false" ht="15" hidden="false" customHeight="false" outlineLevel="0" collapsed="false">
      <c r="A37" s="19" t="s">
        <v>307</v>
      </c>
      <c r="B37" s="19" t="s">
        <v>308</v>
      </c>
      <c r="C37" s="28" t="n">
        <f aca="false">D37/Overview!$B$10</f>
        <v>0.263759828448892</v>
      </c>
      <c r="D37" s="29" t="n">
        <v>8856</v>
      </c>
      <c r="E37" s="19" t="s">
        <v>9649</v>
      </c>
      <c r="F37" s="19" t="n">
        <v>1969</v>
      </c>
      <c r="G37" s="19" t="n">
        <v>2026</v>
      </c>
      <c r="H37" s="19" t="n">
        <f aca="false">IF(COUNTIF(Species!$B:$B,$A37)=0,"",IF(INDEX(Species!$A:$A,MATCH($A37,Species!$B:$B,0))="","",INDEX(Species!$A:$A,MATCH($A37,Species!$B:$B,0))))</f>
        <v>54</v>
      </c>
      <c r="I37" s="19" t="str">
        <f aca="false">IF(COUNTIF(Species!$B:$B,$A37)=0,"",INDEX(Species!$F:$F,MATCH($A37,Species!$B:$B,0)))</f>
        <v>core</v>
      </c>
      <c r="J37" s="19" t="n">
        <f aca="false">COUNTIFS(Clips!$F:$F,$A37,Clips!$C:$C,"train")</f>
        <v>12</v>
      </c>
      <c r="K37" s="19" t="n">
        <f aca="false">COUNTIF(Clips!$F:$F,$A37)</f>
        <v>18</v>
      </c>
      <c r="L37" s="19" t="str">
        <f aca="false">IF(J37&gt;0,"in train",IF(K37&gt;0,"audio, none in train",IF(C37&gt;=Overview!$B$9,"priority gap","no audio")))</f>
        <v>in train</v>
      </c>
    </row>
    <row r="38" customFormat="false" ht="15" hidden="false" customHeight="false" outlineLevel="0" collapsed="false">
      <c r="A38" s="19" t="s">
        <v>298</v>
      </c>
      <c r="B38" s="19" t="s">
        <v>299</v>
      </c>
      <c r="C38" s="28" t="n">
        <f aca="false">D38/Overview!$B$10</f>
        <v>0.262389802239695</v>
      </c>
      <c r="D38" s="29" t="n">
        <v>8810</v>
      </c>
      <c r="E38" s="19" t="s">
        <v>9649</v>
      </c>
      <c r="F38" s="19" t="n">
        <v>1969</v>
      </c>
      <c r="G38" s="19" t="n">
        <v>2026</v>
      </c>
      <c r="H38" s="19" t="n">
        <f aca="false">IF(COUNTIF(Species!$B:$B,$A38)=0,"",IF(INDEX(Species!$A:$A,MATCH($A38,Species!$B:$B,0))="","",INDEX(Species!$A:$A,MATCH($A38,Species!$B:$B,0))))</f>
        <v>66</v>
      </c>
      <c r="I38" s="19" t="str">
        <f aca="false">IF(COUNTIF(Species!$B:$B,$A38)=0,"",INDEX(Species!$F:$F,MATCH($A38,Species!$B:$B,0)))</f>
        <v>core</v>
      </c>
      <c r="J38" s="19" t="n">
        <f aca="false">COUNTIFS(Clips!$F:$F,$A38,Clips!$C:$C,"train")</f>
        <v>13</v>
      </c>
      <c r="K38" s="19" t="n">
        <f aca="false">COUNTIF(Clips!$F:$F,$A38)</f>
        <v>19</v>
      </c>
      <c r="L38" s="19" t="str">
        <f aca="false">IF(J38&gt;0,"in train",IF(K38&gt;0,"audio, none in train",IF(C38&gt;=Overview!$B$9,"priority gap","no audio")))</f>
        <v>in train</v>
      </c>
    </row>
    <row r="39" customFormat="false" ht="15" hidden="false" customHeight="false" outlineLevel="0" collapsed="false">
      <c r="A39" s="19" t="s">
        <v>274</v>
      </c>
      <c r="B39" s="19" t="s">
        <v>275</v>
      </c>
      <c r="C39" s="28" t="n">
        <f aca="false">D39/Overview!$B$10</f>
        <v>0.260007147962831</v>
      </c>
      <c r="D39" s="29" t="n">
        <v>8730</v>
      </c>
      <c r="E39" s="19" t="s">
        <v>9649</v>
      </c>
      <c r="F39" s="19" t="n">
        <v>1969</v>
      </c>
      <c r="G39" s="19" t="n">
        <v>2026</v>
      </c>
      <c r="H39" s="19" t="n">
        <f aca="false">IF(COUNTIF(Species!$B:$B,$A39)=0,"",IF(INDEX(Species!$A:$A,MATCH($A39,Species!$B:$B,0))="","",INDEX(Species!$A:$A,MATCH($A39,Species!$B:$B,0))))</f>
        <v>37</v>
      </c>
      <c r="I39" s="19" t="str">
        <f aca="false">IF(COUNTIF(Species!$B:$B,$A39)=0,"",INDEX(Species!$F:$F,MATCH($A39,Species!$B:$B,0)))</f>
        <v>core</v>
      </c>
      <c r="J39" s="19" t="n">
        <f aca="false">COUNTIFS(Clips!$F:$F,$A39,Clips!$C:$C,"train")</f>
        <v>16</v>
      </c>
      <c r="K39" s="19" t="n">
        <f aca="false">COUNTIF(Clips!$F:$F,$A39)</f>
        <v>22</v>
      </c>
      <c r="L39" s="19" t="str">
        <f aca="false">IF(J39&gt;0,"in train",IF(K39&gt;0,"audio, none in train",IF(C39&gt;=Overview!$B$9,"priority gap","no audio")))</f>
        <v>in train</v>
      </c>
    </row>
    <row r="40" customFormat="false" ht="15" hidden="false" customHeight="false" outlineLevel="0" collapsed="false">
      <c r="A40" s="19" t="s">
        <v>181</v>
      </c>
      <c r="B40" s="19" t="s">
        <v>182</v>
      </c>
      <c r="C40" s="28" t="n">
        <f aca="false">D40/Overview!$B$10</f>
        <v>0.255390755301406</v>
      </c>
      <c r="D40" s="29" t="n">
        <v>8575</v>
      </c>
      <c r="E40" s="19" t="s">
        <v>9649</v>
      </c>
      <c r="F40" s="19" t="n">
        <v>1969</v>
      </c>
      <c r="G40" s="19" t="n">
        <v>2026</v>
      </c>
      <c r="H40" s="19" t="n">
        <f aca="false">IF(COUNTIF(Species!$B:$B,$A40)=0,"",IF(INDEX(Species!$A:$A,MATCH($A40,Species!$B:$B,0))="","",INDEX(Species!$A:$A,MATCH($A40,Species!$B:$B,0))))</f>
        <v>38</v>
      </c>
      <c r="I40" s="19" t="str">
        <f aca="false">IF(COUNTIF(Species!$B:$B,$A40)=0,"",INDEX(Species!$F:$F,MATCH($A40,Species!$B:$B,0)))</f>
        <v>core</v>
      </c>
      <c r="J40" s="19" t="n">
        <f aca="false">COUNTIFS(Clips!$F:$F,$A40,Clips!$C:$C,"train")</f>
        <v>33</v>
      </c>
      <c r="K40" s="19" t="n">
        <f aca="false">COUNTIF(Clips!$F:$F,$A40)</f>
        <v>48</v>
      </c>
      <c r="L40" s="19" t="str">
        <f aca="false">IF(J40&gt;0,"in train",IF(K40&gt;0,"audio, none in train",IF(C40&gt;=Overview!$B$9,"priority gap","no audio")))</f>
        <v>in train</v>
      </c>
    </row>
    <row r="41" customFormat="false" ht="15" hidden="false" customHeight="false" outlineLevel="0" collapsed="false">
      <c r="A41" s="19" t="s">
        <v>658</v>
      </c>
      <c r="B41" s="19" t="s">
        <v>659</v>
      </c>
      <c r="C41" s="28" t="n">
        <f aca="false">D41/Overview!$B$10</f>
        <v>0.252144388849178</v>
      </c>
      <c r="D41" s="29" t="n">
        <v>8466</v>
      </c>
      <c r="E41" s="19" t="s">
        <v>9649</v>
      </c>
      <c r="F41" s="19" t="n">
        <v>1969</v>
      </c>
      <c r="G41" s="19" t="n">
        <v>2026</v>
      </c>
      <c r="H41" s="19" t="n">
        <f aca="false">IF(COUNTIF(Species!$B:$B,$A41)=0,"",IF(INDEX(Species!$A:$A,MATCH($A41,Species!$B:$B,0))="","",INDEX(Species!$A:$A,MATCH($A41,Species!$B:$B,0))))</f>
        <v>123</v>
      </c>
      <c r="I41" s="19" t="str">
        <f aca="false">IF(COUNTIF(Species!$B:$B,$A41)=0,"",INDEX(Species!$F:$F,MATCH($A41,Species!$B:$B,0)))</f>
        <v>few_shot</v>
      </c>
      <c r="J41" s="19" t="n">
        <f aca="false">COUNTIFS(Clips!$F:$F,$A41,Clips!$C:$C,"train")</f>
        <v>2</v>
      </c>
      <c r="K41" s="19" t="n">
        <f aca="false">COUNTIF(Clips!$F:$F,$A41)</f>
        <v>3</v>
      </c>
      <c r="L41" s="19" t="str">
        <f aca="false">IF(J41&gt;0,"in train",IF(K41&gt;0,"audio, none in train",IF(C41&gt;=Overview!$B$9,"priority gap","no audio")))</f>
        <v>in train</v>
      </c>
    </row>
    <row r="42" customFormat="false" ht="15" hidden="false" customHeight="false" outlineLevel="0" collapsed="false">
      <c r="A42" s="19" t="s">
        <v>218</v>
      </c>
      <c r="B42" s="19" t="s">
        <v>219</v>
      </c>
      <c r="C42" s="28" t="n">
        <f aca="false">D42/Overview!$B$10</f>
        <v>0.249523469144627</v>
      </c>
      <c r="D42" s="29" t="n">
        <v>8378</v>
      </c>
      <c r="E42" s="19" t="s">
        <v>9649</v>
      </c>
      <c r="F42" s="19" t="n">
        <v>1969</v>
      </c>
      <c r="G42" s="19" t="n">
        <v>2026</v>
      </c>
      <c r="H42" s="19" t="n">
        <f aca="false">IF(COUNTIF(Species!$B:$B,$A42)=0,"",IF(INDEX(Species!$A:$A,MATCH($A42,Species!$B:$B,0))="","",INDEX(Species!$A:$A,MATCH($A42,Species!$B:$B,0))))</f>
        <v>23</v>
      </c>
      <c r="I42" s="19" t="str">
        <f aca="false">IF(COUNTIF(Species!$B:$B,$A42)=0,"",INDEX(Species!$F:$F,MATCH($A42,Species!$B:$B,0)))</f>
        <v>core</v>
      </c>
      <c r="J42" s="19" t="n">
        <f aca="false">COUNTIFS(Clips!$F:$F,$A42,Clips!$C:$C,"train")</f>
        <v>23</v>
      </c>
      <c r="K42" s="19" t="n">
        <f aca="false">COUNTIF(Clips!$F:$F,$A42)</f>
        <v>33</v>
      </c>
      <c r="L42" s="19" t="str">
        <f aca="false">IF(J42&gt;0,"in train",IF(K42&gt;0,"audio, none in train",IF(C42&gt;=Overview!$B$9,"priority gap","no audio")))</f>
        <v>in train</v>
      </c>
    </row>
    <row r="43" customFormat="false" ht="15" hidden="false" customHeight="false" outlineLevel="0" collapsed="false">
      <c r="A43" s="19" t="s">
        <v>310</v>
      </c>
      <c r="B43" s="19" t="s">
        <v>311</v>
      </c>
      <c r="C43" s="28" t="n">
        <f aca="false">D43/Overview!$B$10</f>
        <v>0.249344770073862</v>
      </c>
      <c r="D43" s="29" t="n">
        <v>8372</v>
      </c>
      <c r="E43" s="19" t="s">
        <v>9649</v>
      </c>
      <c r="F43" s="19" t="n">
        <v>1969</v>
      </c>
      <c r="G43" s="19" t="n">
        <v>2026</v>
      </c>
      <c r="H43" s="19" t="n">
        <f aca="false">IF(COUNTIF(Species!$B:$B,$A43)=0,"",IF(INDEX(Species!$A:$A,MATCH($A43,Species!$B:$B,0))="","",INDEX(Species!$A:$A,MATCH($A43,Species!$B:$B,0))))</f>
        <v>83</v>
      </c>
      <c r="I43" s="19" t="str">
        <f aca="false">IF(COUNTIF(Species!$B:$B,$A43)=0,"",INDEX(Species!$F:$F,MATCH($A43,Species!$B:$B,0)))</f>
        <v>core</v>
      </c>
      <c r="J43" s="19" t="n">
        <f aca="false">COUNTIFS(Clips!$F:$F,$A43,Clips!$C:$C,"train")</f>
        <v>12</v>
      </c>
      <c r="K43" s="19" t="n">
        <f aca="false">COUNTIF(Clips!$F:$F,$A43)</f>
        <v>19</v>
      </c>
      <c r="L43" s="19" t="str">
        <f aca="false">IF(J43&gt;0,"in train",IF(K43&gt;0,"audio, none in train",IF(C43&gt;=Overview!$B$9,"priority gap","no audio")))</f>
        <v>in train</v>
      </c>
    </row>
    <row r="44" customFormat="false" ht="15" hidden="false" customHeight="false" outlineLevel="0" collapsed="false">
      <c r="A44" s="19" t="s">
        <v>231</v>
      </c>
      <c r="B44" s="19" t="s">
        <v>232</v>
      </c>
      <c r="C44" s="28" t="n">
        <f aca="false">D44/Overview!$B$10</f>
        <v>0.242018108172504</v>
      </c>
      <c r="D44" s="29" t="n">
        <v>8126</v>
      </c>
      <c r="E44" s="19" t="s">
        <v>9649</v>
      </c>
      <c r="F44" s="19" t="n">
        <v>1969</v>
      </c>
      <c r="G44" s="19" t="n">
        <v>2026</v>
      </c>
      <c r="H44" s="19" t="n">
        <f aca="false">IF(COUNTIF(Species!$B:$B,$A44)=0,"",IF(INDEX(Species!$A:$A,MATCH($A44,Species!$B:$B,0))="","",INDEX(Species!$A:$A,MATCH($A44,Species!$B:$B,0))))</f>
        <v>145</v>
      </c>
      <c r="I44" s="19" t="str">
        <f aca="false">IF(COUNTIF(Species!$B:$B,$A44)=0,"",INDEX(Species!$F:$F,MATCH($A44,Species!$B:$B,0)))</f>
        <v>core</v>
      </c>
      <c r="J44" s="19" t="n">
        <f aca="false">COUNTIFS(Clips!$F:$F,$A44,Clips!$C:$C,"train")</f>
        <v>22</v>
      </c>
      <c r="K44" s="19" t="n">
        <f aca="false">COUNTIF(Clips!$F:$F,$A44)</f>
        <v>32</v>
      </c>
      <c r="L44" s="19" t="str">
        <f aca="false">IF(J44&gt;0,"in train",IF(K44&gt;0,"audio, none in train",IF(C44&gt;=Overview!$B$9,"priority gap","no audio")))</f>
        <v>in train</v>
      </c>
    </row>
    <row r="45" customFormat="false" ht="15" hidden="false" customHeight="false" outlineLevel="0" collapsed="false">
      <c r="A45" s="19" t="s">
        <v>215</v>
      </c>
      <c r="B45" s="19" t="s">
        <v>216</v>
      </c>
      <c r="C45" s="28" t="n">
        <f aca="false">D45/Overview!$B$10</f>
        <v>0.236806051941863</v>
      </c>
      <c r="D45" s="29" t="n">
        <v>7951</v>
      </c>
      <c r="E45" s="19" t="s">
        <v>9649</v>
      </c>
      <c r="F45" s="19" t="n">
        <v>1969</v>
      </c>
      <c r="G45" s="19" t="n">
        <v>2026</v>
      </c>
      <c r="H45" s="19" t="n">
        <f aca="false">IF(COUNTIF(Species!$B:$B,$A45)=0,"",IF(INDEX(Species!$A:$A,MATCH($A45,Species!$B:$B,0))="","",INDEX(Species!$A:$A,MATCH($A45,Species!$B:$B,0))))</f>
        <v>170</v>
      </c>
      <c r="I45" s="19" t="str">
        <f aca="false">IF(COUNTIF(Species!$B:$B,$A45)=0,"",INDEX(Species!$F:$F,MATCH($A45,Species!$B:$B,0)))</f>
        <v>core</v>
      </c>
      <c r="J45" s="19" t="n">
        <f aca="false">COUNTIFS(Clips!$F:$F,$A45,Clips!$C:$C,"train")</f>
        <v>24</v>
      </c>
      <c r="K45" s="19" t="n">
        <f aca="false">COUNTIF(Clips!$F:$F,$A45)</f>
        <v>34</v>
      </c>
      <c r="L45" s="19" t="str">
        <f aca="false">IF(J45&gt;0,"in train",IF(K45&gt;0,"audio, none in train",IF(C45&gt;=Overview!$B$9,"priority gap","no audio")))</f>
        <v>in train</v>
      </c>
    </row>
    <row r="46" customFormat="false" ht="15" hidden="false" customHeight="false" outlineLevel="0" collapsed="false">
      <c r="A46" s="19" t="s">
        <v>428</v>
      </c>
      <c r="B46" s="19" t="s">
        <v>429</v>
      </c>
      <c r="C46" s="28" t="n">
        <f aca="false">D46/Overview!$B$10</f>
        <v>0.234721229449607</v>
      </c>
      <c r="D46" s="29" t="n">
        <v>7881</v>
      </c>
      <c r="E46" s="19" t="s">
        <v>9649</v>
      </c>
      <c r="F46" s="19" t="n">
        <v>1969</v>
      </c>
      <c r="G46" s="19" t="n">
        <v>2026</v>
      </c>
      <c r="H46" s="19" t="n">
        <f aca="false">IF(COUNTIF(Species!$B:$B,$A46)=0,"",IF(INDEX(Species!$A:$A,MATCH($A46,Species!$B:$B,0))="","",INDEX(Species!$A:$A,MATCH($A46,Species!$B:$B,0))))</f>
        <v>146</v>
      </c>
      <c r="I46" s="19" t="str">
        <f aca="false">IF(COUNTIF(Species!$B:$B,$A46)=0,"",INDEX(Species!$F:$F,MATCH($A46,Species!$B:$B,0)))</f>
        <v>few_shot</v>
      </c>
      <c r="J46" s="19" t="n">
        <f aca="false">COUNTIFS(Clips!$F:$F,$A46,Clips!$C:$C,"train")</f>
        <v>9</v>
      </c>
      <c r="K46" s="19" t="n">
        <f aca="false">COUNTIF(Clips!$F:$F,$A46)</f>
        <v>10</v>
      </c>
      <c r="L46" s="19" t="str">
        <f aca="false">IF(J46&gt;0,"in train",IF(K46&gt;0,"audio, none in train",IF(C46&gt;=Overview!$B$9,"priority gap","no audio")))</f>
        <v>in train</v>
      </c>
    </row>
    <row r="47" customFormat="false" ht="15" hidden="false" customHeight="false" outlineLevel="0" collapsed="false">
      <c r="A47" s="19" t="s">
        <v>329</v>
      </c>
      <c r="B47" s="19" t="s">
        <v>330</v>
      </c>
      <c r="C47" s="28" t="n">
        <f aca="false">D47/Overview!$B$10</f>
        <v>0.228347629258995</v>
      </c>
      <c r="D47" s="29" t="n">
        <v>7667</v>
      </c>
      <c r="E47" s="19" t="s">
        <v>9649</v>
      </c>
      <c r="F47" s="19" t="n">
        <v>1969</v>
      </c>
      <c r="G47" s="19" t="n">
        <v>2026</v>
      </c>
      <c r="H47" s="19" t="n">
        <f aca="false">IF(COUNTIF(Species!$B:$B,$A47)=0,"",IF(INDEX(Species!$A:$A,MATCH($A47,Species!$B:$B,0))="","",INDEX(Species!$A:$A,MATCH($A47,Species!$B:$B,0))))</f>
        <v>116</v>
      </c>
      <c r="I47" s="19" t="str">
        <f aca="false">IF(COUNTIF(Species!$B:$B,$A47)=0,"",INDEX(Species!$F:$F,MATCH($A47,Species!$B:$B,0)))</f>
        <v>core</v>
      </c>
      <c r="J47" s="19" t="n">
        <f aca="false">COUNTIFS(Clips!$F:$F,$A47,Clips!$C:$C,"train")</f>
        <v>12</v>
      </c>
      <c r="K47" s="19" t="n">
        <f aca="false">COUNTIF(Clips!$F:$F,$A47)</f>
        <v>18</v>
      </c>
      <c r="L47" s="19" t="str">
        <f aca="false">IF(J47&gt;0,"in train",IF(K47&gt;0,"audio, none in train",IF(C47&gt;=Overview!$B$9,"priority gap","no audio")))</f>
        <v>in train</v>
      </c>
    </row>
    <row r="48" customFormat="false" ht="15" hidden="false" customHeight="false" outlineLevel="0" collapsed="false">
      <c r="A48" s="19" t="s">
        <v>316</v>
      </c>
      <c r="B48" s="19" t="s">
        <v>317</v>
      </c>
      <c r="C48" s="28" t="n">
        <f aca="false">D48/Overview!$B$10</f>
        <v>0.224982130092924</v>
      </c>
      <c r="D48" s="29" t="n">
        <v>7554</v>
      </c>
      <c r="E48" s="19" t="s">
        <v>9649</v>
      </c>
      <c r="F48" s="19" t="n">
        <v>1969</v>
      </c>
      <c r="G48" s="19" t="n">
        <v>2026</v>
      </c>
      <c r="H48" s="19" t="n">
        <f aca="false">IF(COUNTIF(Species!$B:$B,$A48)=0,"",IF(INDEX(Species!$A:$A,MATCH($A48,Species!$B:$B,0))="","",INDEX(Species!$A:$A,MATCH($A48,Species!$B:$B,0))))</f>
        <v>86</v>
      </c>
      <c r="I48" s="19" t="str">
        <f aca="false">IF(COUNTIF(Species!$B:$B,$A48)=0,"",INDEX(Species!$F:$F,MATCH($A48,Species!$B:$B,0)))</f>
        <v>core</v>
      </c>
      <c r="J48" s="19" t="n">
        <f aca="false">COUNTIFS(Clips!$F:$F,$A48,Clips!$C:$C,"train")</f>
        <v>11</v>
      </c>
      <c r="K48" s="19" t="n">
        <f aca="false">COUNTIF(Clips!$F:$F,$A48)</f>
        <v>17</v>
      </c>
      <c r="L48" s="19" t="str">
        <f aca="false">IF(J48&gt;0,"in train",IF(K48&gt;0,"audio, none in train",IF(C48&gt;=Overview!$B$9,"priority gap","no audio")))</f>
        <v>in train</v>
      </c>
    </row>
    <row r="49" customFormat="false" ht="15" hidden="false" customHeight="false" outlineLevel="0" collapsed="false">
      <c r="A49" s="19" t="s">
        <v>626</v>
      </c>
      <c r="B49" s="19" t="s">
        <v>627</v>
      </c>
      <c r="C49" s="28" t="n">
        <f aca="false">D49/Overview!$B$10</f>
        <v>0.223195139385275</v>
      </c>
      <c r="D49" s="29" t="n">
        <v>7494</v>
      </c>
      <c r="E49" s="19" t="s">
        <v>9650</v>
      </c>
      <c r="F49" s="19" t="n">
        <v>1972</v>
      </c>
      <c r="G49" s="19" t="n">
        <v>2026</v>
      </c>
      <c r="H49" s="19" t="n">
        <f aca="false">IF(COUNTIF(Species!$B:$B,$A49)=0,"",IF(INDEX(Species!$A:$A,MATCH($A49,Species!$B:$B,0))="","",INDEX(Species!$A:$A,MATCH($A49,Species!$B:$B,0))))</f>
        <v>204</v>
      </c>
      <c r="I49" s="19" t="str">
        <f aca="false">IF(COUNTIF(Species!$B:$B,$A49)=0,"",INDEX(Species!$F:$F,MATCH($A49,Species!$B:$B,0)))</f>
        <v>few_shot</v>
      </c>
      <c r="J49" s="19" t="n">
        <f aca="false">COUNTIFS(Clips!$F:$F,$A49,Clips!$C:$C,"train")</f>
        <v>3</v>
      </c>
      <c r="K49" s="19" t="n">
        <f aca="false">COUNTIF(Clips!$F:$F,$A49)</f>
        <v>4</v>
      </c>
      <c r="L49" s="19" t="str">
        <f aca="false">IF(J49&gt;0,"in train",IF(K49&gt;0,"audio, none in train",IF(C49&gt;=Overview!$B$9,"priority gap","no audio")))</f>
        <v>in train</v>
      </c>
    </row>
    <row r="50" customFormat="false" ht="15" hidden="false" customHeight="false" outlineLevel="0" collapsed="false">
      <c r="A50" s="19" t="s">
        <v>319</v>
      </c>
      <c r="B50" s="19" t="s">
        <v>320</v>
      </c>
      <c r="C50" s="28" t="n">
        <f aca="false">D50/Overview!$B$10</f>
        <v>0.222659042172981</v>
      </c>
      <c r="D50" s="29" t="n">
        <v>7476</v>
      </c>
      <c r="E50" s="19" t="s">
        <v>9649</v>
      </c>
      <c r="F50" s="19" t="n">
        <v>1969</v>
      </c>
      <c r="G50" s="19" t="n">
        <v>2026</v>
      </c>
      <c r="H50" s="19" t="n">
        <f aca="false">IF(COUNTIF(Species!$B:$B,$A50)=0,"",IF(INDEX(Species!$A:$A,MATCH($A50,Species!$B:$B,0))="","",INDEX(Species!$A:$A,MATCH($A50,Species!$B:$B,0))))</f>
        <v>124</v>
      </c>
      <c r="I50" s="19" t="str">
        <f aca="false">IF(COUNTIF(Species!$B:$B,$A50)=0,"",INDEX(Species!$F:$F,MATCH($A50,Species!$B:$B,0)))</f>
        <v>core</v>
      </c>
      <c r="J50" s="19" t="n">
        <f aca="false">COUNTIFS(Clips!$F:$F,$A50,Clips!$C:$C,"train")</f>
        <v>11</v>
      </c>
      <c r="K50" s="19" t="n">
        <f aca="false">COUNTIF(Clips!$F:$F,$A50)</f>
        <v>20</v>
      </c>
      <c r="L50" s="19" t="str">
        <f aca="false">IF(J50&gt;0,"in train",IF(K50&gt;0,"audio, none in train",IF(C50&gt;=Overview!$B$9,"priority gap","no audio")))</f>
        <v>in train</v>
      </c>
    </row>
    <row r="51" customFormat="false" ht="15" hidden="false" customHeight="false" outlineLevel="0" collapsed="false">
      <c r="A51" s="19" t="s">
        <v>256</v>
      </c>
      <c r="B51" s="19" t="s">
        <v>257</v>
      </c>
      <c r="C51" s="28" t="n">
        <f aca="false">D51/Overview!$B$10</f>
        <v>0.222450559923755</v>
      </c>
      <c r="D51" s="29" t="n">
        <v>7469</v>
      </c>
      <c r="E51" s="19" t="s">
        <v>9649</v>
      </c>
      <c r="F51" s="19" t="n">
        <v>1969</v>
      </c>
      <c r="G51" s="19" t="n">
        <v>2026</v>
      </c>
      <c r="H51" s="19" t="n">
        <f aca="false">IF(COUNTIF(Species!$B:$B,$A51)=0,"",IF(INDEX(Species!$A:$A,MATCH($A51,Species!$B:$B,0))="","",INDEX(Species!$A:$A,MATCH($A51,Species!$B:$B,0))))</f>
        <v>148</v>
      </c>
      <c r="I51" s="19" t="str">
        <f aca="false">IF(COUNTIF(Species!$B:$B,$A51)=0,"",INDEX(Species!$F:$F,MATCH($A51,Species!$B:$B,0)))</f>
        <v>core</v>
      </c>
      <c r="J51" s="19" t="n">
        <f aca="false">COUNTIFS(Clips!$F:$F,$A51,Clips!$C:$C,"train")</f>
        <v>16</v>
      </c>
      <c r="K51" s="19" t="n">
        <f aca="false">COUNTIF(Clips!$F:$F,$A51)</f>
        <v>24</v>
      </c>
      <c r="L51" s="19" t="str">
        <f aca="false">IF(J51&gt;0,"in train",IF(K51&gt;0,"audio, none in train",IF(C51&gt;=Overview!$B$9,"priority gap","no audio")))</f>
        <v>in train</v>
      </c>
    </row>
    <row r="52" customFormat="false" ht="15" hidden="false" customHeight="false" outlineLevel="0" collapsed="false">
      <c r="A52" s="19" t="s">
        <v>592</v>
      </c>
      <c r="B52" s="19" t="s">
        <v>593</v>
      </c>
      <c r="C52" s="28" t="n">
        <f aca="false">D52/Overview!$B$10</f>
        <v>0.217983083154634</v>
      </c>
      <c r="D52" s="29" t="n">
        <v>7319</v>
      </c>
      <c r="E52" s="19" t="s">
        <v>9649</v>
      </c>
      <c r="F52" s="19" t="n">
        <v>1969</v>
      </c>
      <c r="G52" s="19" t="n">
        <v>2026</v>
      </c>
      <c r="H52" s="19" t="n">
        <f aca="false">IF(COUNTIF(Species!$B:$B,$A52)=0,"",IF(INDEX(Species!$A:$A,MATCH($A52,Species!$B:$B,0))="","",INDEX(Species!$A:$A,MATCH($A52,Species!$B:$B,0))))</f>
        <v>20</v>
      </c>
      <c r="I52" s="19" t="str">
        <f aca="false">IF(COUNTIF(Species!$B:$B,$A52)=0,"",INDEX(Species!$F:$F,MATCH($A52,Species!$B:$B,0)))</f>
        <v>few_shot</v>
      </c>
      <c r="J52" s="19" t="n">
        <f aca="false">COUNTIFS(Clips!$F:$F,$A52,Clips!$C:$C,"train")</f>
        <v>3</v>
      </c>
      <c r="K52" s="19" t="n">
        <f aca="false">COUNTIF(Clips!$F:$F,$A52)</f>
        <v>4</v>
      </c>
      <c r="L52" s="19" t="str">
        <f aca="false">IF(J52&gt;0,"in train",IF(K52&gt;0,"audio, none in train",IF(C52&gt;=Overview!$B$9,"priority gap","no audio")))</f>
        <v>in train</v>
      </c>
    </row>
    <row r="53" customFormat="false" ht="15" hidden="false" customHeight="false" outlineLevel="0" collapsed="false">
      <c r="A53" s="19" t="s">
        <v>191</v>
      </c>
      <c r="B53" s="19" t="s">
        <v>192</v>
      </c>
      <c r="C53" s="28" t="n">
        <f aca="false">D53/Overview!$B$10</f>
        <v>0.213187991422445</v>
      </c>
      <c r="D53" s="29" t="n">
        <v>7158</v>
      </c>
      <c r="E53" s="19" t="s">
        <v>9649</v>
      </c>
      <c r="F53" s="19" t="n">
        <v>1969</v>
      </c>
      <c r="G53" s="19" t="n">
        <v>2026</v>
      </c>
      <c r="H53" s="19" t="n">
        <f aca="false">IF(COUNTIF(Species!$B:$B,$A53)=0,"",IF(INDEX(Species!$A:$A,MATCH($A53,Species!$B:$B,0))="","",INDEX(Species!$A:$A,MATCH($A53,Species!$B:$B,0))))</f>
        <v>160</v>
      </c>
      <c r="I53" s="19" t="str">
        <f aca="false">IF(COUNTIF(Species!$B:$B,$A53)=0,"",INDEX(Species!$F:$F,MATCH($A53,Species!$B:$B,0)))</f>
        <v>core</v>
      </c>
      <c r="J53" s="19" t="n">
        <f aca="false">COUNTIFS(Clips!$F:$F,$A53,Clips!$C:$C,"train")</f>
        <v>30</v>
      </c>
      <c r="K53" s="19" t="n">
        <f aca="false">COUNTIF(Clips!$F:$F,$A53)</f>
        <v>43</v>
      </c>
      <c r="L53" s="19" t="str">
        <f aca="false">IF(J53&gt;0,"in train",IF(K53&gt;0,"audio, none in train",IF(C53&gt;=Overview!$B$9,"priority gap","no audio")))</f>
        <v>in train</v>
      </c>
    </row>
    <row r="54" customFormat="false" ht="15" hidden="false" customHeight="false" outlineLevel="0" collapsed="false">
      <c r="A54" s="19" t="s">
        <v>277</v>
      </c>
      <c r="B54" s="19" t="s">
        <v>278</v>
      </c>
      <c r="C54" s="28" t="n">
        <f aca="false">D54/Overview!$B$10</f>
        <v>0.212860376459376</v>
      </c>
      <c r="D54" s="29" t="n">
        <v>7147</v>
      </c>
      <c r="E54" s="19" t="s">
        <v>9649</v>
      </c>
      <c r="F54" s="19" t="n">
        <v>1969</v>
      </c>
      <c r="G54" s="19" t="n">
        <v>2026</v>
      </c>
      <c r="H54" s="19" t="n">
        <f aca="false">IF(COUNTIF(Species!$B:$B,$A54)=0,"",IF(INDEX(Species!$A:$A,MATCH($A54,Species!$B:$B,0))="","",INDEX(Species!$A:$A,MATCH($A54,Species!$B:$B,0))))</f>
        <v>51</v>
      </c>
      <c r="I54" s="19" t="str">
        <f aca="false">IF(COUNTIF(Species!$B:$B,$A54)=0,"",INDEX(Species!$F:$F,MATCH($A54,Species!$B:$B,0)))</f>
        <v>core</v>
      </c>
      <c r="J54" s="19" t="n">
        <f aca="false">COUNTIFS(Clips!$F:$F,$A54,Clips!$C:$C,"train")</f>
        <v>15</v>
      </c>
      <c r="K54" s="19" t="n">
        <f aca="false">COUNTIF(Clips!$F:$F,$A54)</f>
        <v>21</v>
      </c>
      <c r="L54" s="19" t="str">
        <f aca="false">IF(J54&gt;0,"in train",IF(K54&gt;0,"audio, none in train",IF(C54&gt;=Overview!$B$9,"priority gap","no audio")))</f>
        <v>in train</v>
      </c>
    </row>
    <row r="55" customFormat="false" ht="15" hidden="false" customHeight="false" outlineLevel="0" collapsed="false">
      <c r="A55" s="19" t="s">
        <v>388</v>
      </c>
      <c r="B55" s="19" t="s">
        <v>389</v>
      </c>
      <c r="C55" s="28" t="n">
        <f aca="false">D55/Overview!$B$10</f>
        <v>0.209494877293305</v>
      </c>
      <c r="D55" s="29" t="n">
        <v>7034</v>
      </c>
      <c r="E55" s="19" t="s">
        <v>9649</v>
      </c>
      <c r="F55" s="19" t="n">
        <v>1969</v>
      </c>
      <c r="G55" s="19" t="n">
        <v>2026</v>
      </c>
      <c r="H55" s="19" t="n">
        <f aca="false">IF(COUNTIF(Species!$B:$B,$A55)=0,"",IF(INDEX(Species!$A:$A,MATCH($A55,Species!$B:$B,0))="","",INDEX(Species!$A:$A,MATCH($A55,Species!$B:$B,0))))</f>
        <v>220</v>
      </c>
      <c r="I55" s="19" t="str">
        <f aca="false">IF(COUNTIF(Species!$B:$B,$A55)=0,"",INDEX(Species!$F:$F,MATCH($A55,Species!$B:$B,0)))</f>
        <v>core</v>
      </c>
      <c r="J55" s="19" t="n">
        <f aca="false">COUNTIFS(Clips!$F:$F,$A55,Clips!$C:$C,"train")</f>
        <v>8</v>
      </c>
      <c r="K55" s="19" t="n">
        <f aca="false">COUNTIF(Clips!$F:$F,$A55)</f>
        <v>12</v>
      </c>
      <c r="L55" s="19" t="str">
        <f aca="false">IF(J55&gt;0,"in train",IF(K55&gt;0,"audio, none in train",IF(C55&gt;=Overview!$B$9,"priority gap","no audio")))</f>
        <v>in train</v>
      </c>
    </row>
    <row r="56" customFormat="false" ht="15" hidden="false" customHeight="false" outlineLevel="0" collapsed="false">
      <c r="A56" s="19" t="s">
        <v>460</v>
      </c>
      <c r="B56" s="19" t="s">
        <v>461</v>
      </c>
      <c r="C56" s="28" t="n">
        <f aca="false">D56/Overview!$B$10</f>
        <v>0.208690731474863</v>
      </c>
      <c r="D56" s="29" t="n">
        <v>7007</v>
      </c>
      <c r="E56" s="19" t="s">
        <v>9649</v>
      </c>
      <c r="F56" s="19" t="n">
        <v>1969</v>
      </c>
      <c r="G56" s="19" t="n">
        <v>2026</v>
      </c>
      <c r="H56" s="19" t="n">
        <f aca="false">IF(COUNTIF(Species!$B:$B,$A56)=0,"",IF(INDEX(Species!$A:$A,MATCH($A56,Species!$B:$B,0))="","",INDEX(Species!$A:$A,MATCH($A56,Species!$B:$B,0))))</f>
        <v>198</v>
      </c>
      <c r="I56" s="19" t="str">
        <f aca="false">IF(COUNTIF(Species!$B:$B,$A56)=0,"",INDEX(Species!$F:$F,MATCH($A56,Species!$B:$B,0)))</f>
        <v>few_shot</v>
      </c>
      <c r="J56" s="19" t="n">
        <f aca="false">COUNTIFS(Clips!$F:$F,$A56,Clips!$C:$C,"train")</f>
        <v>8</v>
      </c>
      <c r="K56" s="19" t="n">
        <f aca="false">COUNTIF(Clips!$F:$F,$A56)</f>
        <v>10</v>
      </c>
      <c r="L56" s="19" t="str">
        <f aca="false">IF(J56&gt;0,"in train",IF(K56&gt;0,"audio, none in train",IF(C56&gt;=Overview!$B$9,"priority gap","no audio")))</f>
        <v>in train</v>
      </c>
    </row>
    <row r="57" customFormat="false" ht="15" hidden="false" customHeight="false" outlineLevel="0" collapsed="false">
      <c r="A57" s="19" t="s">
        <v>175</v>
      </c>
      <c r="B57" s="19" t="s">
        <v>176</v>
      </c>
      <c r="C57" s="28" t="n">
        <f aca="false">D57/Overview!$B$10</f>
        <v>0.206069811770312</v>
      </c>
      <c r="D57" s="29" t="n">
        <v>6919</v>
      </c>
      <c r="E57" s="19" t="s">
        <v>9649</v>
      </c>
      <c r="F57" s="19" t="n">
        <v>1969</v>
      </c>
      <c r="G57" s="19" t="n">
        <v>2026</v>
      </c>
      <c r="H57" s="19" t="n">
        <f aca="false">IF(COUNTIF(Species!$B:$B,$A57)=0,"",IF(INDEX(Species!$A:$A,MATCH($A57,Species!$B:$B,0))="","",INDEX(Species!$A:$A,MATCH($A57,Species!$B:$B,0))))</f>
        <v>21</v>
      </c>
      <c r="I57" s="19" t="str">
        <f aca="false">IF(COUNTIF(Species!$B:$B,$A57)=0,"",INDEX(Species!$F:$F,MATCH($A57,Species!$B:$B,0)))</f>
        <v>core</v>
      </c>
      <c r="J57" s="19" t="n">
        <f aca="false">COUNTIFS(Clips!$F:$F,$A57,Clips!$C:$C,"train")</f>
        <v>35</v>
      </c>
      <c r="K57" s="19" t="n">
        <f aca="false">COUNTIF(Clips!$F:$F,$A57)</f>
        <v>49</v>
      </c>
      <c r="L57" s="19" t="str">
        <f aca="false">IF(J57&gt;0,"in train",IF(K57&gt;0,"audio, none in train",IF(C57&gt;=Overview!$B$9,"priority gap","no audio")))</f>
        <v>in train</v>
      </c>
    </row>
    <row r="58" customFormat="false" ht="15" hidden="false" customHeight="false" outlineLevel="0" collapsed="false">
      <c r="A58" s="19" t="s">
        <v>188</v>
      </c>
      <c r="B58" s="19" t="s">
        <v>189</v>
      </c>
      <c r="C58" s="28" t="n">
        <f aca="false">D58/Overview!$B$10</f>
        <v>0.204431736954968</v>
      </c>
      <c r="D58" s="29" t="n">
        <v>6864</v>
      </c>
      <c r="E58" s="19" t="s">
        <v>9649</v>
      </c>
      <c r="F58" s="19" t="n">
        <v>1969</v>
      </c>
      <c r="G58" s="19" t="n">
        <v>2026</v>
      </c>
      <c r="H58" s="19" t="n">
        <f aca="false">IF(COUNTIF(Species!$B:$B,$A58)=0,"",IF(INDEX(Species!$A:$A,MATCH($A58,Species!$B:$B,0))="","",INDEX(Species!$A:$A,MATCH($A58,Species!$B:$B,0))))</f>
        <v>199</v>
      </c>
      <c r="I58" s="19" t="str">
        <f aca="false">IF(COUNTIF(Species!$B:$B,$A58)=0,"",INDEX(Species!$F:$F,MATCH($A58,Species!$B:$B,0)))</f>
        <v>core</v>
      </c>
      <c r="J58" s="19" t="n">
        <f aca="false">COUNTIFS(Clips!$F:$F,$A58,Clips!$C:$C,"train")</f>
        <v>33</v>
      </c>
      <c r="K58" s="19" t="n">
        <f aca="false">COUNTIF(Clips!$F:$F,$A58)</f>
        <v>48</v>
      </c>
      <c r="L58" s="19" t="str">
        <f aca="false">IF(J58&gt;0,"in train",IF(K58&gt;0,"audio, none in train",IF(C58&gt;=Overview!$B$9,"priority gap","no audio")))</f>
        <v>in train</v>
      </c>
    </row>
    <row r="59" customFormat="false" ht="15" hidden="false" customHeight="false" outlineLevel="0" collapsed="false">
      <c r="A59" s="19" t="s">
        <v>209</v>
      </c>
      <c r="B59" s="19" t="s">
        <v>210</v>
      </c>
      <c r="C59" s="28" t="n">
        <f aca="false">D59/Overview!$B$10</f>
        <v>0.202376697641172</v>
      </c>
      <c r="D59" s="29" t="n">
        <v>6795</v>
      </c>
      <c r="E59" s="19" t="s">
        <v>9649</v>
      </c>
      <c r="F59" s="19" t="n">
        <v>1969</v>
      </c>
      <c r="G59" s="19" t="n">
        <v>2026</v>
      </c>
      <c r="H59" s="19" t="n">
        <f aca="false">IF(COUNTIF(Species!$B:$B,$A59)=0,"",IF(INDEX(Species!$A:$A,MATCH($A59,Species!$B:$B,0))="","",INDEX(Species!$A:$A,MATCH($A59,Species!$B:$B,0))))</f>
        <v>176</v>
      </c>
      <c r="I59" s="19" t="str">
        <f aca="false">IF(COUNTIF(Species!$B:$B,$A59)=0,"",INDEX(Species!$F:$F,MATCH($A59,Species!$B:$B,0)))</f>
        <v>core</v>
      </c>
      <c r="J59" s="19" t="n">
        <f aca="false">COUNTIFS(Clips!$F:$F,$A59,Clips!$C:$C,"train")</f>
        <v>25</v>
      </c>
      <c r="K59" s="19" t="n">
        <f aca="false">COUNTIF(Clips!$F:$F,$A59)</f>
        <v>36</v>
      </c>
      <c r="L59" s="19" t="str">
        <f aca="false">IF(J59&gt;0,"in train",IF(K59&gt;0,"audio, none in train",IF(C59&gt;=Overview!$B$9,"priority gap","no audio")))</f>
        <v>in train</v>
      </c>
    </row>
    <row r="60" customFormat="false" ht="15" hidden="false" customHeight="false" outlineLevel="0" collapsed="false">
      <c r="A60" s="19" t="s">
        <v>252</v>
      </c>
      <c r="B60" s="19" t="s">
        <v>253</v>
      </c>
      <c r="C60" s="28" t="n">
        <f aca="false">D60/Overview!$B$10</f>
        <v>0.202317131284251</v>
      </c>
      <c r="D60" s="29" t="n">
        <v>6793</v>
      </c>
      <c r="E60" s="19" t="s">
        <v>9649</v>
      </c>
      <c r="F60" s="19" t="n">
        <v>1969</v>
      </c>
      <c r="G60" s="19" t="n">
        <v>2026</v>
      </c>
      <c r="H60" s="19" t="n">
        <f aca="false">IF(COUNTIF(Species!$B:$B,$A60)=0,"",IF(INDEX(Species!$A:$A,MATCH($A60,Species!$B:$B,0))="","",INDEX(Species!$A:$A,MATCH($A60,Species!$B:$B,0))))</f>
        <v>106</v>
      </c>
      <c r="I60" s="19" t="str">
        <f aca="false">IF(COUNTIF(Species!$B:$B,$A60)=0,"",INDEX(Species!$F:$F,MATCH($A60,Species!$B:$B,0)))</f>
        <v>core</v>
      </c>
      <c r="J60" s="19" t="n">
        <f aca="false">COUNTIFS(Clips!$F:$F,$A60,Clips!$C:$C,"train")</f>
        <v>16</v>
      </c>
      <c r="K60" s="19" t="n">
        <f aca="false">COUNTIF(Clips!$F:$F,$A60)</f>
        <v>28</v>
      </c>
      <c r="L60" s="19" t="str">
        <f aca="false">IF(J60&gt;0,"in train",IF(K60&gt;0,"audio, none in train",IF(C60&gt;=Overview!$B$9,"priority gap","no audio")))</f>
        <v>in train</v>
      </c>
    </row>
    <row r="61" customFormat="false" ht="15" hidden="false" customHeight="false" outlineLevel="0" collapsed="false">
      <c r="A61" s="19" t="s">
        <v>262</v>
      </c>
      <c r="B61" s="19" t="s">
        <v>263</v>
      </c>
      <c r="C61" s="28" t="n">
        <f aca="false">D61/Overview!$B$10</f>
        <v>0.198862282582797</v>
      </c>
      <c r="D61" s="29" t="n">
        <v>6677</v>
      </c>
      <c r="E61" s="19" t="s">
        <v>9649</v>
      </c>
      <c r="F61" s="19" t="n">
        <v>1969</v>
      </c>
      <c r="G61" s="19" t="n">
        <v>2026</v>
      </c>
      <c r="H61" s="19" t="n">
        <f aca="false">IF(COUNTIF(Species!$B:$B,$A61)=0,"",IF(INDEX(Species!$A:$A,MATCH($A61,Species!$B:$B,0))="","",INDEX(Species!$A:$A,MATCH($A61,Species!$B:$B,0))))</f>
        <v>216</v>
      </c>
      <c r="I61" s="19" t="str">
        <f aca="false">IF(COUNTIF(Species!$B:$B,$A61)=0,"",INDEX(Species!$F:$F,MATCH($A61,Species!$B:$B,0)))</f>
        <v>core</v>
      </c>
      <c r="J61" s="19" t="n">
        <f aca="false">COUNTIFS(Clips!$F:$F,$A61,Clips!$C:$C,"train")</f>
        <v>16</v>
      </c>
      <c r="K61" s="19" t="n">
        <f aca="false">COUNTIF(Clips!$F:$F,$A61)</f>
        <v>24</v>
      </c>
      <c r="L61" s="19" t="str">
        <f aca="false">IF(J61&gt;0,"in train",IF(K61&gt;0,"audio, none in train",IF(C61&gt;=Overview!$B$9,"priority gap","no audio")))</f>
        <v>in train</v>
      </c>
    </row>
    <row r="62" customFormat="false" ht="15" hidden="false" customHeight="false" outlineLevel="0" collapsed="false">
      <c r="A62" s="19" t="s">
        <v>379</v>
      </c>
      <c r="B62" s="19" t="s">
        <v>380</v>
      </c>
      <c r="C62" s="28" t="n">
        <f aca="false">D62/Overview!$B$10</f>
        <v>0.198564450798189</v>
      </c>
      <c r="D62" s="29" t="n">
        <v>6667</v>
      </c>
      <c r="E62" s="19" t="s">
        <v>9649</v>
      </c>
      <c r="F62" s="19" t="n">
        <v>1969</v>
      </c>
      <c r="G62" s="19" t="n">
        <v>2026</v>
      </c>
      <c r="H62" s="19" t="n">
        <f aca="false">IF(COUNTIF(Species!$B:$B,$A62)=0,"",IF(INDEX(Species!$A:$A,MATCH($A62,Species!$B:$B,0))="","",INDEX(Species!$A:$A,MATCH($A62,Species!$B:$B,0))))</f>
        <v>119</v>
      </c>
      <c r="I62" s="19" t="str">
        <f aca="false">IF(COUNTIF(Species!$B:$B,$A62)=0,"",INDEX(Species!$F:$F,MATCH($A62,Species!$B:$B,0)))</f>
        <v>core</v>
      </c>
      <c r="J62" s="19" t="n">
        <f aca="false">COUNTIFS(Clips!$F:$F,$A62,Clips!$C:$C,"train")</f>
        <v>8</v>
      </c>
      <c r="K62" s="19" t="n">
        <f aca="false">COUNTIF(Clips!$F:$F,$A62)</f>
        <v>12</v>
      </c>
      <c r="L62" s="19" t="str">
        <f aca="false">IF(J62&gt;0,"in train",IF(K62&gt;0,"audio, none in train",IF(C62&gt;=Overview!$B$9,"priority gap","no audio")))</f>
        <v>in train</v>
      </c>
    </row>
    <row r="63" customFormat="false" ht="15" hidden="false" customHeight="false" outlineLevel="0" collapsed="false">
      <c r="A63" s="19" t="s">
        <v>203</v>
      </c>
      <c r="B63" s="19" t="s">
        <v>204</v>
      </c>
      <c r="C63" s="28" t="n">
        <f aca="false">D63/Overview!$B$10</f>
        <v>0.192905646890636</v>
      </c>
      <c r="D63" s="29" t="n">
        <v>6477</v>
      </c>
      <c r="E63" s="19" t="s">
        <v>9649</v>
      </c>
      <c r="F63" s="19" t="n">
        <v>1969</v>
      </c>
      <c r="G63" s="19" t="n">
        <v>2026</v>
      </c>
      <c r="H63" s="19" t="n">
        <f aca="false">IF(COUNTIF(Species!$B:$B,$A63)=0,"",IF(INDEX(Species!$A:$A,MATCH($A63,Species!$B:$B,0))="","",INDEX(Species!$A:$A,MATCH($A63,Species!$B:$B,0))))</f>
        <v>44</v>
      </c>
      <c r="I63" s="19" t="str">
        <f aca="false">IF(COUNTIF(Species!$B:$B,$A63)=0,"",INDEX(Species!$F:$F,MATCH($A63,Species!$B:$B,0)))</f>
        <v>core</v>
      </c>
      <c r="J63" s="19" t="n">
        <f aca="false">COUNTIFS(Clips!$F:$F,$A63,Clips!$C:$C,"train")</f>
        <v>25</v>
      </c>
      <c r="K63" s="19" t="n">
        <f aca="false">COUNTIF(Clips!$F:$F,$A63)</f>
        <v>35</v>
      </c>
      <c r="L63" s="19" t="str">
        <f aca="false">IF(J63&gt;0,"in train",IF(K63&gt;0,"audio, none in train",IF(C63&gt;=Overview!$B$9,"priority gap","no audio")))</f>
        <v>in train</v>
      </c>
    </row>
    <row r="64" customFormat="false" ht="15" hidden="false" customHeight="false" outlineLevel="0" collapsed="false">
      <c r="A64" s="19" t="s">
        <v>535</v>
      </c>
      <c r="B64" s="19" t="s">
        <v>536</v>
      </c>
      <c r="C64" s="28" t="n">
        <f aca="false">D64/Overview!$B$10</f>
        <v>0.191148439361449</v>
      </c>
      <c r="D64" s="29" t="n">
        <v>6418</v>
      </c>
      <c r="E64" s="19" t="s">
        <v>9649</v>
      </c>
      <c r="F64" s="19" t="n">
        <v>1969</v>
      </c>
      <c r="G64" s="19" t="n">
        <v>2026</v>
      </c>
      <c r="H64" s="19" t="n">
        <f aca="false">IF(COUNTIF(Species!$B:$B,$A64)=0,"",IF(INDEX(Species!$A:$A,MATCH($A64,Species!$B:$B,0))="","",INDEX(Species!$A:$A,MATCH($A64,Species!$B:$B,0))))</f>
        <v>100</v>
      </c>
      <c r="I64" s="19" t="str">
        <f aca="false">IF(COUNTIF(Species!$B:$B,$A64)=0,"",INDEX(Species!$F:$F,MATCH($A64,Species!$B:$B,0)))</f>
        <v>few_shot</v>
      </c>
      <c r="J64" s="19" t="n">
        <f aca="false">COUNTIFS(Clips!$F:$F,$A64,Clips!$C:$C,"train")</f>
        <v>5</v>
      </c>
      <c r="K64" s="19" t="n">
        <f aca="false">COUNTIF(Clips!$F:$F,$A64)</f>
        <v>6</v>
      </c>
      <c r="L64" s="19" t="str">
        <f aca="false">IF(J64&gt;0,"in train",IF(K64&gt;0,"audio, none in train",IF(C64&gt;=Overview!$B$9,"priority gap","no audio")))</f>
        <v>in train</v>
      </c>
    </row>
    <row r="65" customFormat="false" ht="15" hidden="false" customHeight="false" outlineLevel="0" collapsed="false">
      <c r="A65" s="19" t="s">
        <v>172</v>
      </c>
      <c r="B65" s="19" t="s">
        <v>173</v>
      </c>
      <c r="C65" s="28" t="n">
        <f aca="false">D65/Overview!$B$10</f>
        <v>0.186829878484632</v>
      </c>
      <c r="D65" s="29" t="n">
        <v>6273</v>
      </c>
      <c r="E65" s="19" t="s">
        <v>9649</v>
      </c>
      <c r="F65" s="19" t="n">
        <v>1969</v>
      </c>
      <c r="G65" s="19" t="n">
        <v>2026</v>
      </c>
      <c r="H65" s="19" t="n">
        <f aca="false">IF(COUNTIF(Species!$B:$B,$A65)=0,"",IF(INDEX(Species!$A:$A,MATCH($A65,Species!$B:$B,0))="","",INDEX(Species!$A:$A,MATCH($A65,Species!$B:$B,0))))</f>
        <v>10</v>
      </c>
      <c r="I65" s="19" t="str">
        <f aca="false">IF(COUNTIF(Species!$B:$B,$A65)=0,"",INDEX(Species!$F:$F,MATCH($A65,Species!$B:$B,0)))</f>
        <v>core</v>
      </c>
      <c r="J65" s="19" t="n">
        <f aca="false">COUNTIFS(Clips!$F:$F,$A65,Clips!$C:$C,"train")</f>
        <v>35</v>
      </c>
      <c r="K65" s="19" t="n">
        <f aca="false">COUNTIF(Clips!$F:$F,$A65)</f>
        <v>49</v>
      </c>
      <c r="L65" s="19" t="str">
        <f aca="false">IF(J65&gt;0,"in train",IF(K65&gt;0,"audio, none in train",IF(C65&gt;=Overview!$B$9,"priority gap","no audio")))</f>
        <v>in train</v>
      </c>
    </row>
    <row r="66" customFormat="false" ht="15" hidden="false" customHeight="false" outlineLevel="0" collapsed="false">
      <c r="A66" s="19" t="s">
        <v>856</v>
      </c>
      <c r="B66" s="19" t="s">
        <v>857</v>
      </c>
      <c r="C66" s="28" t="n">
        <f aca="false">D66/Overview!$B$10</f>
        <v>0.186174648558494</v>
      </c>
      <c r="D66" s="29" t="n">
        <v>6251</v>
      </c>
      <c r="E66" s="19" t="s">
        <v>9649</v>
      </c>
      <c r="F66" s="19" t="n">
        <v>1969</v>
      </c>
      <c r="G66" s="19" t="n">
        <v>2026</v>
      </c>
      <c r="H66" s="19" t="n">
        <f aca="false">IF(COUNTIF(Species!$B:$B,$A66)=0,"",IF(INDEX(Species!$A:$A,MATCH($A66,Species!$B:$B,0))="","",INDEX(Species!$A:$A,MATCH($A66,Species!$B:$B,0))))</f>
        <v>179</v>
      </c>
      <c r="I66" s="19" t="str">
        <f aca="false">IF(COUNTIF(Species!$B:$B,$A66)=0,"",INDEX(Species!$F:$F,MATCH($A66,Species!$B:$B,0)))</f>
        <v>singleton</v>
      </c>
      <c r="J66" s="19" t="n">
        <f aca="false">COUNTIFS(Clips!$F:$F,$A66,Clips!$C:$C,"train")</f>
        <v>0</v>
      </c>
      <c r="K66" s="19" t="n">
        <f aca="false">COUNTIF(Clips!$F:$F,$A66)</f>
        <v>1</v>
      </c>
      <c r="L66" s="19" t="str">
        <f aca="false">IF(J66&gt;0,"in train",IF(K66&gt;0,"audio, none in train",IF(C66&gt;=Overview!$B$9,"priority gap","no audio")))</f>
        <v>audio, none in train</v>
      </c>
    </row>
    <row r="67" customFormat="false" ht="15" hidden="false" customHeight="false" outlineLevel="0" collapsed="false">
      <c r="A67" s="19" t="s">
        <v>9653</v>
      </c>
      <c r="B67" s="19" t="s">
        <v>9654</v>
      </c>
      <c r="C67" s="28" t="n">
        <f aca="false">D67/Overview!$B$10</f>
        <v>0.185310936383131</v>
      </c>
      <c r="D67" s="29" t="n">
        <v>6222</v>
      </c>
      <c r="E67" s="19" t="s">
        <v>9655</v>
      </c>
      <c r="F67" s="19" t="n">
        <v>1977</v>
      </c>
      <c r="G67" s="19" t="n">
        <v>2026</v>
      </c>
      <c r="H67" s="19" t="str">
        <f aca="false">IF(COUNTIF(Species!$B:$B,$A67)=0,"",IF(INDEX(Species!$A:$A,MATCH($A67,Species!$B:$B,0))="","",INDEX(Species!$A:$A,MATCH($A67,Species!$B:$B,0))))</f>
        <v/>
      </c>
      <c r="I67" s="19" t="str">
        <f aca="false">IF(COUNTIF(Species!$B:$B,$A67)=0,"",INDEX(Species!$F:$F,MATCH($A67,Species!$B:$B,0)))</f>
        <v/>
      </c>
      <c r="J67" s="19" t="n">
        <f aca="false">COUNTIFS(Clips!$F:$F,$A67,Clips!$C:$C,"train")</f>
        <v>0</v>
      </c>
      <c r="K67" s="19" t="n">
        <f aca="false">COUNTIF(Clips!$F:$F,$A67)</f>
        <v>0</v>
      </c>
      <c r="L67" s="19" t="str">
        <f aca="false">IF(J67&gt;0,"in train",IF(K67&gt;0,"audio, none in train",IF(C67&gt;=Overview!$B$9,"priority gap","no audio")))</f>
        <v>priority gap</v>
      </c>
    </row>
    <row r="68" customFormat="false" ht="15" hidden="false" customHeight="false" outlineLevel="0" collapsed="false">
      <c r="A68" s="19" t="s">
        <v>353</v>
      </c>
      <c r="B68" s="19" t="s">
        <v>354</v>
      </c>
      <c r="C68" s="28" t="n">
        <f aca="false">D68/Overview!$B$10</f>
        <v>0.182570883964737</v>
      </c>
      <c r="D68" s="29" t="n">
        <v>6130</v>
      </c>
      <c r="E68" s="19" t="s">
        <v>9649</v>
      </c>
      <c r="F68" s="19" t="n">
        <v>1969</v>
      </c>
      <c r="G68" s="19" t="n">
        <v>2026</v>
      </c>
      <c r="H68" s="19" t="n">
        <f aca="false">IF(COUNTIF(Species!$B:$B,$A68)=0,"",IF(INDEX(Species!$A:$A,MATCH($A68,Species!$B:$B,0))="","",INDEX(Species!$A:$A,MATCH($A68,Species!$B:$B,0))))</f>
        <v>52</v>
      </c>
      <c r="I68" s="19" t="str">
        <f aca="false">IF(COUNTIF(Species!$B:$B,$A68)=0,"",INDEX(Species!$F:$F,MATCH($A68,Species!$B:$B,0)))</f>
        <v>core</v>
      </c>
      <c r="J68" s="19" t="n">
        <f aca="false">COUNTIFS(Clips!$F:$F,$A68,Clips!$C:$C,"train")</f>
        <v>9</v>
      </c>
      <c r="K68" s="19" t="n">
        <f aca="false">COUNTIF(Clips!$F:$F,$A68)</f>
        <v>14</v>
      </c>
      <c r="L68" s="19" t="str">
        <f aca="false">IF(J68&gt;0,"in train",IF(K68&gt;0,"audio, none in train",IF(C68&gt;=Overview!$B$9,"priority gap","no audio")))</f>
        <v>in train</v>
      </c>
    </row>
    <row r="69" customFormat="false" ht="15" hidden="false" customHeight="false" outlineLevel="0" collapsed="false">
      <c r="A69" s="19" t="s">
        <v>743</v>
      </c>
      <c r="B69" s="19" t="s">
        <v>744</v>
      </c>
      <c r="C69" s="28" t="n">
        <f aca="false">D69/Overview!$B$10</f>
        <v>0.181975220395521</v>
      </c>
      <c r="D69" s="29" t="n">
        <v>6110</v>
      </c>
      <c r="E69" s="19" t="s">
        <v>9649</v>
      </c>
      <c r="F69" s="19" t="n">
        <v>1969</v>
      </c>
      <c r="G69" s="19" t="n">
        <v>2026</v>
      </c>
      <c r="H69" s="19" t="n">
        <f aca="false">IF(COUNTIF(Species!$B:$B,$A69)=0,"",IF(INDEX(Species!$A:$A,MATCH($A69,Species!$B:$B,0))="","",INDEX(Species!$A:$A,MATCH($A69,Species!$B:$B,0))))</f>
        <v>232</v>
      </c>
      <c r="I69" s="19" t="str">
        <f aca="false">IF(COUNTIF(Species!$B:$B,$A69)=0,"",INDEX(Species!$F:$F,MATCH($A69,Species!$B:$B,0)))</f>
        <v>few_shot</v>
      </c>
      <c r="J69" s="19" t="n">
        <f aca="false">COUNTIFS(Clips!$F:$F,$A69,Clips!$C:$C,"train")</f>
        <v>1</v>
      </c>
      <c r="K69" s="19" t="n">
        <f aca="false">COUNTIF(Clips!$F:$F,$A69)</f>
        <v>2</v>
      </c>
      <c r="L69" s="19" t="str">
        <f aca="false">IF(J69&gt;0,"in train",IF(K69&gt;0,"audio, none in train",IF(C69&gt;=Overview!$B$9,"priority gap","no audio")))</f>
        <v>in train</v>
      </c>
    </row>
    <row r="70" customFormat="false" ht="15" hidden="false" customHeight="false" outlineLevel="0" collapsed="false">
      <c r="A70" s="19" t="s">
        <v>265</v>
      </c>
      <c r="B70" s="19" t="s">
        <v>266</v>
      </c>
      <c r="C70" s="28" t="n">
        <f aca="false">D70/Overview!$B$10</f>
        <v>0.170538479866571</v>
      </c>
      <c r="D70" s="29" t="n">
        <v>5726</v>
      </c>
      <c r="E70" s="19" t="s">
        <v>9649</v>
      </c>
      <c r="F70" s="19" t="n">
        <v>1969</v>
      </c>
      <c r="G70" s="19" t="n">
        <v>2026</v>
      </c>
      <c r="H70" s="19" t="n">
        <f aca="false">IF(COUNTIF(Species!$B:$B,$A70)=0,"",IF(INDEX(Species!$A:$A,MATCH($A70,Species!$B:$B,0))="","",INDEX(Species!$A:$A,MATCH($A70,Species!$B:$B,0))))</f>
        <v>81</v>
      </c>
      <c r="I70" s="19" t="str">
        <f aca="false">IF(COUNTIF(Species!$B:$B,$A70)=0,"",INDEX(Species!$F:$F,MATCH($A70,Species!$B:$B,0)))</f>
        <v>core</v>
      </c>
      <c r="J70" s="19" t="n">
        <f aca="false">COUNTIFS(Clips!$F:$F,$A70,Clips!$C:$C,"train")</f>
        <v>17</v>
      </c>
      <c r="K70" s="19" t="n">
        <f aca="false">COUNTIF(Clips!$F:$F,$A70)</f>
        <v>28</v>
      </c>
      <c r="L70" s="19" t="str">
        <f aca="false">IF(J70&gt;0,"in train",IF(K70&gt;0,"audio, none in train",IF(C70&gt;=Overview!$B$9,"priority gap","no audio")))</f>
        <v>in train</v>
      </c>
    </row>
    <row r="71" customFormat="false" ht="15" hidden="false" customHeight="false" outlineLevel="0" collapsed="false">
      <c r="A71" s="19" t="s">
        <v>620</v>
      </c>
      <c r="B71" s="19" t="s">
        <v>621</v>
      </c>
      <c r="C71" s="28" t="n">
        <f aca="false">D71/Overview!$B$10</f>
        <v>0.169406719085061</v>
      </c>
      <c r="D71" s="29" t="n">
        <v>5688</v>
      </c>
      <c r="E71" s="19" t="s">
        <v>9649</v>
      </c>
      <c r="F71" s="19" t="n">
        <v>1969</v>
      </c>
      <c r="G71" s="19" t="n">
        <v>2026</v>
      </c>
      <c r="H71" s="19" t="n">
        <f aca="false">IF(COUNTIF(Species!$B:$B,$A71)=0,"",IF(INDEX(Species!$A:$A,MATCH($A71,Species!$B:$B,0))="","",INDEX(Species!$A:$A,MATCH($A71,Species!$B:$B,0))))</f>
        <v>171</v>
      </c>
      <c r="I71" s="19" t="str">
        <f aca="false">IF(COUNTIF(Species!$B:$B,$A71)=0,"",INDEX(Species!$F:$F,MATCH($A71,Species!$B:$B,0)))</f>
        <v>few_shot</v>
      </c>
      <c r="J71" s="19" t="n">
        <f aca="false">COUNTIFS(Clips!$F:$F,$A71,Clips!$C:$C,"train")</f>
        <v>3</v>
      </c>
      <c r="K71" s="19" t="n">
        <f aca="false">COUNTIF(Clips!$F:$F,$A71)</f>
        <v>4</v>
      </c>
      <c r="L71" s="19" t="str">
        <f aca="false">IF(J71&gt;0,"in train",IF(K71&gt;0,"audio, none in train",IF(C71&gt;=Overview!$B$9,"priority gap","no audio")))</f>
        <v>in train</v>
      </c>
    </row>
    <row r="72" customFormat="false" ht="15" hidden="false" customHeight="false" outlineLevel="0" collapsed="false">
      <c r="A72" s="19" t="s">
        <v>496</v>
      </c>
      <c r="B72" s="19" t="s">
        <v>497</v>
      </c>
      <c r="C72" s="28" t="n">
        <f aca="false">D72/Overview!$B$10</f>
        <v>0.166934715272814</v>
      </c>
      <c r="D72" s="29" t="n">
        <v>5605</v>
      </c>
      <c r="E72" s="19" t="s">
        <v>9649</v>
      </c>
      <c r="F72" s="19" t="n">
        <v>1969</v>
      </c>
      <c r="G72" s="19" t="n">
        <v>2026</v>
      </c>
      <c r="H72" s="19" t="n">
        <f aca="false">IF(COUNTIF(Species!$B:$B,$A72)=0,"",IF(INDEX(Species!$A:$A,MATCH($A72,Species!$B:$B,0))="","",INDEX(Species!$A:$A,MATCH($A72,Species!$B:$B,0))))</f>
        <v>34</v>
      </c>
      <c r="I72" s="19" t="str">
        <f aca="false">IF(COUNTIF(Species!$B:$B,$A72)=0,"",INDEX(Species!$F:$F,MATCH($A72,Species!$B:$B,0)))</f>
        <v>few_shot</v>
      </c>
      <c r="J72" s="19" t="n">
        <f aca="false">COUNTIFS(Clips!$F:$F,$A72,Clips!$C:$C,"train")</f>
        <v>6</v>
      </c>
      <c r="K72" s="19" t="n">
        <f aca="false">COUNTIF(Clips!$F:$F,$A72)</f>
        <v>7</v>
      </c>
      <c r="L72" s="19" t="str">
        <f aca="false">IF(J72&gt;0,"in train",IF(K72&gt;0,"audio, none in train",IF(C72&gt;=Overview!$B$9,"priority gap","no audio")))</f>
        <v>in train</v>
      </c>
    </row>
    <row r="73" customFormat="false" ht="15" hidden="false" customHeight="false" outlineLevel="0" collapsed="false">
      <c r="A73" s="19" t="s">
        <v>416</v>
      </c>
      <c r="B73" s="19" t="s">
        <v>417</v>
      </c>
      <c r="C73" s="28" t="n">
        <f aca="false">D73/Overview!$B$10</f>
        <v>0.165117941386705</v>
      </c>
      <c r="D73" s="29" t="n">
        <v>5544</v>
      </c>
      <c r="E73" s="19" t="s">
        <v>9649</v>
      </c>
      <c r="F73" s="19" t="n">
        <v>1969</v>
      </c>
      <c r="G73" s="19" t="n">
        <v>2026</v>
      </c>
      <c r="H73" s="19" t="n">
        <f aca="false">IF(COUNTIF(Species!$B:$B,$A73)=0,"",IF(INDEX(Species!$A:$A,MATCH($A73,Species!$B:$B,0))="","",INDEX(Species!$A:$A,MATCH($A73,Species!$B:$B,0))))</f>
        <v>240</v>
      </c>
      <c r="I73" s="19" t="str">
        <f aca="false">IF(COUNTIF(Species!$B:$B,$A73)=0,"",INDEX(Species!$F:$F,MATCH($A73,Species!$B:$B,0)))</f>
        <v>core</v>
      </c>
      <c r="J73" s="19" t="n">
        <f aca="false">COUNTIFS(Clips!$F:$F,$A73,Clips!$C:$C,"train")</f>
        <v>7</v>
      </c>
      <c r="K73" s="19" t="n">
        <f aca="false">COUNTIF(Clips!$F:$F,$A73)</f>
        <v>11</v>
      </c>
      <c r="L73" s="19" t="str">
        <f aca="false">IF(J73&gt;0,"in train",IF(K73&gt;0,"audio, none in train",IF(C73&gt;=Overview!$B$9,"priority gap","no audio")))</f>
        <v>in train</v>
      </c>
    </row>
    <row r="74" customFormat="false" ht="15" hidden="false" customHeight="false" outlineLevel="0" collapsed="false">
      <c r="A74" s="19" t="s">
        <v>313</v>
      </c>
      <c r="B74" s="19" t="s">
        <v>314</v>
      </c>
      <c r="C74" s="28" t="n">
        <f aca="false">D74/Overview!$B$10</f>
        <v>0.162169406719085</v>
      </c>
      <c r="D74" s="29" t="n">
        <v>5445</v>
      </c>
      <c r="E74" s="19" t="s">
        <v>9649</v>
      </c>
      <c r="F74" s="19" t="n">
        <v>1969</v>
      </c>
      <c r="G74" s="19" t="n">
        <v>2026</v>
      </c>
      <c r="H74" s="19" t="n">
        <f aca="false">IF(COUNTIF(Species!$B:$B,$A74)=0,"",IF(INDEX(Species!$A:$A,MATCH($A74,Species!$B:$B,0))="","",INDEX(Species!$A:$A,MATCH($A74,Species!$B:$B,0))))</f>
        <v>225</v>
      </c>
      <c r="I74" s="19" t="str">
        <f aca="false">IF(COUNTIF(Species!$B:$B,$A74)=0,"",INDEX(Species!$F:$F,MATCH($A74,Species!$B:$B,0)))</f>
        <v>core</v>
      </c>
      <c r="J74" s="19" t="n">
        <f aca="false">COUNTIFS(Clips!$F:$F,$A74,Clips!$C:$C,"train")</f>
        <v>12</v>
      </c>
      <c r="K74" s="19" t="n">
        <f aca="false">COUNTIF(Clips!$F:$F,$A74)</f>
        <v>18</v>
      </c>
      <c r="L74" s="19" t="str">
        <f aca="false">IF(J74&gt;0,"in train",IF(K74&gt;0,"audio, none in train",IF(C74&gt;=Overview!$B$9,"priority gap","no audio")))</f>
        <v>in train</v>
      </c>
    </row>
    <row r="75" customFormat="false" ht="15" hidden="false" customHeight="false" outlineLevel="0" collapsed="false">
      <c r="A75" s="19" t="s">
        <v>338</v>
      </c>
      <c r="B75" s="19" t="s">
        <v>339</v>
      </c>
      <c r="C75" s="28" t="n">
        <f aca="false">D75/Overview!$B$10</f>
        <v>0.160710030974506</v>
      </c>
      <c r="D75" s="29" t="n">
        <v>5396</v>
      </c>
      <c r="E75" s="19" t="s">
        <v>9649</v>
      </c>
      <c r="F75" s="19" t="n">
        <v>1969</v>
      </c>
      <c r="G75" s="19" t="n">
        <v>2026</v>
      </c>
      <c r="H75" s="19" t="n">
        <f aca="false">IF(COUNTIF(Species!$B:$B,$A75)=0,"",IF(INDEX(Species!$A:$A,MATCH($A75,Species!$B:$B,0))="","",INDEX(Species!$A:$A,MATCH($A75,Species!$B:$B,0))))</f>
        <v>121</v>
      </c>
      <c r="I75" s="19" t="str">
        <f aca="false">IF(COUNTIF(Species!$B:$B,$A75)=0,"",INDEX(Species!$F:$F,MATCH($A75,Species!$B:$B,0)))</f>
        <v>core</v>
      </c>
      <c r="J75" s="19" t="n">
        <f aca="false">COUNTIFS(Clips!$F:$F,$A75,Clips!$C:$C,"train")</f>
        <v>10</v>
      </c>
      <c r="K75" s="19" t="n">
        <f aca="false">COUNTIF(Clips!$F:$F,$A75)</f>
        <v>14</v>
      </c>
      <c r="L75" s="19" t="str">
        <f aca="false">IF(J75&gt;0,"in train",IF(K75&gt;0,"audio, none in train",IF(C75&gt;=Overview!$B$9,"priority gap","no audio")))</f>
        <v>in train</v>
      </c>
    </row>
    <row r="76" customFormat="false" ht="15" hidden="false" customHeight="false" outlineLevel="0" collapsed="false">
      <c r="A76" s="19" t="s">
        <v>292</v>
      </c>
      <c r="B76" s="19" t="s">
        <v>293</v>
      </c>
      <c r="C76" s="28" t="n">
        <f aca="false">D76/Overview!$B$10</f>
        <v>0.156510602811532</v>
      </c>
      <c r="D76" s="29" t="n">
        <v>5255</v>
      </c>
      <c r="E76" s="19" t="s">
        <v>9649</v>
      </c>
      <c r="F76" s="19" t="n">
        <v>1969</v>
      </c>
      <c r="G76" s="19" t="n">
        <v>2026</v>
      </c>
      <c r="H76" s="19" t="n">
        <f aca="false">IF(COUNTIF(Species!$B:$B,$A76)=0,"",IF(INDEX(Species!$A:$A,MATCH($A76,Species!$B:$B,0))="","",INDEX(Species!$A:$A,MATCH($A76,Species!$B:$B,0))))</f>
        <v>133</v>
      </c>
      <c r="I76" s="19" t="str">
        <f aca="false">IF(COUNTIF(Species!$B:$B,$A76)=0,"",INDEX(Species!$F:$F,MATCH($A76,Species!$B:$B,0)))</f>
        <v>core</v>
      </c>
      <c r="J76" s="19" t="n">
        <f aca="false">COUNTIFS(Clips!$F:$F,$A76,Clips!$C:$C,"train")</f>
        <v>14</v>
      </c>
      <c r="K76" s="19" t="n">
        <f aca="false">COUNTIF(Clips!$F:$F,$A76)</f>
        <v>22</v>
      </c>
      <c r="L76" s="19" t="str">
        <f aca="false">IF(J76&gt;0,"in train",IF(K76&gt;0,"audio, none in train",IF(C76&gt;=Overview!$B$9,"priority gap","no audio")))</f>
        <v>in train</v>
      </c>
    </row>
    <row r="77" customFormat="false" ht="15" hidden="false" customHeight="false" outlineLevel="0" collapsed="false">
      <c r="A77" s="19" t="s">
        <v>9656</v>
      </c>
      <c r="B77" s="19" t="s">
        <v>9657</v>
      </c>
      <c r="C77" s="28" t="n">
        <f aca="false">D77/Overview!$B$10</f>
        <v>0.156302120562306</v>
      </c>
      <c r="D77" s="29" t="n">
        <v>5248</v>
      </c>
      <c r="E77" s="19" t="s">
        <v>9649</v>
      </c>
      <c r="F77" s="19" t="n">
        <v>1969</v>
      </c>
      <c r="G77" s="19" t="n">
        <v>2026</v>
      </c>
      <c r="H77" s="19" t="str">
        <f aca="false">IF(COUNTIF(Species!$B:$B,$A77)=0,"",IF(INDEX(Species!$A:$A,MATCH($A77,Species!$B:$B,0))="","",INDEX(Species!$A:$A,MATCH($A77,Species!$B:$B,0))))</f>
        <v/>
      </c>
      <c r="I77" s="19" t="str">
        <f aca="false">IF(COUNTIF(Species!$B:$B,$A77)=0,"",INDEX(Species!$F:$F,MATCH($A77,Species!$B:$B,0)))</f>
        <v/>
      </c>
      <c r="J77" s="19" t="n">
        <f aca="false">COUNTIFS(Clips!$F:$F,$A77,Clips!$C:$C,"train")</f>
        <v>0</v>
      </c>
      <c r="K77" s="19" t="n">
        <f aca="false">COUNTIF(Clips!$F:$F,$A77)</f>
        <v>0</v>
      </c>
      <c r="L77" s="19" t="str">
        <f aca="false">IF(J77&gt;0,"in train",IF(K77&gt;0,"audio, none in train",IF(C77&gt;=Overview!$B$9,"priority gap","no audio")))</f>
        <v>priority gap</v>
      </c>
    </row>
    <row r="78" customFormat="false" ht="15" hidden="false" customHeight="false" outlineLevel="0" collapsed="false">
      <c r="A78" s="19" t="s">
        <v>413</v>
      </c>
      <c r="B78" s="19" t="s">
        <v>414</v>
      </c>
      <c r="C78" s="28" t="n">
        <f aca="false">D78/Overview!$B$10</f>
        <v>0.155766023350012</v>
      </c>
      <c r="D78" s="29" t="n">
        <v>5230</v>
      </c>
      <c r="E78" s="19" t="s">
        <v>9649</v>
      </c>
      <c r="F78" s="19" t="n">
        <v>1969</v>
      </c>
      <c r="G78" s="19" t="n">
        <v>2026</v>
      </c>
      <c r="H78" s="19" t="n">
        <f aca="false">IF(COUNTIF(Species!$B:$B,$A78)=0,"",IF(INDEX(Species!$A:$A,MATCH($A78,Species!$B:$B,0))="","",INDEX(Species!$A:$A,MATCH($A78,Species!$B:$B,0))))</f>
        <v>200</v>
      </c>
      <c r="I78" s="19" t="str">
        <f aca="false">IF(COUNTIF(Species!$B:$B,$A78)=0,"",INDEX(Species!$F:$F,MATCH($A78,Species!$B:$B,0)))</f>
        <v>core</v>
      </c>
      <c r="J78" s="19" t="n">
        <f aca="false">COUNTIFS(Clips!$F:$F,$A78,Clips!$C:$C,"train")</f>
        <v>7</v>
      </c>
      <c r="K78" s="19" t="n">
        <f aca="false">COUNTIF(Clips!$F:$F,$A78)</f>
        <v>11</v>
      </c>
      <c r="L78" s="19" t="str">
        <f aca="false">IF(J78&gt;0,"in train",IF(K78&gt;0,"audio, none in train",IF(C78&gt;=Overview!$B$9,"priority gap","no audio")))</f>
        <v>in train</v>
      </c>
    </row>
    <row r="79" customFormat="false" ht="15" hidden="false" customHeight="false" outlineLevel="0" collapsed="false">
      <c r="A79" s="19" t="s">
        <v>502</v>
      </c>
      <c r="B79" s="19" t="s">
        <v>503</v>
      </c>
      <c r="C79" s="28" t="n">
        <f aca="false">D79/Overview!$B$10</f>
        <v>0.153502501786991</v>
      </c>
      <c r="D79" s="29" t="n">
        <v>5154</v>
      </c>
      <c r="E79" s="19" t="s">
        <v>9649</v>
      </c>
      <c r="F79" s="19" t="n">
        <v>1969</v>
      </c>
      <c r="G79" s="19" t="n">
        <v>2026</v>
      </c>
      <c r="H79" s="19" t="n">
        <f aca="false">IF(COUNTIF(Species!$B:$B,$A79)=0,"",IF(INDEX(Species!$A:$A,MATCH($A79,Species!$B:$B,0))="","",INDEX(Species!$A:$A,MATCH($A79,Species!$B:$B,0))))</f>
        <v>77</v>
      </c>
      <c r="I79" s="19" t="str">
        <f aca="false">IF(COUNTIF(Species!$B:$B,$A79)=0,"",INDEX(Species!$F:$F,MATCH($A79,Species!$B:$B,0)))</f>
        <v>few_shot</v>
      </c>
      <c r="J79" s="19" t="n">
        <f aca="false">COUNTIFS(Clips!$F:$F,$A79,Clips!$C:$C,"train")</f>
        <v>6</v>
      </c>
      <c r="K79" s="19" t="n">
        <f aca="false">COUNTIF(Clips!$F:$F,$A79)</f>
        <v>7</v>
      </c>
      <c r="L79" s="19" t="str">
        <f aca="false">IF(J79&gt;0,"in train",IF(K79&gt;0,"audio, none in train",IF(C79&gt;=Overview!$B$9,"priority gap","no audio")))</f>
        <v>in train</v>
      </c>
    </row>
    <row r="80" customFormat="false" ht="15" hidden="false" customHeight="false" outlineLevel="0" collapsed="false">
      <c r="A80" s="19" t="s">
        <v>453</v>
      </c>
      <c r="B80" s="19" t="s">
        <v>454</v>
      </c>
      <c r="C80" s="28" t="n">
        <f aca="false">D80/Overview!$B$10</f>
        <v>0.153383369073147</v>
      </c>
      <c r="D80" s="29" t="n">
        <v>5150</v>
      </c>
      <c r="E80" s="19" t="s">
        <v>9649</v>
      </c>
      <c r="F80" s="19" t="n">
        <v>1969</v>
      </c>
      <c r="G80" s="19" t="n">
        <v>2026</v>
      </c>
      <c r="H80" s="19" t="n">
        <f aca="false">IF(COUNTIF(Species!$B:$B,$A80)=0,"",IF(INDEX(Species!$A:$A,MATCH($A80,Species!$B:$B,0))="","",INDEX(Species!$A:$A,MATCH($A80,Species!$B:$B,0))))</f>
        <v>191</v>
      </c>
      <c r="I80" s="19" t="str">
        <f aca="false">IF(COUNTIF(Species!$B:$B,$A80)=0,"",INDEX(Species!$F:$F,MATCH($A80,Species!$B:$B,0)))</f>
        <v>few_shot</v>
      </c>
      <c r="J80" s="19" t="n">
        <f aca="false">COUNTIFS(Clips!$F:$F,$A80,Clips!$C:$C,"train")</f>
        <v>8</v>
      </c>
      <c r="K80" s="19" t="n">
        <f aca="false">COUNTIF(Clips!$F:$F,$A80)</f>
        <v>9</v>
      </c>
      <c r="L80" s="19" t="str">
        <f aca="false">IF(J80&gt;0,"in train",IF(K80&gt;0,"audio, none in train",IF(C80&gt;=Overview!$B$9,"priority gap","no audio")))</f>
        <v>in train</v>
      </c>
    </row>
    <row r="81" customFormat="false" ht="15" hidden="false" customHeight="false" outlineLevel="0" collapsed="false">
      <c r="A81" s="19" t="s">
        <v>363</v>
      </c>
      <c r="B81" s="19" t="s">
        <v>364</v>
      </c>
      <c r="C81" s="28" t="n">
        <f aca="false">D81/Overview!$B$10</f>
        <v>0.152460090540863</v>
      </c>
      <c r="D81" s="29" t="n">
        <v>5119</v>
      </c>
      <c r="E81" s="19" t="s">
        <v>9649</v>
      </c>
      <c r="F81" s="19" t="n">
        <v>1969</v>
      </c>
      <c r="G81" s="19" t="n">
        <v>2026</v>
      </c>
      <c r="H81" s="19" t="n">
        <f aca="false">IF(COUNTIF(Species!$B:$B,$A81)=0,"",IF(INDEX(Species!$A:$A,MATCH($A81,Species!$B:$B,0))="","",INDEX(Species!$A:$A,MATCH($A81,Species!$B:$B,0))))</f>
        <v>166</v>
      </c>
      <c r="I81" s="19" t="str">
        <f aca="false">IF(COUNTIF(Species!$B:$B,$A81)=0,"",INDEX(Species!$F:$F,MATCH($A81,Species!$B:$B,0)))</f>
        <v>core</v>
      </c>
      <c r="J81" s="19" t="n">
        <f aca="false">COUNTIFS(Clips!$F:$F,$A81,Clips!$C:$C,"train")</f>
        <v>9</v>
      </c>
      <c r="K81" s="19" t="n">
        <f aca="false">COUNTIF(Clips!$F:$F,$A81)</f>
        <v>13</v>
      </c>
      <c r="L81" s="19" t="str">
        <f aca="false">IF(J81&gt;0,"in train",IF(K81&gt;0,"audio, none in train",IF(C81&gt;=Overview!$B$9,"priority gap","no audio")))</f>
        <v>in train</v>
      </c>
    </row>
    <row r="82" customFormat="false" ht="15" hidden="false" customHeight="false" outlineLevel="0" collapsed="false">
      <c r="A82" s="19" t="s">
        <v>677</v>
      </c>
      <c r="B82" s="19" t="s">
        <v>678</v>
      </c>
      <c r="C82" s="28" t="n">
        <f aca="false">D82/Overview!$B$10</f>
        <v>0.151834643793186</v>
      </c>
      <c r="D82" s="29" t="n">
        <v>5098</v>
      </c>
      <c r="E82" s="19" t="s">
        <v>9649</v>
      </c>
      <c r="F82" s="19" t="n">
        <v>1969</v>
      </c>
      <c r="G82" s="19" t="n">
        <v>2026</v>
      </c>
      <c r="H82" s="19" t="n">
        <f aca="false">IF(COUNTIF(Species!$B:$B,$A82)=0,"",IF(INDEX(Species!$A:$A,MATCH($A82,Species!$B:$B,0))="","",INDEX(Species!$A:$A,MATCH($A82,Species!$B:$B,0))))</f>
        <v>192</v>
      </c>
      <c r="I82" s="19" t="str">
        <f aca="false">IF(COUNTIF(Species!$B:$B,$A82)=0,"",INDEX(Species!$F:$F,MATCH($A82,Species!$B:$B,0)))</f>
        <v>few_shot</v>
      </c>
      <c r="J82" s="19" t="n">
        <f aca="false">COUNTIFS(Clips!$F:$F,$A82,Clips!$C:$C,"train")</f>
        <v>2</v>
      </c>
      <c r="K82" s="19" t="n">
        <f aca="false">COUNTIF(Clips!$F:$F,$A82)</f>
        <v>3</v>
      </c>
      <c r="L82" s="19" t="str">
        <f aca="false">IF(J82&gt;0,"in train",IF(K82&gt;0,"audio, none in train",IF(C82&gt;=Overview!$B$9,"priority gap","no audio")))</f>
        <v>in train</v>
      </c>
    </row>
    <row r="83" customFormat="false" ht="15" hidden="false" customHeight="false" outlineLevel="0" collapsed="false">
      <c r="A83" s="19" t="s">
        <v>438</v>
      </c>
      <c r="B83" s="19" t="s">
        <v>439</v>
      </c>
      <c r="C83" s="28" t="n">
        <f aca="false">D83/Overview!$B$10</f>
        <v>0.147367167024065</v>
      </c>
      <c r="D83" s="29" t="n">
        <v>4948</v>
      </c>
      <c r="E83" s="19" t="s">
        <v>9649</v>
      </c>
      <c r="F83" s="19" t="n">
        <v>1969</v>
      </c>
      <c r="G83" s="19" t="n">
        <v>2026</v>
      </c>
      <c r="H83" s="19" t="n">
        <f aca="false">IF(COUNTIF(Species!$B:$B,$A83)=0,"",IF(INDEX(Species!$A:$A,MATCH($A83,Species!$B:$B,0))="","",INDEX(Species!$A:$A,MATCH($A83,Species!$B:$B,0))))</f>
        <v>127</v>
      </c>
      <c r="I83" s="19" t="str">
        <f aca="false">IF(COUNTIF(Species!$B:$B,$A83)=0,"",INDEX(Species!$F:$F,MATCH($A83,Species!$B:$B,0)))</f>
        <v>few_shot</v>
      </c>
      <c r="J83" s="19" t="n">
        <f aca="false">COUNTIFS(Clips!$F:$F,$A83,Clips!$C:$C,"train")</f>
        <v>8</v>
      </c>
      <c r="K83" s="19" t="n">
        <f aca="false">COUNTIF(Clips!$F:$F,$A83)</f>
        <v>9</v>
      </c>
      <c r="L83" s="19" t="str">
        <f aca="false">IF(J83&gt;0,"in train",IF(K83&gt;0,"audio, none in train",IF(C83&gt;=Overview!$B$9,"priority gap","no audio")))</f>
        <v>in train</v>
      </c>
    </row>
    <row r="84" customFormat="false" ht="15" hidden="false" customHeight="false" outlineLevel="0" collapsed="false">
      <c r="A84" s="19" t="s">
        <v>9658</v>
      </c>
      <c r="B84" s="19" t="s">
        <v>9659</v>
      </c>
      <c r="C84" s="28" t="n">
        <f aca="false">D84/Overview!$B$10</f>
        <v>0.144299499642602</v>
      </c>
      <c r="D84" s="29" t="n">
        <v>4845</v>
      </c>
      <c r="E84" s="19" t="s">
        <v>9649</v>
      </c>
      <c r="F84" s="19" t="n">
        <v>1961</v>
      </c>
      <c r="G84" s="19" t="n">
        <v>2026</v>
      </c>
      <c r="H84" s="19" t="str">
        <f aca="false">IF(COUNTIF(Species!$B:$B,$A84)=0,"",IF(INDEX(Species!$A:$A,MATCH($A84,Species!$B:$B,0))="","",INDEX(Species!$A:$A,MATCH($A84,Species!$B:$B,0))))</f>
        <v/>
      </c>
      <c r="I84" s="19" t="str">
        <f aca="false">IF(COUNTIF(Species!$B:$B,$A84)=0,"",INDEX(Species!$F:$F,MATCH($A84,Species!$B:$B,0)))</f>
        <v/>
      </c>
      <c r="J84" s="19" t="n">
        <f aca="false">COUNTIFS(Clips!$F:$F,$A84,Clips!$C:$C,"train")</f>
        <v>0</v>
      </c>
      <c r="K84" s="19" t="n">
        <f aca="false">COUNTIF(Clips!$F:$F,$A84)</f>
        <v>0</v>
      </c>
      <c r="L84" s="19" t="str">
        <f aca="false">IF(J84&gt;0,"in train",IF(K84&gt;0,"audio, none in train",IF(C84&gt;=Overview!$B$9,"priority gap","no audio")))</f>
        <v>priority gap</v>
      </c>
    </row>
    <row r="85" customFormat="false" ht="15" hidden="false" customHeight="false" outlineLevel="0" collapsed="false">
      <c r="A85" s="19" t="s">
        <v>541</v>
      </c>
      <c r="B85" s="19" t="s">
        <v>542</v>
      </c>
      <c r="C85" s="28" t="n">
        <f aca="false">D85/Overview!$B$10</f>
        <v>0.137181319990469</v>
      </c>
      <c r="D85" s="29" t="n">
        <v>4606</v>
      </c>
      <c r="E85" s="19" t="s">
        <v>9649</v>
      </c>
      <c r="F85" s="19" t="n">
        <v>1969</v>
      </c>
      <c r="G85" s="19" t="n">
        <v>2026</v>
      </c>
      <c r="H85" s="19" t="n">
        <f aca="false">IF(COUNTIF(Species!$B:$B,$A85)=0,"",IF(INDEX(Species!$A:$A,MATCH($A85,Species!$B:$B,0))="","",INDEX(Species!$A:$A,MATCH($A85,Species!$B:$B,0))))</f>
        <v>143</v>
      </c>
      <c r="I85" s="19" t="str">
        <f aca="false">IF(COUNTIF(Species!$B:$B,$A85)=0,"",INDEX(Species!$F:$F,MATCH($A85,Species!$B:$B,0)))</f>
        <v>few_shot</v>
      </c>
      <c r="J85" s="19" t="n">
        <f aca="false">COUNTIFS(Clips!$F:$F,$A85,Clips!$C:$C,"train")</f>
        <v>5</v>
      </c>
      <c r="K85" s="19" t="n">
        <f aca="false">COUNTIF(Clips!$F:$F,$A85)</f>
        <v>6</v>
      </c>
      <c r="L85" s="19" t="str">
        <f aca="false">IF(J85&gt;0,"in train",IF(K85&gt;0,"audio, none in train",IF(C85&gt;=Overview!$B$9,"priority gap","no audio")))</f>
        <v>in train</v>
      </c>
    </row>
    <row r="86" customFormat="false" ht="15" hidden="false" customHeight="false" outlineLevel="0" collapsed="false">
      <c r="A86" s="19" t="s">
        <v>165</v>
      </c>
      <c r="B86" s="19" t="s">
        <v>166</v>
      </c>
      <c r="C86" s="28" t="n">
        <f aca="false">D86/Overview!$B$10</f>
        <v>0.133637121753634</v>
      </c>
      <c r="D86" s="29" t="n">
        <v>4487</v>
      </c>
      <c r="E86" s="19" t="s">
        <v>9649</v>
      </c>
      <c r="F86" s="19" t="n">
        <v>1969</v>
      </c>
      <c r="G86" s="19" t="n">
        <v>2026</v>
      </c>
      <c r="H86" s="19" t="n">
        <f aca="false">IF(COUNTIF(Species!$B:$B,$A86)=0,"",IF(INDEX(Species!$A:$A,MATCH($A86,Species!$B:$B,0))="","",INDEX(Species!$A:$A,MATCH($A86,Species!$B:$B,0))))</f>
        <v>50</v>
      </c>
      <c r="I86" s="19" t="str">
        <f aca="false">IF(COUNTIF(Species!$B:$B,$A86)=0,"",INDEX(Species!$F:$F,MATCH($A86,Species!$B:$B,0)))</f>
        <v>core</v>
      </c>
      <c r="J86" s="19" t="n">
        <f aca="false">COUNTIFS(Clips!$F:$F,$A86,Clips!$C:$C,"train")</f>
        <v>38</v>
      </c>
      <c r="K86" s="19" t="n">
        <f aca="false">COUNTIF(Clips!$F:$F,$A86)</f>
        <v>55</v>
      </c>
      <c r="L86" s="19" t="str">
        <f aca="false">IF(J86&gt;0,"in train",IF(K86&gt;0,"audio, none in train",IF(C86&gt;=Overview!$B$9,"priority gap","no audio")))</f>
        <v>in train</v>
      </c>
    </row>
    <row r="87" customFormat="false" ht="15" hidden="false" customHeight="false" outlineLevel="0" collapsed="false">
      <c r="A87" s="19" t="s">
        <v>234</v>
      </c>
      <c r="B87" s="19" t="s">
        <v>235</v>
      </c>
      <c r="C87" s="28" t="n">
        <f aca="false">D87/Overview!$B$10</f>
        <v>0.133458422682869</v>
      </c>
      <c r="D87" s="29" t="n">
        <v>4481</v>
      </c>
      <c r="E87" s="19" t="s">
        <v>9649</v>
      </c>
      <c r="F87" s="19" t="n">
        <v>1972</v>
      </c>
      <c r="G87" s="19" t="n">
        <v>2026</v>
      </c>
      <c r="H87" s="19" t="n">
        <f aca="false">IF(COUNTIF(Species!$B:$B,$A87)=0,"",IF(INDEX(Species!$A:$A,MATCH($A87,Species!$B:$B,0))="","",INDEX(Species!$A:$A,MATCH($A87,Species!$B:$B,0))))</f>
        <v>63</v>
      </c>
      <c r="I87" s="19" t="str">
        <f aca="false">IF(COUNTIF(Species!$B:$B,$A87)=0,"",INDEX(Species!$F:$F,MATCH($A87,Species!$B:$B,0)))</f>
        <v>core</v>
      </c>
      <c r="J87" s="19" t="n">
        <f aca="false">COUNTIFS(Clips!$F:$F,$A87,Clips!$C:$C,"train")</f>
        <v>21</v>
      </c>
      <c r="K87" s="19" t="n">
        <f aca="false">COUNTIF(Clips!$F:$F,$A87)</f>
        <v>31</v>
      </c>
      <c r="L87" s="19" t="str">
        <f aca="false">IF(J87&gt;0,"in train",IF(K87&gt;0,"audio, none in train",IF(C87&gt;=Overview!$B$9,"priority gap","no audio")))</f>
        <v>in train</v>
      </c>
    </row>
    <row r="88" customFormat="false" ht="15" hidden="false" customHeight="false" outlineLevel="0" collapsed="false">
      <c r="A88" s="19" t="s">
        <v>228</v>
      </c>
      <c r="B88" s="19" t="s">
        <v>229</v>
      </c>
      <c r="C88" s="28" t="n">
        <f aca="false">D88/Overview!$B$10</f>
        <v>0.132684060042888</v>
      </c>
      <c r="D88" s="29" t="n">
        <v>4455</v>
      </c>
      <c r="E88" s="19" t="s">
        <v>9649</v>
      </c>
      <c r="F88" s="19" t="n">
        <v>1969</v>
      </c>
      <c r="G88" s="19" t="n">
        <v>2026</v>
      </c>
      <c r="H88" s="19" t="n">
        <f aca="false">IF(COUNTIF(Species!$B:$B,$A88)=0,"",IF(INDEX(Species!$A:$A,MATCH($A88,Species!$B:$B,0))="","",INDEX(Species!$A:$A,MATCH($A88,Species!$B:$B,0))))</f>
        <v>139</v>
      </c>
      <c r="I88" s="19" t="str">
        <f aca="false">IF(COUNTIF(Species!$B:$B,$A88)=0,"",INDEX(Species!$F:$F,MATCH($A88,Species!$B:$B,0)))</f>
        <v>core</v>
      </c>
      <c r="J88" s="19" t="n">
        <f aca="false">COUNTIFS(Clips!$F:$F,$A88,Clips!$C:$C,"train")</f>
        <v>22</v>
      </c>
      <c r="K88" s="19" t="n">
        <f aca="false">COUNTIF(Clips!$F:$F,$A88)</f>
        <v>32</v>
      </c>
      <c r="L88" s="19" t="str">
        <f aca="false">IF(J88&gt;0,"in train",IF(K88&gt;0,"audio, none in train",IF(C88&gt;=Overview!$B$9,"priority gap","no audio")))</f>
        <v>in train</v>
      </c>
    </row>
    <row r="89" customFormat="false" ht="15" hidden="false" customHeight="false" outlineLevel="0" collapsed="false">
      <c r="A89" s="19" t="s">
        <v>532</v>
      </c>
      <c r="B89" s="19" t="s">
        <v>533</v>
      </c>
      <c r="C89" s="28" t="n">
        <f aca="false">D89/Overview!$B$10</f>
        <v>0.132088396473672</v>
      </c>
      <c r="D89" s="29" t="n">
        <v>4435</v>
      </c>
      <c r="E89" s="19" t="s">
        <v>9649</v>
      </c>
      <c r="F89" s="19" t="n">
        <v>1969</v>
      </c>
      <c r="G89" s="19" t="n">
        <v>2026</v>
      </c>
      <c r="H89" s="19" t="n">
        <f aca="false">IF(COUNTIF(Species!$B:$B,$A89)=0,"",IF(INDEX(Species!$A:$A,MATCH($A89,Species!$B:$B,0))="","",INDEX(Species!$A:$A,MATCH($A89,Species!$B:$B,0))))</f>
        <v>91</v>
      </c>
      <c r="I89" s="19" t="str">
        <f aca="false">IF(COUNTIF(Species!$B:$B,$A89)=0,"",INDEX(Species!$F:$F,MATCH($A89,Species!$B:$B,0)))</f>
        <v>few_shot</v>
      </c>
      <c r="J89" s="19" t="n">
        <f aca="false">COUNTIFS(Clips!$F:$F,$A89,Clips!$C:$C,"train")</f>
        <v>5</v>
      </c>
      <c r="K89" s="19" t="n">
        <f aca="false">COUNTIF(Clips!$F:$F,$A89)</f>
        <v>6</v>
      </c>
      <c r="L89" s="19" t="str">
        <f aca="false">IF(J89&gt;0,"in train",IF(K89&gt;0,"audio, none in train",IF(C89&gt;=Overview!$B$9,"priority gap","no audio")))</f>
        <v>in train</v>
      </c>
    </row>
    <row r="90" customFormat="false" ht="15" hidden="false" customHeight="false" outlineLevel="0" collapsed="false">
      <c r="A90" s="19" t="s">
        <v>268</v>
      </c>
      <c r="B90" s="19" t="s">
        <v>269</v>
      </c>
      <c r="C90" s="28" t="n">
        <f aca="false">D90/Overview!$B$10</f>
        <v>0.131522516082916</v>
      </c>
      <c r="D90" s="29" t="n">
        <v>4416</v>
      </c>
      <c r="E90" s="19" t="s">
        <v>9649</v>
      </c>
      <c r="F90" s="19" t="n">
        <v>1969</v>
      </c>
      <c r="G90" s="19" t="n">
        <v>2026</v>
      </c>
      <c r="H90" s="19" t="n">
        <f aca="false">IF(COUNTIF(Species!$B:$B,$A90)=0,"",IF(INDEX(Species!$A:$A,MATCH($A90,Species!$B:$B,0))="","",INDEX(Species!$A:$A,MATCH($A90,Species!$B:$B,0))))</f>
        <v>178</v>
      </c>
      <c r="I90" s="19" t="str">
        <f aca="false">IF(COUNTIF(Species!$B:$B,$A90)=0,"",INDEX(Species!$F:$F,MATCH($A90,Species!$B:$B,0)))</f>
        <v>core</v>
      </c>
      <c r="J90" s="19" t="n">
        <f aca="false">COUNTIFS(Clips!$F:$F,$A90,Clips!$C:$C,"train")</f>
        <v>17</v>
      </c>
      <c r="K90" s="19" t="n">
        <f aca="false">COUNTIF(Clips!$F:$F,$A90)</f>
        <v>23</v>
      </c>
      <c r="L90" s="19" t="str">
        <f aca="false">IF(J90&gt;0,"in train",IF(K90&gt;0,"audio, none in train",IF(C90&gt;=Overview!$B$9,"priority gap","no audio")))</f>
        <v>in train</v>
      </c>
    </row>
    <row r="91" customFormat="false" ht="15" hidden="false" customHeight="false" outlineLevel="0" collapsed="false">
      <c r="A91" s="19" t="s">
        <v>373</v>
      </c>
      <c r="B91" s="19" t="s">
        <v>374</v>
      </c>
      <c r="C91" s="28" t="n">
        <f aca="false">D91/Overview!$B$10</f>
        <v>0.125685013104599</v>
      </c>
      <c r="D91" s="29" t="n">
        <v>4220</v>
      </c>
      <c r="E91" s="19" t="s">
        <v>9649</v>
      </c>
      <c r="F91" s="19" t="n">
        <v>1969</v>
      </c>
      <c r="G91" s="19" t="n">
        <v>2026</v>
      </c>
      <c r="H91" s="19" t="n">
        <f aca="false">IF(COUNTIF(Species!$B:$B,$A91)=0,"",IF(INDEX(Species!$A:$A,MATCH($A91,Species!$B:$B,0))="","",INDEX(Species!$A:$A,MATCH($A91,Species!$B:$B,0))))</f>
        <v>55</v>
      </c>
      <c r="I91" s="19" t="str">
        <f aca="false">IF(COUNTIF(Species!$B:$B,$A91)=0,"",INDEX(Species!$F:$F,MATCH($A91,Species!$B:$B,0)))</f>
        <v>core</v>
      </c>
      <c r="J91" s="19" t="n">
        <f aca="false">COUNTIFS(Clips!$F:$F,$A91,Clips!$C:$C,"train")</f>
        <v>8</v>
      </c>
      <c r="K91" s="19" t="n">
        <f aca="false">COUNTIF(Clips!$F:$F,$A91)</f>
        <v>12</v>
      </c>
      <c r="L91" s="19" t="str">
        <f aca="false">IF(J91&gt;0,"in train",IF(K91&gt;0,"audio, none in train",IF(C91&gt;=Overview!$B$9,"priority gap","no audio")))</f>
        <v>in train</v>
      </c>
    </row>
    <row r="92" customFormat="false" ht="15" hidden="false" customHeight="false" outlineLevel="0" collapsed="false">
      <c r="A92" s="19" t="s">
        <v>447</v>
      </c>
      <c r="B92" s="19" t="s">
        <v>448</v>
      </c>
      <c r="C92" s="28" t="n">
        <f aca="false">D92/Overview!$B$10</f>
        <v>0.122736478436979</v>
      </c>
      <c r="D92" s="29" t="n">
        <v>4121</v>
      </c>
      <c r="E92" s="19" t="s">
        <v>9660</v>
      </c>
      <c r="F92" s="19" t="n">
        <v>1983</v>
      </c>
      <c r="G92" s="19" t="n">
        <v>2026</v>
      </c>
      <c r="H92" s="19" t="n">
        <f aca="false">IF(COUNTIF(Species!$B:$B,$A92)=0,"",IF(INDEX(Species!$A:$A,MATCH($A92,Species!$B:$B,0))="","",INDEX(Species!$A:$A,MATCH($A92,Species!$B:$B,0))))</f>
        <v>151</v>
      </c>
      <c r="I92" s="19" t="str">
        <f aca="false">IF(COUNTIF(Species!$B:$B,$A92)=0,"",INDEX(Species!$F:$F,MATCH($A92,Species!$B:$B,0)))</f>
        <v>few_shot</v>
      </c>
      <c r="J92" s="19" t="n">
        <f aca="false">COUNTIFS(Clips!$F:$F,$A92,Clips!$C:$C,"train")</f>
        <v>8</v>
      </c>
      <c r="K92" s="19" t="n">
        <f aca="false">COUNTIF(Clips!$F:$F,$A92)</f>
        <v>9</v>
      </c>
      <c r="L92" s="19" t="str">
        <f aca="false">IF(J92&gt;0,"in train",IF(K92&gt;0,"audio, none in train",IF(C92&gt;=Overview!$B$9,"priority gap","no audio")))</f>
        <v>in train</v>
      </c>
    </row>
    <row r="93" customFormat="false" ht="15" hidden="false" customHeight="false" outlineLevel="0" collapsed="false">
      <c r="A93" s="19" t="s">
        <v>725</v>
      </c>
      <c r="B93" s="19" t="s">
        <v>726</v>
      </c>
      <c r="C93" s="28" t="n">
        <f aca="false">D93/Overview!$B$10</f>
        <v>0.122438646652371</v>
      </c>
      <c r="D93" s="29" t="n">
        <v>4111</v>
      </c>
      <c r="E93" s="19" t="s">
        <v>9649</v>
      </c>
      <c r="F93" s="19" t="n">
        <v>1969</v>
      </c>
      <c r="G93" s="19" t="n">
        <v>2026</v>
      </c>
      <c r="H93" s="19" t="n">
        <f aca="false">IF(COUNTIF(Species!$B:$B,$A93)=0,"",IF(INDEX(Species!$A:$A,MATCH($A93,Species!$B:$B,0))="","",INDEX(Species!$A:$A,MATCH($A93,Species!$B:$B,0))))</f>
        <v>164</v>
      </c>
      <c r="I93" s="19" t="str">
        <f aca="false">IF(COUNTIF(Species!$B:$B,$A93)=0,"",INDEX(Species!$F:$F,MATCH($A93,Species!$B:$B,0)))</f>
        <v>few_shot</v>
      </c>
      <c r="J93" s="19" t="n">
        <f aca="false">COUNTIFS(Clips!$F:$F,$A93,Clips!$C:$C,"train")</f>
        <v>1</v>
      </c>
      <c r="K93" s="19" t="n">
        <f aca="false">COUNTIF(Clips!$F:$F,$A93)</f>
        <v>2</v>
      </c>
      <c r="L93" s="19" t="str">
        <f aca="false">IF(J93&gt;0,"in train",IF(K93&gt;0,"audio, none in train",IF(C93&gt;=Overview!$B$9,"priority gap","no audio")))</f>
        <v>in train</v>
      </c>
    </row>
    <row r="94" customFormat="false" ht="15" hidden="false" customHeight="false" outlineLevel="0" collapsed="false">
      <c r="A94" s="19" t="s">
        <v>178</v>
      </c>
      <c r="B94" s="19" t="s">
        <v>179</v>
      </c>
      <c r="C94" s="28" t="n">
        <f aca="false">D94/Overview!$B$10</f>
        <v>0.119519895163212</v>
      </c>
      <c r="D94" s="29" t="n">
        <v>4013</v>
      </c>
      <c r="E94" s="19" t="s">
        <v>9649</v>
      </c>
      <c r="F94" s="19" t="n">
        <v>1969</v>
      </c>
      <c r="G94" s="19" t="n">
        <v>2026</v>
      </c>
      <c r="H94" s="19" t="n">
        <f aca="false">IF(COUNTIF(Species!$B:$B,$A94)=0,"",IF(INDEX(Species!$A:$A,MATCH($A94,Species!$B:$B,0))="","",INDEX(Species!$A:$A,MATCH($A94,Species!$B:$B,0))))</f>
        <v>29</v>
      </c>
      <c r="I94" s="19" t="str">
        <f aca="false">IF(COUNTIF(Species!$B:$B,$A94)=0,"",INDEX(Species!$F:$F,MATCH($A94,Species!$B:$B,0)))</f>
        <v>core</v>
      </c>
      <c r="J94" s="19" t="n">
        <f aca="false">COUNTIFS(Clips!$F:$F,$A94,Clips!$C:$C,"train")</f>
        <v>35</v>
      </c>
      <c r="K94" s="19" t="n">
        <f aca="false">COUNTIF(Clips!$F:$F,$A94)</f>
        <v>49</v>
      </c>
      <c r="L94" s="19" t="str">
        <f aca="false">IF(J94&gt;0,"in train",IF(K94&gt;0,"audio, none in train",IF(C94&gt;=Overview!$B$9,"priority gap","no audio")))</f>
        <v>in train</v>
      </c>
    </row>
    <row r="95" customFormat="false" ht="15" hidden="false" customHeight="false" outlineLevel="0" collapsed="false">
      <c r="A95" s="19" t="s">
        <v>511</v>
      </c>
      <c r="B95" s="19" t="s">
        <v>512</v>
      </c>
      <c r="C95" s="28" t="n">
        <f aca="false">D95/Overview!$B$10</f>
        <v>0.114367405289492</v>
      </c>
      <c r="D95" s="29" t="n">
        <v>3840</v>
      </c>
      <c r="E95" s="19" t="s">
        <v>9649</v>
      </c>
      <c r="F95" s="19" t="n">
        <v>1969</v>
      </c>
      <c r="G95" s="19" t="n">
        <v>2026</v>
      </c>
      <c r="H95" s="19" t="n">
        <f aca="false">IF(COUNTIF(Species!$B:$B,$A95)=0,"",IF(INDEX(Species!$A:$A,MATCH($A95,Species!$B:$B,0))="","",INDEX(Species!$A:$A,MATCH($A95,Species!$B:$B,0))))</f>
        <v>233</v>
      </c>
      <c r="I95" s="19" t="str">
        <f aca="false">IF(COUNTIF(Species!$B:$B,$A95)=0,"",INDEX(Species!$F:$F,MATCH($A95,Species!$B:$B,0)))</f>
        <v>few_shot</v>
      </c>
      <c r="J95" s="19" t="n">
        <f aca="false">COUNTIFS(Clips!$F:$F,$A95,Clips!$C:$C,"train")</f>
        <v>5</v>
      </c>
      <c r="K95" s="19" t="n">
        <f aca="false">COUNTIF(Clips!$F:$F,$A95)</f>
        <v>7</v>
      </c>
      <c r="L95" s="19" t="str">
        <f aca="false">IF(J95&gt;0,"in train",IF(K95&gt;0,"audio, none in train",IF(C95&gt;=Overview!$B$9,"priority gap","no audio")))</f>
        <v>in train</v>
      </c>
    </row>
    <row r="96" customFormat="false" ht="15" hidden="false" customHeight="false" outlineLevel="0" collapsed="false">
      <c r="A96" s="19" t="s">
        <v>394</v>
      </c>
      <c r="B96" s="19" t="s">
        <v>395</v>
      </c>
      <c r="C96" s="28" t="n">
        <f aca="false">D96/Overview!$B$10</f>
        <v>0.114367405289492</v>
      </c>
      <c r="D96" s="29" t="n">
        <v>3840</v>
      </c>
      <c r="E96" s="19" t="s">
        <v>9655</v>
      </c>
      <c r="F96" s="19" t="n">
        <v>1977</v>
      </c>
      <c r="G96" s="19" t="n">
        <v>2026</v>
      </c>
      <c r="H96" s="19" t="n">
        <f aca="false">IF(COUNTIF(Species!$B:$B,$A96)=0,"",IF(INDEX(Species!$A:$A,MATCH($A96,Species!$B:$B,0))="","",INDEX(Species!$A:$A,MATCH($A96,Species!$B:$B,0))))</f>
        <v>235</v>
      </c>
      <c r="I96" s="19" t="str">
        <f aca="false">IF(COUNTIF(Species!$B:$B,$A96)=0,"",INDEX(Species!$F:$F,MATCH($A96,Species!$B:$B,0)))</f>
        <v>core</v>
      </c>
      <c r="J96" s="19" t="n">
        <f aca="false">COUNTIFS(Clips!$F:$F,$A96,Clips!$C:$C,"train")</f>
        <v>8</v>
      </c>
      <c r="K96" s="19" t="n">
        <f aca="false">COUNTIF(Clips!$F:$F,$A96)</f>
        <v>13</v>
      </c>
      <c r="L96" s="19" t="str">
        <f aca="false">IF(J96&gt;0,"in train",IF(K96&gt;0,"audio, none in train",IF(C96&gt;=Overview!$B$9,"priority gap","no audio")))</f>
        <v>in train</v>
      </c>
    </row>
    <row r="97" customFormat="false" ht="15" hidden="false" customHeight="false" outlineLevel="0" collapsed="false">
      <c r="A97" s="19" t="s">
        <v>771</v>
      </c>
      <c r="B97" s="19" t="s">
        <v>772</v>
      </c>
      <c r="C97" s="28" t="n">
        <f aca="false">D97/Overview!$B$10</f>
        <v>0.11392065761258</v>
      </c>
      <c r="D97" s="29" t="n">
        <v>3825</v>
      </c>
      <c r="E97" s="19" t="s">
        <v>9649</v>
      </c>
      <c r="F97" s="19" t="n">
        <v>1969</v>
      </c>
      <c r="G97" s="19" t="n">
        <v>2026</v>
      </c>
      <c r="H97" s="19" t="n">
        <f aca="false">IF(COUNTIF(Species!$B:$B,$A97)=0,"",IF(INDEX(Species!$A:$A,MATCH($A97,Species!$B:$B,0))="","",INDEX(Species!$A:$A,MATCH($A97,Species!$B:$B,0))))</f>
        <v>30</v>
      </c>
      <c r="I97" s="19" t="str">
        <f aca="false">IF(COUNTIF(Species!$B:$B,$A97)=0,"",INDEX(Species!$F:$F,MATCH($A97,Species!$B:$B,0)))</f>
        <v>singleton</v>
      </c>
      <c r="J97" s="19" t="n">
        <f aca="false">COUNTIFS(Clips!$F:$F,$A97,Clips!$C:$C,"train")</f>
        <v>0</v>
      </c>
      <c r="K97" s="19" t="n">
        <f aca="false">COUNTIF(Clips!$F:$F,$A97)</f>
        <v>1</v>
      </c>
      <c r="L97" s="19" t="str">
        <f aca="false">IF(J97&gt;0,"in train",IF(K97&gt;0,"audio, none in train",IF(C97&gt;=Overview!$B$9,"priority gap","no audio")))</f>
        <v>audio, none in train</v>
      </c>
    </row>
    <row r="98" customFormat="false" ht="15" hidden="false" customHeight="false" outlineLevel="0" collapsed="false">
      <c r="A98" s="19" t="s">
        <v>9661</v>
      </c>
      <c r="B98" s="19" t="s">
        <v>9662</v>
      </c>
      <c r="C98" s="28" t="n">
        <f aca="false">D98/Overview!$B$10</f>
        <v>0.113354777221825</v>
      </c>
      <c r="D98" s="29" t="n">
        <v>3806</v>
      </c>
      <c r="E98" s="19" t="s">
        <v>9650</v>
      </c>
      <c r="F98" s="19" t="n">
        <v>1979</v>
      </c>
      <c r="G98" s="19" t="n">
        <v>2026</v>
      </c>
      <c r="H98" s="19" t="str">
        <f aca="false">IF(COUNTIF(Species!$B:$B,$A98)=0,"",IF(INDEX(Species!$A:$A,MATCH($A98,Species!$B:$B,0))="","",INDEX(Species!$A:$A,MATCH($A98,Species!$B:$B,0))))</f>
        <v/>
      </c>
      <c r="I98" s="19" t="str">
        <f aca="false">IF(COUNTIF(Species!$B:$B,$A98)=0,"",INDEX(Species!$F:$F,MATCH($A98,Species!$B:$B,0)))</f>
        <v/>
      </c>
      <c r="J98" s="19" t="n">
        <f aca="false">COUNTIFS(Clips!$F:$F,$A98,Clips!$C:$C,"train")</f>
        <v>0</v>
      </c>
      <c r="K98" s="19" t="n">
        <f aca="false">COUNTIF(Clips!$F:$F,$A98)</f>
        <v>0</v>
      </c>
      <c r="L98" s="19" t="str">
        <f aca="false">IF(J98&gt;0,"in train",IF(K98&gt;0,"audio, none in train",IF(C98&gt;=Overview!$B$9,"priority gap","no audio")))</f>
        <v>priority gap</v>
      </c>
    </row>
    <row r="99" customFormat="false" ht="15" hidden="false" customHeight="false" outlineLevel="0" collapsed="false">
      <c r="A99" s="19" t="s">
        <v>799</v>
      </c>
      <c r="B99" s="19" t="s">
        <v>800</v>
      </c>
      <c r="C99" s="28" t="n">
        <f aca="false">D99/Overview!$B$10</f>
        <v>0.112461281868001</v>
      </c>
      <c r="D99" s="29" t="n">
        <v>3776</v>
      </c>
      <c r="E99" s="19" t="s">
        <v>9649</v>
      </c>
      <c r="F99" s="19" t="n">
        <v>1969</v>
      </c>
      <c r="G99" s="19" t="n">
        <v>2026</v>
      </c>
      <c r="H99" s="19" t="n">
        <f aca="false">IF(COUNTIF(Species!$B:$B,$A99)=0,"",IF(INDEX(Species!$A:$A,MATCH($A99,Species!$B:$B,0))="","",INDEX(Species!$A:$A,MATCH($A99,Species!$B:$B,0))))</f>
        <v>74</v>
      </c>
      <c r="I99" s="19" t="str">
        <f aca="false">IF(COUNTIF(Species!$B:$B,$A99)=0,"",INDEX(Species!$F:$F,MATCH($A99,Species!$B:$B,0)))</f>
        <v>singleton</v>
      </c>
      <c r="J99" s="19" t="n">
        <f aca="false">COUNTIFS(Clips!$F:$F,$A99,Clips!$C:$C,"train")</f>
        <v>0</v>
      </c>
      <c r="K99" s="19" t="n">
        <f aca="false">COUNTIF(Clips!$F:$F,$A99)</f>
        <v>1</v>
      </c>
      <c r="L99" s="19" t="str">
        <f aca="false">IF(J99&gt;0,"in train",IF(K99&gt;0,"audio, none in train",IF(C99&gt;=Overview!$B$9,"priority gap","no audio")))</f>
        <v>audio, none in train</v>
      </c>
    </row>
    <row r="100" customFormat="false" ht="15" hidden="false" customHeight="false" outlineLevel="0" collapsed="false">
      <c r="A100" s="19" t="s">
        <v>385</v>
      </c>
      <c r="B100" s="19" t="s">
        <v>386</v>
      </c>
      <c r="C100" s="28" t="n">
        <f aca="false">D100/Overview!$B$10</f>
        <v>0.104836788182035</v>
      </c>
      <c r="D100" s="29" t="n">
        <v>3520</v>
      </c>
      <c r="E100" s="19" t="s">
        <v>9649</v>
      </c>
      <c r="F100" s="19" t="n">
        <v>1969</v>
      </c>
      <c r="G100" s="19" t="n">
        <v>2026</v>
      </c>
      <c r="H100" s="19" t="n">
        <f aca="false">IF(COUNTIF(Species!$B:$B,$A100)=0,"",IF(INDEX(Species!$A:$A,MATCH($A100,Species!$B:$B,0))="","",INDEX(Species!$A:$A,MATCH($A100,Species!$B:$B,0))))</f>
        <v>152</v>
      </c>
      <c r="I100" s="19" t="str">
        <f aca="false">IF(COUNTIF(Species!$B:$B,$A100)=0,"",INDEX(Species!$F:$F,MATCH($A100,Species!$B:$B,0)))</f>
        <v>core</v>
      </c>
      <c r="J100" s="19" t="n">
        <f aca="false">COUNTIFS(Clips!$F:$F,$A100,Clips!$C:$C,"train")</f>
        <v>8</v>
      </c>
      <c r="K100" s="19" t="n">
        <f aca="false">COUNTIF(Clips!$F:$F,$A100)</f>
        <v>12</v>
      </c>
      <c r="L100" s="19" t="str">
        <f aca="false">IF(J100&gt;0,"in train",IF(K100&gt;0,"audio, none in train",IF(C100&gt;=Overview!$B$9,"priority gap","no audio")))</f>
        <v>in train</v>
      </c>
    </row>
    <row r="101" customFormat="false" ht="15" hidden="false" customHeight="false" outlineLevel="0" collapsed="false">
      <c r="A101" s="19" t="s">
        <v>401</v>
      </c>
      <c r="B101" s="19" t="s">
        <v>402</v>
      </c>
      <c r="C101" s="28" t="n">
        <f aca="false">D101/Overview!$B$10</f>
        <v>0.104687872289731</v>
      </c>
      <c r="D101" s="29" t="n">
        <v>3515</v>
      </c>
      <c r="E101" s="19" t="s">
        <v>9649</v>
      </c>
      <c r="F101" s="19" t="n">
        <v>1969</v>
      </c>
      <c r="G101" s="19" t="n">
        <v>2026</v>
      </c>
      <c r="H101" s="19" t="n">
        <f aca="false">IF(COUNTIF(Species!$B:$B,$A101)=0,"",IF(INDEX(Species!$A:$A,MATCH($A101,Species!$B:$B,0))="","",INDEX(Species!$A:$A,MATCH($A101,Species!$B:$B,0))))</f>
        <v>33</v>
      </c>
      <c r="I101" s="19" t="str">
        <f aca="false">IF(COUNTIF(Species!$B:$B,$A101)=0,"",INDEX(Species!$F:$F,MATCH($A101,Species!$B:$B,0)))</f>
        <v>core</v>
      </c>
      <c r="J101" s="19" t="n">
        <f aca="false">COUNTIFS(Clips!$F:$F,$A101,Clips!$C:$C,"train")</f>
        <v>7</v>
      </c>
      <c r="K101" s="19" t="n">
        <f aca="false">COUNTIF(Clips!$F:$F,$A101)</f>
        <v>11</v>
      </c>
      <c r="L101" s="19" t="str">
        <f aca="false">IF(J101&gt;0,"in train",IF(K101&gt;0,"audio, none in train",IF(C101&gt;=Overview!$B$9,"priority gap","no audio")))</f>
        <v>in train</v>
      </c>
    </row>
    <row r="102" customFormat="false" ht="15" hidden="false" customHeight="false" outlineLevel="0" collapsed="false">
      <c r="A102" s="19" t="s">
        <v>737</v>
      </c>
      <c r="B102" s="19" t="s">
        <v>738</v>
      </c>
      <c r="C102" s="28" t="n">
        <f aca="false">D102/Overview!$B$10</f>
        <v>0.102632832975935</v>
      </c>
      <c r="D102" s="29" t="n">
        <v>3446</v>
      </c>
      <c r="E102" s="19" t="s">
        <v>9649</v>
      </c>
      <c r="F102" s="19" t="n">
        <v>1969</v>
      </c>
      <c r="G102" s="19" t="n">
        <v>2026</v>
      </c>
      <c r="H102" s="19" t="n">
        <f aca="false">IF(COUNTIF(Species!$B:$B,$A102)=0,"",IF(INDEX(Species!$A:$A,MATCH($A102,Species!$B:$B,0))="","",INDEX(Species!$A:$A,MATCH($A102,Species!$B:$B,0))))</f>
        <v>218</v>
      </c>
      <c r="I102" s="19" t="str">
        <f aca="false">IF(COUNTIF(Species!$B:$B,$A102)=0,"",INDEX(Species!$F:$F,MATCH($A102,Species!$B:$B,0)))</f>
        <v>few_shot</v>
      </c>
      <c r="J102" s="19" t="n">
        <f aca="false">COUNTIFS(Clips!$F:$F,$A102,Clips!$C:$C,"train")</f>
        <v>1</v>
      </c>
      <c r="K102" s="19" t="n">
        <f aca="false">COUNTIF(Clips!$F:$F,$A102)</f>
        <v>2</v>
      </c>
      <c r="L102" s="19" t="str">
        <f aca="false">IF(J102&gt;0,"in train",IF(K102&gt;0,"audio, none in train",IF(C102&gt;=Overview!$B$9,"priority gap","no audio")))</f>
        <v>in train</v>
      </c>
    </row>
    <row r="103" customFormat="false" ht="15" hidden="false" customHeight="false" outlineLevel="0" collapsed="false">
      <c r="A103" s="19" t="s">
        <v>666</v>
      </c>
      <c r="B103" s="19" t="s">
        <v>667</v>
      </c>
      <c r="C103" s="28" t="n">
        <f aca="false">D103/Overview!$B$10</f>
        <v>0.0992375506314034</v>
      </c>
      <c r="D103" s="29" t="n">
        <v>3332</v>
      </c>
      <c r="E103" s="19" t="s">
        <v>9649</v>
      </c>
      <c r="F103" s="19" t="n">
        <v>1973</v>
      </c>
      <c r="G103" s="19" t="n">
        <v>2026</v>
      </c>
      <c r="H103" s="19" t="n">
        <f aca="false">IF(COUNTIF(Species!$B:$B,$A103)=0,"",IF(INDEX(Species!$A:$A,MATCH($A103,Species!$B:$B,0))="","",INDEX(Species!$A:$A,MATCH($A103,Species!$B:$B,0))))</f>
        <v>153</v>
      </c>
      <c r="I103" s="19" t="str">
        <f aca="false">IF(COUNTIF(Species!$B:$B,$A103)=0,"",INDEX(Species!$F:$F,MATCH($A103,Species!$B:$B,0)))</f>
        <v>few_shot</v>
      </c>
      <c r="J103" s="19" t="n">
        <f aca="false">COUNTIFS(Clips!$F:$F,$A103,Clips!$C:$C,"train")</f>
        <v>2</v>
      </c>
      <c r="K103" s="19" t="n">
        <f aca="false">COUNTIF(Clips!$F:$F,$A103)</f>
        <v>3</v>
      </c>
      <c r="L103" s="19" t="str">
        <f aca="false">IF(J103&gt;0,"in train",IF(K103&gt;0,"audio, none in train",IF(C103&gt;=Overview!$B$9,"priority gap","no audio")))</f>
        <v>in train</v>
      </c>
    </row>
    <row r="104" customFormat="false" ht="15" hidden="false" customHeight="false" outlineLevel="0" collapsed="false">
      <c r="A104" s="19" t="s">
        <v>280</v>
      </c>
      <c r="B104" s="19" t="s">
        <v>281</v>
      </c>
      <c r="C104" s="28" t="n">
        <f aca="false">D104/Overview!$B$10</f>
        <v>0.0938765785084584</v>
      </c>
      <c r="D104" s="29" t="n">
        <v>3152</v>
      </c>
      <c r="E104" s="19" t="s">
        <v>9649</v>
      </c>
      <c r="F104" s="19" t="n">
        <v>1969</v>
      </c>
      <c r="G104" s="19" t="n">
        <v>2026</v>
      </c>
      <c r="H104" s="19" t="n">
        <f aca="false">IF(COUNTIF(Species!$B:$B,$A104)=0,"",IF(INDEX(Species!$A:$A,MATCH($A104,Species!$B:$B,0))="","",INDEX(Species!$A:$A,MATCH($A104,Species!$B:$B,0))))</f>
        <v>78</v>
      </c>
      <c r="I104" s="19" t="str">
        <f aca="false">IF(COUNTIF(Species!$B:$B,$A104)=0,"",INDEX(Species!$F:$F,MATCH($A104,Species!$B:$B,0)))</f>
        <v>core</v>
      </c>
      <c r="J104" s="19" t="n">
        <f aca="false">COUNTIFS(Clips!$F:$F,$A104,Clips!$C:$C,"train")</f>
        <v>15</v>
      </c>
      <c r="K104" s="19" t="n">
        <f aca="false">COUNTIF(Clips!$F:$F,$A104)</f>
        <v>21</v>
      </c>
      <c r="L104" s="19" t="str">
        <f aca="false">IF(J104&gt;0,"in train",IF(K104&gt;0,"audio, none in train",IF(C104&gt;=Overview!$B$9,"priority gap","no audio")))</f>
        <v>in train</v>
      </c>
    </row>
    <row r="105" customFormat="false" ht="15" hidden="false" customHeight="false" outlineLevel="0" collapsed="false">
      <c r="A105" s="19" t="s">
        <v>655</v>
      </c>
      <c r="B105" s="19" t="s">
        <v>656</v>
      </c>
      <c r="C105" s="28" t="n">
        <f aca="false">D105/Overview!$B$10</f>
        <v>0.093787228973076</v>
      </c>
      <c r="D105" s="29" t="n">
        <v>3149</v>
      </c>
      <c r="E105" s="19" t="s">
        <v>9649</v>
      </c>
      <c r="F105" s="19" t="n">
        <v>1969</v>
      </c>
      <c r="G105" s="19" t="n">
        <v>2026</v>
      </c>
      <c r="H105" s="19" t="n">
        <f aca="false">IF(COUNTIF(Species!$B:$B,$A105)=0,"",IF(INDEX(Species!$A:$A,MATCH($A105,Species!$B:$B,0))="","",INDEX(Species!$A:$A,MATCH($A105,Species!$B:$B,0))))</f>
        <v>107</v>
      </c>
      <c r="I105" s="19" t="str">
        <f aca="false">IF(COUNTIF(Species!$B:$B,$A105)=0,"",INDEX(Species!$F:$F,MATCH($A105,Species!$B:$B,0)))</f>
        <v>few_shot</v>
      </c>
      <c r="J105" s="19" t="n">
        <f aca="false">COUNTIFS(Clips!$F:$F,$A105,Clips!$C:$C,"train")</f>
        <v>2</v>
      </c>
      <c r="K105" s="19" t="n">
        <f aca="false">COUNTIF(Clips!$F:$F,$A105)</f>
        <v>3</v>
      </c>
      <c r="L105" s="19" t="str">
        <f aca="false">IF(J105&gt;0,"in train",IF(K105&gt;0,"audio, none in train",IF(C105&gt;=Overview!$B$9,"priority gap","no audio")))</f>
        <v>in train</v>
      </c>
    </row>
    <row r="106" customFormat="false" ht="15" hidden="false" customHeight="false" outlineLevel="0" collapsed="false">
      <c r="A106" s="19" t="s">
        <v>598</v>
      </c>
      <c r="B106" s="19" t="s">
        <v>599</v>
      </c>
      <c r="C106" s="28" t="n">
        <f aca="false">D106/Overview!$B$10</f>
        <v>0.0925065522992614</v>
      </c>
      <c r="D106" s="29" t="n">
        <v>3106</v>
      </c>
      <c r="E106" s="19" t="s">
        <v>9649</v>
      </c>
      <c r="F106" s="19" t="n">
        <v>1969</v>
      </c>
      <c r="G106" s="19" t="n">
        <v>2026</v>
      </c>
      <c r="H106" s="19" t="n">
        <f aca="false">IF(COUNTIF(Species!$B:$B,$A106)=0,"",IF(INDEX(Species!$A:$A,MATCH($A106,Species!$B:$B,0))="","",INDEX(Species!$A:$A,MATCH($A106,Species!$B:$B,0))))</f>
        <v>43</v>
      </c>
      <c r="I106" s="19" t="str">
        <f aca="false">IF(COUNTIF(Species!$B:$B,$A106)=0,"",INDEX(Species!$F:$F,MATCH($A106,Species!$B:$B,0)))</f>
        <v>few_shot</v>
      </c>
      <c r="J106" s="19" t="n">
        <f aca="false">COUNTIFS(Clips!$F:$F,$A106,Clips!$C:$C,"train")</f>
        <v>3</v>
      </c>
      <c r="K106" s="19" t="n">
        <f aca="false">COUNTIF(Clips!$F:$F,$A106)</f>
        <v>4</v>
      </c>
      <c r="L106" s="19" t="str">
        <f aca="false">IF(J106&gt;0,"in train",IF(K106&gt;0,"audio, none in train",IF(C106&gt;=Overview!$B$9,"priority gap","no audio")))</f>
        <v>in train</v>
      </c>
    </row>
    <row r="107" customFormat="false" ht="15" hidden="false" customHeight="false" outlineLevel="0" collapsed="false">
      <c r="A107" s="19" t="s">
        <v>692</v>
      </c>
      <c r="B107" s="19" t="s">
        <v>693</v>
      </c>
      <c r="C107" s="28" t="n">
        <f aca="false">D107/Overview!$B$10</f>
        <v>0.0873838456040029</v>
      </c>
      <c r="D107" s="29" t="n">
        <v>2934</v>
      </c>
      <c r="E107" s="19" t="s">
        <v>9649</v>
      </c>
      <c r="F107" s="19" t="n">
        <v>1986</v>
      </c>
      <c r="G107" s="19" t="n">
        <v>2026</v>
      </c>
      <c r="H107" s="19" t="n">
        <f aca="false">IF(COUNTIF(Species!$B:$B,$A107)=0,"",IF(INDEX(Species!$A:$A,MATCH($A107,Species!$B:$B,0))="","",INDEX(Species!$A:$A,MATCH($A107,Species!$B:$B,0))))</f>
        <v>242</v>
      </c>
      <c r="I107" s="19" t="str">
        <f aca="false">IF(COUNTIF(Species!$B:$B,$A107)=0,"",INDEX(Species!$F:$F,MATCH($A107,Species!$B:$B,0)))</f>
        <v>few_shot</v>
      </c>
      <c r="J107" s="19" t="n">
        <f aca="false">COUNTIFS(Clips!$F:$F,$A107,Clips!$C:$C,"train")</f>
        <v>2</v>
      </c>
      <c r="K107" s="19" t="n">
        <f aca="false">COUNTIF(Clips!$F:$F,$A107)</f>
        <v>3</v>
      </c>
      <c r="L107" s="19" t="str">
        <f aca="false">IF(J107&gt;0,"in train",IF(K107&gt;0,"audio, none in train",IF(C107&gt;=Overview!$B$9,"priority gap","no audio")))</f>
        <v>in train</v>
      </c>
    </row>
    <row r="108" customFormat="false" ht="15" hidden="false" customHeight="false" outlineLevel="0" collapsed="false">
      <c r="A108" s="19" t="s">
        <v>505</v>
      </c>
      <c r="B108" s="19" t="s">
        <v>506</v>
      </c>
      <c r="C108" s="28" t="n">
        <f aca="false">D108/Overview!$B$10</f>
        <v>0.0871753633547772</v>
      </c>
      <c r="D108" s="29" t="n">
        <v>2927</v>
      </c>
      <c r="E108" s="19" t="s">
        <v>9650</v>
      </c>
      <c r="F108" s="19" t="n">
        <v>1977</v>
      </c>
      <c r="G108" s="19" t="n">
        <v>2026</v>
      </c>
      <c r="H108" s="19" t="n">
        <f aca="false">IF(COUNTIF(Species!$B:$B,$A108)=0,"",IF(INDEX(Species!$A:$A,MATCH($A108,Species!$B:$B,0))="","",INDEX(Species!$A:$A,MATCH($A108,Species!$B:$B,0))))</f>
        <v>99</v>
      </c>
      <c r="I108" s="19" t="str">
        <f aca="false">IF(COUNTIF(Species!$B:$B,$A108)=0,"",INDEX(Species!$F:$F,MATCH($A108,Species!$B:$B,0)))</f>
        <v>few_shot</v>
      </c>
      <c r="J108" s="19" t="n">
        <f aca="false">COUNTIFS(Clips!$F:$F,$A108,Clips!$C:$C,"train")</f>
        <v>6</v>
      </c>
      <c r="K108" s="19" t="n">
        <f aca="false">COUNTIF(Clips!$F:$F,$A108)</f>
        <v>7</v>
      </c>
      <c r="L108" s="19" t="str">
        <f aca="false">IF(J108&gt;0,"in train",IF(K108&gt;0,"audio, none in train",IF(C108&gt;=Overview!$B$9,"priority gap","no audio")))</f>
        <v>in train</v>
      </c>
    </row>
    <row r="109" customFormat="false" ht="15" hidden="false" customHeight="false" outlineLevel="0" collapsed="false">
      <c r="A109" s="19" t="s">
        <v>212</v>
      </c>
      <c r="B109" s="19" t="s">
        <v>213</v>
      </c>
      <c r="C109" s="28" t="n">
        <f aca="false">D109/Overview!$B$10</f>
        <v>0.0867286156778652</v>
      </c>
      <c r="D109" s="29" t="n">
        <v>2912</v>
      </c>
      <c r="E109" s="19" t="s">
        <v>9649</v>
      </c>
      <c r="F109" s="19" t="n">
        <v>1969</v>
      </c>
      <c r="G109" s="19" t="n">
        <v>2026</v>
      </c>
      <c r="H109" s="19" t="n">
        <f aca="false">IF(COUNTIF(Species!$B:$B,$A109)=0,"",IF(INDEX(Species!$A:$A,MATCH($A109,Species!$B:$B,0))="","",INDEX(Species!$A:$A,MATCH($A109,Species!$B:$B,0))))</f>
        <v>126</v>
      </c>
      <c r="I109" s="19" t="str">
        <f aca="false">IF(COUNTIF(Species!$B:$B,$A109)=0,"",INDEX(Species!$F:$F,MATCH($A109,Species!$B:$B,0)))</f>
        <v>core</v>
      </c>
      <c r="J109" s="19" t="n">
        <f aca="false">COUNTIFS(Clips!$F:$F,$A109,Clips!$C:$C,"train")</f>
        <v>24</v>
      </c>
      <c r="K109" s="19" t="n">
        <f aca="false">COUNTIF(Clips!$F:$F,$A109)</f>
        <v>34</v>
      </c>
      <c r="L109" s="19" t="str">
        <f aca="false">IF(J109&gt;0,"in train",IF(K109&gt;0,"audio, none in train",IF(C109&gt;=Overview!$B$9,"priority gap","no audio")))</f>
        <v>in train</v>
      </c>
    </row>
    <row r="110" customFormat="false" ht="15" hidden="false" customHeight="false" outlineLevel="0" collapsed="false">
      <c r="A110" s="19" t="s">
        <v>332</v>
      </c>
      <c r="B110" s="19" t="s">
        <v>333</v>
      </c>
      <c r="C110" s="28" t="n">
        <f aca="false">D110/Overview!$B$10</f>
        <v>0.0816356921610674</v>
      </c>
      <c r="D110" s="29" t="n">
        <v>2741</v>
      </c>
      <c r="E110" s="19" t="s">
        <v>9649</v>
      </c>
      <c r="F110" s="19" t="n">
        <v>1977</v>
      </c>
      <c r="G110" s="19" t="n">
        <v>2026</v>
      </c>
      <c r="H110" s="19" t="n">
        <f aca="false">IF(COUNTIF(Species!$B:$B,$A110)=0,"",IF(INDEX(Species!$A:$A,MATCH($A110,Species!$B:$B,0))="","",INDEX(Species!$A:$A,MATCH($A110,Species!$B:$B,0))))</f>
        <v>118</v>
      </c>
      <c r="I110" s="19" t="str">
        <f aca="false">IF(COUNTIF(Species!$B:$B,$A110)=0,"",INDEX(Species!$F:$F,MATCH($A110,Species!$B:$B,0)))</f>
        <v>core</v>
      </c>
      <c r="J110" s="19" t="n">
        <f aca="false">COUNTIFS(Clips!$F:$F,$A110,Clips!$C:$C,"train")</f>
        <v>12</v>
      </c>
      <c r="K110" s="19" t="n">
        <f aca="false">COUNTIF(Clips!$F:$F,$A110)</f>
        <v>16</v>
      </c>
      <c r="L110" s="19" t="str">
        <f aca="false">IF(J110&gt;0,"in train",IF(K110&gt;0,"audio, none in train",IF(C110&gt;=Overview!$B$9,"priority gap","no audio")))</f>
        <v>in train</v>
      </c>
    </row>
    <row r="111" customFormat="false" ht="15" hidden="false" customHeight="false" outlineLevel="0" collapsed="false">
      <c r="A111" s="19" t="s">
        <v>370</v>
      </c>
      <c r="B111" s="19" t="s">
        <v>371</v>
      </c>
      <c r="C111" s="28" t="n">
        <f aca="false">D111/Overview!$B$10</f>
        <v>0.0809506790564689</v>
      </c>
      <c r="D111" s="29" t="n">
        <v>2718</v>
      </c>
      <c r="E111" s="19" t="s">
        <v>9649</v>
      </c>
      <c r="F111" s="19" t="n">
        <v>1969</v>
      </c>
      <c r="G111" s="19" t="n">
        <v>2026</v>
      </c>
      <c r="H111" s="19" t="n">
        <f aca="false">IF(COUNTIF(Species!$B:$B,$A111)=0,"",IF(INDEX(Species!$A:$A,MATCH($A111,Species!$B:$B,0))="","",INDEX(Species!$A:$A,MATCH($A111,Species!$B:$B,0))))</f>
        <v>4</v>
      </c>
      <c r="I111" s="19" t="str">
        <f aca="false">IF(COUNTIF(Species!$B:$B,$A111)=0,"",INDEX(Species!$F:$F,MATCH($A111,Species!$B:$B,0)))</f>
        <v>core</v>
      </c>
      <c r="J111" s="19" t="n">
        <f aca="false">COUNTIFS(Clips!$F:$F,$A111,Clips!$C:$C,"train")</f>
        <v>8</v>
      </c>
      <c r="K111" s="19" t="n">
        <f aca="false">COUNTIF(Clips!$F:$F,$A111)</f>
        <v>12</v>
      </c>
      <c r="L111" s="19" t="str">
        <f aca="false">IF(J111&gt;0,"in train",IF(K111&gt;0,"audio, none in train",IF(C111&gt;=Overview!$B$9,"priority gap","no audio")))</f>
        <v>in train</v>
      </c>
    </row>
    <row r="112" customFormat="false" ht="15" hidden="false" customHeight="false" outlineLevel="0" collapsed="false">
      <c r="A112" s="19" t="s">
        <v>376</v>
      </c>
      <c r="B112" s="19" t="s">
        <v>377</v>
      </c>
      <c r="C112" s="28" t="n">
        <f aca="false">D112/Overview!$B$10</f>
        <v>0.0809208958780081</v>
      </c>
      <c r="D112" s="29" t="n">
        <v>2717</v>
      </c>
      <c r="E112" s="19" t="s">
        <v>9649</v>
      </c>
      <c r="F112" s="19" t="n">
        <v>1972</v>
      </c>
      <c r="G112" s="19" t="n">
        <v>2026</v>
      </c>
      <c r="H112" s="19" t="n">
        <f aca="false">IF(COUNTIF(Species!$B:$B,$A112)=0,"",IF(INDEX(Species!$A:$A,MATCH($A112,Species!$B:$B,0))="","",INDEX(Species!$A:$A,MATCH($A112,Species!$B:$B,0))))</f>
        <v>115</v>
      </c>
      <c r="I112" s="19" t="str">
        <f aca="false">IF(COUNTIF(Species!$B:$B,$A112)=0,"",INDEX(Species!$F:$F,MATCH($A112,Species!$B:$B,0)))</f>
        <v>core</v>
      </c>
      <c r="J112" s="19" t="n">
        <f aca="false">COUNTIFS(Clips!$F:$F,$A112,Clips!$C:$C,"train")</f>
        <v>8</v>
      </c>
      <c r="K112" s="19" t="n">
        <f aca="false">COUNTIF(Clips!$F:$F,$A112)</f>
        <v>12</v>
      </c>
      <c r="L112" s="19" t="str">
        <f aca="false">IF(J112&gt;0,"in train",IF(K112&gt;0,"audio, none in train",IF(C112&gt;=Overview!$B$9,"priority gap","no audio")))</f>
        <v>in train</v>
      </c>
    </row>
    <row r="113" customFormat="false" ht="15" hidden="false" customHeight="false" outlineLevel="0" collapsed="false">
      <c r="A113" s="19" t="s">
        <v>9663</v>
      </c>
      <c r="B113" s="19" t="s">
        <v>9664</v>
      </c>
      <c r="C113" s="28" t="n">
        <f aca="false">D113/Overview!$B$10</f>
        <v>0.0806826304503217</v>
      </c>
      <c r="D113" s="29" t="n">
        <v>2709</v>
      </c>
      <c r="E113" s="19" t="s">
        <v>9649</v>
      </c>
      <c r="F113" s="19" t="n">
        <v>1979</v>
      </c>
      <c r="G113" s="19" t="n">
        <v>2026</v>
      </c>
      <c r="H113" s="19" t="str">
        <f aca="false">IF(COUNTIF(Species!$B:$B,$A113)=0,"",IF(INDEX(Species!$A:$A,MATCH($A113,Species!$B:$B,0))="","",INDEX(Species!$A:$A,MATCH($A113,Species!$B:$B,0))))</f>
        <v/>
      </c>
      <c r="I113" s="19" t="str">
        <f aca="false">IF(COUNTIF(Species!$B:$B,$A113)=0,"",INDEX(Species!$F:$F,MATCH($A113,Species!$B:$B,0)))</f>
        <v/>
      </c>
      <c r="J113" s="19" t="n">
        <f aca="false">COUNTIFS(Clips!$F:$F,$A113,Clips!$C:$C,"train")</f>
        <v>0</v>
      </c>
      <c r="K113" s="19" t="n">
        <f aca="false">COUNTIF(Clips!$F:$F,$A113)</f>
        <v>0</v>
      </c>
      <c r="L113" s="19" t="str">
        <f aca="false">IF(J113&gt;0,"in train",IF(K113&gt;0,"audio, none in train",IF(C113&gt;=Overview!$B$9,"priority gap","no audio")))</f>
        <v>priority gap</v>
      </c>
    </row>
    <row r="114" customFormat="false" ht="15" hidden="false" customHeight="false" outlineLevel="0" collapsed="false">
      <c r="A114" s="19" t="s">
        <v>9665</v>
      </c>
      <c r="B114" s="19" t="s">
        <v>9666</v>
      </c>
      <c r="C114" s="28" t="n">
        <f aca="false">D114/Overview!$B$10</f>
        <v>0.0799678341672623</v>
      </c>
      <c r="D114" s="29" t="n">
        <v>2685</v>
      </c>
      <c r="E114" s="19" t="s">
        <v>9649</v>
      </c>
      <c r="F114" s="19" t="n">
        <v>1987</v>
      </c>
      <c r="G114" s="19" t="n">
        <v>2026</v>
      </c>
      <c r="H114" s="19" t="str">
        <f aca="false">IF(COUNTIF(Species!$B:$B,$A114)=0,"",IF(INDEX(Species!$A:$A,MATCH($A114,Species!$B:$B,0))="","",INDEX(Species!$A:$A,MATCH($A114,Species!$B:$B,0))))</f>
        <v/>
      </c>
      <c r="I114" s="19" t="str">
        <f aca="false">IF(COUNTIF(Species!$B:$B,$A114)=0,"",INDEX(Species!$F:$F,MATCH($A114,Species!$B:$B,0)))</f>
        <v/>
      </c>
      <c r="J114" s="19" t="n">
        <f aca="false">COUNTIFS(Clips!$F:$F,$A114,Clips!$C:$C,"train")</f>
        <v>0</v>
      </c>
      <c r="K114" s="19" t="n">
        <f aca="false">COUNTIF(Clips!$F:$F,$A114)</f>
        <v>0</v>
      </c>
      <c r="L114" s="19" t="str">
        <f aca="false">IF(J114&gt;0,"in train",IF(K114&gt;0,"audio, none in train",IF(C114&gt;=Overview!$B$9,"priority gap","no audio")))</f>
        <v>priority gap</v>
      </c>
    </row>
    <row r="115" customFormat="false" ht="15" hidden="false" customHeight="false" outlineLevel="0" collapsed="false">
      <c r="A115" s="19" t="s">
        <v>295</v>
      </c>
      <c r="B115" s="19" t="s">
        <v>296</v>
      </c>
      <c r="C115" s="28" t="n">
        <f aca="false">D115/Overview!$B$10</f>
        <v>0.0797295687395759</v>
      </c>
      <c r="D115" s="29" t="n">
        <v>2677</v>
      </c>
      <c r="E115" s="19" t="s">
        <v>9649</v>
      </c>
      <c r="F115" s="19" t="n">
        <v>1971</v>
      </c>
      <c r="G115" s="19" t="n">
        <v>2026</v>
      </c>
      <c r="H115" s="19" t="n">
        <f aca="false">IF(COUNTIF(Species!$B:$B,$A115)=0,"",IF(INDEX(Species!$A:$A,MATCH($A115,Species!$B:$B,0))="","",INDEX(Species!$A:$A,MATCH($A115,Species!$B:$B,0))))</f>
        <v>157</v>
      </c>
      <c r="I115" s="19" t="str">
        <f aca="false">IF(COUNTIF(Species!$B:$B,$A115)=0,"",INDEX(Species!$F:$F,MATCH($A115,Species!$B:$B,0)))</f>
        <v>core</v>
      </c>
      <c r="J115" s="19" t="n">
        <f aca="false">COUNTIFS(Clips!$F:$F,$A115,Clips!$C:$C,"train")</f>
        <v>14</v>
      </c>
      <c r="K115" s="19" t="n">
        <f aca="false">COUNTIF(Clips!$F:$F,$A115)</f>
        <v>21</v>
      </c>
      <c r="L115" s="19" t="str">
        <f aca="false">IF(J115&gt;0,"in train",IF(K115&gt;0,"audio, none in train",IF(C115&gt;=Overview!$B$9,"priority gap","no audio")))</f>
        <v>in train</v>
      </c>
    </row>
    <row r="116" customFormat="false" ht="15" hidden="false" customHeight="false" outlineLevel="0" collapsed="false">
      <c r="A116" s="19" t="s">
        <v>9667</v>
      </c>
      <c r="B116" s="19" t="s">
        <v>9668</v>
      </c>
      <c r="C116" s="28" t="n">
        <f aca="false">D116/Overview!$B$10</f>
        <v>0.0796997855611151</v>
      </c>
      <c r="D116" s="29" t="n">
        <v>2676</v>
      </c>
      <c r="E116" s="19" t="s">
        <v>9650</v>
      </c>
      <c r="F116" s="19" t="n">
        <v>1977</v>
      </c>
      <c r="G116" s="19" t="n">
        <v>2026</v>
      </c>
      <c r="H116" s="19" t="str">
        <f aca="false">IF(COUNTIF(Species!$B:$B,$A116)=0,"",IF(INDEX(Species!$A:$A,MATCH($A116,Species!$B:$B,0))="","",INDEX(Species!$A:$A,MATCH($A116,Species!$B:$B,0))))</f>
        <v/>
      </c>
      <c r="I116" s="19" t="str">
        <f aca="false">IF(COUNTIF(Species!$B:$B,$A116)=0,"",INDEX(Species!$F:$F,MATCH($A116,Species!$B:$B,0)))</f>
        <v/>
      </c>
      <c r="J116" s="19" t="n">
        <f aca="false">COUNTIFS(Clips!$F:$F,$A116,Clips!$C:$C,"train")</f>
        <v>0</v>
      </c>
      <c r="K116" s="19" t="n">
        <f aca="false">COUNTIF(Clips!$F:$F,$A116)</f>
        <v>0</v>
      </c>
      <c r="L116" s="19" t="str">
        <f aca="false">IF(J116&gt;0,"in train",IF(K116&gt;0,"audio, none in train",IF(C116&gt;=Overview!$B$9,"priority gap","no audio")))</f>
        <v>priority gap</v>
      </c>
    </row>
    <row r="117" customFormat="false" ht="15" hidden="false" customHeight="false" outlineLevel="0" collapsed="false">
      <c r="A117" s="19" t="s">
        <v>9669</v>
      </c>
      <c r="B117" s="19" t="s">
        <v>9670</v>
      </c>
      <c r="C117" s="28" t="n">
        <f aca="false">D117/Overview!$B$10</f>
        <v>0.07803192756731</v>
      </c>
      <c r="D117" s="29" t="n">
        <v>2620</v>
      </c>
      <c r="E117" s="19" t="s">
        <v>9655</v>
      </c>
      <c r="F117" s="19" t="n">
        <v>1973</v>
      </c>
      <c r="G117" s="19" t="n">
        <v>2026</v>
      </c>
      <c r="H117" s="19" t="str">
        <f aca="false">IF(COUNTIF(Species!$B:$B,$A117)=0,"",IF(INDEX(Species!$A:$A,MATCH($A117,Species!$B:$B,0))="","",INDEX(Species!$A:$A,MATCH($A117,Species!$B:$B,0))))</f>
        <v/>
      </c>
      <c r="I117" s="19" t="str">
        <f aca="false">IF(COUNTIF(Species!$B:$B,$A117)=0,"",INDEX(Species!$F:$F,MATCH($A117,Species!$B:$B,0)))</f>
        <v/>
      </c>
      <c r="J117" s="19" t="n">
        <f aca="false">COUNTIFS(Clips!$F:$F,$A117,Clips!$C:$C,"train")</f>
        <v>0</v>
      </c>
      <c r="K117" s="19" t="n">
        <f aca="false">COUNTIF(Clips!$F:$F,$A117)</f>
        <v>0</v>
      </c>
      <c r="L117" s="19" t="str">
        <f aca="false">IF(J117&gt;0,"in train",IF(K117&gt;0,"audio, none in train",IF(C117&gt;=Overview!$B$9,"priority gap","no audio")))</f>
        <v>priority gap</v>
      </c>
    </row>
    <row r="118" customFormat="false" ht="15" hidden="false" customHeight="false" outlineLevel="0" collapsed="false">
      <c r="A118" s="19" t="s">
        <v>780</v>
      </c>
      <c r="B118" s="19" t="s">
        <v>781</v>
      </c>
      <c r="C118" s="28" t="n">
        <f aca="false">D118/Overview!$B$10</f>
        <v>0.0772873481057899</v>
      </c>
      <c r="D118" s="29" t="n">
        <v>2595</v>
      </c>
      <c r="E118" s="19" t="s">
        <v>9649</v>
      </c>
      <c r="F118" s="19" t="n">
        <v>1969</v>
      </c>
      <c r="G118" s="19" t="n">
        <v>2026</v>
      </c>
      <c r="H118" s="19" t="n">
        <f aca="false">IF(COUNTIF(Species!$B:$B,$A118)=0,"",IF(INDEX(Species!$A:$A,MATCH($A118,Species!$B:$B,0))="","",INDEX(Species!$A:$A,MATCH($A118,Species!$B:$B,0))))</f>
        <v>40</v>
      </c>
      <c r="I118" s="19" t="str">
        <f aca="false">IF(COUNTIF(Species!$B:$B,$A118)=0,"",INDEX(Species!$F:$F,MATCH($A118,Species!$B:$B,0)))</f>
        <v>singleton</v>
      </c>
      <c r="J118" s="19" t="n">
        <f aca="false">COUNTIFS(Clips!$F:$F,$A118,Clips!$C:$C,"train")</f>
        <v>0</v>
      </c>
      <c r="K118" s="19" t="n">
        <f aca="false">COUNTIF(Clips!$F:$F,$A118)</f>
        <v>1</v>
      </c>
      <c r="L118" s="19" t="str">
        <f aca="false">IF(J118&gt;0,"in train",IF(K118&gt;0,"audio, none in train",IF(C118&gt;=Overview!$B$9,"priority gap","no audio")))</f>
        <v>audio, none in train</v>
      </c>
    </row>
    <row r="119" customFormat="false" ht="15" hidden="false" customHeight="false" outlineLevel="0" collapsed="false">
      <c r="A119" s="19" t="s">
        <v>9671</v>
      </c>
      <c r="B119" s="19" t="s">
        <v>9672</v>
      </c>
      <c r="C119" s="28" t="n">
        <f aca="false">D119/Overview!$B$10</f>
        <v>0.0770788658565642</v>
      </c>
      <c r="D119" s="29" t="n">
        <v>2588</v>
      </c>
      <c r="E119" s="19" t="s">
        <v>9649</v>
      </c>
      <c r="F119" s="19" t="n">
        <v>1969</v>
      </c>
      <c r="G119" s="19" t="n">
        <v>2026</v>
      </c>
      <c r="H119" s="19" t="str">
        <f aca="false">IF(COUNTIF(Species!$B:$B,$A119)=0,"",IF(INDEX(Species!$A:$A,MATCH($A119,Species!$B:$B,0))="","",INDEX(Species!$A:$A,MATCH($A119,Species!$B:$B,0))))</f>
        <v/>
      </c>
      <c r="I119" s="19" t="str">
        <f aca="false">IF(COUNTIF(Species!$B:$B,$A119)=0,"",INDEX(Species!$F:$F,MATCH($A119,Species!$B:$B,0)))</f>
        <v/>
      </c>
      <c r="J119" s="19" t="n">
        <f aca="false">COUNTIFS(Clips!$F:$F,$A119,Clips!$C:$C,"train")</f>
        <v>0</v>
      </c>
      <c r="K119" s="19" t="n">
        <f aca="false">COUNTIF(Clips!$F:$F,$A119)</f>
        <v>0</v>
      </c>
      <c r="L119" s="19" t="str">
        <f aca="false">IF(J119&gt;0,"in train",IF(K119&gt;0,"audio, none in train",IF(C119&gt;=Overview!$B$9,"priority gap","no audio")))</f>
        <v>priority gap</v>
      </c>
    </row>
    <row r="120" customFormat="false" ht="15" hidden="false" customHeight="false" outlineLevel="0" collapsed="false">
      <c r="A120" s="19" t="s">
        <v>9673</v>
      </c>
      <c r="B120" s="19" t="s">
        <v>9674</v>
      </c>
      <c r="C120" s="28" t="n">
        <f aca="false">D120/Overview!$B$10</f>
        <v>0.0759471050750536</v>
      </c>
      <c r="D120" s="29" t="n">
        <v>2550</v>
      </c>
      <c r="E120" s="19" t="s">
        <v>9649</v>
      </c>
      <c r="F120" s="19" t="n">
        <v>1969</v>
      </c>
      <c r="G120" s="19" t="n">
        <v>2026</v>
      </c>
      <c r="H120" s="19" t="str">
        <f aca="false">IF(COUNTIF(Species!$B:$B,$A120)=0,"",IF(INDEX(Species!$A:$A,MATCH($A120,Species!$B:$B,0))="","",INDEX(Species!$A:$A,MATCH($A120,Species!$B:$B,0))))</f>
        <v/>
      </c>
      <c r="I120" s="19" t="str">
        <f aca="false">IF(COUNTIF(Species!$B:$B,$A120)=0,"",INDEX(Species!$F:$F,MATCH($A120,Species!$B:$B,0)))</f>
        <v/>
      </c>
      <c r="J120" s="19" t="n">
        <f aca="false">COUNTIFS(Clips!$F:$F,$A120,Clips!$C:$C,"train")</f>
        <v>0</v>
      </c>
      <c r="K120" s="19" t="n">
        <f aca="false">COUNTIF(Clips!$F:$F,$A120)</f>
        <v>0</v>
      </c>
      <c r="L120" s="19" t="str">
        <f aca="false">IF(J120&gt;0,"in train",IF(K120&gt;0,"audio, none in train",IF(C120&gt;=Overview!$B$9,"priority gap","no audio")))</f>
        <v>priority gap</v>
      </c>
    </row>
    <row r="121" customFormat="false" ht="15" hidden="false" customHeight="false" outlineLevel="0" collapsed="false">
      <c r="A121" s="19" t="s">
        <v>240</v>
      </c>
      <c r="B121" s="19" t="s">
        <v>241</v>
      </c>
      <c r="C121" s="28" t="n">
        <f aca="false">D121/Overview!$B$10</f>
        <v>0.0758577555396712</v>
      </c>
      <c r="D121" s="29" t="n">
        <v>2547</v>
      </c>
      <c r="E121" s="19" t="s">
        <v>9649</v>
      </c>
      <c r="F121" s="19" t="n">
        <v>1969</v>
      </c>
      <c r="G121" s="19" t="n">
        <v>2026</v>
      </c>
      <c r="H121" s="19" t="n">
        <f aca="false">IF(COUNTIF(Species!$B:$B,$A121)=0,"",IF(INDEX(Species!$A:$A,MATCH($A121,Species!$B:$B,0))="","",INDEX(Species!$A:$A,MATCH($A121,Species!$B:$B,0))))</f>
        <v>186</v>
      </c>
      <c r="I121" s="19" t="str">
        <f aca="false">IF(COUNTIF(Species!$B:$B,$A121)=0,"",INDEX(Species!$F:$F,MATCH($A121,Species!$B:$B,0)))</f>
        <v>core</v>
      </c>
      <c r="J121" s="19" t="n">
        <f aca="false">COUNTIFS(Clips!$F:$F,$A121,Clips!$C:$C,"train")</f>
        <v>22</v>
      </c>
      <c r="K121" s="19" t="n">
        <f aca="false">COUNTIF(Clips!$F:$F,$A121)</f>
        <v>30</v>
      </c>
      <c r="L121" s="19" t="str">
        <f aca="false">IF(J121&gt;0,"in train",IF(K121&gt;0,"audio, none in train",IF(C121&gt;=Overview!$B$9,"priority gap","no audio")))</f>
        <v>in train</v>
      </c>
    </row>
    <row r="122" customFormat="false" ht="15" hidden="false" customHeight="false" outlineLevel="0" collapsed="false">
      <c r="A122" s="19" t="s">
        <v>360</v>
      </c>
      <c r="B122" s="19" t="s">
        <v>361</v>
      </c>
      <c r="C122" s="28" t="n">
        <f aca="false">D122/Overview!$B$10</f>
        <v>0.0751131760781511</v>
      </c>
      <c r="D122" s="29" t="n">
        <v>2522</v>
      </c>
      <c r="E122" s="19" t="s">
        <v>9649</v>
      </c>
      <c r="F122" s="19" t="n">
        <v>1969</v>
      </c>
      <c r="G122" s="19" t="n">
        <v>2026</v>
      </c>
      <c r="H122" s="19" t="n">
        <f aca="false">IF(COUNTIF(Species!$B:$B,$A122)=0,"",IF(INDEX(Species!$A:$A,MATCH($A122,Species!$B:$B,0))="","",INDEX(Species!$A:$A,MATCH($A122,Species!$B:$B,0))))</f>
        <v>155</v>
      </c>
      <c r="I122" s="19" t="str">
        <f aca="false">IF(COUNTIF(Species!$B:$B,$A122)=0,"",INDEX(Species!$F:$F,MATCH($A122,Species!$B:$B,0)))</f>
        <v>core</v>
      </c>
      <c r="J122" s="19" t="n">
        <f aca="false">COUNTIFS(Clips!$F:$F,$A122,Clips!$C:$C,"train")</f>
        <v>9</v>
      </c>
      <c r="K122" s="19" t="n">
        <f aca="false">COUNTIF(Clips!$F:$F,$A122)</f>
        <v>13</v>
      </c>
      <c r="L122" s="19" t="str">
        <f aca="false">IF(J122&gt;0,"in train",IF(K122&gt;0,"audio, none in train",IF(C122&gt;=Overview!$B$9,"priority gap","no audio")))</f>
        <v>in train</v>
      </c>
    </row>
    <row r="123" customFormat="false" ht="15" hidden="false" customHeight="false" outlineLevel="0" collapsed="false">
      <c r="A123" s="19" t="s">
        <v>225</v>
      </c>
      <c r="B123" s="19" t="s">
        <v>226</v>
      </c>
      <c r="C123" s="28" t="n">
        <f aca="false">D123/Overview!$B$10</f>
        <v>0.074964260185847</v>
      </c>
      <c r="D123" s="29" t="n">
        <v>2517</v>
      </c>
      <c r="E123" s="19" t="s">
        <v>9649</v>
      </c>
      <c r="F123" s="19" t="n">
        <v>1969</v>
      </c>
      <c r="G123" s="19" t="n">
        <v>2026</v>
      </c>
      <c r="H123" s="19" t="n">
        <f aca="false">IF(COUNTIF(Species!$B:$B,$A123)=0,"",IF(INDEX(Species!$A:$A,MATCH($A123,Species!$B:$B,0))="","",INDEX(Species!$A:$A,MATCH($A123,Species!$B:$B,0))))</f>
        <v>76</v>
      </c>
      <c r="I123" s="19" t="str">
        <f aca="false">IF(COUNTIF(Species!$B:$B,$A123)=0,"",INDEX(Species!$F:$F,MATCH($A123,Species!$B:$B,0)))</f>
        <v>core</v>
      </c>
      <c r="J123" s="19" t="n">
        <f aca="false">COUNTIFS(Clips!$F:$F,$A123,Clips!$C:$C,"train")</f>
        <v>22</v>
      </c>
      <c r="K123" s="19" t="n">
        <f aca="false">COUNTIF(Clips!$F:$F,$A123)</f>
        <v>33</v>
      </c>
      <c r="L123" s="19" t="str">
        <f aca="false">IF(J123&gt;0,"in train",IF(K123&gt;0,"audio, none in train",IF(C123&gt;=Overview!$B$9,"priority gap","no audio")))</f>
        <v>in train</v>
      </c>
    </row>
    <row r="124" customFormat="false" ht="15" hidden="false" customHeight="false" outlineLevel="0" collapsed="false">
      <c r="A124" s="19" t="s">
        <v>9675</v>
      </c>
      <c r="B124" s="19" t="s">
        <v>9676</v>
      </c>
      <c r="C124" s="28" t="n">
        <f aca="false">D124/Overview!$B$10</f>
        <v>0.0742196807243269</v>
      </c>
      <c r="D124" s="29" t="n">
        <v>2492</v>
      </c>
      <c r="E124" s="19" t="s">
        <v>9649</v>
      </c>
      <c r="F124" s="19" t="n">
        <v>1980</v>
      </c>
      <c r="G124" s="19" t="n">
        <v>2026</v>
      </c>
      <c r="H124" s="19" t="str">
        <f aca="false">IF(COUNTIF(Species!$B:$B,$A124)=0,"",IF(INDEX(Species!$A:$A,MATCH($A124,Species!$B:$B,0))="","",INDEX(Species!$A:$A,MATCH($A124,Species!$B:$B,0))))</f>
        <v/>
      </c>
      <c r="I124" s="19" t="str">
        <f aca="false">IF(COUNTIF(Species!$B:$B,$A124)=0,"",INDEX(Species!$F:$F,MATCH($A124,Species!$B:$B,0)))</f>
        <v/>
      </c>
      <c r="J124" s="19" t="n">
        <f aca="false">COUNTIFS(Clips!$F:$F,$A124,Clips!$C:$C,"train")</f>
        <v>0</v>
      </c>
      <c r="K124" s="19" t="n">
        <f aca="false">COUNTIF(Clips!$F:$F,$A124)</f>
        <v>0</v>
      </c>
      <c r="L124" s="19" t="str">
        <f aca="false">IF(J124&gt;0,"in train",IF(K124&gt;0,"audio, none in train",IF(C124&gt;=Overview!$B$9,"priority gap","no audio")))</f>
        <v>priority gap</v>
      </c>
    </row>
    <row r="125" customFormat="false" ht="15" hidden="false" customHeight="false" outlineLevel="0" collapsed="false">
      <c r="A125" s="19" t="s">
        <v>550</v>
      </c>
      <c r="B125" s="19" t="s">
        <v>551</v>
      </c>
      <c r="C125" s="28" t="n">
        <f aca="false">D125/Overview!$B$10</f>
        <v>0.0732964021920419</v>
      </c>
      <c r="D125" s="29" t="n">
        <v>2461</v>
      </c>
      <c r="E125" s="19" t="s">
        <v>9649</v>
      </c>
      <c r="F125" s="19" t="n">
        <v>1971</v>
      </c>
      <c r="G125" s="19" t="n">
        <v>2026</v>
      </c>
      <c r="H125" s="19" t="n">
        <f aca="false">IF(COUNTIF(Species!$B:$B,$A125)=0,"",IF(INDEX(Species!$A:$A,MATCH($A125,Species!$B:$B,0))="","",INDEX(Species!$A:$A,MATCH($A125,Species!$B:$B,0))))</f>
        <v>26</v>
      </c>
      <c r="I125" s="19" t="str">
        <f aca="false">IF(COUNTIF(Species!$B:$B,$A125)=0,"",INDEX(Species!$F:$F,MATCH($A125,Species!$B:$B,0)))</f>
        <v>few_shot</v>
      </c>
      <c r="J125" s="19" t="n">
        <f aca="false">COUNTIFS(Clips!$F:$F,$A125,Clips!$C:$C,"train")</f>
        <v>4</v>
      </c>
      <c r="K125" s="19" t="n">
        <f aca="false">COUNTIF(Clips!$F:$F,$A125)</f>
        <v>5</v>
      </c>
      <c r="L125" s="19" t="str">
        <f aca="false">IF(J125&gt;0,"in train",IF(K125&gt;0,"audio, none in train",IF(C125&gt;=Overview!$B$9,"priority gap","no audio")))</f>
        <v>in train</v>
      </c>
    </row>
    <row r="126" customFormat="false" ht="15" hidden="false" customHeight="false" outlineLevel="0" collapsed="false">
      <c r="A126" s="19" t="s">
        <v>237</v>
      </c>
      <c r="B126" s="19" t="s">
        <v>238</v>
      </c>
      <c r="C126" s="28" t="n">
        <f aca="false">D126/Overview!$B$10</f>
        <v>0.0722539909459138</v>
      </c>
      <c r="D126" s="29" t="n">
        <v>2426</v>
      </c>
      <c r="E126" s="19" t="s">
        <v>9649</v>
      </c>
      <c r="F126" s="19" t="n">
        <v>1969</v>
      </c>
      <c r="G126" s="19" t="n">
        <v>2026</v>
      </c>
      <c r="H126" s="19" t="n">
        <f aca="false">IF(COUNTIF(Species!$B:$B,$A126)=0,"",IF(INDEX(Species!$A:$A,MATCH($A126,Species!$B:$B,0))="","",INDEX(Species!$A:$A,MATCH($A126,Species!$B:$B,0))))</f>
        <v>18</v>
      </c>
      <c r="I126" s="19" t="str">
        <f aca="false">IF(COUNTIF(Species!$B:$B,$A126)=0,"",INDEX(Species!$F:$F,MATCH($A126,Species!$B:$B,0)))</f>
        <v>core</v>
      </c>
      <c r="J126" s="19" t="n">
        <f aca="false">COUNTIFS(Clips!$F:$F,$A126,Clips!$C:$C,"train")</f>
        <v>22</v>
      </c>
      <c r="K126" s="19" t="n">
        <f aca="false">COUNTIF(Clips!$F:$F,$A126)</f>
        <v>30</v>
      </c>
      <c r="L126" s="19" t="str">
        <f aca="false">IF(J126&gt;0,"in train",IF(K126&gt;0,"audio, none in train",IF(C126&gt;=Overview!$B$9,"priority gap","no audio")))</f>
        <v>in train</v>
      </c>
    </row>
    <row r="127" customFormat="false" ht="15" hidden="false" customHeight="false" outlineLevel="0" collapsed="false">
      <c r="A127" s="19" t="s">
        <v>357</v>
      </c>
      <c r="B127" s="19" t="s">
        <v>358</v>
      </c>
      <c r="C127" s="28" t="n">
        <f aca="false">D127/Overview!$B$10</f>
        <v>0.0722539909459138</v>
      </c>
      <c r="D127" s="29" t="n">
        <v>2426</v>
      </c>
      <c r="E127" s="19" t="s">
        <v>9649</v>
      </c>
      <c r="F127" s="19" t="n">
        <v>1969</v>
      </c>
      <c r="G127" s="19" t="n">
        <v>2026</v>
      </c>
      <c r="H127" s="19" t="n">
        <f aca="false">IF(COUNTIF(Species!$B:$B,$A127)=0,"",IF(INDEX(Species!$A:$A,MATCH($A127,Species!$B:$B,0))="","",INDEX(Species!$A:$A,MATCH($A127,Species!$B:$B,0))))</f>
        <v>117</v>
      </c>
      <c r="I127" s="19" t="str">
        <f aca="false">IF(COUNTIF(Species!$B:$B,$A127)=0,"",INDEX(Species!$F:$F,MATCH($A127,Species!$B:$B,0)))</f>
        <v>core</v>
      </c>
      <c r="J127" s="19" t="n">
        <f aca="false">COUNTIFS(Clips!$F:$F,$A127,Clips!$C:$C,"train")</f>
        <v>9</v>
      </c>
      <c r="K127" s="19" t="n">
        <f aca="false">COUNTIF(Clips!$F:$F,$A127)</f>
        <v>13</v>
      </c>
      <c r="L127" s="19" t="str">
        <f aca="false">IF(J127&gt;0,"in train",IF(K127&gt;0,"audio, none in train",IF(C127&gt;=Overview!$B$9,"priority gap","no audio")))</f>
        <v>in train</v>
      </c>
    </row>
    <row r="128" customFormat="false" ht="15" hidden="false" customHeight="false" outlineLevel="0" collapsed="false">
      <c r="A128" s="19" t="s">
        <v>9677</v>
      </c>
      <c r="B128" s="19" t="s">
        <v>9678</v>
      </c>
      <c r="C128" s="28" t="n">
        <f aca="false">D128/Overview!$B$10</f>
        <v>0.0693650226352156</v>
      </c>
      <c r="D128" s="29" t="n">
        <v>2329</v>
      </c>
      <c r="E128" s="19" t="s">
        <v>9649</v>
      </c>
      <c r="F128" s="19" t="n">
        <v>1969</v>
      </c>
      <c r="G128" s="19" t="n">
        <v>2026</v>
      </c>
      <c r="H128" s="19" t="str">
        <f aca="false">IF(COUNTIF(Species!$B:$B,$A128)=0,"",IF(INDEX(Species!$A:$A,MATCH($A128,Species!$B:$B,0))="","",INDEX(Species!$A:$A,MATCH($A128,Species!$B:$B,0))))</f>
        <v/>
      </c>
      <c r="I128" s="19" t="str">
        <f aca="false">IF(COUNTIF(Species!$B:$B,$A128)=0,"",INDEX(Species!$F:$F,MATCH($A128,Species!$B:$B,0)))</f>
        <v/>
      </c>
      <c r="J128" s="19" t="n">
        <f aca="false">COUNTIFS(Clips!$F:$F,$A128,Clips!$C:$C,"train")</f>
        <v>0</v>
      </c>
      <c r="K128" s="19" t="n">
        <f aca="false">COUNTIF(Clips!$F:$F,$A128)</f>
        <v>0</v>
      </c>
      <c r="L128" s="19" t="str">
        <f aca="false">IF(J128&gt;0,"in train",IF(K128&gt;0,"audio, none in train",IF(C128&gt;=Overview!$B$9,"priority gap","no audio")))</f>
        <v>priority gap</v>
      </c>
    </row>
    <row r="129" customFormat="false" ht="15" hidden="false" customHeight="false" outlineLevel="0" collapsed="false">
      <c r="A129" s="19" t="s">
        <v>802</v>
      </c>
      <c r="B129" s="19" t="s">
        <v>803</v>
      </c>
      <c r="C129" s="28" t="n">
        <f aca="false">D129/Overview!$B$10</f>
        <v>0.0687395758875387</v>
      </c>
      <c r="D129" s="29" t="n">
        <v>2308</v>
      </c>
      <c r="E129" s="19" t="s">
        <v>9649</v>
      </c>
      <c r="F129" s="19" t="n">
        <v>1969</v>
      </c>
      <c r="G129" s="19" t="n">
        <v>2026</v>
      </c>
      <c r="H129" s="19" t="n">
        <f aca="false">IF(COUNTIF(Species!$B:$B,$A129)=0,"",IF(INDEX(Species!$A:$A,MATCH($A129,Species!$B:$B,0))="","",INDEX(Species!$A:$A,MATCH($A129,Species!$B:$B,0))))</f>
        <v>75</v>
      </c>
      <c r="I129" s="19" t="str">
        <f aca="false">IF(COUNTIF(Species!$B:$B,$A129)=0,"",INDEX(Species!$F:$F,MATCH($A129,Species!$B:$B,0)))</f>
        <v>singleton</v>
      </c>
      <c r="J129" s="19" t="n">
        <f aca="false">COUNTIFS(Clips!$F:$F,$A129,Clips!$C:$C,"train")</f>
        <v>0</v>
      </c>
      <c r="K129" s="19" t="n">
        <f aca="false">COUNTIF(Clips!$F:$F,$A129)</f>
        <v>1</v>
      </c>
      <c r="L129" s="19" t="str">
        <f aca="false">IF(J129&gt;0,"in train",IF(K129&gt;0,"audio, none in train",IF(C129&gt;=Overview!$B$9,"priority gap","no audio")))</f>
        <v>audio, none in train</v>
      </c>
    </row>
    <row r="130" customFormat="false" ht="15" hidden="false" customHeight="false" outlineLevel="0" collapsed="false">
      <c r="A130" s="19" t="s">
        <v>9679</v>
      </c>
      <c r="B130" s="19" t="s">
        <v>9680</v>
      </c>
      <c r="C130" s="28" t="n">
        <f aca="false">D130/Overview!$B$10</f>
        <v>0.0686502263521563</v>
      </c>
      <c r="D130" s="29" t="n">
        <v>2305</v>
      </c>
      <c r="E130" s="19" t="s">
        <v>9649</v>
      </c>
      <c r="F130" s="19" t="n">
        <v>1972</v>
      </c>
      <c r="G130" s="19" t="n">
        <v>2026</v>
      </c>
      <c r="H130" s="19" t="str">
        <f aca="false">IF(COUNTIF(Species!$B:$B,$A130)=0,"",IF(INDEX(Species!$A:$A,MATCH($A130,Species!$B:$B,0))="","",INDEX(Species!$A:$A,MATCH($A130,Species!$B:$B,0))))</f>
        <v/>
      </c>
      <c r="I130" s="19" t="str">
        <f aca="false">IF(COUNTIF(Species!$B:$B,$A130)=0,"",INDEX(Species!$F:$F,MATCH($A130,Species!$B:$B,0)))</f>
        <v/>
      </c>
      <c r="J130" s="19" t="n">
        <f aca="false">COUNTIFS(Clips!$F:$F,$A130,Clips!$C:$C,"train")</f>
        <v>0</v>
      </c>
      <c r="K130" s="19" t="n">
        <f aca="false">COUNTIF(Clips!$F:$F,$A130)</f>
        <v>0</v>
      </c>
      <c r="L130" s="19" t="str">
        <f aca="false">IF(J130&gt;0,"in train",IF(K130&gt;0,"audio, none in train",IF(C130&gt;=Overview!$B$9,"priority gap","no audio")))</f>
        <v>priority gap</v>
      </c>
    </row>
    <row r="131" customFormat="false" ht="15" hidden="false" customHeight="false" outlineLevel="0" collapsed="false">
      <c r="A131" s="19" t="s">
        <v>882</v>
      </c>
      <c r="B131" s="19" t="s">
        <v>883</v>
      </c>
      <c r="C131" s="28" t="n">
        <f aca="false">D131/Overview!$B$10</f>
        <v>0.0681736954967834</v>
      </c>
      <c r="D131" s="29" t="n">
        <v>2289</v>
      </c>
      <c r="E131" s="19" t="s">
        <v>9649</v>
      </c>
      <c r="F131" s="19" t="n">
        <v>1969</v>
      </c>
      <c r="G131" s="19" t="n">
        <v>2026</v>
      </c>
      <c r="H131" s="19" t="n">
        <f aca="false">IF(COUNTIF(Species!$B:$B,$A131)=0,"",IF(INDEX(Species!$A:$A,MATCH($A131,Species!$B:$B,0))="","",INDEX(Species!$A:$A,MATCH($A131,Species!$B:$B,0))))</f>
        <v>224</v>
      </c>
      <c r="I131" s="19" t="str">
        <f aca="false">IF(COUNTIF(Species!$B:$B,$A131)=0,"",INDEX(Species!$F:$F,MATCH($A131,Species!$B:$B,0)))</f>
        <v>singleton</v>
      </c>
      <c r="J131" s="19" t="n">
        <f aca="false">COUNTIFS(Clips!$F:$F,$A131,Clips!$C:$C,"train")</f>
        <v>0</v>
      </c>
      <c r="K131" s="19" t="n">
        <f aca="false">COUNTIF(Clips!$F:$F,$A131)</f>
        <v>2</v>
      </c>
      <c r="L131" s="19" t="str">
        <f aca="false">IF(J131&gt;0,"in train",IF(K131&gt;0,"audio, none in train",IF(C131&gt;=Overview!$B$9,"priority gap","no audio")))</f>
        <v>audio, none in train</v>
      </c>
    </row>
    <row r="132" customFormat="false" ht="15" hidden="false" customHeight="false" outlineLevel="0" collapsed="false">
      <c r="A132" s="19" t="s">
        <v>876</v>
      </c>
      <c r="B132" s="19" t="s">
        <v>877</v>
      </c>
      <c r="C132" s="28" t="n">
        <f aca="false">D132/Overview!$B$10</f>
        <v>0.0676375982844889</v>
      </c>
      <c r="D132" s="29" t="n">
        <v>2271</v>
      </c>
      <c r="E132" s="19" t="s">
        <v>9649</v>
      </c>
      <c r="F132" s="19" t="n">
        <v>1969</v>
      </c>
      <c r="G132" s="19" t="n">
        <v>2026</v>
      </c>
      <c r="H132" s="19" t="n">
        <f aca="false">IF(COUNTIF(Species!$B:$B,$A132)=0,"",IF(INDEX(Species!$A:$A,MATCH($A132,Species!$B:$B,0))="","",INDEX(Species!$A:$A,MATCH($A132,Species!$B:$B,0))))</f>
        <v>215</v>
      </c>
      <c r="I132" s="19" t="str">
        <f aca="false">IF(COUNTIF(Species!$B:$B,$A132)=0,"",INDEX(Species!$F:$F,MATCH($A132,Species!$B:$B,0)))</f>
        <v>singleton</v>
      </c>
      <c r="J132" s="19" t="n">
        <f aca="false">COUNTIFS(Clips!$F:$F,$A132,Clips!$C:$C,"train")</f>
        <v>0</v>
      </c>
      <c r="K132" s="19" t="n">
        <f aca="false">COUNTIF(Clips!$F:$F,$A132)</f>
        <v>1</v>
      </c>
      <c r="L132" s="19" t="str">
        <f aca="false">IF(J132&gt;0,"in train",IF(K132&gt;0,"audio, none in train",IF(C132&gt;=Overview!$B$9,"priority gap","no audio")))</f>
        <v>audio, none in train</v>
      </c>
    </row>
    <row r="133" customFormat="false" ht="15" hidden="false" customHeight="false" outlineLevel="0" collapsed="false">
      <c r="A133" s="19" t="s">
        <v>9681</v>
      </c>
      <c r="B133" s="19" t="s">
        <v>9682</v>
      </c>
      <c r="C133" s="28" t="n">
        <f aca="false">D133/Overview!$B$10</f>
        <v>0.0676078151060281</v>
      </c>
      <c r="D133" s="29" t="n">
        <v>2270</v>
      </c>
      <c r="E133" s="19" t="s">
        <v>9649</v>
      </c>
      <c r="F133" s="19" t="n">
        <v>1969</v>
      </c>
      <c r="G133" s="19" t="n">
        <v>2026</v>
      </c>
      <c r="H133" s="19" t="str">
        <f aca="false">IF(COUNTIF(Species!$B:$B,$A133)=0,"",IF(INDEX(Species!$A:$A,MATCH($A133,Species!$B:$B,0))="","",INDEX(Species!$A:$A,MATCH($A133,Species!$B:$B,0))))</f>
        <v/>
      </c>
      <c r="I133" s="19" t="str">
        <f aca="false">IF(COUNTIF(Species!$B:$B,$A133)=0,"",INDEX(Species!$F:$F,MATCH($A133,Species!$B:$B,0)))</f>
        <v/>
      </c>
      <c r="J133" s="19" t="n">
        <f aca="false">COUNTIFS(Clips!$F:$F,$A133,Clips!$C:$C,"train")</f>
        <v>0</v>
      </c>
      <c r="K133" s="19" t="n">
        <f aca="false">COUNTIF(Clips!$F:$F,$A133)</f>
        <v>0</v>
      </c>
      <c r="L133" s="19" t="str">
        <f aca="false">IF(J133&gt;0,"in train",IF(K133&gt;0,"audio, none in train",IF(C133&gt;=Overview!$B$9,"priority gap","no audio")))</f>
        <v>priority gap</v>
      </c>
    </row>
    <row r="134" customFormat="false" ht="15" hidden="false" customHeight="false" outlineLevel="0" collapsed="false">
      <c r="A134" s="19" t="s">
        <v>382</v>
      </c>
      <c r="B134" s="19" t="s">
        <v>383</v>
      </c>
      <c r="C134" s="28" t="n">
        <f aca="false">D134/Overview!$B$10</f>
        <v>0.0675184655706457</v>
      </c>
      <c r="D134" s="29" t="n">
        <v>2267</v>
      </c>
      <c r="E134" s="19" t="s">
        <v>9649</v>
      </c>
      <c r="F134" s="19" t="n">
        <v>1977</v>
      </c>
      <c r="G134" s="19" t="n">
        <v>2026</v>
      </c>
      <c r="H134" s="19" t="n">
        <f aca="false">IF(COUNTIF(Species!$B:$B,$A134)=0,"",IF(INDEX(Species!$A:$A,MATCH($A134,Species!$B:$B,0))="","",INDEX(Species!$A:$A,MATCH($A134,Species!$B:$B,0))))</f>
        <v>135</v>
      </c>
      <c r="I134" s="19" t="str">
        <f aca="false">IF(COUNTIF(Species!$B:$B,$A134)=0,"",INDEX(Species!$F:$F,MATCH($A134,Species!$B:$B,0)))</f>
        <v>core</v>
      </c>
      <c r="J134" s="19" t="n">
        <f aca="false">COUNTIFS(Clips!$F:$F,$A134,Clips!$C:$C,"train")</f>
        <v>8</v>
      </c>
      <c r="K134" s="19" t="n">
        <f aca="false">COUNTIF(Clips!$F:$F,$A134)</f>
        <v>12</v>
      </c>
      <c r="L134" s="19" t="str">
        <f aca="false">IF(J134&gt;0,"in train",IF(K134&gt;0,"audio, none in train",IF(C134&gt;=Overview!$B$9,"priority gap","no audio")))</f>
        <v>in train</v>
      </c>
    </row>
    <row r="135" customFormat="false" ht="15" hidden="false" customHeight="false" outlineLevel="0" collapsed="false">
      <c r="A135" s="19" t="s">
        <v>472</v>
      </c>
      <c r="B135" s="19" t="s">
        <v>473</v>
      </c>
      <c r="C135" s="28" t="n">
        <f aca="false">D135/Overview!$B$10</f>
        <v>0.0629020729092209</v>
      </c>
      <c r="D135" s="29" t="n">
        <v>2112</v>
      </c>
      <c r="E135" s="19" t="s">
        <v>9649</v>
      </c>
      <c r="F135" s="19" t="n">
        <v>1983</v>
      </c>
      <c r="G135" s="19" t="n">
        <v>2026</v>
      </c>
      <c r="H135" s="19" t="n">
        <f aca="false">IF(COUNTIF(Species!$B:$B,$A135)=0,"",IF(INDEX(Species!$A:$A,MATCH($A135,Species!$B:$B,0))="","",INDEX(Species!$A:$A,MATCH($A135,Species!$B:$B,0))))</f>
        <v>95</v>
      </c>
      <c r="I135" s="19" t="str">
        <f aca="false">IF(COUNTIF(Species!$B:$B,$A135)=0,"",INDEX(Species!$F:$F,MATCH($A135,Species!$B:$B,0)))</f>
        <v>few_shot</v>
      </c>
      <c r="J135" s="19" t="n">
        <f aca="false">COUNTIFS(Clips!$F:$F,$A135,Clips!$C:$C,"train")</f>
        <v>7</v>
      </c>
      <c r="K135" s="19" t="n">
        <f aca="false">COUNTIF(Clips!$F:$F,$A135)</f>
        <v>8</v>
      </c>
      <c r="L135" s="19" t="str">
        <f aca="false">IF(J135&gt;0,"in train",IF(K135&gt;0,"audio, none in train",IF(C135&gt;=Overview!$B$9,"priority gap","no audio")))</f>
        <v>in train</v>
      </c>
    </row>
    <row r="136" customFormat="false" ht="15" hidden="false" customHeight="false" outlineLevel="0" collapsed="false">
      <c r="A136" s="19" t="s">
        <v>9683</v>
      </c>
      <c r="B136" s="19" t="s">
        <v>9684</v>
      </c>
      <c r="C136" s="28" t="n">
        <f aca="false">D136/Overview!$B$10</f>
        <v>0.0619787943769359</v>
      </c>
      <c r="D136" s="29" t="n">
        <v>2081</v>
      </c>
      <c r="E136" s="19" t="s">
        <v>9649</v>
      </c>
      <c r="F136" s="19" t="n">
        <v>1983</v>
      </c>
      <c r="G136" s="19" t="n">
        <v>2026</v>
      </c>
      <c r="H136" s="19" t="str">
        <f aca="false">IF(COUNTIF(Species!$B:$B,$A136)=0,"",IF(INDEX(Species!$A:$A,MATCH($A136,Species!$B:$B,0))="","",INDEX(Species!$A:$A,MATCH($A136,Species!$B:$B,0))))</f>
        <v/>
      </c>
      <c r="I136" s="19" t="str">
        <f aca="false">IF(COUNTIF(Species!$B:$B,$A136)=0,"",INDEX(Species!$F:$F,MATCH($A136,Species!$B:$B,0)))</f>
        <v/>
      </c>
      <c r="J136" s="19" t="n">
        <f aca="false">COUNTIFS(Clips!$F:$F,$A136,Clips!$C:$C,"train")</f>
        <v>0</v>
      </c>
      <c r="K136" s="19" t="n">
        <f aca="false">COUNTIF(Clips!$F:$F,$A136)</f>
        <v>0</v>
      </c>
      <c r="L136" s="19" t="str">
        <f aca="false">IF(J136&gt;0,"in train",IF(K136&gt;0,"audio, none in train",IF(C136&gt;=Overview!$B$9,"priority gap","no audio")))</f>
        <v>priority gap</v>
      </c>
    </row>
    <row r="137" customFormat="false" ht="15" hidden="false" customHeight="false" outlineLevel="0" collapsed="false">
      <c r="A137" s="19" t="s">
        <v>9685</v>
      </c>
      <c r="B137" s="19" t="s">
        <v>9686</v>
      </c>
      <c r="C137" s="28" t="n">
        <f aca="false">D137/Overview!$B$10</f>
        <v>0.060132237312366</v>
      </c>
      <c r="D137" s="29" t="n">
        <v>2019</v>
      </c>
      <c r="E137" s="19" t="s">
        <v>9650</v>
      </c>
      <c r="F137" s="19" t="n">
        <v>1979</v>
      </c>
      <c r="G137" s="19" t="n">
        <v>2026</v>
      </c>
      <c r="H137" s="19" t="str">
        <f aca="false">IF(COUNTIF(Species!$B:$B,$A137)=0,"",IF(INDEX(Species!$A:$A,MATCH($A137,Species!$B:$B,0))="","",INDEX(Species!$A:$A,MATCH($A137,Species!$B:$B,0))))</f>
        <v/>
      </c>
      <c r="I137" s="19" t="str">
        <f aca="false">IF(COUNTIF(Species!$B:$B,$A137)=0,"",INDEX(Species!$F:$F,MATCH($A137,Species!$B:$B,0)))</f>
        <v/>
      </c>
      <c r="J137" s="19" t="n">
        <f aca="false">COUNTIFS(Clips!$F:$F,$A137,Clips!$C:$C,"train")</f>
        <v>0</v>
      </c>
      <c r="K137" s="19" t="n">
        <f aca="false">COUNTIF(Clips!$F:$F,$A137)</f>
        <v>0</v>
      </c>
      <c r="L137" s="19" t="str">
        <f aca="false">IF(J137&gt;0,"in train",IF(K137&gt;0,"audio, none in train",IF(C137&gt;=Overview!$B$9,"priority gap","no audio")))</f>
        <v>priority gap</v>
      </c>
    </row>
    <row r="138" customFormat="false" ht="15" hidden="false" customHeight="false" outlineLevel="0" collapsed="false">
      <c r="A138" s="19" t="s">
        <v>649</v>
      </c>
      <c r="B138" s="19" t="s">
        <v>650</v>
      </c>
      <c r="C138" s="28" t="n">
        <f aca="false">D138/Overview!$B$10</f>
        <v>0.0601024541339052</v>
      </c>
      <c r="D138" s="29" t="n">
        <v>2018</v>
      </c>
      <c r="E138" s="19" t="s">
        <v>9687</v>
      </c>
      <c r="F138" s="19" t="n">
        <v>1988</v>
      </c>
      <c r="G138" s="19" t="n">
        <v>2026</v>
      </c>
      <c r="H138" s="19" t="n">
        <f aca="false">IF(COUNTIF(Species!$B:$B,$A138)=0,"",IF(INDEX(Species!$A:$A,MATCH($A138,Species!$B:$B,0))="","",INDEX(Species!$A:$A,MATCH($A138,Species!$B:$B,0))))</f>
        <v>79</v>
      </c>
      <c r="I138" s="19" t="str">
        <f aca="false">IF(COUNTIF(Species!$B:$B,$A138)=0,"",INDEX(Species!$F:$F,MATCH($A138,Species!$B:$B,0)))</f>
        <v>few_shot</v>
      </c>
      <c r="J138" s="19" t="n">
        <f aca="false">COUNTIFS(Clips!$F:$F,$A138,Clips!$C:$C,"train")</f>
        <v>2</v>
      </c>
      <c r="K138" s="19" t="n">
        <f aca="false">COUNTIF(Clips!$F:$F,$A138)</f>
        <v>3</v>
      </c>
      <c r="L138" s="19" t="str">
        <f aca="false">IF(J138&gt;0,"in train",IF(K138&gt;0,"audio, none in train",IF(C138&gt;=Overview!$B$9,"priority gap","no audio")))</f>
        <v>in train</v>
      </c>
    </row>
    <row r="139" customFormat="false" ht="15" hidden="false" customHeight="false" outlineLevel="0" collapsed="false">
      <c r="A139" s="19" t="s">
        <v>559</v>
      </c>
      <c r="B139" s="19" t="s">
        <v>560</v>
      </c>
      <c r="C139" s="28" t="n">
        <f aca="false">D139/Overview!$B$10</f>
        <v>0.059208958780081</v>
      </c>
      <c r="D139" s="29" t="n">
        <v>1988</v>
      </c>
      <c r="E139" s="19" t="s">
        <v>9649</v>
      </c>
      <c r="F139" s="19" t="n">
        <v>1977</v>
      </c>
      <c r="G139" s="19" t="n">
        <v>2026</v>
      </c>
      <c r="H139" s="19" t="n">
        <f aca="false">IF(COUNTIF(Species!$B:$B,$A139)=0,"",IF(INDEX(Species!$A:$A,MATCH($A139,Species!$B:$B,0))="","",INDEX(Species!$A:$A,MATCH($A139,Species!$B:$B,0))))</f>
        <v>73</v>
      </c>
      <c r="I139" s="19" t="str">
        <f aca="false">IF(COUNTIF(Species!$B:$B,$A139)=0,"",INDEX(Species!$F:$F,MATCH($A139,Species!$B:$B,0)))</f>
        <v>few_shot</v>
      </c>
      <c r="J139" s="19" t="n">
        <f aca="false">COUNTIFS(Clips!$F:$F,$A139,Clips!$C:$C,"train")</f>
        <v>4</v>
      </c>
      <c r="K139" s="19" t="n">
        <f aca="false">COUNTIF(Clips!$F:$F,$A139)</f>
        <v>5</v>
      </c>
      <c r="L139" s="19" t="str">
        <f aca="false">IF(J139&gt;0,"in train",IF(K139&gt;0,"audio, none in train",IF(C139&gt;=Overview!$B$9,"priority gap","no audio")))</f>
        <v>in train</v>
      </c>
    </row>
    <row r="140" customFormat="false" ht="15" hidden="false" customHeight="false" outlineLevel="0" collapsed="false">
      <c r="A140" s="19" t="s">
        <v>562</v>
      </c>
      <c r="B140" s="19" t="s">
        <v>563</v>
      </c>
      <c r="C140" s="28" t="n">
        <f aca="false">D140/Overview!$B$10</f>
        <v>0.059060042887777</v>
      </c>
      <c r="D140" s="29" t="n">
        <v>1983</v>
      </c>
      <c r="E140" s="19" t="s">
        <v>9649</v>
      </c>
      <c r="F140" s="19" t="n">
        <v>1969</v>
      </c>
      <c r="G140" s="19" t="n">
        <v>2026</v>
      </c>
      <c r="H140" s="19" t="n">
        <f aca="false">IF(COUNTIF(Species!$B:$B,$A140)=0,"",IF(INDEX(Species!$A:$A,MATCH($A140,Species!$B:$B,0))="","",INDEX(Species!$A:$A,MATCH($A140,Species!$B:$B,0))))</f>
        <v>80</v>
      </c>
      <c r="I140" s="19" t="str">
        <f aca="false">IF(COUNTIF(Species!$B:$B,$A140)=0,"",INDEX(Species!$F:$F,MATCH($A140,Species!$B:$B,0)))</f>
        <v>few_shot</v>
      </c>
      <c r="J140" s="19" t="n">
        <f aca="false">COUNTIFS(Clips!$F:$F,$A140,Clips!$C:$C,"train")</f>
        <v>4</v>
      </c>
      <c r="K140" s="19" t="n">
        <f aca="false">COUNTIF(Clips!$F:$F,$A140)</f>
        <v>5</v>
      </c>
      <c r="L140" s="19" t="str">
        <f aca="false">IF(J140&gt;0,"in train",IF(K140&gt;0,"audio, none in train",IF(C140&gt;=Overview!$B$9,"priority gap","no audio")))</f>
        <v>in train</v>
      </c>
    </row>
    <row r="141" customFormat="false" ht="15" hidden="false" customHeight="false" outlineLevel="0" collapsed="false">
      <c r="A141" s="19" t="s">
        <v>565</v>
      </c>
      <c r="B141" s="19" t="s">
        <v>566</v>
      </c>
      <c r="C141" s="28" t="n">
        <f aca="false">D141/Overview!$B$10</f>
        <v>0.0589409101739338</v>
      </c>
      <c r="D141" s="29" t="n">
        <v>1979</v>
      </c>
      <c r="E141" s="19" t="s">
        <v>9649</v>
      </c>
      <c r="F141" s="19" t="n">
        <v>1977</v>
      </c>
      <c r="G141" s="19" t="n">
        <v>2026</v>
      </c>
      <c r="H141" s="19" t="n">
        <f aca="false">IF(COUNTIF(Species!$B:$B,$A141)=0,"",IF(INDEX(Species!$A:$A,MATCH($A141,Species!$B:$B,0))="","",INDEX(Species!$A:$A,MATCH($A141,Species!$B:$B,0))))</f>
        <v>94</v>
      </c>
      <c r="I141" s="19" t="str">
        <f aca="false">IF(COUNTIF(Species!$B:$B,$A141)=0,"",INDEX(Species!$F:$F,MATCH($A141,Species!$B:$B,0)))</f>
        <v>few_shot</v>
      </c>
      <c r="J141" s="19" t="n">
        <f aca="false">COUNTIFS(Clips!$F:$F,$A141,Clips!$C:$C,"train")</f>
        <v>4</v>
      </c>
      <c r="K141" s="19" t="n">
        <f aca="false">COUNTIF(Clips!$F:$F,$A141)</f>
        <v>5</v>
      </c>
      <c r="L141" s="19" t="str">
        <f aca="false">IF(J141&gt;0,"in train",IF(K141&gt;0,"audio, none in train",IF(C141&gt;=Overview!$B$9,"priority gap","no audio")))</f>
        <v>in train</v>
      </c>
    </row>
    <row r="142" customFormat="false" ht="15" hidden="false" customHeight="false" outlineLevel="0" collapsed="false">
      <c r="A142" s="19" t="s">
        <v>9688</v>
      </c>
      <c r="B142" s="19" t="s">
        <v>9689</v>
      </c>
      <c r="C142" s="28" t="n">
        <f aca="false">D142/Overview!$B$10</f>
        <v>0.0587622111031689</v>
      </c>
      <c r="D142" s="29" t="n">
        <v>1973</v>
      </c>
      <c r="E142" s="19" t="s">
        <v>9649</v>
      </c>
      <c r="F142" s="19" t="n">
        <v>1980</v>
      </c>
      <c r="G142" s="19" t="n">
        <v>2026</v>
      </c>
      <c r="H142" s="19" t="str">
        <f aca="false">IF(COUNTIF(Species!$B:$B,$A142)=0,"",IF(INDEX(Species!$A:$A,MATCH($A142,Species!$B:$B,0))="","",INDEX(Species!$A:$A,MATCH($A142,Species!$B:$B,0))))</f>
        <v/>
      </c>
      <c r="I142" s="19" t="str">
        <f aca="false">IF(COUNTIF(Species!$B:$B,$A142)=0,"",INDEX(Species!$F:$F,MATCH($A142,Species!$B:$B,0)))</f>
        <v/>
      </c>
      <c r="J142" s="19" t="n">
        <f aca="false">COUNTIFS(Clips!$F:$F,$A142,Clips!$C:$C,"train")</f>
        <v>0</v>
      </c>
      <c r="K142" s="19" t="n">
        <f aca="false">COUNTIF(Clips!$F:$F,$A142)</f>
        <v>0</v>
      </c>
      <c r="L142" s="19" t="str">
        <f aca="false">IF(J142&gt;0,"in train",IF(K142&gt;0,"audio, none in train",IF(C142&gt;=Overview!$B$9,"priority gap","no audio")))</f>
        <v>priority gap</v>
      </c>
    </row>
    <row r="143" customFormat="false" ht="15" hidden="false" customHeight="false" outlineLevel="0" collapsed="false">
      <c r="A143" s="19" t="s">
        <v>629</v>
      </c>
      <c r="B143" s="19" t="s">
        <v>630</v>
      </c>
      <c r="C143" s="28" t="n">
        <f aca="false">D143/Overview!$B$10</f>
        <v>0.0577495830355015</v>
      </c>
      <c r="D143" s="29" t="n">
        <v>1939</v>
      </c>
      <c r="E143" s="19" t="s">
        <v>9649</v>
      </c>
      <c r="F143" s="19" t="n">
        <v>1971</v>
      </c>
      <c r="G143" s="19" t="n">
        <v>2026</v>
      </c>
      <c r="H143" s="19" t="n">
        <f aca="false">IF(COUNTIF(Species!$B:$B,$A143)=0,"",IF(INDEX(Species!$A:$A,MATCH($A143,Species!$B:$B,0))="","",INDEX(Species!$A:$A,MATCH($A143,Species!$B:$B,0))))</f>
        <v>226</v>
      </c>
      <c r="I143" s="19" t="str">
        <f aca="false">IF(COUNTIF(Species!$B:$B,$A143)=0,"",INDEX(Species!$F:$F,MATCH($A143,Species!$B:$B,0)))</f>
        <v>few_shot</v>
      </c>
      <c r="J143" s="19" t="n">
        <f aca="false">COUNTIFS(Clips!$F:$F,$A143,Clips!$C:$C,"train")</f>
        <v>3</v>
      </c>
      <c r="K143" s="19" t="n">
        <f aca="false">COUNTIF(Clips!$F:$F,$A143)</f>
        <v>4</v>
      </c>
      <c r="L143" s="19" t="str">
        <f aca="false">IF(J143&gt;0,"in train",IF(K143&gt;0,"audio, none in train",IF(C143&gt;=Overview!$B$9,"priority gap","no audio")))</f>
        <v>in train</v>
      </c>
    </row>
    <row r="144" customFormat="false" ht="15" hidden="false" customHeight="false" outlineLevel="0" collapsed="false">
      <c r="A144" s="19" t="s">
        <v>9690</v>
      </c>
      <c r="B144" s="19" t="s">
        <v>9691</v>
      </c>
      <c r="C144" s="28" t="n">
        <f aca="false">D144/Overview!$B$10</f>
        <v>0.0562604241124613</v>
      </c>
      <c r="D144" s="29" t="n">
        <v>1889</v>
      </c>
      <c r="E144" s="19" t="s">
        <v>9649</v>
      </c>
      <c r="F144" s="19" t="n">
        <v>1983</v>
      </c>
      <c r="G144" s="19" t="n">
        <v>2026</v>
      </c>
      <c r="H144" s="19" t="str">
        <f aca="false">IF(COUNTIF(Species!$B:$B,$A144)=0,"",IF(INDEX(Species!$A:$A,MATCH($A144,Species!$B:$B,0))="","",INDEX(Species!$A:$A,MATCH($A144,Species!$B:$B,0))))</f>
        <v/>
      </c>
      <c r="I144" s="19" t="str">
        <f aca="false">IF(COUNTIF(Species!$B:$B,$A144)=0,"",INDEX(Species!$F:$F,MATCH($A144,Species!$B:$B,0)))</f>
        <v/>
      </c>
      <c r="J144" s="19" t="n">
        <f aca="false">COUNTIFS(Clips!$F:$F,$A144,Clips!$C:$C,"train")</f>
        <v>0</v>
      </c>
      <c r="K144" s="19" t="n">
        <f aca="false">COUNTIF(Clips!$F:$F,$A144)</f>
        <v>0</v>
      </c>
      <c r="L144" s="19" t="str">
        <f aca="false">IF(J144&gt;0,"in train",IF(K144&gt;0,"audio, none in train",IF(C144&gt;=Overview!$B$9,"priority gap","no audio")))</f>
        <v>priority gap</v>
      </c>
    </row>
    <row r="145" customFormat="false" ht="15" hidden="false" customHeight="false" outlineLevel="0" collapsed="false">
      <c r="A145" s="19" t="s">
        <v>826</v>
      </c>
      <c r="B145" s="19" t="s">
        <v>827</v>
      </c>
      <c r="C145" s="28" t="n">
        <f aca="false">D145/Overview!$B$10</f>
        <v>0.0556051941863236</v>
      </c>
      <c r="D145" s="29" t="n">
        <v>1867</v>
      </c>
      <c r="E145" s="19" t="s">
        <v>9692</v>
      </c>
      <c r="F145" s="19" t="n">
        <v>1979</v>
      </c>
      <c r="G145" s="19" t="n">
        <v>2026</v>
      </c>
      <c r="H145" s="19" t="n">
        <f aca="false">IF(COUNTIF(Species!$B:$B,$A145)=0,"",IF(INDEX(Species!$A:$A,MATCH($A145,Species!$B:$B,0))="","",INDEX(Species!$A:$A,MATCH($A145,Species!$B:$B,0))))</f>
        <v>137</v>
      </c>
      <c r="I145" s="19" t="str">
        <f aca="false">IF(COUNTIF(Species!$B:$B,$A145)=0,"",INDEX(Species!$F:$F,MATCH($A145,Species!$B:$B,0)))</f>
        <v>singleton</v>
      </c>
      <c r="J145" s="19" t="n">
        <f aca="false">COUNTIFS(Clips!$F:$F,$A145,Clips!$C:$C,"train")</f>
        <v>0</v>
      </c>
      <c r="K145" s="19" t="n">
        <f aca="false">COUNTIF(Clips!$F:$F,$A145)</f>
        <v>1</v>
      </c>
      <c r="L145" s="19" t="str">
        <f aca="false">IF(J145&gt;0,"in train",IF(K145&gt;0,"audio, none in train",IF(C145&gt;=Overview!$B$9,"priority gap","no audio")))</f>
        <v>audio, none in train</v>
      </c>
    </row>
    <row r="146" customFormat="false" ht="15" hidden="false" customHeight="false" outlineLevel="0" collapsed="false">
      <c r="A146" s="19" t="s">
        <v>758</v>
      </c>
      <c r="B146" s="19" t="s">
        <v>759</v>
      </c>
      <c r="C146" s="28" t="n">
        <f aca="false">D146/Overview!$B$10</f>
        <v>0.0554562782940195</v>
      </c>
      <c r="D146" s="29" t="n">
        <v>1862</v>
      </c>
      <c r="E146" s="19" t="s">
        <v>9650</v>
      </c>
      <c r="F146" s="19" t="n">
        <v>1977</v>
      </c>
      <c r="G146" s="19" t="n">
        <v>2026</v>
      </c>
      <c r="H146" s="19" t="n">
        <f aca="false">IF(COUNTIF(Species!$B:$B,$A146)=0,"",IF(INDEX(Species!$A:$A,MATCH($A146,Species!$B:$B,0))="","",INDEX(Species!$A:$A,MATCH($A146,Species!$B:$B,0))))</f>
        <v>11</v>
      </c>
      <c r="I146" s="19" t="str">
        <f aca="false">IF(COUNTIF(Species!$B:$B,$A146)=0,"",INDEX(Species!$F:$F,MATCH($A146,Species!$B:$B,0)))</f>
        <v>singleton</v>
      </c>
      <c r="J146" s="19" t="n">
        <f aca="false">COUNTIFS(Clips!$F:$F,$A146,Clips!$C:$C,"train")</f>
        <v>0</v>
      </c>
      <c r="K146" s="19" t="n">
        <f aca="false">COUNTIF(Clips!$F:$F,$A146)</f>
        <v>1</v>
      </c>
      <c r="L146" s="19" t="str">
        <f aca="false">IF(J146&gt;0,"in train",IF(K146&gt;0,"audio, none in train",IF(C146&gt;=Overview!$B$9,"priority gap","no audio")))</f>
        <v>audio, none in train</v>
      </c>
    </row>
    <row r="147" customFormat="false" ht="15" hidden="false" customHeight="false" outlineLevel="0" collapsed="false">
      <c r="A147" s="19" t="s">
        <v>9693</v>
      </c>
      <c r="B147" s="19" t="s">
        <v>9694</v>
      </c>
      <c r="C147" s="28" t="n">
        <f aca="false">D147/Overview!$B$10</f>
        <v>0.0545329997617346</v>
      </c>
      <c r="D147" s="29" t="n">
        <v>1831</v>
      </c>
      <c r="E147" s="19" t="s">
        <v>9692</v>
      </c>
      <c r="F147" s="19" t="n">
        <v>1971</v>
      </c>
      <c r="G147" s="19" t="n">
        <v>2026</v>
      </c>
      <c r="H147" s="19" t="str">
        <f aca="false">IF(COUNTIF(Species!$B:$B,$A147)=0,"",IF(INDEX(Species!$A:$A,MATCH($A147,Species!$B:$B,0))="","",INDEX(Species!$A:$A,MATCH($A147,Species!$B:$B,0))))</f>
        <v/>
      </c>
      <c r="I147" s="19" t="str">
        <f aca="false">IF(COUNTIF(Species!$B:$B,$A147)=0,"",INDEX(Species!$F:$F,MATCH($A147,Species!$B:$B,0)))</f>
        <v/>
      </c>
      <c r="J147" s="19" t="n">
        <f aca="false">COUNTIFS(Clips!$F:$F,$A147,Clips!$C:$C,"train")</f>
        <v>0</v>
      </c>
      <c r="K147" s="19" t="n">
        <f aca="false">COUNTIF(Clips!$F:$F,$A147)</f>
        <v>0</v>
      </c>
      <c r="L147" s="19" t="str">
        <f aca="false">IF(J147&gt;0,"in train",IF(K147&gt;0,"audio, none in train",IF(C147&gt;=Overview!$B$9,"priority gap","no audio")))</f>
        <v>priority gap</v>
      </c>
    </row>
    <row r="148" customFormat="false" ht="15" hidden="false" customHeight="false" outlineLevel="0" collapsed="false">
      <c r="A148" s="19" t="s">
        <v>617</v>
      </c>
      <c r="B148" s="19" t="s">
        <v>618</v>
      </c>
      <c r="C148" s="28" t="n">
        <f aca="false">D148/Overview!$B$10</f>
        <v>0.0539373361925185</v>
      </c>
      <c r="D148" s="29" t="n">
        <v>1811</v>
      </c>
      <c r="E148" s="19" t="s">
        <v>9649</v>
      </c>
      <c r="F148" s="19" t="n">
        <v>1971</v>
      </c>
      <c r="G148" s="19" t="n">
        <v>2026</v>
      </c>
      <c r="H148" s="19" t="n">
        <f aca="false">IF(COUNTIF(Species!$B:$B,$A148)=0,"",IF(INDEX(Species!$A:$A,MATCH($A148,Species!$B:$B,0))="","",INDEX(Species!$A:$A,MATCH($A148,Species!$B:$B,0))))</f>
        <v>163</v>
      </c>
      <c r="I148" s="19" t="str">
        <f aca="false">IF(COUNTIF(Species!$B:$B,$A148)=0,"",INDEX(Species!$F:$F,MATCH($A148,Species!$B:$B,0)))</f>
        <v>few_shot</v>
      </c>
      <c r="J148" s="19" t="n">
        <f aca="false">COUNTIFS(Clips!$F:$F,$A148,Clips!$C:$C,"train")</f>
        <v>3</v>
      </c>
      <c r="K148" s="19" t="n">
        <f aca="false">COUNTIF(Clips!$F:$F,$A148)</f>
        <v>4</v>
      </c>
      <c r="L148" s="19" t="str">
        <f aca="false">IF(J148&gt;0,"in train",IF(K148&gt;0,"audio, none in train",IF(C148&gt;=Overview!$B$9,"priority gap","no audio")))</f>
        <v>in train</v>
      </c>
    </row>
    <row r="149" customFormat="false" ht="15" hidden="false" customHeight="false" outlineLevel="0" collapsed="false">
      <c r="A149" s="19" t="s">
        <v>841</v>
      </c>
      <c r="B149" s="19" t="s">
        <v>842</v>
      </c>
      <c r="C149" s="28" t="n">
        <f aca="false">D149/Overview!$B$10</f>
        <v>0.053401238980224</v>
      </c>
      <c r="D149" s="29" t="n">
        <v>1793</v>
      </c>
      <c r="E149" s="19" t="s">
        <v>9649</v>
      </c>
      <c r="F149" s="19" t="n">
        <v>1983</v>
      </c>
      <c r="G149" s="19" t="n">
        <v>2026</v>
      </c>
      <c r="H149" s="19" t="n">
        <f aca="false">IF(COUNTIF(Species!$B:$B,$A149)=0,"",IF(INDEX(Species!$A:$A,MATCH($A149,Species!$B:$B,0))="","",INDEX(Species!$A:$A,MATCH($A149,Species!$B:$B,0))))</f>
        <v>156</v>
      </c>
      <c r="I149" s="19" t="str">
        <f aca="false">IF(COUNTIF(Species!$B:$B,$A149)=0,"",INDEX(Species!$F:$F,MATCH($A149,Species!$B:$B,0)))</f>
        <v>singleton</v>
      </c>
      <c r="J149" s="19" t="n">
        <f aca="false">COUNTIFS(Clips!$F:$F,$A149,Clips!$C:$C,"train")</f>
        <v>0</v>
      </c>
      <c r="K149" s="19" t="n">
        <f aca="false">COUNTIF(Clips!$F:$F,$A149)</f>
        <v>1</v>
      </c>
      <c r="L149" s="19" t="str">
        <f aca="false">IF(J149&gt;0,"in train",IF(K149&gt;0,"audio, none in train",IF(C149&gt;=Overview!$B$9,"priority gap","no audio")))</f>
        <v>audio, none in train</v>
      </c>
    </row>
    <row r="150" customFormat="false" ht="15" hidden="false" customHeight="false" outlineLevel="0" collapsed="false">
      <c r="A150" s="19" t="s">
        <v>529</v>
      </c>
      <c r="B150" s="19" t="s">
        <v>530</v>
      </c>
      <c r="C150" s="28" t="n">
        <f aca="false">D150/Overview!$B$10</f>
        <v>0.052180128663331</v>
      </c>
      <c r="D150" s="29" t="n">
        <v>1752</v>
      </c>
      <c r="E150" s="19" t="s">
        <v>9649</v>
      </c>
      <c r="F150" s="19" t="n">
        <v>1973</v>
      </c>
      <c r="G150" s="19" t="n">
        <v>2026</v>
      </c>
      <c r="H150" s="19" t="n">
        <f aca="false">IF(COUNTIF(Species!$B:$B,$A150)=0,"",IF(INDEX(Species!$A:$A,MATCH($A150,Species!$B:$B,0))="","",INDEX(Species!$A:$A,MATCH($A150,Species!$B:$B,0))))</f>
        <v>72</v>
      </c>
      <c r="I150" s="19" t="str">
        <f aca="false">IF(COUNTIF(Species!$B:$B,$A150)=0,"",INDEX(Species!$F:$F,MATCH($A150,Species!$B:$B,0)))</f>
        <v>few_shot</v>
      </c>
      <c r="J150" s="19" t="n">
        <f aca="false">COUNTIFS(Clips!$F:$F,$A150,Clips!$C:$C,"train")</f>
        <v>5</v>
      </c>
      <c r="K150" s="19" t="n">
        <f aca="false">COUNTIF(Clips!$F:$F,$A150)</f>
        <v>6</v>
      </c>
      <c r="L150" s="19" t="str">
        <f aca="false">IF(J150&gt;0,"in train",IF(K150&gt;0,"audio, none in train",IF(C150&gt;=Overview!$B$9,"priority gap","no audio")))</f>
        <v>in train</v>
      </c>
    </row>
    <row r="151" customFormat="false" ht="15" hidden="false" customHeight="false" outlineLevel="0" collapsed="false">
      <c r="A151" s="19" t="s">
        <v>514</v>
      </c>
      <c r="B151" s="19" t="s">
        <v>515</v>
      </c>
      <c r="C151" s="28" t="n">
        <f aca="false">D151/Overview!$B$10</f>
        <v>0.0516142482725757</v>
      </c>
      <c r="D151" s="29" t="n">
        <v>1733</v>
      </c>
      <c r="E151" s="19" t="s">
        <v>9649</v>
      </c>
      <c r="F151" s="19" t="n">
        <v>1969</v>
      </c>
      <c r="G151" s="19" t="n">
        <v>2026</v>
      </c>
      <c r="H151" s="19" t="n">
        <f aca="false">IF(COUNTIF(Species!$B:$B,$A151)=0,"",IF(INDEX(Species!$A:$A,MATCH($A151,Species!$B:$B,0))="","",INDEX(Species!$A:$A,MATCH($A151,Species!$B:$B,0))))</f>
        <v>5</v>
      </c>
      <c r="I151" s="19" t="str">
        <f aca="false">IF(COUNTIF(Species!$B:$B,$A151)=0,"",INDEX(Species!$F:$F,MATCH($A151,Species!$B:$B,0)))</f>
        <v>few_shot</v>
      </c>
      <c r="J151" s="19" t="n">
        <f aca="false">COUNTIFS(Clips!$F:$F,$A151,Clips!$C:$C,"train")</f>
        <v>5</v>
      </c>
      <c r="K151" s="19" t="n">
        <f aca="false">COUNTIF(Clips!$F:$F,$A151)</f>
        <v>6</v>
      </c>
      <c r="L151" s="19" t="str">
        <f aca="false">IF(J151&gt;0,"in train",IF(K151&gt;0,"audio, none in train",IF(C151&gt;=Overview!$B$9,"priority gap","no audio")))</f>
        <v>in train</v>
      </c>
    </row>
    <row r="152" customFormat="false" ht="15" hidden="false" customHeight="false" outlineLevel="0" collapsed="false">
      <c r="A152" s="19" t="s">
        <v>457</v>
      </c>
      <c r="B152" s="19" t="s">
        <v>458</v>
      </c>
      <c r="C152" s="28" t="n">
        <f aca="false">D152/Overview!$B$10</f>
        <v>0.0514653323802716</v>
      </c>
      <c r="D152" s="29" t="n">
        <v>1728</v>
      </c>
      <c r="E152" s="19" t="s">
        <v>9649</v>
      </c>
      <c r="F152" s="19" t="n">
        <v>1973</v>
      </c>
      <c r="G152" s="19" t="n">
        <v>2026</v>
      </c>
      <c r="H152" s="19" t="n">
        <f aca="false">IF(COUNTIF(Species!$B:$B,$A152)=0,"",IF(INDEX(Species!$A:$A,MATCH($A152,Species!$B:$B,0))="","",INDEX(Species!$A:$A,MATCH($A152,Species!$B:$B,0))))</f>
        <v>195</v>
      </c>
      <c r="I152" s="19" t="str">
        <f aca="false">IF(COUNTIF(Species!$B:$B,$A152)=0,"",INDEX(Species!$F:$F,MATCH($A152,Species!$B:$B,0)))</f>
        <v>few_shot</v>
      </c>
      <c r="J152" s="19" t="n">
        <f aca="false">COUNTIFS(Clips!$F:$F,$A152,Clips!$C:$C,"train")</f>
        <v>8</v>
      </c>
      <c r="K152" s="19" t="n">
        <f aca="false">COUNTIF(Clips!$F:$F,$A152)</f>
        <v>9</v>
      </c>
      <c r="L152" s="19" t="str">
        <f aca="false">IF(J152&gt;0,"in train",IF(K152&gt;0,"audio, none in train",IF(C152&gt;=Overview!$B$9,"priority gap","no audio")))</f>
        <v>in train</v>
      </c>
    </row>
    <row r="153" customFormat="false" ht="15" hidden="false" customHeight="false" outlineLevel="0" collapsed="false">
      <c r="A153" s="19" t="s">
        <v>493</v>
      </c>
      <c r="B153" s="19" t="s">
        <v>494</v>
      </c>
      <c r="C153" s="28" t="n">
        <f aca="false">D153/Overview!$B$10</f>
        <v>0.0511377174172028</v>
      </c>
      <c r="D153" s="29" t="n">
        <v>1717</v>
      </c>
      <c r="E153" s="19" t="s">
        <v>9649</v>
      </c>
      <c r="F153" s="19" t="n">
        <v>1969</v>
      </c>
      <c r="G153" s="19" t="n">
        <v>2026</v>
      </c>
      <c r="H153" s="19" t="n">
        <f aca="false">IF(COUNTIF(Species!$B:$B,$A153)=0,"",IF(INDEX(Species!$A:$A,MATCH($A153,Species!$B:$B,0))="","",INDEX(Species!$A:$A,MATCH($A153,Species!$B:$B,0))))</f>
        <v>25</v>
      </c>
      <c r="I153" s="19" t="str">
        <f aca="false">IF(COUNTIF(Species!$B:$B,$A153)=0,"",INDEX(Species!$F:$F,MATCH($A153,Species!$B:$B,0)))</f>
        <v>few_shot</v>
      </c>
      <c r="J153" s="19" t="n">
        <f aca="false">COUNTIFS(Clips!$F:$F,$A153,Clips!$C:$C,"train")</f>
        <v>6</v>
      </c>
      <c r="K153" s="19" t="n">
        <f aca="false">COUNTIF(Clips!$F:$F,$A153)</f>
        <v>7</v>
      </c>
      <c r="L153" s="19" t="str">
        <f aca="false">IF(J153&gt;0,"in train",IF(K153&gt;0,"audio, none in train",IF(C153&gt;=Overview!$B$9,"priority gap","no audio")))</f>
        <v>in train</v>
      </c>
    </row>
    <row r="154" customFormat="false" ht="15" hidden="false" customHeight="false" outlineLevel="0" collapsed="false">
      <c r="A154" s="19" t="s">
        <v>577</v>
      </c>
      <c r="B154" s="19" t="s">
        <v>578</v>
      </c>
      <c r="C154" s="28" t="n">
        <f aca="false">D154/Overview!$B$10</f>
        <v>0.0509590183464379</v>
      </c>
      <c r="D154" s="29" t="n">
        <v>1711</v>
      </c>
      <c r="E154" s="19" t="s">
        <v>9649</v>
      </c>
      <c r="F154" s="19" t="n">
        <v>1980</v>
      </c>
      <c r="G154" s="19" t="n">
        <v>2026</v>
      </c>
      <c r="H154" s="19" t="n">
        <f aca="false">IF(COUNTIF(Species!$B:$B,$A154)=0,"",IF(INDEX(Species!$A:$A,MATCH($A154,Species!$B:$B,0))="","",INDEX(Species!$A:$A,MATCH($A154,Species!$B:$B,0))))</f>
        <v>173</v>
      </c>
      <c r="I154" s="19" t="str">
        <f aca="false">IF(COUNTIF(Species!$B:$B,$A154)=0,"",INDEX(Species!$F:$F,MATCH($A154,Species!$B:$B,0)))</f>
        <v>few_shot</v>
      </c>
      <c r="J154" s="19" t="n">
        <f aca="false">COUNTIFS(Clips!$F:$F,$A154,Clips!$C:$C,"train")</f>
        <v>4</v>
      </c>
      <c r="K154" s="19" t="n">
        <f aca="false">COUNTIF(Clips!$F:$F,$A154)</f>
        <v>5</v>
      </c>
      <c r="L154" s="19" t="str">
        <f aca="false">IF(J154&gt;0,"in train",IF(K154&gt;0,"audio, none in train",IF(C154&gt;=Overview!$B$9,"priority gap","no audio")))</f>
        <v>in train</v>
      </c>
    </row>
    <row r="155" customFormat="false" ht="15" hidden="false" customHeight="false" outlineLevel="0" collapsed="false">
      <c r="A155" s="19" t="s">
        <v>9695</v>
      </c>
      <c r="B155" s="19" t="s">
        <v>9696</v>
      </c>
      <c r="C155" s="28" t="n">
        <f aca="false">D155/Overview!$B$10</f>
        <v>0.0503633547772218</v>
      </c>
      <c r="D155" s="29" t="n">
        <v>1691</v>
      </c>
      <c r="E155" s="19" t="s">
        <v>9649</v>
      </c>
      <c r="F155" s="19" t="n">
        <v>1979</v>
      </c>
      <c r="G155" s="19" t="n">
        <v>2026</v>
      </c>
      <c r="H155" s="19" t="str">
        <f aca="false">IF(COUNTIF(Species!$B:$B,$A155)=0,"",IF(INDEX(Species!$A:$A,MATCH($A155,Species!$B:$B,0))="","",INDEX(Species!$A:$A,MATCH($A155,Species!$B:$B,0))))</f>
        <v/>
      </c>
      <c r="I155" s="19" t="str">
        <f aca="false">IF(COUNTIF(Species!$B:$B,$A155)=0,"",INDEX(Species!$F:$F,MATCH($A155,Species!$B:$B,0)))</f>
        <v/>
      </c>
      <c r="J155" s="19" t="n">
        <f aca="false">COUNTIFS(Clips!$F:$F,$A155,Clips!$C:$C,"train")</f>
        <v>0</v>
      </c>
      <c r="K155" s="19" t="n">
        <f aca="false">COUNTIF(Clips!$F:$F,$A155)</f>
        <v>0</v>
      </c>
      <c r="L155" s="19" t="str">
        <f aca="false">IF(J155&gt;0,"in train",IF(K155&gt;0,"audio, none in train",IF(C155&gt;=Overview!$B$9,"priority gap","no audio")))</f>
        <v>priority gap</v>
      </c>
    </row>
    <row r="156" customFormat="false" ht="15" hidden="false" customHeight="false" outlineLevel="0" collapsed="false">
      <c r="A156" s="19" t="s">
        <v>671</v>
      </c>
      <c r="B156" s="19" t="s">
        <v>672</v>
      </c>
      <c r="C156" s="28" t="n">
        <f aca="false">D156/Overview!$B$10</f>
        <v>0.0489039790326424</v>
      </c>
      <c r="D156" s="29" t="n">
        <v>1642</v>
      </c>
      <c r="E156" s="19" t="s">
        <v>9649</v>
      </c>
      <c r="F156" s="19" t="n">
        <v>1969</v>
      </c>
      <c r="G156" s="19" t="n">
        <v>2026</v>
      </c>
      <c r="H156" s="19" t="n">
        <f aca="false">IF(COUNTIF(Species!$B:$B,$A156)=0,"",IF(INDEX(Species!$A:$A,MATCH($A156,Species!$B:$B,0))="","",INDEX(Species!$A:$A,MATCH($A156,Species!$B:$B,0))))</f>
        <v>174</v>
      </c>
      <c r="I156" s="19" t="str">
        <f aca="false">IF(COUNTIF(Species!$B:$B,$A156)=0,"",INDEX(Species!$F:$F,MATCH($A156,Species!$B:$B,0)))</f>
        <v>singleton</v>
      </c>
      <c r="J156" s="19" t="n">
        <f aca="false">COUNTIFS(Clips!$F:$F,$A156,Clips!$C:$C,"train")</f>
        <v>2</v>
      </c>
      <c r="K156" s="19" t="n">
        <f aca="false">COUNTIF(Clips!$F:$F,$A156)</f>
        <v>3</v>
      </c>
      <c r="L156" s="19" t="str">
        <f aca="false">IF(J156&gt;0,"in train",IF(K156&gt;0,"audio, none in train",IF(C156&gt;=Overview!$B$9,"priority gap","no audio")))</f>
        <v>in train</v>
      </c>
    </row>
    <row r="157" customFormat="false" ht="15" hidden="false" customHeight="false" outlineLevel="0" collapsed="false">
      <c r="A157" s="19" t="s">
        <v>610</v>
      </c>
      <c r="B157" s="19" t="s">
        <v>611</v>
      </c>
      <c r="C157" s="28" t="n">
        <f aca="false">D157/Overview!$B$10</f>
        <v>0.0478317846080534</v>
      </c>
      <c r="D157" s="29" t="n">
        <v>1606</v>
      </c>
      <c r="E157" s="19" t="s">
        <v>9649</v>
      </c>
      <c r="F157" s="19" t="n">
        <v>1989</v>
      </c>
      <c r="G157" s="19" t="n">
        <v>2026</v>
      </c>
      <c r="H157" s="19" t="n">
        <f aca="false">IF(COUNTIF(Species!$B:$B,$A157)=0,"",IF(INDEX(Species!$A:$A,MATCH($A157,Species!$B:$B,0))="","",INDEX(Species!$A:$A,MATCH($A157,Species!$B:$B,0))))</f>
        <v>125</v>
      </c>
      <c r="I157" s="19" t="str">
        <f aca="false">IF(COUNTIF(Species!$B:$B,$A157)=0,"",INDEX(Species!$F:$F,MATCH($A157,Species!$B:$B,0)))</f>
        <v>singleton</v>
      </c>
      <c r="J157" s="19" t="n">
        <f aca="false">COUNTIFS(Clips!$F:$F,$A157,Clips!$C:$C,"train")</f>
        <v>3</v>
      </c>
      <c r="K157" s="19" t="n">
        <f aca="false">COUNTIF(Clips!$F:$F,$A157)</f>
        <v>4</v>
      </c>
      <c r="L157" s="19" t="str">
        <f aca="false">IF(J157&gt;0,"in train",IF(K157&gt;0,"audio, none in train",IF(C157&gt;=Overview!$B$9,"priority gap","no audio")))</f>
        <v>in train</v>
      </c>
    </row>
    <row r="158" customFormat="false" ht="15" hidden="false" customHeight="false" outlineLevel="0" collapsed="false">
      <c r="A158" s="19" t="s">
        <v>698</v>
      </c>
      <c r="B158" s="19" t="s">
        <v>699</v>
      </c>
      <c r="C158" s="28" t="n">
        <f aca="false">D158/Overview!$B$10</f>
        <v>0.0477722182511318</v>
      </c>
      <c r="D158" s="29" t="n">
        <v>1604</v>
      </c>
      <c r="E158" s="19" t="s">
        <v>9649</v>
      </c>
      <c r="F158" s="19" t="n">
        <v>1969</v>
      </c>
      <c r="G158" s="19" t="n">
        <v>2026</v>
      </c>
      <c r="H158" s="19" t="n">
        <f aca="false">IF(COUNTIF(Species!$B:$B,$A158)=0,"",IF(INDEX(Species!$A:$A,MATCH($A158,Species!$B:$B,0))="","",INDEX(Species!$A:$A,MATCH($A158,Species!$B:$B,0))))</f>
        <v>6</v>
      </c>
      <c r="I158" s="19" t="str">
        <f aca="false">IF(COUNTIF(Species!$B:$B,$A158)=0,"",INDEX(Species!$F:$F,MATCH($A158,Species!$B:$B,0)))</f>
        <v>few_shot</v>
      </c>
      <c r="J158" s="19" t="n">
        <f aca="false">COUNTIFS(Clips!$F:$F,$A158,Clips!$C:$C,"train")</f>
        <v>1</v>
      </c>
      <c r="K158" s="19" t="n">
        <f aca="false">COUNTIF(Clips!$F:$F,$A158)</f>
        <v>2</v>
      </c>
      <c r="L158" s="19" t="str">
        <f aca="false">IF(J158&gt;0,"in train",IF(K158&gt;0,"audio, none in train",IF(C158&gt;=Overview!$B$9,"priority gap","no audio")))</f>
        <v>in train</v>
      </c>
    </row>
    <row r="159" customFormat="false" ht="15" hidden="false" customHeight="false" outlineLevel="0" collapsed="false">
      <c r="A159" s="19" t="s">
        <v>9697</v>
      </c>
      <c r="B159" s="19" t="s">
        <v>9698</v>
      </c>
      <c r="C159" s="28" t="n">
        <f aca="false">D159/Overview!$B$10</f>
        <v>0.0460745770788659</v>
      </c>
      <c r="D159" s="29" t="n">
        <v>1547</v>
      </c>
      <c r="E159" s="19" t="s">
        <v>9649</v>
      </c>
      <c r="F159" s="19" t="n">
        <v>1972</v>
      </c>
      <c r="G159" s="19" t="n">
        <v>2026</v>
      </c>
      <c r="H159" s="19" t="str">
        <f aca="false">IF(COUNTIF(Species!$B:$B,$A159)=0,"",IF(INDEX(Species!$A:$A,MATCH($A159,Species!$B:$B,0))="","",INDEX(Species!$A:$A,MATCH($A159,Species!$B:$B,0))))</f>
        <v/>
      </c>
      <c r="I159" s="19" t="str">
        <f aca="false">IF(COUNTIF(Species!$B:$B,$A159)=0,"",INDEX(Species!$F:$F,MATCH($A159,Species!$B:$B,0)))</f>
        <v/>
      </c>
      <c r="J159" s="19" t="n">
        <f aca="false">COUNTIFS(Clips!$F:$F,$A159,Clips!$C:$C,"train")</f>
        <v>0</v>
      </c>
      <c r="K159" s="19" t="n">
        <f aca="false">COUNTIF(Clips!$F:$F,$A159)</f>
        <v>0</v>
      </c>
      <c r="L159" s="19" t="str">
        <f aca="false">IF(J159&gt;0,"in train",IF(K159&gt;0,"audio, none in train",IF(C159&gt;=Overview!$B$9,"priority gap","no audio")))</f>
        <v>no audio</v>
      </c>
    </row>
    <row r="160" customFormat="false" ht="15" hidden="false" customHeight="false" outlineLevel="0" collapsed="false">
      <c r="A160" s="19" t="s">
        <v>9699</v>
      </c>
      <c r="B160" s="19" t="s">
        <v>9700</v>
      </c>
      <c r="C160" s="28" t="n">
        <f aca="false">D160/Overview!$B$10</f>
        <v>0.0450321658327377</v>
      </c>
      <c r="D160" s="29" t="n">
        <v>1512</v>
      </c>
      <c r="E160" s="19" t="s">
        <v>9649</v>
      </c>
      <c r="F160" s="19" t="n">
        <v>1972</v>
      </c>
      <c r="G160" s="19" t="n">
        <v>2026</v>
      </c>
      <c r="H160" s="19" t="str">
        <f aca="false">IF(COUNTIF(Species!$B:$B,$A160)=0,"",IF(INDEX(Species!$A:$A,MATCH($A160,Species!$B:$B,0))="","",INDEX(Species!$A:$A,MATCH($A160,Species!$B:$B,0))))</f>
        <v/>
      </c>
      <c r="I160" s="19" t="str">
        <f aca="false">IF(COUNTIF(Species!$B:$B,$A160)=0,"",INDEX(Species!$F:$F,MATCH($A160,Species!$B:$B,0)))</f>
        <v/>
      </c>
      <c r="J160" s="19" t="n">
        <f aca="false">COUNTIFS(Clips!$F:$F,$A160,Clips!$C:$C,"train")</f>
        <v>0</v>
      </c>
      <c r="K160" s="19" t="n">
        <f aca="false">COUNTIF(Clips!$F:$F,$A160)</f>
        <v>0</v>
      </c>
      <c r="L160" s="19" t="str">
        <f aca="false">IF(J160&gt;0,"in train",IF(K160&gt;0,"audio, none in train",IF(C160&gt;=Overview!$B$9,"priority gap","no audio")))</f>
        <v>no audio</v>
      </c>
    </row>
    <row r="161" customFormat="false" ht="15" hidden="false" customHeight="false" outlineLevel="0" collapsed="false">
      <c r="A161" s="19" t="s">
        <v>9701</v>
      </c>
      <c r="B161" s="19" t="s">
        <v>9702</v>
      </c>
      <c r="C161" s="28" t="n">
        <f aca="false">D161/Overview!$B$10</f>
        <v>0.0447045508696688</v>
      </c>
      <c r="D161" s="29" t="n">
        <v>1501</v>
      </c>
      <c r="E161" s="19" t="s">
        <v>9703</v>
      </c>
      <c r="F161" s="19" t="n">
        <v>1984</v>
      </c>
      <c r="G161" s="19" t="n">
        <v>2026</v>
      </c>
      <c r="H161" s="19" t="str">
        <f aca="false">IF(COUNTIF(Species!$B:$B,$A161)=0,"",IF(INDEX(Species!$A:$A,MATCH($A161,Species!$B:$B,0))="","",INDEX(Species!$A:$A,MATCH($A161,Species!$B:$B,0))))</f>
        <v/>
      </c>
      <c r="I161" s="19" t="str">
        <f aca="false">IF(COUNTIF(Species!$B:$B,$A161)=0,"",INDEX(Species!$F:$F,MATCH($A161,Species!$B:$B,0)))</f>
        <v/>
      </c>
      <c r="J161" s="19" t="n">
        <f aca="false">COUNTIFS(Clips!$F:$F,$A161,Clips!$C:$C,"train")</f>
        <v>0</v>
      </c>
      <c r="K161" s="19" t="n">
        <f aca="false">COUNTIF(Clips!$F:$F,$A161)</f>
        <v>0</v>
      </c>
      <c r="L161" s="19" t="str">
        <f aca="false">IF(J161&gt;0,"in train",IF(K161&gt;0,"audio, none in train",IF(C161&gt;=Overview!$B$9,"priority gap","no audio")))</f>
        <v>no audio</v>
      </c>
    </row>
    <row r="162" customFormat="false" ht="15" hidden="false" customHeight="false" outlineLevel="0" collapsed="false">
      <c r="A162" s="19" t="s">
        <v>752</v>
      </c>
      <c r="B162" s="19" t="s">
        <v>753</v>
      </c>
      <c r="C162" s="28" t="n">
        <f aca="false">D162/Overview!$B$10</f>
        <v>0.0441684536573743</v>
      </c>
      <c r="D162" s="29" t="n">
        <v>1483</v>
      </c>
      <c r="E162" s="19" t="s">
        <v>9649</v>
      </c>
      <c r="F162" s="19" t="n">
        <v>1971</v>
      </c>
      <c r="G162" s="19" t="n">
        <v>2026</v>
      </c>
      <c r="H162" s="19" t="n">
        <f aca="false">IF(COUNTIF(Species!$B:$B,$A162)=0,"",IF(INDEX(Species!$A:$A,MATCH($A162,Species!$B:$B,0))="","",INDEX(Species!$A:$A,MATCH($A162,Species!$B:$B,0))))</f>
        <v>1</v>
      </c>
      <c r="I162" s="19" t="str">
        <f aca="false">IF(COUNTIF(Species!$B:$B,$A162)=0,"",INDEX(Species!$F:$F,MATCH($A162,Species!$B:$B,0)))</f>
        <v>singleton</v>
      </c>
      <c r="J162" s="19" t="n">
        <f aca="false">COUNTIFS(Clips!$F:$F,$A162,Clips!$C:$C,"train")</f>
        <v>0</v>
      </c>
      <c r="K162" s="19" t="n">
        <f aca="false">COUNTIF(Clips!$F:$F,$A162)</f>
        <v>1</v>
      </c>
      <c r="L162" s="19" t="str">
        <f aca="false">IF(J162&gt;0,"in train",IF(K162&gt;0,"audio, none in train",IF(C162&gt;=Overview!$B$9,"priority gap","no audio")))</f>
        <v>audio, none in train</v>
      </c>
    </row>
    <row r="163" customFormat="false" ht="15" hidden="false" customHeight="false" outlineLevel="0" collapsed="false">
      <c r="A163" s="19" t="s">
        <v>9704</v>
      </c>
      <c r="B163" s="19" t="s">
        <v>9705</v>
      </c>
      <c r="C163" s="28" t="n">
        <f aca="false">D163/Overview!$B$10</f>
        <v>0.0432451751250894</v>
      </c>
      <c r="D163" s="29" t="n">
        <v>1452</v>
      </c>
      <c r="E163" s="19" t="s">
        <v>9655</v>
      </c>
      <c r="F163" s="19" t="n">
        <v>1977</v>
      </c>
      <c r="G163" s="19" t="n">
        <v>2026</v>
      </c>
      <c r="H163" s="19" t="str">
        <f aca="false">IF(COUNTIF(Species!$B:$B,$A163)=0,"",IF(INDEX(Species!$A:$A,MATCH($A163,Species!$B:$B,0))="","",INDEX(Species!$A:$A,MATCH($A163,Species!$B:$B,0))))</f>
        <v/>
      </c>
      <c r="I163" s="19" t="str">
        <f aca="false">IF(COUNTIF(Species!$B:$B,$A163)=0,"",INDEX(Species!$F:$F,MATCH($A163,Species!$B:$B,0)))</f>
        <v/>
      </c>
      <c r="J163" s="19" t="n">
        <f aca="false">COUNTIFS(Clips!$F:$F,$A163,Clips!$C:$C,"train")</f>
        <v>0</v>
      </c>
      <c r="K163" s="19" t="n">
        <f aca="false">COUNTIF(Clips!$F:$F,$A163)</f>
        <v>0</v>
      </c>
      <c r="L163" s="19" t="str">
        <f aca="false">IF(J163&gt;0,"in train",IF(K163&gt;0,"audio, none in train",IF(C163&gt;=Overview!$B$9,"priority gap","no audio")))</f>
        <v>no audio</v>
      </c>
    </row>
    <row r="164" customFormat="false" ht="15" hidden="false" customHeight="false" outlineLevel="0" collapsed="false">
      <c r="A164" s="19" t="s">
        <v>704</v>
      </c>
      <c r="B164" s="19" t="s">
        <v>705</v>
      </c>
      <c r="C164" s="28" t="n">
        <f aca="false">D164/Overview!$B$10</f>
        <v>0.0431260424112461</v>
      </c>
      <c r="D164" s="29" t="n">
        <v>1448</v>
      </c>
      <c r="E164" s="19" t="s">
        <v>9649</v>
      </c>
      <c r="F164" s="19" t="n">
        <v>1977</v>
      </c>
      <c r="G164" s="19" t="n">
        <v>2026</v>
      </c>
      <c r="H164" s="19" t="n">
        <f aca="false">IF(COUNTIF(Species!$B:$B,$A164)=0,"",IF(INDEX(Species!$A:$A,MATCH($A164,Species!$B:$B,0))="","",INDEX(Species!$A:$A,MATCH($A164,Species!$B:$B,0))))</f>
        <v>9</v>
      </c>
      <c r="I164" s="19" t="str">
        <f aca="false">IF(COUNTIF(Species!$B:$B,$A164)=0,"",INDEX(Species!$F:$F,MATCH($A164,Species!$B:$B,0)))</f>
        <v>few_shot</v>
      </c>
      <c r="J164" s="19" t="n">
        <f aca="false">COUNTIFS(Clips!$F:$F,$A164,Clips!$C:$C,"train")</f>
        <v>1</v>
      </c>
      <c r="K164" s="19" t="n">
        <f aca="false">COUNTIF(Clips!$F:$F,$A164)</f>
        <v>2</v>
      </c>
      <c r="L164" s="19" t="str">
        <f aca="false">IF(J164&gt;0,"in train",IF(K164&gt;0,"audio, none in train",IF(C164&gt;=Overview!$B$9,"priority gap","no audio")))</f>
        <v>in train</v>
      </c>
    </row>
    <row r="165" customFormat="false" ht="15" hidden="false" customHeight="false" outlineLevel="0" collapsed="false">
      <c r="A165" s="19" t="s">
        <v>335</v>
      </c>
      <c r="B165" s="19" t="s">
        <v>336</v>
      </c>
      <c r="C165" s="28" t="n">
        <f aca="false">D165/Overview!$B$10</f>
        <v>0.0430664760543245</v>
      </c>
      <c r="D165" s="29" t="n">
        <v>1446</v>
      </c>
      <c r="E165" s="19" t="s">
        <v>9649</v>
      </c>
      <c r="F165" s="19" t="n">
        <v>1971</v>
      </c>
      <c r="G165" s="19" t="n">
        <v>2026</v>
      </c>
      <c r="H165" s="19" t="n">
        <f aca="false">IF(COUNTIF(Species!$B:$B,$A165)=0,"",IF(INDEX(Species!$A:$A,MATCH($A165,Species!$B:$B,0))="","",INDEX(Species!$A:$A,MATCH($A165,Species!$B:$B,0))))</f>
        <v>27</v>
      </c>
      <c r="I165" s="19" t="str">
        <f aca="false">IF(COUNTIF(Species!$B:$B,$A165)=0,"",INDEX(Species!$F:$F,MATCH($A165,Species!$B:$B,0)))</f>
        <v>core</v>
      </c>
      <c r="J165" s="19" t="n">
        <f aca="false">COUNTIFS(Clips!$F:$F,$A165,Clips!$C:$C,"train")</f>
        <v>10</v>
      </c>
      <c r="K165" s="19" t="n">
        <f aca="false">COUNTIF(Clips!$F:$F,$A165)</f>
        <v>14</v>
      </c>
      <c r="L165" s="19" t="str">
        <f aca="false">IF(J165&gt;0,"in train",IF(K165&gt;0,"audio, none in train",IF(C165&gt;=Overview!$B$9,"priority gap","no audio")))</f>
        <v>in train</v>
      </c>
    </row>
    <row r="166" customFormat="false" ht="15" hidden="false" customHeight="false" outlineLevel="0" collapsed="false">
      <c r="A166" s="19" t="s">
        <v>9706</v>
      </c>
      <c r="B166" s="19" t="s">
        <v>9707</v>
      </c>
      <c r="C166" s="28" t="n">
        <f aca="false">D166/Overview!$B$10</f>
        <v>0.0430664760543245</v>
      </c>
      <c r="D166" s="29" t="n">
        <v>1446</v>
      </c>
      <c r="E166" s="19" t="s">
        <v>9649</v>
      </c>
      <c r="F166" s="19" t="n">
        <v>1971</v>
      </c>
      <c r="G166" s="19" t="n">
        <v>2026</v>
      </c>
      <c r="H166" s="19" t="str">
        <f aca="false">IF(COUNTIF(Species!$B:$B,$A166)=0,"",IF(INDEX(Species!$A:$A,MATCH($A166,Species!$B:$B,0))="","",INDEX(Species!$A:$A,MATCH($A166,Species!$B:$B,0))))</f>
        <v/>
      </c>
      <c r="I166" s="19" t="str">
        <f aca="false">IF(COUNTIF(Species!$B:$B,$A166)=0,"",INDEX(Species!$F:$F,MATCH($A166,Species!$B:$B,0)))</f>
        <v/>
      </c>
      <c r="J166" s="19" t="n">
        <f aca="false">COUNTIFS(Clips!$F:$F,$A166,Clips!$C:$C,"train")</f>
        <v>0</v>
      </c>
      <c r="K166" s="19" t="n">
        <f aca="false">COUNTIF(Clips!$F:$F,$A166)</f>
        <v>0</v>
      </c>
      <c r="L166" s="19" t="str">
        <f aca="false">IF(J166&gt;0,"in train",IF(K166&gt;0,"audio, none in train",IF(C166&gt;=Overview!$B$9,"priority gap","no audio")))</f>
        <v>no audio</v>
      </c>
    </row>
    <row r="167" customFormat="false" ht="15" hidden="false" customHeight="false" outlineLevel="0" collapsed="false">
      <c r="A167" s="19" t="s">
        <v>301</v>
      </c>
      <c r="B167" s="19" t="s">
        <v>302</v>
      </c>
      <c r="C167" s="28" t="n">
        <f aca="false">D167/Overview!$B$10</f>
        <v>0.0416666666666667</v>
      </c>
      <c r="D167" s="29" t="n">
        <v>1399</v>
      </c>
      <c r="E167" s="19" t="s">
        <v>9649</v>
      </c>
      <c r="F167" s="19" t="n">
        <v>1969</v>
      </c>
      <c r="G167" s="19" t="n">
        <v>2026</v>
      </c>
      <c r="H167" s="19" t="n">
        <f aca="false">IF(COUNTIF(Species!$B:$B,$A167)=0,"",IF(INDEX(Species!$A:$A,MATCH($A167,Species!$B:$B,0))="","",INDEX(Species!$A:$A,MATCH($A167,Species!$B:$B,0))))</f>
        <v>71</v>
      </c>
      <c r="I167" s="19" t="str">
        <f aca="false">IF(COUNTIF(Species!$B:$B,$A167)=0,"",INDEX(Species!$F:$F,MATCH($A167,Species!$B:$B,0)))</f>
        <v>core</v>
      </c>
      <c r="J167" s="19" t="n">
        <f aca="false">COUNTIFS(Clips!$F:$F,$A167,Clips!$C:$C,"train")</f>
        <v>13</v>
      </c>
      <c r="K167" s="19" t="n">
        <f aca="false">COUNTIF(Clips!$F:$F,$A167)</f>
        <v>19</v>
      </c>
      <c r="L167" s="19" t="str">
        <f aca="false">IF(J167&gt;0,"in train",IF(K167&gt;0,"audio, none in train",IF(C167&gt;=Overview!$B$9,"priority gap","no audio")))</f>
        <v>in train</v>
      </c>
    </row>
    <row r="168" customFormat="false" ht="15" hidden="false" customHeight="false" outlineLevel="0" collapsed="false">
      <c r="A168" s="19" t="s">
        <v>571</v>
      </c>
      <c r="B168" s="19" t="s">
        <v>572</v>
      </c>
      <c r="C168" s="28" t="n">
        <f aca="false">D168/Overview!$B$10</f>
        <v>0.0413390517035978</v>
      </c>
      <c r="D168" s="29" t="n">
        <v>1388</v>
      </c>
      <c r="E168" s="19" t="s">
        <v>9649</v>
      </c>
      <c r="F168" s="19" t="n">
        <v>1981</v>
      </c>
      <c r="G168" s="19" t="n">
        <v>2026</v>
      </c>
      <c r="H168" s="19" t="n">
        <f aca="false">IF(COUNTIF(Species!$B:$B,$A168)=0,"",IF(INDEX(Species!$A:$A,MATCH($A168,Species!$B:$B,0))="","",INDEX(Species!$A:$A,MATCH($A168,Species!$B:$B,0))))</f>
        <v>136</v>
      </c>
      <c r="I168" s="19" t="str">
        <f aca="false">IF(COUNTIF(Species!$B:$B,$A168)=0,"",INDEX(Species!$F:$F,MATCH($A168,Species!$B:$B,0)))</f>
        <v>few_shot</v>
      </c>
      <c r="J168" s="19" t="n">
        <f aca="false">COUNTIFS(Clips!$F:$F,$A168,Clips!$C:$C,"train")</f>
        <v>4</v>
      </c>
      <c r="K168" s="19" t="n">
        <f aca="false">COUNTIF(Clips!$F:$F,$A168)</f>
        <v>5</v>
      </c>
      <c r="L168" s="19" t="str">
        <f aca="false">IF(J168&gt;0,"in train",IF(K168&gt;0,"audio, none in train",IF(C168&gt;=Overview!$B$9,"priority gap","no audio")))</f>
        <v>in train</v>
      </c>
    </row>
    <row r="169" customFormat="false" ht="15" hidden="false" customHeight="false" outlineLevel="0" collapsed="false">
      <c r="A169" s="19" t="s">
        <v>9708</v>
      </c>
      <c r="B169" s="19" t="s">
        <v>9709</v>
      </c>
      <c r="C169" s="28" t="n">
        <f aca="false">D169/Overview!$B$10</f>
        <v>0.0411901358112938</v>
      </c>
      <c r="D169" s="29" t="n">
        <v>1383</v>
      </c>
      <c r="E169" s="19" t="s">
        <v>9687</v>
      </c>
      <c r="F169" s="19" t="n">
        <v>1982</v>
      </c>
      <c r="G169" s="19" t="n">
        <v>2026</v>
      </c>
      <c r="H169" s="19" t="str">
        <f aca="false">IF(COUNTIF(Species!$B:$B,$A169)=0,"",IF(INDEX(Species!$A:$A,MATCH($A169,Species!$B:$B,0))="","",INDEX(Species!$A:$A,MATCH($A169,Species!$B:$B,0))))</f>
        <v/>
      </c>
      <c r="I169" s="19" t="str">
        <f aca="false">IF(COUNTIF(Species!$B:$B,$A169)=0,"",INDEX(Species!$F:$F,MATCH($A169,Species!$B:$B,0)))</f>
        <v/>
      </c>
      <c r="J169" s="19" t="n">
        <f aca="false">COUNTIFS(Clips!$F:$F,$A169,Clips!$C:$C,"train")</f>
        <v>0</v>
      </c>
      <c r="K169" s="19" t="n">
        <f aca="false">COUNTIF(Clips!$F:$F,$A169)</f>
        <v>0</v>
      </c>
      <c r="L169" s="19" t="str">
        <f aca="false">IF(J169&gt;0,"in train",IF(K169&gt;0,"audio, none in train",IF(C169&gt;=Overview!$B$9,"priority gap","no audio")))</f>
        <v>no audio</v>
      </c>
    </row>
    <row r="170" customFormat="false" ht="15" hidden="false" customHeight="false" outlineLevel="0" collapsed="false">
      <c r="A170" s="19" t="s">
        <v>9710</v>
      </c>
      <c r="B170" s="19" t="s">
        <v>9711</v>
      </c>
      <c r="C170" s="28" t="n">
        <f aca="false">D170/Overview!$B$10</f>
        <v>0.0402966404574696</v>
      </c>
      <c r="D170" s="29" t="n">
        <v>1353</v>
      </c>
      <c r="E170" s="19" t="s">
        <v>9712</v>
      </c>
      <c r="F170" s="19" t="n">
        <v>1985</v>
      </c>
      <c r="G170" s="19" t="n">
        <v>2026</v>
      </c>
      <c r="H170" s="19" t="str">
        <f aca="false">IF(COUNTIF(Species!$B:$B,$A170)=0,"",IF(INDEX(Species!$A:$A,MATCH($A170,Species!$B:$B,0))="","",INDEX(Species!$A:$A,MATCH($A170,Species!$B:$B,0))))</f>
        <v/>
      </c>
      <c r="I170" s="19" t="str">
        <f aca="false">IF(COUNTIF(Species!$B:$B,$A170)=0,"",INDEX(Species!$F:$F,MATCH($A170,Species!$B:$B,0)))</f>
        <v/>
      </c>
      <c r="J170" s="19" t="n">
        <f aca="false">COUNTIFS(Clips!$F:$F,$A170,Clips!$C:$C,"train")</f>
        <v>0</v>
      </c>
      <c r="K170" s="19" t="n">
        <f aca="false">COUNTIF(Clips!$F:$F,$A170)</f>
        <v>0</v>
      </c>
      <c r="L170" s="19" t="str">
        <f aca="false">IF(J170&gt;0,"in train",IF(K170&gt;0,"audio, none in train",IF(C170&gt;=Overview!$B$9,"priority gap","no audio")))</f>
        <v>no audio</v>
      </c>
    </row>
    <row r="171" customFormat="false" ht="15" hidden="false" customHeight="false" outlineLevel="0" collapsed="false">
      <c r="A171" s="19" t="s">
        <v>9713</v>
      </c>
      <c r="B171" s="19" t="s">
        <v>9714</v>
      </c>
      <c r="C171" s="28" t="n">
        <f aca="false">D171/Overview!$B$10</f>
        <v>0.0399690254944008</v>
      </c>
      <c r="D171" s="29" t="n">
        <v>1342</v>
      </c>
      <c r="E171" s="19" t="s">
        <v>9649</v>
      </c>
      <c r="F171" s="19" t="n">
        <v>1972</v>
      </c>
      <c r="G171" s="19" t="n">
        <v>2026</v>
      </c>
      <c r="H171" s="19" t="str">
        <f aca="false">IF(COUNTIF(Species!$B:$B,$A171)=0,"",IF(INDEX(Species!$A:$A,MATCH($A171,Species!$B:$B,0))="","",INDEX(Species!$A:$A,MATCH($A171,Species!$B:$B,0))))</f>
        <v/>
      </c>
      <c r="I171" s="19" t="str">
        <f aca="false">IF(COUNTIF(Species!$B:$B,$A171)=0,"",INDEX(Species!$F:$F,MATCH($A171,Species!$B:$B,0)))</f>
        <v/>
      </c>
      <c r="J171" s="19" t="n">
        <f aca="false">COUNTIFS(Clips!$F:$F,$A171,Clips!$C:$C,"train")</f>
        <v>0</v>
      </c>
      <c r="K171" s="19" t="n">
        <f aca="false">COUNTIF(Clips!$F:$F,$A171)</f>
        <v>0</v>
      </c>
      <c r="L171" s="19" t="str">
        <f aca="false">IF(J171&gt;0,"in train",IF(K171&gt;0,"audio, none in train",IF(C171&gt;=Overview!$B$9,"priority gap","no audio")))</f>
        <v>no audio</v>
      </c>
    </row>
    <row r="172" customFormat="false" ht="15" hidden="false" customHeight="false" outlineLevel="0" collapsed="false">
      <c r="A172" s="19" t="s">
        <v>835</v>
      </c>
      <c r="B172" s="19" t="s">
        <v>836</v>
      </c>
      <c r="C172" s="28" t="n">
        <f aca="false">D172/Overview!$B$10</f>
        <v>0.0398201096020967</v>
      </c>
      <c r="D172" s="29" t="n">
        <v>1337</v>
      </c>
      <c r="E172" s="19" t="s">
        <v>9649</v>
      </c>
      <c r="F172" s="19" t="n">
        <v>1969</v>
      </c>
      <c r="G172" s="19" t="n">
        <v>2026</v>
      </c>
      <c r="H172" s="19" t="n">
        <f aca="false">IF(COUNTIF(Species!$B:$B,$A172)=0,"",IF(INDEX(Species!$A:$A,MATCH($A172,Species!$B:$B,0))="","",INDEX(Species!$A:$A,MATCH($A172,Species!$B:$B,0))))</f>
        <v>150</v>
      </c>
      <c r="I172" s="19" t="str">
        <f aca="false">IF(COUNTIF(Species!$B:$B,$A172)=0,"",INDEX(Species!$F:$F,MATCH($A172,Species!$B:$B,0)))</f>
        <v>singleton</v>
      </c>
      <c r="J172" s="19" t="n">
        <f aca="false">COUNTIFS(Clips!$F:$F,$A172,Clips!$C:$C,"train")</f>
        <v>0</v>
      </c>
      <c r="K172" s="19" t="n">
        <f aca="false">COUNTIF(Clips!$F:$F,$A172)</f>
        <v>1</v>
      </c>
      <c r="L172" s="19" t="str">
        <f aca="false">IF(J172&gt;0,"in train",IF(K172&gt;0,"audio, none in train",IF(C172&gt;=Overview!$B$9,"priority gap","no audio")))</f>
        <v>audio, none in train</v>
      </c>
    </row>
    <row r="173" customFormat="false" ht="15" hidden="false" customHeight="false" outlineLevel="0" collapsed="false">
      <c r="A173" s="19" t="s">
        <v>796</v>
      </c>
      <c r="B173" s="19" t="s">
        <v>797</v>
      </c>
      <c r="C173" s="28" t="n">
        <f aca="false">D173/Overview!$B$10</f>
        <v>0.0396711937097927</v>
      </c>
      <c r="D173" s="29" t="n">
        <v>1332</v>
      </c>
      <c r="E173" s="19" t="s">
        <v>9649</v>
      </c>
      <c r="F173" s="19" t="n">
        <v>1979</v>
      </c>
      <c r="G173" s="19" t="n">
        <v>2026</v>
      </c>
      <c r="H173" s="19" t="n">
        <f aca="false">IF(COUNTIF(Species!$B:$B,$A173)=0,"",IF(INDEX(Species!$A:$A,MATCH($A173,Species!$B:$B,0))="","",INDEX(Species!$A:$A,MATCH($A173,Species!$B:$B,0))))</f>
        <v>69</v>
      </c>
      <c r="I173" s="19" t="str">
        <f aca="false">IF(COUNTIF(Species!$B:$B,$A173)=0,"",INDEX(Species!$F:$F,MATCH($A173,Species!$B:$B,0)))</f>
        <v>singleton</v>
      </c>
      <c r="J173" s="19" t="n">
        <f aca="false">COUNTIFS(Clips!$F:$F,$A173,Clips!$C:$C,"train")</f>
        <v>0</v>
      </c>
      <c r="K173" s="19" t="n">
        <f aca="false">COUNTIF(Clips!$F:$F,$A173)</f>
        <v>1</v>
      </c>
      <c r="L173" s="19" t="str">
        <f aca="false">IF(J173&gt;0,"in train",IF(K173&gt;0,"audio, none in train",IF(C173&gt;=Overview!$B$9,"priority gap","no audio")))</f>
        <v>audio, none in train</v>
      </c>
    </row>
    <row r="174" customFormat="false" ht="15" hidden="false" customHeight="false" outlineLevel="0" collapsed="false">
      <c r="A174" s="19" t="s">
        <v>820</v>
      </c>
      <c r="B174" s="19" t="s">
        <v>821</v>
      </c>
      <c r="C174" s="28" t="n">
        <f aca="false">D174/Overview!$B$10</f>
        <v>0.0395520609959495</v>
      </c>
      <c r="D174" s="29" t="n">
        <v>1328</v>
      </c>
      <c r="E174" s="19" t="s">
        <v>9649</v>
      </c>
      <c r="F174" s="19" t="n">
        <v>1971</v>
      </c>
      <c r="G174" s="19" t="n">
        <v>2026</v>
      </c>
      <c r="H174" s="19" t="n">
        <f aca="false">IF(COUNTIF(Species!$B:$B,$A174)=0,"",IF(INDEX(Species!$A:$A,MATCH($A174,Species!$B:$B,0))="","",INDEX(Species!$A:$A,MATCH($A174,Species!$B:$B,0))))</f>
        <v>109</v>
      </c>
      <c r="I174" s="19" t="str">
        <f aca="false">IF(COUNTIF(Species!$B:$B,$A174)=0,"",INDEX(Species!$F:$F,MATCH($A174,Species!$B:$B,0)))</f>
        <v>singleton</v>
      </c>
      <c r="J174" s="19" t="n">
        <f aca="false">COUNTIFS(Clips!$F:$F,$A174,Clips!$C:$C,"train")</f>
        <v>0</v>
      </c>
      <c r="K174" s="19" t="n">
        <f aca="false">COUNTIF(Clips!$F:$F,$A174)</f>
        <v>1</v>
      </c>
      <c r="L174" s="19" t="str">
        <f aca="false">IF(J174&gt;0,"in train",IF(K174&gt;0,"audio, none in train",IF(C174&gt;=Overview!$B$9,"priority gap","no audio")))</f>
        <v>audio, none in train</v>
      </c>
    </row>
    <row r="175" customFormat="false" ht="15" hidden="false" customHeight="false" outlineLevel="0" collapsed="false">
      <c r="A175" s="19" t="s">
        <v>895</v>
      </c>
      <c r="B175" s="19" t="s">
        <v>896</v>
      </c>
      <c r="C175" s="28" t="n">
        <f aca="false">D175/Overview!$B$10</f>
        <v>0.0392542292113414</v>
      </c>
      <c r="D175" s="29" t="n">
        <v>1318</v>
      </c>
      <c r="E175" s="19" t="s">
        <v>9650</v>
      </c>
      <c r="F175" s="19" t="n">
        <v>1973</v>
      </c>
      <c r="G175" s="19" t="n">
        <v>2026</v>
      </c>
      <c r="H175" s="19" t="n">
        <f aca="false">IF(COUNTIF(Species!$B:$B,$A175)=0,"",IF(INDEX(Species!$A:$A,MATCH($A175,Species!$B:$B,0))="","",INDEX(Species!$A:$A,MATCH($A175,Species!$B:$B,0))))</f>
        <v>238</v>
      </c>
      <c r="I175" s="19" t="str">
        <f aca="false">IF(COUNTIF(Species!$B:$B,$A175)=0,"",INDEX(Species!$F:$F,MATCH($A175,Species!$B:$B,0)))</f>
        <v>singleton</v>
      </c>
      <c r="J175" s="19" t="n">
        <f aca="false">COUNTIFS(Clips!$F:$F,$A175,Clips!$C:$C,"train")</f>
        <v>0</v>
      </c>
      <c r="K175" s="19" t="n">
        <f aca="false">COUNTIF(Clips!$F:$F,$A175)</f>
        <v>1</v>
      </c>
      <c r="L175" s="19" t="str">
        <f aca="false">IF(J175&gt;0,"in train",IF(K175&gt;0,"audio, none in train",IF(C175&gt;=Overview!$B$9,"priority gap","no audio")))</f>
        <v>audio, none in train</v>
      </c>
    </row>
    <row r="176" customFormat="false" ht="15" hidden="false" customHeight="false" outlineLevel="0" collapsed="false">
      <c r="A176" s="19" t="s">
        <v>9715</v>
      </c>
      <c r="B176" s="19" t="s">
        <v>9716</v>
      </c>
      <c r="C176" s="28" t="n">
        <f aca="false">D176/Overview!$B$10</f>
        <v>0.0383309506790565</v>
      </c>
      <c r="D176" s="29" t="n">
        <v>1287</v>
      </c>
      <c r="E176" s="19" t="s">
        <v>9687</v>
      </c>
      <c r="F176" s="19" t="n">
        <v>1973</v>
      </c>
      <c r="G176" s="19" t="n">
        <v>2026</v>
      </c>
      <c r="H176" s="19" t="str">
        <f aca="false">IF(COUNTIF(Species!$B:$B,$A176)=0,"",IF(INDEX(Species!$A:$A,MATCH($A176,Species!$B:$B,0))="","",INDEX(Species!$A:$A,MATCH($A176,Species!$B:$B,0))))</f>
        <v/>
      </c>
      <c r="I176" s="19" t="str">
        <f aca="false">IF(COUNTIF(Species!$B:$B,$A176)=0,"",INDEX(Species!$F:$F,MATCH($A176,Species!$B:$B,0)))</f>
        <v/>
      </c>
      <c r="J176" s="19" t="n">
        <f aca="false">COUNTIFS(Clips!$F:$F,$A176,Clips!$C:$C,"train")</f>
        <v>0</v>
      </c>
      <c r="K176" s="19" t="n">
        <f aca="false">COUNTIF(Clips!$F:$F,$A176)</f>
        <v>0</v>
      </c>
      <c r="L176" s="19" t="str">
        <f aca="false">IF(J176&gt;0,"in train",IF(K176&gt;0,"audio, none in train",IF(C176&gt;=Overview!$B$9,"priority gap","no audio")))</f>
        <v>no audio</v>
      </c>
    </row>
    <row r="177" customFormat="false" ht="15" hidden="false" customHeight="false" outlineLevel="0" collapsed="false">
      <c r="A177" s="19" t="s">
        <v>9717</v>
      </c>
      <c r="B177" s="19" t="s">
        <v>9718</v>
      </c>
      <c r="C177" s="28" t="n">
        <f aca="false">D177/Overview!$B$10</f>
        <v>0.0383309506790565</v>
      </c>
      <c r="D177" s="29" t="n">
        <v>1287</v>
      </c>
      <c r="E177" s="19" t="s">
        <v>9649</v>
      </c>
      <c r="F177" s="19" t="n">
        <v>1983</v>
      </c>
      <c r="G177" s="19" t="n">
        <v>2026</v>
      </c>
      <c r="H177" s="19" t="str">
        <f aca="false">IF(COUNTIF(Species!$B:$B,$A177)=0,"",IF(INDEX(Species!$A:$A,MATCH($A177,Species!$B:$B,0))="","",INDEX(Species!$A:$A,MATCH($A177,Species!$B:$B,0))))</f>
        <v/>
      </c>
      <c r="I177" s="19" t="str">
        <f aca="false">IF(COUNTIF(Species!$B:$B,$A177)=0,"",INDEX(Species!$F:$F,MATCH($A177,Species!$B:$B,0)))</f>
        <v/>
      </c>
      <c r="J177" s="19" t="n">
        <f aca="false">COUNTIFS(Clips!$F:$F,$A177,Clips!$C:$C,"train")</f>
        <v>0</v>
      </c>
      <c r="K177" s="19" t="n">
        <f aca="false">COUNTIF(Clips!$F:$F,$A177)</f>
        <v>0</v>
      </c>
      <c r="L177" s="19" t="str">
        <f aca="false">IF(J177&gt;0,"in train",IF(K177&gt;0,"audio, none in train",IF(C177&gt;=Overview!$B$9,"priority gap","no audio")))</f>
        <v>no audio</v>
      </c>
    </row>
    <row r="178" customFormat="false" ht="15" hidden="false" customHeight="false" outlineLevel="0" collapsed="false">
      <c r="A178" s="19" t="s">
        <v>9719</v>
      </c>
      <c r="B178" s="19" t="s">
        <v>9720</v>
      </c>
      <c r="C178" s="28" t="n">
        <f aca="false">D178/Overview!$B$10</f>
        <v>0.0383011675005957</v>
      </c>
      <c r="D178" s="29" t="n">
        <v>1286</v>
      </c>
      <c r="E178" s="19" t="s">
        <v>9687</v>
      </c>
      <c r="F178" s="19" t="n">
        <v>1982</v>
      </c>
      <c r="G178" s="19" t="n">
        <v>2026</v>
      </c>
      <c r="H178" s="19" t="str">
        <f aca="false">IF(COUNTIF(Species!$B:$B,$A178)=0,"",IF(INDEX(Species!$A:$A,MATCH($A178,Species!$B:$B,0))="","",INDEX(Species!$A:$A,MATCH($A178,Species!$B:$B,0))))</f>
        <v/>
      </c>
      <c r="I178" s="19" t="str">
        <f aca="false">IF(COUNTIF(Species!$B:$B,$A178)=0,"",INDEX(Species!$F:$F,MATCH($A178,Species!$B:$B,0)))</f>
        <v/>
      </c>
      <c r="J178" s="19" t="n">
        <f aca="false">COUNTIFS(Clips!$F:$F,$A178,Clips!$C:$C,"train")</f>
        <v>0</v>
      </c>
      <c r="K178" s="19" t="n">
        <f aca="false">COUNTIF(Clips!$F:$F,$A178)</f>
        <v>0</v>
      </c>
      <c r="L178" s="19" t="str">
        <f aca="false">IF(J178&gt;0,"in train",IF(K178&gt;0,"audio, none in train",IF(C178&gt;=Overview!$B$9,"priority gap","no audio")))</f>
        <v>no audio</v>
      </c>
    </row>
    <row r="179" customFormat="false" ht="15" hidden="false" customHeight="false" outlineLevel="0" collapsed="false">
      <c r="A179" s="19" t="s">
        <v>632</v>
      </c>
      <c r="B179" s="19" t="s">
        <v>633</v>
      </c>
      <c r="C179" s="28" t="n">
        <f aca="false">D179/Overview!$B$10</f>
        <v>0.0380033357159876</v>
      </c>
      <c r="D179" s="29" t="n">
        <v>1276</v>
      </c>
      <c r="E179" s="19" t="s">
        <v>9649</v>
      </c>
      <c r="F179" s="19" t="n">
        <v>1973</v>
      </c>
      <c r="G179" s="19" t="n">
        <v>2026</v>
      </c>
      <c r="H179" s="19" t="n">
        <f aca="false">IF(COUNTIF(Species!$B:$B,$A179)=0,"",IF(INDEX(Species!$A:$A,MATCH($A179,Species!$B:$B,0))="","",INDEX(Species!$A:$A,MATCH($A179,Species!$B:$B,0))))</f>
        <v>237</v>
      </c>
      <c r="I179" s="19" t="str">
        <f aca="false">IF(COUNTIF(Species!$B:$B,$A179)=0,"",INDEX(Species!$F:$F,MATCH($A179,Species!$B:$B,0)))</f>
        <v>few_shot</v>
      </c>
      <c r="J179" s="19" t="n">
        <f aca="false">COUNTIFS(Clips!$F:$F,$A179,Clips!$C:$C,"train")</f>
        <v>3</v>
      </c>
      <c r="K179" s="19" t="n">
        <f aca="false">COUNTIF(Clips!$F:$F,$A179)</f>
        <v>4</v>
      </c>
      <c r="L179" s="19" t="str">
        <f aca="false">IF(J179&gt;0,"in train",IF(K179&gt;0,"audio, none in train",IF(C179&gt;=Overview!$B$9,"priority gap","no audio")))</f>
        <v>in train</v>
      </c>
    </row>
    <row r="180" customFormat="false" ht="15" hidden="false" customHeight="false" outlineLevel="0" collapsed="false">
      <c r="A180" s="19" t="s">
        <v>623</v>
      </c>
      <c r="B180" s="19" t="s">
        <v>624</v>
      </c>
      <c r="C180" s="28" t="n">
        <f aca="false">D180/Overview!$B$10</f>
        <v>0.0373481057898499</v>
      </c>
      <c r="D180" s="29" t="n">
        <v>1254</v>
      </c>
      <c r="E180" s="19" t="s">
        <v>9649</v>
      </c>
      <c r="F180" s="19" t="n">
        <v>1982</v>
      </c>
      <c r="G180" s="19" t="n">
        <v>2026</v>
      </c>
      <c r="H180" s="19" t="n">
        <f aca="false">IF(COUNTIF(Species!$B:$B,$A180)=0,"",IF(INDEX(Species!$A:$A,MATCH($A180,Species!$B:$B,0))="","",INDEX(Species!$A:$A,MATCH($A180,Species!$B:$B,0))))</f>
        <v>175</v>
      </c>
      <c r="I180" s="19" t="str">
        <f aca="false">IF(COUNTIF(Species!$B:$B,$A180)=0,"",INDEX(Species!$F:$F,MATCH($A180,Species!$B:$B,0)))</f>
        <v>few_shot</v>
      </c>
      <c r="J180" s="19" t="n">
        <f aca="false">COUNTIFS(Clips!$F:$F,$A180,Clips!$C:$C,"train")</f>
        <v>3</v>
      </c>
      <c r="K180" s="19" t="n">
        <f aca="false">COUNTIF(Clips!$F:$F,$A180)</f>
        <v>4</v>
      </c>
      <c r="L180" s="19" t="str">
        <f aca="false">IF(J180&gt;0,"in train",IF(K180&gt;0,"audio, none in train",IF(C180&gt;=Overview!$B$9,"priority gap","no audio")))</f>
        <v>in train</v>
      </c>
    </row>
    <row r="181" customFormat="false" ht="15" hidden="false" customHeight="false" outlineLevel="0" collapsed="false">
      <c r="A181" s="19" t="s">
        <v>469</v>
      </c>
      <c r="B181" s="19" t="s">
        <v>470</v>
      </c>
      <c r="C181" s="28" t="n">
        <f aca="false">D181/Overview!$B$10</f>
        <v>0.0369013581129378</v>
      </c>
      <c r="D181" s="29" t="n">
        <v>1239</v>
      </c>
      <c r="E181" s="19" t="s">
        <v>9649</v>
      </c>
      <c r="F181" s="19" t="n">
        <v>1977</v>
      </c>
      <c r="G181" s="19" t="n">
        <v>2026</v>
      </c>
      <c r="H181" s="19" t="n">
        <f aca="false">IF(COUNTIF(Species!$B:$B,$A181)=0,"",IF(INDEX(Species!$A:$A,MATCH($A181,Species!$B:$B,0))="","",INDEX(Species!$A:$A,MATCH($A181,Species!$B:$B,0))))</f>
        <v>246</v>
      </c>
      <c r="I181" s="19" t="str">
        <f aca="false">IF(COUNTIF(Species!$B:$B,$A181)=0,"",INDEX(Species!$F:$F,MATCH($A181,Species!$B:$B,0)))</f>
        <v>few_shot</v>
      </c>
      <c r="J181" s="19" t="n">
        <f aca="false">COUNTIFS(Clips!$F:$F,$A181,Clips!$C:$C,"train")</f>
        <v>7</v>
      </c>
      <c r="K181" s="19" t="n">
        <f aca="false">COUNTIF(Clips!$F:$F,$A181)</f>
        <v>9</v>
      </c>
      <c r="L181" s="19" t="str">
        <f aca="false">IF(J181&gt;0,"in train",IF(K181&gt;0,"audio, none in train",IF(C181&gt;=Overview!$B$9,"priority gap","no audio")))</f>
        <v>in train</v>
      </c>
    </row>
    <row r="182" customFormat="false" ht="15" hidden="false" customHeight="false" outlineLevel="0" collapsed="false">
      <c r="A182" s="19" t="s">
        <v>808</v>
      </c>
      <c r="B182" s="19" t="s">
        <v>809</v>
      </c>
      <c r="C182" s="28" t="n">
        <f aca="false">D182/Overview!$B$10</f>
        <v>0.0364546104360257</v>
      </c>
      <c r="D182" s="29" t="n">
        <v>1224</v>
      </c>
      <c r="E182" s="19" t="s">
        <v>9649</v>
      </c>
      <c r="F182" s="19" t="n">
        <v>1969</v>
      </c>
      <c r="G182" s="19" t="n">
        <v>2026</v>
      </c>
      <c r="H182" s="19" t="n">
        <f aca="false">IF(COUNTIF(Species!$B:$B,$A182)=0,"",IF(INDEX(Species!$A:$A,MATCH($A182,Species!$B:$B,0))="","",INDEX(Species!$A:$A,MATCH($A182,Species!$B:$B,0))))</f>
        <v>87</v>
      </c>
      <c r="I182" s="19" t="str">
        <f aca="false">IF(COUNTIF(Species!$B:$B,$A182)=0,"",INDEX(Species!$F:$F,MATCH($A182,Species!$B:$B,0)))</f>
        <v>singleton</v>
      </c>
      <c r="J182" s="19" t="n">
        <f aca="false">COUNTIFS(Clips!$F:$F,$A182,Clips!$C:$C,"train")</f>
        <v>0</v>
      </c>
      <c r="K182" s="19" t="n">
        <f aca="false">COUNTIF(Clips!$F:$F,$A182)</f>
        <v>1</v>
      </c>
      <c r="L182" s="19" t="str">
        <f aca="false">IF(J182&gt;0,"in train",IF(K182&gt;0,"audio, none in train",IF(C182&gt;=Overview!$B$9,"priority gap","no audio")))</f>
        <v>audio, none in train</v>
      </c>
    </row>
    <row r="183" customFormat="false" ht="15" hidden="false" customHeight="false" outlineLevel="0" collapsed="false">
      <c r="A183" s="19" t="s">
        <v>749</v>
      </c>
      <c r="B183" s="19" t="s">
        <v>750</v>
      </c>
      <c r="C183" s="28" t="n">
        <f aca="false">D183/Overview!$B$10</f>
        <v>0.0350250178699071</v>
      </c>
      <c r="D183" s="29" t="n">
        <v>1176</v>
      </c>
      <c r="E183" s="19" t="s">
        <v>9649</v>
      </c>
      <c r="F183" s="19" t="n">
        <v>1991</v>
      </c>
      <c r="G183" s="19" t="n">
        <v>2026</v>
      </c>
      <c r="H183" s="19" t="n">
        <f aca="false">IF(COUNTIF(Species!$B:$B,$A183)=0,"",IF(INDEX(Species!$A:$A,MATCH($A183,Species!$B:$B,0))="","",INDEX(Species!$A:$A,MATCH($A183,Species!$B:$B,0))))</f>
        <v>244</v>
      </c>
      <c r="I183" s="19" t="str">
        <f aca="false">IF(COUNTIF(Species!$B:$B,$A183)=0,"",INDEX(Species!$F:$F,MATCH($A183,Species!$B:$B,0)))</f>
        <v>singleton</v>
      </c>
      <c r="J183" s="19" t="n">
        <f aca="false">COUNTIFS(Clips!$F:$F,$A183,Clips!$C:$C,"train")</f>
        <v>1</v>
      </c>
      <c r="K183" s="19" t="n">
        <f aca="false">COUNTIF(Clips!$F:$F,$A183)</f>
        <v>2</v>
      </c>
      <c r="L183" s="19" t="str">
        <f aca="false">IF(J183&gt;0,"in train",IF(K183&gt;0,"audio, none in train",IF(C183&gt;=Overview!$B$9,"priority gap","no audio")))</f>
        <v>in train</v>
      </c>
    </row>
    <row r="184" customFormat="false" ht="15" hidden="false" customHeight="false" outlineLevel="0" collapsed="false">
      <c r="A184" s="19" t="s">
        <v>9721</v>
      </c>
      <c r="B184" s="19" t="s">
        <v>9722</v>
      </c>
      <c r="C184" s="28" t="n">
        <f aca="false">D184/Overview!$B$10</f>
        <v>0.0338336907314749</v>
      </c>
      <c r="D184" s="29" t="n">
        <v>1136</v>
      </c>
      <c r="E184" s="19" t="s">
        <v>9723</v>
      </c>
      <c r="F184" s="19" t="n">
        <v>2005</v>
      </c>
      <c r="G184" s="19" t="n">
        <v>2026</v>
      </c>
      <c r="H184" s="19" t="str">
        <f aca="false">IF(COUNTIF(Species!$B:$B,$A184)=0,"",IF(INDEX(Species!$A:$A,MATCH($A184,Species!$B:$B,0))="","",INDEX(Species!$A:$A,MATCH($A184,Species!$B:$B,0))))</f>
        <v/>
      </c>
      <c r="I184" s="19" t="str">
        <f aca="false">IF(COUNTIF(Species!$B:$B,$A184)=0,"",INDEX(Species!$F:$F,MATCH($A184,Species!$B:$B,0)))</f>
        <v/>
      </c>
      <c r="J184" s="19" t="n">
        <f aca="false">COUNTIFS(Clips!$F:$F,$A184,Clips!$C:$C,"train")</f>
        <v>0</v>
      </c>
      <c r="K184" s="19" t="n">
        <f aca="false">COUNTIF(Clips!$F:$F,$A184)</f>
        <v>0</v>
      </c>
      <c r="L184" s="19" t="str">
        <f aca="false">IF(J184&gt;0,"in train",IF(K184&gt;0,"audio, none in train",IF(C184&gt;=Overview!$B$9,"priority gap","no audio")))</f>
        <v>no audio</v>
      </c>
    </row>
    <row r="185" customFormat="false" ht="15" hidden="false" customHeight="false" outlineLevel="0" collapsed="false">
      <c r="A185" s="19" t="s">
        <v>463</v>
      </c>
      <c r="B185" s="19" t="s">
        <v>464</v>
      </c>
      <c r="C185" s="28" t="n">
        <f aca="false">D185/Overview!$B$10</f>
        <v>0.03365499166071</v>
      </c>
      <c r="D185" s="29" t="n">
        <v>1130</v>
      </c>
      <c r="E185" s="19" t="s">
        <v>9649</v>
      </c>
      <c r="F185" s="19" t="n">
        <v>1977</v>
      </c>
      <c r="G185" s="19" t="n">
        <v>2026</v>
      </c>
      <c r="H185" s="19" t="n">
        <f aca="false">IF(COUNTIF(Species!$B:$B,$A185)=0,"",IF(INDEX(Species!$A:$A,MATCH($A185,Species!$B:$B,0))="","",INDEX(Species!$A:$A,MATCH($A185,Species!$B:$B,0))))</f>
        <v>207</v>
      </c>
      <c r="I185" s="19" t="str">
        <f aca="false">IF(COUNTIF(Species!$B:$B,$A185)=0,"",INDEX(Species!$F:$F,MATCH($A185,Species!$B:$B,0)))</f>
        <v>few_shot</v>
      </c>
      <c r="J185" s="19" t="n">
        <f aca="false">COUNTIFS(Clips!$F:$F,$A185,Clips!$C:$C,"train")</f>
        <v>7</v>
      </c>
      <c r="K185" s="19" t="n">
        <f aca="false">COUNTIF(Clips!$F:$F,$A185)</f>
        <v>9</v>
      </c>
      <c r="L185" s="19" t="str">
        <f aca="false">IF(J185&gt;0,"in train",IF(K185&gt;0,"audio, none in train",IF(C185&gt;=Overview!$B$9,"priority gap","no audio")))</f>
        <v>in train</v>
      </c>
    </row>
    <row r="186" customFormat="false" ht="15" hidden="false" customHeight="false" outlineLevel="0" collapsed="false">
      <c r="A186" s="19" t="s">
        <v>547</v>
      </c>
      <c r="B186" s="19" t="s">
        <v>548</v>
      </c>
      <c r="C186" s="28" t="n">
        <f aca="false">D186/Overview!$B$10</f>
        <v>0.033357159876102</v>
      </c>
      <c r="D186" s="29" t="n">
        <v>1120</v>
      </c>
      <c r="E186" s="19" t="s">
        <v>9649</v>
      </c>
      <c r="F186" s="19" t="n">
        <v>1985</v>
      </c>
      <c r="G186" s="19" t="n">
        <v>2026</v>
      </c>
      <c r="H186" s="19" t="n">
        <f aca="false">IF(COUNTIF(Species!$B:$B,$A186)=0,"",IF(INDEX(Species!$A:$A,MATCH($A186,Species!$B:$B,0))="","",INDEX(Species!$A:$A,MATCH($A186,Species!$B:$B,0))))</f>
        <v>7</v>
      </c>
      <c r="I186" s="19" t="str">
        <f aca="false">IF(COUNTIF(Species!$B:$B,$A186)=0,"",INDEX(Species!$F:$F,MATCH($A186,Species!$B:$B,0)))</f>
        <v>few_shot</v>
      </c>
      <c r="J186" s="19" t="n">
        <f aca="false">COUNTIFS(Clips!$F:$F,$A186,Clips!$C:$C,"train")</f>
        <v>4</v>
      </c>
      <c r="K186" s="19" t="n">
        <f aca="false">COUNTIF(Clips!$F:$F,$A186)</f>
        <v>5</v>
      </c>
      <c r="L186" s="19" t="str">
        <f aca="false">IF(J186&gt;0,"in train",IF(K186&gt;0,"audio, none in train",IF(C186&gt;=Overview!$B$9,"priority gap","no audio")))</f>
        <v>in train</v>
      </c>
    </row>
    <row r="187" customFormat="false" ht="15" hidden="false" customHeight="false" outlineLevel="0" collapsed="false">
      <c r="A187" s="19" t="s">
        <v>774</v>
      </c>
      <c r="B187" s="19" t="s">
        <v>775</v>
      </c>
      <c r="C187" s="28" t="n">
        <f aca="false">D187/Overview!$B$10</f>
        <v>0.0332975935191804</v>
      </c>
      <c r="D187" s="29" t="n">
        <v>1118</v>
      </c>
      <c r="E187" s="19" t="s">
        <v>9649</v>
      </c>
      <c r="F187" s="19" t="n">
        <v>1977</v>
      </c>
      <c r="G187" s="19" t="n">
        <v>2026</v>
      </c>
      <c r="H187" s="19" t="n">
        <f aca="false">IF(COUNTIF(Species!$B:$B,$A187)=0,"",IF(INDEX(Species!$A:$A,MATCH($A187,Species!$B:$B,0))="","",INDEX(Species!$A:$A,MATCH($A187,Species!$B:$B,0))))</f>
        <v>32</v>
      </c>
      <c r="I187" s="19" t="str">
        <f aca="false">IF(COUNTIF(Species!$B:$B,$A187)=0,"",INDEX(Species!$F:$F,MATCH($A187,Species!$B:$B,0)))</f>
        <v>singleton</v>
      </c>
      <c r="J187" s="19" t="n">
        <f aca="false">COUNTIFS(Clips!$F:$F,$A187,Clips!$C:$C,"train")</f>
        <v>0</v>
      </c>
      <c r="K187" s="19" t="n">
        <f aca="false">COUNTIF(Clips!$F:$F,$A187)</f>
        <v>1</v>
      </c>
      <c r="L187" s="19" t="str">
        <f aca="false">IF(J187&gt;0,"in train",IF(K187&gt;0,"audio, none in train",IF(C187&gt;=Overview!$B$9,"priority gap","no audio")))</f>
        <v>audio, none in train</v>
      </c>
    </row>
    <row r="188" customFormat="false" ht="15" hidden="false" customHeight="false" outlineLevel="0" collapsed="false">
      <c r="A188" s="19" t="s">
        <v>466</v>
      </c>
      <c r="B188" s="19" t="s">
        <v>467</v>
      </c>
      <c r="C188" s="28" t="n">
        <f aca="false">D188/Overview!$B$10</f>
        <v>0.0332380271622588</v>
      </c>
      <c r="D188" s="29" t="n">
        <v>1116</v>
      </c>
      <c r="E188" s="19" t="s">
        <v>9649</v>
      </c>
      <c r="F188" s="19" t="n">
        <v>1979</v>
      </c>
      <c r="G188" s="19" t="n">
        <v>2026</v>
      </c>
      <c r="H188" s="19" t="n">
        <f aca="false">IF(COUNTIF(Species!$B:$B,$A188)=0,"",IF(INDEX(Species!$A:$A,MATCH($A188,Species!$B:$B,0))="","",INDEX(Species!$A:$A,MATCH($A188,Species!$B:$B,0))))</f>
        <v>228</v>
      </c>
      <c r="I188" s="19" t="str">
        <f aca="false">IF(COUNTIF(Species!$B:$B,$A188)=0,"",INDEX(Species!$F:$F,MATCH($A188,Species!$B:$B,0)))</f>
        <v>few_shot</v>
      </c>
      <c r="J188" s="19" t="n">
        <f aca="false">COUNTIFS(Clips!$F:$F,$A188,Clips!$C:$C,"train")</f>
        <v>7</v>
      </c>
      <c r="K188" s="19" t="n">
        <f aca="false">COUNTIF(Clips!$F:$F,$A188)</f>
        <v>9</v>
      </c>
      <c r="L188" s="19" t="str">
        <f aca="false">IF(J188&gt;0,"in train",IF(K188&gt;0,"audio, none in train",IF(C188&gt;=Overview!$B$9,"priority gap","no audio")))</f>
        <v>in train</v>
      </c>
    </row>
    <row r="189" customFormat="false" ht="15" hidden="false" customHeight="false" outlineLevel="0" collapsed="false">
      <c r="A189" s="19" t="s">
        <v>404</v>
      </c>
      <c r="B189" s="19" t="s">
        <v>405</v>
      </c>
      <c r="C189" s="28" t="n">
        <f aca="false">D189/Overview!$B$10</f>
        <v>0.032433881343817</v>
      </c>
      <c r="D189" s="29" t="n">
        <v>1089</v>
      </c>
      <c r="E189" s="19" t="s">
        <v>9649</v>
      </c>
      <c r="F189" s="19" t="n">
        <v>1980</v>
      </c>
      <c r="G189" s="19" t="n">
        <v>2026</v>
      </c>
      <c r="H189" s="19" t="n">
        <f aca="false">IF(COUNTIF(Species!$B:$B,$A189)=0,"",IF(INDEX(Species!$A:$A,MATCH($A189,Species!$B:$B,0))="","",INDEX(Species!$A:$A,MATCH($A189,Species!$B:$B,0))))</f>
        <v>60</v>
      </c>
      <c r="I189" s="19" t="str">
        <f aca="false">IF(COUNTIF(Species!$B:$B,$A189)=0,"",INDEX(Species!$F:$F,MATCH($A189,Species!$B:$B,0)))</f>
        <v>core</v>
      </c>
      <c r="J189" s="19" t="n">
        <f aca="false">COUNTIFS(Clips!$F:$F,$A189,Clips!$C:$C,"train")</f>
        <v>7</v>
      </c>
      <c r="K189" s="19" t="n">
        <f aca="false">COUNTIF(Clips!$F:$F,$A189)</f>
        <v>11</v>
      </c>
      <c r="L189" s="19" t="str">
        <f aca="false">IF(J189&gt;0,"in train",IF(K189&gt;0,"audio, none in train",IF(C189&gt;=Overview!$B$9,"priority gap","no audio")))</f>
        <v>in train</v>
      </c>
    </row>
    <row r="190" customFormat="false" ht="15" hidden="false" customHeight="false" outlineLevel="0" collapsed="false">
      <c r="A190" s="19" t="s">
        <v>9724</v>
      </c>
      <c r="B190" s="19" t="s">
        <v>9725</v>
      </c>
      <c r="C190" s="28" t="n">
        <f aca="false">D190/Overview!$B$10</f>
        <v>0.0321062663807482</v>
      </c>
      <c r="D190" s="29" t="n">
        <v>1078</v>
      </c>
      <c r="E190" s="19" t="s">
        <v>9726</v>
      </c>
      <c r="F190" s="19" t="n">
        <v>1986</v>
      </c>
      <c r="G190" s="19" t="n">
        <v>2026</v>
      </c>
      <c r="H190" s="19" t="str">
        <f aca="false">IF(COUNTIF(Species!$B:$B,$A190)=0,"",IF(INDEX(Species!$A:$A,MATCH($A190,Species!$B:$B,0))="","",INDEX(Species!$A:$A,MATCH($A190,Species!$B:$B,0))))</f>
        <v/>
      </c>
      <c r="I190" s="19" t="str">
        <f aca="false">IF(COUNTIF(Species!$B:$B,$A190)=0,"",INDEX(Species!$F:$F,MATCH($A190,Species!$B:$B,0)))</f>
        <v/>
      </c>
      <c r="J190" s="19" t="n">
        <f aca="false">COUNTIFS(Clips!$F:$F,$A190,Clips!$C:$C,"train")</f>
        <v>0</v>
      </c>
      <c r="K190" s="19" t="n">
        <f aca="false">COUNTIF(Clips!$F:$F,$A190)</f>
        <v>0</v>
      </c>
      <c r="L190" s="19" t="str">
        <f aca="false">IF(J190&gt;0,"in train",IF(K190&gt;0,"audio, none in train",IF(C190&gt;=Overview!$B$9,"priority gap","no audio")))</f>
        <v>no audio</v>
      </c>
    </row>
    <row r="191" customFormat="false" ht="15" hidden="false" customHeight="false" outlineLevel="0" collapsed="false">
      <c r="A191" s="19" t="s">
        <v>9727</v>
      </c>
      <c r="B191" s="19" t="s">
        <v>9728</v>
      </c>
      <c r="C191" s="28" t="n">
        <f aca="false">D191/Overview!$B$10</f>
        <v>0.0315106028115321</v>
      </c>
      <c r="D191" s="29" t="n">
        <v>1058</v>
      </c>
      <c r="E191" s="19" t="s">
        <v>9649</v>
      </c>
      <c r="F191" s="19" t="n">
        <v>1971</v>
      </c>
      <c r="G191" s="19" t="n">
        <v>2026</v>
      </c>
      <c r="H191" s="19" t="str">
        <f aca="false">IF(COUNTIF(Species!$B:$B,$A191)=0,"",IF(INDEX(Species!$A:$A,MATCH($A191,Species!$B:$B,0))="","",INDEX(Species!$A:$A,MATCH($A191,Species!$B:$B,0))))</f>
        <v/>
      </c>
      <c r="I191" s="19" t="str">
        <f aca="false">IF(COUNTIF(Species!$B:$B,$A191)=0,"",INDEX(Species!$F:$F,MATCH($A191,Species!$B:$B,0)))</f>
        <v/>
      </c>
      <c r="J191" s="19" t="n">
        <f aca="false">COUNTIFS(Clips!$F:$F,$A191,Clips!$C:$C,"train")</f>
        <v>0</v>
      </c>
      <c r="K191" s="19" t="n">
        <f aca="false">COUNTIF(Clips!$F:$F,$A191)</f>
        <v>0</v>
      </c>
      <c r="L191" s="19" t="str">
        <f aca="false">IF(J191&gt;0,"in train",IF(K191&gt;0,"audio, none in train",IF(C191&gt;=Overview!$B$9,"priority gap","no audio")))</f>
        <v>no audio</v>
      </c>
    </row>
    <row r="192" customFormat="false" ht="15" hidden="false" customHeight="false" outlineLevel="0" collapsed="false">
      <c r="A192" s="19" t="s">
        <v>9729</v>
      </c>
      <c r="B192" s="19" t="s">
        <v>9730</v>
      </c>
      <c r="C192" s="28" t="n">
        <f aca="false">D192/Overview!$B$10</f>
        <v>0.0313914700976888</v>
      </c>
      <c r="D192" s="29" t="n">
        <v>1054</v>
      </c>
      <c r="E192" s="19" t="s">
        <v>9649</v>
      </c>
      <c r="F192" s="19" t="n">
        <v>1971</v>
      </c>
      <c r="G192" s="19" t="n">
        <v>2026</v>
      </c>
      <c r="H192" s="19" t="str">
        <f aca="false">IF(COUNTIF(Species!$B:$B,$A192)=0,"",IF(INDEX(Species!$A:$A,MATCH($A192,Species!$B:$B,0))="","",INDEX(Species!$A:$A,MATCH($A192,Species!$B:$B,0))))</f>
        <v/>
      </c>
      <c r="I192" s="19" t="str">
        <f aca="false">IF(COUNTIF(Species!$B:$B,$A192)=0,"",INDEX(Species!$F:$F,MATCH($A192,Species!$B:$B,0)))</f>
        <v/>
      </c>
      <c r="J192" s="19" t="n">
        <f aca="false">COUNTIFS(Clips!$F:$F,$A192,Clips!$C:$C,"train")</f>
        <v>0</v>
      </c>
      <c r="K192" s="19" t="n">
        <f aca="false">COUNTIF(Clips!$F:$F,$A192)</f>
        <v>0</v>
      </c>
      <c r="L192" s="19" t="str">
        <f aca="false">IF(J192&gt;0,"in train",IF(K192&gt;0,"audio, none in train",IF(C192&gt;=Overview!$B$9,"priority gap","no audio")))</f>
        <v>no audio</v>
      </c>
    </row>
    <row r="193" customFormat="false" ht="15" hidden="false" customHeight="false" outlineLevel="0" collapsed="false">
      <c r="A193" s="19" t="s">
        <v>9731</v>
      </c>
      <c r="B193" s="19" t="s">
        <v>9732</v>
      </c>
      <c r="C193" s="28" t="n">
        <f aca="false">D193/Overview!$B$10</f>
        <v>0.031361686919228</v>
      </c>
      <c r="D193" s="29" t="n">
        <v>1053</v>
      </c>
      <c r="E193" s="19" t="s">
        <v>9649</v>
      </c>
      <c r="F193" s="19" t="n">
        <v>1977</v>
      </c>
      <c r="G193" s="19" t="n">
        <v>2026</v>
      </c>
      <c r="H193" s="19" t="str">
        <f aca="false">IF(COUNTIF(Species!$B:$B,$A193)=0,"",IF(INDEX(Species!$A:$A,MATCH($A193,Species!$B:$B,0))="","",INDEX(Species!$A:$A,MATCH($A193,Species!$B:$B,0))))</f>
        <v/>
      </c>
      <c r="I193" s="19" t="str">
        <f aca="false">IF(COUNTIF(Species!$B:$B,$A193)=0,"",INDEX(Species!$F:$F,MATCH($A193,Species!$B:$B,0)))</f>
        <v/>
      </c>
      <c r="J193" s="19" t="n">
        <f aca="false">COUNTIFS(Clips!$F:$F,$A193,Clips!$C:$C,"train")</f>
        <v>0</v>
      </c>
      <c r="K193" s="19" t="n">
        <f aca="false">COUNTIF(Clips!$F:$F,$A193)</f>
        <v>0</v>
      </c>
      <c r="L193" s="19" t="str">
        <f aca="false">IF(J193&gt;0,"in train",IF(K193&gt;0,"audio, none in train",IF(C193&gt;=Overview!$B$9,"priority gap","no audio")))</f>
        <v>no audio</v>
      </c>
    </row>
    <row r="194" customFormat="false" ht="15" hidden="false" customHeight="false" outlineLevel="0" collapsed="false">
      <c r="A194" s="19" t="s">
        <v>9733</v>
      </c>
      <c r="B194" s="19" t="s">
        <v>9734</v>
      </c>
      <c r="C194" s="28" t="n">
        <f aca="false">D194/Overview!$B$10</f>
        <v>0.031361686919228</v>
      </c>
      <c r="D194" s="29" t="n">
        <v>1053</v>
      </c>
      <c r="E194" s="19" t="s">
        <v>9649</v>
      </c>
      <c r="F194" s="19" t="n">
        <v>1979</v>
      </c>
      <c r="G194" s="19" t="n">
        <v>2026</v>
      </c>
      <c r="H194" s="19" t="str">
        <f aca="false">IF(COUNTIF(Species!$B:$B,$A194)=0,"",IF(INDEX(Species!$A:$A,MATCH($A194,Species!$B:$B,0))="","",INDEX(Species!$A:$A,MATCH($A194,Species!$B:$B,0))))</f>
        <v/>
      </c>
      <c r="I194" s="19" t="str">
        <f aca="false">IF(COUNTIF(Species!$B:$B,$A194)=0,"",INDEX(Species!$F:$F,MATCH($A194,Species!$B:$B,0)))</f>
        <v/>
      </c>
      <c r="J194" s="19" t="n">
        <f aca="false">COUNTIFS(Clips!$F:$F,$A194,Clips!$C:$C,"train")</f>
        <v>0</v>
      </c>
      <c r="K194" s="19" t="n">
        <f aca="false">COUNTIF(Clips!$F:$F,$A194)</f>
        <v>0</v>
      </c>
      <c r="L194" s="19" t="str">
        <f aca="false">IF(J194&gt;0,"in train",IF(K194&gt;0,"audio, none in train",IF(C194&gt;=Overview!$B$9,"priority gap","no audio")))</f>
        <v>no audio</v>
      </c>
    </row>
    <row r="195" customFormat="false" ht="15" hidden="false" customHeight="false" outlineLevel="0" collapsed="false">
      <c r="A195" s="19" t="s">
        <v>9735</v>
      </c>
      <c r="B195" s="19" t="s">
        <v>9736</v>
      </c>
      <c r="C195" s="28" t="n">
        <f aca="false">D195/Overview!$B$10</f>
        <v>0.0301703597807958</v>
      </c>
      <c r="D195" s="29" t="n">
        <v>1013</v>
      </c>
      <c r="E195" s="19" t="s">
        <v>9649</v>
      </c>
      <c r="F195" s="19" t="n">
        <v>1983</v>
      </c>
      <c r="G195" s="19" t="n">
        <v>2026</v>
      </c>
      <c r="H195" s="19" t="str">
        <f aca="false">IF(COUNTIF(Species!$B:$B,$A195)=0,"",IF(INDEX(Species!$A:$A,MATCH($A195,Species!$B:$B,0))="","",INDEX(Species!$A:$A,MATCH($A195,Species!$B:$B,0))))</f>
        <v/>
      </c>
      <c r="I195" s="19" t="str">
        <f aca="false">IF(COUNTIF(Species!$B:$B,$A195)=0,"",INDEX(Species!$F:$F,MATCH($A195,Species!$B:$B,0)))</f>
        <v/>
      </c>
      <c r="J195" s="19" t="n">
        <f aca="false">COUNTIFS(Clips!$F:$F,$A195,Clips!$C:$C,"train")</f>
        <v>0</v>
      </c>
      <c r="K195" s="19" t="n">
        <f aca="false">COUNTIF(Clips!$F:$F,$A195)</f>
        <v>0</v>
      </c>
      <c r="L195" s="19" t="str">
        <f aca="false">IF(J195&gt;0,"in train",IF(K195&gt;0,"audio, none in train",IF(C195&gt;=Overview!$B$9,"priority gap","no audio")))</f>
        <v>no audio</v>
      </c>
    </row>
    <row r="196" customFormat="false" ht="15" hidden="false" customHeight="false" outlineLevel="0" collapsed="false">
      <c r="A196" s="19" t="s">
        <v>689</v>
      </c>
      <c r="B196" s="19" t="s">
        <v>690</v>
      </c>
      <c r="C196" s="28" t="n">
        <f aca="false">D196/Overview!$B$10</f>
        <v>0.0300512270669526</v>
      </c>
      <c r="D196" s="29" t="n">
        <v>1009</v>
      </c>
      <c r="E196" s="19" t="s">
        <v>9649</v>
      </c>
      <c r="F196" s="19" t="n">
        <v>1973</v>
      </c>
      <c r="G196" s="19" t="n">
        <v>2026</v>
      </c>
      <c r="H196" s="19" t="n">
        <f aca="false">IF(COUNTIF(Species!$B:$B,$A196)=0,"",IF(INDEX(Species!$A:$A,MATCH($A196,Species!$B:$B,0))="","",INDEX(Species!$A:$A,MATCH($A196,Species!$B:$B,0))))</f>
        <v>236</v>
      </c>
      <c r="I196" s="19" t="str">
        <f aca="false">IF(COUNTIF(Species!$B:$B,$A196)=0,"",INDEX(Species!$F:$F,MATCH($A196,Species!$B:$B,0)))</f>
        <v>few_shot</v>
      </c>
      <c r="J196" s="19" t="n">
        <f aca="false">COUNTIFS(Clips!$F:$F,$A196,Clips!$C:$C,"train")</f>
        <v>2</v>
      </c>
      <c r="K196" s="19" t="n">
        <f aca="false">COUNTIF(Clips!$F:$F,$A196)</f>
        <v>3</v>
      </c>
      <c r="L196" s="19" t="str">
        <f aca="false">IF(J196&gt;0,"in train",IF(K196&gt;0,"audio, none in train",IF(C196&gt;=Overview!$B$9,"priority gap","no audio")))</f>
        <v>in train</v>
      </c>
    </row>
    <row r="197" customFormat="false" ht="15" hidden="false" customHeight="false" outlineLevel="0" collapsed="false">
      <c r="A197" s="19" t="s">
        <v>9737</v>
      </c>
      <c r="B197" s="19" t="s">
        <v>9738</v>
      </c>
      <c r="C197" s="28" t="n">
        <f aca="false">D197/Overview!$B$10</f>
        <v>0.0293364307838933</v>
      </c>
      <c r="D197" s="29" t="n">
        <v>985</v>
      </c>
      <c r="E197" s="19" t="s">
        <v>9649</v>
      </c>
      <c r="F197" s="19" t="n">
        <v>1980</v>
      </c>
      <c r="G197" s="19" t="n">
        <v>2026</v>
      </c>
      <c r="H197" s="19" t="str">
        <f aca="false">IF(COUNTIF(Species!$B:$B,$A197)=0,"",IF(INDEX(Species!$A:$A,MATCH($A197,Species!$B:$B,0))="","",INDEX(Species!$A:$A,MATCH($A197,Species!$B:$B,0))))</f>
        <v/>
      </c>
      <c r="I197" s="19" t="str">
        <f aca="false">IF(COUNTIF(Species!$B:$B,$A197)=0,"",INDEX(Species!$F:$F,MATCH($A197,Species!$B:$B,0)))</f>
        <v/>
      </c>
      <c r="J197" s="19" t="n">
        <f aca="false">COUNTIFS(Clips!$F:$F,$A197,Clips!$C:$C,"train")</f>
        <v>0</v>
      </c>
      <c r="K197" s="19" t="n">
        <f aca="false">COUNTIF(Clips!$F:$F,$A197)</f>
        <v>0</v>
      </c>
      <c r="L197" s="19" t="str">
        <f aca="false">IF(J197&gt;0,"in train",IF(K197&gt;0,"audio, none in train",IF(C197&gt;=Overview!$B$9,"priority gap","no audio")))</f>
        <v>no audio</v>
      </c>
    </row>
    <row r="198" customFormat="false" ht="15" hidden="false" customHeight="false" outlineLevel="0" collapsed="false">
      <c r="A198" s="19" t="s">
        <v>484</v>
      </c>
      <c r="B198" s="19" t="s">
        <v>485</v>
      </c>
      <c r="C198" s="28" t="n">
        <f aca="false">D198/Overview!$B$10</f>
        <v>0.0293364307838933</v>
      </c>
      <c r="D198" s="29" t="n">
        <v>985</v>
      </c>
      <c r="E198" s="19" t="s">
        <v>9649</v>
      </c>
      <c r="F198" s="19" t="n">
        <v>1977</v>
      </c>
      <c r="G198" s="19" t="n">
        <v>2026</v>
      </c>
      <c r="H198" s="19" t="n">
        <f aca="false">IF(COUNTIF(Species!$B:$B,$A198)=0,"",IF(INDEX(Species!$A:$A,MATCH($A198,Species!$B:$B,0))="","",INDEX(Species!$A:$A,MATCH($A198,Species!$B:$B,0))))</f>
        <v>138</v>
      </c>
      <c r="I198" s="19" t="str">
        <f aca="false">IF(COUNTIF(Species!$B:$B,$A198)=0,"",INDEX(Species!$F:$F,MATCH($A198,Species!$B:$B,0)))</f>
        <v>few_shot</v>
      </c>
      <c r="J198" s="19" t="n">
        <f aca="false">COUNTIFS(Clips!$F:$F,$A198,Clips!$C:$C,"train")</f>
        <v>7</v>
      </c>
      <c r="K198" s="19" t="n">
        <f aca="false">COUNTIF(Clips!$F:$F,$A198)</f>
        <v>8</v>
      </c>
      <c r="L198" s="19" t="str">
        <f aca="false">IF(J198&gt;0,"in train",IF(K198&gt;0,"audio, none in train",IF(C198&gt;=Overview!$B$9,"priority gap","no audio")))</f>
        <v>in train</v>
      </c>
    </row>
    <row r="199" customFormat="false" ht="15" hidden="false" customHeight="false" outlineLevel="0" collapsed="false">
      <c r="A199" s="19" t="s">
        <v>481</v>
      </c>
      <c r="B199" s="19" t="s">
        <v>482</v>
      </c>
      <c r="C199" s="28" t="n">
        <f aca="false">D199/Overview!$B$10</f>
        <v>0.0285322849654515</v>
      </c>
      <c r="D199" s="29" t="n">
        <v>958</v>
      </c>
      <c r="E199" s="19" t="s">
        <v>9655</v>
      </c>
      <c r="F199" s="19" t="n">
        <v>1977</v>
      </c>
      <c r="G199" s="19" t="n">
        <v>2026</v>
      </c>
      <c r="H199" s="19" t="n">
        <f aca="false">IF(COUNTIF(Species!$B:$B,$A199)=0,"",IF(INDEX(Species!$A:$A,MATCH($A199,Species!$B:$B,0))="","",INDEX(Species!$A:$A,MATCH($A199,Species!$B:$B,0))))</f>
        <v>113</v>
      </c>
      <c r="I199" s="19" t="str">
        <f aca="false">IF(COUNTIF(Species!$B:$B,$A199)=0,"",INDEX(Species!$F:$F,MATCH($A199,Species!$B:$B,0)))</f>
        <v>few_shot</v>
      </c>
      <c r="J199" s="19" t="n">
        <f aca="false">COUNTIFS(Clips!$F:$F,$A199,Clips!$C:$C,"train")</f>
        <v>7</v>
      </c>
      <c r="K199" s="19" t="n">
        <f aca="false">COUNTIF(Clips!$F:$F,$A199)</f>
        <v>8</v>
      </c>
      <c r="L199" s="19" t="str">
        <f aca="false">IF(J199&gt;0,"in train",IF(K199&gt;0,"audio, none in train",IF(C199&gt;=Overview!$B$9,"priority gap","no audio")))</f>
        <v>in train</v>
      </c>
    </row>
    <row r="200" customFormat="false" ht="15" hidden="false" customHeight="false" outlineLevel="0" collapsed="false">
      <c r="A200" s="19" t="s">
        <v>783</v>
      </c>
      <c r="B200" s="19" t="s">
        <v>784</v>
      </c>
      <c r="C200" s="28" t="n">
        <f aca="false">D200/Overview!$B$10</f>
        <v>0.0284727186085299</v>
      </c>
      <c r="D200" s="29" t="n">
        <v>956</v>
      </c>
      <c r="E200" s="19" t="s">
        <v>9649</v>
      </c>
      <c r="F200" s="19" t="n">
        <v>1971</v>
      </c>
      <c r="G200" s="19" t="n">
        <v>2026</v>
      </c>
      <c r="H200" s="19" t="n">
        <f aca="false">IF(COUNTIF(Species!$B:$B,$A200)=0,"",IF(INDEX(Species!$A:$A,MATCH($A200,Species!$B:$B,0))="","",INDEX(Species!$A:$A,MATCH($A200,Species!$B:$B,0))))</f>
        <v>41</v>
      </c>
      <c r="I200" s="19" t="str">
        <f aca="false">IF(COUNTIF(Species!$B:$B,$A200)=0,"",INDEX(Species!$F:$F,MATCH($A200,Species!$B:$B,0)))</f>
        <v>singleton</v>
      </c>
      <c r="J200" s="19" t="n">
        <f aca="false">COUNTIFS(Clips!$F:$F,$A200,Clips!$C:$C,"train")</f>
        <v>0</v>
      </c>
      <c r="K200" s="19" t="n">
        <f aca="false">COUNTIF(Clips!$F:$F,$A200)</f>
        <v>1</v>
      </c>
      <c r="L200" s="19" t="str">
        <f aca="false">IF(J200&gt;0,"in train",IF(K200&gt;0,"audio, none in train",IF(C200&gt;=Overview!$B$9,"priority gap","no audio")))</f>
        <v>audio, none in train</v>
      </c>
    </row>
    <row r="201" customFormat="false" ht="15" hidden="false" customHeight="false" outlineLevel="0" collapsed="false">
      <c r="A201" s="19" t="s">
        <v>589</v>
      </c>
      <c r="B201" s="19" t="s">
        <v>590</v>
      </c>
      <c r="C201" s="28" t="n">
        <f aca="false">D201/Overview!$B$10</f>
        <v>0.0282940195377651</v>
      </c>
      <c r="D201" s="29" t="n">
        <v>950</v>
      </c>
      <c r="E201" s="19" t="s">
        <v>9649</v>
      </c>
      <c r="F201" s="19" t="n">
        <v>1977</v>
      </c>
      <c r="G201" s="19" t="n">
        <v>2026</v>
      </c>
      <c r="H201" s="19" t="n">
        <f aca="false">IF(COUNTIF(Species!$B:$B,$A201)=0,"",IF(INDEX(Species!$A:$A,MATCH($A201,Species!$B:$B,0))="","",INDEX(Species!$A:$A,MATCH($A201,Species!$B:$B,0))))</f>
        <v>12</v>
      </c>
      <c r="I201" s="19" t="str">
        <f aca="false">IF(COUNTIF(Species!$B:$B,$A201)=0,"",INDEX(Species!$F:$F,MATCH($A201,Species!$B:$B,0)))</f>
        <v>few_shot</v>
      </c>
      <c r="J201" s="19" t="n">
        <f aca="false">COUNTIFS(Clips!$F:$F,$A201,Clips!$C:$C,"train")</f>
        <v>3</v>
      </c>
      <c r="K201" s="19" t="n">
        <f aca="false">COUNTIF(Clips!$F:$F,$A201)</f>
        <v>4</v>
      </c>
      <c r="L201" s="19" t="str">
        <f aca="false">IF(J201&gt;0,"in train",IF(K201&gt;0,"audio, none in train",IF(C201&gt;=Overview!$B$9,"priority gap","no audio")))</f>
        <v>in train</v>
      </c>
    </row>
    <row r="202" customFormat="false" ht="15" hidden="false" customHeight="false" outlineLevel="0" collapsed="false">
      <c r="A202" s="19" t="s">
        <v>422</v>
      </c>
      <c r="B202" s="19" t="s">
        <v>423</v>
      </c>
      <c r="C202" s="28" t="n">
        <f aca="false">D202/Overview!$B$10</f>
        <v>0.0280557541100786</v>
      </c>
      <c r="D202" s="29" t="n">
        <v>942</v>
      </c>
      <c r="E202" s="19" t="s">
        <v>9649</v>
      </c>
      <c r="F202" s="19" t="n">
        <v>1983</v>
      </c>
      <c r="G202" s="19" t="n">
        <v>2026</v>
      </c>
      <c r="H202" s="19" t="n">
        <f aca="false">IF(COUNTIF(Species!$B:$B,$A202)=0,"",IF(INDEX(Species!$A:$A,MATCH($A202,Species!$B:$B,0))="","",INDEX(Species!$A:$A,MATCH($A202,Species!$B:$B,0))))</f>
        <v>103</v>
      </c>
      <c r="I202" s="19" t="str">
        <f aca="false">IF(COUNTIF(Species!$B:$B,$A202)=0,"",INDEX(Species!$F:$F,MATCH($A202,Species!$B:$B,0)))</f>
        <v>core</v>
      </c>
      <c r="J202" s="19" t="n">
        <f aca="false">COUNTIFS(Clips!$F:$F,$A202,Clips!$C:$C,"train")</f>
        <v>6</v>
      </c>
      <c r="K202" s="19" t="n">
        <f aca="false">COUNTIF(Clips!$F:$F,$A202)</f>
        <v>10</v>
      </c>
      <c r="L202" s="19" t="str">
        <f aca="false">IF(J202&gt;0,"in train",IF(K202&gt;0,"audio, none in train",IF(C202&gt;=Overview!$B$9,"priority gap","no audio")))</f>
        <v>in train</v>
      </c>
    </row>
    <row r="203" customFormat="false" ht="15" hidden="false" customHeight="false" outlineLevel="0" collapsed="false">
      <c r="A203" s="19" t="s">
        <v>475</v>
      </c>
      <c r="B203" s="19" t="s">
        <v>476</v>
      </c>
      <c r="C203" s="28" t="n">
        <f aca="false">D203/Overview!$B$10</f>
        <v>0.0275196568977841</v>
      </c>
      <c r="D203" s="29" t="n">
        <v>924</v>
      </c>
      <c r="E203" s="19" t="s">
        <v>9649</v>
      </c>
      <c r="F203" s="19" t="n">
        <v>1973</v>
      </c>
      <c r="G203" s="19" t="n">
        <v>2026</v>
      </c>
      <c r="H203" s="19" t="n">
        <f aca="false">IF(COUNTIF(Species!$B:$B,$A203)=0,"",IF(INDEX(Species!$A:$A,MATCH($A203,Species!$B:$B,0))="","",INDEX(Species!$A:$A,MATCH($A203,Species!$B:$B,0))))</f>
        <v>98</v>
      </c>
      <c r="I203" s="19" t="str">
        <f aca="false">IF(COUNTIF(Species!$B:$B,$A203)=0,"",INDEX(Species!$F:$F,MATCH($A203,Species!$B:$B,0)))</f>
        <v>few_shot</v>
      </c>
      <c r="J203" s="19" t="n">
        <f aca="false">COUNTIFS(Clips!$F:$F,$A203,Clips!$C:$C,"train")</f>
        <v>7</v>
      </c>
      <c r="K203" s="19" t="n">
        <f aca="false">COUNTIF(Clips!$F:$F,$A203)</f>
        <v>8</v>
      </c>
      <c r="L203" s="19" t="str">
        <f aca="false">IF(J203&gt;0,"in train",IF(K203&gt;0,"audio, none in train",IF(C203&gt;=Overview!$B$9,"priority gap","no audio")))</f>
        <v>in train</v>
      </c>
    </row>
    <row r="204" customFormat="false" ht="15" hidden="false" customHeight="false" outlineLevel="0" collapsed="false">
      <c r="A204" s="19" t="s">
        <v>391</v>
      </c>
      <c r="B204" s="19" t="s">
        <v>392</v>
      </c>
      <c r="C204" s="28" t="n">
        <f aca="false">D204/Overview!$B$10</f>
        <v>0.0275196568977841</v>
      </c>
      <c r="D204" s="29" t="n">
        <v>924</v>
      </c>
      <c r="E204" s="19" t="s">
        <v>9649</v>
      </c>
      <c r="F204" s="19" t="n">
        <v>1971</v>
      </c>
      <c r="G204" s="19" t="n">
        <v>2026</v>
      </c>
      <c r="H204" s="19" t="n">
        <f aca="false">IF(COUNTIF(Species!$B:$B,$A204)=0,"",IF(INDEX(Species!$A:$A,MATCH($A204,Species!$B:$B,0))="","",INDEX(Species!$A:$A,MATCH($A204,Species!$B:$B,0))))</f>
        <v>223</v>
      </c>
      <c r="I204" s="19" t="str">
        <f aca="false">IF(COUNTIF(Species!$B:$B,$A204)=0,"",INDEX(Species!$F:$F,MATCH($A204,Species!$B:$B,0)))</f>
        <v>core</v>
      </c>
      <c r="J204" s="19" t="n">
        <f aca="false">COUNTIFS(Clips!$F:$F,$A204,Clips!$C:$C,"train")</f>
        <v>8</v>
      </c>
      <c r="K204" s="19" t="n">
        <f aca="false">COUNTIF(Clips!$F:$F,$A204)</f>
        <v>12</v>
      </c>
      <c r="L204" s="19" t="str">
        <f aca="false">IF(J204&gt;0,"in train",IF(K204&gt;0,"audio, none in train",IF(C204&gt;=Overview!$B$9,"priority gap","no audio")))</f>
        <v>in train</v>
      </c>
    </row>
    <row r="205" customFormat="false" ht="15" hidden="false" customHeight="false" outlineLevel="0" collapsed="false">
      <c r="A205" s="19" t="s">
        <v>9739</v>
      </c>
      <c r="B205" s="19" t="s">
        <v>9740</v>
      </c>
      <c r="C205" s="28" t="n">
        <f aca="false">D205/Overview!$B$10</f>
        <v>0.0272218251131761</v>
      </c>
      <c r="D205" s="29" t="n">
        <v>914</v>
      </c>
      <c r="E205" s="19" t="s">
        <v>9741</v>
      </c>
      <c r="F205" s="19" t="n">
        <v>1984</v>
      </c>
      <c r="G205" s="19" t="n">
        <v>2026</v>
      </c>
      <c r="H205" s="19" t="str">
        <f aca="false">IF(COUNTIF(Species!$B:$B,$A205)=0,"",IF(INDEX(Species!$A:$A,MATCH($A205,Species!$B:$B,0))="","",INDEX(Species!$A:$A,MATCH($A205,Species!$B:$B,0))))</f>
        <v/>
      </c>
      <c r="I205" s="19" t="str">
        <f aca="false">IF(COUNTIF(Species!$B:$B,$A205)=0,"",INDEX(Species!$F:$F,MATCH($A205,Species!$B:$B,0)))</f>
        <v/>
      </c>
      <c r="J205" s="19" t="n">
        <f aca="false">COUNTIFS(Clips!$F:$F,$A205,Clips!$C:$C,"train")</f>
        <v>0</v>
      </c>
      <c r="K205" s="19" t="n">
        <f aca="false">COUNTIF(Clips!$F:$F,$A205)</f>
        <v>0</v>
      </c>
      <c r="L205" s="19" t="str">
        <f aca="false">IF(J205&gt;0,"in train",IF(K205&gt;0,"audio, none in train",IF(C205&gt;=Overview!$B$9,"priority gap","no audio")))</f>
        <v>no audio</v>
      </c>
    </row>
    <row r="206" customFormat="false" ht="15" hidden="false" customHeight="false" outlineLevel="0" collapsed="false">
      <c r="A206" s="19" t="s">
        <v>674</v>
      </c>
      <c r="B206" s="19" t="s">
        <v>675</v>
      </c>
      <c r="C206" s="28" t="n">
        <f aca="false">D206/Overview!$B$10</f>
        <v>0.0258220157255182</v>
      </c>
      <c r="D206" s="29" t="n">
        <v>867</v>
      </c>
      <c r="E206" s="19" t="s">
        <v>9649</v>
      </c>
      <c r="F206" s="19" t="n">
        <v>1977</v>
      </c>
      <c r="G206" s="19" t="n">
        <v>2026</v>
      </c>
      <c r="H206" s="19" t="n">
        <f aca="false">IF(COUNTIF(Species!$B:$B,$A206)=0,"",IF(INDEX(Species!$A:$A,MATCH($A206,Species!$B:$B,0))="","",INDEX(Species!$A:$A,MATCH($A206,Species!$B:$B,0))))</f>
        <v>188</v>
      </c>
      <c r="I206" s="19" t="str">
        <f aca="false">IF(COUNTIF(Species!$B:$B,$A206)=0,"",INDEX(Species!$F:$F,MATCH($A206,Species!$B:$B,0)))</f>
        <v>few_shot</v>
      </c>
      <c r="J206" s="19" t="n">
        <f aca="false">COUNTIFS(Clips!$F:$F,$A206,Clips!$C:$C,"train")</f>
        <v>2</v>
      </c>
      <c r="K206" s="19" t="n">
        <f aca="false">COUNTIF(Clips!$F:$F,$A206)</f>
        <v>3</v>
      </c>
      <c r="L206" s="19" t="str">
        <f aca="false">IF(J206&gt;0,"in train",IF(K206&gt;0,"audio, none in train",IF(C206&gt;=Overview!$B$9,"priority gap","no audio")))</f>
        <v>in train</v>
      </c>
    </row>
    <row r="207" customFormat="false" ht="15" hidden="false" customHeight="false" outlineLevel="0" collapsed="false">
      <c r="A207" s="19" t="s">
        <v>740</v>
      </c>
      <c r="B207" s="19" t="s">
        <v>741</v>
      </c>
      <c r="C207" s="28" t="n">
        <f aca="false">D207/Overview!$B$10</f>
        <v>0.0249583035501549</v>
      </c>
      <c r="D207" s="29" t="n">
        <v>838</v>
      </c>
      <c r="E207" s="19" t="s">
        <v>9649</v>
      </c>
      <c r="F207" s="19" t="n">
        <v>1977</v>
      </c>
      <c r="G207" s="19" t="n">
        <v>2026</v>
      </c>
      <c r="H207" s="19" t="n">
        <f aca="false">IF(COUNTIF(Species!$B:$B,$A207)=0,"",IF(INDEX(Species!$A:$A,MATCH($A207,Species!$B:$B,0))="","",INDEX(Species!$A:$A,MATCH($A207,Species!$B:$B,0))))</f>
        <v>227</v>
      </c>
      <c r="I207" s="19" t="str">
        <f aca="false">IF(COUNTIF(Species!$B:$B,$A207)=0,"",INDEX(Species!$F:$F,MATCH($A207,Species!$B:$B,0)))</f>
        <v>few_shot_single_session</v>
      </c>
      <c r="J207" s="19" t="n">
        <f aca="false">COUNTIFS(Clips!$F:$F,$A207,Clips!$C:$C,"train")</f>
        <v>2</v>
      </c>
      <c r="K207" s="19" t="n">
        <f aca="false">COUNTIF(Clips!$F:$F,$A207)</f>
        <v>2</v>
      </c>
      <c r="L207" s="19" t="str">
        <f aca="false">IF(J207&gt;0,"in train",IF(K207&gt;0,"audio, none in train",IF(C207&gt;=Overview!$B$9,"priority gap","no audio")))</f>
        <v>in train</v>
      </c>
    </row>
    <row r="208" customFormat="false" ht="15" hidden="false" customHeight="false" outlineLevel="0" collapsed="false">
      <c r="A208" s="19" t="s">
        <v>9742</v>
      </c>
      <c r="B208" s="19" t="s">
        <v>9743</v>
      </c>
      <c r="C208" s="28" t="n">
        <f aca="false">D208/Overview!$B$10</f>
        <v>0.024630688587086</v>
      </c>
      <c r="D208" s="29" t="n">
        <v>827</v>
      </c>
      <c r="E208" s="19" t="s">
        <v>9649</v>
      </c>
      <c r="F208" s="19" t="n">
        <v>1971</v>
      </c>
      <c r="G208" s="19" t="n">
        <v>2026</v>
      </c>
      <c r="H208" s="19" t="str">
        <f aca="false">IF(COUNTIF(Species!$B:$B,$A208)=0,"",IF(INDEX(Species!$A:$A,MATCH($A208,Species!$B:$B,0))="","",INDEX(Species!$A:$A,MATCH($A208,Species!$B:$B,0))))</f>
        <v/>
      </c>
      <c r="I208" s="19" t="str">
        <f aca="false">IF(COUNTIF(Species!$B:$B,$A208)=0,"",INDEX(Species!$F:$F,MATCH($A208,Species!$B:$B,0)))</f>
        <v/>
      </c>
      <c r="J208" s="19" t="n">
        <f aca="false">COUNTIFS(Clips!$F:$F,$A208,Clips!$C:$C,"train")</f>
        <v>0</v>
      </c>
      <c r="K208" s="19" t="n">
        <f aca="false">COUNTIF(Clips!$F:$F,$A208)</f>
        <v>0</v>
      </c>
      <c r="L208" s="19" t="str">
        <f aca="false">IF(J208&gt;0,"in train",IF(K208&gt;0,"audio, none in train",IF(C208&gt;=Overview!$B$9,"priority gap","no audio")))</f>
        <v>no audio</v>
      </c>
    </row>
    <row r="209" customFormat="false" ht="15" hidden="false" customHeight="false" outlineLevel="0" collapsed="false">
      <c r="A209" s="19" t="s">
        <v>9744</v>
      </c>
      <c r="B209" s="19" t="s">
        <v>9745</v>
      </c>
      <c r="C209" s="28" t="n">
        <f aca="false">D209/Overview!$B$10</f>
        <v>0.0243924231593996</v>
      </c>
      <c r="D209" s="29" t="n">
        <v>819</v>
      </c>
      <c r="E209" s="19" t="s">
        <v>9746</v>
      </c>
      <c r="F209" s="19" t="n">
        <v>1981</v>
      </c>
      <c r="G209" s="19" t="n">
        <v>2026</v>
      </c>
      <c r="H209" s="19" t="str">
        <f aca="false">IF(COUNTIF(Species!$B:$B,$A209)=0,"",IF(INDEX(Species!$A:$A,MATCH($A209,Species!$B:$B,0))="","",INDEX(Species!$A:$A,MATCH($A209,Species!$B:$B,0))))</f>
        <v/>
      </c>
      <c r="I209" s="19" t="str">
        <f aca="false">IF(COUNTIF(Species!$B:$B,$A209)=0,"",INDEX(Species!$F:$F,MATCH($A209,Species!$B:$B,0)))</f>
        <v/>
      </c>
      <c r="J209" s="19" t="n">
        <f aca="false">COUNTIFS(Clips!$F:$F,$A209,Clips!$C:$C,"train")</f>
        <v>0</v>
      </c>
      <c r="K209" s="19" t="n">
        <f aca="false">COUNTIF(Clips!$F:$F,$A209)</f>
        <v>0</v>
      </c>
      <c r="L209" s="19" t="str">
        <f aca="false">IF(J209&gt;0,"in train",IF(K209&gt;0,"audio, none in train",IF(C209&gt;=Overview!$B$9,"priority gap","no audio")))</f>
        <v>no audio</v>
      </c>
    </row>
    <row r="210" customFormat="false" ht="15" hidden="false" customHeight="false" outlineLevel="0" collapsed="false">
      <c r="A210" s="19" t="s">
        <v>635</v>
      </c>
      <c r="B210" s="19" t="s">
        <v>636</v>
      </c>
      <c r="C210" s="28" t="n">
        <f aca="false">D210/Overview!$B$10</f>
        <v>0.0241541577317131</v>
      </c>
      <c r="D210" s="29" t="n">
        <v>811</v>
      </c>
      <c r="E210" s="19" t="s">
        <v>9649</v>
      </c>
      <c r="F210" s="19" t="n">
        <v>1977</v>
      </c>
      <c r="G210" s="19" t="n">
        <v>2026</v>
      </c>
      <c r="H210" s="19" t="n">
        <f aca="false">IF(COUNTIF(Species!$B:$B,$A210)=0,"",IF(INDEX(Species!$A:$A,MATCH($A210,Species!$B:$B,0))="","",INDEX(Species!$A:$A,MATCH($A210,Species!$B:$B,0))))</f>
        <v>239</v>
      </c>
      <c r="I210" s="19" t="str">
        <f aca="false">IF(COUNTIF(Species!$B:$B,$A210)=0,"",INDEX(Species!$F:$F,MATCH($A210,Species!$B:$B,0)))</f>
        <v>few_shot</v>
      </c>
      <c r="J210" s="19" t="n">
        <f aca="false">COUNTIFS(Clips!$F:$F,$A210,Clips!$C:$C,"train")</f>
        <v>3</v>
      </c>
      <c r="K210" s="19" t="n">
        <f aca="false">COUNTIF(Clips!$F:$F,$A210)</f>
        <v>4</v>
      </c>
      <c r="L210" s="19" t="str">
        <f aca="false">IF(J210&gt;0,"in train",IF(K210&gt;0,"audio, none in train",IF(C210&gt;=Overview!$B$9,"priority gap","no audio")))</f>
        <v>in train</v>
      </c>
    </row>
    <row r="211" customFormat="false" ht="15" hidden="false" customHeight="false" outlineLevel="0" collapsed="false">
      <c r="A211" s="19" t="s">
        <v>9747</v>
      </c>
      <c r="B211" s="19" t="s">
        <v>9748</v>
      </c>
      <c r="C211" s="28" t="n">
        <f aca="false">D211/Overview!$B$10</f>
        <v>0.0240052418394091</v>
      </c>
      <c r="D211" s="29" t="n">
        <v>806</v>
      </c>
      <c r="E211" s="19" t="s">
        <v>9749</v>
      </c>
      <c r="F211" s="19" t="n">
        <v>1979</v>
      </c>
      <c r="G211" s="19" t="n">
        <v>2026</v>
      </c>
      <c r="H211" s="19" t="str">
        <f aca="false">IF(COUNTIF(Species!$B:$B,$A211)=0,"",IF(INDEX(Species!$A:$A,MATCH($A211,Species!$B:$B,0))="","",INDEX(Species!$A:$A,MATCH($A211,Species!$B:$B,0))))</f>
        <v/>
      </c>
      <c r="I211" s="19" t="str">
        <f aca="false">IF(COUNTIF(Species!$B:$B,$A211)=0,"",INDEX(Species!$F:$F,MATCH($A211,Species!$B:$B,0)))</f>
        <v/>
      </c>
      <c r="J211" s="19" t="n">
        <f aca="false">COUNTIFS(Clips!$F:$F,$A211,Clips!$C:$C,"train")</f>
        <v>0</v>
      </c>
      <c r="K211" s="19" t="n">
        <f aca="false">COUNTIF(Clips!$F:$F,$A211)</f>
        <v>0</v>
      </c>
      <c r="L211" s="19" t="str">
        <f aca="false">IF(J211&gt;0,"in train",IF(K211&gt;0,"audio, none in train",IF(C211&gt;=Overview!$B$9,"priority gap","no audio")))</f>
        <v>no audio</v>
      </c>
    </row>
    <row r="212" customFormat="false" ht="15" hidden="false" customHeight="false" outlineLevel="0" collapsed="false">
      <c r="A212" s="19" t="s">
        <v>425</v>
      </c>
      <c r="B212" s="19" t="s">
        <v>426</v>
      </c>
      <c r="C212" s="28" t="n">
        <f aca="false">D212/Overview!$B$10</f>
        <v>0.0239456754824875</v>
      </c>
      <c r="D212" s="29" t="n">
        <v>804</v>
      </c>
      <c r="E212" s="19" t="s">
        <v>9649</v>
      </c>
      <c r="F212" s="19" t="n">
        <v>1979</v>
      </c>
      <c r="G212" s="19" t="n">
        <v>2026</v>
      </c>
      <c r="H212" s="19" t="n">
        <f aca="false">IF(COUNTIF(Species!$B:$B,$A212)=0,"",IF(INDEX(Species!$A:$A,MATCH($A212,Species!$B:$B,0))="","",INDEX(Species!$A:$A,MATCH($A212,Species!$B:$B,0))))</f>
        <v>142</v>
      </c>
      <c r="I212" s="19" t="str">
        <f aca="false">IF(COUNTIF(Species!$B:$B,$A212)=0,"",INDEX(Species!$F:$F,MATCH($A212,Species!$B:$B,0)))</f>
        <v>core</v>
      </c>
      <c r="J212" s="19" t="n">
        <f aca="false">COUNTIFS(Clips!$F:$F,$A212,Clips!$C:$C,"train")</f>
        <v>6</v>
      </c>
      <c r="K212" s="19" t="n">
        <f aca="false">COUNTIF(Clips!$F:$F,$A212)</f>
        <v>10</v>
      </c>
      <c r="L212" s="19" t="str">
        <f aca="false">IF(J212&gt;0,"in train",IF(K212&gt;0,"audio, none in train",IF(C212&gt;=Overview!$B$9,"priority gap","no audio")))</f>
        <v>in train</v>
      </c>
    </row>
    <row r="213" customFormat="false" ht="15" hidden="false" customHeight="false" outlineLevel="0" collapsed="false">
      <c r="A213" s="19" t="s">
        <v>517</v>
      </c>
      <c r="B213" s="19" t="s">
        <v>518</v>
      </c>
      <c r="C213" s="28" t="n">
        <f aca="false">D213/Overview!$B$10</f>
        <v>0.0238861091255659</v>
      </c>
      <c r="D213" s="29" t="n">
        <v>802</v>
      </c>
      <c r="E213" s="19" t="s">
        <v>9649</v>
      </c>
      <c r="F213" s="19" t="n">
        <v>1972</v>
      </c>
      <c r="G213" s="19" t="n">
        <v>2026</v>
      </c>
      <c r="H213" s="19" t="n">
        <f aca="false">IF(COUNTIF(Species!$B:$B,$A213)=0,"",IF(INDEX(Species!$A:$A,MATCH($A213,Species!$B:$B,0))="","",INDEX(Species!$A:$A,MATCH($A213,Species!$B:$B,0))))</f>
        <v>14</v>
      </c>
      <c r="I213" s="19" t="str">
        <f aca="false">IF(COUNTIF(Species!$B:$B,$A213)=0,"",INDEX(Species!$F:$F,MATCH($A213,Species!$B:$B,0)))</f>
        <v>few_shot</v>
      </c>
      <c r="J213" s="19" t="n">
        <f aca="false">COUNTIFS(Clips!$F:$F,$A213,Clips!$C:$C,"train")</f>
        <v>5</v>
      </c>
      <c r="K213" s="19" t="n">
        <f aca="false">COUNTIF(Clips!$F:$F,$A213)</f>
        <v>6</v>
      </c>
      <c r="L213" s="19" t="str">
        <f aca="false">IF(J213&gt;0,"in train",IF(K213&gt;0,"audio, none in train",IF(C213&gt;=Overview!$B$9,"priority gap","no audio")))</f>
        <v>in train</v>
      </c>
    </row>
    <row r="214" customFormat="false" ht="15" hidden="false" customHeight="false" outlineLevel="0" collapsed="false">
      <c r="A214" s="19" t="s">
        <v>341</v>
      </c>
      <c r="B214" s="19" t="s">
        <v>342</v>
      </c>
      <c r="C214" s="28" t="n">
        <f aca="false">D214/Overview!$B$10</f>
        <v>0.0237967595901835</v>
      </c>
      <c r="D214" s="29" t="n">
        <v>799</v>
      </c>
      <c r="E214" s="19" t="s">
        <v>9649</v>
      </c>
      <c r="F214" s="19" t="n">
        <v>1977</v>
      </c>
      <c r="G214" s="19" t="n">
        <v>2026</v>
      </c>
      <c r="H214" s="19" t="n">
        <f aca="false">IF(COUNTIF(Species!$B:$B,$A214)=0,"",IF(INDEX(Species!$A:$A,MATCH($A214,Species!$B:$B,0))="","",INDEX(Species!$A:$A,MATCH($A214,Species!$B:$B,0))))</f>
        <v>194</v>
      </c>
      <c r="I214" s="19" t="str">
        <f aca="false">IF(COUNTIF(Species!$B:$B,$A214)=0,"",INDEX(Species!$F:$F,MATCH($A214,Species!$B:$B,0)))</f>
        <v>core</v>
      </c>
      <c r="J214" s="19" t="n">
        <f aca="false">COUNTIFS(Clips!$F:$F,$A214,Clips!$C:$C,"train")</f>
        <v>10</v>
      </c>
      <c r="K214" s="19" t="n">
        <f aca="false">COUNTIF(Clips!$F:$F,$A214)</f>
        <v>15</v>
      </c>
      <c r="L214" s="19" t="str">
        <f aca="false">IF(J214&gt;0,"in train",IF(K214&gt;0,"audio, none in train",IF(C214&gt;=Overview!$B$9,"priority gap","no audio")))</f>
        <v>in train</v>
      </c>
    </row>
    <row r="215" customFormat="false" ht="15" hidden="false" customHeight="false" outlineLevel="0" collapsed="false">
      <c r="A215" s="19" t="s">
        <v>9750</v>
      </c>
      <c r="B215" s="19" t="s">
        <v>9751</v>
      </c>
      <c r="C215" s="28" t="n">
        <f aca="false">D215/Overview!$B$10</f>
        <v>0.0228139147009769</v>
      </c>
      <c r="D215" s="29" t="n">
        <v>766</v>
      </c>
      <c r="E215" s="19" t="s">
        <v>9649</v>
      </c>
      <c r="F215" s="19" t="n">
        <v>1985</v>
      </c>
      <c r="G215" s="19" t="n">
        <v>2026</v>
      </c>
      <c r="H215" s="19" t="str">
        <f aca="false">IF(COUNTIF(Species!$B:$B,$A215)=0,"",IF(INDEX(Species!$A:$A,MATCH($A215,Species!$B:$B,0))="","",INDEX(Species!$A:$A,MATCH($A215,Species!$B:$B,0))))</f>
        <v/>
      </c>
      <c r="I215" s="19" t="str">
        <f aca="false">IF(COUNTIF(Species!$B:$B,$A215)=0,"",INDEX(Species!$F:$F,MATCH($A215,Species!$B:$B,0)))</f>
        <v/>
      </c>
      <c r="J215" s="19" t="n">
        <f aca="false">COUNTIFS(Clips!$F:$F,$A215,Clips!$C:$C,"train")</f>
        <v>0</v>
      </c>
      <c r="K215" s="19" t="n">
        <f aca="false">COUNTIF(Clips!$F:$F,$A215)</f>
        <v>0</v>
      </c>
      <c r="L215" s="19" t="str">
        <f aca="false">IF(J215&gt;0,"in train",IF(K215&gt;0,"audio, none in train",IF(C215&gt;=Overview!$B$9,"priority gap","no audio")))</f>
        <v>no audio</v>
      </c>
    </row>
    <row r="216" customFormat="false" ht="15" hidden="false" customHeight="false" outlineLevel="0" collapsed="false">
      <c r="A216" s="19" t="s">
        <v>595</v>
      </c>
      <c r="B216" s="19" t="s">
        <v>596</v>
      </c>
      <c r="C216" s="28" t="n">
        <f aca="false">D216/Overview!$B$10</f>
        <v>0.0227245651655945</v>
      </c>
      <c r="D216" s="29" t="n">
        <v>763</v>
      </c>
      <c r="E216" s="19" t="s">
        <v>9649</v>
      </c>
      <c r="F216" s="19" t="n">
        <v>1971</v>
      </c>
      <c r="G216" s="19" t="n">
        <v>2026</v>
      </c>
      <c r="H216" s="19" t="n">
        <f aca="false">IF(COUNTIF(Species!$B:$B,$A216)=0,"",IF(INDEX(Species!$A:$A,MATCH($A216,Species!$B:$B,0))="","",INDEX(Species!$A:$A,MATCH($A216,Species!$B:$B,0))))</f>
        <v>31</v>
      </c>
      <c r="I216" s="19" t="str">
        <f aca="false">IF(COUNTIF(Species!$B:$B,$A216)=0,"",INDEX(Species!$F:$F,MATCH($A216,Species!$B:$B,0)))</f>
        <v>few_shot</v>
      </c>
      <c r="J216" s="19" t="n">
        <f aca="false">COUNTIFS(Clips!$F:$F,$A216,Clips!$C:$C,"train")</f>
        <v>3</v>
      </c>
      <c r="K216" s="19" t="n">
        <f aca="false">COUNTIF(Clips!$F:$F,$A216)</f>
        <v>4</v>
      </c>
      <c r="L216" s="19" t="str">
        <f aca="false">IF(J216&gt;0,"in train",IF(K216&gt;0,"audio, none in train",IF(C216&gt;=Overview!$B$9,"priority gap","no audio")))</f>
        <v>in train</v>
      </c>
    </row>
    <row r="217" customFormat="false" ht="15" hidden="false" customHeight="false" outlineLevel="0" collapsed="false">
      <c r="A217" s="19" t="s">
        <v>350</v>
      </c>
      <c r="B217" s="19" t="s">
        <v>351</v>
      </c>
      <c r="C217" s="28" t="n">
        <f aca="false">D217/Overview!$B$10</f>
        <v>0.0225160829163688</v>
      </c>
      <c r="D217" s="29" t="n">
        <v>756</v>
      </c>
      <c r="E217" s="19" t="s">
        <v>9649</v>
      </c>
      <c r="F217" s="19" t="n">
        <v>1984</v>
      </c>
      <c r="G217" s="19" t="n">
        <v>2026</v>
      </c>
      <c r="H217" s="19" t="n">
        <f aca="false">IF(COUNTIF(Species!$B:$B,$A217)=0,"",IF(INDEX(Species!$A:$A,MATCH($A217,Species!$B:$B,0))="","",INDEX(Species!$A:$A,MATCH($A217,Species!$B:$B,0))))</f>
        <v>47</v>
      </c>
      <c r="I217" s="19" t="str">
        <f aca="false">IF(COUNTIF(Species!$B:$B,$A217)=0,"",INDEX(Species!$F:$F,MATCH($A217,Species!$B:$B,0)))</f>
        <v>core</v>
      </c>
      <c r="J217" s="19" t="n">
        <f aca="false">COUNTIFS(Clips!$F:$F,$A217,Clips!$C:$C,"train")</f>
        <v>9</v>
      </c>
      <c r="K217" s="19" t="n">
        <f aca="false">COUNTIF(Clips!$F:$F,$A217)</f>
        <v>13</v>
      </c>
      <c r="L217" s="19" t="str">
        <f aca="false">IF(J217&gt;0,"in train",IF(K217&gt;0,"audio, none in train",IF(C217&gt;=Overview!$B$9,"priority gap","no audio")))</f>
        <v>in train</v>
      </c>
    </row>
    <row r="218" customFormat="false" ht="15" hidden="false" customHeight="false" outlineLevel="0" collapsed="false">
      <c r="A218" s="19" t="s">
        <v>9752</v>
      </c>
      <c r="B218" s="19" t="s">
        <v>9753</v>
      </c>
      <c r="C218" s="28" t="n">
        <f aca="false">D218/Overview!$B$10</f>
        <v>0.0223076006671432</v>
      </c>
      <c r="D218" s="29" t="n">
        <v>749</v>
      </c>
      <c r="E218" s="19" t="s">
        <v>9649</v>
      </c>
      <c r="F218" s="19" t="n">
        <v>1977</v>
      </c>
      <c r="G218" s="19" t="n">
        <v>2026</v>
      </c>
      <c r="H218" s="19" t="str">
        <f aca="false">IF(COUNTIF(Species!$B:$B,$A218)=0,"",IF(INDEX(Species!$A:$A,MATCH($A218,Species!$B:$B,0))="","",INDEX(Species!$A:$A,MATCH($A218,Species!$B:$B,0))))</f>
        <v/>
      </c>
      <c r="I218" s="19" t="str">
        <f aca="false">IF(COUNTIF(Species!$B:$B,$A218)=0,"",INDEX(Species!$F:$F,MATCH($A218,Species!$B:$B,0)))</f>
        <v/>
      </c>
      <c r="J218" s="19" t="n">
        <f aca="false">COUNTIFS(Clips!$F:$F,$A218,Clips!$C:$C,"train")</f>
        <v>0</v>
      </c>
      <c r="K218" s="19" t="n">
        <f aca="false">COUNTIF(Clips!$F:$F,$A218)</f>
        <v>0</v>
      </c>
      <c r="L218" s="19" t="str">
        <f aca="false">IF(J218&gt;0,"in train",IF(K218&gt;0,"audio, none in train",IF(C218&gt;=Overview!$B$9,"priority gap","no audio")))</f>
        <v>no audio</v>
      </c>
    </row>
    <row r="219" customFormat="false" ht="15" hidden="false" customHeight="false" outlineLevel="0" collapsed="false">
      <c r="A219" s="19" t="s">
        <v>9754</v>
      </c>
      <c r="B219" s="19" t="s">
        <v>9755</v>
      </c>
      <c r="C219" s="28" t="n">
        <f aca="false">D219/Overview!$B$10</f>
        <v>0.0215630212056231</v>
      </c>
      <c r="D219" s="29" t="n">
        <v>724</v>
      </c>
      <c r="E219" s="19" t="s">
        <v>9649</v>
      </c>
      <c r="F219" s="19" t="n">
        <v>1979</v>
      </c>
      <c r="G219" s="19" t="n">
        <v>2026</v>
      </c>
      <c r="H219" s="19" t="str">
        <f aca="false">IF(COUNTIF(Species!$B:$B,$A219)=0,"",IF(INDEX(Species!$A:$A,MATCH($A219,Species!$B:$B,0))="","",INDEX(Species!$A:$A,MATCH($A219,Species!$B:$B,0))))</f>
        <v/>
      </c>
      <c r="I219" s="19" t="str">
        <f aca="false">IF(COUNTIF(Species!$B:$B,$A219)=0,"",INDEX(Species!$F:$F,MATCH($A219,Species!$B:$B,0)))</f>
        <v/>
      </c>
      <c r="J219" s="19" t="n">
        <f aca="false">COUNTIFS(Clips!$F:$F,$A219,Clips!$C:$C,"train")</f>
        <v>0</v>
      </c>
      <c r="K219" s="19" t="n">
        <f aca="false">COUNTIF(Clips!$F:$F,$A219)</f>
        <v>0</v>
      </c>
      <c r="L219" s="19" t="str">
        <f aca="false">IF(J219&gt;0,"in train",IF(K219&gt;0,"audio, none in train",IF(C219&gt;=Overview!$B$9,"priority gap","no audio")))</f>
        <v>no audio</v>
      </c>
    </row>
    <row r="220" customFormat="false" ht="15" hidden="false" customHeight="false" outlineLevel="0" collapsed="false">
      <c r="A220" s="19" t="s">
        <v>487</v>
      </c>
      <c r="B220" s="19" t="s">
        <v>488</v>
      </c>
      <c r="C220" s="28" t="n">
        <f aca="false">D220/Overview!$B$10</f>
        <v>0.020967357636407</v>
      </c>
      <c r="D220" s="29" t="n">
        <v>704</v>
      </c>
      <c r="E220" s="19" t="s">
        <v>9649</v>
      </c>
      <c r="F220" s="19" t="n">
        <v>1979</v>
      </c>
      <c r="G220" s="19" t="n">
        <v>2026</v>
      </c>
      <c r="H220" s="19" t="n">
        <f aca="false">IF(COUNTIF(Species!$B:$B,$A220)=0,"",IF(INDEX(Species!$A:$A,MATCH($A220,Species!$B:$B,0))="","",INDEX(Species!$A:$A,MATCH($A220,Species!$B:$B,0))))</f>
        <v>181</v>
      </c>
      <c r="I220" s="19" t="str">
        <f aca="false">IF(COUNTIF(Species!$B:$B,$A220)=0,"",INDEX(Species!$F:$F,MATCH($A220,Species!$B:$B,0)))</f>
        <v>few_shot</v>
      </c>
      <c r="J220" s="19" t="n">
        <f aca="false">COUNTIFS(Clips!$F:$F,$A220,Clips!$C:$C,"train")</f>
        <v>6</v>
      </c>
      <c r="K220" s="19" t="n">
        <f aca="false">COUNTIF(Clips!$F:$F,$A220)</f>
        <v>8</v>
      </c>
      <c r="L220" s="19" t="str">
        <f aca="false">IF(J220&gt;0,"in train",IF(K220&gt;0,"audio, none in train",IF(C220&gt;=Overview!$B$9,"priority gap","no audio")))</f>
        <v>in train</v>
      </c>
    </row>
    <row r="221" customFormat="false" ht="15" hidden="false" customHeight="false" outlineLevel="0" collapsed="false">
      <c r="A221" s="19" t="s">
        <v>523</v>
      </c>
      <c r="B221" s="19" t="s">
        <v>524</v>
      </c>
      <c r="C221" s="28" t="n">
        <f aca="false">D221/Overview!$B$10</f>
        <v>0.0206099594948773</v>
      </c>
      <c r="D221" s="29" t="n">
        <v>692</v>
      </c>
      <c r="E221" s="19" t="s">
        <v>9649</v>
      </c>
      <c r="F221" s="19" t="n">
        <v>1969</v>
      </c>
      <c r="G221" s="19" t="n">
        <v>2026</v>
      </c>
      <c r="H221" s="19" t="n">
        <f aca="false">IF(COUNTIF(Species!$B:$B,$A221)=0,"",IF(INDEX(Species!$A:$A,MATCH($A221,Species!$B:$B,0))="","",INDEX(Species!$A:$A,MATCH($A221,Species!$B:$B,0))))</f>
        <v>56</v>
      </c>
      <c r="I221" s="19" t="str">
        <f aca="false">IF(COUNTIF(Species!$B:$B,$A221)=0,"",INDEX(Species!$F:$F,MATCH($A221,Species!$B:$B,0)))</f>
        <v>few_shot</v>
      </c>
      <c r="J221" s="19" t="n">
        <f aca="false">COUNTIFS(Clips!$F:$F,$A221,Clips!$C:$C,"train")</f>
        <v>5</v>
      </c>
      <c r="K221" s="19" t="n">
        <f aca="false">COUNTIF(Clips!$F:$F,$A221)</f>
        <v>6</v>
      </c>
      <c r="L221" s="19" t="str">
        <f aca="false">IF(J221&gt;0,"in train",IF(K221&gt;0,"audio, none in train",IF(C221&gt;=Overview!$B$9,"priority gap","no audio")))</f>
        <v>in train</v>
      </c>
    </row>
    <row r="222" customFormat="false" ht="15" hidden="false" customHeight="false" outlineLevel="0" collapsed="false">
      <c r="A222" s="19" t="s">
        <v>9756</v>
      </c>
      <c r="B222" s="19" t="s">
        <v>9757</v>
      </c>
      <c r="C222" s="28" t="n">
        <f aca="false">D222/Overview!$B$10</f>
        <v>0.0197462473195139</v>
      </c>
      <c r="D222" s="29" t="n">
        <v>663</v>
      </c>
      <c r="E222" s="19" t="s">
        <v>9649</v>
      </c>
      <c r="F222" s="19" t="n">
        <v>1979</v>
      </c>
      <c r="G222" s="19" t="n">
        <v>2026</v>
      </c>
      <c r="H222" s="19" t="str">
        <f aca="false">IF(COUNTIF(Species!$B:$B,$A222)=0,"",IF(INDEX(Species!$A:$A,MATCH($A222,Species!$B:$B,0))="","",INDEX(Species!$A:$A,MATCH($A222,Species!$B:$B,0))))</f>
        <v/>
      </c>
      <c r="I222" s="19" t="str">
        <f aca="false">IF(COUNTIF(Species!$B:$B,$A222)=0,"",INDEX(Species!$F:$F,MATCH($A222,Species!$B:$B,0)))</f>
        <v/>
      </c>
      <c r="J222" s="19" t="n">
        <f aca="false">COUNTIFS(Clips!$F:$F,$A222,Clips!$C:$C,"train")</f>
        <v>0</v>
      </c>
      <c r="K222" s="19" t="n">
        <f aca="false">COUNTIF(Clips!$F:$F,$A222)</f>
        <v>0</v>
      </c>
      <c r="L222" s="19" t="str">
        <f aca="false">IF(J222&gt;0,"in train",IF(K222&gt;0,"audio, none in train",IF(C222&gt;=Overview!$B$9,"priority gap","no audio")))</f>
        <v>no audio</v>
      </c>
    </row>
    <row r="223" customFormat="false" ht="15" hidden="false" customHeight="false" outlineLevel="0" collapsed="false">
      <c r="A223" s="19" t="s">
        <v>574</v>
      </c>
      <c r="B223" s="19" t="s">
        <v>575</v>
      </c>
      <c r="C223" s="28" t="n">
        <f aca="false">D223/Overview!$B$10</f>
        <v>0.0195377650702883</v>
      </c>
      <c r="D223" s="29" t="n">
        <v>656</v>
      </c>
      <c r="E223" s="19" t="s">
        <v>9649</v>
      </c>
      <c r="F223" s="19" t="n">
        <v>1969</v>
      </c>
      <c r="G223" s="19" t="n">
        <v>2026</v>
      </c>
      <c r="H223" s="19" t="n">
        <f aca="false">IF(COUNTIF(Species!$B:$B,$A223)=0,"",IF(INDEX(Species!$A:$A,MATCH($A223,Species!$B:$B,0))="","",INDEX(Species!$A:$A,MATCH($A223,Species!$B:$B,0))))</f>
        <v>167</v>
      </c>
      <c r="I223" s="19" t="str">
        <f aca="false">IF(COUNTIF(Species!$B:$B,$A223)=0,"",INDEX(Species!$F:$F,MATCH($A223,Species!$B:$B,0)))</f>
        <v>few_shot</v>
      </c>
      <c r="J223" s="19" t="n">
        <f aca="false">COUNTIFS(Clips!$F:$F,$A223,Clips!$C:$C,"train")</f>
        <v>4</v>
      </c>
      <c r="K223" s="19" t="n">
        <f aca="false">COUNTIF(Clips!$F:$F,$A223)</f>
        <v>5</v>
      </c>
      <c r="L223" s="19" t="str">
        <f aca="false">IF(J223&gt;0,"in train",IF(K223&gt;0,"audio, none in train",IF(C223&gt;=Overview!$B$9,"priority gap","no audio")))</f>
        <v>in train</v>
      </c>
    </row>
    <row r="224" customFormat="false" ht="15" hidden="false" customHeight="false" outlineLevel="0" collapsed="false">
      <c r="A224" s="19" t="s">
        <v>746</v>
      </c>
      <c r="B224" s="19" t="s">
        <v>747</v>
      </c>
      <c r="C224" s="28" t="n">
        <f aca="false">D224/Overview!$B$10</f>
        <v>0.0195377650702883</v>
      </c>
      <c r="D224" s="29" t="n">
        <v>656</v>
      </c>
      <c r="E224" s="19" t="s">
        <v>9649</v>
      </c>
      <c r="F224" s="19" t="n">
        <v>1979</v>
      </c>
      <c r="G224" s="19" t="n">
        <v>2026</v>
      </c>
      <c r="H224" s="19" t="n">
        <f aca="false">IF(COUNTIF(Species!$B:$B,$A224)=0,"",IF(INDEX(Species!$A:$A,MATCH($A224,Species!$B:$B,0))="","",INDEX(Species!$A:$A,MATCH($A224,Species!$B:$B,0))))</f>
        <v>234</v>
      </c>
      <c r="I224" s="19" t="str">
        <f aca="false">IF(COUNTIF(Species!$B:$B,$A224)=0,"",INDEX(Species!$F:$F,MATCH($A224,Species!$B:$B,0)))</f>
        <v>few_shot</v>
      </c>
      <c r="J224" s="19" t="n">
        <f aca="false">COUNTIFS(Clips!$F:$F,$A224,Clips!$C:$C,"train")</f>
        <v>1</v>
      </c>
      <c r="K224" s="19" t="n">
        <f aca="false">COUNTIF(Clips!$F:$F,$A224)</f>
        <v>2</v>
      </c>
      <c r="L224" s="19" t="str">
        <f aca="false">IF(J224&gt;0,"in train",IF(K224&gt;0,"audio, none in train",IF(C224&gt;=Overview!$B$9,"priority gap","no audio")))</f>
        <v>in train</v>
      </c>
    </row>
    <row r="225" customFormat="false" ht="15" hidden="false" customHeight="false" outlineLevel="0" collapsed="false">
      <c r="A225" s="19" t="s">
        <v>680</v>
      </c>
      <c r="B225" s="19" t="s">
        <v>681</v>
      </c>
      <c r="C225" s="28" t="n">
        <f aca="false">D225/Overview!$B$10</f>
        <v>0.0193292828210627</v>
      </c>
      <c r="D225" s="29" t="n">
        <v>649</v>
      </c>
      <c r="E225" s="19" t="s">
        <v>9649</v>
      </c>
      <c r="F225" s="19" t="n">
        <v>1977</v>
      </c>
      <c r="G225" s="19" t="n">
        <v>2026</v>
      </c>
      <c r="H225" s="19" t="n">
        <f aca="false">IF(COUNTIF(Species!$B:$B,$A225)=0,"",IF(INDEX(Species!$A:$A,MATCH($A225,Species!$B:$B,0))="","",INDEX(Species!$A:$A,MATCH($A225,Species!$B:$B,0))))</f>
        <v>205</v>
      </c>
      <c r="I225" s="19" t="str">
        <f aca="false">IF(COUNTIF(Species!$B:$B,$A225)=0,"",INDEX(Species!$F:$F,MATCH($A225,Species!$B:$B,0)))</f>
        <v>few_shot</v>
      </c>
      <c r="J225" s="19" t="n">
        <f aca="false">COUNTIFS(Clips!$F:$F,$A225,Clips!$C:$C,"train")</f>
        <v>2</v>
      </c>
      <c r="K225" s="19" t="n">
        <f aca="false">COUNTIF(Clips!$F:$F,$A225)</f>
        <v>3</v>
      </c>
      <c r="L225" s="19" t="str">
        <f aca="false">IF(J225&gt;0,"in train",IF(K225&gt;0,"audio, none in train",IF(C225&gt;=Overview!$B$9,"priority gap","no audio")))</f>
        <v>in train</v>
      </c>
    </row>
    <row r="226" customFormat="false" ht="15" hidden="false" customHeight="false" outlineLevel="0" collapsed="false">
      <c r="A226" s="19" t="s">
        <v>722</v>
      </c>
      <c r="B226" s="19" t="s">
        <v>723</v>
      </c>
      <c r="C226" s="28" t="n">
        <f aca="false">D226/Overview!$B$10</f>
        <v>0.0181677388610913</v>
      </c>
      <c r="D226" s="29" t="n">
        <v>610</v>
      </c>
      <c r="E226" s="19" t="s">
        <v>9758</v>
      </c>
      <c r="F226" s="19" t="n">
        <v>1977</v>
      </c>
      <c r="G226" s="19" t="n">
        <v>2026</v>
      </c>
      <c r="H226" s="19" t="n">
        <f aca="false">IF(COUNTIF(Species!$B:$B,$A226)=0,"",IF(INDEX(Species!$A:$A,MATCH($A226,Species!$B:$B,0))="","",INDEX(Species!$A:$A,MATCH($A226,Species!$B:$B,0))))</f>
        <v>122</v>
      </c>
      <c r="I226" s="19" t="str">
        <f aca="false">IF(COUNTIF(Species!$B:$B,$A226)=0,"",INDEX(Species!$F:$F,MATCH($A226,Species!$B:$B,0)))</f>
        <v>few_shot</v>
      </c>
      <c r="J226" s="19" t="n">
        <f aca="false">COUNTIFS(Clips!$F:$F,$A226,Clips!$C:$C,"train")</f>
        <v>1</v>
      </c>
      <c r="K226" s="19" t="n">
        <f aca="false">COUNTIF(Clips!$F:$F,$A226)</f>
        <v>2</v>
      </c>
      <c r="L226" s="19" t="str">
        <f aca="false">IF(J226&gt;0,"in train",IF(K226&gt;0,"audio, none in train",IF(C226&gt;=Overview!$B$9,"priority gap","no audio")))</f>
        <v>in train</v>
      </c>
    </row>
    <row r="227" customFormat="false" ht="15" hidden="false" customHeight="false" outlineLevel="0" collapsed="false">
      <c r="A227" s="19" t="s">
        <v>431</v>
      </c>
      <c r="B227" s="19" t="s">
        <v>432</v>
      </c>
      <c r="C227" s="28" t="n">
        <f aca="false">D227/Overview!$B$10</f>
        <v>0.0179890397903264</v>
      </c>
      <c r="D227" s="29" t="n">
        <v>604</v>
      </c>
      <c r="E227" s="19" t="s">
        <v>9649</v>
      </c>
      <c r="F227" s="19" t="n">
        <v>1979</v>
      </c>
      <c r="G227" s="19" t="n">
        <v>2026</v>
      </c>
      <c r="H227" s="19" t="n">
        <f aca="false">IF(COUNTIF(Species!$B:$B,$A227)=0,"",IF(INDEX(Species!$A:$A,MATCH($A227,Species!$B:$B,0))="","",INDEX(Species!$A:$A,MATCH($A227,Species!$B:$B,0))))</f>
        <v>182</v>
      </c>
      <c r="I227" s="19" t="str">
        <f aca="false">IF(COUNTIF(Species!$B:$B,$A227)=0,"",INDEX(Species!$F:$F,MATCH($A227,Species!$B:$B,0)))</f>
        <v>core</v>
      </c>
      <c r="J227" s="19" t="n">
        <f aca="false">COUNTIFS(Clips!$F:$F,$A227,Clips!$C:$C,"train")</f>
        <v>6</v>
      </c>
      <c r="K227" s="19" t="n">
        <f aca="false">COUNTIF(Clips!$F:$F,$A227)</f>
        <v>10</v>
      </c>
      <c r="L227" s="19" t="str">
        <f aca="false">IF(J227&gt;0,"in train",IF(K227&gt;0,"audio, none in train",IF(C227&gt;=Overview!$B$9,"priority gap","no audio")))</f>
        <v>in train</v>
      </c>
    </row>
    <row r="228" customFormat="false" ht="15" hidden="false" customHeight="false" outlineLevel="0" collapsed="false">
      <c r="A228" s="19" t="s">
        <v>9759</v>
      </c>
      <c r="B228" s="19" t="s">
        <v>9760</v>
      </c>
      <c r="C228" s="28" t="n">
        <f aca="false">D228/Overview!$B$10</f>
        <v>0.0178401238980224</v>
      </c>
      <c r="D228" s="29" t="n">
        <v>599</v>
      </c>
      <c r="E228" s="19" t="s">
        <v>9649</v>
      </c>
      <c r="F228" s="19" t="n">
        <v>1979</v>
      </c>
      <c r="G228" s="19" t="n">
        <v>2026</v>
      </c>
      <c r="H228" s="19" t="str">
        <f aca="false">IF(COUNTIF(Species!$B:$B,$A228)=0,"",IF(INDEX(Species!$A:$A,MATCH($A228,Species!$B:$B,0))="","",INDEX(Species!$A:$A,MATCH($A228,Species!$B:$B,0))))</f>
        <v/>
      </c>
      <c r="I228" s="19" t="str">
        <f aca="false">IF(COUNTIF(Species!$B:$B,$A228)=0,"",INDEX(Species!$F:$F,MATCH($A228,Species!$B:$B,0)))</f>
        <v/>
      </c>
      <c r="J228" s="19" t="n">
        <f aca="false">COUNTIFS(Clips!$F:$F,$A228,Clips!$C:$C,"train")</f>
        <v>0</v>
      </c>
      <c r="K228" s="19" t="n">
        <f aca="false">COUNTIF(Clips!$F:$F,$A228)</f>
        <v>0</v>
      </c>
      <c r="L228" s="19" t="str">
        <f aca="false">IF(J228&gt;0,"in train",IF(K228&gt;0,"audio, none in train",IF(C228&gt;=Overview!$B$9,"priority gap","no audio")))</f>
        <v>no audio</v>
      </c>
    </row>
    <row r="229" customFormat="false" ht="15" hidden="false" customHeight="false" outlineLevel="0" collapsed="false">
      <c r="A229" s="19" t="s">
        <v>864</v>
      </c>
      <c r="B229" s="19" t="s">
        <v>865</v>
      </c>
      <c r="C229" s="28" t="n">
        <f aca="false">D229/Overview!$B$10</f>
        <v>0.0176316416487968</v>
      </c>
      <c r="D229" s="29" t="n">
        <v>592</v>
      </c>
      <c r="E229" s="19" t="s">
        <v>9761</v>
      </c>
      <c r="F229" s="19" t="n">
        <v>1986</v>
      </c>
      <c r="G229" s="19" t="n">
        <v>2026</v>
      </c>
      <c r="H229" s="19" t="n">
        <f aca="false">IF(COUNTIF(Species!$B:$B,$A229)=0,"",IF(INDEX(Species!$A:$A,MATCH($A229,Species!$B:$B,0))="","",INDEX(Species!$A:$A,MATCH($A229,Species!$B:$B,0))))</f>
        <v>202</v>
      </c>
      <c r="I229" s="19" t="str">
        <f aca="false">IF(COUNTIF(Species!$B:$B,$A229)=0,"",INDEX(Species!$F:$F,MATCH($A229,Species!$B:$B,0)))</f>
        <v>offsite</v>
      </c>
      <c r="J229" s="19" t="n">
        <f aca="false">COUNTIFS(Clips!$F:$F,$A229,Clips!$C:$C,"train")</f>
        <v>1</v>
      </c>
      <c r="K229" s="19" t="n">
        <f aca="false">COUNTIF(Clips!$F:$F,$A229)</f>
        <v>1</v>
      </c>
      <c r="L229" s="19" t="str">
        <f aca="false">IF(J229&gt;0,"in train",IF(K229&gt;0,"audio, none in train",IF(C229&gt;=Overview!$B$9,"priority gap","no audio")))</f>
        <v>in train</v>
      </c>
    </row>
    <row r="230" customFormat="false" ht="15" hidden="false" customHeight="false" outlineLevel="0" collapsed="false">
      <c r="A230" s="19" t="s">
        <v>9762</v>
      </c>
      <c r="B230" s="19" t="s">
        <v>9763</v>
      </c>
      <c r="C230" s="28" t="n">
        <f aca="false">D230/Overview!$B$10</f>
        <v>0.017601858470336</v>
      </c>
      <c r="D230" s="29" t="n">
        <v>591</v>
      </c>
      <c r="E230" s="19" t="s">
        <v>9649</v>
      </c>
      <c r="F230" s="19" t="n">
        <v>1987</v>
      </c>
      <c r="G230" s="19" t="n">
        <v>2026</v>
      </c>
      <c r="H230" s="19" t="str">
        <f aca="false">IF(COUNTIF(Species!$B:$B,$A230)=0,"",IF(INDEX(Species!$A:$A,MATCH($A230,Species!$B:$B,0))="","",INDEX(Species!$A:$A,MATCH($A230,Species!$B:$B,0))))</f>
        <v/>
      </c>
      <c r="I230" s="19" t="str">
        <f aca="false">IF(COUNTIF(Species!$B:$B,$A230)=0,"",INDEX(Species!$F:$F,MATCH($A230,Species!$B:$B,0)))</f>
        <v/>
      </c>
      <c r="J230" s="19" t="n">
        <f aca="false">COUNTIFS(Clips!$F:$F,$A230,Clips!$C:$C,"train")</f>
        <v>0</v>
      </c>
      <c r="K230" s="19" t="n">
        <f aca="false">COUNTIF(Clips!$F:$F,$A230)</f>
        <v>0</v>
      </c>
      <c r="L230" s="19" t="str">
        <f aca="false">IF(J230&gt;0,"in train",IF(K230&gt;0,"audio, none in train",IF(C230&gt;=Overview!$B$9,"priority gap","no audio")))</f>
        <v>no audio</v>
      </c>
    </row>
    <row r="231" customFormat="false" ht="15" hidden="false" customHeight="false" outlineLevel="0" collapsed="false">
      <c r="A231" s="19" t="s">
        <v>271</v>
      </c>
      <c r="B231" s="19" t="s">
        <v>272</v>
      </c>
      <c r="C231" s="28" t="n">
        <f aca="false">D231/Overview!$B$10</f>
        <v>0.0172146771503455</v>
      </c>
      <c r="D231" s="29" t="n">
        <v>578</v>
      </c>
      <c r="E231" s="19" t="s">
        <v>9649</v>
      </c>
      <c r="F231" s="19" t="n">
        <v>1973</v>
      </c>
      <c r="G231" s="19" t="n">
        <v>2026</v>
      </c>
      <c r="H231" s="19" t="n">
        <f aca="false">IF(COUNTIF(Species!$B:$B,$A231)=0,"",IF(INDEX(Species!$A:$A,MATCH($A231,Species!$B:$B,0))="","",INDEX(Species!$A:$A,MATCH($A231,Species!$B:$B,0))))</f>
        <v>22</v>
      </c>
      <c r="I231" s="19" t="str">
        <f aca="false">IF(COUNTIF(Species!$B:$B,$A231)=0,"",INDEX(Species!$F:$F,MATCH($A231,Species!$B:$B,0)))</f>
        <v>core</v>
      </c>
      <c r="J231" s="19" t="n">
        <f aca="false">COUNTIFS(Clips!$F:$F,$A231,Clips!$C:$C,"train")</f>
        <v>16</v>
      </c>
      <c r="K231" s="19" t="n">
        <f aca="false">COUNTIF(Clips!$F:$F,$A231)</f>
        <v>22</v>
      </c>
      <c r="L231" s="19" t="str">
        <f aca="false">IF(J231&gt;0,"in train",IF(K231&gt;0,"audio, none in train",IF(C231&gt;=Overview!$B$9,"priority gap","no audio")))</f>
        <v>in train</v>
      </c>
    </row>
    <row r="232" customFormat="false" ht="15" hidden="false" customHeight="false" outlineLevel="0" collapsed="false">
      <c r="A232" s="19" t="s">
        <v>607</v>
      </c>
      <c r="B232" s="19" t="s">
        <v>608</v>
      </c>
      <c r="C232" s="28" t="n">
        <f aca="false">D232/Overview!$B$10</f>
        <v>0.0170955444365023</v>
      </c>
      <c r="D232" s="29" t="n">
        <v>574</v>
      </c>
      <c r="E232" s="19" t="s">
        <v>9649</v>
      </c>
      <c r="F232" s="19" t="n">
        <v>1973</v>
      </c>
      <c r="G232" s="19" t="n">
        <v>2026</v>
      </c>
      <c r="H232" s="19" t="n">
        <f aca="false">IF(COUNTIF(Species!$B:$B,$A232)=0,"",IF(INDEX(Species!$A:$A,MATCH($A232,Species!$B:$B,0))="","",INDEX(Species!$A:$A,MATCH($A232,Species!$B:$B,0))))</f>
        <v>108</v>
      </c>
      <c r="I232" s="19" t="str">
        <f aca="false">IF(COUNTIF(Species!$B:$B,$A232)=0,"",INDEX(Species!$F:$F,MATCH($A232,Species!$B:$B,0)))</f>
        <v>few_shot</v>
      </c>
      <c r="J232" s="19" t="n">
        <f aca="false">COUNTIFS(Clips!$F:$F,$A232,Clips!$C:$C,"train")</f>
        <v>3</v>
      </c>
      <c r="K232" s="19" t="n">
        <f aca="false">COUNTIF(Clips!$F:$F,$A232)</f>
        <v>4</v>
      </c>
      <c r="L232" s="19" t="str">
        <f aca="false">IF(J232&gt;0,"in train",IF(K232&gt;0,"audio, none in train",IF(C232&gt;=Overview!$B$9,"priority gap","no audio")))</f>
        <v>in train</v>
      </c>
    </row>
    <row r="233" customFormat="false" ht="15" hidden="false" customHeight="false" outlineLevel="0" collapsed="false">
      <c r="A233" s="19" t="s">
        <v>9764</v>
      </c>
      <c r="B233" s="19" t="s">
        <v>9765</v>
      </c>
      <c r="C233" s="28" t="n">
        <f aca="false">D233/Overview!$B$10</f>
        <v>0.0170657612580415</v>
      </c>
      <c r="D233" s="29" t="n">
        <v>573</v>
      </c>
      <c r="E233" s="19" t="s">
        <v>9766</v>
      </c>
      <c r="F233" s="19" t="n">
        <v>1983</v>
      </c>
      <c r="G233" s="19" t="n">
        <v>2026</v>
      </c>
      <c r="H233" s="19" t="str">
        <f aca="false">IF(COUNTIF(Species!$B:$B,$A233)=0,"",IF(INDEX(Species!$A:$A,MATCH($A233,Species!$B:$B,0))="","",INDEX(Species!$A:$A,MATCH($A233,Species!$B:$B,0))))</f>
        <v/>
      </c>
      <c r="I233" s="19" t="str">
        <f aca="false">IF(COUNTIF(Species!$B:$B,$A233)=0,"",INDEX(Species!$F:$F,MATCH($A233,Species!$B:$B,0)))</f>
        <v/>
      </c>
      <c r="J233" s="19" t="n">
        <f aca="false">COUNTIFS(Clips!$F:$F,$A233,Clips!$C:$C,"train")</f>
        <v>0</v>
      </c>
      <c r="K233" s="19" t="n">
        <f aca="false">COUNTIF(Clips!$F:$F,$A233)</f>
        <v>0</v>
      </c>
      <c r="L233" s="19" t="str">
        <f aca="false">IF(J233&gt;0,"in train",IF(K233&gt;0,"audio, none in train",IF(C233&gt;=Overview!$B$9,"priority gap","no audio")))</f>
        <v>no audio</v>
      </c>
    </row>
    <row r="234" customFormat="false" ht="15" hidden="false" customHeight="false" outlineLevel="0" collapsed="false">
      <c r="A234" s="19" t="s">
        <v>283</v>
      </c>
      <c r="B234" s="19" t="s">
        <v>284</v>
      </c>
      <c r="C234" s="28" t="n">
        <f aca="false">D234/Overview!$B$10</f>
        <v>0.0159637836549917</v>
      </c>
      <c r="D234" s="29" t="n">
        <v>536</v>
      </c>
      <c r="E234" s="19" t="s">
        <v>9649</v>
      </c>
      <c r="F234" s="19" t="n">
        <v>1969</v>
      </c>
      <c r="G234" s="19" t="n">
        <v>2026</v>
      </c>
      <c r="H234" s="19" t="n">
        <f aca="false">IF(COUNTIF(Species!$B:$B,$A234)=0,"",IF(INDEX(Species!$A:$A,MATCH($A234,Species!$B:$B,0))="","",INDEX(Species!$A:$A,MATCH($A234,Species!$B:$B,0))))</f>
        <v>48</v>
      </c>
      <c r="I234" s="19" t="str">
        <f aca="false">IF(COUNTIF(Species!$B:$B,$A234)=0,"",INDEX(Species!$F:$F,MATCH($A234,Species!$B:$B,0)))</f>
        <v>core</v>
      </c>
      <c r="J234" s="19" t="n">
        <f aca="false">COUNTIFS(Clips!$F:$F,$A234,Clips!$C:$C,"train")</f>
        <v>14</v>
      </c>
      <c r="K234" s="19" t="n">
        <f aca="false">COUNTIF(Clips!$F:$F,$A234)</f>
        <v>20</v>
      </c>
      <c r="L234" s="19" t="str">
        <f aca="false">IF(J234&gt;0,"in train",IF(K234&gt;0,"audio, none in train",IF(C234&gt;=Overview!$B$9,"priority gap","no audio")))</f>
        <v>in train</v>
      </c>
    </row>
    <row r="235" customFormat="false" ht="15" hidden="false" customHeight="false" outlineLevel="0" collapsed="false">
      <c r="A235" s="19" t="s">
        <v>434</v>
      </c>
      <c r="B235" s="19" t="s">
        <v>435</v>
      </c>
      <c r="C235" s="28" t="n">
        <f aca="false">D235/Overview!$B$10</f>
        <v>0.0159637836549917</v>
      </c>
      <c r="D235" s="29" t="n">
        <v>536</v>
      </c>
      <c r="E235" s="19" t="s">
        <v>9649</v>
      </c>
      <c r="F235" s="19" t="n">
        <v>1969</v>
      </c>
      <c r="G235" s="19" t="n">
        <v>2026</v>
      </c>
      <c r="H235" s="19" t="n">
        <f aca="false">IF(COUNTIF(Species!$B:$B,$A235)=0,"",IF(INDEX(Species!$A:$A,MATCH($A235,Species!$B:$B,0))="","",INDEX(Species!$A:$A,MATCH($A235,Species!$B:$B,0))))</f>
        <v>28</v>
      </c>
      <c r="I235" s="19" t="str">
        <f aca="false">IF(COUNTIF(Species!$B:$B,$A235)=0,"",INDEX(Species!$F:$F,MATCH($A235,Species!$B:$B,0)))</f>
        <v>few_shot</v>
      </c>
      <c r="J235" s="19" t="n">
        <f aca="false">COUNTIFS(Clips!$F:$F,$A235,Clips!$C:$C,"train")</f>
        <v>8</v>
      </c>
      <c r="K235" s="19" t="n">
        <f aca="false">COUNTIF(Clips!$F:$F,$A235)</f>
        <v>10</v>
      </c>
      <c r="L235" s="19" t="str">
        <f aca="false">IF(J235&gt;0,"in train",IF(K235&gt;0,"audio, none in train",IF(C235&gt;=Overview!$B$9,"priority gap","no audio")))</f>
        <v>in train</v>
      </c>
    </row>
    <row r="236" customFormat="false" ht="15" hidden="false" customHeight="false" outlineLevel="0" collapsed="false">
      <c r="A236" s="19" t="s">
        <v>9767</v>
      </c>
      <c r="B236" s="19" t="s">
        <v>9768</v>
      </c>
      <c r="C236" s="28" t="n">
        <f aca="false">D236/Overview!$B$10</f>
        <v>0.0156659518703836</v>
      </c>
      <c r="D236" s="29" t="n">
        <v>526</v>
      </c>
      <c r="E236" s="19" t="s">
        <v>9649</v>
      </c>
      <c r="F236" s="19" t="n">
        <v>1972</v>
      </c>
      <c r="G236" s="19" t="n">
        <v>2026</v>
      </c>
      <c r="H236" s="19" t="str">
        <f aca="false">IF(COUNTIF(Species!$B:$B,$A236)=0,"",IF(INDEX(Species!$A:$A,MATCH($A236,Species!$B:$B,0))="","",INDEX(Species!$A:$A,MATCH($A236,Species!$B:$B,0))))</f>
        <v/>
      </c>
      <c r="I236" s="19" t="str">
        <f aca="false">IF(COUNTIF(Species!$B:$B,$A236)=0,"",INDEX(Species!$F:$F,MATCH($A236,Species!$B:$B,0)))</f>
        <v/>
      </c>
      <c r="J236" s="19" t="n">
        <f aca="false">COUNTIFS(Clips!$F:$F,$A236,Clips!$C:$C,"train")</f>
        <v>0</v>
      </c>
      <c r="K236" s="19" t="n">
        <f aca="false">COUNTIF(Clips!$F:$F,$A236)</f>
        <v>0</v>
      </c>
      <c r="L236" s="19" t="str">
        <f aca="false">IF(J236&gt;0,"in train",IF(K236&gt;0,"audio, none in train",IF(C236&gt;=Overview!$B$9,"priority gap","no audio")))</f>
        <v>no audio</v>
      </c>
    </row>
    <row r="237" customFormat="false" ht="15" hidden="false" customHeight="false" outlineLevel="0" collapsed="false">
      <c r="A237" s="19" t="s">
        <v>499</v>
      </c>
      <c r="B237" s="19" t="s">
        <v>500</v>
      </c>
      <c r="C237" s="28" t="n">
        <f aca="false">D237/Overview!$B$10</f>
        <v>0.015606385513462</v>
      </c>
      <c r="D237" s="29" t="n">
        <v>524</v>
      </c>
      <c r="E237" s="19" t="s">
        <v>9649</v>
      </c>
      <c r="F237" s="19" t="n">
        <v>1969</v>
      </c>
      <c r="G237" s="19" t="n">
        <v>2026</v>
      </c>
      <c r="H237" s="19" t="n">
        <f aca="false">IF(COUNTIF(Species!$B:$B,$A237)=0,"",IF(INDEX(Species!$A:$A,MATCH($A237,Species!$B:$B,0))="","",INDEX(Species!$A:$A,MATCH($A237,Species!$B:$B,0))))</f>
        <v>49</v>
      </c>
      <c r="I237" s="19" t="str">
        <f aca="false">IF(COUNTIF(Species!$B:$B,$A237)=0,"",INDEX(Species!$F:$F,MATCH($A237,Species!$B:$B,0)))</f>
        <v>few_shot</v>
      </c>
      <c r="J237" s="19" t="n">
        <f aca="false">COUNTIFS(Clips!$F:$F,$A237,Clips!$C:$C,"train")</f>
        <v>6</v>
      </c>
      <c r="K237" s="19" t="n">
        <f aca="false">COUNTIF(Clips!$F:$F,$A237)</f>
        <v>7</v>
      </c>
      <c r="L237" s="19" t="str">
        <f aca="false">IF(J237&gt;0,"in train",IF(K237&gt;0,"audio, none in train",IF(C237&gt;=Overview!$B$9,"priority gap","no audio")))</f>
        <v>in train</v>
      </c>
    </row>
    <row r="238" customFormat="false" ht="15" hidden="false" customHeight="false" outlineLevel="0" collapsed="false">
      <c r="A238" s="19" t="s">
        <v>717</v>
      </c>
      <c r="B238" s="19" t="s">
        <v>718</v>
      </c>
      <c r="C238" s="28" t="n">
        <f aca="false">D238/Overview!$B$10</f>
        <v>0.0153383369073147</v>
      </c>
      <c r="D238" s="29" t="n">
        <v>515</v>
      </c>
      <c r="E238" s="19" t="s">
        <v>9655</v>
      </c>
      <c r="F238" s="19" t="n">
        <v>1989</v>
      </c>
      <c r="G238" s="19" t="n">
        <v>2026</v>
      </c>
      <c r="H238" s="19" t="n">
        <f aca="false">IF(COUNTIF(Species!$B:$B,$A238)=0,"",IF(INDEX(Species!$A:$A,MATCH($A238,Species!$B:$B,0))="","",INDEX(Species!$A:$A,MATCH($A238,Species!$B:$B,0))))</f>
        <v>110</v>
      </c>
      <c r="I238" s="19" t="str">
        <f aca="false">IF(COUNTIF(Species!$B:$B,$A238)=0,"",INDEX(Species!$F:$F,MATCH($A238,Species!$B:$B,0)))</f>
        <v>few_shot</v>
      </c>
      <c r="J238" s="19" t="n">
        <f aca="false">COUNTIFS(Clips!$F:$F,$A238,Clips!$C:$C,"train")</f>
        <v>1</v>
      </c>
      <c r="K238" s="19" t="n">
        <f aca="false">COUNTIF(Clips!$F:$F,$A238)</f>
        <v>2</v>
      </c>
      <c r="L238" s="19" t="str">
        <f aca="false">IF(J238&gt;0,"in train",IF(K238&gt;0,"audio, none in train",IF(C238&gt;=Overview!$B$9,"priority gap","no audio")))</f>
        <v>in train</v>
      </c>
    </row>
    <row r="239" customFormat="false" ht="15" hidden="false" customHeight="false" outlineLevel="0" collapsed="false">
      <c r="A239" s="19" t="s">
        <v>9769</v>
      </c>
      <c r="B239" s="19" t="s">
        <v>9770</v>
      </c>
      <c r="C239" s="28" t="n">
        <f aca="false">D239/Overview!$B$10</f>
        <v>0.0150405051227067</v>
      </c>
      <c r="D239" s="29" t="n">
        <v>505</v>
      </c>
      <c r="E239" s="19" t="s">
        <v>9649</v>
      </c>
      <c r="F239" s="19" t="n">
        <v>1972</v>
      </c>
      <c r="G239" s="19" t="n">
        <v>2026</v>
      </c>
      <c r="H239" s="19" t="str">
        <f aca="false">IF(COUNTIF(Species!$B:$B,$A239)=0,"",IF(INDEX(Species!$A:$A,MATCH($A239,Species!$B:$B,0))="","",INDEX(Species!$A:$A,MATCH($A239,Species!$B:$B,0))))</f>
        <v/>
      </c>
      <c r="I239" s="19" t="str">
        <f aca="false">IF(COUNTIF(Species!$B:$B,$A239)=0,"",INDEX(Species!$F:$F,MATCH($A239,Species!$B:$B,0)))</f>
        <v/>
      </c>
      <c r="J239" s="19" t="n">
        <f aca="false">COUNTIFS(Clips!$F:$F,$A239,Clips!$C:$C,"train")</f>
        <v>0</v>
      </c>
      <c r="K239" s="19" t="n">
        <f aca="false">COUNTIF(Clips!$F:$F,$A239)</f>
        <v>0</v>
      </c>
      <c r="L239" s="19" t="str">
        <f aca="false">IF(J239&gt;0,"in train",IF(K239&gt;0,"audio, none in train",IF(C239&gt;=Overview!$B$9,"priority gap","no audio")))</f>
        <v>no audio</v>
      </c>
    </row>
    <row r="240" customFormat="false" ht="15" hidden="false" customHeight="false" outlineLevel="0" collapsed="false">
      <c r="A240" s="19" t="s">
        <v>490</v>
      </c>
      <c r="B240" s="19" t="s">
        <v>491</v>
      </c>
      <c r="C240" s="28" t="n">
        <f aca="false">D240/Overview!$B$10</f>
        <v>0.0150107219442459</v>
      </c>
      <c r="D240" s="29" t="n">
        <v>504</v>
      </c>
      <c r="E240" s="19" t="s">
        <v>9650</v>
      </c>
      <c r="F240" s="19" t="n">
        <v>1977</v>
      </c>
      <c r="G240" s="19" t="n">
        <v>2026</v>
      </c>
      <c r="H240" s="19" t="n">
        <f aca="false">IF(COUNTIF(Species!$B:$B,$A240)=0,"",IF(INDEX(Species!$A:$A,MATCH($A240,Species!$B:$B,0))="","",INDEX(Species!$A:$A,MATCH($A240,Species!$B:$B,0))))</f>
        <v>0</v>
      </c>
      <c r="I240" s="19" t="str">
        <f aca="false">IF(COUNTIF(Species!$B:$B,$A240)=0,"",INDEX(Species!$F:$F,MATCH($A240,Species!$B:$B,0)))</f>
        <v>few_shot</v>
      </c>
      <c r="J240" s="19" t="n">
        <f aca="false">COUNTIFS(Clips!$F:$F,$A240,Clips!$C:$C,"train")</f>
        <v>6</v>
      </c>
      <c r="K240" s="19" t="n">
        <f aca="false">COUNTIF(Clips!$F:$F,$A240)</f>
        <v>7</v>
      </c>
      <c r="L240" s="19" t="str">
        <f aca="false">IF(J240&gt;0,"in train",IF(K240&gt;0,"audio, none in train",IF(C240&gt;=Overview!$B$9,"priority gap","no audio")))</f>
        <v>in train</v>
      </c>
    </row>
    <row r="241" customFormat="false" ht="15" hidden="false" customHeight="false" outlineLevel="0" collapsed="false">
      <c r="A241" s="19" t="s">
        <v>9771</v>
      </c>
      <c r="B241" s="19" t="s">
        <v>9772</v>
      </c>
      <c r="C241" s="28" t="n">
        <f aca="false">D241/Overview!$B$10</f>
        <v>0.0148320228734811</v>
      </c>
      <c r="D241" s="29" t="n">
        <v>498</v>
      </c>
      <c r="E241" s="19" t="s">
        <v>9773</v>
      </c>
      <c r="F241" s="19" t="n">
        <v>1984</v>
      </c>
      <c r="G241" s="19" t="n">
        <v>2026</v>
      </c>
      <c r="H241" s="19" t="str">
        <f aca="false">IF(COUNTIF(Species!$B:$B,$A241)=0,"",IF(INDEX(Species!$A:$A,MATCH($A241,Species!$B:$B,0))="","",INDEX(Species!$A:$A,MATCH($A241,Species!$B:$B,0))))</f>
        <v/>
      </c>
      <c r="I241" s="19" t="str">
        <f aca="false">IF(COUNTIF(Species!$B:$B,$A241)=0,"",INDEX(Species!$F:$F,MATCH($A241,Species!$B:$B,0)))</f>
        <v/>
      </c>
      <c r="J241" s="19" t="n">
        <f aca="false">COUNTIFS(Clips!$F:$F,$A241,Clips!$C:$C,"train")</f>
        <v>0</v>
      </c>
      <c r="K241" s="19" t="n">
        <f aca="false">COUNTIF(Clips!$F:$F,$A241)</f>
        <v>0</v>
      </c>
      <c r="L241" s="19" t="str">
        <f aca="false">IF(J241&gt;0,"in train",IF(K241&gt;0,"audio, none in train",IF(C241&gt;=Overview!$B$9,"priority gap","no audio")))</f>
        <v>no audio</v>
      </c>
    </row>
    <row r="242" customFormat="false" ht="15" hidden="false" customHeight="false" outlineLevel="0" collapsed="false">
      <c r="A242" s="19" t="s">
        <v>9774</v>
      </c>
      <c r="B242" s="19" t="s">
        <v>9775</v>
      </c>
      <c r="C242" s="28" t="n">
        <f aca="false">D242/Overview!$B$10</f>
        <v>0.0148022396950203</v>
      </c>
      <c r="D242" s="29" t="n">
        <v>497</v>
      </c>
      <c r="E242" s="19" t="s">
        <v>9649</v>
      </c>
      <c r="F242" s="19" t="n">
        <v>1980</v>
      </c>
      <c r="G242" s="19" t="n">
        <v>2026</v>
      </c>
      <c r="H242" s="19" t="str">
        <f aca="false">IF(COUNTIF(Species!$B:$B,$A242)=0,"",IF(INDEX(Species!$A:$A,MATCH($A242,Species!$B:$B,0))="","",INDEX(Species!$A:$A,MATCH($A242,Species!$B:$B,0))))</f>
        <v/>
      </c>
      <c r="I242" s="19" t="str">
        <f aca="false">IF(COUNTIF(Species!$B:$B,$A242)=0,"",INDEX(Species!$F:$F,MATCH($A242,Species!$B:$B,0)))</f>
        <v/>
      </c>
      <c r="J242" s="19" t="n">
        <f aca="false">COUNTIFS(Clips!$F:$F,$A242,Clips!$C:$C,"train")</f>
        <v>0</v>
      </c>
      <c r="K242" s="19" t="n">
        <f aca="false">COUNTIF(Clips!$F:$F,$A242)</f>
        <v>0</v>
      </c>
      <c r="L242" s="19" t="str">
        <f aca="false">IF(J242&gt;0,"in train",IF(K242&gt;0,"audio, none in train",IF(C242&gt;=Overview!$B$9,"priority gap","no audio")))</f>
        <v>no audio</v>
      </c>
    </row>
    <row r="243" customFormat="false" ht="15" hidden="false" customHeight="false" outlineLevel="0" collapsed="false">
      <c r="A243" s="19" t="s">
        <v>9776</v>
      </c>
      <c r="B243" s="19" t="s">
        <v>9777</v>
      </c>
      <c r="C243" s="28" t="n">
        <f aca="false">D243/Overview!$B$10</f>
        <v>0.0144150583750298</v>
      </c>
      <c r="D243" s="29" t="n">
        <v>484</v>
      </c>
      <c r="E243" s="19" t="s">
        <v>9649</v>
      </c>
      <c r="F243" s="19" t="n">
        <v>1987</v>
      </c>
      <c r="G243" s="19" t="n">
        <v>2026</v>
      </c>
      <c r="H243" s="19" t="str">
        <f aca="false">IF(COUNTIF(Species!$B:$B,$A243)=0,"",IF(INDEX(Species!$A:$A,MATCH($A243,Species!$B:$B,0))="","",INDEX(Species!$A:$A,MATCH($A243,Species!$B:$B,0))))</f>
        <v/>
      </c>
      <c r="I243" s="19" t="str">
        <f aca="false">IF(COUNTIF(Species!$B:$B,$A243)=0,"",INDEX(Species!$F:$F,MATCH($A243,Species!$B:$B,0)))</f>
        <v/>
      </c>
      <c r="J243" s="19" t="n">
        <f aca="false">COUNTIFS(Clips!$F:$F,$A243,Clips!$C:$C,"train")</f>
        <v>0</v>
      </c>
      <c r="K243" s="19" t="n">
        <f aca="false">COUNTIF(Clips!$F:$F,$A243)</f>
        <v>0</v>
      </c>
      <c r="L243" s="19" t="str">
        <f aca="false">IF(J243&gt;0,"in train",IF(K243&gt;0,"audio, none in train",IF(C243&gt;=Overview!$B$9,"priority gap","no audio")))</f>
        <v>no audio</v>
      </c>
    </row>
    <row r="244" customFormat="false" ht="15" hidden="false" customHeight="false" outlineLevel="0" collapsed="false">
      <c r="A244" s="19" t="s">
        <v>9778</v>
      </c>
      <c r="B244" s="19" t="s">
        <v>9779</v>
      </c>
      <c r="C244" s="28" t="n">
        <f aca="false">D244/Overview!$B$10</f>
        <v>0.0137598284488921</v>
      </c>
      <c r="D244" s="29" t="n">
        <v>462</v>
      </c>
      <c r="E244" s="19" t="s">
        <v>9650</v>
      </c>
      <c r="F244" s="19" t="n">
        <v>1977</v>
      </c>
      <c r="G244" s="19" t="n">
        <v>2026</v>
      </c>
      <c r="H244" s="19" t="str">
        <f aca="false">IF(COUNTIF(Species!$B:$B,$A244)=0,"",IF(INDEX(Species!$A:$A,MATCH($A244,Species!$B:$B,0))="","",INDEX(Species!$A:$A,MATCH($A244,Species!$B:$B,0))))</f>
        <v/>
      </c>
      <c r="I244" s="19" t="str">
        <f aca="false">IF(COUNTIF(Species!$B:$B,$A244)=0,"",INDEX(Species!$F:$F,MATCH($A244,Species!$B:$B,0)))</f>
        <v/>
      </c>
      <c r="J244" s="19" t="n">
        <f aca="false">COUNTIFS(Clips!$F:$F,$A244,Clips!$C:$C,"train")</f>
        <v>0</v>
      </c>
      <c r="K244" s="19" t="n">
        <f aca="false">COUNTIF(Clips!$F:$F,$A244)</f>
        <v>0</v>
      </c>
      <c r="L244" s="19" t="str">
        <f aca="false">IF(J244&gt;0,"in train",IF(K244&gt;0,"audio, none in train",IF(C244&gt;=Overview!$B$9,"priority gap","no audio")))</f>
        <v>no audio</v>
      </c>
    </row>
    <row r="245" customFormat="false" ht="15" hidden="false" customHeight="false" outlineLevel="0" collapsed="false">
      <c r="A245" s="19" t="s">
        <v>870</v>
      </c>
      <c r="B245" s="19" t="s">
        <v>871</v>
      </c>
      <c r="C245" s="28" t="n">
        <f aca="false">D245/Overview!$B$10</f>
        <v>0.0130152489873719</v>
      </c>
      <c r="D245" s="29" t="n">
        <v>437</v>
      </c>
      <c r="E245" s="19" t="s">
        <v>9649</v>
      </c>
      <c r="F245" s="19" t="n">
        <v>1979</v>
      </c>
      <c r="G245" s="19" t="n">
        <v>2026</v>
      </c>
      <c r="H245" s="19" t="n">
        <f aca="false">IF(COUNTIF(Species!$B:$B,$A245)=0,"",IF(INDEX(Species!$A:$A,MATCH($A245,Species!$B:$B,0))="","",INDEX(Species!$A:$A,MATCH($A245,Species!$B:$B,0))))</f>
        <v>211</v>
      </c>
      <c r="I245" s="19" t="str">
        <f aca="false">IF(COUNTIF(Species!$B:$B,$A245)=0,"",INDEX(Species!$F:$F,MATCH($A245,Species!$B:$B,0)))</f>
        <v>singleton</v>
      </c>
      <c r="J245" s="19" t="n">
        <f aca="false">COUNTIFS(Clips!$F:$F,$A245,Clips!$C:$C,"train")</f>
        <v>0</v>
      </c>
      <c r="K245" s="19" t="n">
        <f aca="false">COUNTIF(Clips!$F:$F,$A245)</f>
        <v>1</v>
      </c>
      <c r="L245" s="19" t="str">
        <f aca="false">IF(J245&gt;0,"in train",IF(K245&gt;0,"audio, none in train",IF(C245&gt;=Overview!$B$9,"priority gap","no audio")))</f>
        <v>audio, none in train</v>
      </c>
    </row>
    <row r="246" customFormat="false" ht="15" hidden="false" customHeight="false" outlineLevel="0" collapsed="false">
      <c r="A246" s="19" t="s">
        <v>734</v>
      </c>
      <c r="B246" s="19" t="s">
        <v>735</v>
      </c>
      <c r="C246" s="28" t="n">
        <f aca="false">D246/Overview!$B$10</f>
        <v>0.0126280676673815</v>
      </c>
      <c r="D246" s="29" t="n">
        <v>424</v>
      </c>
      <c r="E246" s="19" t="s">
        <v>9649</v>
      </c>
      <c r="F246" s="19" t="n">
        <v>1985</v>
      </c>
      <c r="G246" s="19" t="n">
        <v>2026</v>
      </c>
      <c r="H246" s="19" t="n">
        <f aca="false">IF(COUNTIF(Species!$B:$B,$A246)=0,"",IF(INDEX(Species!$A:$A,MATCH($A246,Species!$B:$B,0))="","",INDEX(Species!$A:$A,MATCH($A246,Species!$B:$B,0))))</f>
        <v>212</v>
      </c>
      <c r="I246" s="19" t="str">
        <f aca="false">IF(COUNTIF(Species!$B:$B,$A246)=0,"",INDEX(Species!$F:$F,MATCH($A246,Species!$B:$B,0)))</f>
        <v>few_shot</v>
      </c>
      <c r="J246" s="19" t="n">
        <f aca="false">COUNTIFS(Clips!$F:$F,$A246,Clips!$C:$C,"train")</f>
        <v>1</v>
      </c>
      <c r="K246" s="19" t="n">
        <f aca="false">COUNTIF(Clips!$F:$F,$A246)</f>
        <v>2</v>
      </c>
      <c r="L246" s="19" t="str">
        <f aca="false">IF(J246&gt;0,"in train",IF(K246&gt;0,"audio, none in train",IF(C246&gt;=Overview!$B$9,"priority gap","no audio")))</f>
        <v>in train</v>
      </c>
    </row>
    <row r="247" customFormat="false" ht="15" hidden="false" customHeight="false" outlineLevel="0" collapsed="false">
      <c r="A247" s="19" t="s">
        <v>9780</v>
      </c>
      <c r="B247" s="19" t="s">
        <v>9781</v>
      </c>
      <c r="C247" s="28" t="n">
        <f aca="false">D247/Overview!$B$10</f>
        <v>0.0126280676673815</v>
      </c>
      <c r="D247" s="29" t="n">
        <v>424</v>
      </c>
      <c r="E247" s="19" t="s">
        <v>9650</v>
      </c>
      <c r="F247" s="19" t="n">
        <v>1984</v>
      </c>
      <c r="G247" s="19" t="n">
        <v>2026</v>
      </c>
      <c r="H247" s="19" t="str">
        <f aca="false">IF(COUNTIF(Species!$B:$B,$A247)=0,"",IF(INDEX(Species!$A:$A,MATCH($A247,Species!$B:$B,0))="","",INDEX(Species!$A:$A,MATCH($A247,Species!$B:$B,0))))</f>
        <v/>
      </c>
      <c r="I247" s="19" t="str">
        <f aca="false">IF(COUNTIF(Species!$B:$B,$A247)=0,"",INDEX(Species!$F:$F,MATCH($A247,Species!$B:$B,0)))</f>
        <v/>
      </c>
      <c r="J247" s="19" t="n">
        <f aca="false">COUNTIFS(Clips!$F:$F,$A247,Clips!$C:$C,"train")</f>
        <v>0</v>
      </c>
      <c r="K247" s="19" t="n">
        <f aca="false">COUNTIF(Clips!$F:$F,$A247)</f>
        <v>0</v>
      </c>
      <c r="L247" s="19" t="str">
        <f aca="false">IF(J247&gt;0,"in train",IF(K247&gt;0,"audio, none in train",IF(C247&gt;=Overview!$B$9,"priority gap","no audio")))</f>
        <v>no audio</v>
      </c>
    </row>
    <row r="248" customFormat="false" ht="15" hidden="false" customHeight="false" outlineLevel="0" collapsed="false">
      <c r="A248" s="19" t="s">
        <v>9782</v>
      </c>
      <c r="B248" s="19" t="s">
        <v>9783</v>
      </c>
      <c r="C248" s="28" t="n">
        <f aca="false">D248/Overview!$B$10</f>
        <v>0.0125982844889207</v>
      </c>
      <c r="D248" s="29" t="n">
        <v>423</v>
      </c>
      <c r="E248" s="19" t="s">
        <v>9649</v>
      </c>
      <c r="F248" s="19" t="n">
        <v>1973</v>
      </c>
      <c r="G248" s="19" t="n">
        <v>2026</v>
      </c>
      <c r="H248" s="19" t="str">
        <f aca="false">IF(COUNTIF(Species!$B:$B,$A248)=0,"",IF(INDEX(Species!$A:$A,MATCH($A248,Species!$B:$B,0))="","",INDEX(Species!$A:$A,MATCH($A248,Species!$B:$B,0))))</f>
        <v/>
      </c>
      <c r="I248" s="19" t="str">
        <f aca="false">IF(COUNTIF(Species!$B:$B,$A248)=0,"",INDEX(Species!$F:$F,MATCH($A248,Species!$B:$B,0)))</f>
        <v/>
      </c>
      <c r="J248" s="19" t="n">
        <f aca="false">COUNTIFS(Clips!$F:$F,$A248,Clips!$C:$C,"train")</f>
        <v>0</v>
      </c>
      <c r="K248" s="19" t="n">
        <f aca="false">COUNTIF(Clips!$F:$F,$A248)</f>
        <v>0</v>
      </c>
      <c r="L248" s="19" t="str">
        <f aca="false">IF(J248&gt;0,"in train",IF(K248&gt;0,"audio, none in train",IF(C248&gt;=Overview!$B$9,"priority gap","no audio")))</f>
        <v>no audio</v>
      </c>
    </row>
    <row r="249" customFormat="false" ht="15" hidden="false" customHeight="false" outlineLevel="0" collapsed="false">
      <c r="A249" s="19" t="s">
        <v>823</v>
      </c>
      <c r="B249" s="19" t="s">
        <v>824</v>
      </c>
      <c r="C249" s="28" t="n">
        <f aca="false">D249/Overview!$B$10</f>
        <v>0.0125685013104599</v>
      </c>
      <c r="D249" s="29" t="n">
        <v>422</v>
      </c>
      <c r="E249" s="19" t="s">
        <v>9650</v>
      </c>
      <c r="F249" s="19" t="n">
        <v>1979</v>
      </c>
      <c r="G249" s="19" t="n">
        <v>2026</v>
      </c>
      <c r="H249" s="19" t="n">
        <f aca="false">IF(COUNTIF(Species!$B:$B,$A249)=0,"",IF(INDEX(Species!$A:$A,MATCH($A249,Species!$B:$B,0))="","",INDEX(Species!$A:$A,MATCH($A249,Species!$B:$B,0))))</f>
        <v>130</v>
      </c>
      <c r="I249" s="19" t="str">
        <f aca="false">IF(COUNTIF(Species!$B:$B,$A249)=0,"",INDEX(Species!$F:$F,MATCH($A249,Species!$B:$B,0)))</f>
        <v>singleton</v>
      </c>
      <c r="J249" s="19" t="n">
        <f aca="false">COUNTIFS(Clips!$F:$F,$A249,Clips!$C:$C,"train")</f>
        <v>0</v>
      </c>
      <c r="K249" s="19" t="n">
        <f aca="false">COUNTIF(Clips!$F:$F,$A249)</f>
        <v>1</v>
      </c>
      <c r="L249" s="19" t="str">
        <f aca="false">IF(J249&gt;0,"in train",IF(K249&gt;0,"audio, none in train",IF(C249&gt;=Overview!$B$9,"priority gap","no audio")))</f>
        <v>audio, none in train</v>
      </c>
    </row>
    <row r="250" customFormat="false" ht="15" hidden="false" customHeight="false" outlineLevel="0" collapsed="false">
      <c r="A250" s="19" t="s">
        <v>9784</v>
      </c>
      <c r="B250" s="19" t="s">
        <v>9785</v>
      </c>
      <c r="C250" s="28" t="n">
        <f aca="false">D250/Overview!$B$10</f>
        <v>0.0124791517750774</v>
      </c>
      <c r="D250" s="29" t="n">
        <v>419</v>
      </c>
      <c r="E250" s="19" t="s">
        <v>9786</v>
      </c>
      <c r="F250" s="19" t="n">
        <v>1977</v>
      </c>
      <c r="G250" s="19" t="n">
        <v>2026</v>
      </c>
      <c r="H250" s="19" t="str">
        <f aca="false">IF(COUNTIF(Species!$B:$B,$A250)=0,"",IF(INDEX(Species!$A:$A,MATCH($A250,Species!$B:$B,0))="","",INDEX(Species!$A:$A,MATCH($A250,Species!$B:$B,0))))</f>
        <v/>
      </c>
      <c r="I250" s="19" t="str">
        <f aca="false">IF(COUNTIF(Species!$B:$B,$A250)=0,"",INDEX(Species!$F:$F,MATCH($A250,Species!$B:$B,0)))</f>
        <v/>
      </c>
      <c r="J250" s="19" t="n">
        <f aca="false">COUNTIFS(Clips!$F:$F,$A250,Clips!$C:$C,"train")</f>
        <v>0</v>
      </c>
      <c r="K250" s="19" t="n">
        <f aca="false">COUNTIF(Clips!$F:$F,$A250)</f>
        <v>0</v>
      </c>
      <c r="L250" s="19" t="str">
        <f aca="false">IF(J250&gt;0,"in train",IF(K250&gt;0,"audio, none in train",IF(C250&gt;=Overview!$B$9,"priority gap","no audio")))</f>
        <v>no audio</v>
      </c>
    </row>
    <row r="251" customFormat="false" ht="15" hidden="false" customHeight="false" outlineLevel="0" collapsed="false">
      <c r="A251" s="19" t="s">
        <v>441</v>
      </c>
      <c r="B251" s="19" t="s">
        <v>442</v>
      </c>
      <c r="C251" s="28" t="n">
        <f aca="false">D251/Overview!$B$10</f>
        <v>0.0122706695258518</v>
      </c>
      <c r="D251" s="29" t="n">
        <v>412</v>
      </c>
      <c r="E251" s="19" t="s">
        <v>9649</v>
      </c>
      <c r="F251" s="19" t="n">
        <v>1985</v>
      </c>
      <c r="G251" s="19" t="n">
        <v>2026</v>
      </c>
      <c r="H251" s="19" t="n">
        <f aca="false">IF(COUNTIF(Species!$B:$B,$A251)=0,"",IF(INDEX(Species!$A:$A,MATCH($A251,Species!$B:$B,0))="","",INDEX(Species!$A:$A,MATCH($A251,Species!$B:$B,0))))</f>
        <v>129</v>
      </c>
      <c r="I251" s="19" t="str">
        <f aca="false">IF(COUNTIF(Species!$B:$B,$A251)=0,"",INDEX(Species!$F:$F,MATCH($A251,Species!$B:$B,0)))</f>
        <v>few_shot</v>
      </c>
      <c r="J251" s="19" t="n">
        <f aca="false">COUNTIFS(Clips!$F:$F,$A251,Clips!$C:$C,"train")</f>
        <v>8</v>
      </c>
      <c r="K251" s="19" t="n">
        <f aca="false">COUNTIF(Clips!$F:$F,$A251)</f>
        <v>9</v>
      </c>
      <c r="L251" s="19" t="str">
        <f aca="false">IF(J251&gt;0,"in train",IF(K251&gt;0,"audio, none in train",IF(C251&gt;=Overview!$B$9,"priority gap","no audio")))</f>
        <v>in train</v>
      </c>
    </row>
    <row r="252" customFormat="false" ht="15" hidden="false" customHeight="false" outlineLevel="0" collapsed="false">
      <c r="A252" s="19" t="s">
        <v>9787</v>
      </c>
      <c r="B252" s="19" t="s">
        <v>9788</v>
      </c>
      <c r="C252" s="28" t="n">
        <f aca="false">D252/Overview!$B$10</f>
        <v>0.0121813199904694</v>
      </c>
      <c r="D252" s="29" t="n">
        <v>409</v>
      </c>
      <c r="E252" s="19" t="s">
        <v>9649</v>
      </c>
      <c r="F252" s="19" t="n">
        <v>1969</v>
      </c>
      <c r="G252" s="19" t="n">
        <v>2026</v>
      </c>
      <c r="H252" s="19" t="str">
        <f aca="false">IF(COUNTIF(Species!$B:$B,$A252)=0,"",IF(INDEX(Species!$A:$A,MATCH($A252,Species!$B:$B,0))="","",INDEX(Species!$A:$A,MATCH($A252,Species!$B:$B,0))))</f>
        <v/>
      </c>
      <c r="I252" s="19" t="str">
        <f aca="false">IF(COUNTIF(Species!$B:$B,$A252)=0,"",INDEX(Species!$F:$F,MATCH($A252,Species!$B:$B,0)))</f>
        <v/>
      </c>
      <c r="J252" s="19" t="n">
        <f aca="false">COUNTIFS(Clips!$F:$F,$A252,Clips!$C:$C,"train")</f>
        <v>0</v>
      </c>
      <c r="K252" s="19" t="n">
        <f aca="false">COUNTIF(Clips!$F:$F,$A252)</f>
        <v>0</v>
      </c>
      <c r="L252" s="19" t="str">
        <f aca="false">IF(J252&gt;0,"in train",IF(K252&gt;0,"audio, none in train",IF(C252&gt;=Overview!$B$9,"priority gap","no audio")))</f>
        <v>no audio</v>
      </c>
    </row>
    <row r="253" customFormat="false" ht="15" hidden="false" customHeight="false" outlineLevel="0" collapsed="false">
      <c r="A253" s="19" t="s">
        <v>450</v>
      </c>
      <c r="B253" s="19" t="s">
        <v>451</v>
      </c>
      <c r="C253" s="28" t="n">
        <f aca="false">D253/Overview!$B$10</f>
        <v>0.0117345723135573</v>
      </c>
      <c r="D253" s="29" t="n">
        <v>394</v>
      </c>
      <c r="E253" s="19" t="s">
        <v>9649</v>
      </c>
      <c r="F253" s="19" t="n">
        <v>1977</v>
      </c>
      <c r="G253" s="19" t="n">
        <v>2026</v>
      </c>
      <c r="H253" s="19" t="n">
        <f aca="false">IF(COUNTIF(Species!$B:$B,$A253)=0,"",IF(INDEX(Species!$A:$A,MATCH($A253,Species!$B:$B,0))="","",INDEX(Species!$A:$A,MATCH($A253,Species!$B:$B,0))))</f>
        <v>184</v>
      </c>
      <c r="I253" s="19" t="str">
        <f aca="false">IF(COUNTIF(Species!$B:$B,$A253)=0,"",INDEX(Species!$F:$F,MATCH($A253,Species!$B:$B,0)))</f>
        <v>few_shot</v>
      </c>
      <c r="J253" s="19" t="n">
        <f aca="false">COUNTIFS(Clips!$F:$F,$A253,Clips!$C:$C,"train")</f>
        <v>8</v>
      </c>
      <c r="K253" s="19" t="n">
        <f aca="false">COUNTIF(Clips!$F:$F,$A253)</f>
        <v>9</v>
      </c>
      <c r="L253" s="19" t="str">
        <f aca="false">IF(J253&gt;0,"in train",IF(K253&gt;0,"audio, none in train",IF(C253&gt;=Overview!$B$9,"priority gap","no audio")))</f>
        <v>in train</v>
      </c>
    </row>
    <row r="254" customFormat="false" ht="15" hidden="false" customHeight="false" outlineLevel="0" collapsed="false">
      <c r="A254" s="19" t="s">
        <v>905</v>
      </c>
      <c r="B254" s="19" t="s">
        <v>906</v>
      </c>
      <c r="C254" s="28" t="n">
        <f aca="false">D254/Overview!$B$10</f>
        <v>0.0115856564212533</v>
      </c>
      <c r="D254" s="29" t="n">
        <v>389</v>
      </c>
      <c r="E254" s="19" t="s">
        <v>9649</v>
      </c>
      <c r="F254" s="19" t="n">
        <v>1977</v>
      </c>
      <c r="G254" s="19" t="n">
        <v>2026</v>
      </c>
      <c r="H254" s="19" t="str">
        <f aca="false">IF(COUNTIF(Species!$B:$B,$A254)=0,"",IF(INDEX(Species!$A:$A,MATCH($A254,Species!$B:$B,0))="","",INDEX(Species!$A:$A,MATCH($A254,Species!$B:$B,0))))</f>
        <v/>
      </c>
      <c r="I254" s="19" t="str">
        <f aca="false">IF(COUNTIF(Species!$B:$B,$A254)=0,"",INDEX(Species!$F:$F,MATCH($A254,Species!$B:$B,0)))</f>
        <v>no class (only clip failed QC)</v>
      </c>
      <c r="J254" s="19" t="n">
        <f aca="false">COUNTIFS(Clips!$F:$F,$A254,Clips!$C:$C,"train")</f>
        <v>0</v>
      </c>
      <c r="K254" s="19" t="n">
        <f aca="false">COUNTIF(Clips!$F:$F,$A254)</f>
        <v>1</v>
      </c>
      <c r="L254" s="19" t="str">
        <f aca="false">IF(J254&gt;0,"in train",IF(K254&gt;0,"audio, none in train",IF(C254&gt;=Overview!$B$9,"priority gap","no audio")))</f>
        <v>audio, none in train</v>
      </c>
    </row>
    <row r="255" customFormat="false" ht="15" hidden="false" customHeight="false" outlineLevel="0" collapsed="false">
      <c r="A255" s="19" t="s">
        <v>9789</v>
      </c>
      <c r="B255" s="19" t="s">
        <v>9790</v>
      </c>
      <c r="C255" s="28" t="n">
        <f aca="false">D255/Overview!$B$10</f>
        <v>0.0113473909935668</v>
      </c>
      <c r="D255" s="29" t="n">
        <v>381</v>
      </c>
      <c r="E255" s="19" t="s">
        <v>9649</v>
      </c>
      <c r="F255" s="19" t="n">
        <v>1987</v>
      </c>
      <c r="G255" s="19" t="n">
        <v>2026</v>
      </c>
      <c r="H255" s="19" t="str">
        <f aca="false">IF(COUNTIF(Species!$B:$B,$A255)=0,"",IF(INDEX(Species!$A:$A,MATCH($A255,Species!$B:$B,0))="","",INDEX(Species!$A:$A,MATCH($A255,Species!$B:$B,0))))</f>
        <v/>
      </c>
      <c r="I255" s="19" t="str">
        <f aca="false">IF(COUNTIF(Species!$B:$B,$A255)=0,"",INDEX(Species!$F:$F,MATCH($A255,Species!$B:$B,0)))</f>
        <v/>
      </c>
      <c r="J255" s="19" t="n">
        <f aca="false">COUNTIFS(Clips!$F:$F,$A255,Clips!$C:$C,"train")</f>
        <v>0</v>
      </c>
      <c r="K255" s="19" t="n">
        <f aca="false">COUNTIF(Clips!$F:$F,$A255)</f>
        <v>0</v>
      </c>
      <c r="L255" s="19" t="str">
        <f aca="false">IF(J255&gt;0,"in train",IF(K255&gt;0,"audio, none in train",IF(C255&gt;=Overview!$B$9,"priority gap","no audio")))</f>
        <v>no audio</v>
      </c>
    </row>
    <row r="256" customFormat="false" ht="15" hidden="false" customHeight="false" outlineLevel="0" collapsed="false">
      <c r="A256" s="19" t="s">
        <v>9791</v>
      </c>
      <c r="B256" s="19" t="s">
        <v>9792</v>
      </c>
      <c r="C256" s="28" t="n">
        <f aca="false">D256/Overview!$B$10</f>
        <v>0.011317607815106</v>
      </c>
      <c r="D256" s="29" t="n">
        <v>380</v>
      </c>
      <c r="E256" s="19" t="s">
        <v>9773</v>
      </c>
      <c r="F256" s="19" t="n">
        <v>1988</v>
      </c>
      <c r="G256" s="19" t="n">
        <v>2026</v>
      </c>
      <c r="H256" s="19" t="str">
        <f aca="false">IF(COUNTIF(Species!$B:$B,$A256)=0,"",IF(INDEX(Species!$A:$A,MATCH($A256,Species!$B:$B,0))="","",INDEX(Species!$A:$A,MATCH($A256,Species!$B:$B,0))))</f>
        <v/>
      </c>
      <c r="I256" s="19" t="str">
        <f aca="false">IF(COUNTIF(Species!$B:$B,$A256)=0,"",INDEX(Species!$F:$F,MATCH($A256,Species!$B:$B,0)))</f>
        <v/>
      </c>
      <c r="J256" s="19" t="n">
        <f aca="false">COUNTIFS(Clips!$F:$F,$A256,Clips!$C:$C,"train")</f>
        <v>0</v>
      </c>
      <c r="K256" s="19" t="n">
        <f aca="false">COUNTIF(Clips!$F:$F,$A256)</f>
        <v>0</v>
      </c>
      <c r="L256" s="19" t="str">
        <f aca="false">IF(J256&gt;0,"in train",IF(K256&gt;0,"audio, none in train",IF(C256&gt;=Overview!$B$9,"priority gap","no audio")))</f>
        <v>no audio</v>
      </c>
    </row>
    <row r="257" customFormat="false" ht="15" hidden="false" customHeight="false" outlineLevel="0" collapsed="false">
      <c r="A257" s="19" t="s">
        <v>9793</v>
      </c>
      <c r="B257" s="19" t="s">
        <v>9794</v>
      </c>
      <c r="C257" s="28" t="n">
        <f aca="false">D257/Overview!$B$10</f>
        <v>0.0109602096735764</v>
      </c>
      <c r="D257" s="29" t="n">
        <v>368</v>
      </c>
      <c r="E257" s="19" t="s">
        <v>9649</v>
      </c>
      <c r="F257" s="19" t="n">
        <v>1987</v>
      </c>
      <c r="G257" s="19" t="n">
        <v>2026</v>
      </c>
      <c r="H257" s="19" t="str">
        <f aca="false">IF(COUNTIF(Species!$B:$B,$A257)=0,"",IF(INDEX(Species!$A:$A,MATCH($A257,Species!$B:$B,0))="","",INDEX(Species!$A:$A,MATCH($A257,Species!$B:$B,0))))</f>
        <v/>
      </c>
      <c r="I257" s="19" t="str">
        <f aca="false">IF(COUNTIF(Species!$B:$B,$A257)=0,"",INDEX(Species!$F:$F,MATCH($A257,Species!$B:$B,0)))</f>
        <v/>
      </c>
      <c r="J257" s="19" t="n">
        <f aca="false">COUNTIFS(Clips!$F:$F,$A257,Clips!$C:$C,"train")</f>
        <v>0</v>
      </c>
      <c r="K257" s="19" t="n">
        <f aca="false">COUNTIF(Clips!$F:$F,$A257)</f>
        <v>0</v>
      </c>
      <c r="L257" s="19" t="str">
        <f aca="false">IF(J257&gt;0,"in train",IF(K257&gt;0,"audio, none in train",IF(C257&gt;=Overview!$B$9,"priority gap","no audio")))</f>
        <v>no audio</v>
      </c>
    </row>
    <row r="258" customFormat="false" ht="15" hidden="false" customHeight="false" outlineLevel="0" collapsed="false">
      <c r="A258" s="19" t="s">
        <v>9795</v>
      </c>
      <c r="B258" s="19" t="s">
        <v>9796</v>
      </c>
      <c r="C258" s="28" t="n">
        <f aca="false">D258/Overview!$B$10</f>
        <v>0.0107815106028115</v>
      </c>
      <c r="D258" s="29" t="n">
        <v>362</v>
      </c>
      <c r="E258" s="19" t="s">
        <v>9687</v>
      </c>
      <c r="F258" s="19" t="n">
        <v>1990</v>
      </c>
      <c r="G258" s="19" t="n">
        <v>2026</v>
      </c>
      <c r="H258" s="19" t="str">
        <f aca="false">IF(COUNTIF(Species!$B:$B,$A258)=0,"",IF(INDEX(Species!$A:$A,MATCH($A258,Species!$B:$B,0))="","",INDEX(Species!$A:$A,MATCH($A258,Species!$B:$B,0))))</f>
        <v/>
      </c>
      <c r="I258" s="19" t="str">
        <f aca="false">IF(COUNTIF(Species!$B:$B,$A258)=0,"",INDEX(Species!$F:$F,MATCH($A258,Species!$B:$B,0)))</f>
        <v/>
      </c>
      <c r="J258" s="19" t="n">
        <f aca="false">COUNTIFS(Clips!$F:$F,$A258,Clips!$C:$C,"train")</f>
        <v>0</v>
      </c>
      <c r="K258" s="19" t="n">
        <f aca="false">COUNTIF(Clips!$F:$F,$A258)</f>
        <v>0</v>
      </c>
      <c r="L258" s="19" t="str">
        <f aca="false">IF(J258&gt;0,"in train",IF(K258&gt;0,"audio, none in train",IF(C258&gt;=Overview!$B$9,"priority gap","no audio")))</f>
        <v>no audio</v>
      </c>
    </row>
    <row r="259" customFormat="false" ht="15" hidden="false" customHeight="false" outlineLevel="0" collapsed="false">
      <c r="A259" s="19" t="s">
        <v>9797</v>
      </c>
      <c r="B259" s="19" t="s">
        <v>9798</v>
      </c>
      <c r="C259" s="28" t="n">
        <f aca="false">D259/Overview!$B$10</f>
        <v>0.0107815106028115</v>
      </c>
      <c r="D259" s="29" t="n">
        <v>362</v>
      </c>
      <c r="E259" s="19" t="s">
        <v>9649</v>
      </c>
      <c r="F259" s="19" t="n">
        <v>1983</v>
      </c>
      <c r="G259" s="19" t="n">
        <v>2026</v>
      </c>
      <c r="H259" s="19" t="str">
        <f aca="false">IF(COUNTIF(Species!$B:$B,$A259)=0,"",IF(INDEX(Species!$A:$A,MATCH($A259,Species!$B:$B,0))="","",INDEX(Species!$A:$A,MATCH($A259,Species!$B:$B,0))))</f>
        <v/>
      </c>
      <c r="I259" s="19" t="str">
        <f aca="false">IF(COUNTIF(Species!$B:$B,$A259)=0,"",INDEX(Species!$F:$F,MATCH($A259,Species!$B:$B,0)))</f>
        <v/>
      </c>
      <c r="J259" s="19" t="n">
        <f aca="false">COUNTIFS(Clips!$F:$F,$A259,Clips!$C:$C,"train")</f>
        <v>0</v>
      </c>
      <c r="K259" s="19" t="n">
        <f aca="false">COUNTIF(Clips!$F:$F,$A259)</f>
        <v>0</v>
      </c>
      <c r="L259" s="19" t="str">
        <f aca="false">IF(J259&gt;0,"in train",IF(K259&gt;0,"audio, none in train",IF(C259&gt;=Overview!$B$9,"priority gap","no audio")))</f>
        <v>no audio</v>
      </c>
    </row>
    <row r="260" customFormat="false" ht="15" hidden="false" customHeight="false" outlineLevel="0" collapsed="false">
      <c r="A260" s="19" t="s">
        <v>9799</v>
      </c>
      <c r="B260" s="19" t="s">
        <v>9800</v>
      </c>
      <c r="C260" s="28" t="n">
        <f aca="false">D260/Overview!$B$10</f>
        <v>0.0106325947105075</v>
      </c>
      <c r="D260" s="29" t="n">
        <v>357</v>
      </c>
      <c r="E260" s="19" t="s">
        <v>9649</v>
      </c>
      <c r="F260" s="19" t="n">
        <v>1987</v>
      </c>
      <c r="G260" s="19" t="n">
        <v>2026</v>
      </c>
      <c r="H260" s="19" t="str">
        <f aca="false">IF(COUNTIF(Species!$B:$B,$A260)=0,"",IF(INDEX(Species!$A:$A,MATCH($A260,Species!$B:$B,0))="","",INDEX(Species!$A:$A,MATCH($A260,Species!$B:$B,0))))</f>
        <v/>
      </c>
      <c r="I260" s="19" t="str">
        <f aca="false">IF(COUNTIF(Species!$B:$B,$A260)=0,"",INDEX(Species!$F:$F,MATCH($A260,Species!$B:$B,0)))</f>
        <v/>
      </c>
      <c r="J260" s="19" t="n">
        <f aca="false">COUNTIFS(Clips!$F:$F,$A260,Clips!$C:$C,"train")</f>
        <v>0</v>
      </c>
      <c r="K260" s="19" t="n">
        <f aca="false">COUNTIF(Clips!$F:$F,$A260)</f>
        <v>0</v>
      </c>
      <c r="L260" s="19" t="str">
        <f aca="false">IF(J260&gt;0,"in train",IF(K260&gt;0,"audio, none in train",IF(C260&gt;=Overview!$B$9,"priority gap","no audio")))</f>
        <v>no audio</v>
      </c>
    </row>
    <row r="261" customFormat="false" ht="15" hidden="false" customHeight="false" outlineLevel="0" collapsed="false">
      <c r="A261" s="19" t="s">
        <v>695</v>
      </c>
      <c r="B261" s="19" t="s">
        <v>696</v>
      </c>
      <c r="C261" s="28" t="n">
        <f aca="false">D261/Overview!$B$10</f>
        <v>0.0104836788182035</v>
      </c>
      <c r="D261" s="29" t="n">
        <v>352</v>
      </c>
      <c r="E261" s="19" t="s">
        <v>9649</v>
      </c>
      <c r="F261" s="19" t="n">
        <v>1982</v>
      </c>
      <c r="G261" s="19" t="n">
        <v>2026</v>
      </c>
      <c r="H261" s="19" t="n">
        <f aca="false">IF(COUNTIF(Species!$B:$B,$A261)=0,"",IF(INDEX(Species!$A:$A,MATCH($A261,Species!$B:$B,0))="","",INDEX(Species!$A:$A,MATCH($A261,Species!$B:$B,0))))</f>
        <v>243</v>
      </c>
      <c r="I261" s="19" t="str">
        <f aca="false">IF(COUNTIF(Species!$B:$B,$A261)=0,"",INDEX(Species!$F:$F,MATCH($A261,Species!$B:$B,0)))</f>
        <v>few_shot</v>
      </c>
      <c r="J261" s="19" t="n">
        <f aca="false">COUNTIFS(Clips!$F:$F,$A261,Clips!$C:$C,"train")</f>
        <v>2</v>
      </c>
      <c r="K261" s="19" t="n">
        <f aca="false">COUNTIF(Clips!$F:$F,$A261)</f>
        <v>3</v>
      </c>
      <c r="L261" s="19" t="str">
        <f aca="false">IF(J261&gt;0,"in train",IF(K261&gt;0,"audio, none in train",IF(C261&gt;=Overview!$B$9,"priority gap","no audio")))</f>
        <v>in train</v>
      </c>
    </row>
    <row r="262" customFormat="false" ht="15" hidden="false" customHeight="false" outlineLevel="0" collapsed="false">
      <c r="A262" s="19" t="s">
        <v>9801</v>
      </c>
      <c r="B262" s="19" t="s">
        <v>9802</v>
      </c>
      <c r="C262" s="28" t="n">
        <f aca="false">D262/Overview!$B$10</f>
        <v>0.0104538956397427</v>
      </c>
      <c r="D262" s="29" t="n">
        <v>351</v>
      </c>
      <c r="E262" s="19" t="s">
        <v>9649</v>
      </c>
      <c r="F262" s="19" t="n">
        <v>1982</v>
      </c>
      <c r="G262" s="19" t="n">
        <v>2026</v>
      </c>
      <c r="H262" s="19" t="str">
        <f aca="false">IF(COUNTIF(Species!$B:$B,$A262)=0,"",IF(INDEX(Species!$A:$A,MATCH($A262,Species!$B:$B,0))="","",INDEX(Species!$A:$A,MATCH($A262,Species!$B:$B,0))))</f>
        <v/>
      </c>
      <c r="I262" s="19" t="str">
        <f aca="false">IF(COUNTIF(Species!$B:$B,$A262)=0,"",INDEX(Species!$F:$F,MATCH($A262,Species!$B:$B,0)))</f>
        <v/>
      </c>
      <c r="J262" s="19" t="n">
        <f aca="false">COUNTIFS(Clips!$F:$F,$A262,Clips!$C:$C,"train")</f>
        <v>0</v>
      </c>
      <c r="K262" s="19" t="n">
        <f aca="false">COUNTIF(Clips!$F:$F,$A262)</f>
        <v>0</v>
      </c>
      <c r="L262" s="19" t="str">
        <f aca="false">IF(J262&gt;0,"in train",IF(K262&gt;0,"audio, none in train",IF(C262&gt;=Overview!$B$9,"priority gap","no audio")))</f>
        <v>no audio</v>
      </c>
    </row>
    <row r="263" customFormat="false" ht="15" hidden="false" customHeight="false" outlineLevel="0" collapsed="false">
      <c r="A263" s="19" t="s">
        <v>9803</v>
      </c>
      <c r="B263" s="19" t="s">
        <v>9804</v>
      </c>
      <c r="C263" s="28" t="n">
        <f aca="false">D263/Overview!$B$10</f>
        <v>0.00991779842744818</v>
      </c>
      <c r="D263" s="29" t="n">
        <v>333</v>
      </c>
      <c r="E263" s="19" t="s">
        <v>9805</v>
      </c>
      <c r="F263" s="19" t="n">
        <v>1979</v>
      </c>
      <c r="G263" s="19" t="n">
        <v>2026</v>
      </c>
      <c r="H263" s="19" t="str">
        <f aca="false">IF(COUNTIF(Species!$B:$B,$A263)=0,"",IF(INDEX(Species!$A:$A,MATCH($A263,Species!$B:$B,0))="","",INDEX(Species!$A:$A,MATCH($A263,Species!$B:$B,0))))</f>
        <v/>
      </c>
      <c r="I263" s="19" t="str">
        <f aca="false">IF(COUNTIF(Species!$B:$B,$A263)=0,"",INDEX(Species!$F:$F,MATCH($A263,Species!$B:$B,0)))</f>
        <v/>
      </c>
      <c r="J263" s="19" t="n">
        <f aca="false">COUNTIFS(Clips!$F:$F,$A263,Clips!$C:$C,"train")</f>
        <v>0</v>
      </c>
      <c r="K263" s="19" t="n">
        <f aca="false">COUNTIF(Clips!$F:$F,$A263)</f>
        <v>0</v>
      </c>
      <c r="L263" s="19" t="str">
        <f aca="false">IF(J263&gt;0,"in train",IF(K263&gt;0,"audio, none in train",IF(C263&gt;=Overview!$B$9,"priority gap","no audio")))</f>
        <v>no audio</v>
      </c>
    </row>
    <row r="264" customFormat="false" ht="15" hidden="false" customHeight="false" outlineLevel="0" collapsed="false">
      <c r="A264" s="19" t="s">
        <v>638</v>
      </c>
      <c r="B264" s="19" t="s">
        <v>639</v>
      </c>
      <c r="C264" s="28" t="n">
        <f aca="false">D264/Overview!$B$10</f>
        <v>0.00985823207052657</v>
      </c>
      <c r="D264" s="29" t="n">
        <v>331</v>
      </c>
      <c r="E264" s="19" t="s">
        <v>9649</v>
      </c>
      <c r="F264" s="19" t="n">
        <v>1990</v>
      </c>
      <c r="G264" s="19" t="n">
        <v>2026</v>
      </c>
      <c r="H264" s="19" t="n">
        <f aca="false">IF(COUNTIF(Species!$B:$B,$A264)=0,"",IF(INDEX(Species!$A:$A,MATCH($A264,Species!$B:$B,0))="","",INDEX(Species!$A:$A,MATCH($A264,Species!$B:$B,0))))</f>
        <v>16</v>
      </c>
      <c r="I264" s="19" t="str">
        <f aca="false">IF(COUNTIF(Species!$B:$B,$A264)=0,"",INDEX(Species!$F:$F,MATCH($A264,Species!$B:$B,0)))</f>
        <v>few_shot</v>
      </c>
      <c r="J264" s="19" t="n">
        <f aca="false">COUNTIFS(Clips!$F:$F,$A264,Clips!$C:$C,"train")</f>
        <v>2</v>
      </c>
      <c r="K264" s="19" t="n">
        <f aca="false">COUNTIF(Clips!$F:$F,$A264)</f>
        <v>3</v>
      </c>
      <c r="L264" s="19" t="str">
        <f aca="false">IF(J264&gt;0,"in train",IF(K264&gt;0,"audio, none in train",IF(C264&gt;=Overview!$B$9,"priority gap","no audio")))</f>
        <v>in train</v>
      </c>
    </row>
    <row r="265" customFormat="false" ht="15" hidden="false" customHeight="false" outlineLevel="0" collapsed="false">
      <c r="A265" s="19" t="s">
        <v>686</v>
      </c>
      <c r="B265" s="19" t="s">
        <v>687</v>
      </c>
      <c r="C265" s="28" t="n">
        <f aca="false">D265/Overview!$B$10</f>
        <v>0.00979866571360496</v>
      </c>
      <c r="D265" s="29" t="n">
        <v>329</v>
      </c>
      <c r="E265" s="19" t="s">
        <v>9649</v>
      </c>
      <c r="F265" s="19" t="n">
        <v>1972</v>
      </c>
      <c r="G265" s="19" t="n">
        <v>2026</v>
      </c>
      <c r="H265" s="19" t="n">
        <f aca="false">IF(COUNTIF(Species!$B:$B,$A265)=0,"",IF(INDEX(Species!$A:$A,MATCH($A265,Species!$B:$B,0))="","",INDEX(Species!$A:$A,MATCH($A265,Species!$B:$B,0))))</f>
        <v>221</v>
      </c>
      <c r="I265" s="19" t="str">
        <f aca="false">IF(COUNTIF(Species!$B:$B,$A265)=0,"",INDEX(Species!$F:$F,MATCH($A265,Species!$B:$B,0)))</f>
        <v>few_shot</v>
      </c>
      <c r="J265" s="19" t="n">
        <f aca="false">COUNTIFS(Clips!$F:$F,$A265,Clips!$C:$C,"train")</f>
        <v>2</v>
      </c>
      <c r="K265" s="19" t="n">
        <f aca="false">COUNTIF(Clips!$F:$F,$A265)</f>
        <v>3</v>
      </c>
      <c r="L265" s="19" t="str">
        <f aca="false">IF(J265&gt;0,"in train",IF(K265&gt;0,"audio, none in train",IF(C265&gt;=Overview!$B$9,"priority gap","no audio")))</f>
        <v>in train</v>
      </c>
    </row>
    <row r="266" customFormat="false" ht="15" hidden="false" customHeight="false" outlineLevel="0" collapsed="false">
      <c r="A266" s="19" t="s">
        <v>661</v>
      </c>
      <c r="B266" s="19" t="s">
        <v>662</v>
      </c>
      <c r="C266" s="28" t="n">
        <f aca="false">D266/Overview!$B$10</f>
        <v>0.00905408625208482</v>
      </c>
      <c r="D266" s="29" t="n">
        <v>304</v>
      </c>
      <c r="E266" s="19" t="s">
        <v>9649</v>
      </c>
      <c r="F266" s="19" t="n">
        <v>1977</v>
      </c>
      <c r="G266" s="19" t="n">
        <v>2026</v>
      </c>
      <c r="H266" s="19" t="n">
        <f aca="false">IF(COUNTIF(Species!$B:$B,$A266)=0,"",IF(INDEX(Species!$A:$A,MATCH($A266,Species!$B:$B,0))="","",INDEX(Species!$A:$A,MATCH($A266,Species!$B:$B,0))))</f>
        <v>134</v>
      </c>
      <c r="I266" s="19" t="str">
        <f aca="false">IF(COUNTIF(Species!$B:$B,$A266)=0,"",INDEX(Species!$F:$F,MATCH($A266,Species!$B:$B,0)))</f>
        <v>few_shot</v>
      </c>
      <c r="J266" s="19" t="n">
        <f aca="false">COUNTIFS(Clips!$F:$F,$A266,Clips!$C:$C,"train")</f>
        <v>2</v>
      </c>
      <c r="K266" s="19" t="n">
        <f aca="false">COUNTIF(Clips!$F:$F,$A266)</f>
        <v>4</v>
      </c>
      <c r="L266" s="19" t="str">
        <f aca="false">IF(J266&gt;0,"in train",IF(K266&gt;0,"audio, none in train",IF(C266&gt;=Overview!$B$9,"priority gap","no audio")))</f>
        <v>in train</v>
      </c>
    </row>
    <row r="267" customFormat="false" ht="15" hidden="false" customHeight="false" outlineLevel="0" collapsed="false">
      <c r="A267" s="19" t="s">
        <v>641</v>
      </c>
      <c r="B267" s="19" t="s">
        <v>642</v>
      </c>
      <c r="C267" s="28" t="n">
        <f aca="false">D267/Overview!$B$10</f>
        <v>0.00881582082439838</v>
      </c>
      <c r="D267" s="29" t="n">
        <v>296</v>
      </c>
      <c r="E267" s="19" t="s">
        <v>9649</v>
      </c>
      <c r="F267" s="19" t="n">
        <v>1979</v>
      </c>
      <c r="G267" s="19" t="n">
        <v>2026</v>
      </c>
      <c r="H267" s="19" t="n">
        <f aca="false">IF(COUNTIF(Species!$B:$B,$A267)=0,"",IF(INDEX(Species!$A:$A,MATCH($A267,Species!$B:$B,0))="","",INDEX(Species!$A:$A,MATCH($A267,Species!$B:$B,0))))</f>
        <v>42</v>
      </c>
      <c r="I267" s="19" t="str">
        <f aca="false">IF(COUNTIF(Species!$B:$B,$A267)=0,"",INDEX(Species!$F:$F,MATCH($A267,Species!$B:$B,0)))</f>
        <v>singleton</v>
      </c>
      <c r="J267" s="19" t="n">
        <f aca="false">COUNTIFS(Clips!$F:$F,$A267,Clips!$C:$C,"train")</f>
        <v>2</v>
      </c>
      <c r="K267" s="19" t="n">
        <f aca="false">COUNTIF(Clips!$F:$F,$A267)</f>
        <v>3</v>
      </c>
      <c r="L267" s="19" t="str">
        <f aca="false">IF(J267&gt;0,"in train",IF(K267&gt;0,"audio, none in train",IF(C267&gt;=Overview!$B$9,"priority gap","no audio")))</f>
        <v>in train</v>
      </c>
    </row>
    <row r="268" customFormat="false" ht="15" hidden="false" customHeight="false" outlineLevel="0" collapsed="false">
      <c r="A268" s="19" t="s">
        <v>9806</v>
      </c>
      <c r="B268" s="19" t="s">
        <v>9807</v>
      </c>
      <c r="C268" s="28" t="n">
        <f aca="false">D268/Overview!$B$10</f>
        <v>0.00878603764593757</v>
      </c>
      <c r="D268" s="29" t="n">
        <v>295</v>
      </c>
      <c r="E268" s="19" t="s">
        <v>9649</v>
      </c>
      <c r="F268" s="19" t="n">
        <v>1979</v>
      </c>
      <c r="G268" s="19" t="n">
        <v>2026</v>
      </c>
      <c r="H268" s="19" t="str">
        <f aca="false">IF(COUNTIF(Species!$B:$B,$A268)=0,"",IF(INDEX(Species!$A:$A,MATCH($A268,Species!$B:$B,0))="","",INDEX(Species!$A:$A,MATCH($A268,Species!$B:$B,0))))</f>
        <v/>
      </c>
      <c r="I268" s="19" t="str">
        <f aca="false">IF(COUNTIF(Species!$B:$B,$A268)=0,"",INDEX(Species!$F:$F,MATCH($A268,Species!$B:$B,0)))</f>
        <v/>
      </c>
      <c r="J268" s="19" t="n">
        <f aca="false">COUNTIFS(Clips!$F:$F,$A268,Clips!$C:$C,"train")</f>
        <v>0</v>
      </c>
      <c r="K268" s="19" t="n">
        <f aca="false">COUNTIF(Clips!$F:$F,$A268)</f>
        <v>0</v>
      </c>
      <c r="L268" s="19" t="str">
        <f aca="false">IF(J268&gt;0,"in train",IF(K268&gt;0,"audio, none in train",IF(C268&gt;=Overview!$B$9,"priority gap","no audio")))</f>
        <v>no audio</v>
      </c>
    </row>
    <row r="269" customFormat="false" ht="15" hidden="false" customHeight="false" outlineLevel="0" collapsed="false">
      <c r="A269" s="19" t="s">
        <v>9808</v>
      </c>
      <c r="B269" s="19" t="s">
        <v>9809</v>
      </c>
      <c r="C269" s="28" t="n">
        <f aca="false">D269/Overview!$B$10</f>
        <v>0.00854777221825113</v>
      </c>
      <c r="D269" s="29" t="n">
        <v>287</v>
      </c>
      <c r="E269" s="19" t="s">
        <v>9650</v>
      </c>
      <c r="F269" s="19" t="n">
        <v>1984</v>
      </c>
      <c r="G269" s="19" t="n">
        <v>2026</v>
      </c>
      <c r="H269" s="19" t="str">
        <f aca="false">IF(COUNTIF(Species!$B:$B,$A269)=0,"",IF(INDEX(Species!$A:$A,MATCH($A269,Species!$B:$B,0))="","",INDEX(Species!$A:$A,MATCH($A269,Species!$B:$B,0))))</f>
        <v/>
      </c>
      <c r="I269" s="19" t="str">
        <f aca="false">IF(COUNTIF(Species!$B:$B,$A269)=0,"",INDEX(Species!$F:$F,MATCH($A269,Species!$B:$B,0)))</f>
        <v/>
      </c>
      <c r="J269" s="19" t="n">
        <f aca="false">COUNTIFS(Clips!$F:$F,$A269,Clips!$C:$C,"train")</f>
        <v>0</v>
      </c>
      <c r="K269" s="19" t="n">
        <f aca="false">COUNTIF(Clips!$F:$F,$A269)</f>
        <v>0</v>
      </c>
      <c r="L269" s="19" t="str">
        <f aca="false">IF(J269&gt;0,"in train",IF(K269&gt;0,"audio, none in train",IF(C269&gt;=Overview!$B$9,"priority gap","no audio")))</f>
        <v>no audio</v>
      </c>
    </row>
    <row r="270" customFormat="false" ht="15" hidden="false" customHeight="false" outlineLevel="0" collapsed="false">
      <c r="A270" s="19" t="s">
        <v>9810</v>
      </c>
      <c r="B270" s="19" t="s">
        <v>9811</v>
      </c>
      <c r="C270" s="28" t="n">
        <f aca="false">D270/Overview!$B$10</f>
        <v>0.00854777221825113</v>
      </c>
      <c r="D270" s="29" t="n">
        <v>287</v>
      </c>
      <c r="E270" s="19" t="s">
        <v>9649</v>
      </c>
      <c r="F270" s="19" t="n">
        <v>1987</v>
      </c>
      <c r="G270" s="19" t="n">
        <v>2026</v>
      </c>
      <c r="H270" s="19" t="str">
        <f aca="false">IF(COUNTIF(Species!$B:$B,$A270)=0,"",IF(INDEX(Species!$A:$A,MATCH($A270,Species!$B:$B,0))="","",INDEX(Species!$A:$A,MATCH($A270,Species!$B:$B,0))))</f>
        <v/>
      </c>
      <c r="I270" s="19" t="str">
        <f aca="false">IF(COUNTIF(Species!$B:$B,$A270)=0,"",INDEX(Species!$F:$F,MATCH($A270,Species!$B:$B,0)))</f>
        <v/>
      </c>
      <c r="J270" s="19" t="n">
        <f aca="false">COUNTIFS(Clips!$F:$F,$A270,Clips!$C:$C,"train")</f>
        <v>0</v>
      </c>
      <c r="K270" s="19" t="n">
        <f aca="false">COUNTIF(Clips!$F:$F,$A270)</f>
        <v>0</v>
      </c>
      <c r="L270" s="19" t="str">
        <f aca="false">IF(J270&gt;0,"in train",IF(K270&gt;0,"audio, none in train",IF(C270&gt;=Overview!$B$9,"priority gap","no audio")))</f>
        <v>no audio</v>
      </c>
    </row>
    <row r="271" customFormat="false" ht="15" hidden="false" customHeight="false" outlineLevel="0" collapsed="false">
      <c r="A271" s="19" t="s">
        <v>9812</v>
      </c>
      <c r="B271" s="19" t="s">
        <v>9813</v>
      </c>
      <c r="C271" s="28" t="n">
        <f aca="false">D271/Overview!$B$10</f>
        <v>0.00822015725518227</v>
      </c>
      <c r="D271" s="29" t="n">
        <v>276</v>
      </c>
      <c r="E271" s="19" t="s">
        <v>9687</v>
      </c>
      <c r="F271" s="19" t="n">
        <v>1990</v>
      </c>
      <c r="G271" s="19" t="n">
        <v>2026</v>
      </c>
      <c r="H271" s="19" t="str">
        <f aca="false">IF(COUNTIF(Species!$B:$B,$A271)=0,"",IF(INDEX(Species!$A:$A,MATCH($A271,Species!$B:$B,0))="","",INDEX(Species!$A:$A,MATCH($A271,Species!$B:$B,0))))</f>
        <v/>
      </c>
      <c r="I271" s="19" t="str">
        <f aca="false">IF(COUNTIF(Species!$B:$B,$A271)=0,"",INDEX(Species!$F:$F,MATCH($A271,Species!$B:$B,0)))</f>
        <v/>
      </c>
      <c r="J271" s="19" t="n">
        <f aca="false">COUNTIFS(Clips!$F:$F,$A271,Clips!$C:$C,"train")</f>
        <v>0</v>
      </c>
      <c r="K271" s="19" t="n">
        <f aca="false">COUNTIF(Clips!$F:$F,$A271)</f>
        <v>0</v>
      </c>
      <c r="L271" s="19" t="str">
        <f aca="false">IF(J271&gt;0,"in train",IF(K271&gt;0,"audio, none in train",IF(C271&gt;=Overview!$B$9,"priority gap","no audio")))</f>
        <v>no audio</v>
      </c>
    </row>
    <row r="272" customFormat="false" ht="15" hidden="false" customHeight="false" outlineLevel="0" collapsed="false">
      <c r="A272" s="19" t="s">
        <v>9814</v>
      </c>
      <c r="B272" s="19" t="s">
        <v>9815</v>
      </c>
      <c r="C272" s="28" t="n">
        <f aca="false">D272/Overview!$B$10</f>
        <v>0.00819037407672147</v>
      </c>
      <c r="D272" s="29" t="n">
        <v>275</v>
      </c>
      <c r="E272" s="19" t="s">
        <v>9649</v>
      </c>
      <c r="F272" s="19" t="n">
        <v>1990</v>
      </c>
      <c r="G272" s="19" t="n">
        <v>2026</v>
      </c>
      <c r="H272" s="19" t="str">
        <f aca="false">IF(COUNTIF(Species!$B:$B,$A272)=0,"",IF(INDEX(Species!$A:$A,MATCH($A272,Species!$B:$B,0))="","",INDEX(Species!$A:$A,MATCH($A272,Species!$B:$B,0))))</f>
        <v/>
      </c>
      <c r="I272" s="19" t="str">
        <f aca="false">IF(COUNTIF(Species!$B:$B,$A272)=0,"",INDEX(Species!$F:$F,MATCH($A272,Species!$B:$B,0)))</f>
        <v/>
      </c>
      <c r="J272" s="19" t="n">
        <f aca="false">COUNTIFS(Clips!$F:$F,$A272,Clips!$C:$C,"train")</f>
        <v>0</v>
      </c>
      <c r="K272" s="19" t="n">
        <f aca="false">COUNTIF(Clips!$F:$F,$A272)</f>
        <v>0</v>
      </c>
      <c r="L272" s="19" t="str">
        <f aca="false">IF(J272&gt;0,"in train",IF(K272&gt;0,"audio, none in train",IF(C272&gt;=Overview!$B$9,"priority gap","no audio")))</f>
        <v>no audio</v>
      </c>
    </row>
    <row r="273" customFormat="false" ht="15" hidden="false" customHeight="false" outlineLevel="0" collapsed="false">
      <c r="A273" s="19" t="s">
        <v>583</v>
      </c>
      <c r="B273" s="19" t="s">
        <v>584</v>
      </c>
      <c r="C273" s="28" t="n">
        <f aca="false">D273/Overview!$B$10</f>
        <v>0.00786275911365261</v>
      </c>
      <c r="D273" s="29" t="n">
        <v>264</v>
      </c>
      <c r="E273" s="19" t="s">
        <v>9649</v>
      </c>
      <c r="F273" s="19" t="n">
        <v>1977</v>
      </c>
      <c r="G273" s="19" t="n">
        <v>2026</v>
      </c>
      <c r="H273" s="19" t="n">
        <f aca="false">IF(COUNTIF(Species!$B:$B,$A273)=0,"",IF(INDEX(Species!$A:$A,MATCH($A273,Species!$B:$B,0))="","",INDEX(Species!$A:$A,MATCH($A273,Species!$B:$B,0))))</f>
        <v>197</v>
      </c>
      <c r="I273" s="19" t="str">
        <f aca="false">IF(COUNTIF(Species!$B:$B,$A273)=0,"",INDEX(Species!$F:$F,MATCH($A273,Species!$B:$B,0)))</f>
        <v>few_shot</v>
      </c>
      <c r="J273" s="19" t="n">
        <f aca="false">COUNTIFS(Clips!$F:$F,$A273,Clips!$C:$C,"train")</f>
        <v>4</v>
      </c>
      <c r="K273" s="19" t="n">
        <f aca="false">COUNTIF(Clips!$F:$F,$A273)</f>
        <v>5</v>
      </c>
      <c r="L273" s="19" t="str">
        <f aca="false">IF(J273&gt;0,"in train",IF(K273&gt;0,"audio, none in train",IF(C273&gt;=Overview!$B$9,"priority gap","no audio")))</f>
        <v>in train</v>
      </c>
    </row>
    <row r="274" customFormat="false" ht="15" hidden="false" customHeight="false" outlineLevel="0" collapsed="false">
      <c r="A274" s="19" t="s">
        <v>9816</v>
      </c>
      <c r="B274" s="19" t="s">
        <v>9817</v>
      </c>
      <c r="C274" s="28" t="n">
        <f aca="false">D274/Overview!$B$10</f>
        <v>0.00777340957827019</v>
      </c>
      <c r="D274" s="29" t="n">
        <v>261</v>
      </c>
      <c r="E274" s="19" t="s">
        <v>9818</v>
      </c>
      <c r="F274" s="19" t="n">
        <v>1984</v>
      </c>
      <c r="G274" s="19" t="n">
        <v>2026</v>
      </c>
      <c r="H274" s="19" t="str">
        <f aca="false">IF(COUNTIF(Species!$B:$B,$A274)=0,"",IF(INDEX(Species!$A:$A,MATCH($A274,Species!$B:$B,0))="","",INDEX(Species!$A:$A,MATCH($A274,Species!$B:$B,0))))</f>
        <v/>
      </c>
      <c r="I274" s="19" t="str">
        <f aca="false">IF(COUNTIF(Species!$B:$B,$A274)=0,"",INDEX(Species!$F:$F,MATCH($A274,Species!$B:$B,0)))</f>
        <v/>
      </c>
      <c r="J274" s="19" t="n">
        <f aca="false">COUNTIFS(Clips!$F:$F,$A274,Clips!$C:$C,"train")</f>
        <v>0</v>
      </c>
      <c r="K274" s="19" t="n">
        <f aca="false">COUNTIF(Clips!$F:$F,$A274)</f>
        <v>0</v>
      </c>
      <c r="L274" s="19" t="str">
        <f aca="false">IF(J274&gt;0,"in train",IF(K274&gt;0,"audio, none in train",IF(C274&gt;=Overview!$B$9,"priority gap","no audio")))</f>
        <v>no audio</v>
      </c>
    </row>
    <row r="275" customFormat="false" ht="15" hidden="false" customHeight="false" outlineLevel="0" collapsed="false">
      <c r="A275" s="19" t="s">
        <v>9819</v>
      </c>
      <c r="B275" s="19" t="s">
        <v>9820</v>
      </c>
      <c r="C275" s="28" t="n">
        <f aca="false">D275/Overview!$B$10</f>
        <v>0.00753514415058375</v>
      </c>
      <c r="D275" s="29" t="n">
        <v>253</v>
      </c>
      <c r="E275" s="19" t="s">
        <v>9649</v>
      </c>
      <c r="F275" s="19" t="n">
        <v>1999</v>
      </c>
      <c r="G275" s="19" t="n">
        <v>2026</v>
      </c>
      <c r="H275" s="19" t="str">
        <f aca="false">IF(COUNTIF(Species!$B:$B,$A275)=0,"",IF(INDEX(Species!$A:$A,MATCH($A275,Species!$B:$B,0))="","",INDEX(Species!$A:$A,MATCH($A275,Species!$B:$B,0))))</f>
        <v/>
      </c>
      <c r="I275" s="19" t="str">
        <f aca="false">IF(COUNTIF(Species!$B:$B,$A275)=0,"",INDEX(Species!$F:$F,MATCH($A275,Species!$B:$B,0)))</f>
        <v/>
      </c>
      <c r="J275" s="19" t="n">
        <f aca="false">COUNTIFS(Clips!$F:$F,$A275,Clips!$C:$C,"train")</f>
        <v>0</v>
      </c>
      <c r="K275" s="19" t="n">
        <f aca="false">COUNTIF(Clips!$F:$F,$A275)</f>
        <v>0</v>
      </c>
      <c r="L275" s="19" t="str">
        <f aca="false">IF(J275&gt;0,"in train",IF(K275&gt;0,"audio, none in train",IF(C275&gt;=Overview!$B$9,"priority gap","no audio")))</f>
        <v>no audio</v>
      </c>
    </row>
    <row r="276" customFormat="false" ht="15" hidden="false" customHeight="false" outlineLevel="0" collapsed="false">
      <c r="A276" s="19" t="s">
        <v>9821</v>
      </c>
      <c r="B276" s="19" t="s">
        <v>9822</v>
      </c>
      <c r="C276" s="28" t="n">
        <f aca="false">D276/Overview!$B$10</f>
        <v>0.00747557779366214</v>
      </c>
      <c r="D276" s="29" t="n">
        <v>251</v>
      </c>
      <c r="E276" s="19" t="s">
        <v>9649</v>
      </c>
      <c r="F276" s="19" t="n">
        <v>1989</v>
      </c>
      <c r="G276" s="19" t="n">
        <v>2026</v>
      </c>
      <c r="H276" s="19" t="str">
        <f aca="false">IF(COUNTIF(Species!$B:$B,$A276)=0,"",IF(INDEX(Species!$A:$A,MATCH($A276,Species!$B:$B,0))="","",INDEX(Species!$A:$A,MATCH($A276,Species!$B:$B,0))))</f>
        <v/>
      </c>
      <c r="I276" s="19" t="str">
        <f aca="false">IF(COUNTIF(Species!$B:$B,$A276)=0,"",INDEX(Species!$F:$F,MATCH($A276,Species!$B:$B,0)))</f>
        <v/>
      </c>
      <c r="J276" s="19" t="n">
        <f aca="false">COUNTIFS(Clips!$F:$F,$A276,Clips!$C:$C,"train")</f>
        <v>0</v>
      </c>
      <c r="K276" s="19" t="n">
        <f aca="false">COUNTIF(Clips!$F:$F,$A276)</f>
        <v>0</v>
      </c>
      <c r="L276" s="19" t="str">
        <f aca="false">IF(J276&gt;0,"in train",IF(K276&gt;0,"audio, none in train",IF(C276&gt;=Overview!$B$9,"priority gap","no audio")))</f>
        <v>no audio</v>
      </c>
    </row>
    <row r="277" customFormat="false" ht="15" hidden="false" customHeight="false" outlineLevel="0" collapsed="false">
      <c r="A277" s="19" t="s">
        <v>614</v>
      </c>
      <c r="B277" s="19" t="s">
        <v>615</v>
      </c>
      <c r="C277" s="28" t="n">
        <f aca="false">D277/Overview!$B$10</f>
        <v>0.00735644507981892</v>
      </c>
      <c r="D277" s="29" t="n">
        <v>247</v>
      </c>
      <c r="E277" s="19" t="s">
        <v>9649</v>
      </c>
      <c r="F277" s="19" t="n">
        <v>1983</v>
      </c>
      <c r="G277" s="19" t="n">
        <v>2026</v>
      </c>
      <c r="H277" s="19" t="n">
        <f aca="false">IF(COUNTIF(Species!$B:$B,$A277)=0,"",IF(INDEX(Species!$A:$A,MATCH($A277,Species!$B:$B,0))="","",INDEX(Species!$A:$A,MATCH($A277,Species!$B:$B,0))))</f>
        <v>131</v>
      </c>
      <c r="I277" s="19" t="str">
        <f aca="false">IF(COUNTIF(Species!$B:$B,$A277)=0,"",INDEX(Species!$F:$F,MATCH($A277,Species!$B:$B,0)))</f>
        <v>few_shot</v>
      </c>
      <c r="J277" s="19" t="n">
        <f aca="false">COUNTIFS(Clips!$F:$F,$A277,Clips!$C:$C,"train")</f>
        <v>3</v>
      </c>
      <c r="K277" s="19" t="n">
        <f aca="false">COUNTIF(Clips!$F:$F,$A277)</f>
        <v>4</v>
      </c>
      <c r="L277" s="19" t="str">
        <f aca="false">IF(J277&gt;0,"in train",IF(K277&gt;0,"audio, none in train",IF(C277&gt;=Overview!$B$9,"priority gap","no audio")))</f>
        <v>in train</v>
      </c>
    </row>
    <row r="278" customFormat="false" ht="15" hidden="false" customHeight="false" outlineLevel="0" collapsed="false">
      <c r="A278" s="19" t="s">
        <v>9823</v>
      </c>
      <c r="B278" s="19" t="s">
        <v>9824</v>
      </c>
      <c r="C278" s="28" t="n">
        <f aca="false">D278/Overview!$B$10</f>
        <v>0.00693948058136764</v>
      </c>
      <c r="D278" s="29" t="n">
        <v>233</v>
      </c>
      <c r="E278" s="19" t="s">
        <v>9649</v>
      </c>
      <c r="F278" s="19" t="n">
        <v>1992</v>
      </c>
      <c r="G278" s="19" t="n">
        <v>2026</v>
      </c>
      <c r="H278" s="19" t="str">
        <f aca="false">IF(COUNTIF(Species!$B:$B,$A278)=0,"",IF(INDEX(Species!$A:$A,MATCH($A278,Species!$B:$B,0))="","",INDEX(Species!$A:$A,MATCH($A278,Species!$B:$B,0))))</f>
        <v/>
      </c>
      <c r="I278" s="19" t="str">
        <f aca="false">IF(COUNTIF(Species!$B:$B,$A278)=0,"",INDEX(Species!$F:$F,MATCH($A278,Species!$B:$B,0)))</f>
        <v/>
      </c>
      <c r="J278" s="19" t="n">
        <f aca="false">COUNTIFS(Clips!$F:$F,$A278,Clips!$C:$C,"train")</f>
        <v>0</v>
      </c>
      <c r="K278" s="19" t="n">
        <f aca="false">COUNTIF(Clips!$F:$F,$A278)</f>
        <v>0</v>
      </c>
      <c r="L278" s="19" t="str">
        <f aca="false">IF(J278&gt;0,"in train",IF(K278&gt;0,"audio, none in train",IF(C278&gt;=Overview!$B$9,"priority gap","no audio")))</f>
        <v>no audio</v>
      </c>
    </row>
    <row r="279" customFormat="false" ht="15" hidden="false" customHeight="false" outlineLevel="0" collapsed="false">
      <c r="A279" s="19" t="s">
        <v>9825</v>
      </c>
      <c r="B279" s="19" t="s">
        <v>9826</v>
      </c>
      <c r="C279" s="28" t="n">
        <f aca="false">D279/Overview!$B$10</f>
        <v>0.00685013104598523</v>
      </c>
      <c r="D279" s="29" t="n">
        <v>230</v>
      </c>
      <c r="E279" s="19" t="s">
        <v>9649</v>
      </c>
      <c r="F279" s="19" t="n">
        <v>1992</v>
      </c>
      <c r="G279" s="19" t="n">
        <v>2026</v>
      </c>
      <c r="H279" s="19" t="str">
        <f aca="false">IF(COUNTIF(Species!$B:$B,$A279)=0,"",IF(INDEX(Species!$A:$A,MATCH($A279,Species!$B:$B,0))="","",INDEX(Species!$A:$A,MATCH($A279,Species!$B:$B,0))))</f>
        <v/>
      </c>
      <c r="I279" s="19" t="str">
        <f aca="false">IF(COUNTIF(Species!$B:$B,$A279)=0,"",INDEX(Species!$F:$F,MATCH($A279,Species!$B:$B,0)))</f>
        <v/>
      </c>
      <c r="J279" s="19" t="n">
        <f aca="false">COUNTIFS(Clips!$F:$F,$A279,Clips!$C:$C,"train")</f>
        <v>0</v>
      </c>
      <c r="K279" s="19" t="n">
        <f aca="false">COUNTIF(Clips!$F:$F,$A279)</f>
        <v>0</v>
      </c>
      <c r="L279" s="19" t="str">
        <f aca="false">IF(J279&gt;0,"in train",IF(K279&gt;0,"audio, none in train",IF(C279&gt;=Overview!$B$9,"priority gap","no audio")))</f>
        <v>no audio</v>
      </c>
    </row>
    <row r="280" customFormat="false" ht="15" hidden="false" customHeight="false" outlineLevel="0" collapsed="false">
      <c r="A280" s="19" t="s">
        <v>892</v>
      </c>
      <c r="B280" s="19" t="s">
        <v>893</v>
      </c>
      <c r="C280" s="28" t="n">
        <f aca="false">D280/Overview!$B$10</f>
        <v>0.00682034786752442</v>
      </c>
      <c r="D280" s="29" t="n">
        <v>229</v>
      </c>
      <c r="E280" s="19" t="s">
        <v>9687</v>
      </c>
      <c r="F280" s="19" t="n">
        <v>1991</v>
      </c>
      <c r="G280" s="19" t="n">
        <v>2026</v>
      </c>
      <c r="H280" s="19" t="n">
        <f aca="false">IF(COUNTIF(Species!$B:$B,$A280)=0,"",IF(INDEX(Species!$A:$A,MATCH($A280,Species!$B:$B,0))="","",INDEX(Species!$A:$A,MATCH($A280,Species!$B:$B,0))))</f>
        <v>231</v>
      </c>
      <c r="I280" s="19" t="str">
        <f aca="false">IF(COUNTIF(Species!$B:$B,$A280)=0,"",INDEX(Species!$F:$F,MATCH($A280,Species!$B:$B,0)))</f>
        <v>offsite</v>
      </c>
      <c r="J280" s="19" t="n">
        <f aca="false">COUNTIFS(Clips!$F:$F,$A280,Clips!$C:$C,"train")</f>
        <v>1</v>
      </c>
      <c r="K280" s="19" t="n">
        <f aca="false">COUNTIF(Clips!$F:$F,$A280)</f>
        <v>1</v>
      </c>
      <c r="L280" s="19" t="str">
        <f aca="false">IF(J280&gt;0,"in train",IF(K280&gt;0,"audio, none in train",IF(C280&gt;=Overview!$B$9,"priority gap","no audio")))</f>
        <v>in train</v>
      </c>
    </row>
    <row r="281" customFormat="false" ht="15" hidden="false" customHeight="false" outlineLevel="0" collapsed="false">
      <c r="A281" s="19" t="s">
        <v>9827</v>
      </c>
      <c r="B281" s="19" t="s">
        <v>9828</v>
      </c>
      <c r="C281" s="28" t="n">
        <f aca="false">D281/Overview!$B$10</f>
        <v>0.00676078151060281</v>
      </c>
      <c r="D281" s="29" t="n">
        <v>227</v>
      </c>
      <c r="E281" s="19" t="s">
        <v>9649</v>
      </c>
      <c r="F281" s="19" t="n">
        <v>1987</v>
      </c>
      <c r="G281" s="19" t="n">
        <v>2026</v>
      </c>
      <c r="H281" s="19" t="str">
        <f aca="false">IF(COUNTIF(Species!$B:$B,$A281)=0,"",IF(INDEX(Species!$A:$A,MATCH($A281,Species!$B:$B,0))="","",INDEX(Species!$A:$A,MATCH($A281,Species!$B:$B,0))))</f>
        <v/>
      </c>
      <c r="I281" s="19" t="str">
        <f aca="false">IF(COUNTIF(Species!$B:$B,$A281)=0,"",INDEX(Species!$F:$F,MATCH($A281,Species!$B:$B,0)))</f>
        <v/>
      </c>
      <c r="J281" s="19" t="n">
        <f aca="false">COUNTIFS(Clips!$F:$F,$A281,Clips!$C:$C,"train")</f>
        <v>0</v>
      </c>
      <c r="K281" s="19" t="n">
        <f aca="false">COUNTIF(Clips!$F:$F,$A281)</f>
        <v>0</v>
      </c>
      <c r="L281" s="19" t="str">
        <f aca="false">IF(J281&gt;0,"in train",IF(K281&gt;0,"audio, none in train",IF(C281&gt;=Overview!$B$9,"priority gap","no audio")))</f>
        <v>no audio</v>
      </c>
    </row>
    <row r="282" customFormat="false" ht="15" hidden="false" customHeight="false" outlineLevel="0" collapsed="false">
      <c r="A282" s="19" t="s">
        <v>755</v>
      </c>
      <c r="B282" s="19" t="s">
        <v>756</v>
      </c>
      <c r="C282" s="28" t="n">
        <f aca="false">D282/Overview!$B$10</f>
        <v>0.00661186561829879</v>
      </c>
      <c r="D282" s="29" t="n">
        <v>222</v>
      </c>
      <c r="E282" s="19" t="s">
        <v>9649</v>
      </c>
      <c r="F282" s="19" t="n">
        <v>1971</v>
      </c>
      <c r="G282" s="19" t="n">
        <v>2026</v>
      </c>
      <c r="H282" s="19" t="n">
        <f aca="false">IF(COUNTIF(Species!$B:$B,$A282)=0,"",IF(INDEX(Species!$A:$A,MATCH($A282,Species!$B:$B,0))="","",INDEX(Species!$A:$A,MATCH($A282,Species!$B:$B,0))))</f>
        <v>2</v>
      </c>
      <c r="I282" s="19" t="str">
        <f aca="false">IF(COUNTIF(Species!$B:$B,$A282)=0,"",INDEX(Species!$F:$F,MATCH($A282,Species!$B:$B,0)))</f>
        <v>singleton</v>
      </c>
      <c r="J282" s="19" t="n">
        <f aca="false">COUNTIFS(Clips!$F:$F,$A282,Clips!$C:$C,"train")</f>
        <v>0</v>
      </c>
      <c r="K282" s="19" t="n">
        <f aca="false">COUNTIF(Clips!$F:$F,$A282)</f>
        <v>1</v>
      </c>
      <c r="L282" s="19" t="str">
        <f aca="false">IF(J282&gt;0,"in train",IF(K282&gt;0,"audio, none in train",IF(C282&gt;=Overview!$B$9,"priority gap","no audio")))</f>
        <v>audio, none in train</v>
      </c>
    </row>
    <row r="283" customFormat="false" ht="15" hidden="false" customHeight="false" outlineLevel="0" collapsed="false">
      <c r="A283" s="19" t="s">
        <v>898</v>
      </c>
      <c r="B283" s="19" t="s">
        <v>899</v>
      </c>
      <c r="C283" s="28" t="n">
        <f aca="false">D283/Overview!$B$10</f>
        <v>0.00652251608291637</v>
      </c>
      <c r="D283" s="29" t="n">
        <v>219</v>
      </c>
      <c r="E283" s="19" t="s">
        <v>9649</v>
      </c>
      <c r="F283" s="19" t="n">
        <v>1979</v>
      </c>
      <c r="G283" s="19" t="n">
        <v>2026</v>
      </c>
      <c r="H283" s="19" t="n">
        <f aca="false">IF(COUNTIF(Species!$B:$B,$A283)=0,"",IF(INDEX(Species!$A:$A,MATCH($A283,Species!$B:$B,0))="","",INDEX(Species!$A:$A,MATCH($A283,Species!$B:$B,0))))</f>
        <v>241</v>
      </c>
      <c r="I283" s="19" t="str">
        <f aca="false">IF(COUNTIF(Species!$B:$B,$A283)=0,"",INDEX(Species!$F:$F,MATCH($A283,Species!$B:$B,0)))</f>
        <v>offsite</v>
      </c>
      <c r="J283" s="19" t="n">
        <f aca="false">COUNTIFS(Clips!$F:$F,$A283,Clips!$C:$C,"train")</f>
        <v>1</v>
      </c>
      <c r="K283" s="19" t="n">
        <f aca="false">COUNTIF(Clips!$F:$F,$A283)</f>
        <v>1</v>
      </c>
      <c r="L283" s="19" t="str">
        <f aca="false">IF(J283&gt;0,"in train",IF(K283&gt;0,"audio, none in train",IF(C283&gt;=Overview!$B$9,"priority gap","no audio")))</f>
        <v>in train</v>
      </c>
    </row>
    <row r="284" customFormat="false" ht="15" hidden="false" customHeight="false" outlineLevel="0" collapsed="false">
      <c r="A284" s="19" t="s">
        <v>9829</v>
      </c>
      <c r="B284" s="19" t="s">
        <v>9830</v>
      </c>
      <c r="C284" s="28" t="n">
        <f aca="false">D284/Overview!$B$10</f>
        <v>0.00643316654753395</v>
      </c>
      <c r="D284" s="29" t="n">
        <v>216</v>
      </c>
      <c r="E284" s="19" t="s">
        <v>9650</v>
      </c>
      <c r="F284" s="19" t="n">
        <v>1977</v>
      </c>
      <c r="G284" s="19" t="n">
        <v>2026</v>
      </c>
      <c r="H284" s="19" t="str">
        <f aca="false">IF(COUNTIF(Species!$B:$B,$A284)=0,"",IF(INDEX(Species!$A:$A,MATCH($A284,Species!$B:$B,0))="","",INDEX(Species!$A:$A,MATCH($A284,Species!$B:$B,0))))</f>
        <v/>
      </c>
      <c r="I284" s="19" t="str">
        <f aca="false">IF(COUNTIF(Species!$B:$B,$A284)=0,"",INDEX(Species!$F:$F,MATCH($A284,Species!$B:$B,0)))</f>
        <v/>
      </c>
      <c r="J284" s="19" t="n">
        <f aca="false">COUNTIFS(Clips!$F:$F,$A284,Clips!$C:$C,"train")</f>
        <v>0</v>
      </c>
      <c r="K284" s="19" t="n">
        <f aca="false">COUNTIF(Clips!$F:$F,$A284)</f>
        <v>0</v>
      </c>
      <c r="L284" s="19" t="str">
        <f aca="false">IF(J284&gt;0,"in train",IF(K284&gt;0,"audio, none in train",IF(C284&gt;=Overview!$B$9,"priority gap","no audio")))</f>
        <v>no audio</v>
      </c>
    </row>
    <row r="285" customFormat="false" ht="15" hidden="false" customHeight="false" outlineLevel="0" collapsed="false">
      <c r="A285" s="19" t="s">
        <v>9831</v>
      </c>
      <c r="B285" s="19" t="s">
        <v>9832</v>
      </c>
      <c r="C285" s="28" t="n">
        <f aca="false">D285/Overview!$B$10</f>
        <v>0.00637360019061234</v>
      </c>
      <c r="D285" s="29" t="n">
        <v>214</v>
      </c>
      <c r="E285" s="19" t="s">
        <v>9660</v>
      </c>
      <c r="F285" s="19" t="n">
        <v>1969</v>
      </c>
      <c r="G285" s="19" t="n">
        <v>2026</v>
      </c>
      <c r="H285" s="19" t="str">
        <f aca="false">IF(COUNTIF(Species!$B:$B,$A285)=0,"",IF(INDEX(Species!$A:$A,MATCH($A285,Species!$B:$B,0))="","",INDEX(Species!$A:$A,MATCH($A285,Species!$B:$B,0))))</f>
        <v/>
      </c>
      <c r="I285" s="19" t="str">
        <f aca="false">IF(COUNTIF(Species!$B:$B,$A285)=0,"",INDEX(Species!$F:$F,MATCH($A285,Species!$B:$B,0)))</f>
        <v/>
      </c>
      <c r="J285" s="19" t="n">
        <f aca="false">COUNTIFS(Clips!$F:$F,$A285,Clips!$C:$C,"train")</f>
        <v>0</v>
      </c>
      <c r="K285" s="19" t="n">
        <f aca="false">COUNTIF(Clips!$F:$F,$A285)</f>
        <v>0</v>
      </c>
      <c r="L285" s="19" t="str">
        <f aca="false">IF(J285&gt;0,"in train",IF(K285&gt;0,"audio, none in train",IF(C285&gt;=Overview!$B$9,"priority gap","no audio")))</f>
        <v>no audio</v>
      </c>
    </row>
    <row r="286" customFormat="false" ht="15" hidden="false" customHeight="false" outlineLevel="0" collapsed="false">
      <c r="A286" s="19" t="s">
        <v>9833</v>
      </c>
      <c r="B286" s="19" t="s">
        <v>9834</v>
      </c>
      <c r="C286" s="28" t="n">
        <f aca="false">D286/Overview!$B$10</f>
        <v>0.00634381701215154</v>
      </c>
      <c r="D286" s="29" t="n">
        <v>213</v>
      </c>
      <c r="E286" s="19" t="s">
        <v>9835</v>
      </c>
      <c r="F286" s="19" t="n">
        <v>1987</v>
      </c>
      <c r="G286" s="19" t="n">
        <v>2026</v>
      </c>
      <c r="H286" s="19" t="str">
        <f aca="false">IF(COUNTIF(Species!$B:$B,$A286)=0,"",IF(INDEX(Species!$A:$A,MATCH($A286,Species!$B:$B,0))="","",INDEX(Species!$A:$A,MATCH($A286,Species!$B:$B,0))))</f>
        <v/>
      </c>
      <c r="I286" s="19" t="str">
        <f aca="false">IF(COUNTIF(Species!$B:$B,$A286)=0,"",INDEX(Species!$F:$F,MATCH($A286,Species!$B:$B,0)))</f>
        <v/>
      </c>
      <c r="J286" s="19" t="n">
        <f aca="false">COUNTIFS(Clips!$F:$F,$A286,Clips!$C:$C,"train")</f>
        <v>0</v>
      </c>
      <c r="K286" s="19" t="n">
        <f aca="false">COUNTIF(Clips!$F:$F,$A286)</f>
        <v>0</v>
      </c>
      <c r="L286" s="19" t="str">
        <f aca="false">IF(J286&gt;0,"in train",IF(K286&gt;0,"audio, none in train",IF(C286&gt;=Overview!$B$9,"priority gap","no audio")))</f>
        <v>no audio</v>
      </c>
    </row>
    <row r="287" customFormat="false" ht="15" hidden="false" customHeight="false" outlineLevel="0" collapsed="false">
      <c r="A287" s="19" t="s">
        <v>9836</v>
      </c>
      <c r="B287" s="19" t="s">
        <v>9837</v>
      </c>
      <c r="C287" s="28" t="n">
        <f aca="false">D287/Overview!$B$10</f>
        <v>0.00592685251370026</v>
      </c>
      <c r="D287" s="29" t="n">
        <v>199</v>
      </c>
      <c r="E287" s="19" t="s">
        <v>9649</v>
      </c>
      <c r="F287" s="19" t="n">
        <v>1991</v>
      </c>
      <c r="G287" s="19" t="n">
        <v>2026</v>
      </c>
      <c r="H287" s="19" t="str">
        <f aca="false">IF(COUNTIF(Species!$B:$B,$A287)=0,"",IF(INDEX(Species!$A:$A,MATCH($A287,Species!$B:$B,0))="","",INDEX(Species!$A:$A,MATCH($A287,Species!$B:$B,0))))</f>
        <v/>
      </c>
      <c r="I287" s="19" t="str">
        <f aca="false">IF(COUNTIF(Species!$B:$B,$A287)=0,"",INDEX(Species!$F:$F,MATCH($A287,Species!$B:$B,0)))</f>
        <v/>
      </c>
      <c r="J287" s="19" t="n">
        <f aca="false">COUNTIFS(Clips!$F:$F,$A287,Clips!$C:$C,"train")</f>
        <v>0</v>
      </c>
      <c r="K287" s="19" t="n">
        <f aca="false">COUNTIF(Clips!$F:$F,$A287)</f>
        <v>0</v>
      </c>
      <c r="L287" s="19" t="str">
        <f aca="false">IF(J287&gt;0,"in train",IF(K287&gt;0,"audio, none in train",IF(C287&gt;=Overview!$B$9,"priority gap","no audio")))</f>
        <v>no audio</v>
      </c>
    </row>
    <row r="288" customFormat="false" ht="15" hidden="false" customHeight="false" outlineLevel="0" collapsed="false">
      <c r="A288" s="19" t="s">
        <v>9838</v>
      </c>
      <c r="B288" s="19" t="s">
        <v>9839</v>
      </c>
      <c r="C288" s="28" t="n">
        <f aca="false">D288/Overview!$B$10</f>
        <v>0.00589706933523946</v>
      </c>
      <c r="D288" s="29" t="n">
        <v>198</v>
      </c>
      <c r="E288" s="19" t="s">
        <v>9840</v>
      </c>
      <c r="F288" s="19" t="n">
        <v>1984</v>
      </c>
      <c r="G288" s="19" t="n">
        <v>2026</v>
      </c>
      <c r="H288" s="19" t="str">
        <f aca="false">IF(COUNTIF(Species!$B:$B,$A288)=0,"",IF(INDEX(Species!$A:$A,MATCH($A288,Species!$B:$B,0))="","",INDEX(Species!$A:$A,MATCH($A288,Species!$B:$B,0))))</f>
        <v/>
      </c>
      <c r="I288" s="19" t="str">
        <f aca="false">IF(COUNTIF(Species!$B:$B,$A288)=0,"",INDEX(Species!$F:$F,MATCH($A288,Species!$B:$B,0)))</f>
        <v/>
      </c>
      <c r="J288" s="19" t="n">
        <f aca="false">COUNTIFS(Clips!$F:$F,$A288,Clips!$C:$C,"train")</f>
        <v>0</v>
      </c>
      <c r="K288" s="19" t="n">
        <f aca="false">COUNTIF(Clips!$F:$F,$A288)</f>
        <v>0</v>
      </c>
      <c r="L288" s="19" t="str">
        <f aca="false">IF(J288&gt;0,"in train",IF(K288&gt;0,"audio, none in train",IF(C288&gt;=Overview!$B$9,"priority gap","no audio")))</f>
        <v>no audio</v>
      </c>
    </row>
    <row r="289" customFormat="false" ht="15" hidden="false" customHeight="false" outlineLevel="0" collapsed="false">
      <c r="A289" s="19" t="s">
        <v>9841</v>
      </c>
      <c r="B289" s="19" t="s">
        <v>9842</v>
      </c>
      <c r="C289" s="28" t="n">
        <f aca="false">D289/Overview!$B$10</f>
        <v>0.00586728615677865</v>
      </c>
      <c r="D289" s="29" t="n">
        <v>197</v>
      </c>
      <c r="E289" s="19" t="s">
        <v>9649</v>
      </c>
      <c r="F289" s="19" t="n">
        <v>2001</v>
      </c>
      <c r="G289" s="19" t="n">
        <v>2026</v>
      </c>
      <c r="H289" s="19" t="str">
        <f aca="false">IF(COUNTIF(Species!$B:$B,$A289)=0,"",IF(INDEX(Species!$A:$A,MATCH($A289,Species!$B:$B,0))="","",INDEX(Species!$A:$A,MATCH($A289,Species!$B:$B,0))))</f>
        <v/>
      </c>
      <c r="I289" s="19" t="str">
        <f aca="false">IF(COUNTIF(Species!$B:$B,$A289)=0,"",INDEX(Species!$F:$F,MATCH($A289,Species!$B:$B,0)))</f>
        <v/>
      </c>
      <c r="J289" s="19" t="n">
        <f aca="false">COUNTIFS(Clips!$F:$F,$A289,Clips!$C:$C,"train")</f>
        <v>0</v>
      </c>
      <c r="K289" s="19" t="n">
        <f aca="false">COUNTIF(Clips!$F:$F,$A289)</f>
        <v>0</v>
      </c>
      <c r="L289" s="19" t="str">
        <f aca="false">IF(J289&gt;0,"in train",IF(K289&gt;0,"audio, none in train",IF(C289&gt;=Overview!$B$9,"priority gap","no audio")))</f>
        <v>no audio</v>
      </c>
    </row>
    <row r="290" customFormat="false" ht="15" hidden="false" customHeight="false" outlineLevel="0" collapsed="false">
      <c r="A290" s="19" t="s">
        <v>9843</v>
      </c>
      <c r="B290" s="19" t="s">
        <v>9844</v>
      </c>
      <c r="C290" s="28" t="n">
        <f aca="false">D290/Overview!$B$10</f>
        <v>0.00583750297831785</v>
      </c>
      <c r="D290" s="29" t="n">
        <v>196</v>
      </c>
      <c r="E290" s="19" t="s">
        <v>9766</v>
      </c>
      <c r="F290" s="19" t="n">
        <v>1989</v>
      </c>
      <c r="G290" s="19" t="n">
        <v>2026</v>
      </c>
      <c r="H290" s="19" t="str">
        <f aca="false">IF(COUNTIF(Species!$B:$B,$A290)=0,"",IF(INDEX(Species!$A:$A,MATCH($A290,Species!$B:$B,0))="","",INDEX(Species!$A:$A,MATCH($A290,Species!$B:$B,0))))</f>
        <v/>
      </c>
      <c r="I290" s="19" t="str">
        <f aca="false">IF(COUNTIF(Species!$B:$B,$A290)=0,"",INDEX(Species!$F:$F,MATCH($A290,Species!$B:$B,0)))</f>
        <v/>
      </c>
      <c r="J290" s="19" t="n">
        <f aca="false">COUNTIFS(Clips!$F:$F,$A290,Clips!$C:$C,"train")</f>
        <v>0</v>
      </c>
      <c r="K290" s="19" t="n">
        <f aca="false">COUNTIF(Clips!$F:$F,$A290)</f>
        <v>0</v>
      </c>
      <c r="L290" s="19" t="str">
        <f aca="false">IF(J290&gt;0,"in train",IF(K290&gt;0,"audio, none in train",IF(C290&gt;=Overview!$B$9,"priority gap","no audio")))</f>
        <v>no audio</v>
      </c>
    </row>
    <row r="291" customFormat="false" ht="15" hidden="false" customHeight="false" outlineLevel="0" collapsed="false">
      <c r="A291" s="19" t="s">
        <v>586</v>
      </c>
      <c r="B291" s="19" t="s">
        <v>587</v>
      </c>
      <c r="C291" s="28" t="n">
        <f aca="false">D291/Overview!$B$10</f>
        <v>0.00574815344293543</v>
      </c>
      <c r="D291" s="29" t="n">
        <v>193</v>
      </c>
      <c r="E291" s="19" t="s">
        <v>9649</v>
      </c>
      <c r="F291" s="19" t="n">
        <v>1984</v>
      </c>
      <c r="G291" s="19" t="n">
        <v>2026</v>
      </c>
      <c r="H291" s="19" t="n">
        <f aca="false">IF(COUNTIF(Species!$B:$B,$A291)=0,"",IF(INDEX(Species!$A:$A,MATCH($A291,Species!$B:$B,0))="","",INDEX(Species!$A:$A,MATCH($A291,Species!$B:$B,0))))</f>
        <v>201</v>
      </c>
      <c r="I291" s="19" t="str">
        <f aca="false">IF(COUNTIF(Species!$B:$B,$A291)=0,"",INDEX(Species!$F:$F,MATCH($A291,Species!$B:$B,0)))</f>
        <v>few_shot</v>
      </c>
      <c r="J291" s="19" t="n">
        <f aca="false">COUNTIFS(Clips!$F:$F,$A291,Clips!$C:$C,"train")</f>
        <v>4</v>
      </c>
      <c r="K291" s="19" t="n">
        <f aca="false">COUNTIF(Clips!$F:$F,$A291)</f>
        <v>5</v>
      </c>
      <c r="L291" s="19" t="str">
        <f aca="false">IF(J291&gt;0,"in train",IF(K291&gt;0,"audio, none in train",IF(C291&gt;=Overview!$B$9,"priority gap","no audio")))</f>
        <v>in train</v>
      </c>
    </row>
    <row r="292" customFormat="false" ht="15" hidden="false" customHeight="false" outlineLevel="0" collapsed="false">
      <c r="A292" s="19" t="s">
        <v>9845</v>
      </c>
      <c r="B292" s="19" t="s">
        <v>9846</v>
      </c>
      <c r="C292" s="28" t="n">
        <f aca="false">D292/Overview!$B$10</f>
        <v>0.00565880390755301</v>
      </c>
      <c r="D292" s="29" t="n">
        <v>190</v>
      </c>
      <c r="E292" s="19" t="s">
        <v>9649</v>
      </c>
      <c r="F292" s="19" t="n">
        <v>1991</v>
      </c>
      <c r="G292" s="19" t="n">
        <v>2026</v>
      </c>
      <c r="H292" s="19" t="str">
        <f aca="false">IF(COUNTIF(Species!$B:$B,$A292)=0,"",IF(INDEX(Species!$A:$A,MATCH($A292,Species!$B:$B,0))="","",INDEX(Species!$A:$A,MATCH($A292,Species!$B:$B,0))))</f>
        <v/>
      </c>
      <c r="I292" s="19" t="str">
        <f aca="false">IF(COUNTIF(Species!$B:$B,$A292)=0,"",INDEX(Species!$F:$F,MATCH($A292,Species!$B:$B,0)))</f>
        <v/>
      </c>
      <c r="J292" s="19" t="n">
        <f aca="false">COUNTIFS(Clips!$F:$F,$A292,Clips!$C:$C,"train")</f>
        <v>0</v>
      </c>
      <c r="K292" s="19" t="n">
        <f aca="false">COUNTIF(Clips!$F:$F,$A292)</f>
        <v>0</v>
      </c>
      <c r="L292" s="19" t="str">
        <f aca="false">IF(J292&gt;0,"in train",IF(K292&gt;0,"audio, none in train",IF(C292&gt;=Overview!$B$9,"priority gap","no audio")))</f>
        <v>no audio</v>
      </c>
    </row>
    <row r="293" customFormat="false" ht="15" hidden="false" customHeight="false" outlineLevel="0" collapsed="false">
      <c r="A293" s="19" t="s">
        <v>419</v>
      </c>
      <c r="B293" s="19" t="s">
        <v>420</v>
      </c>
      <c r="C293" s="28" t="n">
        <f aca="false">D293/Overview!$B$10</f>
        <v>0.00550988801524899</v>
      </c>
      <c r="D293" s="29" t="n">
        <v>185</v>
      </c>
      <c r="E293" s="19" t="s">
        <v>9649</v>
      </c>
      <c r="F293" s="19" t="n">
        <v>1977</v>
      </c>
      <c r="G293" s="19" t="n">
        <v>2025</v>
      </c>
      <c r="H293" s="19" t="n">
        <f aca="false">IF(COUNTIF(Species!$B:$B,$A293)=0,"",IF(INDEX(Species!$A:$A,MATCH($A293,Species!$B:$B,0))="","",INDEX(Species!$A:$A,MATCH($A293,Species!$B:$B,0))))</f>
        <v>82</v>
      </c>
      <c r="I293" s="19" t="str">
        <f aca="false">IF(COUNTIF(Species!$B:$B,$A293)=0,"",INDEX(Species!$F:$F,MATCH($A293,Species!$B:$B,0)))</f>
        <v>core</v>
      </c>
      <c r="J293" s="19" t="n">
        <f aca="false">COUNTIFS(Clips!$F:$F,$A293,Clips!$C:$C,"train")</f>
        <v>6</v>
      </c>
      <c r="K293" s="19" t="n">
        <f aca="false">COUNTIF(Clips!$F:$F,$A293)</f>
        <v>10</v>
      </c>
      <c r="L293" s="19" t="str">
        <f aca="false">IF(J293&gt;0,"in train",IF(K293&gt;0,"audio, none in train",IF(C293&gt;=Overview!$B$9,"priority gap","no audio")))</f>
        <v>in train</v>
      </c>
    </row>
    <row r="294" customFormat="false" ht="15" hidden="false" customHeight="false" outlineLevel="0" collapsed="false">
      <c r="A294" s="19" t="s">
        <v>9847</v>
      </c>
      <c r="B294" s="19" t="s">
        <v>9848</v>
      </c>
      <c r="C294" s="28" t="n">
        <f aca="false">D294/Overview!$B$10</f>
        <v>0.00533118894448416</v>
      </c>
      <c r="D294" s="29" t="n">
        <v>179</v>
      </c>
      <c r="E294" s="19" t="s">
        <v>9660</v>
      </c>
      <c r="F294" s="19" t="n">
        <v>1971</v>
      </c>
      <c r="G294" s="19" t="n">
        <v>2026</v>
      </c>
      <c r="H294" s="19" t="str">
        <f aca="false">IF(COUNTIF(Species!$B:$B,$A294)=0,"",IF(INDEX(Species!$A:$A,MATCH($A294,Species!$B:$B,0))="","",INDEX(Species!$A:$A,MATCH($A294,Species!$B:$B,0))))</f>
        <v/>
      </c>
      <c r="I294" s="19" t="str">
        <f aca="false">IF(COUNTIF(Species!$B:$B,$A294)=0,"",INDEX(Species!$F:$F,MATCH($A294,Species!$B:$B,0)))</f>
        <v/>
      </c>
      <c r="J294" s="19" t="n">
        <f aca="false">COUNTIFS(Clips!$F:$F,$A294,Clips!$C:$C,"train")</f>
        <v>0</v>
      </c>
      <c r="K294" s="19" t="n">
        <f aca="false">COUNTIF(Clips!$F:$F,$A294)</f>
        <v>0</v>
      </c>
      <c r="L294" s="19" t="str">
        <f aca="false">IF(J294&gt;0,"in train",IF(K294&gt;0,"audio, none in train",IF(C294&gt;=Overview!$B$9,"priority gap","no audio")))</f>
        <v>no audio</v>
      </c>
    </row>
    <row r="295" customFormat="false" ht="15" hidden="false" customHeight="false" outlineLevel="0" collapsed="false">
      <c r="A295" s="19" t="s">
        <v>601</v>
      </c>
      <c r="B295" s="19" t="s">
        <v>602</v>
      </c>
      <c r="C295" s="28" t="n">
        <f aca="false">D295/Overview!$B$10</f>
        <v>0.00518227305218013</v>
      </c>
      <c r="D295" s="29" t="n">
        <v>174</v>
      </c>
      <c r="E295" s="19" t="s">
        <v>9649</v>
      </c>
      <c r="F295" s="19" t="n">
        <v>1977</v>
      </c>
      <c r="G295" s="19" t="n">
        <v>2026</v>
      </c>
      <c r="H295" s="19" t="n">
        <f aca="false">IF(COUNTIF(Species!$B:$B,$A295)=0,"",IF(INDEX(Species!$A:$A,MATCH($A295,Species!$B:$B,0))="","",INDEX(Species!$A:$A,MATCH($A295,Species!$B:$B,0))))</f>
        <v>64</v>
      </c>
      <c r="I295" s="19" t="str">
        <f aca="false">IF(COUNTIF(Species!$B:$B,$A295)=0,"",INDEX(Species!$F:$F,MATCH($A295,Species!$B:$B,0)))</f>
        <v>few_shot</v>
      </c>
      <c r="J295" s="19" t="n">
        <f aca="false">COUNTIFS(Clips!$F:$F,$A295,Clips!$C:$C,"train")</f>
        <v>3</v>
      </c>
      <c r="K295" s="19" t="n">
        <f aca="false">COUNTIF(Clips!$F:$F,$A295)</f>
        <v>4</v>
      </c>
      <c r="L295" s="19" t="str">
        <f aca="false">IF(J295&gt;0,"in train",IF(K295&gt;0,"audio, none in train",IF(C295&gt;=Overview!$B$9,"priority gap","no audio")))</f>
        <v>in train</v>
      </c>
    </row>
    <row r="296" customFormat="false" ht="15" hidden="false" customHeight="false" outlineLevel="0" collapsed="false">
      <c r="A296" s="19" t="s">
        <v>9849</v>
      </c>
      <c r="B296" s="19" t="s">
        <v>9850</v>
      </c>
      <c r="C296" s="28" t="n">
        <f aca="false">D296/Overview!$B$10</f>
        <v>0.00512270669525852</v>
      </c>
      <c r="D296" s="29" t="n">
        <v>172</v>
      </c>
      <c r="E296" s="19" t="s">
        <v>9649</v>
      </c>
      <c r="F296" s="19" t="n">
        <v>1971</v>
      </c>
      <c r="G296" s="19" t="n">
        <v>2026</v>
      </c>
      <c r="H296" s="19" t="str">
        <f aca="false">IF(COUNTIF(Species!$B:$B,$A296)=0,"",IF(INDEX(Species!$A:$A,MATCH($A296,Species!$B:$B,0))="","",INDEX(Species!$A:$A,MATCH($A296,Species!$B:$B,0))))</f>
        <v/>
      </c>
      <c r="I296" s="19" t="str">
        <f aca="false">IF(COUNTIF(Species!$B:$B,$A296)=0,"",INDEX(Species!$F:$F,MATCH($A296,Species!$B:$B,0)))</f>
        <v/>
      </c>
      <c r="J296" s="19" t="n">
        <f aca="false">COUNTIFS(Clips!$F:$F,$A296,Clips!$C:$C,"train")</f>
        <v>0</v>
      </c>
      <c r="K296" s="19" t="n">
        <f aca="false">COUNTIF(Clips!$F:$F,$A296)</f>
        <v>0</v>
      </c>
      <c r="L296" s="19" t="str">
        <f aca="false">IF(J296&gt;0,"in train",IF(K296&gt;0,"audio, none in train",IF(C296&gt;=Overview!$B$9,"priority gap","no audio")))</f>
        <v>no audio</v>
      </c>
    </row>
    <row r="297" customFormat="false" ht="15" hidden="false" customHeight="false" outlineLevel="0" collapsed="false">
      <c r="A297" s="19" t="s">
        <v>832</v>
      </c>
      <c r="B297" s="19" t="s">
        <v>833</v>
      </c>
      <c r="C297" s="28" t="n">
        <f aca="false">D297/Overview!$B$10</f>
        <v>0.00491422444603288</v>
      </c>
      <c r="D297" s="29" t="n">
        <v>165</v>
      </c>
      <c r="E297" s="19" t="s">
        <v>9649</v>
      </c>
      <c r="F297" s="19" t="n">
        <v>1969</v>
      </c>
      <c r="G297" s="19" t="n">
        <v>2026</v>
      </c>
      <c r="H297" s="19" t="n">
        <f aca="false">IF(COUNTIF(Species!$B:$B,$A297)=0,"",IF(INDEX(Species!$A:$A,MATCH($A297,Species!$B:$B,0))="","",INDEX(Species!$A:$A,MATCH($A297,Species!$B:$B,0))))</f>
        <v>147</v>
      </c>
      <c r="I297" s="19" t="str">
        <f aca="false">IF(COUNTIF(Species!$B:$B,$A297)=0,"",INDEX(Species!$F:$F,MATCH($A297,Species!$B:$B,0)))</f>
        <v>singleton</v>
      </c>
      <c r="J297" s="19" t="n">
        <f aca="false">COUNTIFS(Clips!$F:$F,$A297,Clips!$C:$C,"train")</f>
        <v>0</v>
      </c>
      <c r="K297" s="19" t="n">
        <f aca="false">COUNTIF(Clips!$F:$F,$A297)</f>
        <v>1</v>
      </c>
      <c r="L297" s="19" t="str">
        <f aca="false">IF(J297&gt;0,"in train",IF(K297&gt;0,"audio, none in train",IF(C297&gt;=Overview!$B$9,"priority gap","no audio")))</f>
        <v>audio, none in train</v>
      </c>
    </row>
    <row r="298" customFormat="false" ht="15" hidden="false" customHeight="false" outlineLevel="0" collapsed="false">
      <c r="A298" s="19" t="s">
        <v>9851</v>
      </c>
      <c r="B298" s="19" t="s">
        <v>9852</v>
      </c>
      <c r="C298" s="28" t="n">
        <f aca="false">D298/Overview!$B$10</f>
        <v>0.00488444126757208</v>
      </c>
      <c r="D298" s="29" t="n">
        <v>164</v>
      </c>
      <c r="E298" s="19" t="s">
        <v>9649</v>
      </c>
      <c r="F298" s="19" t="n">
        <v>1990</v>
      </c>
      <c r="G298" s="19" t="n">
        <v>2026</v>
      </c>
      <c r="H298" s="19" t="str">
        <f aca="false">IF(COUNTIF(Species!$B:$B,$A298)=0,"",IF(INDEX(Species!$A:$A,MATCH($A298,Species!$B:$B,0))="","",INDEX(Species!$A:$A,MATCH($A298,Species!$B:$B,0))))</f>
        <v/>
      </c>
      <c r="I298" s="19" t="str">
        <f aca="false">IF(COUNTIF(Species!$B:$B,$A298)=0,"",INDEX(Species!$F:$F,MATCH($A298,Species!$B:$B,0)))</f>
        <v/>
      </c>
      <c r="J298" s="19" t="n">
        <f aca="false">COUNTIFS(Clips!$F:$F,$A298,Clips!$C:$C,"train")</f>
        <v>0</v>
      </c>
      <c r="K298" s="19" t="n">
        <f aca="false">COUNTIF(Clips!$F:$F,$A298)</f>
        <v>0</v>
      </c>
      <c r="L298" s="19" t="str">
        <f aca="false">IF(J298&gt;0,"in train",IF(K298&gt;0,"audio, none in train",IF(C298&gt;=Overview!$B$9,"priority gap","no audio")))</f>
        <v>no audio</v>
      </c>
    </row>
    <row r="299" customFormat="false" ht="15" hidden="false" customHeight="false" outlineLevel="0" collapsed="false">
      <c r="A299" s="19" t="s">
        <v>9853</v>
      </c>
      <c r="B299" s="19" t="s">
        <v>9854</v>
      </c>
      <c r="C299" s="28" t="n">
        <f aca="false">D299/Overview!$B$10</f>
        <v>0.00485465808911127</v>
      </c>
      <c r="D299" s="29" t="n">
        <v>163</v>
      </c>
      <c r="E299" s="19" t="s">
        <v>9766</v>
      </c>
      <c r="F299" s="19" t="n">
        <v>1977</v>
      </c>
      <c r="G299" s="19" t="n">
        <v>2026</v>
      </c>
      <c r="H299" s="19" t="str">
        <f aca="false">IF(COUNTIF(Species!$B:$B,$A299)=0,"",IF(INDEX(Species!$A:$A,MATCH($A299,Species!$B:$B,0))="","",INDEX(Species!$A:$A,MATCH($A299,Species!$B:$B,0))))</f>
        <v/>
      </c>
      <c r="I299" s="19" t="str">
        <f aca="false">IF(COUNTIF(Species!$B:$B,$A299)=0,"",INDEX(Species!$F:$F,MATCH($A299,Species!$B:$B,0)))</f>
        <v/>
      </c>
      <c r="J299" s="19" t="n">
        <f aca="false">COUNTIFS(Clips!$F:$F,$A299,Clips!$C:$C,"train")</f>
        <v>0</v>
      </c>
      <c r="K299" s="19" t="n">
        <f aca="false">COUNTIF(Clips!$F:$F,$A299)</f>
        <v>0</v>
      </c>
      <c r="L299" s="19" t="str">
        <f aca="false">IF(J299&gt;0,"in train",IF(K299&gt;0,"audio, none in train",IF(C299&gt;=Overview!$B$9,"priority gap","no audio")))</f>
        <v>no audio</v>
      </c>
    </row>
    <row r="300" customFormat="false" ht="15" hidden="false" customHeight="false" outlineLevel="0" collapsed="false">
      <c r="A300" s="19" t="s">
        <v>410</v>
      </c>
      <c r="B300" s="19" t="s">
        <v>411</v>
      </c>
      <c r="C300" s="28" t="n">
        <f aca="false">D300/Overview!$B$10</f>
        <v>0.00476530855372885</v>
      </c>
      <c r="D300" s="29" t="n">
        <v>160</v>
      </c>
      <c r="E300" s="19" t="s">
        <v>9649</v>
      </c>
      <c r="F300" s="19" t="n">
        <v>1985</v>
      </c>
      <c r="G300" s="19" t="n">
        <v>2026</v>
      </c>
      <c r="H300" s="19" t="n">
        <f aca="false">IF(COUNTIF(Species!$B:$B,$A300)=0,"",IF(INDEX(Species!$A:$A,MATCH($A300,Species!$B:$B,0))="","",INDEX(Species!$A:$A,MATCH($A300,Species!$B:$B,0))))</f>
        <v>185</v>
      </c>
      <c r="I300" s="19" t="str">
        <f aca="false">IF(COUNTIF(Species!$B:$B,$A300)=0,"",INDEX(Species!$F:$F,MATCH($A300,Species!$B:$B,0)))</f>
        <v>core</v>
      </c>
      <c r="J300" s="19" t="n">
        <f aca="false">COUNTIFS(Clips!$F:$F,$A300,Clips!$C:$C,"train")</f>
        <v>7</v>
      </c>
      <c r="K300" s="19" t="n">
        <f aca="false">COUNTIF(Clips!$F:$F,$A300)</f>
        <v>11</v>
      </c>
      <c r="L300" s="19" t="str">
        <f aca="false">IF(J300&gt;0,"in train",IF(K300&gt;0,"audio, none in train",IF(C300&gt;=Overview!$B$9,"priority gap","no audio")))</f>
        <v>in train</v>
      </c>
    </row>
    <row r="301" customFormat="false" ht="15" hidden="false" customHeight="false" outlineLevel="0" collapsed="false">
      <c r="A301" s="19" t="s">
        <v>9855</v>
      </c>
      <c r="B301" s="19" t="s">
        <v>9856</v>
      </c>
      <c r="C301" s="28" t="n">
        <f aca="false">D301/Overview!$B$10</f>
        <v>0.00476530855372885</v>
      </c>
      <c r="D301" s="29" t="n">
        <v>160</v>
      </c>
      <c r="E301" s="19" t="s">
        <v>9649</v>
      </c>
      <c r="F301" s="19" t="n">
        <v>1977</v>
      </c>
      <c r="G301" s="19" t="n">
        <v>2026</v>
      </c>
      <c r="H301" s="19" t="str">
        <f aca="false">IF(COUNTIF(Species!$B:$B,$A301)=0,"",IF(INDEX(Species!$A:$A,MATCH($A301,Species!$B:$B,0))="","",INDEX(Species!$A:$A,MATCH($A301,Species!$B:$B,0))))</f>
        <v/>
      </c>
      <c r="I301" s="19" t="str">
        <f aca="false">IF(COUNTIF(Species!$B:$B,$A301)=0,"",INDEX(Species!$F:$F,MATCH($A301,Species!$B:$B,0)))</f>
        <v/>
      </c>
      <c r="J301" s="19" t="n">
        <f aca="false">COUNTIFS(Clips!$F:$F,$A301,Clips!$C:$C,"train")</f>
        <v>0</v>
      </c>
      <c r="K301" s="19" t="n">
        <f aca="false">COUNTIF(Clips!$F:$F,$A301)</f>
        <v>0</v>
      </c>
      <c r="L301" s="19" t="str">
        <f aca="false">IF(J301&gt;0,"in train",IF(K301&gt;0,"audio, none in train",IF(C301&gt;=Overview!$B$9,"priority gap","no audio")))</f>
        <v>no audio</v>
      </c>
    </row>
    <row r="302" customFormat="false" ht="15" hidden="false" customHeight="false" outlineLevel="0" collapsed="false">
      <c r="A302" s="19" t="s">
        <v>9857</v>
      </c>
      <c r="B302" s="19" t="s">
        <v>9858</v>
      </c>
      <c r="C302" s="28" t="n">
        <f aca="false">D302/Overview!$B$10</f>
        <v>0.00473552537526805</v>
      </c>
      <c r="D302" s="29" t="n">
        <v>159</v>
      </c>
      <c r="E302" s="19" t="s">
        <v>9859</v>
      </c>
      <c r="F302" s="19" t="n">
        <v>1989</v>
      </c>
      <c r="G302" s="19" t="n">
        <v>2026</v>
      </c>
      <c r="H302" s="19" t="str">
        <f aca="false">IF(COUNTIF(Species!$B:$B,$A302)=0,"",IF(INDEX(Species!$A:$A,MATCH($A302,Species!$B:$B,0))="","",INDEX(Species!$A:$A,MATCH($A302,Species!$B:$B,0))))</f>
        <v/>
      </c>
      <c r="I302" s="19" t="str">
        <f aca="false">IF(COUNTIF(Species!$B:$B,$A302)=0,"",INDEX(Species!$F:$F,MATCH($A302,Species!$B:$B,0)))</f>
        <v/>
      </c>
      <c r="J302" s="19" t="n">
        <f aca="false">COUNTIFS(Clips!$F:$F,$A302,Clips!$C:$C,"train")</f>
        <v>0</v>
      </c>
      <c r="K302" s="19" t="n">
        <f aca="false">COUNTIF(Clips!$F:$F,$A302)</f>
        <v>0</v>
      </c>
      <c r="L302" s="19" t="str">
        <f aca="false">IF(J302&gt;0,"in train",IF(K302&gt;0,"audio, none in train",IF(C302&gt;=Overview!$B$9,"priority gap","no audio")))</f>
        <v>no audio</v>
      </c>
    </row>
    <row r="303" customFormat="false" ht="15" hidden="false" customHeight="false" outlineLevel="0" collapsed="false">
      <c r="A303" s="19" t="s">
        <v>9860</v>
      </c>
      <c r="B303" s="19" t="s">
        <v>9861</v>
      </c>
      <c r="C303" s="28" t="n">
        <f aca="false">D303/Overview!$B$10</f>
        <v>0.00461639266142483</v>
      </c>
      <c r="D303" s="29" t="n">
        <v>155</v>
      </c>
      <c r="E303" s="19" t="s">
        <v>9862</v>
      </c>
      <c r="F303" s="19" t="n">
        <v>1977</v>
      </c>
      <c r="G303" s="19" t="n">
        <v>2026</v>
      </c>
      <c r="H303" s="19" t="str">
        <f aca="false">IF(COUNTIF(Species!$B:$B,$A303)=0,"",IF(INDEX(Species!$A:$A,MATCH($A303,Species!$B:$B,0))="","",INDEX(Species!$A:$A,MATCH($A303,Species!$B:$B,0))))</f>
        <v/>
      </c>
      <c r="I303" s="19" t="str">
        <f aca="false">IF(COUNTIF(Species!$B:$B,$A303)=0,"",INDEX(Species!$F:$F,MATCH($A303,Species!$B:$B,0)))</f>
        <v/>
      </c>
      <c r="J303" s="19" t="n">
        <f aca="false">COUNTIFS(Clips!$F:$F,$A303,Clips!$C:$C,"train")</f>
        <v>0</v>
      </c>
      <c r="K303" s="19" t="n">
        <f aca="false">COUNTIF(Clips!$F:$F,$A303)</f>
        <v>0</v>
      </c>
      <c r="L303" s="19" t="str">
        <f aca="false">IF(J303&gt;0,"in train",IF(K303&gt;0,"audio, none in train",IF(C303&gt;=Overview!$B$9,"priority gap","no audio")))</f>
        <v>no audio</v>
      </c>
    </row>
    <row r="304" customFormat="false" ht="15" hidden="false" customHeight="false" outlineLevel="0" collapsed="false">
      <c r="A304" s="19" t="s">
        <v>344</v>
      </c>
      <c r="B304" s="19" t="s">
        <v>345</v>
      </c>
      <c r="C304" s="28" t="n">
        <f aca="false">D304/Overview!$B$10</f>
        <v>0.00458660948296402</v>
      </c>
      <c r="D304" s="29" t="n">
        <v>154</v>
      </c>
      <c r="E304" s="19" t="s">
        <v>9863</v>
      </c>
      <c r="F304" s="19" t="n">
        <v>1983</v>
      </c>
      <c r="G304" s="19" t="n">
        <v>2026</v>
      </c>
      <c r="H304" s="19" t="n">
        <f aca="false">IF(COUNTIF(Species!$B:$B,$A304)=0,"",IF(INDEX(Species!$A:$A,MATCH($A304,Species!$B:$B,0))="","",INDEX(Species!$A:$A,MATCH($A304,Species!$B:$B,0))))</f>
        <v>209</v>
      </c>
      <c r="I304" s="19" t="str">
        <f aca="false">IF(COUNTIF(Species!$B:$B,$A304)=0,"",INDEX(Species!$F:$F,MATCH($A304,Species!$B:$B,0)))</f>
        <v>core</v>
      </c>
      <c r="J304" s="19" t="n">
        <f aca="false">COUNTIFS(Clips!$F:$F,$A304,Clips!$C:$C,"train")</f>
        <v>10</v>
      </c>
      <c r="K304" s="19" t="n">
        <f aca="false">COUNTIF(Clips!$F:$F,$A304)</f>
        <v>14</v>
      </c>
      <c r="L304" s="19" t="str">
        <f aca="false">IF(J304&gt;0,"in train",IF(K304&gt;0,"audio, none in train",IF(C304&gt;=Overview!$B$9,"priority gap","no audio")))</f>
        <v>in train</v>
      </c>
    </row>
    <row r="305" customFormat="false" ht="15" hidden="false" customHeight="false" outlineLevel="0" collapsed="false">
      <c r="A305" s="19" t="s">
        <v>9864</v>
      </c>
      <c r="B305" s="19" t="s">
        <v>9865</v>
      </c>
      <c r="C305" s="28" t="n">
        <f aca="false">D305/Overview!$B$10</f>
        <v>0.00452704312604241</v>
      </c>
      <c r="D305" s="29" t="n">
        <v>152</v>
      </c>
      <c r="E305" s="19" t="s">
        <v>9687</v>
      </c>
      <c r="F305" s="19" t="n">
        <v>1981</v>
      </c>
      <c r="G305" s="19" t="n">
        <v>2026</v>
      </c>
      <c r="H305" s="19" t="str">
        <f aca="false">IF(COUNTIF(Species!$B:$B,$A305)=0,"",IF(INDEX(Species!$A:$A,MATCH($A305,Species!$B:$B,0))="","",INDEX(Species!$A:$A,MATCH($A305,Species!$B:$B,0))))</f>
        <v/>
      </c>
      <c r="I305" s="19" t="str">
        <f aca="false">IF(COUNTIF(Species!$B:$B,$A305)=0,"",INDEX(Species!$F:$F,MATCH($A305,Species!$B:$B,0)))</f>
        <v/>
      </c>
      <c r="J305" s="19" t="n">
        <f aca="false">COUNTIFS(Clips!$F:$F,$A305,Clips!$C:$C,"train")</f>
        <v>0</v>
      </c>
      <c r="K305" s="19" t="n">
        <f aca="false">COUNTIF(Clips!$F:$F,$A305)</f>
        <v>0</v>
      </c>
      <c r="L305" s="19" t="str">
        <f aca="false">IF(J305&gt;0,"in train",IF(K305&gt;0,"audio, none in train",IF(C305&gt;=Overview!$B$9,"priority gap","no audio")))</f>
        <v>no audio</v>
      </c>
    </row>
    <row r="306" customFormat="false" ht="15" hidden="false" customHeight="false" outlineLevel="0" collapsed="false">
      <c r="A306" s="19" t="s">
        <v>9866</v>
      </c>
      <c r="B306" s="19" t="s">
        <v>9867</v>
      </c>
      <c r="C306" s="28" t="n">
        <f aca="false">D306/Overview!$B$10</f>
        <v>0.00449725994758161</v>
      </c>
      <c r="D306" s="29" t="n">
        <v>151</v>
      </c>
      <c r="E306" s="19" t="s">
        <v>9649</v>
      </c>
      <c r="F306" s="19" t="n">
        <v>1977</v>
      </c>
      <c r="G306" s="19" t="n">
        <v>2026</v>
      </c>
      <c r="H306" s="19" t="str">
        <f aca="false">IF(COUNTIF(Species!$B:$B,$A306)=0,"",IF(INDEX(Species!$A:$A,MATCH($A306,Species!$B:$B,0))="","",INDEX(Species!$A:$A,MATCH($A306,Species!$B:$B,0))))</f>
        <v/>
      </c>
      <c r="I306" s="19" t="str">
        <f aca="false">IF(COUNTIF(Species!$B:$B,$A306)=0,"",INDEX(Species!$F:$F,MATCH($A306,Species!$B:$B,0)))</f>
        <v/>
      </c>
      <c r="J306" s="19" t="n">
        <f aca="false">COUNTIFS(Clips!$F:$F,$A306,Clips!$C:$C,"train")</f>
        <v>0</v>
      </c>
      <c r="K306" s="19" t="n">
        <f aca="false">COUNTIF(Clips!$F:$F,$A306)</f>
        <v>0</v>
      </c>
      <c r="L306" s="19" t="str">
        <f aca="false">IF(J306&gt;0,"in train",IF(K306&gt;0,"audio, none in train",IF(C306&gt;=Overview!$B$9,"priority gap","no audio")))</f>
        <v>no audio</v>
      </c>
    </row>
    <row r="307" customFormat="false" ht="15" hidden="false" customHeight="false" outlineLevel="0" collapsed="false">
      <c r="A307" s="19" t="s">
        <v>9868</v>
      </c>
      <c r="B307" s="19" t="s">
        <v>9869</v>
      </c>
      <c r="C307" s="28" t="n">
        <f aca="false">D307/Overview!$B$10</f>
        <v>0.0044674767691208</v>
      </c>
      <c r="D307" s="29" t="n">
        <v>150</v>
      </c>
      <c r="E307" s="19" t="s">
        <v>9650</v>
      </c>
      <c r="F307" s="19" t="n">
        <v>1987</v>
      </c>
      <c r="G307" s="19" t="n">
        <v>2026</v>
      </c>
      <c r="H307" s="19" t="str">
        <f aca="false">IF(COUNTIF(Species!$B:$B,$A307)=0,"",IF(INDEX(Species!$A:$A,MATCH($A307,Species!$B:$B,0))="","",INDEX(Species!$A:$A,MATCH($A307,Species!$B:$B,0))))</f>
        <v/>
      </c>
      <c r="I307" s="19" t="str">
        <f aca="false">IF(COUNTIF(Species!$B:$B,$A307)=0,"",INDEX(Species!$F:$F,MATCH($A307,Species!$B:$B,0)))</f>
        <v/>
      </c>
      <c r="J307" s="19" t="n">
        <f aca="false">COUNTIFS(Clips!$F:$F,$A307,Clips!$C:$C,"train")</f>
        <v>0</v>
      </c>
      <c r="K307" s="19" t="n">
        <f aca="false">COUNTIF(Clips!$F:$F,$A307)</f>
        <v>0</v>
      </c>
      <c r="L307" s="19" t="str">
        <f aca="false">IF(J307&gt;0,"in train",IF(K307&gt;0,"audio, none in train",IF(C307&gt;=Overview!$B$9,"priority gap","no audio")))</f>
        <v>no audio</v>
      </c>
    </row>
    <row r="308" customFormat="false" ht="15" hidden="false" customHeight="false" outlineLevel="0" collapsed="false">
      <c r="A308" s="19" t="s">
        <v>580</v>
      </c>
      <c r="B308" s="19" t="s">
        <v>581</v>
      </c>
      <c r="C308" s="28" t="n">
        <f aca="false">D308/Overview!$B$10</f>
        <v>0.00443769359066</v>
      </c>
      <c r="D308" s="29" t="n">
        <v>149</v>
      </c>
      <c r="E308" s="19" t="s">
        <v>9649</v>
      </c>
      <c r="F308" s="19" t="n">
        <v>1977</v>
      </c>
      <c r="G308" s="19" t="n">
        <v>2026</v>
      </c>
      <c r="H308" s="19" t="n">
        <f aca="false">IF(COUNTIF(Species!$B:$B,$A308)=0,"",IF(INDEX(Species!$A:$A,MATCH($A308,Species!$B:$B,0))="","",INDEX(Species!$A:$A,MATCH($A308,Species!$B:$B,0))))</f>
        <v>190</v>
      </c>
      <c r="I308" s="19" t="str">
        <f aca="false">IF(COUNTIF(Species!$B:$B,$A308)=0,"",INDEX(Species!$F:$F,MATCH($A308,Species!$B:$B,0)))</f>
        <v>few_shot</v>
      </c>
      <c r="J308" s="19" t="n">
        <f aca="false">COUNTIFS(Clips!$F:$F,$A308,Clips!$C:$C,"train")</f>
        <v>4</v>
      </c>
      <c r="K308" s="19" t="n">
        <f aca="false">COUNTIF(Clips!$F:$F,$A308)</f>
        <v>5</v>
      </c>
      <c r="L308" s="19" t="str">
        <f aca="false">IF(J308&gt;0,"in train",IF(K308&gt;0,"audio, none in train",IF(C308&gt;=Overview!$B$9,"priority gap","no audio")))</f>
        <v>in train</v>
      </c>
    </row>
    <row r="309" customFormat="false" ht="15" hidden="false" customHeight="false" outlineLevel="0" collapsed="false">
      <c r="A309" s="19" t="s">
        <v>9870</v>
      </c>
      <c r="B309" s="19" t="s">
        <v>9871</v>
      </c>
      <c r="C309" s="28" t="n">
        <f aca="false">D309/Overview!$B$10</f>
        <v>0.00434834405527758</v>
      </c>
      <c r="D309" s="29" t="n">
        <v>146</v>
      </c>
      <c r="E309" s="19" t="s">
        <v>9649</v>
      </c>
      <c r="F309" s="19" t="n">
        <v>1972</v>
      </c>
      <c r="G309" s="19" t="n">
        <v>2026</v>
      </c>
      <c r="H309" s="19" t="str">
        <f aca="false">IF(COUNTIF(Species!$B:$B,$A309)=0,"",IF(INDEX(Species!$A:$A,MATCH($A309,Species!$B:$B,0))="","",INDEX(Species!$A:$A,MATCH($A309,Species!$B:$B,0))))</f>
        <v/>
      </c>
      <c r="I309" s="19" t="str">
        <f aca="false">IF(COUNTIF(Species!$B:$B,$A309)=0,"",INDEX(Species!$F:$F,MATCH($A309,Species!$B:$B,0)))</f>
        <v/>
      </c>
      <c r="J309" s="19" t="n">
        <f aca="false">COUNTIFS(Clips!$F:$F,$A309,Clips!$C:$C,"train")</f>
        <v>0</v>
      </c>
      <c r="K309" s="19" t="n">
        <f aca="false">COUNTIF(Clips!$F:$F,$A309)</f>
        <v>0</v>
      </c>
      <c r="L309" s="19" t="str">
        <f aca="false">IF(J309&gt;0,"in train",IF(K309&gt;0,"audio, none in train",IF(C309&gt;=Overview!$B$9,"priority gap","no audio")))</f>
        <v>no audio</v>
      </c>
    </row>
    <row r="310" customFormat="false" ht="15" hidden="false" customHeight="false" outlineLevel="0" collapsed="false">
      <c r="A310" s="19" t="s">
        <v>652</v>
      </c>
      <c r="B310" s="19" t="s">
        <v>653</v>
      </c>
      <c r="C310" s="28" t="n">
        <f aca="false">D310/Overview!$B$10</f>
        <v>0.00425899451989516</v>
      </c>
      <c r="D310" s="29" t="n">
        <v>143</v>
      </c>
      <c r="E310" s="19" t="s">
        <v>9766</v>
      </c>
      <c r="F310" s="19" t="n">
        <v>1983</v>
      </c>
      <c r="G310" s="19" t="n">
        <v>2026</v>
      </c>
      <c r="H310" s="19" t="n">
        <f aca="false">IF(COUNTIF(Species!$B:$B,$A310)=0,"",IF(INDEX(Species!$A:$A,MATCH($A310,Species!$B:$B,0))="","",INDEX(Species!$A:$A,MATCH($A310,Species!$B:$B,0))))</f>
        <v>92</v>
      </c>
      <c r="I310" s="19" t="str">
        <f aca="false">IF(COUNTIF(Species!$B:$B,$A310)=0,"",INDEX(Species!$F:$F,MATCH($A310,Species!$B:$B,0)))</f>
        <v>few_shot</v>
      </c>
      <c r="J310" s="19" t="n">
        <f aca="false">COUNTIFS(Clips!$F:$F,$A310,Clips!$C:$C,"train")</f>
        <v>2</v>
      </c>
      <c r="K310" s="19" t="n">
        <f aca="false">COUNTIF(Clips!$F:$F,$A310)</f>
        <v>3</v>
      </c>
      <c r="L310" s="19" t="str">
        <f aca="false">IF(J310&gt;0,"in train",IF(K310&gt;0,"audio, none in train",IF(C310&gt;=Overview!$B$9,"priority gap","no audio")))</f>
        <v>in train</v>
      </c>
    </row>
    <row r="311" customFormat="false" ht="15" hidden="false" customHeight="false" outlineLevel="0" collapsed="false">
      <c r="A311" s="19" t="s">
        <v>9872</v>
      </c>
      <c r="B311" s="19" t="s">
        <v>9873</v>
      </c>
      <c r="C311" s="28" t="n">
        <f aca="false">D311/Overview!$B$10</f>
        <v>0.00419942816297355</v>
      </c>
      <c r="D311" s="29" t="n">
        <v>141</v>
      </c>
      <c r="E311" s="19" t="s">
        <v>9874</v>
      </c>
      <c r="F311" s="19" t="n">
        <v>1991</v>
      </c>
      <c r="G311" s="19" t="n">
        <v>2026</v>
      </c>
      <c r="H311" s="19" t="str">
        <f aca="false">IF(COUNTIF(Species!$B:$B,$A311)=0,"",IF(INDEX(Species!$A:$A,MATCH($A311,Species!$B:$B,0))="","",INDEX(Species!$A:$A,MATCH($A311,Species!$B:$B,0))))</f>
        <v/>
      </c>
      <c r="I311" s="19" t="str">
        <f aca="false">IF(COUNTIF(Species!$B:$B,$A311)=0,"",INDEX(Species!$F:$F,MATCH($A311,Species!$B:$B,0)))</f>
        <v/>
      </c>
      <c r="J311" s="19" t="n">
        <f aca="false">COUNTIFS(Clips!$F:$F,$A311,Clips!$C:$C,"train")</f>
        <v>0</v>
      </c>
      <c r="K311" s="19" t="n">
        <f aca="false">COUNTIF(Clips!$F:$F,$A311)</f>
        <v>0</v>
      </c>
      <c r="L311" s="19" t="str">
        <f aca="false">IF(J311&gt;0,"in train",IF(K311&gt;0,"audio, none in train",IF(C311&gt;=Overview!$B$9,"priority gap","no audio")))</f>
        <v>no audio</v>
      </c>
    </row>
    <row r="312" customFormat="false" ht="15" hidden="false" customHeight="false" outlineLevel="0" collapsed="false">
      <c r="A312" s="19" t="s">
        <v>9875</v>
      </c>
      <c r="B312" s="19" t="s">
        <v>9876</v>
      </c>
      <c r="C312" s="28" t="n">
        <f aca="false">D312/Overview!$B$10</f>
        <v>0.00408029544913033</v>
      </c>
      <c r="D312" s="29" t="n">
        <v>137</v>
      </c>
      <c r="E312" s="19" t="s">
        <v>9649</v>
      </c>
      <c r="F312" s="19" t="n">
        <v>1969</v>
      </c>
      <c r="G312" s="19" t="n">
        <v>2026</v>
      </c>
      <c r="H312" s="19" t="str">
        <f aca="false">IF(COUNTIF(Species!$B:$B,$A312)=0,"",IF(INDEX(Species!$A:$A,MATCH($A312,Species!$B:$B,0))="","",INDEX(Species!$A:$A,MATCH($A312,Species!$B:$B,0))))</f>
        <v/>
      </c>
      <c r="I312" s="19" t="str">
        <f aca="false">IF(COUNTIF(Species!$B:$B,$A312)=0,"",INDEX(Species!$F:$F,MATCH($A312,Species!$B:$B,0)))</f>
        <v/>
      </c>
      <c r="J312" s="19" t="n">
        <f aca="false">COUNTIFS(Clips!$F:$F,$A312,Clips!$C:$C,"train")</f>
        <v>0</v>
      </c>
      <c r="K312" s="19" t="n">
        <f aca="false">COUNTIF(Clips!$F:$F,$A312)</f>
        <v>0</v>
      </c>
      <c r="L312" s="19" t="str">
        <f aca="false">IF(J312&gt;0,"in train",IF(K312&gt;0,"audio, none in train",IF(C312&gt;=Overview!$B$9,"priority gap","no audio")))</f>
        <v>no audio</v>
      </c>
    </row>
    <row r="313" customFormat="false" ht="15" hidden="false" customHeight="false" outlineLevel="0" collapsed="false">
      <c r="A313" s="19" t="s">
        <v>838</v>
      </c>
      <c r="B313" s="19" t="s">
        <v>839</v>
      </c>
      <c r="C313" s="28" t="n">
        <f aca="false">D313/Overview!$B$10</f>
        <v>0.00387181319990469</v>
      </c>
      <c r="D313" s="29" t="n">
        <v>130</v>
      </c>
      <c r="E313" s="19" t="s">
        <v>9649</v>
      </c>
      <c r="F313" s="19" t="n">
        <v>1986</v>
      </c>
      <c r="G313" s="19" t="n">
        <v>2025</v>
      </c>
      <c r="H313" s="19" t="n">
        <f aca="false">IF(COUNTIF(Species!$B:$B,$A313)=0,"",IF(INDEX(Species!$A:$A,MATCH($A313,Species!$B:$B,0))="","",INDEX(Species!$A:$A,MATCH($A313,Species!$B:$B,0))))</f>
        <v>154</v>
      </c>
      <c r="I313" s="19" t="str">
        <f aca="false">IF(COUNTIF(Species!$B:$B,$A313)=0,"",INDEX(Species!$F:$F,MATCH($A313,Species!$B:$B,0)))</f>
        <v>singleton</v>
      </c>
      <c r="J313" s="19" t="n">
        <f aca="false">COUNTIFS(Clips!$F:$F,$A313,Clips!$C:$C,"train")</f>
        <v>0</v>
      </c>
      <c r="K313" s="19" t="n">
        <f aca="false">COUNTIF(Clips!$F:$F,$A313)</f>
        <v>1</v>
      </c>
      <c r="L313" s="19" t="str">
        <f aca="false">IF(J313&gt;0,"in train",IF(K313&gt;0,"audio, none in train",IF(C313&gt;=Overview!$B$9,"priority gap","no audio")))</f>
        <v>audio, none in train</v>
      </c>
    </row>
    <row r="314" customFormat="false" ht="15" hidden="false" customHeight="false" outlineLevel="0" collapsed="false">
      <c r="A314" s="19" t="s">
        <v>9877</v>
      </c>
      <c r="B314" s="19" t="s">
        <v>9878</v>
      </c>
      <c r="C314" s="28" t="n">
        <f aca="false">D314/Overview!$B$10</f>
        <v>0.00381224684298308</v>
      </c>
      <c r="D314" s="29" t="n">
        <v>128</v>
      </c>
      <c r="E314" s="19" t="s">
        <v>9879</v>
      </c>
      <c r="F314" s="19" t="n">
        <v>1973</v>
      </c>
      <c r="G314" s="19" t="n">
        <v>2026</v>
      </c>
      <c r="H314" s="19" t="str">
        <f aca="false">IF(COUNTIF(Species!$B:$B,$A314)=0,"",IF(INDEX(Species!$A:$A,MATCH($A314,Species!$B:$B,0))="","",INDEX(Species!$A:$A,MATCH($A314,Species!$B:$B,0))))</f>
        <v/>
      </c>
      <c r="I314" s="19" t="str">
        <f aca="false">IF(COUNTIF(Species!$B:$B,$A314)=0,"",INDEX(Species!$F:$F,MATCH($A314,Species!$B:$B,0)))</f>
        <v/>
      </c>
      <c r="J314" s="19" t="n">
        <f aca="false">COUNTIFS(Clips!$F:$F,$A314,Clips!$C:$C,"train")</f>
        <v>0</v>
      </c>
      <c r="K314" s="19" t="n">
        <f aca="false">COUNTIF(Clips!$F:$F,$A314)</f>
        <v>0</v>
      </c>
      <c r="L314" s="19" t="str">
        <f aca="false">IF(J314&gt;0,"in train",IF(K314&gt;0,"audio, none in train",IF(C314&gt;=Overview!$B$9,"priority gap","no audio")))</f>
        <v>no audio</v>
      </c>
    </row>
    <row r="315" customFormat="false" ht="15" hidden="false" customHeight="false" outlineLevel="0" collapsed="false">
      <c r="A315" s="19" t="s">
        <v>9880</v>
      </c>
      <c r="B315" s="19" t="s">
        <v>9881</v>
      </c>
      <c r="C315" s="28" t="n">
        <f aca="false">D315/Overview!$B$10</f>
        <v>0.00378246366452228</v>
      </c>
      <c r="D315" s="29" t="n">
        <v>127</v>
      </c>
      <c r="E315" s="19" t="s">
        <v>9862</v>
      </c>
      <c r="F315" s="19" t="n">
        <v>2000</v>
      </c>
      <c r="G315" s="19" t="n">
        <v>2025</v>
      </c>
      <c r="H315" s="19" t="str">
        <f aca="false">IF(COUNTIF(Species!$B:$B,$A315)=0,"",IF(INDEX(Species!$A:$A,MATCH($A315,Species!$B:$B,0))="","",INDEX(Species!$A:$A,MATCH($A315,Species!$B:$B,0))))</f>
        <v/>
      </c>
      <c r="I315" s="19" t="str">
        <f aca="false">IF(COUNTIF(Species!$B:$B,$A315)=0,"",INDEX(Species!$F:$F,MATCH($A315,Species!$B:$B,0)))</f>
        <v/>
      </c>
      <c r="J315" s="19" t="n">
        <f aca="false">COUNTIFS(Clips!$F:$F,$A315,Clips!$C:$C,"train")</f>
        <v>0</v>
      </c>
      <c r="K315" s="19" t="n">
        <f aca="false">COUNTIF(Clips!$F:$F,$A315)</f>
        <v>0</v>
      </c>
      <c r="L315" s="19" t="str">
        <f aca="false">IF(J315&gt;0,"in train",IF(K315&gt;0,"audio, none in train",IF(C315&gt;=Overview!$B$9,"priority gap","no audio")))</f>
        <v>no audio</v>
      </c>
    </row>
    <row r="316" customFormat="false" ht="15" hidden="false" customHeight="false" outlineLevel="0" collapsed="false">
      <c r="A316" s="19" t="s">
        <v>9882</v>
      </c>
      <c r="B316" s="19" t="s">
        <v>9883</v>
      </c>
      <c r="C316" s="28" t="n">
        <f aca="false">D316/Overview!$B$10</f>
        <v>0.00378246366452228</v>
      </c>
      <c r="D316" s="29" t="n">
        <v>127</v>
      </c>
      <c r="E316" s="19" t="s">
        <v>9746</v>
      </c>
      <c r="F316" s="19" t="n">
        <v>1961</v>
      </c>
      <c r="G316" s="19" t="n">
        <v>2026</v>
      </c>
      <c r="H316" s="19" t="str">
        <f aca="false">IF(COUNTIF(Species!$B:$B,$A316)=0,"",IF(INDEX(Species!$A:$A,MATCH($A316,Species!$B:$B,0))="","",INDEX(Species!$A:$A,MATCH($A316,Species!$B:$B,0))))</f>
        <v/>
      </c>
      <c r="I316" s="19" t="str">
        <f aca="false">IF(COUNTIF(Species!$B:$B,$A316)=0,"",INDEX(Species!$F:$F,MATCH($A316,Species!$B:$B,0)))</f>
        <v/>
      </c>
      <c r="J316" s="19" t="n">
        <f aca="false">COUNTIFS(Clips!$F:$F,$A316,Clips!$C:$C,"train")</f>
        <v>0</v>
      </c>
      <c r="K316" s="19" t="n">
        <f aca="false">COUNTIF(Clips!$F:$F,$A316)</f>
        <v>0</v>
      </c>
      <c r="L316" s="19" t="str">
        <f aca="false">IF(J316&gt;0,"in train",IF(K316&gt;0,"audio, none in train",IF(C316&gt;=Overview!$B$9,"priority gap","no audio")))</f>
        <v>no audio</v>
      </c>
    </row>
    <row r="317" customFormat="false" ht="15" hidden="false" customHeight="false" outlineLevel="0" collapsed="false">
      <c r="A317" s="19" t="s">
        <v>9884</v>
      </c>
      <c r="B317" s="19" t="s">
        <v>9885</v>
      </c>
      <c r="C317" s="28" t="n">
        <f aca="false">D317/Overview!$B$10</f>
        <v>0.00369311412913986</v>
      </c>
      <c r="D317" s="29" t="n">
        <v>124</v>
      </c>
      <c r="E317" s="19" t="s">
        <v>9692</v>
      </c>
      <c r="F317" s="19" t="n">
        <v>1986</v>
      </c>
      <c r="G317" s="19" t="n">
        <v>2026</v>
      </c>
      <c r="H317" s="19" t="str">
        <f aca="false">IF(COUNTIF(Species!$B:$B,$A317)=0,"",IF(INDEX(Species!$A:$A,MATCH($A317,Species!$B:$B,0))="","",INDEX(Species!$A:$A,MATCH($A317,Species!$B:$B,0))))</f>
        <v/>
      </c>
      <c r="I317" s="19" t="str">
        <f aca="false">IF(COUNTIF(Species!$B:$B,$A317)=0,"",INDEX(Species!$F:$F,MATCH($A317,Species!$B:$B,0)))</f>
        <v/>
      </c>
      <c r="J317" s="19" t="n">
        <f aca="false">COUNTIFS(Clips!$F:$F,$A317,Clips!$C:$C,"train")</f>
        <v>0</v>
      </c>
      <c r="K317" s="19" t="n">
        <f aca="false">COUNTIF(Clips!$F:$F,$A317)</f>
        <v>0</v>
      </c>
      <c r="L317" s="19" t="str">
        <f aca="false">IF(J317&gt;0,"in train",IF(K317&gt;0,"audio, none in train",IF(C317&gt;=Overview!$B$9,"priority gap","no audio")))</f>
        <v>no audio</v>
      </c>
    </row>
    <row r="318" customFormat="false" ht="15" hidden="false" customHeight="false" outlineLevel="0" collapsed="false">
      <c r="A318" s="19" t="s">
        <v>538</v>
      </c>
      <c r="B318" s="19" t="s">
        <v>539</v>
      </c>
      <c r="C318" s="28" t="n">
        <f aca="false">D318/Overview!$B$10</f>
        <v>0.00369311412913986</v>
      </c>
      <c r="D318" s="29" t="n">
        <v>124</v>
      </c>
      <c r="E318" s="19" t="s">
        <v>9649</v>
      </c>
      <c r="F318" s="19" t="n">
        <v>1987</v>
      </c>
      <c r="G318" s="19" t="n">
        <v>2026</v>
      </c>
      <c r="H318" s="19" t="n">
        <f aca="false">IF(COUNTIF(Species!$B:$B,$A318)=0,"",IF(INDEX(Species!$A:$A,MATCH($A318,Species!$B:$B,0))="","",INDEX(Species!$A:$A,MATCH($A318,Species!$B:$B,0))))</f>
        <v>111</v>
      </c>
      <c r="I318" s="19" t="str">
        <f aca="false">IF(COUNTIF(Species!$B:$B,$A318)=0,"",INDEX(Species!$F:$F,MATCH($A318,Species!$B:$B,0)))</f>
        <v>few_shot</v>
      </c>
      <c r="J318" s="19" t="n">
        <f aca="false">COUNTIFS(Clips!$F:$F,$A318,Clips!$C:$C,"train")</f>
        <v>5</v>
      </c>
      <c r="K318" s="19" t="n">
        <f aca="false">COUNTIF(Clips!$F:$F,$A318)</f>
        <v>6</v>
      </c>
      <c r="L318" s="19" t="str">
        <f aca="false">IF(J318&gt;0,"in train",IF(K318&gt;0,"audio, none in train",IF(C318&gt;=Overview!$B$9,"priority gap","no audio")))</f>
        <v>in train</v>
      </c>
    </row>
    <row r="319" customFormat="false" ht="15" hidden="false" customHeight="false" outlineLevel="0" collapsed="false">
      <c r="A319" s="19" t="s">
        <v>9886</v>
      </c>
      <c r="B319" s="19" t="s">
        <v>9887</v>
      </c>
      <c r="C319" s="28" t="n">
        <f aca="false">D319/Overview!$B$10</f>
        <v>0.00369311412913986</v>
      </c>
      <c r="D319" s="29" t="n">
        <v>124</v>
      </c>
      <c r="E319" s="19" t="s">
        <v>9649</v>
      </c>
      <c r="F319" s="19" t="n">
        <v>1977</v>
      </c>
      <c r="G319" s="19" t="n">
        <v>2026</v>
      </c>
      <c r="H319" s="19" t="str">
        <f aca="false">IF(COUNTIF(Species!$B:$B,$A319)=0,"",IF(INDEX(Species!$A:$A,MATCH($A319,Species!$B:$B,0))="","",INDEX(Species!$A:$A,MATCH($A319,Species!$B:$B,0))))</f>
        <v/>
      </c>
      <c r="I319" s="19" t="str">
        <f aca="false">IF(COUNTIF(Species!$B:$B,$A319)=0,"",INDEX(Species!$F:$F,MATCH($A319,Species!$B:$B,0)))</f>
        <v/>
      </c>
      <c r="J319" s="19" t="n">
        <f aca="false">COUNTIFS(Clips!$F:$F,$A319,Clips!$C:$C,"train")</f>
        <v>0</v>
      </c>
      <c r="K319" s="19" t="n">
        <f aca="false">COUNTIF(Clips!$F:$F,$A319)</f>
        <v>0</v>
      </c>
      <c r="L319" s="19" t="str">
        <f aca="false">IF(J319&gt;0,"in train",IF(K319&gt;0,"audio, none in train",IF(C319&gt;=Overview!$B$9,"priority gap","no audio")))</f>
        <v>no audio</v>
      </c>
    </row>
    <row r="320" customFormat="false" ht="15" hidden="false" customHeight="false" outlineLevel="0" collapsed="false">
      <c r="A320" s="19" t="s">
        <v>9888</v>
      </c>
      <c r="B320" s="19" t="s">
        <v>9889</v>
      </c>
      <c r="C320" s="28" t="n">
        <f aca="false">D320/Overview!$B$10</f>
        <v>0.00360376459375745</v>
      </c>
      <c r="D320" s="29" t="n">
        <v>121</v>
      </c>
      <c r="E320" s="19" t="s">
        <v>9649</v>
      </c>
      <c r="F320" s="19" t="n">
        <v>1985</v>
      </c>
      <c r="G320" s="19" t="n">
        <v>2026</v>
      </c>
      <c r="H320" s="19" t="str">
        <f aca="false">IF(COUNTIF(Species!$B:$B,$A320)=0,"",IF(INDEX(Species!$A:$A,MATCH($A320,Species!$B:$B,0))="","",INDEX(Species!$A:$A,MATCH($A320,Species!$B:$B,0))))</f>
        <v/>
      </c>
      <c r="I320" s="19" t="str">
        <f aca="false">IF(COUNTIF(Species!$B:$B,$A320)=0,"",INDEX(Species!$F:$F,MATCH($A320,Species!$B:$B,0)))</f>
        <v/>
      </c>
      <c r="J320" s="19" t="n">
        <f aca="false">COUNTIFS(Clips!$F:$F,$A320,Clips!$C:$C,"train")</f>
        <v>0</v>
      </c>
      <c r="K320" s="19" t="n">
        <f aca="false">COUNTIF(Clips!$F:$F,$A320)</f>
        <v>0</v>
      </c>
      <c r="L320" s="19" t="str">
        <f aca="false">IF(J320&gt;0,"in train",IF(K320&gt;0,"audio, none in train",IF(C320&gt;=Overview!$B$9,"priority gap","no audio")))</f>
        <v>no audio</v>
      </c>
    </row>
    <row r="321" customFormat="false" ht="15" hidden="false" customHeight="false" outlineLevel="0" collapsed="false">
      <c r="A321" s="19" t="s">
        <v>9890</v>
      </c>
      <c r="B321" s="19" t="s">
        <v>9891</v>
      </c>
      <c r="C321" s="28" t="n">
        <f aca="false">D321/Overview!$B$10</f>
        <v>0.00354419823683584</v>
      </c>
      <c r="D321" s="29" t="n">
        <v>119</v>
      </c>
      <c r="E321" s="19" t="s">
        <v>9766</v>
      </c>
      <c r="F321" s="19" t="n">
        <v>1991</v>
      </c>
      <c r="G321" s="19" t="n">
        <v>2026</v>
      </c>
      <c r="H321" s="19" t="str">
        <f aca="false">IF(COUNTIF(Species!$B:$B,$A321)=0,"",IF(INDEX(Species!$A:$A,MATCH($A321,Species!$B:$B,0))="","",INDEX(Species!$A:$A,MATCH($A321,Species!$B:$B,0))))</f>
        <v/>
      </c>
      <c r="I321" s="19" t="str">
        <f aca="false">IF(COUNTIF(Species!$B:$B,$A321)=0,"",INDEX(Species!$F:$F,MATCH($A321,Species!$B:$B,0)))</f>
        <v/>
      </c>
      <c r="J321" s="19" t="n">
        <f aca="false">COUNTIFS(Clips!$F:$F,$A321,Clips!$C:$C,"train")</f>
        <v>0</v>
      </c>
      <c r="K321" s="19" t="n">
        <f aca="false">COUNTIF(Clips!$F:$F,$A321)</f>
        <v>0</v>
      </c>
      <c r="L321" s="19" t="str">
        <f aca="false">IF(J321&gt;0,"in train",IF(K321&gt;0,"audio, none in train",IF(C321&gt;=Overview!$B$9,"priority gap","no audio")))</f>
        <v>no audio</v>
      </c>
    </row>
    <row r="322" customFormat="false" ht="15" hidden="false" customHeight="false" outlineLevel="0" collapsed="false">
      <c r="A322" s="19" t="s">
        <v>9892</v>
      </c>
      <c r="B322" s="19" t="s">
        <v>9893</v>
      </c>
      <c r="C322" s="28" t="n">
        <f aca="false">D322/Overview!$B$10</f>
        <v>0.003365499166071</v>
      </c>
      <c r="D322" s="29" t="n">
        <v>113</v>
      </c>
      <c r="E322" s="19" t="s">
        <v>9894</v>
      </c>
      <c r="F322" s="19" t="n">
        <v>1969</v>
      </c>
      <c r="G322" s="19" t="n">
        <v>2026</v>
      </c>
      <c r="H322" s="19" t="str">
        <f aca="false">IF(COUNTIF(Species!$B:$B,$A322)=0,"",IF(INDEX(Species!$A:$A,MATCH($A322,Species!$B:$B,0))="","",INDEX(Species!$A:$A,MATCH($A322,Species!$B:$B,0))))</f>
        <v/>
      </c>
      <c r="I322" s="19" t="str">
        <f aca="false">IF(COUNTIF(Species!$B:$B,$A322)=0,"",INDEX(Species!$F:$F,MATCH($A322,Species!$B:$B,0)))</f>
        <v/>
      </c>
      <c r="J322" s="19" t="n">
        <f aca="false">COUNTIFS(Clips!$F:$F,$A322,Clips!$C:$C,"train")</f>
        <v>0</v>
      </c>
      <c r="K322" s="19" t="n">
        <f aca="false">COUNTIF(Clips!$F:$F,$A322)</f>
        <v>0</v>
      </c>
      <c r="L322" s="19" t="str">
        <f aca="false">IF(J322&gt;0,"in train",IF(K322&gt;0,"audio, none in train",IF(C322&gt;=Overview!$B$9,"priority gap","no audio")))</f>
        <v>no audio</v>
      </c>
    </row>
    <row r="323" customFormat="false" ht="15" hidden="false" customHeight="false" outlineLevel="0" collapsed="false">
      <c r="A323" s="19" t="s">
        <v>9895</v>
      </c>
      <c r="B323" s="19" t="s">
        <v>9896</v>
      </c>
      <c r="C323" s="28" t="n">
        <f aca="false">D323/Overview!$B$10</f>
        <v>0.0033357159876102</v>
      </c>
      <c r="D323" s="29" t="n">
        <v>112</v>
      </c>
      <c r="E323" s="19" t="s">
        <v>9897</v>
      </c>
      <c r="F323" s="19" t="n">
        <v>1979</v>
      </c>
      <c r="G323" s="19" t="n">
        <v>2026</v>
      </c>
      <c r="H323" s="19" t="str">
        <f aca="false">IF(COUNTIF(Species!$B:$B,$A323)=0,"",IF(INDEX(Species!$A:$A,MATCH($A323,Species!$B:$B,0))="","",INDEX(Species!$A:$A,MATCH($A323,Species!$B:$B,0))))</f>
        <v/>
      </c>
      <c r="I323" s="19" t="str">
        <f aca="false">IF(COUNTIF(Species!$B:$B,$A323)=0,"",INDEX(Species!$F:$F,MATCH($A323,Species!$B:$B,0)))</f>
        <v/>
      </c>
      <c r="J323" s="19" t="n">
        <f aca="false">COUNTIFS(Clips!$F:$F,$A323,Clips!$C:$C,"train")</f>
        <v>0</v>
      </c>
      <c r="K323" s="19" t="n">
        <f aca="false">COUNTIF(Clips!$F:$F,$A323)</f>
        <v>0</v>
      </c>
      <c r="L323" s="19" t="str">
        <f aca="false">IF(J323&gt;0,"in train",IF(K323&gt;0,"audio, none in train",IF(C323&gt;=Overview!$B$9,"priority gap","no audio")))</f>
        <v>no audio</v>
      </c>
    </row>
    <row r="324" customFormat="false" ht="15" hidden="false" customHeight="false" outlineLevel="0" collapsed="false">
      <c r="A324" s="19" t="s">
        <v>9898</v>
      </c>
      <c r="B324" s="19" t="s">
        <v>9899</v>
      </c>
      <c r="C324" s="28" t="n">
        <f aca="false">D324/Overview!$B$10</f>
        <v>0.00321658327376698</v>
      </c>
      <c r="D324" s="29" t="n">
        <v>108</v>
      </c>
      <c r="E324" s="19" t="s">
        <v>9649</v>
      </c>
      <c r="F324" s="19" t="n">
        <v>1977</v>
      </c>
      <c r="G324" s="19" t="n">
        <v>2026</v>
      </c>
      <c r="H324" s="19" t="str">
        <f aca="false">IF(COUNTIF(Species!$B:$B,$A324)=0,"",IF(INDEX(Species!$A:$A,MATCH($A324,Species!$B:$B,0))="","",INDEX(Species!$A:$A,MATCH($A324,Species!$B:$B,0))))</f>
        <v/>
      </c>
      <c r="I324" s="19" t="str">
        <f aca="false">IF(COUNTIF(Species!$B:$B,$A324)=0,"",INDEX(Species!$F:$F,MATCH($A324,Species!$B:$B,0)))</f>
        <v/>
      </c>
      <c r="J324" s="19" t="n">
        <f aca="false">COUNTIFS(Clips!$F:$F,$A324,Clips!$C:$C,"train")</f>
        <v>0</v>
      </c>
      <c r="K324" s="19" t="n">
        <f aca="false">COUNTIF(Clips!$F:$F,$A324)</f>
        <v>0</v>
      </c>
      <c r="L324" s="19" t="str">
        <f aca="false">IF(J324&gt;0,"in train",IF(K324&gt;0,"audio, none in train",IF(C324&gt;=Overview!$B$9,"priority gap","no audio")))</f>
        <v>no audio</v>
      </c>
    </row>
    <row r="325" customFormat="false" ht="15" hidden="false" customHeight="false" outlineLevel="0" collapsed="false">
      <c r="A325" s="19" t="s">
        <v>9900</v>
      </c>
      <c r="B325" s="19" t="s">
        <v>9901</v>
      </c>
      <c r="C325" s="28" t="n">
        <f aca="false">D325/Overview!$B$10</f>
        <v>0.00321658327376698</v>
      </c>
      <c r="D325" s="29" t="n">
        <v>108</v>
      </c>
      <c r="E325" s="19" t="s">
        <v>9649</v>
      </c>
      <c r="F325" s="19" t="n">
        <v>1980</v>
      </c>
      <c r="G325" s="19" t="n">
        <v>2025</v>
      </c>
      <c r="H325" s="19" t="str">
        <f aca="false">IF(COUNTIF(Species!$B:$B,$A325)=0,"",IF(INDEX(Species!$A:$A,MATCH($A325,Species!$B:$B,0))="","",INDEX(Species!$A:$A,MATCH($A325,Species!$B:$B,0))))</f>
        <v/>
      </c>
      <c r="I325" s="19" t="str">
        <f aca="false">IF(COUNTIF(Species!$B:$B,$A325)=0,"",INDEX(Species!$F:$F,MATCH($A325,Species!$B:$B,0)))</f>
        <v/>
      </c>
      <c r="J325" s="19" t="n">
        <f aca="false">COUNTIFS(Clips!$F:$F,$A325,Clips!$C:$C,"train")</f>
        <v>0</v>
      </c>
      <c r="K325" s="19" t="n">
        <f aca="false">COUNTIF(Clips!$F:$F,$A325)</f>
        <v>0</v>
      </c>
      <c r="L325" s="19" t="str">
        <f aca="false">IF(J325&gt;0,"in train",IF(K325&gt;0,"audio, none in train",IF(C325&gt;=Overview!$B$9,"priority gap","no audio")))</f>
        <v>no audio</v>
      </c>
    </row>
    <row r="326" customFormat="false" ht="15" hidden="false" customHeight="false" outlineLevel="0" collapsed="false">
      <c r="A326" s="19" t="s">
        <v>9902</v>
      </c>
      <c r="B326" s="19" t="s">
        <v>9903</v>
      </c>
      <c r="C326" s="28" t="n">
        <f aca="false">D326/Overview!$B$10</f>
        <v>0.00297831784608053</v>
      </c>
      <c r="D326" s="29" t="n">
        <v>100</v>
      </c>
      <c r="E326" s="19" t="s">
        <v>9746</v>
      </c>
      <c r="F326" s="19" t="n">
        <v>1972</v>
      </c>
      <c r="G326" s="19" t="n">
        <v>2026</v>
      </c>
      <c r="H326" s="19" t="str">
        <f aca="false">IF(COUNTIF(Species!$B:$B,$A326)=0,"",IF(INDEX(Species!$A:$A,MATCH($A326,Species!$B:$B,0))="","",INDEX(Species!$A:$A,MATCH($A326,Species!$B:$B,0))))</f>
        <v/>
      </c>
      <c r="I326" s="19" t="str">
        <f aca="false">IF(COUNTIF(Species!$B:$B,$A326)=0,"",INDEX(Species!$F:$F,MATCH($A326,Species!$B:$B,0)))</f>
        <v/>
      </c>
      <c r="J326" s="19" t="n">
        <f aca="false">COUNTIFS(Clips!$F:$F,$A326,Clips!$C:$C,"train")</f>
        <v>0</v>
      </c>
      <c r="K326" s="19" t="n">
        <f aca="false">COUNTIF(Clips!$F:$F,$A326)</f>
        <v>0</v>
      </c>
      <c r="L326" s="19" t="str">
        <f aca="false">IF(J326&gt;0,"in train",IF(K326&gt;0,"audio, none in train",IF(C326&gt;=Overview!$B$9,"priority gap","no audio")))</f>
        <v>no audio</v>
      </c>
    </row>
    <row r="327" customFormat="false" ht="15" hidden="false" customHeight="false" outlineLevel="0" collapsed="false">
      <c r="A327" s="19" t="s">
        <v>9904</v>
      </c>
      <c r="B327" s="19" t="s">
        <v>9905</v>
      </c>
      <c r="C327" s="28" t="n">
        <f aca="false">D327/Overview!$B$10</f>
        <v>0.00291875148915892</v>
      </c>
      <c r="D327" s="29" t="n">
        <v>98</v>
      </c>
      <c r="E327" s="19" t="s">
        <v>9835</v>
      </c>
      <c r="F327" s="19" t="n">
        <v>1973</v>
      </c>
      <c r="G327" s="19" t="n">
        <v>2026</v>
      </c>
      <c r="H327" s="19" t="str">
        <f aca="false">IF(COUNTIF(Species!$B:$B,$A327)=0,"",IF(INDEX(Species!$A:$A,MATCH($A327,Species!$B:$B,0))="","",INDEX(Species!$A:$A,MATCH($A327,Species!$B:$B,0))))</f>
        <v/>
      </c>
      <c r="I327" s="19" t="str">
        <f aca="false">IF(COUNTIF(Species!$B:$B,$A327)=0,"",INDEX(Species!$F:$F,MATCH($A327,Species!$B:$B,0)))</f>
        <v/>
      </c>
      <c r="J327" s="19" t="n">
        <f aca="false">COUNTIFS(Clips!$F:$F,$A327,Clips!$C:$C,"train")</f>
        <v>0</v>
      </c>
      <c r="K327" s="19" t="n">
        <f aca="false">COUNTIF(Clips!$F:$F,$A327)</f>
        <v>0</v>
      </c>
      <c r="L327" s="19" t="str">
        <f aca="false">IF(J327&gt;0,"in train",IF(K327&gt;0,"audio, none in train",IF(C327&gt;=Overview!$B$9,"priority gap","no audio")))</f>
        <v>no audio</v>
      </c>
    </row>
    <row r="328" customFormat="false" ht="15" hidden="false" customHeight="false" outlineLevel="0" collapsed="false">
      <c r="A328" s="19" t="s">
        <v>9906</v>
      </c>
      <c r="B328" s="19" t="s">
        <v>9907</v>
      </c>
      <c r="C328" s="28" t="n">
        <f aca="false">D328/Overview!$B$10</f>
        <v>0.00291875148915892</v>
      </c>
      <c r="D328" s="29" t="n">
        <v>98</v>
      </c>
      <c r="E328" s="19" t="s">
        <v>9908</v>
      </c>
      <c r="F328" s="19" t="n">
        <v>1995</v>
      </c>
      <c r="G328" s="19" t="n">
        <v>2025</v>
      </c>
      <c r="H328" s="19" t="str">
        <f aca="false">IF(COUNTIF(Species!$B:$B,$A328)=0,"",IF(INDEX(Species!$A:$A,MATCH($A328,Species!$B:$B,0))="","",INDEX(Species!$A:$A,MATCH($A328,Species!$B:$B,0))))</f>
        <v/>
      </c>
      <c r="I328" s="19" t="str">
        <f aca="false">IF(COUNTIF(Species!$B:$B,$A328)=0,"",INDEX(Species!$F:$F,MATCH($A328,Species!$B:$B,0)))</f>
        <v/>
      </c>
      <c r="J328" s="19" t="n">
        <f aca="false">COUNTIFS(Clips!$F:$F,$A328,Clips!$C:$C,"train")</f>
        <v>0</v>
      </c>
      <c r="K328" s="19" t="n">
        <f aca="false">COUNTIF(Clips!$F:$F,$A328)</f>
        <v>0</v>
      </c>
      <c r="L328" s="19" t="str">
        <f aca="false">IF(J328&gt;0,"in train",IF(K328&gt;0,"audio, none in train",IF(C328&gt;=Overview!$B$9,"priority gap","no audio")))</f>
        <v>no audio</v>
      </c>
    </row>
    <row r="329" customFormat="false" ht="15" hidden="false" customHeight="false" outlineLevel="0" collapsed="false">
      <c r="A329" s="19" t="s">
        <v>9909</v>
      </c>
      <c r="B329" s="19" t="s">
        <v>9910</v>
      </c>
      <c r="C329" s="28" t="n">
        <f aca="false">D329/Overview!$B$10</f>
        <v>0.00288896831069812</v>
      </c>
      <c r="D329" s="29" t="n">
        <v>97</v>
      </c>
      <c r="E329" s="19" t="s">
        <v>9649</v>
      </c>
      <c r="F329" s="19" t="n">
        <v>1988</v>
      </c>
      <c r="G329" s="19" t="n">
        <v>2026</v>
      </c>
      <c r="H329" s="19" t="str">
        <f aca="false">IF(COUNTIF(Species!$B:$B,$A329)=0,"",IF(INDEX(Species!$A:$A,MATCH($A329,Species!$B:$B,0))="","",INDEX(Species!$A:$A,MATCH($A329,Species!$B:$B,0))))</f>
        <v/>
      </c>
      <c r="I329" s="19" t="str">
        <f aca="false">IF(COUNTIF(Species!$B:$B,$A329)=0,"",INDEX(Species!$F:$F,MATCH($A329,Species!$B:$B,0)))</f>
        <v/>
      </c>
      <c r="J329" s="19" t="n">
        <f aca="false">COUNTIFS(Clips!$F:$F,$A329,Clips!$C:$C,"train")</f>
        <v>0</v>
      </c>
      <c r="K329" s="19" t="n">
        <f aca="false">COUNTIF(Clips!$F:$F,$A329)</f>
        <v>0</v>
      </c>
      <c r="L329" s="19" t="str">
        <f aca="false">IF(J329&gt;0,"in train",IF(K329&gt;0,"audio, none in train",IF(C329&gt;=Overview!$B$9,"priority gap","no audio")))</f>
        <v>no audio</v>
      </c>
    </row>
    <row r="330" customFormat="false" ht="15" hidden="false" customHeight="false" outlineLevel="0" collapsed="false">
      <c r="A330" s="19" t="s">
        <v>9911</v>
      </c>
      <c r="B330" s="19" t="s">
        <v>9912</v>
      </c>
      <c r="C330" s="28" t="n">
        <f aca="false">D330/Overview!$B$10</f>
        <v>0.00288896831069812</v>
      </c>
      <c r="D330" s="29" t="n">
        <v>97</v>
      </c>
      <c r="E330" s="19" t="s">
        <v>9746</v>
      </c>
      <c r="F330" s="19" t="n">
        <v>1982</v>
      </c>
      <c r="G330" s="19" t="n">
        <v>2026</v>
      </c>
      <c r="H330" s="19" t="str">
        <f aca="false">IF(COUNTIF(Species!$B:$B,$A330)=0,"",IF(INDEX(Species!$A:$A,MATCH($A330,Species!$B:$B,0))="","",INDEX(Species!$A:$A,MATCH($A330,Species!$B:$B,0))))</f>
        <v/>
      </c>
      <c r="I330" s="19" t="str">
        <f aca="false">IF(COUNTIF(Species!$B:$B,$A330)=0,"",INDEX(Species!$F:$F,MATCH($A330,Species!$B:$B,0)))</f>
        <v/>
      </c>
      <c r="J330" s="19" t="n">
        <f aca="false">COUNTIFS(Clips!$F:$F,$A330,Clips!$C:$C,"train")</f>
        <v>0</v>
      </c>
      <c r="K330" s="19" t="n">
        <f aca="false">COUNTIF(Clips!$F:$F,$A330)</f>
        <v>0</v>
      </c>
      <c r="L330" s="19" t="str">
        <f aca="false">IF(J330&gt;0,"in train",IF(K330&gt;0,"audio, none in train",IF(C330&gt;=Overview!$B$9,"priority gap","no audio")))</f>
        <v>no audio</v>
      </c>
    </row>
    <row r="331" customFormat="false" ht="15" hidden="false" customHeight="false" outlineLevel="0" collapsed="false">
      <c r="A331" s="19" t="s">
        <v>508</v>
      </c>
      <c r="B331" s="19" t="s">
        <v>509</v>
      </c>
      <c r="C331" s="28" t="n">
        <f aca="false">D331/Overview!$B$10</f>
        <v>0.00288896831069812</v>
      </c>
      <c r="D331" s="29" t="n">
        <v>97</v>
      </c>
      <c r="E331" s="19" t="s">
        <v>9766</v>
      </c>
      <c r="F331" s="19" t="n">
        <v>1979</v>
      </c>
      <c r="G331" s="19" t="n">
        <v>2026</v>
      </c>
      <c r="H331" s="19" t="n">
        <f aca="false">IF(COUNTIF(Species!$B:$B,$A331)=0,"",IF(INDEX(Species!$A:$A,MATCH($A331,Species!$B:$B,0))="","",INDEX(Species!$A:$A,MATCH($A331,Species!$B:$B,0))))</f>
        <v>132</v>
      </c>
      <c r="I331" s="19" t="str">
        <f aca="false">IF(COUNTIF(Species!$B:$B,$A331)=0,"",INDEX(Species!$F:$F,MATCH($A331,Species!$B:$B,0)))</f>
        <v>few_shot</v>
      </c>
      <c r="J331" s="19" t="n">
        <f aca="false">COUNTIFS(Clips!$F:$F,$A331,Clips!$C:$C,"train")</f>
        <v>6</v>
      </c>
      <c r="K331" s="19" t="n">
        <f aca="false">COUNTIF(Clips!$F:$F,$A331)</f>
        <v>7</v>
      </c>
      <c r="L331" s="19" t="str">
        <f aca="false">IF(J331&gt;0,"in train",IF(K331&gt;0,"audio, none in train",IF(C331&gt;=Overview!$B$9,"priority gap","no audio")))</f>
        <v>in train</v>
      </c>
    </row>
    <row r="332" customFormat="false" ht="15" hidden="false" customHeight="false" outlineLevel="0" collapsed="false">
      <c r="A332" s="19" t="s">
        <v>9913</v>
      </c>
      <c r="B332" s="19" t="s">
        <v>9914</v>
      </c>
      <c r="C332" s="28" t="n">
        <f aca="false">D332/Overview!$B$10</f>
        <v>0.00282940195377651</v>
      </c>
      <c r="D332" s="29" t="n">
        <v>95</v>
      </c>
      <c r="E332" s="19" t="s">
        <v>9749</v>
      </c>
      <c r="F332" s="19" t="n">
        <v>1985</v>
      </c>
      <c r="G332" s="19" t="n">
        <v>2026</v>
      </c>
      <c r="H332" s="19" t="str">
        <f aca="false">IF(COUNTIF(Species!$B:$B,$A332)=0,"",IF(INDEX(Species!$A:$A,MATCH($A332,Species!$B:$B,0))="","",INDEX(Species!$A:$A,MATCH($A332,Species!$B:$B,0))))</f>
        <v/>
      </c>
      <c r="I332" s="19" t="str">
        <f aca="false">IF(COUNTIF(Species!$B:$B,$A332)=0,"",INDEX(Species!$F:$F,MATCH($A332,Species!$B:$B,0)))</f>
        <v/>
      </c>
      <c r="J332" s="19" t="n">
        <f aca="false">COUNTIFS(Clips!$F:$F,$A332,Clips!$C:$C,"train")</f>
        <v>0</v>
      </c>
      <c r="K332" s="19" t="n">
        <f aca="false">COUNTIF(Clips!$F:$F,$A332)</f>
        <v>0</v>
      </c>
      <c r="L332" s="19" t="str">
        <f aca="false">IF(J332&gt;0,"in train",IF(K332&gt;0,"audio, none in train",IF(C332&gt;=Overview!$B$9,"priority gap","no audio")))</f>
        <v>no audio</v>
      </c>
    </row>
    <row r="333" customFormat="false" ht="15" hidden="false" customHeight="false" outlineLevel="0" collapsed="false">
      <c r="A333" s="19" t="s">
        <v>9915</v>
      </c>
      <c r="B333" s="19" t="s">
        <v>9916</v>
      </c>
      <c r="C333" s="28" t="n">
        <f aca="false">D333/Overview!$B$10</f>
        <v>0.0027698355968549</v>
      </c>
      <c r="D333" s="29" t="n">
        <v>93</v>
      </c>
      <c r="E333" s="19" t="s">
        <v>9917</v>
      </c>
      <c r="F333" s="19" t="n">
        <v>1988</v>
      </c>
      <c r="G333" s="19" t="n">
        <v>2026</v>
      </c>
      <c r="H333" s="19" t="str">
        <f aca="false">IF(COUNTIF(Species!$B:$B,$A333)=0,"",IF(INDEX(Species!$A:$A,MATCH($A333,Species!$B:$B,0))="","",INDEX(Species!$A:$A,MATCH($A333,Species!$B:$B,0))))</f>
        <v/>
      </c>
      <c r="I333" s="19" t="str">
        <f aca="false">IF(COUNTIF(Species!$B:$B,$A333)=0,"",INDEX(Species!$F:$F,MATCH($A333,Species!$B:$B,0)))</f>
        <v/>
      </c>
      <c r="J333" s="19" t="n">
        <f aca="false">COUNTIFS(Clips!$F:$F,$A333,Clips!$C:$C,"train")</f>
        <v>0</v>
      </c>
      <c r="K333" s="19" t="n">
        <f aca="false">COUNTIF(Clips!$F:$F,$A333)</f>
        <v>0</v>
      </c>
      <c r="L333" s="19" t="str">
        <f aca="false">IF(J333&gt;0,"in train",IF(K333&gt;0,"audio, none in train",IF(C333&gt;=Overview!$B$9,"priority gap","no audio")))</f>
        <v>no audio</v>
      </c>
    </row>
    <row r="334" customFormat="false" ht="15" hidden="false" customHeight="false" outlineLevel="0" collapsed="false">
      <c r="A334" s="19" t="s">
        <v>9918</v>
      </c>
      <c r="B334" s="19" t="s">
        <v>9919</v>
      </c>
      <c r="C334" s="28" t="n">
        <f aca="false">D334/Overview!$B$10</f>
        <v>0.00274005241839409</v>
      </c>
      <c r="D334" s="29" t="n">
        <v>92</v>
      </c>
      <c r="E334" s="19" t="s">
        <v>9649</v>
      </c>
      <c r="F334" s="19" t="n">
        <v>1989</v>
      </c>
      <c r="G334" s="19" t="n">
        <v>2026</v>
      </c>
      <c r="H334" s="19" t="str">
        <f aca="false">IF(COUNTIF(Species!$B:$B,$A334)=0,"",IF(INDEX(Species!$A:$A,MATCH($A334,Species!$B:$B,0))="","",INDEX(Species!$A:$A,MATCH($A334,Species!$B:$B,0))))</f>
        <v/>
      </c>
      <c r="I334" s="19" t="str">
        <f aca="false">IF(COUNTIF(Species!$B:$B,$A334)=0,"",INDEX(Species!$F:$F,MATCH($A334,Species!$B:$B,0)))</f>
        <v/>
      </c>
      <c r="J334" s="19" t="n">
        <f aca="false">COUNTIFS(Clips!$F:$F,$A334,Clips!$C:$C,"train")</f>
        <v>0</v>
      </c>
      <c r="K334" s="19" t="n">
        <f aca="false">COUNTIF(Clips!$F:$F,$A334)</f>
        <v>0</v>
      </c>
      <c r="L334" s="19" t="str">
        <f aca="false">IF(J334&gt;0,"in train",IF(K334&gt;0,"audio, none in train",IF(C334&gt;=Overview!$B$9,"priority gap","no audio")))</f>
        <v>no audio</v>
      </c>
    </row>
    <row r="335" customFormat="false" ht="15" hidden="false" customHeight="false" outlineLevel="0" collapsed="false">
      <c r="A335" s="19" t="s">
        <v>9920</v>
      </c>
      <c r="B335" s="19" t="s">
        <v>9921</v>
      </c>
      <c r="C335" s="28" t="n">
        <f aca="false">D335/Overview!$B$10</f>
        <v>0.00271026923993329</v>
      </c>
      <c r="D335" s="29" t="n">
        <v>91</v>
      </c>
      <c r="E335" s="19" t="s">
        <v>9649</v>
      </c>
      <c r="F335" s="19" t="n">
        <v>1972</v>
      </c>
      <c r="G335" s="19" t="n">
        <v>2026</v>
      </c>
      <c r="H335" s="19" t="str">
        <f aca="false">IF(COUNTIF(Species!$B:$B,$A335)=0,"",IF(INDEX(Species!$A:$A,MATCH($A335,Species!$B:$B,0))="","",INDEX(Species!$A:$A,MATCH($A335,Species!$B:$B,0))))</f>
        <v/>
      </c>
      <c r="I335" s="19" t="str">
        <f aca="false">IF(COUNTIF(Species!$B:$B,$A335)=0,"",INDEX(Species!$F:$F,MATCH($A335,Species!$B:$B,0)))</f>
        <v/>
      </c>
      <c r="J335" s="19" t="n">
        <f aca="false">COUNTIFS(Clips!$F:$F,$A335,Clips!$C:$C,"train")</f>
        <v>0</v>
      </c>
      <c r="K335" s="19" t="n">
        <f aca="false">COUNTIF(Clips!$F:$F,$A335)</f>
        <v>0</v>
      </c>
      <c r="L335" s="19" t="str">
        <f aca="false">IF(J335&gt;0,"in train",IF(K335&gt;0,"audio, none in train",IF(C335&gt;=Overview!$B$9,"priority gap","no audio")))</f>
        <v>no audio</v>
      </c>
    </row>
    <row r="336" customFormat="false" ht="15" hidden="false" customHeight="false" outlineLevel="0" collapsed="false">
      <c r="A336" s="19" t="s">
        <v>9922</v>
      </c>
      <c r="B336" s="19" t="s">
        <v>9923</v>
      </c>
      <c r="C336" s="28" t="n">
        <f aca="false">D336/Overview!$B$10</f>
        <v>0.00268048606147248</v>
      </c>
      <c r="D336" s="29" t="n">
        <v>90</v>
      </c>
      <c r="E336" s="19" t="s">
        <v>9924</v>
      </c>
      <c r="F336" s="19" t="n">
        <v>2000</v>
      </c>
      <c r="G336" s="19" t="n">
        <v>2026</v>
      </c>
      <c r="H336" s="19" t="str">
        <f aca="false">IF(COUNTIF(Species!$B:$B,$A336)=0,"",IF(INDEX(Species!$A:$A,MATCH($A336,Species!$B:$B,0))="","",INDEX(Species!$A:$A,MATCH($A336,Species!$B:$B,0))))</f>
        <v/>
      </c>
      <c r="I336" s="19" t="str">
        <f aca="false">IF(COUNTIF(Species!$B:$B,$A336)=0,"",INDEX(Species!$F:$F,MATCH($A336,Species!$B:$B,0)))</f>
        <v/>
      </c>
      <c r="J336" s="19" t="n">
        <f aca="false">COUNTIFS(Clips!$F:$F,$A336,Clips!$C:$C,"train")</f>
        <v>0</v>
      </c>
      <c r="K336" s="19" t="n">
        <f aca="false">COUNTIF(Clips!$F:$F,$A336)</f>
        <v>0</v>
      </c>
      <c r="L336" s="19" t="str">
        <f aca="false">IF(J336&gt;0,"in train",IF(K336&gt;0,"audio, none in train",IF(C336&gt;=Overview!$B$9,"priority gap","no audio")))</f>
        <v>no audio</v>
      </c>
    </row>
    <row r="337" customFormat="false" ht="15" hidden="false" customHeight="false" outlineLevel="0" collapsed="false">
      <c r="A337" s="19" t="s">
        <v>867</v>
      </c>
      <c r="B337" s="19" t="s">
        <v>868</v>
      </c>
      <c r="C337" s="28" t="n">
        <f aca="false">D337/Overview!$B$10</f>
        <v>0.00268048606147248</v>
      </c>
      <c r="D337" s="29" t="n">
        <v>90</v>
      </c>
      <c r="E337" s="19" t="s">
        <v>9649</v>
      </c>
      <c r="F337" s="19" t="n">
        <v>1973</v>
      </c>
      <c r="G337" s="19" t="n">
        <v>2026</v>
      </c>
      <c r="H337" s="19" t="n">
        <f aca="false">IF(COUNTIF(Species!$B:$B,$A337)=0,"",IF(INDEX(Species!$A:$A,MATCH($A337,Species!$B:$B,0))="","",INDEX(Species!$A:$A,MATCH($A337,Species!$B:$B,0))))</f>
        <v>203</v>
      </c>
      <c r="I337" s="19" t="str">
        <f aca="false">IF(COUNTIF(Species!$B:$B,$A337)=0,"",INDEX(Species!$F:$F,MATCH($A337,Species!$B:$B,0)))</f>
        <v>singleton</v>
      </c>
      <c r="J337" s="19" t="n">
        <f aca="false">COUNTIFS(Clips!$F:$F,$A337,Clips!$C:$C,"train")</f>
        <v>0</v>
      </c>
      <c r="K337" s="19" t="n">
        <f aca="false">COUNTIF(Clips!$F:$F,$A337)</f>
        <v>1</v>
      </c>
      <c r="L337" s="19" t="str">
        <f aca="false">IF(J337&gt;0,"in train",IF(K337&gt;0,"audio, none in train",IF(C337&gt;=Overview!$B$9,"priority gap","no audio")))</f>
        <v>audio, none in train</v>
      </c>
    </row>
    <row r="338" customFormat="false" ht="15" hidden="false" customHeight="false" outlineLevel="0" collapsed="false">
      <c r="A338" s="19" t="s">
        <v>9925</v>
      </c>
      <c r="B338" s="19" t="s">
        <v>9926</v>
      </c>
      <c r="C338" s="28" t="n">
        <f aca="false">D338/Overview!$B$10</f>
        <v>0.00259113652609006</v>
      </c>
      <c r="D338" s="29" t="n">
        <v>87</v>
      </c>
      <c r="E338" s="19" t="s">
        <v>9649</v>
      </c>
      <c r="F338" s="19" t="n">
        <v>1999</v>
      </c>
      <c r="G338" s="19" t="n">
        <v>2026</v>
      </c>
      <c r="H338" s="19" t="str">
        <f aca="false">IF(COUNTIF(Species!$B:$B,$A338)=0,"",IF(INDEX(Species!$A:$A,MATCH($A338,Species!$B:$B,0))="","",INDEX(Species!$A:$A,MATCH($A338,Species!$B:$B,0))))</f>
        <v/>
      </c>
      <c r="I338" s="19" t="str">
        <f aca="false">IF(COUNTIF(Species!$B:$B,$A338)=0,"",INDEX(Species!$F:$F,MATCH($A338,Species!$B:$B,0)))</f>
        <v/>
      </c>
      <c r="J338" s="19" t="n">
        <f aca="false">COUNTIFS(Clips!$F:$F,$A338,Clips!$C:$C,"train")</f>
        <v>0</v>
      </c>
      <c r="K338" s="19" t="n">
        <f aca="false">COUNTIF(Clips!$F:$F,$A338)</f>
        <v>0</v>
      </c>
      <c r="L338" s="19" t="str">
        <f aca="false">IF(J338&gt;0,"in train",IF(K338&gt;0,"audio, none in train",IF(C338&gt;=Overview!$B$9,"priority gap","no audio")))</f>
        <v>no audio</v>
      </c>
    </row>
    <row r="339" customFormat="false" ht="15" hidden="false" customHeight="false" outlineLevel="0" collapsed="false">
      <c r="A339" s="19" t="s">
        <v>9927</v>
      </c>
      <c r="B339" s="19" t="s">
        <v>9928</v>
      </c>
      <c r="C339" s="28" t="n">
        <f aca="false">D339/Overview!$B$10</f>
        <v>0.00259113652609006</v>
      </c>
      <c r="D339" s="29" t="n">
        <v>87</v>
      </c>
      <c r="E339" s="19" t="s">
        <v>9766</v>
      </c>
      <c r="F339" s="19" t="n">
        <v>1987</v>
      </c>
      <c r="G339" s="19" t="n">
        <v>2026</v>
      </c>
      <c r="H339" s="19" t="str">
        <f aca="false">IF(COUNTIF(Species!$B:$B,$A339)=0,"",IF(INDEX(Species!$A:$A,MATCH($A339,Species!$B:$B,0))="","",INDEX(Species!$A:$A,MATCH($A339,Species!$B:$B,0))))</f>
        <v/>
      </c>
      <c r="I339" s="19" t="str">
        <f aca="false">IF(COUNTIF(Species!$B:$B,$A339)=0,"",INDEX(Species!$F:$F,MATCH($A339,Species!$B:$B,0)))</f>
        <v/>
      </c>
      <c r="J339" s="19" t="n">
        <f aca="false">COUNTIFS(Clips!$F:$F,$A339,Clips!$C:$C,"train")</f>
        <v>0</v>
      </c>
      <c r="K339" s="19" t="n">
        <f aca="false">COUNTIF(Clips!$F:$F,$A339)</f>
        <v>0</v>
      </c>
      <c r="L339" s="19" t="str">
        <f aca="false">IF(J339&gt;0,"in train",IF(K339&gt;0,"audio, none in train",IF(C339&gt;=Overview!$B$9,"priority gap","no audio")))</f>
        <v>no audio</v>
      </c>
    </row>
    <row r="340" customFormat="false" ht="15" hidden="false" customHeight="false" outlineLevel="0" collapsed="false">
      <c r="A340" s="19" t="s">
        <v>366</v>
      </c>
      <c r="B340" s="19" t="s">
        <v>367</v>
      </c>
      <c r="C340" s="28" t="n">
        <f aca="false">D340/Overview!$B$10</f>
        <v>0.00256135334762926</v>
      </c>
      <c r="D340" s="29" t="n">
        <v>86</v>
      </c>
      <c r="E340" s="19" t="s">
        <v>9766</v>
      </c>
      <c r="F340" s="19" t="n">
        <v>1985</v>
      </c>
      <c r="G340" s="19" t="n">
        <v>2026</v>
      </c>
      <c r="H340" s="19" t="n">
        <f aca="false">IF(COUNTIF(Species!$B:$B,$A340)=0,"",IF(INDEX(Species!$A:$A,MATCH($A340,Species!$B:$B,0))="","",INDEX(Species!$A:$A,MATCH($A340,Species!$B:$B,0))))</f>
        <v>208</v>
      </c>
      <c r="I340" s="19" t="str">
        <f aca="false">IF(COUNTIF(Species!$B:$B,$A340)=0,"",INDEX(Species!$F:$F,MATCH($A340,Species!$B:$B,0)))</f>
        <v>core</v>
      </c>
      <c r="J340" s="19" t="n">
        <f aca="false">COUNTIFS(Clips!$F:$F,$A340,Clips!$C:$C,"train")</f>
        <v>9</v>
      </c>
      <c r="K340" s="19" t="n">
        <f aca="false">COUNTIF(Clips!$F:$F,$A340)</f>
        <v>13</v>
      </c>
      <c r="L340" s="19" t="str">
        <f aca="false">IF(J340&gt;0,"in train",IF(K340&gt;0,"audio, none in train",IF(C340&gt;=Overview!$B$9,"priority gap","no audio")))</f>
        <v>in train</v>
      </c>
    </row>
    <row r="341" customFormat="false" ht="15" hidden="false" customHeight="false" outlineLevel="0" collapsed="false">
      <c r="A341" s="19" t="s">
        <v>9929</v>
      </c>
      <c r="B341" s="19" t="s">
        <v>9930</v>
      </c>
      <c r="C341" s="28" t="n">
        <f aca="false">D341/Overview!$B$10</f>
        <v>0.00253157016916845</v>
      </c>
      <c r="D341" s="29" t="n">
        <v>85</v>
      </c>
      <c r="E341" s="19" t="s">
        <v>9931</v>
      </c>
      <c r="F341" s="19" t="n">
        <v>1979</v>
      </c>
      <c r="G341" s="19" t="n">
        <v>2026</v>
      </c>
      <c r="H341" s="19" t="str">
        <f aca="false">IF(COUNTIF(Species!$B:$B,$A341)=0,"",IF(INDEX(Species!$A:$A,MATCH($A341,Species!$B:$B,0))="","",INDEX(Species!$A:$A,MATCH($A341,Species!$B:$B,0))))</f>
        <v/>
      </c>
      <c r="I341" s="19" t="str">
        <f aca="false">IF(COUNTIF(Species!$B:$B,$A341)=0,"",INDEX(Species!$F:$F,MATCH($A341,Species!$B:$B,0)))</f>
        <v/>
      </c>
      <c r="J341" s="19" t="n">
        <f aca="false">COUNTIFS(Clips!$F:$F,$A341,Clips!$C:$C,"train")</f>
        <v>0</v>
      </c>
      <c r="K341" s="19" t="n">
        <f aca="false">COUNTIF(Clips!$F:$F,$A341)</f>
        <v>0</v>
      </c>
      <c r="L341" s="19" t="str">
        <f aca="false">IF(J341&gt;0,"in train",IF(K341&gt;0,"audio, none in train",IF(C341&gt;=Overview!$B$9,"priority gap","no audio")))</f>
        <v>no audio</v>
      </c>
    </row>
    <row r="342" customFormat="false" ht="15" hidden="false" customHeight="false" outlineLevel="0" collapsed="false">
      <c r="A342" s="19" t="s">
        <v>9932</v>
      </c>
      <c r="B342" s="19" t="s">
        <v>9933</v>
      </c>
      <c r="C342" s="28" t="n">
        <f aca="false">D342/Overview!$B$10</f>
        <v>0.00247200381224684</v>
      </c>
      <c r="D342" s="29" t="n">
        <v>83</v>
      </c>
      <c r="E342" s="19" t="s">
        <v>9723</v>
      </c>
      <c r="F342" s="19" t="n">
        <v>1979</v>
      </c>
      <c r="G342" s="19" t="n">
        <v>2024</v>
      </c>
      <c r="H342" s="19" t="str">
        <f aca="false">IF(COUNTIF(Species!$B:$B,$A342)=0,"",IF(INDEX(Species!$A:$A,MATCH($A342,Species!$B:$B,0))="","",INDEX(Species!$A:$A,MATCH($A342,Species!$B:$B,0))))</f>
        <v/>
      </c>
      <c r="I342" s="19" t="str">
        <f aca="false">IF(COUNTIF(Species!$B:$B,$A342)=0,"",INDEX(Species!$F:$F,MATCH($A342,Species!$B:$B,0)))</f>
        <v/>
      </c>
      <c r="J342" s="19" t="n">
        <f aca="false">COUNTIFS(Clips!$F:$F,$A342,Clips!$C:$C,"train")</f>
        <v>0</v>
      </c>
      <c r="K342" s="19" t="n">
        <f aca="false">COUNTIF(Clips!$F:$F,$A342)</f>
        <v>0</v>
      </c>
      <c r="L342" s="19" t="str">
        <f aca="false">IF(J342&gt;0,"in train",IF(K342&gt;0,"audio, none in train",IF(C342&gt;=Overview!$B$9,"priority gap","no audio")))</f>
        <v>no audio</v>
      </c>
    </row>
    <row r="343" customFormat="false" ht="15" hidden="false" customHeight="false" outlineLevel="0" collapsed="false">
      <c r="A343" s="19" t="s">
        <v>9934</v>
      </c>
      <c r="B343" s="19" t="s">
        <v>9935</v>
      </c>
      <c r="C343" s="28" t="n">
        <f aca="false">D343/Overview!$B$10</f>
        <v>0.00244222063378604</v>
      </c>
      <c r="D343" s="29" t="n">
        <v>82</v>
      </c>
      <c r="E343" s="19" t="s">
        <v>9862</v>
      </c>
      <c r="F343" s="19" t="n">
        <v>1977</v>
      </c>
      <c r="G343" s="19" t="n">
        <v>2026</v>
      </c>
      <c r="H343" s="19" t="str">
        <f aca="false">IF(COUNTIF(Species!$B:$B,$A343)=0,"",IF(INDEX(Species!$A:$A,MATCH($A343,Species!$B:$B,0))="","",INDEX(Species!$A:$A,MATCH($A343,Species!$B:$B,0))))</f>
        <v/>
      </c>
      <c r="I343" s="19" t="str">
        <f aca="false">IF(COUNTIF(Species!$B:$B,$A343)=0,"",INDEX(Species!$F:$F,MATCH($A343,Species!$B:$B,0)))</f>
        <v/>
      </c>
      <c r="J343" s="19" t="n">
        <f aca="false">COUNTIFS(Clips!$F:$F,$A343,Clips!$C:$C,"train")</f>
        <v>0</v>
      </c>
      <c r="K343" s="19" t="n">
        <f aca="false">COUNTIF(Clips!$F:$F,$A343)</f>
        <v>0</v>
      </c>
      <c r="L343" s="19" t="str">
        <f aca="false">IF(J343&gt;0,"in train",IF(K343&gt;0,"audio, none in train",IF(C343&gt;=Overview!$B$9,"priority gap","no audio")))</f>
        <v>no audio</v>
      </c>
    </row>
    <row r="344" customFormat="false" ht="15" hidden="false" customHeight="false" outlineLevel="0" collapsed="false">
      <c r="A344" s="19" t="s">
        <v>9936</v>
      </c>
      <c r="B344" s="19" t="s">
        <v>9937</v>
      </c>
      <c r="C344" s="28" t="n">
        <f aca="false">D344/Overview!$B$10</f>
        <v>0.00244222063378604</v>
      </c>
      <c r="D344" s="29" t="n">
        <v>82</v>
      </c>
      <c r="E344" s="19" t="s">
        <v>9692</v>
      </c>
      <c r="F344" s="19" t="n">
        <v>1983</v>
      </c>
      <c r="G344" s="19" t="n">
        <v>2026</v>
      </c>
      <c r="H344" s="19" t="str">
        <f aca="false">IF(COUNTIF(Species!$B:$B,$A344)=0,"",IF(INDEX(Species!$A:$A,MATCH($A344,Species!$B:$B,0))="","",INDEX(Species!$A:$A,MATCH($A344,Species!$B:$B,0))))</f>
        <v/>
      </c>
      <c r="I344" s="19" t="str">
        <f aca="false">IF(COUNTIF(Species!$B:$B,$A344)=0,"",INDEX(Species!$F:$F,MATCH($A344,Species!$B:$B,0)))</f>
        <v/>
      </c>
      <c r="J344" s="19" t="n">
        <f aca="false">COUNTIFS(Clips!$F:$F,$A344,Clips!$C:$C,"train")</f>
        <v>0</v>
      </c>
      <c r="K344" s="19" t="n">
        <f aca="false">COUNTIF(Clips!$F:$F,$A344)</f>
        <v>0</v>
      </c>
      <c r="L344" s="19" t="str">
        <f aca="false">IF(J344&gt;0,"in train",IF(K344&gt;0,"audio, none in train",IF(C344&gt;=Overview!$B$9,"priority gap","no audio")))</f>
        <v>no audio</v>
      </c>
    </row>
    <row r="345" customFormat="false" ht="15" hidden="false" customHeight="false" outlineLevel="0" collapsed="false">
      <c r="A345" s="19" t="s">
        <v>829</v>
      </c>
      <c r="B345" s="19" t="s">
        <v>830</v>
      </c>
      <c r="C345" s="28" t="n">
        <f aca="false">D345/Overview!$B$10</f>
        <v>0.00241243745532523</v>
      </c>
      <c r="D345" s="29" t="n">
        <v>81</v>
      </c>
      <c r="E345" s="19" t="s">
        <v>9938</v>
      </c>
      <c r="F345" s="19" t="n">
        <v>1977</v>
      </c>
      <c r="G345" s="19" t="n">
        <v>2026</v>
      </c>
      <c r="H345" s="19" t="n">
        <f aca="false">IF(COUNTIF(Species!$B:$B,$A345)=0,"",IF(INDEX(Species!$A:$A,MATCH($A345,Species!$B:$B,0))="","",INDEX(Species!$A:$A,MATCH($A345,Species!$B:$B,0))))</f>
        <v>140</v>
      </c>
      <c r="I345" s="19" t="str">
        <f aca="false">IF(COUNTIF(Species!$B:$B,$A345)=0,"",INDEX(Species!$F:$F,MATCH($A345,Species!$B:$B,0)))</f>
        <v>singleton</v>
      </c>
      <c r="J345" s="19" t="n">
        <f aca="false">COUNTIFS(Clips!$F:$F,$A345,Clips!$C:$C,"train")</f>
        <v>0</v>
      </c>
      <c r="K345" s="19" t="n">
        <f aca="false">COUNTIF(Clips!$F:$F,$A345)</f>
        <v>1</v>
      </c>
      <c r="L345" s="19" t="str">
        <f aca="false">IF(J345&gt;0,"in train",IF(K345&gt;0,"audio, none in train",IF(C345&gt;=Overview!$B$9,"priority gap","no audio")))</f>
        <v>audio, none in train</v>
      </c>
    </row>
    <row r="346" customFormat="false" ht="15" hidden="false" customHeight="false" outlineLevel="0" collapsed="false">
      <c r="A346" s="19" t="s">
        <v>9939</v>
      </c>
      <c r="B346" s="19" t="s">
        <v>9940</v>
      </c>
      <c r="C346" s="28" t="n">
        <f aca="false">D346/Overview!$B$10</f>
        <v>0.00241243745532523</v>
      </c>
      <c r="D346" s="29" t="n">
        <v>81</v>
      </c>
      <c r="E346" s="19" t="s">
        <v>9941</v>
      </c>
      <c r="F346" s="19" t="n">
        <v>1987</v>
      </c>
      <c r="G346" s="19" t="n">
        <v>2025</v>
      </c>
      <c r="H346" s="19" t="str">
        <f aca="false">IF(COUNTIF(Species!$B:$B,$A346)=0,"",IF(INDEX(Species!$A:$A,MATCH($A346,Species!$B:$B,0))="","",INDEX(Species!$A:$A,MATCH($A346,Species!$B:$B,0))))</f>
        <v/>
      </c>
      <c r="I346" s="19" t="str">
        <f aca="false">IF(COUNTIF(Species!$B:$B,$A346)=0,"",INDEX(Species!$F:$F,MATCH($A346,Species!$B:$B,0)))</f>
        <v/>
      </c>
      <c r="J346" s="19" t="n">
        <f aca="false">COUNTIFS(Clips!$F:$F,$A346,Clips!$C:$C,"train")</f>
        <v>0</v>
      </c>
      <c r="K346" s="19" t="n">
        <f aca="false">COUNTIF(Clips!$F:$F,$A346)</f>
        <v>0</v>
      </c>
      <c r="L346" s="19" t="str">
        <f aca="false">IF(J346&gt;0,"in train",IF(K346&gt;0,"audio, none in train",IF(C346&gt;=Overview!$B$9,"priority gap","no audio")))</f>
        <v>no audio</v>
      </c>
    </row>
    <row r="347" customFormat="false" ht="15" hidden="false" customHeight="false" outlineLevel="0" collapsed="false">
      <c r="A347" s="19" t="s">
        <v>728</v>
      </c>
      <c r="B347" s="19" t="s">
        <v>729</v>
      </c>
      <c r="C347" s="28" t="n">
        <f aca="false">D347/Overview!$B$10</f>
        <v>0.00238265427686443</v>
      </c>
      <c r="D347" s="29" t="n">
        <v>80</v>
      </c>
      <c r="E347" s="19" t="s">
        <v>9649</v>
      </c>
      <c r="F347" s="19" t="n">
        <v>1977</v>
      </c>
      <c r="G347" s="19" t="n">
        <v>2026</v>
      </c>
      <c r="H347" s="19" t="n">
        <f aca="false">IF(COUNTIF(Species!$B:$B,$A347)=0,"",IF(INDEX(Species!$A:$A,MATCH($A347,Species!$B:$B,0))="","",INDEX(Species!$A:$A,MATCH($A347,Species!$B:$B,0))))</f>
        <v>196</v>
      </c>
      <c r="I347" s="19" t="str">
        <f aca="false">IF(COUNTIF(Species!$B:$B,$A347)=0,"",INDEX(Species!$F:$F,MATCH($A347,Species!$B:$B,0)))</f>
        <v>few_shot</v>
      </c>
      <c r="J347" s="19" t="n">
        <f aca="false">COUNTIFS(Clips!$F:$F,$A347,Clips!$C:$C,"train")</f>
        <v>1</v>
      </c>
      <c r="K347" s="19" t="n">
        <f aca="false">COUNTIF(Clips!$F:$F,$A347)</f>
        <v>2</v>
      </c>
      <c r="L347" s="19" t="str">
        <f aca="false">IF(J347&gt;0,"in train",IF(K347&gt;0,"audio, none in train",IF(C347&gt;=Overview!$B$9,"priority gap","no audio")))</f>
        <v>in train</v>
      </c>
    </row>
    <row r="348" customFormat="false" ht="15" hidden="false" customHeight="false" outlineLevel="0" collapsed="false">
      <c r="A348" s="19" t="s">
        <v>9942</v>
      </c>
      <c r="B348" s="19" t="s">
        <v>9943</v>
      </c>
      <c r="C348" s="28" t="n">
        <f aca="false">D348/Overview!$B$10</f>
        <v>0.00232308791994282</v>
      </c>
      <c r="D348" s="29" t="n">
        <v>78</v>
      </c>
      <c r="E348" s="19" t="s">
        <v>9655</v>
      </c>
      <c r="F348" s="19" t="n">
        <v>1979</v>
      </c>
      <c r="G348" s="19" t="n">
        <v>2025</v>
      </c>
      <c r="H348" s="19" t="str">
        <f aca="false">IF(COUNTIF(Species!$B:$B,$A348)=0,"",IF(INDEX(Species!$A:$A,MATCH($A348,Species!$B:$B,0))="","",INDEX(Species!$A:$A,MATCH($A348,Species!$B:$B,0))))</f>
        <v/>
      </c>
      <c r="I348" s="19" t="str">
        <f aca="false">IF(COUNTIF(Species!$B:$B,$A348)=0,"",INDEX(Species!$F:$F,MATCH($A348,Species!$B:$B,0)))</f>
        <v/>
      </c>
      <c r="J348" s="19" t="n">
        <f aca="false">COUNTIFS(Clips!$F:$F,$A348,Clips!$C:$C,"train")</f>
        <v>0</v>
      </c>
      <c r="K348" s="19" t="n">
        <f aca="false">COUNTIF(Clips!$F:$F,$A348)</f>
        <v>0</v>
      </c>
      <c r="L348" s="19" t="str">
        <f aca="false">IF(J348&gt;0,"in train",IF(K348&gt;0,"audio, none in train",IF(C348&gt;=Overview!$B$9,"priority gap","no audio")))</f>
        <v>no audio</v>
      </c>
    </row>
    <row r="349" customFormat="false" ht="15" hidden="false" customHeight="false" outlineLevel="0" collapsed="false">
      <c r="A349" s="19" t="s">
        <v>9944</v>
      </c>
      <c r="B349" s="19" t="s">
        <v>9945</v>
      </c>
      <c r="C349" s="28" t="n">
        <f aca="false">D349/Overview!$B$10</f>
        <v>0.00229330474148201</v>
      </c>
      <c r="D349" s="29" t="n">
        <v>77</v>
      </c>
      <c r="E349" s="19" t="s">
        <v>9946</v>
      </c>
      <c r="F349" s="19" t="n">
        <v>1972</v>
      </c>
      <c r="G349" s="19" t="n">
        <v>2025</v>
      </c>
      <c r="H349" s="19" t="str">
        <f aca="false">IF(COUNTIF(Species!$B:$B,$A349)=0,"",IF(INDEX(Species!$A:$A,MATCH($A349,Species!$B:$B,0))="","",INDEX(Species!$A:$A,MATCH($A349,Species!$B:$B,0))))</f>
        <v/>
      </c>
      <c r="I349" s="19" t="str">
        <f aca="false">IF(COUNTIF(Species!$B:$B,$A349)=0,"",INDEX(Species!$F:$F,MATCH($A349,Species!$B:$B,0)))</f>
        <v/>
      </c>
      <c r="J349" s="19" t="n">
        <f aca="false">COUNTIFS(Clips!$F:$F,$A349,Clips!$C:$C,"train")</f>
        <v>0</v>
      </c>
      <c r="K349" s="19" t="n">
        <f aca="false">COUNTIF(Clips!$F:$F,$A349)</f>
        <v>0</v>
      </c>
      <c r="L349" s="19" t="str">
        <f aca="false">IF(J349&gt;0,"in train",IF(K349&gt;0,"audio, none in train",IF(C349&gt;=Overview!$B$9,"priority gap","no audio")))</f>
        <v>no audio</v>
      </c>
    </row>
    <row r="350" customFormat="false" ht="15" hidden="false" customHeight="false" outlineLevel="0" collapsed="false">
      <c r="A350" s="19" t="s">
        <v>9947</v>
      </c>
      <c r="B350" s="19" t="s">
        <v>9948</v>
      </c>
      <c r="C350" s="28" t="n">
        <f aca="false">D350/Overview!$B$10</f>
        <v>0.00229330474148201</v>
      </c>
      <c r="D350" s="29" t="n">
        <v>77</v>
      </c>
      <c r="E350" s="19" t="s">
        <v>9949</v>
      </c>
      <c r="F350" s="19" t="n">
        <v>1989</v>
      </c>
      <c r="G350" s="19" t="n">
        <v>2026</v>
      </c>
      <c r="H350" s="19" t="str">
        <f aca="false">IF(COUNTIF(Species!$B:$B,$A350)=0,"",IF(INDEX(Species!$A:$A,MATCH($A350,Species!$B:$B,0))="","",INDEX(Species!$A:$A,MATCH($A350,Species!$B:$B,0))))</f>
        <v/>
      </c>
      <c r="I350" s="19" t="str">
        <f aca="false">IF(COUNTIF(Species!$B:$B,$A350)=0,"",INDEX(Species!$F:$F,MATCH($A350,Species!$B:$B,0)))</f>
        <v/>
      </c>
      <c r="J350" s="19" t="n">
        <f aca="false">COUNTIFS(Clips!$F:$F,$A350,Clips!$C:$C,"train")</f>
        <v>0</v>
      </c>
      <c r="K350" s="19" t="n">
        <f aca="false">COUNTIF(Clips!$F:$F,$A350)</f>
        <v>0</v>
      </c>
      <c r="L350" s="19" t="str">
        <f aca="false">IF(J350&gt;0,"in train",IF(K350&gt;0,"audio, none in train",IF(C350&gt;=Overview!$B$9,"priority gap","no audio")))</f>
        <v>no audio</v>
      </c>
    </row>
    <row r="351" customFormat="false" ht="15" hidden="false" customHeight="false" outlineLevel="0" collapsed="false">
      <c r="A351" s="19" t="s">
        <v>731</v>
      </c>
      <c r="B351" s="19" t="s">
        <v>732</v>
      </c>
      <c r="C351" s="28" t="n">
        <f aca="false">D351/Overview!$B$10</f>
        <v>0.00226352156302121</v>
      </c>
      <c r="D351" s="29" t="n">
        <v>76</v>
      </c>
      <c r="E351" s="19" t="s">
        <v>9766</v>
      </c>
      <c r="F351" s="19" t="n">
        <v>1977</v>
      </c>
      <c r="G351" s="19" t="n">
        <v>2025</v>
      </c>
      <c r="H351" s="19" t="n">
        <f aca="false">IF(COUNTIF(Species!$B:$B,$A351)=0,"",IF(INDEX(Species!$A:$A,MATCH($A351,Species!$B:$B,0))="","",INDEX(Species!$A:$A,MATCH($A351,Species!$B:$B,0))))</f>
        <v>206</v>
      </c>
      <c r="I351" s="19" t="str">
        <f aca="false">IF(COUNTIF(Species!$B:$B,$A351)=0,"",INDEX(Species!$F:$F,MATCH($A351,Species!$B:$B,0)))</f>
        <v>few_shot</v>
      </c>
      <c r="J351" s="19" t="n">
        <f aca="false">COUNTIFS(Clips!$F:$F,$A351,Clips!$C:$C,"train")</f>
        <v>1</v>
      </c>
      <c r="K351" s="19" t="n">
        <f aca="false">COUNTIF(Clips!$F:$F,$A351)</f>
        <v>2</v>
      </c>
      <c r="L351" s="19" t="str">
        <f aca="false">IF(J351&gt;0,"in train",IF(K351&gt;0,"audio, none in train",IF(C351&gt;=Overview!$B$9,"priority gap","no audio")))</f>
        <v>in train</v>
      </c>
    </row>
    <row r="352" customFormat="false" ht="15" hidden="false" customHeight="false" outlineLevel="0" collapsed="false">
      <c r="A352" s="19" t="s">
        <v>9950</v>
      </c>
      <c r="B352" s="19" t="s">
        <v>9951</v>
      </c>
      <c r="C352" s="28" t="n">
        <f aca="false">D352/Overview!$B$10</f>
        <v>0.0022039552060996</v>
      </c>
      <c r="D352" s="29" t="n">
        <v>74</v>
      </c>
      <c r="E352" s="19" t="s">
        <v>9786</v>
      </c>
      <c r="F352" s="19" t="n">
        <v>1973</v>
      </c>
      <c r="G352" s="19" t="n">
        <v>2026</v>
      </c>
      <c r="H352" s="19" t="str">
        <f aca="false">IF(COUNTIF(Species!$B:$B,$A352)=0,"",IF(INDEX(Species!$A:$A,MATCH($A352,Species!$B:$B,0))="","",INDEX(Species!$A:$A,MATCH($A352,Species!$B:$B,0))))</f>
        <v/>
      </c>
      <c r="I352" s="19" t="str">
        <f aca="false">IF(COUNTIF(Species!$B:$B,$A352)=0,"",INDEX(Species!$F:$F,MATCH($A352,Species!$B:$B,0)))</f>
        <v/>
      </c>
      <c r="J352" s="19" t="n">
        <f aca="false">COUNTIFS(Clips!$F:$F,$A352,Clips!$C:$C,"train")</f>
        <v>0</v>
      </c>
      <c r="K352" s="19" t="n">
        <f aca="false">COUNTIF(Clips!$F:$F,$A352)</f>
        <v>0</v>
      </c>
      <c r="L352" s="19" t="str">
        <f aca="false">IF(J352&gt;0,"in train",IF(K352&gt;0,"audio, none in train",IF(C352&gt;=Overview!$B$9,"priority gap","no audio")))</f>
        <v>no audio</v>
      </c>
    </row>
    <row r="353" customFormat="false" ht="15" hidden="false" customHeight="false" outlineLevel="0" collapsed="false">
      <c r="A353" s="19" t="s">
        <v>9952</v>
      </c>
      <c r="B353" s="19" t="s">
        <v>9953</v>
      </c>
      <c r="C353" s="28" t="n">
        <f aca="false">D353/Overview!$B$10</f>
        <v>0.00217417202763879</v>
      </c>
      <c r="D353" s="29" t="n">
        <v>73</v>
      </c>
      <c r="E353" s="19" t="s">
        <v>9954</v>
      </c>
      <c r="F353" s="19" t="n">
        <v>1988</v>
      </c>
      <c r="G353" s="19" t="n">
        <v>2024</v>
      </c>
      <c r="H353" s="19" t="str">
        <f aca="false">IF(COUNTIF(Species!$B:$B,$A353)=0,"",IF(INDEX(Species!$A:$A,MATCH($A353,Species!$B:$B,0))="","",INDEX(Species!$A:$A,MATCH($A353,Species!$B:$B,0))))</f>
        <v/>
      </c>
      <c r="I353" s="19" t="str">
        <f aca="false">IF(COUNTIF(Species!$B:$B,$A353)=0,"",INDEX(Species!$F:$F,MATCH($A353,Species!$B:$B,0)))</f>
        <v/>
      </c>
      <c r="J353" s="19" t="n">
        <f aca="false">COUNTIFS(Clips!$F:$F,$A353,Clips!$C:$C,"train")</f>
        <v>0</v>
      </c>
      <c r="K353" s="19" t="n">
        <f aca="false">COUNTIF(Clips!$F:$F,$A353)</f>
        <v>0</v>
      </c>
      <c r="L353" s="19" t="str">
        <f aca="false">IF(J353&gt;0,"in train",IF(K353&gt;0,"audio, none in train",IF(C353&gt;=Overview!$B$9,"priority gap","no audio")))</f>
        <v>no audio</v>
      </c>
    </row>
    <row r="354" customFormat="false" ht="15" hidden="false" customHeight="false" outlineLevel="0" collapsed="false">
      <c r="A354" s="19" t="s">
        <v>9955</v>
      </c>
      <c r="B354" s="19" t="s">
        <v>9956</v>
      </c>
      <c r="C354" s="28" t="n">
        <f aca="false">D354/Overview!$B$10</f>
        <v>0.00214438884917798</v>
      </c>
      <c r="D354" s="29" t="n">
        <v>72</v>
      </c>
      <c r="E354" s="19" t="s">
        <v>9957</v>
      </c>
      <c r="F354" s="19" t="n">
        <v>1977</v>
      </c>
      <c r="G354" s="19" t="n">
        <v>2026</v>
      </c>
      <c r="H354" s="19" t="str">
        <f aca="false">IF(COUNTIF(Species!$B:$B,$A354)=0,"",IF(INDEX(Species!$A:$A,MATCH($A354,Species!$B:$B,0))="","",INDEX(Species!$A:$A,MATCH($A354,Species!$B:$B,0))))</f>
        <v/>
      </c>
      <c r="I354" s="19" t="str">
        <f aca="false">IF(COUNTIF(Species!$B:$B,$A354)=0,"",INDEX(Species!$F:$F,MATCH($A354,Species!$B:$B,0)))</f>
        <v/>
      </c>
      <c r="J354" s="19" t="n">
        <f aca="false">COUNTIFS(Clips!$F:$F,$A354,Clips!$C:$C,"train")</f>
        <v>0</v>
      </c>
      <c r="K354" s="19" t="n">
        <f aca="false">COUNTIF(Clips!$F:$F,$A354)</f>
        <v>0</v>
      </c>
      <c r="L354" s="19" t="str">
        <f aca="false">IF(J354&gt;0,"in train",IF(K354&gt;0,"audio, none in train",IF(C354&gt;=Overview!$B$9,"priority gap","no audio")))</f>
        <v>no audio</v>
      </c>
    </row>
    <row r="355" customFormat="false" ht="15" hidden="false" customHeight="false" outlineLevel="0" collapsed="false">
      <c r="A355" s="19" t="s">
        <v>9958</v>
      </c>
      <c r="B355" s="19" t="s">
        <v>9959</v>
      </c>
      <c r="C355" s="28" t="n">
        <f aca="false">D355/Overview!$B$10</f>
        <v>0.00208482249225637</v>
      </c>
      <c r="D355" s="29" t="n">
        <v>70</v>
      </c>
      <c r="E355" s="19" t="s">
        <v>9960</v>
      </c>
      <c r="F355" s="19" t="n">
        <v>1972</v>
      </c>
      <c r="G355" s="19" t="n">
        <v>2026</v>
      </c>
      <c r="H355" s="19" t="str">
        <f aca="false">IF(COUNTIF(Species!$B:$B,$A355)=0,"",IF(INDEX(Species!$A:$A,MATCH($A355,Species!$B:$B,0))="","",INDEX(Species!$A:$A,MATCH($A355,Species!$B:$B,0))))</f>
        <v/>
      </c>
      <c r="I355" s="19" t="str">
        <f aca="false">IF(COUNTIF(Species!$B:$B,$A355)=0,"",INDEX(Species!$F:$F,MATCH($A355,Species!$B:$B,0)))</f>
        <v/>
      </c>
      <c r="J355" s="19" t="n">
        <f aca="false">COUNTIFS(Clips!$F:$F,$A355,Clips!$C:$C,"train")</f>
        <v>0</v>
      </c>
      <c r="K355" s="19" t="n">
        <f aca="false">COUNTIF(Clips!$F:$F,$A355)</f>
        <v>0</v>
      </c>
      <c r="L355" s="19" t="str">
        <f aca="false">IF(J355&gt;0,"in train",IF(K355&gt;0,"audio, none in train",IF(C355&gt;=Overview!$B$9,"priority gap","no audio")))</f>
        <v>no audio</v>
      </c>
    </row>
    <row r="356" customFormat="false" ht="15" hidden="false" customHeight="false" outlineLevel="0" collapsed="false">
      <c r="A356" s="19" t="s">
        <v>805</v>
      </c>
      <c r="B356" s="19" t="s">
        <v>806</v>
      </c>
      <c r="C356" s="28" t="n">
        <f aca="false">D356/Overview!$B$10</f>
        <v>0.00196568977841315</v>
      </c>
      <c r="D356" s="29" t="n">
        <v>66</v>
      </c>
      <c r="E356" s="19" t="s">
        <v>9649</v>
      </c>
      <c r="F356" s="19" t="n">
        <v>1972</v>
      </c>
      <c r="G356" s="19" t="n">
        <v>2026</v>
      </c>
      <c r="H356" s="19" t="n">
        <f aca="false">IF(COUNTIF(Species!$B:$B,$A356)=0,"",IF(INDEX(Species!$A:$A,MATCH($A356,Species!$B:$B,0))="","",INDEX(Species!$A:$A,MATCH($A356,Species!$B:$B,0))))</f>
        <v>84</v>
      </c>
      <c r="I356" s="19" t="str">
        <f aca="false">IF(COUNTIF(Species!$B:$B,$A356)=0,"",INDEX(Species!$F:$F,MATCH($A356,Species!$B:$B,0)))</f>
        <v>singleton</v>
      </c>
      <c r="J356" s="19" t="n">
        <f aca="false">COUNTIFS(Clips!$F:$F,$A356,Clips!$C:$C,"train")</f>
        <v>0</v>
      </c>
      <c r="K356" s="19" t="n">
        <f aca="false">COUNTIF(Clips!$F:$F,$A356)</f>
        <v>1</v>
      </c>
      <c r="L356" s="19" t="str">
        <f aca="false">IF(J356&gt;0,"in train",IF(K356&gt;0,"audio, none in train",IF(C356&gt;=Overview!$B$9,"priority gap","no audio")))</f>
        <v>audio, none in train</v>
      </c>
    </row>
    <row r="357" customFormat="false" ht="15" hidden="false" customHeight="false" outlineLevel="0" collapsed="false">
      <c r="A357" s="19" t="s">
        <v>9961</v>
      </c>
      <c r="B357" s="19" t="s">
        <v>9962</v>
      </c>
      <c r="C357" s="28" t="n">
        <f aca="false">D357/Overview!$B$10</f>
        <v>0.00193590659995235</v>
      </c>
      <c r="D357" s="29" t="n">
        <v>65</v>
      </c>
      <c r="E357" s="19" t="s">
        <v>9946</v>
      </c>
      <c r="F357" s="19" t="n">
        <v>1999</v>
      </c>
      <c r="G357" s="19" t="n">
        <v>2026</v>
      </c>
      <c r="H357" s="19" t="str">
        <f aca="false">IF(COUNTIF(Species!$B:$B,$A357)=0,"",IF(INDEX(Species!$A:$A,MATCH($A357,Species!$B:$B,0))="","",INDEX(Species!$A:$A,MATCH($A357,Species!$B:$B,0))))</f>
        <v/>
      </c>
      <c r="I357" s="19" t="str">
        <f aca="false">IF(COUNTIF(Species!$B:$B,$A357)=0,"",INDEX(Species!$F:$F,MATCH($A357,Species!$B:$B,0)))</f>
        <v/>
      </c>
      <c r="J357" s="19" t="n">
        <f aca="false">COUNTIFS(Clips!$F:$F,$A357,Clips!$C:$C,"train")</f>
        <v>0</v>
      </c>
      <c r="K357" s="19" t="n">
        <f aca="false">COUNTIF(Clips!$F:$F,$A357)</f>
        <v>0</v>
      </c>
      <c r="L357" s="19" t="str">
        <f aca="false">IF(J357&gt;0,"in train",IF(K357&gt;0,"audio, none in train",IF(C357&gt;=Overview!$B$9,"priority gap","no audio")))</f>
        <v>no audio</v>
      </c>
    </row>
    <row r="358" customFormat="false" ht="15" hidden="false" customHeight="false" outlineLevel="0" collapsed="false">
      <c r="A358" s="19" t="s">
        <v>9963</v>
      </c>
      <c r="B358" s="19" t="s">
        <v>9964</v>
      </c>
      <c r="C358" s="28" t="n">
        <f aca="false">D358/Overview!$B$10</f>
        <v>0.00193590659995235</v>
      </c>
      <c r="D358" s="29" t="n">
        <v>65</v>
      </c>
      <c r="E358" s="19" t="s">
        <v>9692</v>
      </c>
      <c r="F358" s="19" t="n">
        <v>1983</v>
      </c>
      <c r="G358" s="19" t="n">
        <v>2025</v>
      </c>
      <c r="H358" s="19" t="str">
        <f aca="false">IF(COUNTIF(Species!$B:$B,$A358)=0,"",IF(INDEX(Species!$A:$A,MATCH($A358,Species!$B:$B,0))="","",INDEX(Species!$A:$A,MATCH($A358,Species!$B:$B,0))))</f>
        <v/>
      </c>
      <c r="I358" s="19" t="str">
        <f aca="false">IF(COUNTIF(Species!$B:$B,$A358)=0,"",INDEX(Species!$F:$F,MATCH($A358,Species!$B:$B,0)))</f>
        <v/>
      </c>
      <c r="J358" s="19" t="n">
        <f aca="false">COUNTIFS(Clips!$F:$F,$A358,Clips!$C:$C,"train")</f>
        <v>0</v>
      </c>
      <c r="K358" s="19" t="n">
        <f aca="false">COUNTIF(Clips!$F:$F,$A358)</f>
        <v>0</v>
      </c>
      <c r="L358" s="19" t="str">
        <f aca="false">IF(J358&gt;0,"in train",IF(K358&gt;0,"audio, none in train",IF(C358&gt;=Overview!$B$9,"priority gap","no audio")))</f>
        <v>no audio</v>
      </c>
    </row>
    <row r="359" customFormat="false" ht="15" hidden="false" customHeight="false" outlineLevel="0" collapsed="false">
      <c r="A359" s="19" t="s">
        <v>761</v>
      </c>
      <c r="B359" s="19" t="s">
        <v>762</v>
      </c>
      <c r="C359" s="28" t="n">
        <f aca="false">D359/Overview!$B$10</f>
        <v>0.00190612342149154</v>
      </c>
      <c r="D359" s="29" t="n">
        <v>64</v>
      </c>
      <c r="E359" s="19" t="s">
        <v>9965</v>
      </c>
      <c r="F359" s="19" t="n">
        <v>1990</v>
      </c>
      <c r="G359" s="19" t="n">
        <v>2026</v>
      </c>
      <c r="H359" s="19" t="n">
        <f aca="false">IF(COUNTIF(Species!$B:$B,$A359)=0,"",IF(INDEX(Species!$A:$A,MATCH($A359,Species!$B:$B,0))="","",INDEX(Species!$A:$A,MATCH($A359,Species!$B:$B,0))))</f>
        <v>13</v>
      </c>
      <c r="I359" s="19" t="str">
        <f aca="false">IF(COUNTIF(Species!$B:$B,$A359)=0,"",INDEX(Species!$F:$F,MATCH($A359,Species!$B:$B,0)))</f>
        <v>singleton</v>
      </c>
      <c r="J359" s="19" t="n">
        <f aca="false">COUNTIFS(Clips!$F:$F,$A359,Clips!$C:$C,"train")</f>
        <v>0</v>
      </c>
      <c r="K359" s="19" t="n">
        <f aca="false">COUNTIF(Clips!$F:$F,$A359)</f>
        <v>1</v>
      </c>
      <c r="L359" s="19" t="str">
        <f aca="false">IF(J359&gt;0,"in train",IF(K359&gt;0,"audio, none in train",IF(C359&gt;=Overview!$B$9,"priority gap","no audio")))</f>
        <v>audio, none in train</v>
      </c>
    </row>
    <row r="360" customFormat="false" ht="15" hidden="false" customHeight="false" outlineLevel="0" collapsed="false">
      <c r="A360" s="19" t="s">
        <v>9966</v>
      </c>
      <c r="B360" s="19" t="s">
        <v>9967</v>
      </c>
      <c r="C360" s="28" t="n">
        <f aca="false">D360/Overview!$B$10</f>
        <v>0.00184655706456993</v>
      </c>
      <c r="D360" s="29" t="n">
        <v>62</v>
      </c>
      <c r="E360" s="19" t="s">
        <v>9692</v>
      </c>
      <c r="F360" s="19" t="n">
        <v>1985</v>
      </c>
      <c r="G360" s="19" t="n">
        <v>2025</v>
      </c>
      <c r="H360" s="19" t="str">
        <f aca="false">IF(COUNTIF(Species!$B:$B,$A360)=0,"",IF(INDEX(Species!$A:$A,MATCH($A360,Species!$B:$B,0))="","",INDEX(Species!$A:$A,MATCH($A360,Species!$B:$B,0))))</f>
        <v/>
      </c>
      <c r="I360" s="19" t="str">
        <f aca="false">IF(COUNTIF(Species!$B:$B,$A360)=0,"",INDEX(Species!$F:$F,MATCH($A360,Species!$B:$B,0)))</f>
        <v/>
      </c>
      <c r="J360" s="19" t="n">
        <f aca="false">COUNTIFS(Clips!$F:$F,$A360,Clips!$C:$C,"train")</f>
        <v>0</v>
      </c>
      <c r="K360" s="19" t="n">
        <f aca="false">COUNTIF(Clips!$F:$F,$A360)</f>
        <v>0</v>
      </c>
      <c r="L360" s="19" t="str">
        <f aca="false">IF(J360&gt;0,"in train",IF(K360&gt;0,"audio, none in train",IF(C360&gt;=Overview!$B$9,"priority gap","no audio")))</f>
        <v>no audio</v>
      </c>
    </row>
    <row r="361" customFormat="false" ht="15" hidden="false" customHeight="false" outlineLevel="0" collapsed="false">
      <c r="A361" s="19" t="s">
        <v>9968</v>
      </c>
      <c r="B361" s="19" t="s">
        <v>9969</v>
      </c>
      <c r="C361" s="28" t="n">
        <f aca="false">D361/Overview!$B$10</f>
        <v>0.00181677388610913</v>
      </c>
      <c r="D361" s="29" t="n">
        <v>61</v>
      </c>
      <c r="E361" s="19" t="s">
        <v>9970</v>
      </c>
      <c r="F361" s="19" t="n">
        <v>1989</v>
      </c>
      <c r="G361" s="19" t="n">
        <v>2025</v>
      </c>
      <c r="H361" s="19" t="str">
        <f aca="false">IF(COUNTIF(Species!$B:$B,$A361)=0,"",IF(INDEX(Species!$A:$A,MATCH($A361,Species!$B:$B,0))="","",INDEX(Species!$A:$A,MATCH($A361,Species!$B:$B,0))))</f>
        <v/>
      </c>
      <c r="I361" s="19" t="str">
        <f aca="false">IF(COUNTIF(Species!$B:$B,$A361)=0,"",INDEX(Species!$F:$F,MATCH($A361,Species!$B:$B,0)))</f>
        <v/>
      </c>
      <c r="J361" s="19" t="n">
        <f aca="false">COUNTIFS(Clips!$F:$F,$A361,Clips!$C:$C,"train")</f>
        <v>0</v>
      </c>
      <c r="K361" s="19" t="n">
        <f aca="false">COUNTIF(Clips!$F:$F,$A361)</f>
        <v>0</v>
      </c>
      <c r="L361" s="19" t="str">
        <f aca="false">IF(J361&gt;0,"in train",IF(K361&gt;0,"audio, none in train",IF(C361&gt;=Overview!$B$9,"priority gap","no audio")))</f>
        <v>no audio</v>
      </c>
    </row>
    <row r="362" customFormat="false" ht="15" hidden="false" customHeight="false" outlineLevel="0" collapsed="false">
      <c r="A362" s="19" t="s">
        <v>9971</v>
      </c>
      <c r="B362" s="19" t="s">
        <v>9972</v>
      </c>
      <c r="C362" s="28" t="n">
        <f aca="false">D362/Overview!$B$10</f>
        <v>0.00178699070764832</v>
      </c>
      <c r="D362" s="29" t="n">
        <v>60</v>
      </c>
      <c r="E362" s="19" t="s">
        <v>9835</v>
      </c>
      <c r="F362" s="19" t="n">
        <v>1979</v>
      </c>
      <c r="G362" s="19" t="n">
        <v>2026</v>
      </c>
      <c r="H362" s="19" t="str">
        <f aca="false">IF(COUNTIF(Species!$B:$B,$A362)=0,"",IF(INDEX(Species!$A:$A,MATCH($A362,Species!$B:$B,0))="","",INDEX(Species!$A:$A,MATCH($A362,Species!$B:$B,0))))</f>
        <v/>
      </c>
      <c r="I362" s="19" t="str">
        <f aca="false">IF(COUNTIF(Species!$B:$B,$A362)=0,"",INDEX(Species!$F:$F,MATCH($A362,Species!$B:$B,0)))</f>
        <v/>
      </c>
      <c r="J362" s="19" t="n">
        <f aca="false">COUNTIFS(Clips!$F:$F,$A362,Clips!$C:$C,"train")</f>
        <v>0</v>
      </c>
      <c r="K362" s="19" t="n">
        <f aca="false">COUNTIF(Clips!$F:$F,$A362)</f>
        <v>0</v>
      </c>
      <c r="L362" s="19" t="str">
        <f aca="false">IF(J362&gt;0,"in train",IF(K362&gt;0,"audio, none in train",IF(C362&gt;=Overview!$B$9,"priority gap","no audio")))</f>
        <v>no audio</v>
      </c>
    </row>
    <row r="363" customFormat="false" ht="15" hidden="false" customHeight="false" outlineLevel="0" collapsed="false">
      <c r="A363" s="19" t="s">
        <v>9973</v>
      </c>
      <c r="B363" s="19" t="s">
        <v>9974</v>
      </c>
      <c r="C363" s="28" t="n">
        <f aca="false">D363/Overview!$B$10</f>
        <v>0.00175720752918752</v>
      </c>
      <c r="D363" s="29" t="n">
        <v>59</v>
      </c>
      <c r="E363" s="19" t="s">
        <v>9655</v>
      </c>
      <c r="F363" s="19" t="n">
        <v>1990</v>
      </c>
      <c r="G363" s="19" t="n">
        <v>2026</v>
      </c>
      <c r="H363" s="19" t="str">
        <f aca="false">IF(COUNTIF(Species!$B:$B,$A363)=0,"",IF(INDEX(Species!$A:$A,MATCH($A363,Species!$B:$B,0))="","",INDEX(Species!$A:$A,MATCH($A363,Species!$B:$B,0))))</f>
        <v/>
      </c>
      <c r="I363" s="19" t="str">
        <f aca="false">IF(COUNTIF(Species!$B:$B,$A363)=0,"",INDEX(Species!$F:$F,MATCH($A363,Species!$B:$B,0)))</f>
        <v/>
      </c>
      <c r="J363" s="19" t="n">
        <f aca="false">COUNTIFS(Clips!$F:$F,$A363,Clips!$C:$C,"train")</f>
        <v>0</v>
      </c>
      <c r="K363" s="19" t="n">
        <f aca="false">COUNTIF(Clips!$F:$F,$A363)</f>
        <v>0</v>
      </c>
      <c r="L363" s="19" t="str">
        <f aca="false">IF(J363&gt;0,"in train",IF(K363&gt;0,"audio, none in train",IF(C363&gt;=Overview!$B$9,"priority gap","no audio")))</f>
        <v>no audio</v>
      </c>
    </row>
    <row r="364" customFormat="false" ht="15" hidden="false" customHeight="false" outlineLevel="0" collapsed="false">
      <c r="A364" s="19" t="s">
        <v>9975</v>
      </c>
      <c r="B364" s="19" t="s">
        <v>9976</v>
      </c>
      <c r="C364" s="28" t="n">
        <f aca="false">D364/Overview!$B$10</f>
        <v>0.00175720752918752</v>
      </c>
      <c r="D364" s="29" t="n">
        <v>59</v>
      </c>
      <c r="E364" s="19" t="s">
        <v>9977</v>
      </c>
      <c r="F364" s="19" t="n">
        <v>1988</v>
      </c>
      <c r="G364" s="19" t="n">
        <v>2026</v>
      </c>
      <c r="H364" s="19" t="str">
        <f aca="false">IF(COUNTIF(Species!$B:$B,$A364)=0,"",IF(INDEX(Species!$A:$A,MATCH($A364,Species!$B:$B,0))="","",INDEX(Species!$A:$A,MATCH($A364,Species!$B:$B,0))))</f>
        <v/>
      </c>
      <c r="I364" s="19" t="str">
        <f aca="false">IF(COUNTIF(Species!$B:$B,$A364)=0,"",INDEX(Species!$F:$F,MATCH($A364,Species!$B:$B,0)))</f>
        <v/>
      </c>
      <c r="J364" s="19" t="n">
        <f aca="false">COUNTIFS(Clips!$F:$F,$A364,Clips!$C:$C,"train")</f>
        <v>0</v>
      </c>
      <c r="K364" s="19" t="n">
        <f aca="false">COUNTIF(Clips!$F:$F,$A364)</f>
        <v>0</v>
      </c>
      <c r="L364" s="19" t="str">
        <f aca="false">IF(J364&gt;0,"in train",IF(K364&gt;0,"audio, none in train",IF(C364&gt;=Overview!$B$9,"priority gap","no audio")))</f>
        <v>no audio</v>
      </c>
    </row>
    <row r="365" customFormat="false" ht="15" hidden="false" customHeight="false" outlineLevel="0" collapsed="false">
      <c r="A365" s="19" t="s">
        <v>9978</v>
      </c>
      <c r="B365" s="19" t="s">
        <v>9979</v>
      </c>
      <c r="C365" s="28" t="n">
        <f aca="false">D365/Overview!$B$10</f>
        <v>0.00175720752918752</v>
      </c>
      <c r="D365" s="29" t="n">
        <v>59</v>
      </c>
      <c r="E365" s="19" t="s">
        <v>9980</v>
      </c>
      <c r="F365" s="19" t="n">
        <v>1984</v>
      </c>
      <c r="G365" s="19" t="n">
        <v>2026</v>
      </c>
      <c r="H365" s="19" t="str">
        <f aca="false">IF(COUNTIF(Species!$B:$B,$A365)=0,"",IF(INDEX(Species!$A:$A,MATCH($A365,Species!$B:$B,0))="","",INDEX(Species!$A:$A,MATCH($A365,Species!$B:$B,0))))</f>
        <v/>
      </c>
      <c r="I365" s="19" t="str">
        <f aca="false">IF(COUNTIF(Species!$B:$B,$A365)=0,"",INDEX(Species!$F:$F,MATCH($A365,Species!$B:$B,0)))</f>
        <v/>
      </c>
      <c r="J365" s="19" t="n">
        <f aca="false">COUNTIFS(Clips!$F:$F,$A365,Clips!$C:$C,"train")</f>
        <v>0</v>
      </c>
      <c r="K365" s="19" t="n">
        <f aca="false">COUNTIF(Clips!$F:$F,$A365)</f>
        <v>0</v>
      </c>
      <c r="L365" s="19" t="str">
        <f aca="false">IF(J365&gt;0,"in train",IF(K365&gt;0,"audio, none in train",IF(C365&gt;=Overview!$B$9,"priority gap","no audio")))</f>
        <v>no audio</v>
      </c>
    </row>
    <row r="366" customFormat="false" ht="15" hidden="false" customHeight="false" outlineLevel="0" collapsed="false">
      <c r="A366" s="19" t="s">
        <v>9981</v>
      </c>
      <c r="B366" s="19" t="s">
        <v>9982</v>
      </c>
      <c r="C366" s="28" t="n">
        <f aca="false">D366/Overview!$B$10</f>
        <v>0.00163807481534429</v>
      </c>
      <c r="D366" s="29" t="n">
        <v>55</v>
      </c>
      <c r="E366" s="19" t="s">
        <v>9862</v>
      </c>
      <c r="F366" s="19" t="n">
        <v>1988</v>
      </c>
      <c r="G366" s="19" t="n">
        <v>2026</v>
      </c>
      <c r="H366" s="19" t="str">
        <f aca="false">IF(COUNTIF(Species!$B:$B,$A366)=0,"",IF(INDEX(Species!$A:$A,MATCH($A366,Species!$B:$B,0))="","",INDEX(Species!$A:$A,MATCH($A366,Species!$B:$B,0))))</f>
        <v/>
      </c>
      <c r="I366" s="19" t="str">
        <f aca="false">IF(COUNTIF(Species!$B:$B,$A366)=0,"",INDEX(Species!$F:$F,MATCH($A366,Species!$B:$B,0)))</f>
        <v/>
      </c>
      <c r="J366" s="19" t="n">
        <f aca="false">COUNTIFS(Clips!$F:$F,$A366,Clips!$C:$C,"train")</f>
        <v>0</v>
      </c>
      <c r="K366" s="19" t="n">
        <f aca="false">COUNTIF(Clips!$F:$F,$A366)</f>
        <v>0</v>
      </c>
      <c r="L366" s="19" t="str">
        <f aca="false">IF(J366&gt;0,"in train",IF(K366&gt;0,"audio, none in train",IF(C366&gt;=Overview!$B$9,"priority gap","no audio")))</f>
        <v>no audio</v>
      </c>
    </row>
    <row r="367" customFormat="false" ht="15" hidden="false" customHeight="false" outlineLevel="0" collapsed="false">
      <c r="A367" s="19" t="s">
        <v>9983</v>
      </c>
      <c r="B367" s="19" t="s">
        <v>9984</v>
      </c>
      <c r="C367" s="28" t="n">
        <f aca="false">D367/Overview!$B$10</f>
        <v>0.00163807481534429</v>
      </c>
      <c r="D367" s="29" t="n">
        <v>55</v>
      </c>
      <c r="E367" s="19" t="s">
        <v>9985</v>
      </c>
      <c r="F367" s="19" t="n">
        <v>1973</v>
      </c>
      <c r="G367" s="19" t="n">
        <v>2018</v>
      </c>
      <c r="H367" s="19" t="str">
        <f aca="false">IF(COUNTIF(Species!$B:$B,$A367)=0,"",IF(INDEX(Species!$A:$A,MATCH($A367,Species!$B:$B,0))="","",INDEX(Species!$A:$A,MATCH($A367,Species!$B:$B,0))))</f>
        <v/>
      </c>
      <c r="I367" s="19" t="str">
        <f aca="false">IF(COUNTIF(Species!$B:$B,$A367)=0,"",INDEX(Species!$F:$F,MATCH($A367,Species!$B:$B,0)))</f>
        <v/>
      </c>
      <c r="J367" s="19" t="n">
        <f aca="false">COUNTIFS(Clips!$F:$F,$A367,Clips!$C:$C,"train")</f>
        <v>0</v>
      </c>
      <c r="K367" s="19" t="n">
        <f aca="false">COUNTIF(Clips!$F:$F,$A367)</f>
        <v>0</v>
      </c>
      <c r="L367" s="19" t="str">
        <f aca="false">IF(J367&gt;0,"in train",IF(K367&gt;0,"audio, none in train",IF(C367&gt;=Overview!$B$9,"priority gap","no audio")))</f>
        <v>no audio</v>
      </c>
    </row>
    <row r="368" customFormat="false" ht="15" hidden="false" customHeight="false" outlineLevel="0" collapsed="false">
      <c r="A368" s="19" t="s">
        <v>9986</v>
      </c>
      <c r="B368" s="19" t="s">
        <v>9987</v>
      </c>
      <c r="C368" s="28" t="n">
        <f aca="false">D368/Overview!$B$10</f>
        <v>0.00145937574457946</v>
      </c>
      <c r="D368" s="29" t="n">
        <v>49</v>
      </c>
      <c r="E368" s="19" t="s">
        <v>9988</v>
      </c>
      <c r="F368" s="19" t="n">
        <v>1997</v>
      </c>
      <c r="G368" s="19" t="n">
        <v>2025</v>
      </c>
      <c r="H368" s="19" t="str">
        <f aca="false">IF(COUNTIF(Species!$B:$B,$A368)=0,"",IF(INDEX(Species!$A:$A,MATCH($A368,Species!$B:$B,0))="","",INDEX(Species!$A:$A,MATCH($A368,Species!$B:$B,0))))</f>
        <v/>
      </c>
      <c r="I368" s="19" t="str">
        <f aca="false">IF(COUNTIF(Species!$B:$B,$A368)=0,"",INDEX(Species!$F:$F,MATCH($A368,Species!$B:$B,0)))</f>
        <v/>
      </c>
      <c r="J368" s="19" t="n">
        <f aca="false">COUNTIFS(Clips!$F:$F,$A368,Clips!$C:$C,"train")</f>
        <v>0</v>
      </c>
      <c r="K368" s="19" t="n">
        <f aca="false">COUNTIF(Clips!$F:$F,$A368)</f>
        <v>0</v>
      </c>
      <c r="L368" s="19" t="str">
        <f aca="false">IF(J368&gt;0,"in train",IF(K368&gt;0,"audio, none in train",IF(C368&gt;=Overview!$B$9,"priority gap","no audio")))</f>
        <v>no audio</v>
      </c>
    </row>
    <row r="369" customFormat="false" ht="15" hidden="false" customHeight="false" outlineLevel="0" collapsed="false">
      <c r="A369" s="19" t="s">
        <v>9989</v>
      </c>
      <c r="B369" s="19" t="s">
        <v>9990</v>
      </c>
      <c r="C369" s="28" t="n">
        <f aca="false">D369/Overview!$B$10</f>
        <v>0.00142959256611866</v>
      </c>
      <c r="D369" s="29" t="n">
        <v>48</v>
      </c>
      <c r="E369" s="19" t="s">
        <v>9862</v>
      </c>
      <c r="F369" s="19" t="n">
        <v>1994</v>
      </c>
      <c r="G369" s="19" t="n">
        <v>2026</v>
      </c>
      <c r="H369" s="19" t="str">
        <f aca="false">IF(COUNTIF(Species!$B:$B,$A369)=0,"",IF(INDEX(Species!$A:$A,MATCH($A369,Species!$B:$B,0))="","",INDEX(Species!$A:$A,MATCH($A369,Species!$B:$B,0))))</f>
        <v/>
      </c>
      <c r="I369" s="19" t="str">
        <f aca="false">IF(COUNTIF(Species!$B:$B,$A369)=0,"",INDEX(Species!$F:$F,MATCH($A369,Species!$B:$B,0)))</f>
        <v/>
      </c>
      <c r="J369" s="19" t="n">
        <f aca="false">COUNTIFS(Clips!$F:$F,$A369,Clips!$C:$C,"train")</f>
        <v>0</v>
      </c>
      <c r="K369" s="19" t="n">
        <f aca="false">COUNTIF(Clips!$F:$F,$A369)</f>
        <v>0</v>
      </c>
      <c r="L369" s="19" t="str">
        <f aca="false">IF(J369&gt;0,"in train",IF(K369&gt;0,"audio, none in train",IF(C369&gt;=Overview!$B$9,"priority gap","no audio")))</f>
        <v>no audio</v>
      </c>
    </row>
    <row r="370" customFormat="false" ht="15" hidden="false" customHeight="false" outlineLevel="0" collapsed="false">
      <c r="A370" s="19" t="s">
        <v>9991</v>
      </c>
      <c r="B370" s="19" t="s">
        <v>9992</v>
      </c>
      <c r="C370" s="28" t="n">
        <f aca="false">D370/Overview!$B$10</f>
        <v>0.00142959256611866</v>
      </c>
      <c r="D370" s="29" t="n">
        <v>48</v>
      </c>
      <c r="E370" s="19" t="s">
        <v>9993</v>
      </c>
      <c r="F370" s="19" t="n">
        <v>1977</v>
      </c>
      <c r="G370" s="19" t="n">
        <v>2026</v>
      </c>
      <c r="H370" s="19" t="str">
        <f aca="false">IF(COUNTIF(Species!$B:$B,$A370)=0,"",IF(INDEX(Species!$A:$A,MATCH($A370,Species!$B:$B,0))="","",INDEX(Species!$A:$A,MATCH($A370,Species!$B:$B,0))))</f>
        <v/>
      </c>
      <c r="I370" s="19" t="str">
        <f aca="false">IF(COUNTIF(Species!$B:$B,$A370)=0,"",INDEX(Species!$F:$F,MATCH($A370,Species!$B:$B,0)))</f>
        <v/>
      </c>
      <c r="J370" s="19" t="n">
        <f aca="false">COUNTIFS(Clips!$F:$F,$A370,Clips!$C:$C,"train")</f>
        <v>0</v>
      </c>
      <c r="K370" s="19" t="n">
        <f aca="false">COUNTIF(Clips!$F:$F,$A370)</f>
        <v>0</v>
      </c>
      <c r="L370" s="19" t="str">
        <f aca="false">IF(J370&gt;0,"in train",IF(K370&gt;0,"audio, none in train",IF(C370&gt;=Overview!$B$9,"priority gap","no audio")))</f>
        <v>no audio</v>
      </c>
    </row>
    <row r="371" customFormat="false" ht="15" hidden="false" customHeight="false" outlineLevel="0" collapsed="false">
      <c r="A371" s="19" t="s">
        <v>9994</v>
      </c>
      <c r="B371" s="19" t="s">
        <v>9995</v>
      </c>
      <c r="C371" s="28" t="n">
        <f aca="false">D371/Overview!$B$10</f>
        <v>0.00142959256611866</v>
      </c>
      <c r="D371" s="29" t="n">
        <v>48</v>
      </c>
      <c r="E371" s="19" t="s">
        <v>9862</v>
      </c>
      <c r="F371" s="19" t="n">
        <v>1990</v>
      </c>
      <c r="G371" s="19" t="n">
        <v>2026</v>
      </c>
      <c r="H371" s="19" t="str">
        <f aca="false">IF(COUNTIF(Species!$B:$B,$A371)=0,"",IF(INDEX(Species!$A:$A,MATCH($A371,Species!$B:$B,0))="","",INDEX(Species!$A:$A,MATCH($A371,Species!$B:$B,0))))</f>
        <v/>
      </c>
      <c r="I371" s="19" t="str">
        <f aca="false">IF(COUNTIF(Species!$B:$B,$A371)=0,"",INDEX(Species!$F:$F,MATCH($A371,Species!$B:$B,0)))</f>
        <v/>
      </c>
      <c r="J371" s="19" t="n">
        <f aca="false">COUNTIFS(Clips!$F:$F,$A371,Clips!$C:$C,"train")</f>
        <v>0</v>
      </c>
      <c r="K371" s="19" t="n">
        <f aca="false">COUNTIF(Clips!$F:$F,$A371)</f>
        <v>0</v>
      </c>
      <c r="L371" s="19" t="str">
        <f aca="false">IF(J371&gt;0,"in train",IF(K371&gt;0,"audio, none in train",IF(C371&gt;=Overview!$B$9,"priority gap","no audio")))</f>
        <v>no audio</v>
      </c>
    </row>
    <row r="372" customFormat="false" ht="15" hidden="false" customHeight="false" outlineLevel="0" collapsed="false">
      <c r="A372" s="19" t="s">
        <v>711</v>
      </c>
      <c r="B372" s="19" t="s">
        <v>712</v>
      </c>
      <c r="C372" s="28" t="n">
        <f aca="false">D372/Overview!$B$10</f>
        <v>0.00139980938765785</v>
      </c>
      <c r="D372" s="29" t="n">
        <v>47</v>
      </c>
      <c r="E372" s="19" t="s">
        <v>9649</v>
      </c>
      <c r="F372" s="19" t="n">
        <v>1988</v>
      </c>
      <c r="G372" s="19" t="n">
        <v>2026</v>
      </c>
      <c r="H372" s="19" t="n">
        <f aca="false">IF(COUNTIF(Species!$B:$B,$A372)=0,"",IF(INDEX(Species!$A:$A,MATCH($A372,Species!$B:$B,0))="","",INDEX(Species!$A:$A,MATCH($A372,Species!$B:$B,0))))</f>
        <v>88</v>
      </c>
      <c r="I372" s="19" t="str">
        <f aca="false">IF(COUNTIF(Species!$B:$B,$A372)=0,"",INDEX(Species!$F:$F,MATCH($A372,Species!$B:$B,0)))</f>
        <v>few_shot_single_session</v>
      </c>
      <c r="J372" s="19" t="n">
        <f aca="false">COUNTIFS(Clips!$F:$F,$A372,Clips!$C:$C,"train")</f>
        <v>2</v>
      </c>
      <c r="K372" s="19" t="n">
        <f aca="false">COUNTIF(Clips!$F:$F,$A372)</f>
        <v>2</v>
      </c>
      <c r="L372" s="19" t="str">
        <f aca="false">IF(J372&gt;0,"in train",IF(K372&gt;0,"audio, none in train",IF(C372&gt;=Overview!$B$9,"priority gap","no audio")))</f>
        <v>in train</v>
      </c>
    </row>
    <row r="373" customFormat="false" ht="15" hidden="false" customHeight="false" outlineLevel="0" collapsed="false">
      <c r="A373" s="19" t="s">
        <v>9996</v>
      </c>
      <c r="B373" s="19" t="s">
        <v>9997</v>
      </c>
      <c r="C373" s="28" t="n">
        <f aca="false">D373/Overview!$B$10</f>
        <v>0.00134024303073624</v>
      </c>
      <c r="D373" s="29" t="n">
        <v>45</v>
      </c>
      <c r="E373" s="19" t="s">
        <v>9998</v>
      </c>
      <c r="F373" s="19" t="n">
        <v>2000</v>
      </c>
      <c r="G373" s="19" t="n">
        <v>2026</v>
      </c>
      <c r="H373" s="19" t="str">
        <f aca="false">IF(COUNTIF(Species!$B:$B,$A373)=0,"",IF(INDEX(Species!$A:$A,MATCH($A373,Species!$B:$B,0))="","",INDEX(Species!$A:$A,MATCH($A373,Species!$B:$B,0))))</f>
        <v/>
      </c>
      <c r="I373" s="19" t="str">
        <f aca="false">IF(COUNTIF(Species!$B:$B,$A373)=0,"",INDEX(Species!$F:$F,MATCH($A373,Species!$B:$B,0)))</f>
        <v/>
      </c>
      <c r="J373" s="19" t="n">
        <f aca="false">COUNTIFS(Clips!$F:$F,$A373,Clips!$C:$C,"train")</f>
        <v>0</v>
      </c>
      <c r="K373" s="19" t="n">
        <f aca="false">COUNTIF(Clips!$F:$F,$A373)</f>
        <v>0</v>
      </c>
      <c r="L373" s="19" t="str">
        <f aca="false">IF(J373&gt;0,"in train",IF(K373&gt;0,"audio, none in train",IF(C373&gt;=Overview!$B$9,"priority gap","no audio")))</f>
        <v>no audio</v>
      </c>
    </row>
    <row r="374" customFormat="false" ht="15" hidden="false" customHeight="false" outlineLevel="0" collapsed="false">
      <c r="A374" s="19" t="s">
        <v>9999</v>
      </c>
      <c r="B374" s="19" t="s">
        <v>10000</v>
      </c>
      <c r="C374" s="28" t="n">
        <f aca="false">D374/Overview!$B$10</f>
        <v>0.00131045985227543</v>
      </c>
      <c r="D374" s="29" t="n">
        <v>44</v>
      </c>
      <c r="E374" s="19" t="s">
        <v>10001</v>
      </c>
      <c r="F374" s="19" t="n">
        <v>1983</v>
      </c>
      <c r="G374" s="19" t="n">
        <v>2025</v>
      </c>
      <c r="H374" s="19" t="str">
        <f aca="false">IF(COUNTIF(Species!$B:$B,$A374)=0,"",IF(INDEX(Species!$A:$A,MATCH($A374,Species!$B:$B,0))="","",INDEX(Species!$A:$A,MATCH($A374,Species!$B:$B,0))))</f>
        <v/>
      </c>
      <c r="I374" s="19" t="str">
        <f aca="false">IF(COUNTIF(Species!$B:$B,$A374)=0,"",INDEX(Species!$F:$F,MATCH($A374,Species!$B:$B,0)))</f>
        <v/>
      </c>
      <c r="J374" s="19" t="n">
        <f aca="false">COUNTIFS(Clips!$F:$F,$A374,Clips!$C:$C,"train")</f>
        <v>0</v>
      </c>
      <c r="K374" s="19" t="n">
        <f aca="false">COUNTIF(Clips!$F:$F,$A374)</f>
        <v>0</v>
      </c>
      <c r="L374" s="19" t="str">
        <f aca="false">IF(J374&gt;0,"in train",IF(K374&gt;0,"audio, none in train",IF(C374&gt;=Overview!$B$9,"priority gap","no audio")))</f>
        <v>no audio</v>
      </c>
    </row>
    <row r="375" customFormat="false" ht="15" hidden="false" customHeight="false" outlineLevel="0" collapsed="false">
      <c r="A375" s="19" t="s">
        <v>10002</v>
      </c>
      <c r="B375" s="19" t="s">
        <v>10003</v>
      </c>
      <c r="C375" s="28" t="n">
        <f aca="false">D375/Overview!$B$10</f>
        <v>0.00131045985227543</v>
      </c>
      <c r="D375" s="29" t="n">
        <v>44</v>
      </c>
      <c r="E375" s="19" t="s">
        <v>10004</v>
      </c>
      <c r="F375" s="19" t="n">
        <v>1990</v>
      </c>
      <c r="G375" s="19" t="n">
        <v>2026</v>
      </c>
      <c r="H375" s="19" t="str">
        <f aca="false">IF(COUNTIF(Species!$B:$B,$A375)=0,"",IF(INDEX(Species!$A:$A,MATCH($A375,Species!$B:$B,0))="","",INDEX(Species!$A:$A,MATCH($A375,Species!$B:$B,0))))</f>
        <v/>
      </c>
      <c r="I375" s="19" t="str">
        <f aca="false">IF(COUNTIF(Species!$B:$B,$A375)=0,"",INDEX(Species!$F:$F,MATCH($A375,Species!$B:$B,0)))</f>
        <v/>
      </c>
      <c r="J375" s="19" t="n">
        <f aca="false">COUNTIFS(Clips!$F:$F,$A375,Clips!$C:$C,"train")</f>
        <v>0</v>
      </c>
      <c r="K375" s="19" t="n">
        <f aca="false">COUNTIF(Clips!$F:$F,$A375)</f>
        <v>0</v>
      </c>
      <c r="L375" s="19" t="str">
        <f aca="false">IF(J375&gt;0,"in train",IF(K375&gt;0,"audio, none in train",IF(C375&gt;=Overview!$B$9,"priority gap","no audio")))</f>
        <v>no audio</v>
      </c>
    </row>
    <row r="376" customFormat="false" ht="15" hidden="false" customHeight="false" outlineLevel="0" collapsed="false">
      <c r="A376" s="19" t="s">
        <v>10005</v>
      </c>
      <c r="B376" s="19" t="s">
        <v>10006</v>
      </c>
      <c r="C376" s="28" t="n">
        <f aca="false">D376/Overview!$B$10</f>
        <v>0.00128067667381463</v>
      </c>
      <c r="D376" s="29" t="n">
        <v>43</v>
      </c>
      <c r="E376" s="19" t="s">
        <v>9655</v>
      </c>
      <c r="F376" s="19" t="n">
        <v>1986</v>
      </c>
      <c r="G376" s="19" t="n">
        <v>2025</v>
      </c>
      <c r="H376" s="19" t="str">
        <f aca="false">IF(COUNTIF(Species!$B:$B,$A376)=0,"",IF(INDEX(Species!$A:$A,MATCH($A376,Species!$B:$B,0))="","",INDEX(Species!$A:$A,MATCH($A376,Species!$B:$B,0))))</f>
        <v/>
      </c>
      <c r="I376" s="19" t="str">
        <f aca="false">IF(COUNTIF(Species!$B:$B,$A376)=0,"",INDEX(Species!$F:$F,MATCH($A376,Species!$B:$B,0)))</f>
        <v/>
      </c>
      <c r="J376" s="19" t="n">
        <f aca="false">COUNTIFS(Clips!$F:$F,$A376,Clips!$C:$C,"train")</f>
        <v>0</v>
      </c>
      <c r="K376" s="19" t="n">
        <f aca="false">COUNTIF(Clips!$F:$F,$A376)</f>
        <v>0</v>
      </c>
      <c r="L376" s="19" t="str">
        <f aca="false">IF(J376&gt;0,"in train",IF(K376&gt;0,"audio, none in train",IF(C376&gt;=Overview!$B$9,"priority gap","no audio")))</f>
        <v>no audio</v>
      </c>
    </row>
    <row r="377" customFormat="false" ht="15" hidden="false" customHeight="false" outlineLevel="0" collapsed="false">
      <c r="A377" s="19" t="s">
        <v>10007</v>
      </c>
      <c r="B377" s="19" t="s">
        <v>10008</v>
      </c>
      <c r="C377" s="28" t="n">
        <f aca="false">D377/Overview!$B$10</f>
        <v>0.00128067667381463</v>
      </c>
      <c r="D377" s="29" t="n">
        <v>43</v>
      </c>
      <c r="E377" s="19" t="s">
        <v>10009</v>
      </c>
      <c r="F377" s="19" t="n">
        <v>1983</v>
      </c>
      <c r="G377" s="19" t="n">
        <v>2025</v>
      </c>
      <c r="H377" s="19" t="str">
        <f aca="false">IF(COUNTIF(Species!$B:$B,$A377)=0,"",IF(INDEX(Species!$A:$A,MATCH($A377,Species!$B:$B,0))="","",INDEX(Species!$A:$A,MATCH($A377,Species!$B:$B,0))))</f>
        <v/>
      </c>
      <c r="I377" s="19" t="str">
        <f aca="false">IF(COUNTIF(Species!$B:$B,$A377)=0,"",INDEX(Species!$F:$F,MATCH($A377,Species!$B:$B,0)))</f>
        <v/>
      </c>
      <c r="J377" s="19" t="n">
        <f aca="false">COUNTIFS(Clips!$F:$F,$A377,Clips!$C:$C,"train")</f>
        <v>0</v>
      </c>
      <c r="K377" s="19" t="n">
        <f aca="false">COUNTIF(Clips!$F:$F,$A377)</f>
        <v>0</v>
      </c>
      <c r="L377" s="19" t="str">
        <f aca="false">IF(J377&gt;0,"in train",IF(K377&gt;0,"audio, none in train",IF(C377&gt;=Overview!$B$9,"priority gap","no audio")))</f>
        <v>no audio</v>
      </c>
    </row>
    <row r="378" customFormat="false" ht="15" hidden="false" customHeight="false" outlineLevel="0" collapsed="false">
      <c r="A378" s="19" t="s">
        <v>10010</v>
      </c>
      <c r="B378" s="19" t="s">
        <v>10011</v>
      </c>
      <c r="C378" s="28" t="n">
        <f aca="false">D378/Overview!$B$10</f>
        <v>0.00125089349535382</v>
      </c>
      <c r="D378" s="29" t="n">
        <v>42</v>
      </c>
      <c r="E378" s="19" t="s">
        <v>9758</v>
      </c>
      <c r="F378" s="19" t="n">
        <v>1992</v>
      </c>
      <c r="G378" s="19" t="n">
        <v>2026</v>
      </c>
      <c r="H378" s="19" t="str">
        <f aca="false">IF(COUNTIF(Species!$B:$B,$A378)=0,"",IF(INDEX(Species!$A:$A,MATCH($A378,Species!$B:$B,0))="","",INDEX(Species!$A:$A,MATCH($A378,Species!$B:$B,0))))</f>
        <v/>
      </c>
      <c r="I378" s="19" t="str">
        <f aca="false">IF(COUNTIF(Species!$B:$B,$A378)=0,"",INDEX(Species!$F:$F,MATCH($A378,Species!$B:$B,0)))</f>
        <v/>
      </c>
      <c r="J378" s="19" t="n">
        <f aca="false">COUNTIFS(Clips!$F:$F,$A378,Clips!$C:$C,"train")</f>
        <v>0</v>
      </c>
      <c r="K378" s="19" t="n">
        <f aca="false">COUNTIF(Clips!$F:$F,$A378)</f>
        <v>0</v>
      </c>
      <c r="L378" s="19" t="str">
        <f aca="false">IF(J378&gt;0,"in train",IF(K378&gt;0,"audio, none in train",IF(C378&gt;=Overview!$B$9,"priority gap","no audio")))</f>
        <v>no audio</v>
      </c>
    </row>
    <row r="379" customFormat="false" ht="15" hidden="false" customHeight="false" outlineLevel="0" collapsed="false">
      <c r="A379" s="19" t="s">
        <v>10012</v>
      </c>
      <c r="B379" s="19" t="s">
        <v>10013</v>
      </c>
      <c r="C379" s="28" t="n">
        <f aca="false">D379/Overview!$B$10</f>
        <v>0.00125089349535382</v>
      </c>
      <c r="D379" s="29" t="n">
        <v>42</v>
      </c>
      <c r="E379" s="19" t="s">
        <v>9692</v>
      </c>
      <c r="F379" s="19" t="n">
        <v>1987</v>
      </c>
      <c r="G379" s="19" t="n">
        <v>2026</v>
      </c>
      <c r="H379" s="19" t="str">
        <f aca="false">IF(COUNTIF(Species!$B:$B,$A379)=0,"",IF(INDEX(Species!$A:$A,MATCH($A379,Species!$B:$B,0))="","",INDEX(Species!$A:$A,MATCH($A379,Species!$B:$B,0))))</f>
        <v/>
      </c>
      <c r="I379" s="19" t="str">
        <f aca="false">IF(COUNTIF(Species!$B:$B,$A379)=0,"",INDEX(Species!$F:$F,MATCH($A379,Species!$B:$B,0)))</f>
        <v/>
      </c>
      <c r="J379" s="19" t="n">
        <f aca="false">COUNTIFS(Clips!$F:$F,$A379,Clips!$C:$C,"train")</f>
        <v>0</v>
      </c>
      <c r="K379" s="19" t="n">
        <f aca="false">COUNTIF(Clips!$F:$F,$A379)</f>
        <v>0</v>
      </c>
      <c r="L379" s="19" t="str">
        <f aca="false">IF(J379&gt;0,"in train",IF(K379&gt;0,"audio, none in train",IF(C379&gt;=Overview!$B$9,"priority gap","no audio")))</f>
        <v>no audio</v>
      </c>
    </row>
    <row r="380" customFormat="false" ht="15" hidden="false" customHeight="false" outlineLevel="0" collapsed="false">
      <c r="A380" s="19" t="s">
        <v>853</v>
      </c>
      <c r="B380" s="19" t="s">
        <v>854</v>
      </c>
      <c r="C380" s="28" t="n">
        <f aca="false">D380/Overview!$B$10</f>
        <v>0.00116154395997141</v>
      </c>
      <c r="D380" s="29" t="n">
        <v>39</v>
      </c>
      <c r="E380" s="19" t="s">
        <v>10014</v>
      </c>
      <c r="F380" s="19" t="n">
        <v>1984</v>
      </c>
      <c r="G380" s="19" t="n">
        <v>2026</v>
      </c>
      <c r="H380" s="19" t="n">
        <f aca="false">IF(COUNTIF(Species!$B:$B,$A380)=0,"",IF(INDEX(Species!$A:$A,MATCH($A380,Species!$B:$B,0))="","",INDEX(Species!$A:$A,MATCH($A380,Species!$B:$B,0))))</f>
        <v>172</v>
      </c>
      <c r="I380" s="19" t="str">
        <f aca="false">IF(COUNTIF(Species!$B:$B,$A380)=0,"",INDEX(Species!$F:$F,MATCH($A380,Species!$B:$B,0)))</f>
        <v>singleton</v>
      </c>
      <c r="J380" s="19" t="n">
        <f aca="false">COUNTIFS(Clips!$F:$F,$A380,Clips!$C:$C,"train")</f>
        <v>0</v>
      </c>
      <c r="K380" s="19" t="n">
        <f aca="false">COUNTIF(Clips!$F:$F,$A380)</f>
        <v>1</v>
      </c>
      <c r="L380" s="19" t="str">
        <f aca="false">IF(J380&gt;0,"in train",IF(K380&gt;0,"audio, none in train",IF(C380&gt;=Overview!$B$9,"priority gap","no audio")))</f>
        <v>audio, none in train</v>
      </c>
    </row>
    <row r="381" customFormat="false" ht="15" hidden="false" customHeight="false" outlineLevel="0" collapsed="false">
      <c r="A381" s="19" t="s">
        <v>10015</v>
      </c>
      <c r="B381" s="19" t="s">
        <v>10016</v>
      </c>
      <c r="C381" s="28" t="n">
        <f aca="false">D381/Overview!$B$10</f>
        <v>0.0011317607815106</v>
      </c>
      <c r="D381" s="29" t="n">
        <v>38</v>
      </c>
      <c r="E381" s="19" t="s">
        <v>9862</v>
      </c>
      <c r="F381" s="19" t="n">
        <v>1977</v>
      </c>
      <c r="G381" s="19" t="n">
        <v>2022</v>
      </c>
      <c r="H381" s="19" t="str">
        <f aca="false">IF(COUNTIF(Species!$B:$B,$A381)=0,"",IF(INDEX(Species!$A:$A,MATCH($A381,Species!$B:$B,0))="","",INDEX(Species!$A:$A,MATCH($A381,Species!$B:$B,0))))</f>
        <v/>
      </c>
      <c r="I381" s="19" t="str">
        <f aca="false">IF(COUNTIF(Species!$B:$B,$A381)=0,"",INDEX(Species!$F:$F,MATCH($A381,Species!$B:$B,0)))</f>
        <v/>
      </c>
      <c r="J381" s="19" t="n">
        <f aca="false">COUNTIFS(Clips!$F:$F,$A381,Clips!$C:$C,"train")</f>
        <v>0</v>
      </c>
      <c r="K381" s="19" t="n">
        <f aca="false">COUNTIF(Clips!$F:$F,$A381)</f>
        <v>0</v>
      </c>
      <c r="L381" s="19" t="str">
        <f aca="false">IF(J381&gt;0,"in train",IF(K381&gt;0,"audio, none in train",IF(C381&gt;=Overview!$B$9,"priority gap","no audio")))</f>
        <v>no audio</v>
      </c>
    </row>
    <row r="382" customFormat="false" ht="15" hidden="false" customHeight="false" outlineLevel="0" collapsed="false">
      <c r="A382" s="19" t="s">
        <v>10017</v>
      </c>
      <c r="B382" s="19" t="s">
        <v>10018</v>
      </c>
      <c r="C382" s="28" t="n">
        <f aca="false">D382/Overview!$B$10</f>
        <v>0.0011019776030498</v>
      </c>
      <c r="D382" s="29" t="n">
        <v>37</v>
      </c>
      <c r="E382" s="19" t="s">
        <v>10019</v>
      </c>
      <c r="F382" s="19" t="n">
        <v>1985</v>
      </c>
      <c r="G382" s="19" t="n">
        <v>2024</v>
      </c>
      <c r="H382" s="19" t="str">
        <f aca="false">IF(COUNTIF(Species!$B:$B,$A382)=0,"",IF(INDEX(Species!$A:$A,MATCH($A382,Species!$B:$B,0))="","",INDEX(Species!$A:$A,MATCH($A382,Species!$B:$B,0))))</f>
        <v/>
      </c>
      <c r="I382" s="19" t="str">
        <f aca="false">IF(COUNTIF(Species!$B:$B,$A382)=0,"",INDEX(Species!$F:$F,MATCH($A382,Species!$B:$B,0)))</f>
        <v/>
      </c>
      <c r="J382" s="19" t="n">
        <f aca="false">COUNTIFS(Clips!$F:$F,$A382,Clips!$C:$C,"train")</f>
        <v>0</v>
      </c>
      <c r="K382" s="19" t="n">
        <f aca="false">COUNTIF(Clips!$F:$F,$A382)</f>
        <v>0</v>
      </c>
      <c r="L382" s="19" t="str">
        <f aca="false">IF(J382&gt;0,"in train",IF(K382&gt;0,"audio, none in train",IF(C382&gt;=Overview!$B$9,"priority gap","no audio")))</f>
        <v>no audio</v>
      </c>
    </row>
    <row r="383" customFormat="false" ht="15" hidden="false" customHeight="false" outlineLevel="0" collapsed="false">
      <c r="A383" s="19" t="s">
        <v>10020</v>
      </c>
      <c r="B383" s="19" t="s">
        <v>10021</v>
      </c>
      <c r="C383" s="28" t="n">
        <f aca="false">D383/Overview!$B$10</f>
        <v>0.0011019776030498</v>
      </c>
      <c r="D383" s="29" t="n">
        <v>37</v>
      </c>
      <c r="E383" s="19" t="s">
        <v>10022</v>
      </c>
      <c r="F383" s="19" t="n">
        <v>1992</v>
      </c>
      <c r="G383" s="19" t="n">
        <v>2026</v>
      </c>
      <c r="H383" s="19" t="str">
        <f aca="false">IF(COUNTIF(Species!$B:$B,$A383)=0,"",IF(INDEX(Species!$A:$A,MATCH($A383,Species!$B:$B,0))="","",INDEX(Species!$A:$A,MATCH($A383,Species!$B:$B,0))))</f>
        <v/>
      </c>
      <c r="I383" s="19" t="str">
        <f aca="false">IF(COUNTIF(Species!$B:$B,$A383)=0,"",INDEX(Species!$F:$F,MATCH($A383,Species!$B:$B,0)))</f>
        <v/>
      </c>
      <c r="J383" s="19" t="n">
        <f aca="false">COUNTIFS(Clips!$F:$F,$A383,Clips!$C:$C,"train")</f>
        <v>0</v>
      </c>
      <c r="K383" s="19" t="n">
        <f aca="false">COUNTIF(Clips!$F:$F,$A383)</f>
        <v>0</v>
      </c>
      <c r="L383" s="19" t="str">
        <f aca="false">IF(J383&gt;0,"in train",IF(K383&gt;0,"audio, none in train",IF(C383&gt;=Overview!$B$9,"priority gap","no audio")))</f>
        <v>no audio</v>
      </c>
    </row>
    <row r="384" customFormat="false" ht="15" hidden="false" customHeight="false" outlineLevel="0" collapsed="false">
      <c r="A384" s="19" t="s">
        <v>10023</v>
      </c>
      <c r="B384" s="19" t="s">
        <v>10024</v>
      </c>
      <c r="C384" s="28" t="n">
        <f aca="false">D384/Overview!$B$10</f>
        <v>0.0011019776030498</v>
      </c>
      <c r="D384" s="29" t="n">
        <v>37</v>
      </c>
      <c r="E384" s="19" t="s">
        <v>9692</v>
      </c>
      <c r="F384" s="19" t="n">
        <v>1985</v>
      </c>
      <c r="G384" s="19" t="n">
        <v>2023</v>
      </c>
      <c r="H384" s="19" t="str">
        <f aca="false">IF(COUNTIF(Species!$B:$B,$A384)=0,"",IF(INDEX(Species!$A:$A,MATCH($A384,Species!$B:$B,0))="","",INDEX(Species!$A:$A,MATCH($A384,Species!$B:$B,0))))</f>
        <v/>
      </c>
      <c r="I384" s="19" t="str">
        <f aca="false">IF(COUNTIF(Species!$B:$B,$A384)=0,"",INDEX(Species!$F:$F,MATCH($A384,Species!$B:$B,0)))</f>
        <v/>
      </c>
      <c r="J384" s="19" t="n">
        <f aca="false">COUNTIFS(Clips!$F:$F,$A384,Clips!$C:$C,"train")</f>
        <v>0</v>
      </c>
      <c r="K384" s="19" t="n">
        <f aca="false">COUNTIF(Clips!$F:$F,$A384)</f>
        <v>0</v>
      </c>
      <c r="L384" s="19" t="str">
        <f aca="false">IF(J384&gt;0,"in train",IF(K384&gt;0,"audio, none in train",IF(C384&gt;=Overview!$B$9,"priority gap","no audio")))</f>
        <v>no audio</v>
      </c>
    </row>
    <row r="385" customFormat="false" ht="15" hidden="false" customHeight="false" outlineLevel="0" collapsed="false">
      <c r="A385" s="19" t="s">
        <v>10025</v>
      </c>
      <c r="B385" s="19" t="s">
        <v>10026</v>
      </c>
      <c r="C385" s="28" t="n">
        <f aca="false">D385/Overview!$B$10</f>
        <v>0.00107219442458899</v>
      </c>
      <c r="D385" s="29" t="n">
        <v>36</v>
      </c>
      <c r="E385" s="19" t="s">
        <v>10027</v>
      </c>
      <c r="F385" s="19" t="n">
        <v>1992</v>
      </c>
      <c r="G385" s="19" t="n">
        <v>2026</v>
      </c>
      <c r="H385" s="19" t="str">
        <f aca="false">IF(COUNTIF(Species!$B:$B,$A385)=0,"",IF(INDEX(Species!$A:$A,MATCH($A385,Species!$B:$B,0))="","",INDEX(Species!$A:$A,MATCH($A385,Species!$B:$B,0))))</f>
        <v/>
      </c>
      <c r="I385" s="19" t="str">
        <f aca="false">IF(COUNTIF(Species!$B:$B,$A385)=0,"",INDEX(Species!$F:$F,MATCH($A385,Species!$B:$B,0)))</f>
        <v/>
      </c>
      <c r="J385" s="19" t="n">
        <f aca="false">COUNTIFS(Clips!$F:$F,$A385,Clips!$C:$C,"train")</f>
        <v>0</v>
      </c>
      <c r="K385" s="19" t="n">
        <f aca="false">COUNTIF(Clips!$F:$F,$A385)</f>
        <v>0</v>
      </c>
      <c r="L385" s="19" t="str">
        <f aca="false">IF(J385&gt;0,"in train",IF(K385&gt;0,"audio, none in train",IF(C385&gt;=Overview!$B$9,"priority gap","no audio")))</f>
        <v>no audio</v>
      </c>
    </row>
    <row r="386" customFormat="false" ht="15" hidden="false" customHeight="false" outlineLevel="0" collapsed="false">
      <c r="A386" s="19" t="s">
        <v>701</v>
      </c>
      <c r="B386" s="19" t="s">
        <v>702</v>
      </c>
      <c r="C386" s="28" t="n">
        <f aca="false">D386/Overview!$B$10</f>
        <v>0.00107219442458899</v>
      </c>
      <c r="D386" s="29" t="n">
        <v>36</v>
      </c>
      <c r="E386" s="19" t="s">
        <v>9723</v>
      </c>
      <c r="F386" s="19" t="n">
        <v>1984</v>
      </c>
      <c r="G386" s="19" t="n">
        <v>2024</v>
      </c>
      <c r="H386" s="19" t="n">
        <f aca="false">IF(COUNTIF(Species!$B:$B,$A386)=0,"",IF(INDEX(Species!$A:$A,MATCH($A386,Species!$B:$B,0))="","",INDEX(Species!$A:$A,MATCH($A386,Species!$B:$B,0))))</f>
        <v>8</v>
      </c>
      <c r="I386" s="19" t="str">
        <f aca="false">IF(COUNTIF(Species!$B:$B,$A386)=0,"",INDEX(Species!$F:$F,MATCH($A386,Species!$B:$B,0)))</f>
        <v>few_shot</v>
      </c>
      <c r="J386" s="19" t="n">
        <f aca="false">COUNTIFS(Clips!$F:$F,$A386,Clips!$C:$C,"train")</f>
        <v>1</v>
      </c>
      <c r="K386" s="19" t="n">
        <f aca="false">COUNTIF(Clips!$F:$F,$A386)</f>
        <v>2</v>
      </c>
      <c r="L386" s="19" t="str">
        <f aca="false">IF(J386&gt;0,"in train",IF(K386&gt;0,"audio, none in train",IF(C386&gt;=Overview!$B$9,"priority gap","no audio")))</f>
        <v>in train</v>
      </c>
    </row>
    <row r="387" customFormat="false" ht="15" hidden="false" customHeight="false" outlineLevel="0" collapsed="false">
      <c r="A387" s="19" t="s">
        <v>10028</v>
      </c>
      <c r="B387" s="19" t="s">
        <v>10029</v>
      </c>
      <c r="C387" s="28" t="n">
        <f aca="false">D387/Overview!$B$10</f>
        <v>0.00101262806766738</v>
      </c>
      <c r="D387" s="29" t="n">
        <v>34</v>
      </c>
      <c r="E387" s="19" t="s">
        <v>10030</v>
      </c>
      <c r="F387" s="19" t="n">
        <v>2011</v>
      </c>
      <c r="G387" s="19" t="n">
        <v>2026</v>
      </c>
      <c r="H387" s="19" t="str">
        <f aca="false">IF(COUNTIF(Species!$B:$B,$A387)=0,"",IF(INDEX(Species!$A:$A,MATCH($A387,Species!$B:$B,0))="","",INDEX(Species!$A:$A,MATCH($A387,Species!$B:$B,0))))</f>
        <v/>
      </c>
      <c r="I387" s="19" t="str">
        <f aca="false">IF(COUNTIF(Species!$B:$B,$A387)=0,"",INDEX(Species!$F:$F,MATCH($A387,Species!$B:$B,0)))</f>
        <v/>
      </c>
      <c r="J387" s="19" t="n">
        <f aca="false">COUNTIFS(Clips!$F:$F,$A387,Clips!$C:$C,"train")</f>
        <v>0</v>
      </c>
      <c r="K387" s="19" t="n">
        <f aca="false">COUNTIF(Clips!$F:$F,$A387)</f>
        <v>0</v>
      </c>
      <c r="L387" s="19" t="str">
        <f aca="false">IF(J387&gt;0,"in train",IF(K387&gt;0,"audio, none in train",IF(C387&gt;=Overview!$B$9,"priority gap","no audio")))</f>
        <v>no audio</v>
      </c>
    </row>
    <row r="388" customFormat="false" ht="15" hidden="false" customHeight="false" outlineLevel="0" collapsed="false">
      <c r="A388" s="19" t="s">
        <v>10031</v>
      </c>
      <c r="B388" s="19" t="s">
        <v>10032</v>
      </c>
      <c r="C388" s="28" t="n">
        <f aca="false">D388/Overview!$B$10</f>
        <v>0.00101262806766738</v>
      </c>
      <c r="D388" s="29" t="n">
        <v>34</v>
      </c>
      <c r="E388" s="19" t="s">
        <v>9786</v>
      </c>
      <c r="F388" s="19" t="n">
        <v>1995</v>
      </c>
      <c r="G388" s="19" t="n">
        <v>2022</v>
      </c>
      <c r="H388" s="19" t="str">
        <f aca="false">IF(COUNTIF(Species!$B:$B,$A388)=0,"",IF(INDEX(Species!$A:$A,MATCH($A388,Species!$B:$B,0))="","",INDEX(Species!$A:$A,MATCH($A388,Species!$B:$B,0))))</f>
        <v/>
      </c>
      <c r="I388" s="19" t="str">
        <f aca="false">IF(COUNTIF(Species!$B:$B,$A388)=0,"",INDEX(Species!$F:$F,MATCH($A388,Species!$B:$B,0)))</f>
        <v/>
      </c>
      <c r="J388" s="19" t="n">
        <f aca="false">COUNTIFS(Clips!$F:$F,$A388,Clips!$C:$C,"train")</f>
        <v>0</v>
      </c>
      <c r="K388" s="19" t="n">
        <f aca="false">COUNTIF(Clips!$F:$F,$A388)</f>
        <v>0</v>
      </c>
      <c r="L388" s="19" t="str">
        <f aca="false">IF(J388&gt;0,"in train",IF(K388&gt;0,"audio, none in train",IF(C388&gt;=Overview!$B$9,"priority gap","no audio")))</f>
        <v>no audio</v>
      </c>
    </row>
    <row r="389" customFormat="false" ht="15" hidden="false" customHeight="false" outlineLevel="0" collapsed="false">
      <c r="A389" s="19" t="s">
        <v>10033</v>
      </c>
      <c r="B389" s="19" t="s">
        <v>10034</v>
      </c>
      <c r="C389" s="28" t="n">
        <f aca="false">D389/Overview!$B$10</f>
        <v>0.00101262806766738</v>
      </c>
      <c r="D389" s="29" t="n">
        <v>34</v>
      </c>
      <c r="E389" s="19" t="s">
        <v>10035</v>
      </c>
      <c r="F389" s="19" t="n">
        <v>1991</v>
      </c>
      <c r="G389" s="19" t="n">
        <v>2025</v>
      </c>
      <c r="H389" s="19" t="str">
        <f aca="false">IF(COUNTIF(Species!$B:$B,$A389)=0,"",IF(INDEX(Species!$A:$A,MATCH($A389,Species!$B:$B,0))="","",INDEX(Species!$A:$A,MATCH($A389,Species!$B:$B,0))))</f>
        <v/>
      </c>
      <c r="I389" s="19" t="str">
        <f aca="false">IF(COUNTIF(Species!$B:$B,$A389)=0,"",INDEX(Species!$F:$F,MATCH($A389,Species!$B:$B,0)))</f>
        <v/>
      </c>
      <c r="J389" s="19" t="n">
        <f aca="false">COUNTIFS(Clips!$F:$F,$A389,Clips!$C:$C,"train")</f>
        <v>0</v>
      </c>
      <c r="K389" s="19" t="n">
        <f aca="false">COUNTIF(Clips!$F:$F,$A389)</f>
        <v>0</v>
      </c>
      <c r="L389" s="19" t="str">
        <f aca="false">IF(J389&gt;0,"in train",IF(K389&gt;0,"audio, none in train",IF(C389&gt;=Overview!$B$9,"priority gap","no audio")))</f>
        <v>no audio</v>
      </c>
    </row>
    <row r="390" customFormat="false" ht="15" hidden="false" customHeight="false" outlineLevel="0" collapsed="false">
      <c r="A390" s="19" t="s">
        <v>10036</v>
      </c>
      <c r="B390" s="19" t="s">
        <v>10037</v>
      </c>
      <c r="C390" s="28" t="n">
        <f aca="false">D390/Overview!$B$10</f>
        <v>0.000982844889206576</v>
      </c>
      <c r="D390" s="29" t="n">
        <v>33</v>
      </c>
      <c r="E390" s="19" t="s">
        <v>9957</v>
      </c>
      <c r="F390" s="19" t="n">
        <v>1977</v>
      </c>
      <c r="G390" s="19" t="n">
        <v>2023</v>
      </c>
      <c r="H390" s="19" t="str">
        <f aca="false">IF(COUNTIF(Species!$B:$B,$A390)=0,"",IF(INDEX(Species!$A:$A,MATCH($A390,Species!$B:$B,0))="","",INDEX(Species!$A:$A,MATCH($A390,Species!$B:$B,0))))</f>
        <v/>
      </c>
      <c r="I390" s="19" t="str">
        <f aca="false">IF(COUNTIF(Species!$B:$B,$A390)=0,"",INDEX(Species!$F:$F,MATCH($A390,Species!$B:$B,0)))</f>
        <v/>
      </c>
      <c r="J390" s="19" t="n">
        <f aca="false">COUNTIFS(Clips!$F:$F,$A390,Clips!$C:$C,"train")</f>
        <v>0</v>
      </c>
      <c r="K390" s="19" t="n">
        <f aca="false">COUNTIF(Clips!$F:$F,$A390)</f>
        <v>0</v>
      </c>
      <c r="L390" s="19" t="str">
        <f aca="false">IF(J390&gt;0,"in train",IF(K390&gt;0,"audio, none in train",IF(C390&gt;=Overview!$B$9,"priority gap","no audio")))</f>
        <v>no audio</v>
      </c>
    </row>
    <row r="391" customFormat="false" ht="15" hidden="false" customHeight="false" outlineLevel="0" collapsed="false">
      <c r="A391" s="19" t="s">
        <v>10038</v>
      </c>
      <c r="B391" s="19" t="s">
        <v>10039</v>
      </c>
      <c r="C391" s="28" t="n">
        <f aca="false">D391/Overview!$B$10</f>
        <v>0.000953061710745771</v>
      </c>
      <c r="D391" s="29" t="n">
        <v>32</v>
      </c>
      <c r="E391" s="19" t="s">
        <v>9758</v>
      </c>
      <c r="F391" s="19" t="n">
        <v>2001</v>
      </c>
      <c r="G391" s="19" t="n">
        <v>2022</v>
      </c>
      <c r="H391" s="19" t="str">
        <f aca="false">IF(COUNTIF(Species!$B:$B,$A391)=0,"",IF(INDEX(Species!$A:$A,MATCH($A391,Species!$B:$B,0))="","",INDEX(Species!$A:$A,MATCH($A391,Species!$B:$B,0))))</f>
        <v/>
      </c>
      <c r="I391" s="19" t="str">
        <f aca="false">IF(COUNTIF(Species!$B:$B,$A391)=0,"",INDEX(Species!$F:$F,MATCH($A391,Species!$B:$B,0)))</f>
        <v/>
      </c>
      <c r="J391" s="19" t="n">
        <f aca="false">COUNTIFS(Clips!$F:$F,$A391,Clips!$C:$C,"train")</f>
        <v>0</v>
      </c>
      <c r="K391" s="19" t="n">
        <f aca="false">COUNTIF(Clips!$F:$F,$A391)</f>
        <v>0</v>
      </c>
      <c r="L391" s="19" t="str">
        <f aca="false">IF(J391&gt;0,"in train",IF(K391&gt;0,"audio, none in train",IF(C391&gt;=Overview!$B$9,"priority gap","no audio")))</f>
        <v>no audio</v>
      </c>
    </row>
    <row r="392" customFormat="false" ht="15" hidden="false" customHeight="false" outlineLevel="0" collapsed="false">
      <c r="A392" s="19" t="s">
        <v>10040</v>
      </c>
      <c r="B392" s="19" t="s">
        <v>10041</v>
      </c>
      <c r="C392" s="28" t="n">
        <f aca="false">D392/Overview!$B$10</f>
        <v>0.000953061710745771</v>
      </c>
      <c r="D392" s="29" t="n">
        <v>32</v>
      </c>
      <c r="E392" s="19" t="s">
        <v>10042</v>
      </c>
      <c r="F392" s="19" t="n">
        <v>1994</v>
      </c>
      <c r="G392" s="19" t="n">
        <v>2025</v>
      </c>
      <c r="H392" s="19" t="str">
        <f aca="false">IF(COUNTIF(Species!$B:$B,$A392)=0,"",IF(INDEX(Species!$A:$A,MATCH($A392,Species!$B:$B,0))="","",INDEX(Species!$A:$A,MATCH($A392,Species!$B:$B,0))))</f>
        <v/>
      </c>
      <c r="I392" s="19" t="str">
        <f aca="false">IF(COUNTIF(Species!$B:$B,$A392)=0,"",INDEX(Species!$F:$F,MATCH($A392,Species!$B:$B,0)))</f>
        <v/>
      </c>
      <c r="J392" s="19" t="n">
        <f aca="false">COUNTIFS(Clips!$F:$F,$A392,Clips!$C:$C,"train")</f>
        <v>0</v>
      </c>
      <c r="K392" s="19" t="n">
        <f aca="false">COUNTIF(Clips!$F:$F,$A392)</f>
        <v>0</v>
      </c>
      <c r="L392" s="19" t="str">
        <f aca="false">IF(J392&gt;0,"in train",IF(K392&gt;0,"audio, none in train",IF(C392&gt;=Overview!$B$9,"priority gap","no audio")))</f>
        <v>no audio</v>
      </c>
    </row>
    <row r="393" customFormat="false" ht="15" hidden="false" customHeight="false" outlineLevel="0" collapsed="false">
      <c r="A393" s="19" t="s">
        <v>568</v>
      </c>
      <c r="B393" s="19" t="s">
        <v>569</v>
      </c>
      <c r="C393" s="28" t="n">
        <f aca="false">D393/Overview!$B$10</f>
        <v>0.000923278532284966</v>
      </c>
      <c r="D393" s="29" t="n">
        <v>31</v>
      </c>
      <c r="E393" s="19" t="s">
        <v>9931</v>
      </c>
      <c r="F393" s="19" t="n">
        <v>1973</v>
      </c>
      <c r="G393" s="19" t="n">
        <v>2025</v>
      </c>
      <c r="H393" s="19" t="n">
        <f aca="false">IF(COUNTIF(Species!$B:$B,$A393)=0,"",IF(INDEX(Species!$A:$A,MATCH($A393,Species!$B:$B,0))="","",INDEX(Species!$A:$A,MATCH($A393,Species!$B:$B,0))))</f>
        <v>114</v>
      </c>
      <c r="I393" s="19" t="str">
        <f aca="false">IF(COUNTIF(Species!$B:$B,$A393)=0,"",INDEX(Species!$F:$F,MATCH($A393,Species!$B:$B,0)))</f>
        <v>few_shot</v>
      </c>
      <c r="J393" s="19" t="n">
        <f aca="false">COUNTIFS(Clips!$F:$F,$A393,Clips!$C:$C,"train")</f>
        <v>4</v>
      </c>
      <c r="K393" s="19" t="n">
        <f aca="false">COUNTIF(Clips!$F:$F,$A393)</f>
        <v>5</v>
      </c>
      <c r="L393" s="19" t="str">
        <f aca="false">IF(J393&gt;0,"in train",IF(K393&gt;0,"audio, none in train",IF(C393&gt;=Overview!$B$9,"priority gap","no audio")))</f>
        <v>in train</v>
      </c>
    </row>
    <row r="394" customFormat="false" ht="15" hidden="false" customHeight="false" outlineLevel="0" collapsed="false">
      <c r="A394" s="19" t="s">
        <v>10043</v>
      </c>
      <c r="B394" s="19" t="s">
        <v>10044</v>
      </c>
      <c r="C394" s="28" t="n">
        <f aca="false">D394/Overview!$B$10</f>
        <v>0.000923278532284966</v>
      </c>
      <c r="D394" s="29" t="n">
        <v>31</v>
      </c>
      <c r="E394" s="19" t="s">
        <v>10045</v>
      </c>
      <c r="F394" s="19" t="n">
        <v>1996</v>
      </c>
      <c r="G394" s="19" t="n">
        <v>2026</v>
      </c>
      <c r="H394" s="19" t="str">
        <f aca="false">IF(COUNTIF(Species!$B:$B,$A394)=0,"",IF(INDEX(Species!$A:$A,MATCH($A394,Species!$B:$B,0))="","",INDEX(Species!$A:$A,MATCH($A394,Species!$B:$B,0))))</f>
        <v/>
      </c>
      <c r="I394" s="19" t="str">
        <f aca="false">IF(COUNTIF(Species!$B:$B,$A394)=0,"",INDEX(Species!$F:$F,MATCH($A394,Species!$B:$B,0)))</f>
        <v/>
      </c>
      <c r="J394" s="19" t="n">
        <f aca="false">COUNTIFS(Clips!$F:$F,$A394,Clips!$C:$C,"train")</f>
        <v>0</v>
      </c>
      <c r="K394" s="19" t="n">
        <f aca="false">COUNTIF(Clips!$F:$F,$A394)</f>
        <v>0</v>
      </c>
      <c r="L394" s="19" t="str">
        <f aca="false">IF(J394&gt;0,"in train",IF(K394&gt;0,"audio, none in train",IF(C394&gt;=Overview!$B$9,"priority gap","no audio")))</f>
        <v>no audio</v>
      </c>
    </row>
    <row r="395" customFormat="false" ht="15" hidden="false" customHeight="false" outlineLevel="0" collapsed="false">
      <c r="A395" s="19" t="s">
        <v>10046</v>
      </c>
      <c r="B395" s="19" t="s">
        <v>10047</v>
      </c>
      <c r="C395" s="28" t="n">
        <f aca="false">D395/Overview!$B$10</f>
        <v>0.000923278532284966</v>
      </c>
      <c r="D395" s="29" t="n">
        <v>31</v>
      </c>
      <c r="E395" s="19" t="s">
        <v>10048</v>
      </c>
      <c r="F395" s="19" t="n">
        <v>2009</v>
      </c>
      <c r="G395" s="19" t="n">
        <v>2026</v>
      </c>
      <c r="H395" s="19" t="str">
        <f aca="false">IF(COUNTIF(Species!$B:$B,$A395)=0,"",IF(INDEX(Species!$A:$A,MATCH($A395,Species!$B:$B,0))="","",INDEX(Species!$A:$A,MATCH($A395,Species!$B:$B,0))))</f>
        <v/>
      </c>
      <c r="I395" s="19" t="str">
        <f aca="false">IF(COUNTIF(Species!$B:$B,$A395)=0,"",INDEX(Species!$F:$F,MATCH($A395,Species!$B:$B,0)))</f>
        <v/>
      </c>
      <c r="J395" s="19" t="n">
        <f aca="false">COUNTIFS(Clips!$F:$F,$A395,Clips!$C:$C,"train")</f>
        <v>0</v>
      </c>
      <c r="K395" s="19" t="n">
        <f aca="false">COUNTIF(Clips!$F:$F,$A395)</f>
        <v>0</v>
      </c>
      <c r="L395" s="19" t="str">
        <f aca="false">IF(J395&gt;0,"in train",IF(K395&gt;0,"audio, none in train",IF(C395&gt;=Overview!$B$9,"priority gap","no audio")))</f>
        <v>no audio</v>
      </c>
    </row>
    <row r="396" customFormat="false" ht="15" hidden="false" customHeight="false" outlineLevel="0" collapsed="false">
      <c r="A396" s="19" t="s">
        <v>10049</v>
      </c>
      <c r="B396" s="19" t="s">
        <v>10050</v>
      </c>
      <c r="C396" s="28" t="n">
        <f aca="false">D396/Overview!$B$10</f>
        <v>0.000923278532284966</v>
      </c>
      <c r="D396" s="29" t="n">
        <v>31</v>
      </c>
      <c r="E396" s="19" t="s">
        <v>10051</v>
      </c>
      <c r="F396" s="19" t="n">
        <v>1996</v>
      </c>
      <c r="G396" s="19" t="n">
        <v>2025</v>
      </c>
      <c r="H396" s="19" t="str">
        <f aca="false">IF(COUNTIF(Species!$B:$B,$A396)=0,"",IF(INDEX(Species!$A:$A,MATCH($A396,Species!$B:$B,0))="","",INDEX(Species!$A:$A,MATCH($A396,Species!$B:$B,0))))</f>
        <v/>
      </c>
      <c r="I396" s="19" t="str">
        <f aca="false">IF(COUNTIF(Species!$B:$B,$A396)=0,"",INDEX(Species!$F:$F,MATCH($A396,Species!$B:$B,0)))</f>
        <v/>
      </c>
      <c r="J396" s="19" t="n">
        <f aca="false">COUNTIFS(Clips!$F:$F,$A396,Clips!$C:$C,"train")</f>
        <v>0</v>
      </c>
      <c r="K396" s="19" t="n">
        <f aca="false">COUNTIF(Clips!$F:$F,$A396)</f>
        <v>0</v>
      </c>
      <c r="L396" s="19" t="str">
        <f aca="false">IF(J396&gt;0,"in train",IF(K396&gt;0,"audio, none in train",IF(C396&gt;=Overview!$B$9,"priority gap","no audio")))</f>
        <v>no audio</v>
      </c>
    </row>
    <row r="397" customFormat="false" ht="15" hidden="false" customHeight="false" outlineLevel="0" collapsed="false">
      <c r="A397" s="19" t="s">
        <v>10052</v>
      </c>
      <c r="B397" s="19" t="s">
        <v>10053</v>
      </c>
      <c r="C397" s="28" t="n">
        <f aca="false">D397/Overview!$B$10</f>
        <v>0.00089349535382416</v>
      </c>
      <c r="D397" s="29" t="n">
        <v>30</v>
      </c>
      <c r="E397" s="19" t="s">
        <v>10054</v>
      </c>
      <c r="F397" s="19" t="n">
        <v>1972</v>
      </c>
      <c r="G397" s="19" t="n">
        <v>2023</v>
      </c>
      <c r="H397" s="19" t="str">
        <f aca="false">IF(COUNTIF(Species!$B:$B,$A397)=0,"",IF(INDEX(Species!$A:$A,MATCH($A397,Species!$B:$B,0))="","",INDEX(Species!$A:$A,MATCH($A397,Species!$B:$B,0))))</f>
        <v/>
      </c>
      <c r="I397" s="19" t="str">
        <f aca="false">IF(COUNTIF(Species!$B:$B,$A397)=0,"",INDEX(Species!$F:$F,MATCH($A397,Species!$B:$B,0)))</f>
        <v/>
      </c>
      <c r="J397" s="19" t="n">
        <f aca="false">COUNTIFS(Clips!$F:$F,$A397,Clips!$C:$C,"train")</f>
        <v>0</v>
      </c>
      <c r="K397" s="19" t="n">
        <f aca="false">COUNTIF(Clips!$F:$F,$A397)</f>
        <v>0</v>
      </c>
      <c r="L397" s="19" t="str">
        <f aca="false">IF(J397&gt;0,"in train",IF(K397&gt;0,"audio, none in train",IF(C397&gt;=Overview!$B$9,"priority gap","no audio")))</f>
        <v>no audio</v>
      </c>
    </row>
    <row r="398" customFormat="false" ht="15" hidden="false" customHeight="false" outlineLevel="0" collapsed="false">
      <c r="A398" s="19" t="s">
        <v>10055</v>
      </c>
      <c r="B398" s="19" t="s">
        <v>10056</v>
      </c>
      <c r="C398" s="28" t="n">
        <f aca="false">D398/Overview!$B$10</f>
        <v>0.000833928996902549</v>
      </c>
      <c r="D398" s="29" t="n">
        <v>28</v>
      </c>
      <c r="E398" s="19" t="s">
        <v>9993</v>
      </c>
      <c r="F398" s="19" t="n">
        <v>1991</v>
      </c>
      <c r="G398" s="19" t="n">
        <v>2025</v>
      </c>
      <c r="H398" s="19" t="str">
        <f aca="false">IF(COUNTIF(Species!$B:$B,$A398)=0,"",IF(INDEX(Species!$A:$A,MATCH($A398,Species!$B:$B,0))="","",INDEX(Species!$A:$A,MATCH($A398,Species!$B:$B,0))))</f>
        <v/>
      </c>
      <c r="I398" s="19" t="str">
        <f aca="false">IF(COUNTIF(Species!$B:$B,$A398)=0,"",INDEX(Species!$F:$F,MATCH($A398,Species!$B:$B,0)))</f>
        <v/>
      </c>
      <c r="J398" s="19" t="n">
        <f aca="false">COUNTIFS(Clips!$F:$F,$A398,Clips!$C:$C,"train")</f>
        <v>0</v>
      </c>
      <c r="K398" s="19" t="n">
        <f aca="false">COUNTIF(Clips!$F:$F,$A398)</f>
        <v>0</v>
      </c>
      <c r="L398" s="19" t="str">
        <f aca="false">IF(J398&gt;0,"in train",IF(K398&gt;0,"audio, none in train",IF(C398&gt;=Overview!$B$9,"priority gap","no audio")))</f>
        <v>no audio</v>
      </c>
    </row>
    <row r="399" customFormat="false" ht="15" hidden="false" customHeight="false" outlineLevel="0" collapsed="false">
      <c r="A399" s="19" t="s">
        <v>10057</v>
      </c>
      <c r="B399" s="19" t="s">
        <v>10058</v>
      </c>
      <c r="C399" s="28" t="n">
        <f aca="false">D399/Overview!$B$10</f>
        <v>0.000804145818441744</v>
      </c>
      <c r="D399" s="29" t="n">
        <v>27</v>
      </c>
      <c r="E399" s="19" t="s">
        <v>10059</v>
      </c>
      <c r="F399" s="19" t="n">
        <v>1998</v>
      </c>
      <c r="G399" s="19" t="n">
        <v>2026</v>
      </c>
      <c r="H399" s="19" t="str">
        <f aca="false">IF(COUNTIF(Species!$B:$B,$A399)=0,"",IF(INDEX(Species!$A:$A,MATCH($A399,Species!$B:$B,0))="","",INDEX(Species!$A:$A,MATCH($A399,Species!$B:$B,0))))</f>
        <v/>
      </c>
      <c r="I399" s="19" t="str">
        <f aca="false">IF(COUNTIF(Species!$B:$B,$A399)=0,"",INDEX(Species!$F:$F,MATCH($A399,Species!$B:$B,0)))</f>
        <v/>
      </c>
      <c r="J399" s="19" t="n">
        <f aca="false">COUNTIFS(Clips!$F:$F,$A399,Clips!$C:$C,"train")</f>
        <v>0</v>
      </c>
      <c r="K399" s="19" t="n">
        <f aca="false">COUNTIF(Clips!$F:$F,$A399)</f>
        <v>0</v>
      </c>
      <c r="L399" s="19" t="str">
        <f aca="false">IF(J399&gt;0,"in train",IF(K399&gt;0,"audio, none in train",IF(C399&gt;=Overview!$B$9,"priority gap","no audio")))</f>
        <v>no audio</v>
      </c>
    </row>
    <row r="400" customFormat="false" ht="15" hidden="false" customHeight="false" outlineLevel="0" collapsed="false">
      <c r="A400" s="19" t="s">
        <v>10060</v>
      </c>
      <c r="B400" s="19" t="s">
        <v>10061</v>
      </c>
      <c r="C400" s="28" t="n">
        <f aca="false">D400/Overview!$B$10</f>
        <v>0.000804145818441744</v>
      </c>
      <c r="D400" s="29" t="n">
        <v>27</v>
      </c>
      <c r="E400" s="19" t="s">
        <v>10027</v>
      </c>
      <c r="F400" s="19" t="n">
        <v>1987</v>
      </c>
      <c r="G400" s="19" t="n">
        <v>2026</v>
      </c>
      <c r="H400" s="19" t="str">
        <f aca="false">IF(COUNTIF(Species!$B:$B,$A400)=0,"",IF(INDEX(Species!$A:$A,MATCH($A400,Species!$B:$B,0))="","",INDEX(Species!$A:$A,MATCH($A400,Species!$B:$B,0))))</f>
        <v/>
      </c>
      <c r="I400" s="19" t="str">
        <f aca="false">IF(COUNTIF(Species!$B:$B,$A400)=0,"",INDEX(Species!$F:$F,MATCH($A400,Species!$B:$B,0)))</f>
        <v/>
      </c>
      <c r="J400" s="19" t="n">
        <f aca="false">COUNTIFS(Clips!$F:$F,$A400,Clips!$C:$C,"train")</f>
        <v>0</v>
      </c>
      <c r="K400" s="19" t="n">
        <f aca="false">COUNTIF(Clips!$F:$F,$A400)</f>
        <v>0</v>
      </c>
      <c r="L400" s="19" t="str">
        <f aca="false">IF(J400&gt;0,"in train",IF(K400&gt;0,"audio, none in train",IF(C400&gt;=Overview!$B$9,"priority gap","no audio")))</f>
        <v>no audio</v>
      </c>
    </row>
    <row r="401" customFormat="false" ht="15" hidden="false" customHeight="false" outlineLevel="0" collapsed="false">
      <c r="A401" s="19" t="s">
        <v>10062</v>
      </c>
      <c r="B401" s="19" t="s">
        <v>10063</v>
      </c>
      <c r="C401" s="28" t="n">
        <f aca="false">D401/Overview!$B$10</f>
        <v>0.000804145818441744</v>
      </c>
      <c r="D401" s="29" t="n">
        <v>27</v>
      </c>
      <c r="E401" s="19" t="s">
        <v>10064</v>
      </c>
      <c r="F401" s="19" t="n">
        <v>1989</v>
      </c>
      <c r="G401" s="19" t="n">
        <v>2025</v>
      </c>
      <c r="H401" s="19" t="str">
        <f aca="false">IF(COUNTIF(Species!$B:$B,$A401)=0,"",IF(INDEX(Species!$A:$A,MATCH($A401,Species!$B:$B,0))="","",INDEX(Species!$A:$A,MATCH($A401,Species!$B:$B,0))))</f>
        <v/>
      </c>
      <c r="I401" s="19" t="str">
        <f aca="false">IF(COUNTIF(Species!$B:$B,$A401)=0,"",INDEX(Species!$F:$F,MATCH($A401,Species!$B:$B,0)))</f>
        <v/>
      </c>
      <c r="J401" s="19" t="n">
        <f aca="false">COUNTIFS(Clips!$F:$F,$A401,Clips!$C:$C,"train")</f>
        <v>0</v>
      </c>
      <c r="K401" s="19" t="n">
        <f aca="false">COUNTIF(Clips!$F:$F,$A401)</f>
        <v>0</v>
      </c>
      <c r="L401" s="19" t="str">
        <f aca="false">IF(J401&gt;0,"in train",IF(K401&gt;0,"audio, none in train",IF(C401&gt;=Overview!$B$9,"priority gap","no audio")))</f>
        <v>no audio</v>
      </c>
    </row>
    <row r="402" customFormat="false" ht="15" hidden="false" customHeight="false" outlineLevel="0" collapsed="false">
      <c r="A402" s="19" t="s">
        <v>10065</v>
      </c>
      <c r="B402" s="19" t="s">
        <v>10066</v>
      </c>
      <c r="C402" s="28" t="n">
        <f aca="false">D402/Overview!$B$10</f>
        <v>0.000774362639980939</v>
      </c>
      <c r="D402" s="29" t="n">
        <v>26</v>
      </c>
      <c r="E402" s="19" t="s">
        <v>10067</v>
      </c>
      <c r="F402" s="19" t="n">
        <v>1987</v>
      </c>
      <c r="G402" s="19" t="n">
        <v>2025</v>
      </c>
      <c r="H402" s="19" t="str">
        <f aca="false">IF(COUNTIF(Species!$B:$B,$A402)=0,"",IF(INDEX(Species!$A:$A,MATCH($A402,Species!$B:$B,0))="","",INDEX(Species!$A:$A,MATCH($A402,Species!$B:$B,0))))</f>
        <v/>
      </c>
      <c r="I402" s="19" t="str">
        <f aca="false">IF(COUNTIF(Species!$B:$B,$A402)=0,"",INDEX(Species!$F:$F,MATCH($A402,Species!$B:$B,0)))</f>
        <v/>
      </c>
      <c r="J402" s="19" t="n">
        <f aca="false">COUNTIFS(Clips!$F:$F,$A402,Clips!$C:$C,"train")</f>
        <v>0</v>
      </c>
      <c r="K402" s="19" t="n">
        <f aca="false">COUNTIF(Clips!$F:$F,$A402)</f>
        <v>0</v>
      </c>
      <c r="L402" s="19" t="str">
        <f aca="false">IF(J402&gt;0,"in train",IF(K402&gt;0,"audio, none in train",IF(C402&gt;=Overview!$B$9,"priority gap","no audio")))</f>
        <v>no audio</v>
      </c>
    </row>
    <row r="403" customFormat="false" ht="15" hidden="false" customHeight="false" outlineLevel="0" collapsed="false">
      <c r="A403" s="19" t="s">
        <v>10068</v>
      </c>
      <c r="B403" s="19" t="s">
        <v>10069</v>
      </c>
      <c r="C403" s="28" t="n">
        <f aca="false">D403/Overview!$B$10</f>
        <v>0.000774362639980939</v>
      </c>
      <c r="D403" s="29" t="n">
        <v>26</v>
      </c>
      <c r="E403" s="19" t="s">
        <v>10070</v>
      </c>
      <c r="F403" s="19" t="n">
        <v>1991</v>
      </c>
      <c r="G403" s="19" t="n">
        <v>2026</v>
      </c>
      <c r="H403" s="19" t="str">
        <f aca="false">IF(COUNTIF(Species!$B:$B,$A403)=0,"",IF(INDEX(Species!$A:$A,MATCH($A403,Species!$B:$B,0))="","",INDEX(Species!$A:$A,MATCH($A403,Species!$B:$B,0))))</f>
        <v/>
      </c>
      <c r="I403" s="19" t="str">
        <f aca="false">IF(COUNTIF(Species!$B:$B,$A403)=0,"",INDEX(Species!$F:$F,MATCH($A403,Species!$B:$B,0)))</f>
        <v/>
      </c>
      <c r="J403" s="19" t="n">
        <f aca="false">COUNTIFS(Clips!$F:$F,$A403,Clips!$C:$C,"train")</f>
        <v>0</v>
      </c>
      <c r="K403" s="19" t="n">
        <f aca="false">COUNTIF(Clips!$F:$F,$A403)</f>
        <v>0</v>
      </c>
      <c r="L403" s="19" t="str">
        <f aca="false">IF(J403&gt;0,"in train",IF(K403&gt;0,"audio, none in train",IF(C403&gt;=Overview!$B$9,"priority gap","no audio")))</f>
        <v>no audio</v>
      </c>
    </row>
    <row r="404" customFormat="false" ht="15" hidden="false" customHeight="false" outlineLevel="0" collapsed="false">
      <c r="A404" s="19" t="s">
        <v>10071</v>
      </c>
      <c r="B404" s="19" t="s">
        <v>10072</v>
      </c>
      <c r="C404" s="28" t="n">
        <f aca="false">D404/Overview!$B$10</f>
        <v>0.000744579461520133</v>
      </c>
      <c r="D404" s="29" t="n">
        <v>25</v>
      </c>
      <c r="E404" s="19" t="s">
        <v>10073</v>
      </c>
      <c r="F404" s="19" t="n">
        <v>1989</v>
      </c>
      <c r="G404" s="19" t="n">
        <v>2025</v>
      </c>
      <c r="H404" s="19" t="str">
        <f aca="false">IF(COUNTIF(Species!$B:$B,$A404)=0,"",IF(INDEX(Species!$A:$A,MATCH($A404,Species!$B:$B,0))="","",INDEX(Species!$A:$A,MATCH($A404,Species!$B:$B,0))))</f>
        <v/>
      </c>
      <c r="I404" s="19" t="str">
        <f aca="false">IF(COUNTIF(Species!$B:$B,$A404)=0,"",INDEX(Species!$F:$F,MATCH($A404,Species!$B:$B,0)))</f>
        <v/>
      </c>
      <c r="J404" s="19" t="n">
        <f aca="false">COUNTIFS(Clips!$F:$F,$A404,Clips!$C:$C,"train")</f>
        <v>0</v>
      </c>
      <c r="K404" s="19" t="n">
        <f aca="false">COUNTIF(Clips!$F:$F,$A404)</f>
        <v>0</v>
      </c>
      <c r="L404" s="19" t="str">
        <f aca="false">IF(J404&gt;0,"in train",IF(K404&gt;0,"audio, none in train",IF(C404&gt;=Overview!$B$9,"priority gap","no audio")))</f>
        <v>no audio</v>
      </c>
    </row>
    <row r="405" customFormat="false" ht="15" hidden="false" customHeight="false" outlineLevel="0" collapsed="false">
      <c r="A405" s="19" t="s">
        <v>10074</v>
      </c>
      <c r="B405" s="19" t="s">
        <v>10075</v>
      </c>
      <c r="C405" s="28" t="n">
        <f aca="false">D405/Overview!$B$10</f>
        <v>0.000744579461520133</v>
      </c>
      <c r="D405" s="29" t="n">
        <v>25</v>
      </c>
      <c r="E405" s="19" t="s">
        <v>10076</v>
      </c>
      <c r="F405" s="19" t="n">
        <v>2024</v>
      </c>
      <c r="G405" s="19" t="n">
        <v>2024</v>
      </c>
      <c r="H405" s="19" t="str">
        <f aca="false">IF(COUNTIF(Species!$B:$B,$A405)=0,"",IF(INDEX(Species!$A:$A,MATCH($A405,Species!$B:$B,0))="","",INDEX(Species!$A:$A,MATCH($A405,Species!$B:$B,0))))</f>
        <v/>
      </c>
      <c r="I405" s="19" t="str">
        <f aca="false">IF(COUNTIF(Species!$B:$B,$A405)=0,"",INDEX(Species!$F:$F,MATCH($A405,Species!$B:$B,0)))</f>
        <v/>
      </c>
      <c r="J405" s="19" t="n">
        <f aca="false">COUNTIFS(Clips!$F:$F,$A405,Clips!$C:$C,"train")</f>
        <v>0</v>
      </c>
      <c r="K405" s="19" t="n">
        <f aca="false">COUNTIF(Clips!$F:$F,$A405)</f>
        <v>0</v>
      </c>
      <c r="L405" s="19" t="str">
        <f aca="false">IF(J405&gt;0,"in train",IF(K405&gt;0,"audio, none in train",IF(C405&gt;=Overview!$B$9,"priority gap","no audio")))</f>
        <v>no audio</v>
      </c>
    </row>
    <row r="406" customFormat="false" ht="15" hidden="false" customHeight="false" outlineLevel="0" collapsed="false">
      <c r="A406" s="19" t="s">
        <v>10077</v>
      </c>
      <c r="B406" s="19" t="s">
        <v>10078</v>
      </c>
      <c r="C406" s="28" t="n">
        <f aca="false">D406/Overview!$B$10</f>
        <v>0.000714796283059328</v>
      </c>
      <c r="D406" s="29" t="n">
        <v>24</v>
      </c>
      <c r="E406" s="19" t="s">
        <v>10079</v>
      </c>
      <c r="F406" s="19" t="n">
        <v>1992</v>
      </c>
      <c r="G406" s="19" t="n">
        <v>2024</v>
      </c>
      <c r="H406" s="19" t="str">
        <f aca="false">IF(COUNTIF(Species!$B:$B,$A406)=0,"",IF(INDEX(Species!$A:$A,MATCH($A406,Species!$B:$B,0))="","",INDEX(Species!$A:$A,MATCH($A406,Species!$B:$B,0))))</f>
        <v/>
      </c>
      <c r="I406" s="19" t="str">
        <f aca="false">IF(COUNTIF(Species!$B:$B,$A406)=0,"",INDEX(Species!$F:$F,MATCH($A406,Species!$B:$B,0)))</f>
        <v/>
      </c>
      <c r="J406" s="19" t="n">
        <f aca="false">COUNTIFS(Clips!$F:$F,$A406,Clips!$C:$C,"train")</f>
        <v>0</v>
      </c>
      <c r="K406" s="19" t="n">
        <f aca="false">COUNTIF(Clips!$F:$F,$A406)</f>
        <v>0</v>
      </c>
      <c r="L406" s="19" t="str">
        <f aca="false">IF(J406&gt;0,"in train",IF(K406&gt;0,"audio, none in train",IF(C406&gt;=Overview!$B$9,"priority gap","no audio")))</f>
        <v>no audio</v>
      </c>
    </row>
    <row r="407" customFormat="false" ht="15" hidden="false" customHeight="false" outlineLevel="0" collapsed="false">
      <c r="A407" s="19" t="s">
        <v>10080</v>
      </c>
      <c r="B407" s="19" t="s">
        <v>10081</v>
      </c>
      <c r="C407" s="28" t="n">
        <f aca="false">D407/Overview!$B$10</f>
        <v>0.000714796283059328</v>
      </c>
      <c r="D407" s="29" t="n">
        <v>24</v>
      </c>
      <c r="E407" s="19" t="s">
        <v>9957</v>
      </c>
      <c r="F407" s="19" t="n">
        <v>1997</v>
      </c>
      <c r="G407" s="19" t="n">
        <v>2025</v>
      </c>
      <c r="H407" s="19" t="str">
        <f aca="false">IF(COUNTIF(Species!$B:$B,$A407)=0,"",IF(INDEX(Species!$A:$A,MATCH($A407,Species!$B:$B,0))="","",INDEX(Species!$A:$A,MATCH($A407,Species!$B:$B,0))))</f>
        <v/>
      </c>
      <c r="I407" s="19" t="str">
        <f aca="false">IF(COUNTIF(Species!$B:$B,$A407)=0,"",INDEX(Species!$F:$F,MATCH($A407,Species!$B:$B,0)))</f>
        <v/>
      </c>
      <c r="J407" s="19" t="n">
        <f aca="false">COUNTIFS(Clips!$F:$F,$A407,Clips!$C:$C,"train")</f>
        <v>0</v>
      </c>
      <c r="K407" s="19" t="n">
        <f aca="false">COUNTIF(Clips!$F:$F,$A407)</f>
        <v>0</v>
      </c>
      <c r="L407" s="19" t="str">
        <f aca="false">IF(J407&gt;0,"in train",IF(K407&gt;0,"audio, none in train",IF(C407&gt;=Overview!$B$9,"priority gap","no audio")))</f>
        <v>no audio</v>
      </c>
    </row>
    <row r="408" customFormat="false" ht="15" hidden="false" customHeight="false" outlineLevel="0" collapsed="false">
      <c r="A408" s="19" t="s">
        <v>10082</v>
      </c>
      <c r="B408" s="19" t="s">
        <v>10083</v>
      </c>
      <c r="C408" s="28" t="n">
        <f aca="false">D408/Overview!$B$10</f>
        <v>0.000714796283059328</v>
      </c>
      <c r="D408" s="29" t="n">
        <v>24</v>
      </c>
      <c r="E408" s="19" t="s">
        <v>10084</v>
      </c>
      <c r="F408" s="19" t="n">
        <v>1994</v>
      </c>
      <c r="G408" s="19" t="n">
        <v>2025</v>
      </c>
      <c r="H408" s="19" t="str">
        <f aca="false">IF(COUNTIF(Species!$B:$B,$A408)=0,"",IF(INDEX(Species!$A:$A,MATCH($A408,Species!$B:$B,0))="","",INDEX(Species!$A:$A,MATCH($A408,Species!$B:$B,0))))</f>
        <v/>
      </c>
      <c r="I408" s="19" t="str">
        <f aca="false">IF(COUNTIF(Species!$B:$B,$A408)=0,"",INDEX(Species!$F:$F,MATCH($A408,Species!$B:$B,0)))</f>
        <v/>
      </c>
      <c r="J408" s="19" t="n">
        <f aca="false">COUNTIFS(Clips!$F:$F,$A408,Clips!$C:$C,"train")</f>
        <v>0</v>
      </c>
      <c r="K408" s="19" t="n">
        <f aca="false">COUNTIF(Clips!$F:$F,$A408)</f>
        <v>0</v>
      </c>
      <c r="L408" s="19" t="str">
        <f aca="false">IF(J408&gt;0,"in train",IF(K408&gt;0,"audio, none in train",IF(C408&gt;=Overview!$B$9,"priority gap","no audio")))</f>
        <v>no audio</v>
      </c>
    </row>
    <row r="409" customFormat="false" ht="15" hidden="false" customHeight="false" outlineLevel="0" collapsed="false">
      <c r="A409" s="19" t="s">
        <v>10085</v>
      </c>
      <c r="B409" s="19" t="s">
        <v>10086</v>
      </c>
      <c r="C409" s="28" t="n">
        <f aca="false">D409/Overview!$B$10</f>
        <v>0.000685013104598523</v>
      </c>
      <c r="D409" s="29" t="n">
        <v>23</v>
      </c>
      <c r="E409" s="19" t="s">
        <v>10087</v>
      </c>
      <c r="F409" s="19" t="n">
        <v>1988</v>
      </c>
      <c r="G409" s="19" t="n">
        <v>2026</v>
      </c>
      <c r="H409" s="19" t="str">
        <f aca="false">IF(COUNTIF(Species!$B:$B,$A409)=0,"",IF(INDEX(Species!$A:$A,MATCH($A409,Species!$B:$B,0))="","",INDEX(Species!$A:$A,MATCH($A409,Species!$B:$B,0))))</f>
        <v/>
      </c>
      <c r="I409" s="19" t="str">
        <f aca="false">IF(COUNTIF(Species!$B:$B,$A409)=0,"",INDEX(Species!$F:$F,MATCH($A409,Species!$B:$B,0)))</f>
        <v/>
      </c>
      <c r="J409" s="19" t="n">
        <f aca="false">COUNTIFS(Clips!$F:$F,$A409,Clips!$C:$C,"train")</f>
        <v>0</v>
      </c>
      <c r="K409" s="19" t="n">
        <f aca="false">COUNTIF(Clips!$F:$F,$A409)</f>
        <v>0</v>
      </c>
      <c r="L409" s="19" t="str">
        <f aca="false">IF(J409&gt;0,"in train",IF(K409&gt;0,"audio, none in train",IF(C409&gt;=Overview!$B$9,"priority gap","no audio")))</f>
        <v>no audio</v>
      </c>
    </row>
    <row r="410" customFormat="false" ht="15" hidden="false" customHeight="false" outlineLevel="0" collapsed="false">
      <c r="A410" s="19" t="s">
        <v>707</v>
      </c>
      <c r="B410" s="19" t="s">
        <v>708</v>
      </c>
      <c r="C410" s="28" t="n">
        <f aca="false">D410/Overview!$B$10</f>
        <v>0.000685013104598523</v>
      </c>
      <c r="D410" s="29" t="n">
        <v>23</v>
      </c>
      <c r="E410" s="19" t="s">
        <v>10088</v>
      </c>
      <c r="F410" s="19" t="n">
        <v>1987</v>
      </c>
      <c r="G410" s="19" t="n">
        <v>2024</v>
      </c>
      <c r="H410" s="19" t="n">
        <f aca="false">IF(COUNTIF(Species!$B:$B,$A410)=0,"",IF(INDEX(Species!$A:$A,MATCH($A410,Species!$B:$B,0))="","",INDEX(Species!$A:$A,MATCH($A410,Species!$B:$B,0))))</f>
        <v>24</v>
      </c>
      <c r="I410" s="19" t="str">
        <f aca="false">IF(COUNTIF(Species!$B:$B,$A410)=0,"",INDEX(Species!$F:$F,MATCH($A410,Species!$B:$B,0)))</f>
        <v>offsite</v>
      </c>
      <c r="J410" s="19" t="n">
        <f aca="false">COUNTIFS(Clips!$F:$F,$A410,Clips!$C:$C,"train")</f>
        <v>2</v>
      </c>
      <c r="K410" s="19" t="n">
        <f aca="false">COUNTIF(Clips!$F:$F,$A410)</f>
        <v>2</v>
      </c>
      <c r="L410" s="19" t="str">
        <f aca="false">IF(J410&gt;0,"in train",IF(K410&gt;0,"audio, none in train",IF(C410&gt;=Overview!$B$9,"priority gap","no audio")))</f>
        <v>in train</v>
      </c>
    </row>
    <row r="411" customFormat="false" ht="15" hidden="false" customHeight="false" outlineLevel="0" collapsed="false">
      <c r="A411" s="19" t="s">
        <v>10089</v>
      </c>
      <c r="B411" s="19" t="s">
        <v>10090</v>
      </c>
      <c r="C411" s="28" t="n">
        <f aca="false">D411/Overview!$B$10</f>
        <v>0.000685013104598523</v>
      </c>
      <c r="D411" s="29" t="n">
        <v>23</v>
      </c>
      <c r="E411" s="19" t="s">
        <v>10091</v>
      </c>
      <c r="F411" s="19" t="n">
        <v>1988</v>
      </c>
      <c r="G411" s="19" t="n">
        <v>2025</v>
      </c>
      <c r="H411" s="19" t="str">
        <f aca="false">IF(COUNTIF(Species!$B:$B,$A411)=0,"",IF(INDEX(Species!$A:$A,MATCH($A411,Species!$B:$B,0))="","",INDEX(Species!$A:$A,MATCH($A411,Species!$B:$B,0))))</f>
        <v/>
      </c>
      <c r="I411" s="19" t="str">
        <f aca="false">IF(COUNTIF(Species!$B:$B,$A411)=0,"",INDEX(Species!$F:$F,MATCH($A411,Species!$B:$B,0)))</f>
        <v/>
      </c>
      <c r="J411" s="19" t="n">
        <f aca="false">COUNTIFS(Clips!$F:$F,$A411,Clips!$C:$C,"train")</f>
        <v>0</v>
      </c>
      <c r="K411" s="19" t="n">
        <f aca="false">COUNTIF(Clips!$F:$F,$A411)</f>
        <v>0</v>
      </c>
      <c r="L411" s="19" t="str">
        <f aca="false">IF(J411&gt;0,"in train",IF(K411&gt;0,"audio, none in train",IF(C411&gt;=Overview!$B$9,"priority gap","no audio")))</f>
        <v>no audio</v>
      </c>
    </row>
    <row r="412" customFormat="false" ht="15" hidden="false" customHeight="false" outlineLevel="0" collapsed="false">
      <c r="A412" s="19" t="s">
        <v>10092</v>
      </c>
      <c r="B412" s="19" t="s">
        <v>10093</v>
      </c>
      <c r="C412" s="28" t="n">
        <f aca="false">D412/Overview!$B$10</f>
        <v>0.000685013104598523</v>
      </c>
      <c r="D412" s="29" t="n">
        <v>23</v>
      </c>
      <c r="E412" s="19" t="s">
        <v>10094</v>
      </c>
      <c r="F412" s="19" t="n">
        <v>1988</v>
      </c>
      <c r="G412" s="19" t="n">
        <v>2025</v>
      </c>
      <c r="H412" s="19" t="str">
        <f aca="false">IF(COUNTIF(Species!$B:$B,$A412)=0,"",IF(INDEX(Species!$A:$A,MATCH($A412,Species!$B:$B,0))="","",INDEX(Species!$A:$A,MATCH($A412,Species!$B:$B,0))))</f>
        <v/>
      </c>
      <c r="I412" s="19" t="str">
        <f aca="false">IF(COUNTIF(Species!$B:$B,$A412)=0,"",INDEX(Species!$F:$F,MATCH($A412,Species!$B:$B,0)))</f>
        <v/>
      </c>
      <c r="J412" s="19" t="n">
        <f aca="false">COUNTIFS(Clips!$F:$F,$A412,Clips!$C:$C,"train")</f>
        <v>0</v>
      </c>
      <c r="K412" s="19" t="n">
        <f aca="false">COUNTIF(Clips!$F:$F,$A412)</f>
        <v>0</v>
      </c>
      <c r="L412" s="19" t="str">
        <f aca="false">IF(J412&gt;0,"in train",IF(K412&gt;0,"audio, none in train",IF(C412&gt;=Overview!$B$9,"priority gap","no audio")))</f>
        <v>no audio</v>
      </c>
    </row>
    <row r="413" customFormat="false" ht="15" hidden="false" customHeight="false" outlineLevel="0" collapsed="false">
      <c r="A413" s="19" t="s">
        <v>885</v>
      </c>
      <c r="B413" s="19" t="s">
        <v>886</v>
      </c>
      <c r="C413" s="28" t="n">
        <f aca="false">D413/Overview!$B$10</f>
        <v>0.000655229926137717</v>
      </c>
      <c r="D413" s="29" t="n">
        <v>22</v>
      </c>
      <c r="E413" s="19" t="s">
        <v>10048</v>
      </c>
      <c r="F413" s="19" t="n">
        <v>1989</v>
      </c>
      <c r="G413" s="19" t="n">
        <v>2026</v>
      </c>
      <c r="H413" s="19" t="n">
        <f aca="false">IF(COUNTIF(Species!$B:$B,$A413)=0,"",IF(INDEX(Species!$A:$A,MATCH($A413,Species!$B:$B,0))="","",INDEX(Species!$A:$A,MATCH($A413,Species!$B:$B,0))))</f>
        <v>229</v>
      </c>
      <c r="I413" s="19" t="str">
        <f aca="false">IF(COUNTIF(Species!$B:$B,$A413)=0,"",INDEX(Species!$F:$F,MATCH($A413,Species!$B:$B,0)))</f>
        <v>offsite</v>
      </c>
      <c r="J413" s="19" t="n">
        <f aca="false">COUNTIFS(Clips!$F:$F,$A413,Clips!$C:$C,"train")</f>
        <v>1</v>
      </c>
      <c r="K413" s="19" t="n">
        <f aca="false">COUNTIF(Clips!$F:$F,$A413)</f>
        <v>1</v>
      </c>
      <c r="L413" s="19" t="str">
        <f aca="false">IF(J413&gt;0,"in train",IF(K413&gt;0,"audio, none in train",IF(C413&gt;=Overview!$B$9,"priority gap","no audio")))</f>
        <v>in train</v>
      </c>
    </row>
    <row r="414" customFormat="false" ht="15" hidden="false" customHeight="false" outlineLevel="0" collapsed="false">
      <c r="A414" s="19" t="s">
        <v>10095</v>
      </c>
      <c r="B414" s="19" t="s">
        <v>10096</v>
      </c>
      <c r="C414" s="28" t="n">
        <f aca="false">D414/Overview!$B$10</f>
        <v>0.000655229926137717</v>
      </c>
      <c r="D414" s="29" t="n">
        <v>22</v>
      </c>
      <c r="E414" s="19" t="s">
        <v>10097</v>
      </c>
      <c r="F414" s="19" t="n">
        <v>1997</v>
      </c>
      <c r="G414" s="19" t="n">
        <v>2021</v>
      </c>
      <c r="H414" s="19" t="str">
        <f aca="false">IF(COUNTIF(Species!$B:$B,$A414)=0,"",IF(INDEX(Species!$A:$A,MATCH($A414,Species!$B:$B,0))="","",INDEX(Species!$A:$A,MATCH($A414,Species!$B:$B,0))))</f>
        <v/>
      </c>
      <c r="I414" s="19" t="str">
        <f aca="false">IF(COUNTIF(Species!$B:$B,$A414)=0,"",INDEX(Species!$F:$F,MATCH($A414,Species!$B:$B,0)))</f>
        <v/>
      </c>
      <c r="J414" s="19" t="n">
        <f aca="false">COUNTIFS(Clips!$F:$F,$A414,Clips!$C:$C,"train")</f>
        <v>0</v>
      </c>
      <c r="K414" s="19" t="n">
        <f aca="false">COUNTIF(Clips!$F:$F,$A414)</f>
        <v>0</v>
      </c>
      <c r="L414" s="19" t="str">
        <f aca="false">IF(J414&gt;0,"in train",IF(K414&gt;0,"audio, none in train",IF(C414&gt;=Overview!$B$9,"priority gap","no audio")))</f>
        <v>no audio</v>
      </c>
    </row>
    <row r="415" customFormat="false" ht="15" hidden="false" customHeight="false" outlineLevel="0" collapsed="false">
      <c r="A415" s="19" t="s">
        <v>10098</v>
      </c>
      <c r="B415" s="19" t="s">
        <v>10099</v>
      </c>
      <c r="C415" s="28" t="n">
        <f aca="false">D415/Overview!$B$10</f>
        <v>0.000655229926137717</v>
      </c>
      <c r="D415" s="29" t="n">
        <v>22</v>
      </c>
      <c r="E415" s="19" t="s">
        <v>10100</v>
      </c>
      <c r="F415" s="19" t="n">
        <v>1991</v>
      </c>
      <c r="G415" s="19" t="n">
        <v>2025</v>
      </c>
      <c r="H415" s="19" t="str">
        <f aca="false">IF(COUNTIF(Species!$B:$B,$A415)=0,"",IF(INDEX(Species!$A:$A,MATCH($A415,Species!$B:$B,0))="","",INDEX(Species!$A:$A,MATCH($A415,Species!$B:$B,0))))</f>
        <v/>
      </c>
      <c r="I415" s="19" t="str">
        <f aca="false">IF(COUNTIF(Species!$B:$B,$A415)=0,"",INDEX(Species!$F:$F,MATCH($A415,Species!$B:$B,0)))</f>
        <v/>
      </c>
      <c r="J415" s="19" t="n">
        <f aca="false">COUNTIFS(Clips!$F:$F,$A415,Clips!$C:$C,"train")</f>
        <v>0</v>
      </c>
      <c r="K415" s="19" t="n">
        <f aca="false">COUNTIF(Clips!$F:$F,$A415)</f>
        <v>0</v>
      </c>
      <c r="L415" s="19" t="str">
        <f aca="false">IF(J415&gt;0,"in train",IF(K415&gt;0,"audio, none in train",IF(C415&gt;=Overview!$B$9,"priority gap","no audio")))</f>
        <v>no audio</v>
      </c>
    </row>
    <row r="416" customFormat="false" ht="15" hidden="false" customHeight="false" outlineLevel="0" collapsed="false">
      <c r="A416" s="19" t="s">
        <v>10101</v>
      </c>
      <c r="B416" s="19" t="s">
        <v>10102</v>
      </c>
      <c r="C416" s="28" t="n">
        <f aca="false">D416/Overview!$B$10</f>
        <v>0.000625446747676912</v>
      </c>
      <c r="D416" s="29" t="n">
        <v>21</v>
      </c>
      <c r="E416" s="19" t="s">
        <v>10103</v>
      </c>
      <c r="F416" s="19" t="n">
        <v>1993</v>
      </c>
      <c r="G416" s="19" t="n">
        <v>2026</v>
      </c>
      <c r="H416" s="19" t="str">
        <f aca="false">IF(COUNTIF(Species!$B:$B,$A416)=0,"",IF(INDEX(Species!$A:$A,MATCH($A416,Species!$B:$B,0))="","",INDEX(Species!$A:$A,MATCH($A416,Species!$B:$B,0))))</f>
        <v/>
      </c>
      <c r="I416" s="19" t="str">
        <f aca="false">IF(COUNTIF(Species!$B:$B,$A416)=0,"",INDEX(Species!$F:$F,MATCH($A416,Species!$B:$B,0)))</f>
        <v/>
      </c>
      <c r="J416" s="19" t="n">
        <f aca="false">COUNTIFS(Clips!$F:$F,$A416,Clips!$C:$C,"train")</f>
        <v>0</v>
      </c>
      <c r="K416" s="19" t="n">
        <f aca="false">COUNTIF(Clips!$F:$F,$A416)</f>
        <v>0</v>
      </c>
      <c r="L416" s="19" t="str">
        <f aca="false">IF(J416&gt;0,"in train",IF(K416&gt;0,"audio, none in train",IF(C416&gt;=Overview!$B$9,"priority gap","no audio")))</f>
        <v>no audio</v>
      </c>
    </row>
    <row r="417" customFormat="false" ht="15" hidden="false" customHeight="false" outlineLevel="0" collapsed="false">
      <c r="A417" s="19" t="s">
        <v>10104</v>
      </c>
      <c r="B417" s="19" t="s">
        <v>10105</v>
      </c>
      <c r="C417" s="28" t="n">
        <f aca="false">D417/Overview!$B$10</f>
        <v>0.000625446747676912</v>
      </c>
      <c r="D417" s="29" t="n">
        <v>21</v>
      </c>
      <c r="E417" s="19" t="s">
        <v>10106</v>
      </c>
      <c r="F417" s="19" t="n">
        <v>1973</v>
      </c>
      <c r="G417" s="19" t="n">
        <v>2026</v>
      </c>
      <c r="H417" s="19" t="str">
        <f aca="false">IF(COUNTIF(Species!$B:$B,$A417)=0,"",IF(INDEX(Species!$A:$A,MATCH($A417,Species!$B:$B,0))="","",INDEX(Species!$A:$A,MATCH($A417,Species!$B:$B,0))))</f>
        <v/>
      </c>
      <c r="I417" s="19" t="str">
        <f aca="false">IF(COUNTIF(Species!$B:$B,$A417)=0,"",INDEX(Species!$F:$F,MATCH($A417,Species!$B:$B,0)))</f>
        <v/>
      </c>
      <c r="J417" s="19" t="n">
        <f aca="false">COUNTIFS(Clips!$F:$F,$A417,Clips!$C:$C,"train")</f>
        <v>0</v>
      </c>
      <c r="K417" s="19" t="n">
        <f aca="false">COUNTIF(Clips!$F:$F,$A417)</f>
        <v>0</v>
      </c>
      <c r="L417" s="19" t="str">
        <f aca="false">IF(J417&gt;0,"in train",IF(K417&gt;0,"audio, none in train",IF(C417&gt;=Overview!$B$9,"priority gap","no audio")))</f>
        <v>no audio</v>
      </c>
    </row>
    <row r="418" customFormat="false" ht="15" hidden="false" customHeight="false" outlineLevel="0" collapsed="false">
      <c r="A418" s="19" t="s">
        <v>10107</v>
      </c>
      <c r="B418" s="19" t="s">
        <v>10108</v>
      </c>
      <c r="C418" s="28" t="n">
        <f aca="false">D418/Overview!$B$10</f>
        <v>0.000595663569216107</v>
      </c>
      <c r="D418" s="29" t="n">
        <v>20</v>
      </c>
      <c r="E418" s="19" t="s">
        <v>10109</v>
      </c>
      <c r="F418" s="19" t="n">
        <v>1980</v>
      </c>
      <c r="G418" s="19" t="n">
        <v>2026</v>
      </c>
      <c r="H418" s="19" t="str">
        <f aca="false">IF(COUNTIF(Species!$B:$B,$A418)=0,"",IF(INDEX(Species!$A:$A,MATCH($A418,Species!$B:$B,0))="","",INDEX(Species!$A:$A,MATCH($A418,Species!$B:$B,0))))</f>
        <v/>
      </c>
      <c r="I418" s="19" t="str">
        <f aca="false">IF(COUNTIF(Species!$B:$B,$A418)=0,"",INDEX(Species!$F:$F,MATCH($A418,Species!$B:$B,0)))</f>
        <v/>
      </c>
      <c r="J418" s="19" t="n">
        <f aca="false">COUNTIFS(Clips!$F:$F,$A418,Clips!$C:$C,"train")</f>
        <v>0</v>
      </c>
      <c r="K418" s="19" t="n">
        <f aca="false">COUNTIF(Clips!$F:$F,$A418)</f>
        <v>0</v>
      </c>
      <c r="L418" s="19" t="str">
        <f aca="false">IF(J418&gt;0,"in train",IF(K418&gt;0,"audio, none in train",IF(C418&gt;=Overview!$B$9,"priority gap","no audio")))</f>
        <v>no audio</v>
      </c>
    </row>
    <row r="419" customFormat="false" ht="15" hidden="false" customHeight="false" outlineLevel="0" collapsed="false">
      <c r="A419" s="19" t="s">
        <v>10110</v>
      </c>
      <c r="B419" s="19" t="s">
        <v>10111</v>
      </c>
      <c r="C419" s="28" t="n">
        <f aca="false">D419/Overview!$B$10</f>
        <v>0.000595663569216107</v>
      </c>
      <c r="D419" s="29" t="n">
        <v>20</v>
      </c>
      <c r="E419" s="19" t="s">
        <v>10112</v>
      </c>
      <c r="F419" s="19" t="n">
        <v>2004</v>
      </c>
      <c r="G419" s="19" t="n">
        <v>2026</v>
      </c>
      <c r="H419" s="19" t="str">
        <f aca="false">IF(COUNTIF(Species!$B:$B,$A419)=0,"",IF(INDEX(Species!$A:$A,MATCH($A419,Species!$B:$B,0))="","",INDEX(Species!$A:$A,MATCH($A419,Species!$B:$B,0))))</f>
        <v/>
      </c>
      <c r="I419" s="19" t="str">
        <f aca="false">IF(COUNTIF(Species!$B:$B,$A419)=0,"",INDEX(Species!$F:$F,MATCH($A419,Species!$B:$B,0)))</f>
        <v/>
      </c>
      <c r="J419" s="19" t="n">
        <f aca="false">COUNTIFS(Clips!$F:$F,$A419,Clips!$C:$C,"train")</f>
        <v>0</v>
      </c>
      <c r="K419" s="19" t="n">
        <f aca="false">COUNTIF(Clips!$F:$F,$A419)</f>
        <v>0</v>
      </c>
      <c r="L419" s="19" t="str">
        <f aca="false">IF(J419&gt;0,"in train",IF(K419&gt;0,"audio, none in train",IF(C419&gt;=Overview!$B$9,"priority gap","no audio")))</f>
        <v>no audio</v>
      </c>
    </row>
    <row r="420" customFormat="false" ht="15" hidden="false" customHeight="false" outlineLevel="0" collapsed="false">
      <c r="A420" s="19" t="s">
        <v>10113</v>
      </c>
      <c r="B420" s="19" t="s">
        <v>10114</v>
      </c>
      <c r="C420" s="28" t="n">
        <f aca="false">D420/Overview!$B$10</f>
        <v>0.000565880390755301</v>
      </c>
      <c r="D420" s="29" t="n">
        <v>19</v>
      </c>
      <c r="E420" s="19" t="s">
        <v>10051</v>
      </c>
      <c r="F420" s="19" t="n">
        <v>2000</v>
      </c>
      <c r="G420" s="19" t="n">
        <v>2026</v>
      </c>
      <c r="H420" s="19" t="str">
        <f aca="false">IF(COUNTIF(Species!$B:$B,$A420)=0,"",IF(INDEX(Species!$A:$A,MATCH($A420,Species!$B:$B,0))="","",INDEX(Species!$A:$A,MATCH($A420,Species!$B:$B,0))))</f>
        <v/>
      </c>
      <c r="I420" s="19" t="str">
        <f aca="false">IF(COUNTIF(Species!$B:$B,$A420)=0,"",INDEX(Species!$F:$F,MATCH($A420,Species!$B:$B,0)))</f>
        <v/>
      </c>
      <c r="J420" s="19" t="n">
        <f aca="false">COUNTIFS(Clips!$F:$F,$A420,Clips!$C:$C,"train")</f>
        <v>0</v>
      </c>
      <c r="K420" s="19" t="n">
        <f aca="false">COUNTIF(Clips!$F:$F,$A420)</f>
        <v>0</v>
      </c>
      <c r="L420" s="19" t="str">
        <f aca="false">IF(J420&gt;0,"in train",IF(K420&gt;0,"audio, none in train",IF(C420&gt;=Overview!$B$9,"priority gap","no audio")))</f>
        <v>no audio</v>
      </c>
    </row>
    <row r="421" customFormat="false" ht="15" hidden="false" customHeight="false" outlineLevel="0" collapsed="false">
      <c r="A421" s="19" t="s">
        <v>10115</v>
      </c>
      <c r="B421" s="19" t="s">
        <v>10116</v>
      </c>
      <c r="C421" s="28" t="n">
        <f aca="false">D421/Overview!$B$10</f>
        <v>0.000565880390755301</v>
      </c>
      <c r="D421" s="29" t="n">
        <v>19</v>
      </c>
      <c r="E421" s="19" t="s">
        <v>10117</v>
      </c>
      <c r="F421" s="19" t="n">
        <v>1987</v>
      </c>
      <c r="G421" s="19" t="n">
        <v>2025</v>
      </c>
      <c r="H421" s="19" t="str">
        <f aca="false">IF(COUNTIF(Species!$B:$B,$A421)=0,"",IF(INDEX(Species!$A:$A,MATCH($A421,Species!$B:$B,0))="","",INDEX(Species!$A:$A,MATCH($A421,Species!$B:$B,0))))</f>
        <v/>
      </c>
      <c r="I421" s="19" t="str">
        <f aca="false">IF(COUNTIF(Species!$B:$B,$A421)=0,"",INDEX(Species!$F:$F,MATCH($A421,Species!$B:$B,0)))</f>
        <v/>
      </c>
      <c r="J421" s="19" t="n">
        <f aca="false">COUNTIFS(Clips!$F:$F,$A421,Clips!$C:$C,"train")</f>
        <v>0</v>
      </c>
      <c r="K421" s="19" t="n">
        <f aca="false">COUNTIF(Clips!$F:$F,$A421)</f>
        <v>0</v>
      </c>
      <c r="L421" s="19" t="str">
        <f aca="false">IF(J421&gt;0,"in train",IF(K421&gt;0,"audio, none in train",IF(C421&gt;=Overview!$B$9,"priority gap","no audio")))</f>
        <v>no audio</v>
      </c>
    </row>
    <row r="422" customFormat="false" ht="15" hidden="false" customHeight="false" outlineLevel="0" collapsed="false">
      <c r="A422" s="19" t="s">
        <v>786</v>
      </c>
      <c r="B422" s="19" t="s">
        <v>787</v>
      </c>
      <c r="C422" s="28" t="n">
        <f aca="false">D422/Overview!$B$10</f>
        <v>0.000565880390755301</v>
      </c>
      <c r="D422" s="29" t="n">
        <v>19</v>
      </c>
      <c r="E422" s="19" t="s">
        <v>10118</v>
      </c>
      <c r="F422" s="19" t="n">
        <v>2010</v>
      </c>
      <c r="G422" s="19" t="n">
        <v>2024</v>
      </c>
      <c r="H422" s="19" t="n">
        <f aca="false">IF(COUNTIF(Species!$B:$B,$A422)=0,"",IF(INDEX(Species!$A:$A,MATCH($A422,Species!$B:$B,0))="","",INDEX(Species!$A:$A,MATCH($A422,Species!$B:$B,0))))</f>
        <v>61</v>
      </c>
      <c r="I422" s="19" t="str">
        <f aca="false">IF(COUNTIF(Species!$B:$B,$A422)=0,"",INDEX(Species!$F:$F,MATCH($A422,Species!$B:$B,0)))</f>
        <v>offsite</v>
      </c>
      <c r="J422" s="19" t="n">
        <f aca="false">COUNTIFS(Clips!$F:$F,$A422,Clips!$C:$C,"train")</f>
        <v>1</v>
      </c>
      <c r="K422" s="19" t="n">
        <f aca="false">COUNTIF(Clips!$F:$F,$A422)</f>
        <v>1</v>
      </c>
      <c r="L422" s="19" t="str">
        <f aca="false">IF(J422&gt;0,"in train",IF(K422&gt;0,"audio, none in train",IF(C422&gt;=Overview!$B$9,"priority gap","no audio")))</f>
        <v>in train</v>
      </c>
    </row>
    <row r="423" customFormat="false" ht="15" hidden="false" customHeight="false" outlineLevel="0" collapsed="false">
      <c r="A423" s="19" t="s">
        <v>10119</v>
      </c>
      <c r="B423" s="19" t="s">
        <v>10120</v>
      </c>
      <c r="C423" s="28" t="n">
        <f aca="false">D423/Overview!$B$10</f>
        <v>0.000536097212294496</v>
      </c>
      <c r="D423" s="29" t="n">
        <v>18</v>
      </c>
      <c r="E423" s="19" t="s">
        <v>9862</v>
      </c>
      <c r="F423" s="19" t="n">
        <v>1977</v>
      </c>
      <c r="G423" s="19" t="n">
        <v>2025</v>
      </c>
      <c r="H423" s="19" t="str">
        <f aca="false">IF(COUNTIF(Species!$B:$B,$A423)=0,"",IF(INDEX(Species!$A:$A,MATCH($A423,Species!$B:$B,0))="","",INDEX(Species!$A:$A,MATCH($A423,Species!$B:$B,0))))</f>
        <v/>
      </c>
      <c r="I423" s="19" t="str">
        <f aca="false">IF(COUNTIF(Species!$B:$B,$A423)=0,"",INDEX(Species!$F:$F,MATCH($A423,Species!$B:$B,0)))</f>
        <v/>
      </c>
      <c r="J423" s="19" t="n">
        <f aca="false">COUNTIFS(Clips!$F:$F,$A423,Clips!$C:$C,"train")</f>
        <v>0</v>
      </c>
      <c r="K423" s="19" t="n">
        <f aca="false">COUNTIF(Clips!$F:$F,$A423)</f>
        <v>0</v>
      </c>
      <c r="L423" s="19" t="str">
        <f aca="false">IF(J423&gt;0,"in train",IF(K423&gt;0,"audio, none in train",IF(C423&gt;=Overview!$B$9,"priority gap","no audio")))</f>
        <v>no audio</v>
      </c>
    </row>
    <row r="424" customFormat="false" ht="15" hidden="false" customHeight="false" outlineLevel="0" collapsed="false">
      <c r="A424" s="19" t="s">
        <v>10121</v>
      </c>
      <c r="B424" s="19" t="s">
        <v>10122</v>
      </c>
      <c r="C424" s="28" t="n">
        <f aca="false">D424/Overview!$B$10</f>
        <v>0.000506314033833691</v>
      </c>
      <c r="D424" s="29" t="n">
        <v>17</v>
      </c>
      <c r="E424" s="19" t="s">
        <v>10123</v>
      </c>
      <c r="F424" s="19" t="n">
        <v>1984</v>
      </c>
      <c r="G424" s="19" t="n">
        <v>2023</v>
      </c>
      <c r="H424" s="19" t="str">
        <f aca="false">IF(COUNTIF(Species!$B:$B,$A424)=0,"",IF(INDEX(Species!$A:$A,MATCH($A424,Species!$B:$B,0))="","",INDEX(Species!$A:$A,MATCH($A424,Species!$B:$B,0))))</f>
        <v/>
      </c>
      <c r="I424" s="19" t="str">
        <f aca="false">IF(COUNTIF(Species!$B:$B,$A424)=0,"",INDEX(Species!$F:$F,MATCH($A424,Species!$B:$B,0)))</f>
        <v/>
      </c>
      <c r="J424" s="19" t="n">
        <f aca="false">COUNTIFS(Clips!$F:$F,$A424,Clips!$C:$C,"train")</f>
        <v>0</v>
      </c>
      <c r="K424" s="19" t="n">
        <f aca="false">COUNTIF(Clips!$F:$F,$A424)</f>
        <v>0</v>
      </c>
      <c r="L424" s="19" t="str">
        <f aca="false">IF(J424&gt;0,"in train",IF(K424&gt;0,"audio, none in train",IF(C424&gt;=Overview!$B$9,"priority gap","no audio")))</f>
        <v>no audio</v>
      </c>
    </row>
    <row r="425" customFormat="false" ht="15" hidden="false" customHeight="false" outlineLevel="0" collapsed="false">
      <c r="A425" s="19" t="s">
        <v>10124</v>
      </c>
      <c r="B425" s="19" t="s">
        <v>10125</v>
      </c>
      <c r="C425" s="28" t="n">
        <f aca="false">D425/Overview!$B$10</f>
        <v>0.000476530855372885</v>
      </c>
      <c r="D425" s="29" t="n">
        <v>16</v>
      </c>
      <c r="E425" s="19" t="s">
        <v>10126</v>
      </c>
      <c r="F425" s="19" t="n">
        <v>1991</v>
      </c>
      <c r="G425" s="19" t="n">
        <v>2024</v>
      </c>
      <c r="H425" s="19" t="str">
        <f aca="false">IF(COUNTIF(Species!$B:$B,$A425)=0,"",IF(INDEX(Species!$A:$A,MATCH($A425,Species!$B:$B,0))="","",INDEX(Species!$A:$A,MATCH($A425,Species!$B:$B,0))))</f>
        <v/>
      </c>
      <c r="I425" s="19" t="str">
        <f aca="false">IF(COUNTIF(Species!$B:$B,$A425)=0,"",INDEX(Species!$F:$F,MATCH($A425,Species!$B:$B,0)))</f>
        <v/>
      </c>
      <c r="J425" s="19" t="n">
        <f aca="false">COUNTIFS(Clips!$F:$F,$A425,Clips!$C:$C,"train")</f>
        <v>0</v>
      </c>
      <c r="K425" s="19" t="n">
        <f aca="false">COUNTIF(Clips!$F:$F,$A425)</f>
        <v>0</v>
      </c>
      <c r="L425" s="19" t="str">
        <f aca="false">IF(J425&gt;0,"in train",IF(K425&gt;0,"audio, none in train",IF(C425&gt;=Overview!$B$9,"priority gap","no audio")))</f>
        <v>no audio</v>
      </c>
    </row>
    <row r="426" customFormat="false" ht="15" hidden="false" customHeight="false" outlineLevel="0" collapsed="false">
      <c r="A426" s="19" t="s">
        <v>10127</v>
      </c>
      <c r="B426" s="19" t="s">
        <v>10128</v>
      </c>
      <c r="C426" s="28" t="n">
        <f aca="false">D426/Overview!$B$10</f>
        <v>0.000476530855372885</v>
      </c>
      <c r="D426" s="29" t="n">
        <v>16</v>
      </c>
      <c r="E426" s="19" t="s">
        <v>10129</v>
      </c>
      <c r="F426" s="19" t="n">
        <v>2003</v>
      </c>
      <c r="G426" s="19" t="n">
        <v>2025</v>
      </c>
      <c r="H426" s="19" t="str">
        <f aca="false">IF(COUNTIF(Species!$B:$B,$A426)=0,"",IF(INDEX(Species!$A:$A,MATCH($A426,Species!$B:$B,0))="","",INDEX(Species!$A:$A,MATCH($A426,Species!$B:$B,0))))</f>
        <v/>
      </c>
      <c r="I426" s="19" t="str">
        <f aca="false">IF(COUNTIF(Species!$B:$B,$A426)=0,"",INDEX(Species!$F:$F,MATCH($A426,Species!$B:$B,0)))</f>
        <v/>
      </c>
      <c r="J426" s="19" t="n">
        <f aca="false">COUNTIFS(Clips!$F:$F,$A426,Clips!$C:$C,"train")</f>
        <v>0</v>
      </c>
      <c r="K426" s="19" t="n">
        <f aca="false">COUNTIF(Clips!$F:$F,$A426)</f>
        <v>0</v>
      </c>
      <c r="L426" s="19" t="str">
        <f aca="false">IF(J426&gt;0,"in train",IF(K426&gt;0,"audio, none in train",IF(C426&gt;=Overview!$B$9,"priority gap","no audio")))</f>
        <v>no audio</v>
      </c>
    </row>
    <row r="427" customFormat="false" ht="15" hidden="false" customHeight="false" outlineLevel="0" collapsed="false">
      <c r="A427" s="19" t="s">
        <v>814</v>
      </c>
      <c r="B427" s="19" t="s">
        <v>815</v>
      </c>
      <c r="C427" s="28" t="n">
        <f aca="false">D427/Overview!$B$10</f>
        <v>0.000476530855372885</v>
      </c>
      <c r="D427" s="29" t="n">
        <v>16</v>
      </c>
      <c r="E427" s="19" t="s">
        <v>10130</v>
      </c>
      <c r="F427" s="19" t="n">
        <v>1985</v>
      </c>
      <c r="G427" s="19" t="n">
        <v>2019</v>
      </c>
      <c r="H427" s="19" t="n">
        <f aca="false">IF(COUNTIF(Species!$B:$B,$A427)=0,"",IF(INDEX(Species!$A:$A,MATCH($A427,Species!$B:$B,0))="","",INDEX(Species!$A:$A,MATCH($A427,Species!$B:$B,0))))</f>
        <v>96</v>
      </c>
      <c r="I427" s="19" t="str">
        <f aca="false">IF(COUNTIF(Species!$B:$B,$A427)=0,"",INDEX(Species!$F:$F,MATCH($A427,Species!$B:$B,0)))</f>
        <v>singleton</v>
      </c>
      <c r="J427" s="19" t="n">
        <f aca="false">COUNTIFS(Clips!$F:$F,$A427,Clips!$C:$C,"train")</f>
        <v>0</v>
      </c>
      <c r="K427" s="19" t="n">
        <f aca="false">COUNTIF(Clips!$F:$F,$A427)</f>
        <v>1</v>
      </c>
      <c r="L427" s="19" t="str">
        <f aca="false">IF(J427&gt;0,"in train",IF(K427&gt;0,"audio, none in train",IF(C427&gt;=Overview!$B$9,"priority gap","no audio")))</f>
        <v>audio, none in train</v>
      </c>
    </row>
    <row r="428" customFormat="false" ht="15" hidden="false" customHeight="false" outlineLevel="0" collapsed="false">
      <c r="A428" s="19" t="s">
        <v>10131</v>
      </c>
      <c r="B428" s="19" t="s">
        <v>10132</v>
      </c>
      <c r="C428" s="28" t="n">
        <f aca="false">D428/Overview!$B$10</f>
        <v>0.000476530855372885</v>
      </c>
      <c r="D428" s="29" t="n">
        <v>16</v>
      </c>
      <c r="E428" s="19" t="s">
        <v>10133</v>
      </c>
      <c r="F428" s="19" t="n">
        <v>1991</v>
      </c>
      <c r="G428" s="19" t="n">
        <v>2025</v>
      </c>
      <c r="H428" s="19" t="str">
        <f aca="false">IF(COUNTIF(Species!$B:$B,$A428)=0,"",IF(INDEX(Species!$A:$A,MATCH($A428,Species!$B:$B,0))="","",INDEX(Species!$A:$A,MATCH($A428,Species!$B:$B,0))))</f>
        <v/>
      </c>
      <c r="I428" s="19" t="str">
        <f aca="false">IF(COUNTIF(Species!$B:$B,$A428)=0,"",INDEX(Species!$F:$F,MATCH($A428,Species!$B:$B,0)))</f>
        <v/>
      </c>
      <c r="J428" s="19" t="n">
        <f aca="false">COUNTIFS(Clips!$F:$F,$A428,Clips!$C:$C,"train")</f>
        <v>0</v>
      </c>
      <c r="K428" s="19" t="n">
        <f aca="false">COUNTIF(Clips!$F:$F,$A428)</f>
        <v>0</v>
      </c>
      <c r="L428" s="19" t="str">
        <f aca="false">IF(J428&gt;0,"in train",IF(K428&gt;0,"audio, none in train",IF(C428&gt;=Overview!$B$9,"priority gap","no audio")))</f>
        <v>no audio</v>
      </c>
    </row>
    <row r="429" customFormat="false" ht="15" hidden="false" customHeight="false" outlineLevel="0" collapsed="false">
      <c r="A429" s="19" t="s">
        <v>10134</v>
      </c>
      <c r="B429" s="19" t="s">
        <v>10135</v>
      </c>
      <c r="C429" s="28" t="n">
        <f aca="false">D429/Overview!$B$10</f>
        <v>0.000476530855372885</v>
      </c>
      <c r="D429" s="29" t="n">
        <v>16</v>
      </c>
      <c r="E429" s="19" t="s">
        <v>10136</v>
      </c>
      <c r="F429" s="19" t="n">
        <v>2001</v>
      </c>
      <c r="G429" s="19" t="n">
        <v>2023</v>
      </c>
      <c r="H429" s="19" t="str">
        <f aca="false">IF(COUNTIF(Species!$B:$B,$A429)=0,"",IF(INDEX(Species!$A:$A,MATCH($A429,Species!$B:$B,0))="","",INDEX(Species!$A:$A,MATCH($A429,Species!$B:$B,0))))</f>
        <v/>
      </c>
      <c r="I429" s="19" t="str">
        <f aca="false">IF(COUNTIF(Species!$B:$B,$A429)=0,"",INDEX(Species!$F:$F,MATCH($A429,Species!$B:$B,0)))</f>
        <v/>
      </c>
      <c r="J429" s="19" t="n">
        <f aca="false">COUNTIFS(Clips!$F:$F,$A429,Clips!$C:$C,"train")</f>
        <v>0</v>
      </c>
      <c r="K429" s="19" t="n">
        <f aca="false">COUNTIF(Clips!$F:$F,$A429)</f>
        <v>0</v>
      </c>
      <c r="L429" s="19" t="str">
        <f aca="false">IF(J429&gt;0,"in train",IF(K429&gt;0,"audio, none in train",IF(C429&gt;=Overview!$B$9,"priority gap","no audio")))</f>
        <v>no audio</v>
      </c>
    </row>
    <row r="430" customFormat="false" ht="15" hidden="false" customHeight="false" outlineLevel="0" collapsed="false">
      <c r="A430" s="19" t="s">
        <v>10137</v>
      </c>
      <c r="B430" s="19" t="s">
        <v>10138</v>
      </c>
      <c r="C430" s="28" t="n">
        <f aca="false">D430/Overview!$B$10</f>
        <v>0.00044674767691208</v>
      </c>
      <c r="D430" s="29" t="n">
        <v>15</v>
      </c>
      <c r="E430" s="19" t="s">
        <v>10139</v>
      </c>
      <c r="F430" s="19" t="n">
        <v>1999</v>
      </c>
      <c r="G430" s="19" t="n">
        <v>2023</v>
      </c>
      <c r="H430" s="19" t="str">
        <f aca="false">IF(COUNTIF(Species!$B:$B,$A430)=0,"",IF(INDEX(Species!$A:$A,MATCH($A430,Species!$B:$B,0))="","",INDEX(Species!$A:$A,MATCH($A430,Species!$B:$B,0))))</f>
        <v/>
      </c>
      <c r="I430" s="19" t="str">
        <f aca="false">IF(COUNTIF(Species!$B:$B,$A430)=0,"",INDEX(Species!$F:$F,MATCH($A430,Species!$B:$B,0)))</f>
        <v/>
      </c>
      <c r="J430" s="19" t="n">
        <f aca="false">COUNTIFS(Clips!$F:$F,$A430,Clips!$C:$C,"train")</f>
        <v>0</v>
      </c>
      <c r="K430" s="19" t="n">
        <f aca="false">COUNTIF(Clips!$F:$F,$A430)</f>
        <v>0</v>
      </c>
      <c r="L430" s="19" t="str">
        <f aca="false">IF(J430&gt;0,"in train",IF(K430&gt;0,"audio, none in train",IF(C430&gt;=Overview!$B$9,"priority gap","no audio")))</f>
        <v>no audio</v>
      </c>
    </row>
    <row r="431" customFormat="false" ht="15" hidden="false" customHeight="false" outlineLevel="0" collapsed="false">
      <c r="A431" s="19" t="s">
        <v>10140</v>
      </c>
      <c r="B431" s="19" t="s">
        <v>10141</v>
      </c>
      <c r="C431" s="28" t="n">
        <f aca="false">D431/Overview!$B$10</f>
        <v>0.00044674767691208</v>
      </c>
      <c r="D431" s="29" t="n">
        <v>15</v>
      </c>
      <c r="E431" s="19" t="s">
        <v>9993</v>
      </c>
      <c r="F431" s="19" t="n">
        <v>1979</v>
      </c>
      <c r="G431" s="19" t="n">
        <v>2023</v>
      </c>
      <c r="H431" s="19" t="str">
        <f aca="false">IF(COUNTIF(Species!$B:$B,$A431)=0,"",IF(INDEX(Species!$A:$A,MATCH($A431,Species!$B:$B,0))="","",INDEX(Species!$A:$A,MATCH($A431,Species!$B:$B,0))))</f>
        <v/>
      </c>
      <c r="I431" s="19" t="str">
        <f aca="false">IF(COUNTIF(Species!$B:$B,$A431)=0,"",INDEX(Species!$F:$F,MATCH($A431,Species!$B:$B,0)))</f>
        <v/>
      </c>
      <c r="J431" s="19" t="n">
        <f aca="false">COUNTIFS(Clips!$F:$F,$A431,Clips!$C:$C,"train")</f>
        <v>0</v>
      </c>
      <c r="K431" s="19" t="n">
        <f aca="false">COUNTIF(Clips!$F:$F,$A431)</f>
        <v>0</v>
      </c>
      <c r="L431" s="19" t="str">
        <f aca="false">IF(J431&gt;0,"in train",IF(K431&gt;0,"audio, none in train",IF(C431&gt;=Overview!$B$9,"priority gap","no audio")))</f>
        <v>no audio</v>
      </c>
    </row>
    <row r="432" customFormat="false" ht="15" hidden="false" customHeight="false" outlineLevel="0" collapsed="false">
      <c r="A432" s="19" t="s">
        <v>10142</v>
      </c>
      <c r="B432" s="19" t="s">
        <v>10143</v>
      </c>
      <c r="C432" s="28" t="n">
        <f aca="false">D432/Overview!$B$10</f>
        <v>0.00044674767691208</v>
      </c>
      <c r="D432" s="29" t="n">
        <v>15</v>
      </c>
      <c r="E432" s="19" t="s">
        <v>10144</v>
      </c>
      <c r="F432" s="19" t="n">
        <v>1992</v>
      </c>
      <c r="G432" s="19" t="n">
        <v>2026</v>
      </c>
      <c r="H432" s="19" t="str">
        <f aca="false">IF(COUNTIF(Species!$B:$B,$A432)=0,"",IF(INDEX(Species!$A:$A,MATCH($A432,Species!$B:$B,0))="","",INDEX(Species!$A:$A,MATCH($A432,Species!$B:$B,0))))</f>
        <v/>
      </c>
      <c r="I432" s="19" t="str">
        <f aca="false">IF(COUNTIF(Species!$B:$B,$A432)=0,"",INDEX(Species!$F:$F,MATCH($A432,Species!$B:$B,0)))</f>
        <v/>
      </c>
      <c r="J432" s="19" t="n">
        <f aca="false">COUNTIFS(Clips!$F:$F,$A432,Clips!$C:$C,"train")</f>
        <v>0</v>
      </c>
      <c r="K432" s="19" t="n">
        <f aca="false">COUNTIF(Clips!$F:$F,$A432)</f>
        <v>0</v>
      </c>
      <c r="L432" s="19" t="str">
        <f aca="false">IF(J432&gt;0,"in train",IF(K432&gt;0,"audio, none in train",IF(C432&gt;=Overview!$B$9,"priority gap","no audio")))</f>
        <v>no audio</v>
      </c>
    </row>
    <row r="433" customFormat="false" ht="15" hidden="false" customHeight="false" outlineLevel="0" collapsed="false">
      <c r="A433" s="19" t="s">
        <v>10145</v>
      </c>
      <c r="B433" s="19" t="s">
        <v>10146</v>
      </c>
      <c r="C433" s="28" t="n">
        <f aca="false">D433/Overview!$B$10</f>
        <v>0.000416964498451275</v>
      </c>
      <c r="D433" s="29" t="n">
        <v>14</v>
      </c>
      <c r="E433" s="19" t="s">
        <v>10147</v>
      </c>
      <c r="F433" s="19" t="n">
        <v>1993</v>
      </c>
      <c r="G433" s="19" t="n">
        <v>2024</v>
      </c>
      <c r="H433" s="19" t="str">
        <f aca="false">IF(COUNTIF(Species!$B:$B,$A433)=0,"",IF(INDEX(Species!$A:$A,MATCH($A433,Species!$B:$B,0))="","",INDEX(Species!$A:$A,MATCH($A433,Species!$B:$B,0))))</f>
        <v/>
      </c>
      <c r="I433" s="19" t="str">
        <f aca="false">IF(COUNTIF(Species!$B:$B,$A433)=0,"",INDEX(Species!$F:$F,MATCH($A433,Species!$B:$B,0)))</f>
        <v/>
      </c>
      <c r="J433" s="19" t="n">
        <f aca="false">COUNTIFS(Clips!$F:$F,$A433,Clips!$C:$C,"train")</f>
        <v>0</v>
      </c>
      <c r="K433" s="19" t="n">
        <f aca="false">COUNTIF(Clips!$F:$F,$A433)</f>
        <v>0</v>
      </c>
      <c r="L433" s="19" t="str">
        <f aca="false">IF(J433&gt;0,"in train",IF(K433&gt;0,"audio, none in train",IF(C433&gt;=Overview!$B$9,"priority gap","no audio")))</f>
        <v>no audio</v>
      </c>
    </row>
    <row r="434" customFormat="false" ht="15" hidden="false" customHeight="false" outlineLevel="0" collapsed="false">
      <c r="A434" s="19" t="s">
        <v>10148</v>
      </c>
      <c r="B434" s="19" t="s">
        <v>10149</v>
      </c>
      <c r="C434" s="28" t="n">
        <f aca="false">D434/Overview!$B$10</f>
        <v>0.000416964498451275</v>
      </c>
      <c r="D434" s="29" t="n">
        <v>14</v>
      </c>
      <c r="E434" s="19" t="s">
        <v>10150</v>
      </c>
      <c r="F434" s="19" t="n">
        <v>2001</v>
      </c>
      <c r="G434" s="19" t="n">
        <v>2023</v>
      </c>
      <c r="H434" s="19" t="str">
        <f aca="false">IF(COUNTIF(Species!$B:$B,$A434)=0,"",IF(INDEX(Species!$A:$A,MATCH($A434,Species!$B:$B,0))="","",INDEX(Species!$A:$A,MATCH($A434,Species!$B:$B,0))))</f>
        <v/>
      </c>
      <c r="I434" s="19" t="str">
        <f aca="false">IF(COUNTIF(Species!$B:$B,$A434)=0,"",INDEX(Species!$F:$F,MATCH($A434,Species!$B:$B,0)))</f>
        <v/>
      </c>
      <c r="J434" s="19" t="n">
        <f aca="false">COUNTIFS(Clips!$F:$F,$A434,Clips!$C:$C,"train")</f>
        <v>0</v>
      </c>
      <c r="K434" s="19" t="n">
        <f aca="false">COUNTIF(Clips!$F:$F,$A434)</f>
        <v>0</v>
      </c>
      <c r="L434" s="19" t="str">
        <f aca="false">IF(J434&gt;0,"in train",IF(K434&gt;0,"audio, none in train",IF(C434&gt;=Overview!$B$9,"priority gap","no audio")))</f>
        <v>no audio</v>
      </c>
    </row>
    <row r="435" customFormat="false" ht="15" hidden="false" customHeight="false" outlineLevel="0" collapsed="false">
      <c r="A435" s="19" t="s">
        <v>10151</v>
      </c>
      <c r="B435" s="19" t="s">
        <v>10152</v>
      </c>
      <c r="C435" s="28" t="n">
        <f aca="false">D435/Overview!$B$10</f>
        <v>0.000387181319990469</v>
      </c>
      <c r="D435" s="29" t="n">
        <v>13</v>
      </c>
      <c r="E435" s="19" t="s">
        <v>9988</v>
      </c>
      <c r="F435" s="19" t="n">
        <v>2011</v>
      </c>
      <c r="G435" s="19" t="n">
        <v>2025</v>
      </c>
      <c r="H435" s="19" t="str">
        <f aca="false">IF(COUNTIF(Species!$B:$B,$A435)=0,"",IF(INDEX(Species!$A:$A,MATCH($A435,Species!$B:$B,0))="","",INDEX(Species!$A:$A,MATCH($A435,Species!$B:$B,0))))</f>
        <v/>
      </c>
      <c r="I435" s="19" t="str">
        <f aca="false">IF(COUNTIF(Species!$B:$B,$A435)=0,"",INDEX(Species!$F:$F,MATCH($A435,Species!$B:$B,0)))</f>
        <v/>
      </c>
      <c r="J435" s="19" t="n">
        <f aca="false">COUNTIFS(Clips!$F:$F,$A435,Clips!$C:$C,"train")</f>
        <v>0</v>
      </c>
      <c r="K435" s="19" t="n">
        <f aca="false">COUNTIF(Clips!$F:$F,$A435)</f>
        <v>0</v>
      </c>
      <c r="L435" s="19" t="str">
        <f aca="false">IF(J435&gt;0,"in train",IF(K435&gt;0,"audio, none in train",IF(C435&gt;=Overview!$B$9,"priority gap","no audio")))</f>
        <v>no audio</v>
      </c>
    </row>
    <row r="436" customFormat="false" ht="15" hidden="false" customHeight="false" outlineLevel="0" collapsed="false">
      <c r="A436" s="19" t="s">
        <v>10153</v>
      </c>
      <c r="B436" s="19" t="s">
        <v>10154</v>
      </c>
      <c r="C436" s="28" t="n">
        <f aca="false">D436/Overview!$B$10</f>
        <v>0.000357398141529664</v>
      </c>
      <c r="D436" s="29" t="n">
        <v>12</v>
      </c>
      <c r="E436" s="19" t="s">
        <v>10155</v>
      </c>
      <c r="F436" s="19" t="n">
        <v>1990</v>
      </c>
      <c r="G436" s="19" t="n">
        <v>2024</v>
      </c>
      <c r="H436" s="19" t="str">
        <f aca="false">IF(COUNTIF(Species!$B:$B,$A436)=0,"",IF(INDEX(Species!$A:$A,MATCH($A436,Species!$B:$B,0))="","",INDEX(Species!$A:$A,MATCH($A436,Species!$B:$B,0))))</f>
        <v/>
      </c>
      <c r="I436" s="19" t="str">
        <f aca="false">IF(COUNTIF(Species!$B:$B,$A436)=0,"",INDEX(Species!$F:$F,MATCH($A436,Species!$B:$B,0)))</f>
        <v/>
      </c>
      <c r="J436" s="19" t="n">
        <f aca="false">COUNTIFS(Clips!$F:$F,$A436,Clips!$C:$C,"train")</f>
        <v>0</v>
      </c>
      <c r="K436" s="19" t="n">
        <f aca="false">COUNTIF(Clips!$F:$F,$A436)</f>
        <v>0</v>
      </c>
      <c r="L436" s="19" t="str">
        <f aca="false">IF(J436&gt;0,"in train",IF(K436&gt;0,"audio, none in train",IF(C436&gt;=Overview!$B$9,"priority gap","no audio")))</f>
        <v>no audio</v>
      </c>
    </row>
    <row r="437" customFormat="false" ht="15" hidden="false" customHeight="false" outlineLevel="0" collapsed="false">
      <c r="A437" s="19" t="s">
        <v>10156</v>
      </c>
      <c r="B437" s="19" t="s">
        <v>10157</v>
      </c>
      <c r="C437" s="28" t="n">
        <f aca="false">D437/Overview!$B$10</f>
        <v>0.000357398141529664</v>
      </c>
      <c r="D437" s="29" t="n">
        <v>12</v>
      </c>
      <c r="E437" s="19" t="s">
        <v>10158</v>
      </c>
      <c r="F437" s="19" t="n">
        <v>1990</v>
      </c>
      <c r="G437" s="19" t="n">
        <v>2024</v>
      </c>
      <c r="H437" s="19" t="str">
        <f aca="false">IF(COUNTIF(Species!$B:$B,$A437)=0,"",IF(INDEX(Species!$A:$A,MATCH($A437,Species!$B:$B,0))="","",INDEX(Species!$A:$A,MATCH($A437,Species!$B:$B,0))))</f>
        <v/>
      </c>
      <c r="I437" s="19" t="str">
        <f aca="false">IF(COUNTIF(Species!$B:$B,$A437)=0,"",INDEX(Species!$F:$F,MATCH($A437,Species!$B:$B,0)))</f>
        <v/>
      </c>
      <c r="J437" s="19" t="n">
        <f aca="false">COUNTIFS(Clips!$F:$F,$A437,Clips!$C:$C,"train")</f>
        <v>0</v>
      </c>
      <c r="K437" s="19" t="n">
        <f aca="false">COUNTIF(Clips!$F:$F,$A437)</f>
        <v>0</v>
      </c>
      <c r="L437" s="19" t="str">
        <f aca="false">IF(J437&gt;0,"in train",IF(K437&gt;0,"audio, none in train",IF(C437&gt;=Overview!$B$9,"priority gap","no audio")))</f>
        <v>no audio</v>
      </c>
    </row>
    <row r="438" customFormat="false" ht="15" hidden="false" customHeight="false" outlineLevel="0" collapsed="false">
      <c r="A438" s="19" t="s">
        <v>10159</v>
      </c>
      <c r="B438" s="19" t="s">
        <v>10160</v>
      </c>
      <c r="C438" s="28" t="n">
        <f aca="false">D438/Overview!$B$10</f>
        <v>0.000357398141529664</v>
      </c>
      <c r="D438" s="29" t="n">
        <v>12</v>
      </c>
      <c r="E438" s="19" t="s">
        <v>10109</v>
      </c>
      <c r="F438" s="19" t="n">
        <v>1989</v>
      </c>
      <c r="G438" s="19" t="n">
        <v>2019</v>
      </c>
      <c r="H438" s="19" t="str">
        <f aca="false">IF(COUNTIF(Species!$B:$B,$A438)=0,"",IF(INDEX(Species!$A:$A,MATCH($A438,Species!$B:$B,0))="","",INDEX(Species!$A:$A,MATCH($A438,Species!$B:$B,0))))</f>
        <v/>
      </c>
      <c r="I438" s="19" t="str">
        <f aca="false">IF(COUNTIF(Species!$B:$B,$A438)=0,"",INDEX(Species!$F:$F,MATCH($A438,Species!$B:$B,0)))</f>
        <v/>
      </c>
      <c r="J438" s="19" t="n">
        <f aca="false">COUNTIFS(Clips!$F:$F,$A438,Clips!$C:$C,"train")</f>
        <v>0</v>
      </c>
      <c r="K438" s="19" t="n">
        <f aca="false">COUNTIF(Clips!$F:$F,$A438)</f>
        <v>0</v>
      </c>
      <c r="L438" s="19" t="str">
        <f aca="false">IF(J438&gt;0,"in train",IF(K438&gt;0,"audio, none in train",IF(C438&gt;=Overview!$B$9,"priority gap","no audio")))</f>
        <v>no audio</v>
      </c>
    </row>
    <row r="439" customFormat="false" ht="15" hidden="false" customHeight="false" outlineLevel="0" collapsed="false">
      <c r="A439" s="19" t="s">
        <v>10161</v>
      </c>
      <c r="B439" s="19" t="s">
        <v>10162</v>
      </c>
      <c r="C439" s="28" t="n">
        <f aca="false">D439/Overview!$B$10</f>
        <v>0.000357398141529664</v>
      </c>
      <c r="D439" s="29" t="n">
        <v>12</v>
      </c>
      <c r="E439" s="19" t="s">
        <v>10163</v>
      </c>
      <c r="F439" s="19" t="n">
        <v>1995</v>
      </c>
      <c r="G439" s="19" t="n">
        <v>2019</v>
      </c>
      <c r="H439" s="19" t="str">
        <f aca="false">IF(COUNTIF(Species!$B:$B,$A439)=0,"",IF(INDEX(Species!$A:$A,MATCH($A439,Species!$B:$B,0))="","",INDEX(Species!$A:$A,MATCH($A439,Species!$B:$B,0))))</f>
        <v/>
      </c>
      <c r="I439" s="19" t="str">
        <f aca="false">IF(COUNTIF(Species!$B:$B,$A439)=0,"",INDEX(Species!$F:$F,MATCH($A439,Species!$B:$B,0)))</f>
        <v/>
      </c>
      <c r="J439" s="19" t="n">
        <f aca="false">COUNTIFS(Clips!$F:$F,$A439,Clips!$C:$C,"train")</f>
        <v>0</v>
      </c>
      <c r="K439" s="19" t="n">
        <f aca="false">COUNTIF(Clips!$F:$F,$A439)</f>
        <v>0</v>
      </c>
      <c r="L439" s="19" t="str">
        <f aca="false">IF(J439&gt;0,"in train",IF(K439&gt;0,"audio, none in train",IF(C439&gt;=Overview!$B$9,"priority gap","no audio")))</f>
        <v>no audio</v>
      </c>
    </row>
    <row r="440" customFormat="false" ht="15" hidden="false" customHeight="false" outlineLevel="0" collapsed="false">
      <c r="A440" s="19" t="s">
        <v>10164</v>
      </c>
      <c r="B440" s="19" t="s">
        <v>10165</v>
      </c>
      <c r="C440" s="28" t="n">
        <f aca="false">D440/Overview!$B$10</f>
        <v>0.000357398141529664</v>
      </c>
      <c r="D440" s="29" t="n">
        <v>12</v>
      </c>
      <c r="E440" s="19" t="s">
        <v>10166</v>
      </c>
      <c r="F440" s="19" t="n">
        <v>1992</v>
      </c>
      <c r="G440" s="19" t="n">
        <v>2025</v>
      </c>
      <c r="H440" s="19" t="str">
        <f aca="false">IF(COUNTIF(Species!$B:$B,$A440)=0,"",IF(INDEX(Species!$A:$A,MATCH($A440,Species!$B:$B,0))="","",INDEX(Species!$A:$A,MATCH($A440,Species!$B:$B,0))))</f>
        <v/>
      </c>
      <c r="I440" s="19" t="str">
        <f aca="false">IF(COUNTIF(Species!$B:$B,$A440)=0,"",INDEX(Species!$F:$F,MATCH($A440,Species!$B:$B,0)))</f>
        <v/>
      </c>
      <c r="J440" s="19" t="n">
        <f aca="false">COUNTIFS(Clips!$F:$F,$A440,Clips!$C:$C,"train")</f>
        <v>0</v>
      </c>
      <c r="K440" s="19" t="n">
        <f aca="false">COUNTIF(Clips!$F:$F,$A440)</f>
        <v>0</v>
      </c>
      <c r="L440" s="19" t="str">
        <f aca="false">IF(J440&gt;0,"in train",IF(K440&gt;0,"audio, none in train",IF(C440&gt;=Overview!$B$9,"priority gap","no audio")))</f>
        <v>no audio</v>
      </c>
    </row>
    <row r="441" customFormat="false" ht="15" hidden="false" customHeight="false" outlineLevel="0" collapsed="false">
      <c r="A441" s="19" t="s">
        <v>10167</v>
      </c>
      <c r="B441" s="19" t="s">
        <v>10168</v>
      </c>
      <c r="C441" s="28" t="n">
        <f aca="false">D441/Overview!$B$10</f>
        <v>0.000357398141529664</v>
      </c>
      <c r="D441" s="29" t="n">
        <v>12</v>
      </c>
      <c r="E441" s="19" t="s">
        <v>10169</v>
      </c>
      <c r="F441" s="19" t="n">
        <v>1984</v>
      </c>
      <c r="G441" s="19" t="n">
        <v>2024</v>
      </c>
      <c r="H441" s="19" t="str">
        <f aca="false">IF(COUNTIF(Species!$B:$B,$A441)=0,"",IF(INDEX(Species!$A:$A,MATCH($A441,Species!$B:$B,0))="","",INDEX(Species!$A:$A,MATCH($A441,Species!$B:$B,0))))</f>
        <v/>
      </c>
      <c r="I441" s="19" t="str">
        <f aca="false">IF(COUNTIF(Species!$B:$B,$A441)=0,"",INDEX(Species!$F:$F,MATCH($A441,Species!$B:$B,0)))</f>
        <v/>
      </c>
      <c r="J441" s="19" t="n">
        <f aca="false">COUNTIFS(Clips!$F:$F,$A441,Clips!$C:$C,"train")</f>
        <v>0</v>
      </c>
      <c r="K441" s="19" t="n">
        <f aca="false">COUNTIF(Clips!$F:$F,$A441)</f>
        <v>0</v>
      </c>
      <c r="L441" s="19" t="str">
        <f aca="false">IF(J441&gt;0,"in train",IF(K441&gt;0,"audio, none in train",IF(C441&gt;=Overview!$B$9,"priority gap","no audio")))</f>
        <v>no audio</v>
      </c>
    </row>
    <row r="442" customFormat="false" ht="15" hidden="false" customHeight="false" outlineLevel="0" collapsed="false">
      <c r="A442" s="19" t="s">
        <v>777</v>
      </c>
      <c r="B442" s="19" t="s">
        <v>778</v>
      </c>
      <c r="C442" s="28" t="n">
        <f aca="false">D442/Overview!$B$10</f>
        <v>0.000327614963068859</v>
      </c>
      <c r="D442" s="29" t="n">
        <v>11</v>
      </c>
      <c r="E442" s="19" t="s">
        <v>10170</v>
      </c>
      <c r="F442" s="19" t="n">
        <v>2010</v>
      </c>
      <c r="G442" s="19" t="n">
        <v>2018</v>
      </c>
      <c r="H442" s="19" t="n">
        <f aca="false">IF(COUNTIF(Species!$B:$B,$A442)=0,"",IF(INDEX(Species!$A:$A,MATCH($A442,Species!$B:$B,0))="","",INDEX(Species!$A:$A,MATCH($A442,Species!$B:$B,0))))</f>
        <v>36</v>
      </c>
      <c r="I442" s="19" t="str">
        <f aca="false">IF(COUNTIF(Species!$B:$B,$A442)=0,"",INDEX(Species!$F:$F,MATCH($A442,Species!$B:$B,0)))</f>
        <v>singleton</v>
      </c>
      <c r="J442" s="19" t="n">
        <f aca="false">COUNTIFS(Clips!$F:$F,$A442,Clips!$C:$C,"train")</f>
        <v>0</v>
      </c>
      <c r="K442" s="19" t="n">
        <f aca="false">COUNTIF(Clips!$F:$F,$A442)</f>
        <v>1</v>
      </c>
      <c r="L442" s="19" t="str">
        <f aca="false">IF(J442&gt;0,"in train",IF(K442&gt;0,"audio, none in train",IF(C442&gt;=Overview!$B$9,"priority gap","no audio")))</f>
        <v>audio, none in train</v>
      </c>
    </row>
    <row r="443" customFormat="false" ht="15" hidden="false" customHeight="false" outlineLevel="0" collapsed="false">
      <c r="A443" s="19" t="s">
        <v>10171</v>
      </c>
      <c r="B443" s="19" t="s">
        <v>10172</v>
      </c>
      <c r="C443" s="28" t="n">
        <f aca="false">D443/Overview!$B$10</f>
        <v>0.000327614963068859</v>
      </c>
      <c r="D443" s="29" t="n">
        <v>11</v>
      </c>
      <c r="E443" s="19" t="s">
        <v>10173</v>
      </c>
      <c r="F443" s="19" t="n">
        <v>2000</v>
      </c>
      <c r="G443" s="19" t="n">
        <v>2025</v>
      </c>
      <c r="H443" s="19" t="str">
        <f aca="false">IF(COUNTIF(Species!$B:$B,$A443)=0,"",IF(INDEX(Species!$A:$A,MATCH($A443,Species!$B:$B,0))="","",INDEX(Species!$A:$A,MATCH($A443,Species!$B:$B,0))))</f>
        <v/>
      </c>
      <c r="I443" s="19" t="str">
        <f aca="false">IF(COUNTIF(Species!$B:$B,$A443)=0,"",INDEX(Species!$F:$F,MATCH($A443,Species!$B:$B,0)))</f>
        <v/>
      </c>
      <c r="J443" s="19" t="n">
        <f aca="false">COUNTIFS(Clips!$F:$F,$A443,Clips!$C:$C,"train")</f>
        <v>0</v>
      </c>
      <c r="K443" s="19" t="n">
        <f aca="false">COUNTIF(Clips!$F:$F,$A443)</f>
        <v>0</v>
      </c>
      <c r="L443" s="19" t="str">
        <f aca="false">IF(J443&gt;0,"in train",IF(K443&gt;0,"audio, none in train",IF(C443&gt;=Overview!$B$9,"priority gap","no audio")))</f>
        <v>no audio</v>
      </c>
    </row>
    <row r="444" customFormat="false" ht="15" hidden="false" customHeight="false" outlineLevel="0" collapsed="false">
      <c r="A444" s="19" t="s">
        <v>10174</v>
      </c>
      <c r="B444" s="19" t="s">
        <v>10175</v>
      </c>
      <c r="C444" s="28" t="n">
        <f aca="false">D444/Overview!$B$10</f>
        <v>0.000327614963068859</v>
      </c>
      <c r="D444" s="29" t="n">
        <v>11</v>
      </c>
      <c r="E444" s="19" t="s">
        <v>9993</v>
      </c>
      <c r="F444" s="19" t="n">
        <v>2001</v>
      </c>
      <c r="G444" s="19" t="n">
        <v>2026</v>
      </c>
      <c r="H444" s="19" t="str">
        <f aca="false">IF(COUNTIF(Species!$B:$B,$A444)=0,"",IF(INDEX(Species!$A:$A,MATCH($A444,Species!$B:$B,0))="","",INDEX(Species!$A:$A,MATCH($A444,Species!$B:$B,0))))</f>
        <v/>
      </c>
      <c r="I444" s="19" t="str">
        <f aca="false">IF(COUNTIF(Species!$B:$B,$A444)=0,"",INDEX(Species!$F:$F,MATCH($A444,Species!$B:$B,0)))</f>
        <v/>
      </c>
      <c r="J444" s="19" t="n">
        <f aca="false">COUNTIFS(Clips!$F:$F,$A444,Clips!$C:$C,"train")</f>
        <v>0</v>
      </c>
      <c r="K444" s="19" t="n">
        <f aca="false">COUNTIF(Clips!$F:$F,$A444)</f>
        <v>0</v>
      </c>
      <c r="L444" s="19" t="str">
        <f aca="false">IF(J444&gt;0,"in train",IF(K444&gt;0,"audio, none in train",IF(C444&gt;=Overview!$B$9,"priority gap","no audio")))</f>
        <v>no audio</v>
      </c>
    </row>
    <row r="445" customFormat="false" ht="15" hidden="false" customHeight="false" outlineLevel="0" collapsed="false">
      <c r="A445" s="19" t="s">
        <v>10176</v>
      </c>
      <c r="B445" s="19" t="s">
        <v>10177</v>
      </c>
      <c r="C445" s="28" t="n">
        <f aca="false">D445/Overview!$B$10</f>
        <v>0.000327614963068859</v>
      </c>
      <c r="D445" s="29" t="n">
        <v>11</v>
      </c>
      <c r="E445" s="19" t="s">
        <v>10178</v>
      </c>
      <c r="F445" s="19" t="n">
        <v>2001</v>
      </c>
      <c r="G445" s="19" t="n">
        <v>2025</v>
      </c>
      <c r="H445" s="19" t="str">
        <f aca="false">IF(COUNTIF(Species!$B:$B,$A445)=0,"",IF(INDEX(Species!$A:$A,MATCH($A445,Species!$B:$B,0))="","",INDEX(Species!$A:$A,MATCH($A445,Species!$B:$B,0))))</f>
        <v/>
      </c>
      <c r="I445" s="19" t="str">
        <f aca="false">IF(COUNTIF(Species!$B:$B,$A445)=0,"",INDEX(Species!$F:$F,MATCH($A445,Species!$B:$B,0)))</f>
        <v/>
      </c>
      <c r="J445" s="19" t="n">
        <f aca="false">COUNTIFS(Clips!$F:$F,$A445,Clips!$C:$C,"train")</f>
        <v>0</v>
      </c>
      <c r="K445" s="19" t="n">
        <f aca="false">COUNTIF(Clips!$F:$F,$A445)</f>
        <v>0</v>
      </c>
      <c r="L445" s="19" t="str">
        <f aca="false">IF(J445&gt;0,"in train",IF(K445&gt;0,"audio, none in train",IF(C445&gt;=Overview!$B$9,"priority gap","no audio")))</f>
        <v>no audio</v>
      </c>
    </row>
    <row r="446" customFormat="false" ht="15" hidden="false" customHeight="false" outlineLevel="0" collapsed="false">
      <c r="A446" s="19" t="s">
        <v>10179</v>
      </c>
      <c r="B446" s="19" t="s">
        <v>10180</v>
      </c>
      <c r="C446" s="28" t="n">
        <f aca="false">D446/Overview!$B$10</f>
        <v>0.000297831784608053</v>
      </c>
      <c r="D446" s="29" t="n">
        <v>10</v>
      </c>
      <c r="E446" s="19" t="s">
        <v>10181</v>
      </c>
      <c r="F446" s="19" t="n">
        <v>1991</v>
      </c>
      <c r="G446" s="19" t="n">
        <v>2020</v>
      </c>
      <c r="H446" s="19" t="str">
        <f aca="false">IF(COUNTIF(Species!$B:$B,$A446)=0,"",IF(INDEX(Species!$A:$A,MATCH($A446,Species!$B:$B,0))="","",INDEX(Species!$A:$A,MATCH($A446,Species!$B:$B,0))))</f>
        <v/>
      </c>
      <c r="I446" s="19" t="str">
        <f aca="false">IF(COUNTIF(Species!$B:$B,$A446)=0,"",INDEX(Species!$F:$F,MATCH($A446,Species!$B:$B,0)))</f>
        <v/>
      </c>
      <c r="J446" s="19" t="n">
        <f aca="false">COUNTIFS(Clips!$F:$F,$A446,Clips!$C:$C,"train")</f>
        <v>0</v>
      </c>
      <c r="K446" s="19" t="n">
        <f aca="false">COUNTIF(Clips!$F:$F,$A446)</f>
        <v>0</v>
      </c>
      <c r="L446" s="19" t="str">
        <f aca="false">IF(J446&gt;0,"in train",IF(K446&gt;0,"audio, none in train",IF(C446&gt;=Overview!$B$9,"priority gap","no audio")))</f>
        <v>no audio</v>
      </c>
    </row>
    <row r="447" customFormat="false" ht="15" hidden="false" customHeight="false" outlineLevel="0" collapsed="false">
      <c r="A447" s="19" t="s">
        <v>10182</v>
      </c>
      <c r="B447" s="19" t="s">
        <v>10183</v>
      </c>
      <c r="C447" s="28" t="n">
        <f aca="false">D447/Overview!$B$10</f>
        <v>0.000297831784608053</v>
      </c>
      <c r="D447" s="29" t="n">
        <v>10</v>
      </c>
      <c r="E447" s="19" t="s">
        <v>10184</v>
      </c>
      <c r="F447" s="19" t="n">
        <v>1992</v>
      </c>
      <c r="G447" s="19" t="n">
        <v>2025</v>
      </c>
      <c r="H447" s="19" t="str">
        <f aca="false">IF(COUNTIF(Species!$B:$B,$A447)=0,"",IF(INDEX(Species!$A:$A,MATCH($A447,Species!$B:$B,0))="","",INDEX(Species!$A:$A,MATCH($A447,Species!$B:$B,0))))</f>
        <v/>
      </c>
      <c r="I447" s="19" t="str">
        <f aca="false">IF(COUNTIF(Species!$B:$B,$A447)=0,"",INDEX(Species!$F:$F,MATCH($A447,Species!$B:$B,0)))</f>
        <v/>
      </c>
      <c r="J447" s="19" t="n">
        <f aca="false">COUNTIFS(Clips!$F:$F,$A447,Clips!$C:$C,"train")</f>
        <v>0</v>
      </c>
      <c r="K447" s="19" t="n">
        <f aca="false">COUNTIF(Clips!$F:$F,$A447)</f>
        <v>0</v>
      </c>
      <c r="L447" s="19" t="str">
        <f aca="false">IF(J447&gt;0,"in train",IF(K447&gt;0,"audio, none in train",IF(C447&gt;=Overview!$B$9,"priority gap","no audio")))</f>
        <v>no audio</v>
      </c>
    </row>
    <row r="448" customFormat="false" ht="15" hidden="false" customHeight="false" outlineLevel="0" collapsed="false">
      <c r="A448" s="19" t="s">
        <v>10185</v>
      </c>
      <c r="B448" s="19" t="s">
        <v>10186</v>
      </c>
      <c r="C448" s="28" t="n">
        <f aca="false">D448/Overview!$B$10</f>
        <v>0.000268048606147248</v>
      </c>
      <c r="D448" s="29" t="n">
        <v>9</v>
      </c>
      <c r="E448" s="19" t="s">
        <v>10187</v>
      </c>
      <c r="F448" s="19" t="n">
        <v>2018</v>
      </c>
      <c r="G448" s="19" t="n">
        <v>2022</v>
      </c>
      <c r="H448" s="19" t="str">
        <f aca="false">IF(COUNTIF(Species!$B:$B,$A448)=0,"",IF(INDEX(Species!$A:$A,MATCH($A448,Species!$B:$B,0))="","",INDEX(Species!$A:$A,MATCH($A448,Species!$B:$B,0))))</f>
        <v/>
      </c>
      <c r="I448" s="19" t="str">
        <f aca="false">IF(COUNTIF(Species!$B:$B,$A448)=0,"",INDEX(Species!$F:$F,MATCH($A448,Species!$B:$B,0)))</f>
        <v/>
      </c>
      <c r="J448" s="19" t="n">
        <f aca="false">COUNTIFS(Clips!$F:$F,$A448,Clips!$C:$C,"train")</f>
        <v>0</v>
      </c>
      <c r="K448" s="19" t="n">
        <f aca="false">COUNTIF(Clips!$F:$F,$A448)</f>
        <v>0</v>
      </c>
      <c r="L448" s="19" t="str">
        <f aca="false">IF(J448&gt;0,"in train",IF(K448&gt;0,"audio, none in train",IF(C448&gt;=Overview!$B$9,"priority gap","no audio")))</f>
        <v>no audio</v>
      </c>
    </row>
    <row r="449" customFormat="false" ht="15" hidden="false" customHeight="false" outlineLevel="0" collapsed="false">
      <c r="A449" s="19" t="s">
        <v>10188</v>
      </c>
      <c r="B449" s="19" t="s">
        <v>10189</v>
      </c>
      <c r="C449" s="28" t="n">
        <f aca="false">D449/Overview!$B$10</f>
        <v>0.000268048606147248</v>
      </c>
      <c r="D449" s="29" t="n">
        <v>9</v>
      </c>
      <c r="E449" s="19" t="s">
        <v>10190</v>
      </c>
      <c r="F449" s="19" t="n">
        <v>2024</v>
      </c>
      <c r="G449" s="19" t="n">
        <v>2024</v>
      </c>
      <c r="H449" s="19" t="str">
        <f aca="false">IF(COUNTIF(Species!$B:$B,$A449)=0,"",IF(INDEX(Species!$A:$A,MATCH($A449,Species!$B:$B,0))="","",INDEX(Species!$A:$A,MATCH($A449,Species!$B:$B,0))))</f>
        <v/>
      </c>
      <c r="I449" s="19" t="str">
        <f aca="false">IF(COUNTIF(Species!$B:$B,$A449)=0,"",INDEX(Species!$F:$F,MATCH($A449,Species!$B:$B,0)))</f>
        <v/>
      </c>
      <c r="J449" s="19" t="n">
        <f aca="false">COUNTIFS(Clips!$F:$F,$A449,Clips!$C:$C,"train")</f>
        <v>0</v>
      </c>
      <c r="K449" s="19" t="n">
        <f aca="false">COUNTIF(Clips!$F:$F,$A449)</f>
        <v>0</v>
      </c>
      <c r="L449" s="19" t="str">
        <f aca="false">IF(J449&gt;0,"in train",IF(K449&gt;0,"audio, none in train",IF(C449&gt;=Overview!$B$9,"priority gap","no audio")))</f>
        <v>no audio</v>
      </c>
    </row>
    <row r="450" customFormat="false" ht="15" hidden="false" customHeight="false" outlineLevel="0" collapsed="false">
      <c r="A450" s="19" t="s">
        <v>10191</v>
      </c>
      <c r="B450" s="19" t="s">
        <v>10192</v>
      </c>
      <c r="C450" s="28" t="n">
        <f aca="false">D450/Overview!$B$10</f>
        <v>0.000238265427686443</v>
      </c>
      <c r="D450" s="29" t="n">
        <v>8</v>
      </c>
      <c r="E450" s="19" t="s">
        <v>10193</v>
      </c>
      <c r="F450" s="19" t="n">
        <v>2025</v>
      </c>
      <c r="G450" s="19" t="n">
        <v>2025</v>
      </c>
      <c r="H450" s="19" t="str">
        <f aca="false">IF(COUNTIF(Species!$B:$B,$A450)=0,"",IF(INDEX(Species!$A:$A,MATCH($A450,Species!$B:$B,0))="","",INDEX(Species!$A:$A,MATCH($A450,Species!$B:$B,0))))</f>
        <v/>
      </c>
      <c r="I450" s="19" t="str">
        <f aca="false">IF(COUNTIF(Species!$B:$B,$A450)=0,"",INDEX(Species!$F:$F,MATCH($A450,Species!$B:$B,0)))</f>
        <v/>
      </c>
      <c r="J450" s="19" t="n">
        <f aca="false">COUNTIFS(Clips!$F:$F,$A450,Clips!$C:$C,"train")</f>
        <v>0</v>
      </c>
      <c r="K450" s="19" t="n">
        <f aca="false">COUNTIF(Clips!$F:$F,$A450)</f>
        <v>0</v>
      </c>
      <c r="L450" s="19" t="str">
        <f aca="false">IF(J450&gt;0,"in train",IF(K450&gt;0,"audio, none in train",IF(C450&gt;=Overview!$B$9,"priority gap","no audio")))</f>
        <v>no audio</v>
      </c>
    </row>
    <row r="451" customFormat="false" ht="15" hidden="false" customHeight="false" outlineLevel="0" collapsed="false">
      <c r="A451" s="19" t="s">
        <v>10194</v>
      </c>
      <c r="B451" s="19" t="s">
        <v>10195</v>
      </c>
      <c r="C451" s="28" t="n">
        <f aca="false">D451/Overview!$B$10</f>
        <v>0.000238265427686443</v>
      </c>
      <c r="D451" s="29" t="n">
        <v>8</v>
      </c>
      <c r="E451" s="19" t="s">
        <v>10196</v>
      </c>
      <c r="F451" s="19" t="n">
        <v>1992</v>
      </c>
      <c r="G451" s="19" t="n">
        <v>2023</v>
      </c>
      <c r="H451" s="19" t="str">
        <f aca="false">IF(COUNTIF(Species!$B:$B,$A451)=0,"",IF(INDEX(Species!$A:$A,MATCH($A451,Species!$B:$B,0))="","",INDEX(Species!$A:$A,MATCH($A451,Species!$B:$B,0))))</f>
        <v/>
      </c>
      <c r="I451" s="19" t="str">
        <f aca="false">IF(COUNTIF(Species!$B:$B,$A451)=0,"",INDEX(Species!$F:$F,MATCH($A451,Species!$B:$B,0)))</f>
        <v/>
      </c>
      <c r="J451" s="19" t="n">
        <f aca="false">COUNTIFS(Clips!$F:$F,$A451,Clips!$C:$C,"train")</f>
        <v>0</v>
      </c>
      <c r="K451" s="19" t="n">
        <f aca="false">COUNTIF(Clips!$F:$F,$A451)</f>
        <v>0</v>
      </c>
      <c r="L451" s="19" t="str">
        <f aca="false">IF(J451&gt;0,"in train",IF(K451&gt;0,"audio, none in train",IF(C451&gt;=Overview!$B$9,"priority gap","no audio")))</f>
        <v>no audio</v>
      </c>
    </row>
    <row r="452" customFormat="false" ht="15" hidden="false" customHeight="false" outlineLevel="0" collapsed="false">
      <c r="A452" s="19" t="s">
        <v>10197</v>
      </c>
      <c r="B452" s="19" t="s">
        <v>10198</v>
      </c>
      <c r="C452" s="28" t="n">
        <f aca="false">D452/Overview!$B$10</f>
        <v>0.000238265427686443</v>
      </c>
      <c r="D452" s="29" t="n">
        <v>8</v>
      </c>
      <c r="E452" s="19" t="s">
        <v>10199</v>
      </c>
      <c r="F452" s="19" t="n">
        <v>1973</v>
      </c>
      <c r="G452" s="19" t="n">
        <v>2025</v>
      </c>
      <c r="H452" s="19" t="str">
        <f aca="false">IF(COUNTIF(Species!$B:$B,$A452)=0,"",IF(INDEX(Species!$A:$A,MATCH($A452,Species!$B:$B,0))="","",INDEX(Species!$A:$A,MATCH($A452,Species!$B:$B,0))))</f>
        <v/>
      </c>
      <c r="I452" s="19" t="str">
        <f aca="false">IF(COUNTIF(Species!$B:$B,$A452)=0,"",INDEX(Species!$F:$F,MATCH($A452,Species!$B:$B,0)))</f>
        <v/>
      </c>
      <c r="J452" s="19" t="n">
        <f aca="false">COUNTIFS(Clips!$F:$F,$A452,Clips!$C:$C,"train")</f>
        <v>0</v>
      </c>
      <c r="K452" s="19" t="n">
        <f aca="false">COUNTIF(Clips!$F:$F,$A452)</f>
        <v>0</v>
      </c>
      <c r="L452" s="19" t="str">
        <f aca="false">IF(J452&gt;0,"in train",IF(K452&gt;0,"audio, none in train",IF(C452&gt;=Overview!$B$9,"priority gap","no audio")))</f>
        <v>no audio</v>
      </c>
    </row>
    <row r="453" customFormat="false" ht="15" hidden="false" customHeight="false" outlineLevel="0" collapsed="false">
      <c r="A453" s="19" t="s">
        <v>10200</v>
      </c>
      <c r="B453" s="19" t="s">
        <v>10201</v>
      </c>
      <c r="C453" s="28" t="n">
        <f aca="false">D453/Overview!$B$10</f>
        <v>0.000208482249225637</v>
      </c>
      <c r="D453" s="29" t="n">
        <v>7</v>
      </c>
      <c r="E453" s="19" t="s">
        <v>10202</v>
      </c>
      <c r="F453" s="19" t="n">
        <v>1986</v>
      </c>
      <c r="G453" s="19" t="n">
        <v>2020</v>
      </c>
      <c r="H453" s="19" t="str">
        <f aca="false">IF(COUNTIF(Species!$B:$B,$A453)=0,"",IF(INDEX(Species!$A:$A,MATCH($A453,Species!$B:$B,0))="","",INDEX(Species!$A:$A,MATCH($A453,Species!$B:$B,0))))</f>
        <v/>
      </c>
      <c r="I453" s="19" t="str">
        <f aca="false">IF(COUNTIF(Species!$B:$B,$A453)=0,"",INDEX(Species!$F:$F,MATCH($A453,Species!$B:$B,0)))</f>
        <v/>
      </c>
      <c r="J453" s="19" t="n">
        <f aca="false">COUNTIFS(Clips!$F:$F,$A453,Clips!$C:$C,"train")</f>
        <v>0</v>
      </c>
      <c r="K453" s="19" t="n">
        <f aca="false">COUNTIF(Clips!$F:$F,$A453)</f>
        <v>0</v>
      </c>
      <c r="L453" s="19" t="str">
        <f aca="false">IF(J453&gt;0,"in train",IF(K453&gt;0,"audio, none in train",IF(C453&gt;=Overview!$B$9,"priority gap","no audio")))</f>
        <v>no audio</v>
      </c>
    </row>
    <row r="454" customFormat="false" ht="15" hidden="false" customHeight="false" outlineLevel="0" collapsed="false">
      <c r="A454" s="19" t="s">
        <v>10203</v>
      </c>
      <c r="B454" s="19" t="s">
        <v>10204</v>
      </c>
      <c r="C454" s="28" t="n">
        <f aca="false">D454/Overview!$B$10</f>
        <v>0.000178699070764832</v>
      </c>
      <c r="D454" s="29" t="n">
        <v>6</v>
      </c>
      <c r="E454" s="19" t="s">
        <v>10205</v>
      </c>
      <c r="F454" s="19" t="n">
        <v>2009</v>
      </c>
      <c r="G454" s="19" t="n">
        <v>2017</v>
      </c>
      <c r="H454" s="19" t="str">
        <f aca="false">IF(COUNTIF(Species!$B:$B,$A454)=0,"",IF(INDEX(Species!$A:$A,MATCH($A454,Species!$B:$B,0))="","",INDEX(Species!$A:$A,MATCH($A454,Species!$B:$B,0))))</f>
        <v/>
      </c>
      <c r="I454" s="19" t="str">
        <f aca="false">IF(COUNTIF(Species!$B:$B,$A454)=0,"",INDEX(Species!$F:$F,MATCH($A454,Species!$B:$B,0)))</f>
        <v/>
      </c>
      <c r="J454" s="19" t="n">
        <f aca="false">COUNTIFS(Clips!$F:$F,$A454,Clips!$C:$C,"train")</f>
        <v>0</v>
      </c>
      <c r="K454" s="19" t="n">
        <f aca="false">COUNTIF(Clips!$F:$F,$A454)</f>
        <v>0</v>
      </c>
      <c r="L454" s="19" t="str">
        <f aca="false">IF(J454&gt;0,"in train",IF(K454&gt;0,"audio, none in train",IF(C454&gt;=Overview!$B$9,"priority gap","no audio")))</f>
        <v>no audio</v>
      </c>
    </row>
    <row r="455" customFormat="false" ht="15" hidden="false" customHeight="false" outlineLevel="0" collapsed="false">
      <c r="A455" s="19" t="s">
        <v>10206</v>
      </c>
      <c r="B455" s="19" t="s">
        <v>10207</v>
      </c>
      <c r="C455" s="28" t="n">
        <f aca="false">D455/Overview!$B$10</f>
        <v>0.000178699070764832</v>
      </c>
      <c r="D455" s="29" t="n">
        <v>6</v>
      </c>
      <c r="E455" s="19" t="s">
        <v>10208</v>
      </c>
      <c r="F455" s="19" t="n">
        <v>2000</v>
      </c>
      <c r="G455" s="19" t="n">
        <v>2017</v>
      </c>
      <c r="H455" s="19" t="str">
        <f aca="false">IF(COUNTIF(Species!$B:$B,$A455)=0,"",IF(INDEX(Species!$A:$A,MATCH($A455,Species!$B:$B,0))="","",INDEX(Species!$A:$A,MATCH($A455,Species!$B:$B,0))))</f>
        <v/>
      </c>
      <c r="I455" s="19" t="str">
        <f aca="false">IF(COUNTIF(Species!$B:$B,$A455)=0,"",INDEX(Species!$F:$F,MATCH($A455,Species!$B:$B,0)))</f>
        <v/>
      </c>
      <c r="J455" s="19" t="n">
        <f aca="false">COUNTIFS(Clips!$F:$F,$A455,Clips!$C:$C,"train")</f>
        <v>0</v>
      </c>
      <c r="K455" s="19" t="n">
        <f aca="false">COUNTIF(Clips!$F:$F,$A455)</f>
        <v>0</v>
      </c>
      <c r="L455" s="19" t="str">
        <f aca="false">IF(J455&gt;0,"in train",IF(K455&gt;0,"audio, none in train",IF(C455&gt;=Overview!$B$9,"priority gap","no audio")))</f>
        <v>no audio</v>
      </c>
    </row>
    <row r="456" customFormat="false" ht="15" hidden="false" customHeight="false" outlineLevel="0" collapsed="false">
      <c r="A456" s="19" t="s">
        <v>10209</v>
      </c>
      <c r="B456" s="19" t="s">
        <v>10210</v>
      </c>
      <c r="C456" s="28" t="n">
        <f aca="false">D456/Overview!$B$10</f>
        <v>0.000178699070764832</v>
      </c>
      <c r="D456" s="29" t="n">
        <v>6</v>
      </c>
      <c r="E456" s="19" t="s">
        <v>10211</v>
      </c>
      <c r="F456" s="19" t="n">
        <v>1985</v>
      </c>
      <c r="G456" s="19" t="n">
        <v>2022</v>
      </c>
      <c r="H456" s="19" t="str">
        <f aca="false">IF(COUNTIF(Species!$B:$B,$A456)=0,"",IF(INDEX(Species!$A:$A,MATCH($A456,Species!$B:$B,0))="","",INDEX(Species!$A:$A,MATCH($A456,Species!$B:$B,0))))</f>
        <v/>
      </c>
      <c r="I456" s="19" t="str">
        <f aca="false">IF(COUNTIF(Species!$B:$B,$A456)=0,"",INDEX(Species!$F:$F,MATCH($A456,Species!$B:$B,0)))</f>
        <v/>
      </c>
      <c r="J456" s="19" t="n">
        <f aca="false">COUNTIFS(Clips!$F:$F,$A456,Clips!$C:$C,"train")</f>
        <v>0</v>
      </c>
      <c r="K456" s="19" t="n">
        <f aca="false">COUNTIF(Clips!$F:$F,$A456)</f>
        <v>0</v>
      </c>
      <c r="L456" s="19" t="str">
        <f aca="false">IF(J456&gt;0,"in train",IF(K456&gt;0,"audio, none in train",IF(C456&gt;=Overview!$B$9,"priority gap","no audio")))</f>
        <v>no audio</v>
      </c>
    </row>
    <row r="457" customFormat="false" ht="15" hidden="false" customHeight="false" outlineLevel="0" collapsed="false">
      <c r="A457" s="19" t="s">
        <v>10212</v>
      </c>
      <c r="B457" s="19" t="s">
        <v>10213</v>
      </c>
      <c r="C457" s="28" t="n">
        <f aca="false">D457/Overview!$B$10</f>
        <v>0.000178699070764832</v>
      </c>
      <c r="D457" s="29" t="n">
        <v>6</v>
      </c>
      <c r="E457" s="19" t="s">
        <v>10208</v>
      </c>
      <c r="F457" s="19" t="n">
        <v>1998</v>
      </c>
      <c r="G457" s="19" t="n">
        <v>2024</v>
      </c>
      <c r="H457" s="19" t="str">
        <f aca="false">IF(COUNTIF(Species!$B:$B,$A457)=0,"",IF(INDEX(Species!$A:$A,MATCH($A457,Species!$B:$B,0))="","",INDEX(Species!$A:$A,MATCH($A457,Species!$B:$B,0))))</f>
        <v/>
      </c>
      <c r="I457" s="19" t="str">
        <f aca="false">IF(COUNTIF(Species!$B:$B,$A457)=0,"",INDEX(Species!$F:$F,MATCH($A457,Species!$B:$B,0)))</f>
        <v/>
      </c>
      <c r="J457" s="19" t="n">
        <f aca="false">COUNTIFS(Clips!$F:$F,$A457,Clips!$C:$C,"train")</f>
        <v>0</v>
      </c>
      <c r="K457" s="19" t="n">
        <f aca="false">COUNTIF(Clips!$F:$F,$A457)</f>
        <v>0</v>
      </c>
      <c r="L457" s="19" t="str">
        <f aca="false">IF(J457&gt;0,"in train",IF(K457&gt;0,"audio, none in train",IF(C457&gt;=Overview!$B$9,"priority gap","no audio")))</f>
        <v>no audio</v>
      </c>
    </row>
    <row r="458" customFormat="false" ht="15" hidden="false" customHeight="false" outlineLevel="0" collapsed="false">
      <c r="A458" s="19" t="s">
        <v>10214</v>
      </c>
      <c r="B458" s="19" t="s">
        <v>10215</v>
      </c>
      <c r="C458" s="28" t="n">
        <f aca="false">D458/Overview!$B$10</f>
        <v>0.000178699070764832</v>
      </c>
      <c r="D458" s="29" t="n">
        <v>6</v>
      </c>
      <c r="E458" s="19" t="s">
        <v>10216</v>
      </c>
      <c r="F458" s="19" t="n">
        <v>1990</v>
      </c>
      <c r="G458" s="19" t="n">
        <v>2026</v>
      </c>
      <c r="H458" s="19" t="str">
        <f aca="false">IF(COUNTIF(Species!$B:$B,$A458)=0,"",IF(INDEX(Species!$A:$A,MATCH($A458,Species!$B:$B,0))="","",INDEX(Species!$A:$A,MATCH($A458,Species!$B:$B,0))))</f>
        <v/>
      </c>
      <c r="I458" s="19" t="str">
        <f aca="false">IF(COUNTIF(Species!$B:$B,$A458)=0,"",INDEX(Species!$F:$F,MATCH($A458,Species!$B:$B,0)))</f>
        <v/>
      </c>
      <c r="J458" s="19" t="n">
        <f aca="false">COUNTIFS(Clips!$F:$F,$A458,Clips!$C:$C,"train")</f>
        <v>0</v>
      </c>
      <c r="K458" s="19" t="n">
        <f aca="false">COUNTIF(Clips!$F:$F,$A458)</f>
        <v>0</v>
      </c>
      <c r="L458" s="19" t="str">
        <f aca="false">IF(J458&gt;0,"in train",IF(K458&gt;0,"audio, none in train",IF(C458&gt;=Overview!$B$9,"priority gap","no audio")))</f>
        <v>no audio</v>
      </c>
    </row>
    <row r="459" customFormat="false" ht="15" hidden="false" customHeight="false" outlineLevel="0" collapsed="false">
      <c r="A459" s="19" t="s">
        <v>10217</v>
      </c>
      <c r="B459" s="19" t="s">
        <v>10218</v>
      </c>
      <c r="C459" s="28" t="n">
        <f aca="false">D459/Overview!$B$10</f>
        <v>0.000178699070764832</v>
      </c>
      <c r="D459" s="29" t="n">
        <v>6</v>
      </c>
      <c r="E459" s="19" t="s">
        <v>10219</v>
      </c>
      <c r="F459" s="19" t="n">
        <v>1990</v>
      </c>
      <c r="G459" s="19" t="n">
        <v>2009</v>
      </c>
      <c r="H459" s="19" t="str">
        <f aca="false">IF(COUNTIF(Species!$B:$B,$A459)=0,"",IF(INDEX(Species!$A:$A,MATCH($A459,Species!$B:$B,0))="","",INDEX(Species!$A:$A,MATCH($A459,Species!$B:$B,0))))</f>
        <v/>
      </c>
      <c r="I459" s="19" t="str">
        <f aca="false">IF(COUNTIF(Species!$B:$B,$A459)=0,"",INDEX(Species!$F:$F,MATCH($A459,Species!$B:$B,0)))</f>
        <v/>
      </c>
      <c r="J459" s="19" t="n">
        <f aca="false">COUNTIFS(Clips!$F:$F,$A459,Clips!$C:$C,"train")</f>
        <v>0</v>
      </c>
      <c r="K459" s="19" t="n">
        <f aca="false">COUNTIF(Clips!$F:$F,$A459)</f>
        <v>0</v>
      </c>
      <c r="L459" s="19" t="str">
        <f aca="false">IF(J459&gt;0,"in train",IF(K459&gt;0,"audio, none in train",IF(C459&gt;=Overview!$B$9,"priority gap","no audio")))</f>
        <v>no audio</v>
      </c>
    </row>
    <row r="460" customFormat="false" ht="15" hidden="false" customHeight="false" outlineLevel="0" collapsed="false">
      <c r="A460" s="19" t="s">
        <v>10220</v>
      </c>
      <c r="B460" s="19" t="s">
        <v>10221</v>
      </c>
      <c r="C460" s="28" t="n">
        <f aca="false">D460/Overview!$B$10</f>
        <v>0.000148915892304027</v>
      </c>
      <c r="D460" s="29" t="n">
        <v>5</v>
      </c>
      <c r="E460" s="19" t="s">
        <v>10222</v>
      </c>
      <c r="F460" s="19" t="n">
        <v>2019</v>
      </c>
      <c r="G460" s="19" t="n">
        <v>2019</v>
      </c>
      <c r="H460" s="19" t="str">
        <f aca="false">IF(COUNTIF(Species!$B:$B,$A460)=0,"",IF(INDEX(Species!$A:$A,MATCH($A460,Species!$B:$B,0))="","",INDEX(Species!$A:$A,MATCH($A460,Species!$B:$B,0))))</f>
        <v/>
      </c>
      <c r="I460" s="19" t="str">
        <f aca="false">IF(COUNTIF(Species!$B:$B,$A460)=0,"",INDEX(Species!$F:$F,MATCH($A460,Species!$B:$B,0)))</f>
        <v/>
      </c>
      <c r="J460" s="19" t="n">
        <f aca="false">COUNTIFS(Clips!$F:$F,$A460,Clips!$C:$C,"train")</f>
        <v>0</v>
      </c>
      <c r="K460" s="19" t="n">
        <f aca="false">COUNTIF(Clips!$F:$F,$A460)</f>
        <v>0</v>
      </c>
      <c r="L460" s="19" t="str">
        <f aca="false">IF(J460&gt;0,"in train",IF(K460&gt;0,"audio, none in train",IF(C460&gt;=Overview!$B$9,"priority gap","no audio")))</f>
        <v>no audio</v>
      </c>
    </row>
    <row r="461" customFormat="false" ht="15" hidden="false" customHeight="false" outlineLevel="0" collapsed="false">
      <c r="A461" s="19" t="s">
        <v>10223</v>
      </c>
      <c r="B461" s="19" t="s">
        <v>10224</v>
      </c>
      <c r="C461" s="28" t="n">
        <f aca="false">D461/Overview!$B$10</f>
        <v>0.000148915892304027</v>
      </c>
      <c r="D461" s="29" t="n">
        <v>5</v>
      </c>
      <c r="E461" s="19" t="s">
        <v>10225</v>
      </c>
      <c r="F461" s="19" t="n">
        <v>1987</v>
      </c>
      <c r="G461" s="19" t="n">
        <v>2013</v>
      </c>
      <c r="H461" s="19" t="str">
        <f aca="false">IF(COUNTIF(Species!$B:$B,$A461)=0,"",IF(INDEX(Species!$A:$A,MATCH($A461,Species!$B:$B,0))="","",INDEX(Species!$A:$A,MATCH($A461,Species!$B:$B,0))))</f>
        <v/>
      </c>
      <c r="I461" s="19" t="str">
        <f aca="false">IF(COUNTIF(Species!$B:$B,$A461)=0,"",INDEX(Species!$F:$F,MATCH($A461,Species!$B:$B,0)))</f>
        <v/>
      </c>
      <c r="J461" s="19" t="n">
        <f aca="false">COUNTIFS(Clips!$F:$F,$A461,Clips!$C:$C,"train")</f>
        <v>0</v>
      </c>
      <c r="K461" s="19" t="n">
        <f aca="false">COUNTIF(Clips!$F:$F,$A461)</f>
        <v>0</v>
      </c>
      <c r="L461" s="19" t="str">
        <f aca="false">IF(J461&gt;0,"in train",IF(K461&gt;0,"audio, none in train",IF(C461&gt;=Overview!$B$9,"priority gap","no audio")))</f>
        <v>no audio</v>
      </c>
    </row>
    <row r="462" customFormat="false" ht="15" hidden="false" customHeight="false" outlineLevel="0" collapsed="false">
      <c r="A462" s="19" t="s">
        <v>10226</v>
      </c>
      <c r="B462" s="19" t="s">
        <v>10227</v>
      </c>
      <c r="C462" s="28" t="n">
        <f aca="false">D462/Overview!$B$10</f>
        <v>0.000148915892304027</v>
      </c>
      <c r="D462" s="29" t="n">
        <v>5</v>
      </c>
      <c r="E462" s="19" t="s">
        <v>10228</v>
      </c>
      <c r="F462" s="19" t="n">
        <v>2001</v>
      </c>
      <c r="G462" s="19" t="n">
        <v>2026</v>
      </c>
      <c r="H462" s="19" t="str">
        <f aca="false">IF(COUNTIF(Species!$B:$B,$A462)=0,"",IF(INDEX(Species!$A:$A,MATCH($A462,Species!$B:$B,0))="","",INDEX(Species!$A:$A,MATCH($A462,Species!$B:$B,0))))</f>
        <v/>
      </c>
      <c r="I462" s="19" t="str">
        <f aca="false">IF(COUNTIF(Species!$B:$B,$A462)=0,"",INDEX(Species!$F:$F,MATCH($A462,Species!$B:$B,0)))</f>
        <v/>
      </c>
      <c r="J462" s="19" t="n">
        <f aca="false">COUNTIFS(Clips!$F:$F,$A462,Clips!$C:$C,"train")</f>
        <v>0</v>
      </c>
      <c r="K462" s="19" t="n">
        <f aca="false">COUNTIF(Clips!$F:$F,$A462)</f>
        <v>0</v>
      </c>
      <c r="L462" s="19" t="str">
        <f aca="false">IF(J462&gt;0,"in train",IF(K462&gt;0,"audio, none in train",IF(C462&gt;=Overview!$B$9,"priority gap","no audio")))</f>
        <v>no audio</v>
      </c>
    </row>
    <row r="463" customFormat="false" ht="15" hidden="false" customHeight="false" outlineLevel="0" collapsed="false">
      <c r="A463" s="19" t="s">
        <v>861</v>
      </c>
      <c r="B463" s="19" t="s">
        <v>862</v>
      </c>
      <c r="C463" s="28" t="n">
        <f aca="false">D463/Overview!$B$10</f>
        <v>0.000148915892304027</v>
      </c>
      <c r="D463" s="29" t="n">
        <v>5</v>
      </c>
      <c r="E463" s="19" t="s">
        <v>10229</v>
      </c>
      <c r="F463" s="19" t="n">
        <v>1998</v>
      </c>
      <c r="G463" s="19" t="n">
        <v>2013</v>
      </c>
      <c r="H463" s="19" t="n">
        <f aca="false">IF(COUNTIF(Species!$B:$B,$A463)=0,"",IF(INDEX(Species!$A:$A,MATCH($A463,Species!$B:$B,0))="","",INDEX(Species!$A:$A,MATCH($A463,Species!$B:$B,0))))</f>
        <v>193</v>
      </c>
      <c r="I463" s="19" t="str">
        <f aca="false">IF(COUNTIF(Species!$B:$B,$A463)=0,"",INDEX(Species!$F:$F,MATCH($A463,Species!$B:$B,0)))</f>
        <v>singleton</v>
      </c>
      <c r="J463" s="19" t="n">
        <f aca="false">COUNTIFS(Clips!$F:$F,$A463,Clips!$C:$C,"train")</f>
        <v>0</v>
      </c>
      <c r="K463" s="19" t="n">
        <f aca="false">COUNTIF(Clips!$F:$F,$A463)</f>
        <v>1</v>
      </c>
      <c r="L463" s="19" t="str">
        <f aca="false">IF(J463&gt;0,"in train",IF(K463&gt;0,"audio, none in train",IF(C463&gt;=Overview!$B$9,"priority gap","no audio")))</f>
        <v>audio, none in train</v>
      </c>
    </row>
    <row r="464" customFormat="false" ht="15" hidden="false" customHeight="false" outlineLevel="0" collapsed="false">
      <c r="A464" s="19" t="s">
        <v>10230</v>
      </c>
      <c r="B464" s="19" t="s">
        <v>10231</v>
      </c>
      <c r="C464" s="28" t="n">
        <f aca="false">D464/Overview!$B$10</f>
        <v>0.000148915892304027</v>
      </c>
      <c r="D464" s="29" t="n">
        <v>5</v>
      </c>
      <c r="E464" s="19" t="s">
        <v>10232</v>
      </c>
      <c r="F464" s="19" t="n">
        <v>2015</v>
      </c>
      <c r="G464" s="19" t="n">
        <v>2024</v>
      </c>
      <c r="H464" s="19" t="str">
        <f aca="false">IF(COUNTIF(Species!$B:$B,$A464)=0,"",IF(INDEX(Species!$A:$A,MATCH($A464,Species!$B:$B,0))="","",INDEX(Species!$A:$A,MATCH($A464,Species!$B:$B,0))))</f>
        <v/>
      </c>
      <c r="I464" s="19" t="str">
        <f aca="false">IF(COUNTIF(Species!$B:$B,$A464)=0,"",INDEX(Species!$F:$F,MATCH($A464,Species!$B:$B,0)))</f>
        <v/>
      </c>
      <c r="J464" s="19" t="n">
        <f aca="false">COUNTIFS(Clips!$F:$F,$A464,Clips!$C:$C,"train")</f>
        <v>0</v>
      </c>
      <c r="K464" s="19" t="n">
        <f aca="false">COUNTIF(Clips!$F:$F,$A464)</f>
        <v>0</v>
      </c>
      <c r="L464" s="19" t="str">
        <f aca="false">IF(J464&gt;0,"in train",IF(K464&gt;0,"audio, none in train",IF(C464&gt;=Overview!$B$9,"priority gap","no audio")))</f>
        <v>no audio</v>
      </c>
    </row>
    <row r="465" customFormat="false" ht="15" hidden="false" customHeight="false" outlineLevel="0" collapsed="false">
      <c r="A465" s="19" t="s">
        <v>10233</v>
      </c>
      <c r="B465" s="19" t="s">
        <v>10234</v>
      </c>
      <c r="C465" s="28" t="n">
        <f aca="false">D465/Overview!$B$10</f>
        <v>0.000119132713843221</v>
      </c>
      <c r="D465" s="29" t="n">
        <v>4</v>
      </c>
      <c r="E465" s="19" t="s">
        <v>10235</v>
      </c>
      <c r="F465" s="19" t="n">
        <v>2017</v>
      </c>
      <c r="G465" s="19" t="n">
        <v>2024</v>
      </c>
      <c r="H465" s="19" t="str">
        <f aca="false">IF(COUNTIF(Species!$B:$B,$A465)=0,"",IF(INDEX(Species!$A:$A,MATCH($A465,Species!$B:$B,0))="","",INDEX(Species!$A:$A,MATCH($A465,Species!$B:$B,0))))</f>
        <v/>
      </c>
      <c r="I465" s="19" t="str">
        <f aca="false">IF(COUNTIF(Species!$B:$B,$A465)=0,"",INDEX(Species!$F:$F,MATCH($A465,Species!$B:$B,0)))</f>
        <v/>
      </c>
      <c r="J465" s="19" t="n">
        <f aca="false">COUNTIFS(Clips!$F:$F,$A465,Clips!$C:$C,"train")</f>
        <v>0</v>
      </c>
      <c r="K465" s="19" t="n">
        <f aca="false">COUNTIF(Clips!$F:$F,$A465)</f>
        <v>0</v>
      </c>
      <c r="L465" s="19" t="str">
        <f aca="false">IF(J465&gt;0,"in train",IF(K465&gt;0,"audio, none in train",IF(C465&gt;=Overview!$B$9,"priority gap","no audio")))</f>
        <v>no audio</v>
      </c>
    </row>
    <row r="466" customFormat="false" ht="15" hidden="false" customHeight="false" outlineLevel="0" collapsed="false">
      <c r="A466" s="19" t="s">
        <v>10236</v>
      </c>
      <c r="B466" s="19" t="s">
        <v>10237</v>
      </c>
      <c r="C466" s="28" t="n">
        <f aca="false">D466/Overview!$B$10</f>
        <v>0.000119132713843221</v>
      </c>
      <c r="D466" s="29" t="n">
        <v>4</v>
      </c>
      <c r="E466" s="19" t="s">
        <v>10238</v>
      </c>
      <c r="F466" s="19" t="n">
        <v>2014</v>
      </c>
      <c r="G466" s="19" t="n">
        <v>2016</v>
      </c>
      <c r="H466" s="19" t="str">
        <f aca="false">IF(COUNTIF(Species!$B:$B,$A466)=0,"",IF(INDEX(Species!$A:$A,MATCH($A466,Species!$B:$B,0))="","",INDEX(Species!$A:$A,MATCH($A466,Species!$B:$B,0))))</f>
        <v/>
      </c>
      <c r="I466" s="19" t="str">
        <f aca="false">IF(COUNTIF(Species!$B:$B,$A466)=0,"",INDEX(Species!$F:$F,MATCH($A466,Species!$B:$B,0)))</f>
        <v/>
      </c>
      <c r="J466" s="19" t="n">
        <f aca="false">COUNTIFS(Clips!$F:$F,$A466,Clips!$C:$C,"train")</f>
        <v>0</v>
      </c>
      <c r="K466" s="19" t="n">
        <f aca="false">COUNTIF(Clips!$F:$F,$A466)</f>
        <v>0</v>
      </c>
      <c r="L466" s="19" t="str">
        <f aca="false">IF(J466&gt;0,"in train",IF(K466&gt;0,"audio, none in train",IF(C466&gt;=Overview!$B$9,"priority gap","no audio")))</f>
        <v>no audio</v>
      </c>
    </row>
    <row r="467" customFormat="false" ht="15" hidden="false" customHeight="false" outlineLevel="0" collapsed="false">
      <c r="A467" s="19" t="s">
        <v>10239</v>
      </c>
      <c r="B467" s="19" t="s">
        <v>10240</v>
      </c>
      <c r="C467" s="28" t="n">
        <f aca="false">D467/Overview!$B$10</f>
        <v>0.000119132713843221</v>
      </c>
      <c r="D467" s="29" t="n">
        <v>4</v>
      </c>
      <c r="E467" s="19" t="s">
        <v>10241</v>
      </c>
      <c r="F467" s="19" t="n">
        <v>2000</v>
      </c>
      <c r="G467" s="19" t="n">
        <v>2022</v>
      </c>
      <c r="H467" s="19" t="str">
        <f aca="false">IF(COUNTIF(Species!$B:$B,$A467)=0,"",IF(INDEX(Species!$A:$A,MATCH($A467,Species!$B:$B,0))="","",INDEX(Species!$A:$A,MATCH($A467,Species!$B:$B,0))))</f>
        <v/>
      </c>
      <c r="I467" s="19" t="str">
        <f aca="false">IF(COUNTIF(Species!$B:$B,$A467)=0,"",INDEX(Species!$F:$F,MATCH($A467,Species!$B:$B,0)))</f>
        <v/>
      </c>
      <c r="J467" s="19" t="n">
        <f aca="false">COUNTIFS(Clips!$F:$F,$A467,Clips!$C:$C,"train")</f>
        <v>0</v>
      </c>
      <c r="K467" s="19" t="n">
        <f aca="false">COUNTIF(Clips!$F:$F,$A467)</f>
        <v>0</v>
      </c>
      <c r="L467" s="19" t="str">
        <f aca="false">IF(J467&gt;0,"in train",IF(K467&gt;0,"audio, none in train",IF(C467&gt;=Overview!$B$9,"priority gap","no audio")))</f>
        <v>no audio</v>
      </c>
    </row>
    <row r="468" customFormat="false" ht="15" hidden="false" customHeight="false" outlineLevel="0" collapsed="false">
      <c r="A468" s="19" t="s">
        <v>889</v>
      </c>
      <c r="B468" s="19" t="s">
        <v>890</v>
      </c>
      <c r="C468" s="28" t="n">
        <f aca="false">D468/Overview!$B$10</f>
        <v>0.000119132713843221</v>
      </c>
      <c r="D468" s="29" t="n">
        <v>4</v>
      </c>
      <c r="E468" s="19" t="s">
        <v>10242</v>
      </c>
      <c r="F468" s="19" t="n">
        <v>2016</v>
      </c>
      <c r="G468" s="19" t="n">
        <v>2019</v>
      </c>
      <c r="H468" s="19" t="n">
        <f aca="false">IF(COUNTIF(Species!$B:$B,$A468)=0,"",IF(INDEX(Species!$A:$A,MATCH($A468,Species!$B:$B,0))="","",INDEX(Species!$A:$A,MATCH($A468,Species!$B:$B,0))))</f>
        <v>230</v>
      </c>
      <c r="I468" s="19" t="str">
        <f aca="false">IF(COUNTIF(Species!$B:$B,$A468)=0,"",INDEX(Species!$F:$F,MATCH($A468,Species!$B:$B,0)))</f>
        <v>offsite</v>
      </c>
      <c r="J468" s="19" t="n">
        <f aca="false">COUNTIFS(Clips!$F:$F,$A468,Clips!$C:$C,"train")</f>
        <v>1</v>
      </c>
      <c r="K468" s="19" t="n">
        <f aca="false">COUNTIF(Clips!$F:$F,$A468)</f>
        <v>1</v>
      </c>
      <c r="L468" s="19" t="str">
        <f aca="false">IF(J468&gt;0,"in train",IF(K468&gt;0,"audio, none in train",IF(C468&gt;=Overview!$B$9,"priority gap","no audio")))</f>
        <v>in train</v>
      </c>
    </row>
    <row r="469" customFormat="false" ht="15" hidden="false" customHeight="false" outlineLevel="0" collapsed="false">
      <c r="A469" s="19" t="s">
        <v>847</v>
      </c>
      <c r="B469" s="19" t="s">
        <v>848</v>
      </c>
      <c r="C469" s="28" t="n">
        <f aca="false">D469/Overview!$B$10</f>
        <v>0.000119132713843221</v>
      </c>
      <c r="D469" s="29" t="n">
        <v>4</v>
      </c>
      <c r="E469" s="19" t="s">
        <v>10243</v>
      </c>
      <c r="F469" s="19" t="n">
        <v>1998</v>
      </c>
      <c r="G469" s="19" t="n">
        <v>2014</v>
      </c>
      <c r="H469" s="19" t="n">
        <f aca="false">IF(COUNTIF(Species!$B:$B,$A469)=0,"",IF(INDEX(Species!$A:$A,MATCH($A469,Species!$B:$B,0))="","",INDEX(Species!$A:$A,MATCH($A469,Species!$B:$B,0))))</f>
        <v>161</v>
      </c>
      <c r="I469" s="19" t="str">
        <f aca="false">IF(COUNTIF(Species!$B:$B,$A469)=0,"",INDEX(Species!$F:$F,MATCH($A469,Species!$B:$B,0)))</f>
        <v>singleton</v>
      </c>
      <c r="J469" s="19" t="n">
        <f aca="false">COUNTIFS(Clips!$F:$F,$A469,Clips!$C:$C,"train")</f>
        <v>0</v>
      </c>
      <c r="K469" s="19" t="n">
        <f aca="false">COUNTIF(Clips!$F:$F,$A469)</f>
        <v>1</v>
      </c>
      <c r="L469" s="19" t="str">
        <f aca="false">IF(J469&gt;0,"in train",IF(K469&gt;0,"audio, none in train",IF(C469&gt;=Overview!$B$9,"priority gap","no audio")))</f>
        <v>audio, none in train</v>
      </c>
    </row>
    <row r="470" customFormat="false" ht="15" hidden="false" customHeight="false" outlineLevel="0" collapsed="false">
      <c r="A470" s="19" t="s">
        <v>10244</v>
      </c>
      <c r="B470" s="19" t="s">
        <v>10245</v>
      </c>
      <c r="C470" s="28" t="n">
        <f aca="false">D470/Overview!$B$10</f>
        <v>0.000119132713843221</v>
      </c>
      <c r="D470" s="29" t="n">
        <v>4</v>
      </c>
      <c r="E470" s="19" t="s">
        <v>10246</v>
      </c>
      <c r="F470" s="19" t="n">
        <v>2022</v>
      </c>
      <c r="G470" s="19" t="n">
        <v>2025</v>
      </c>
      <c r="H470" s="19" t="str">
        <f aca="false">IF(COUNTIF(Species!$B:$B,$A470)=0,"",IF(INDEX(Species!$A:$A,MATCH($A470,Species!$B:$B,0))="","",INDEX(Species!$A:$A,MATCH($A470,Species!$B:$B,0))))</f>
        <v/>
      </c>
      <c r="I470" s="19" t="str">
        <f aca="false">IF(COUNTIF(Species!$B:$B,$A470)=0,"",INDEX(Species!$F:$F,MATCH($A470,Species!$B:$B,0)))</f>
        <v/>
      </c>
      <c r="J470" s="19" t="n">
        <f aca="false">COUNTIFS(Clips!$F:$F,$A470,Clips!$C:$C,"train")</f>
        <v>0</v>
      </c>
      <c r="K470" s="19" t="n">
        <f aca="false">COUNTIF(Clips!$F:$F,$A470)</f>
        <v>0</v>
      </c>
      <c r="L470" s="19" t="str">
        <f aca="false">IF(J470&gt;0,"in train",IF(K470&gt;0,"audio, none in train",IF(C470&gt;=Overview!$B$9,"priority gap","no audio")))</f>
        <v>no audio</v>
      </c>
    </row>
    <row r="471" customFormat="false" ht="15" hidden="false" customHeight="false" outlineLevel="0" collapsed="false">
      <c r="A471" s="19" t="s">
        <v>10247</v>
      </c>
      <c r="B471" s="19" t="s">
        <v>10248</v>
      </c>
      <c r="C471" s="28" t="n">
        <f aca="false">D471/Overview!$B$10</f>
        <v>0.000119132713843221</v>
      </c>
      <c r="D471" s="29" t="n">
        <v>4</v>
      </c>
      <c r="E471" s="19" t="s">
        <v>10249</v>
      </c>
      <c r="F471" s="19" t="n">
        <v>2015</v>
      </c>
      <c r="G471" s="19" t="n">
        <v>2016</v>
      </c>
      <c r="H471" s="19" t="str">
        <f aca="false">IF(COUNTIF(Species!$B:$B,$A471)=0,"",IF(INDEX(Species!$A:$A,MATCH($A471,Species!$B:$B,0))="","",INDEX(Species!$A:$A,MATCH($A471,Species!$B:$B,0))))</f>
        <v/>
      </c>
      <c r="I471" s="19" t="str">
        <f aca="false">IF(COUNTIF(Species!$B:$B,$A471)=0,"",INDEX(Species!$F:$F,MATCH($A471,Species!$B:$B,0)))</f>
        <v/>
      </c>
      <c r="J471" s="19" t="n">
        <f aca="false">COUNTIFS(Clips!$F:$F,$A471,Clips!$C:$C,"train")</f>
        <v>0</v>
      </c>
      <c r="K471" s="19" t="n">
        <f aca="false">COUNTIF(Clips!$F:$F,$A471)</f>
        <v>0</v>
      </c>
      <c r="L471" s="19" t="str">
        <f aca="false">IF(J471&gt;0,"in train",IF(K471&gt;0,"audio, none in train",IF(C471&gt;=Overview!$B$9,"priority gap","no audio")))</f>
        <v>no audio</v>
      </c>
    </row>
    <row r="472" customFormat="false" ht="15" hidden="false" customHeight="false" outlineLevel="0" collapsed="false">
      <c r="A472" s="19" t="s">
        <v>10250</v>
      </c>
      <c r="B472" s="19" t="s">
        <v>10251</v>
      </c>
      <c r="C472" s="28" t="n">
        <f aca="false">D472/Overview!$B$10</f>
        <v>8.9349535382416E-005</v>
      </c>
      <c r="D472" s="29" t="n">
        <v>3</v>
      </c>
      <c r="E472" s="19" t="s">
        <v>10252</v>
      </c>
      <c r="F472" s="19" t="n">
        <v>2001</v>
      </c>
      <c r="G472" s="19" t="n">
        <v>2024</v>
      </c>
      <c r="H472" s="19" t="str">
        <f aca="false">IF(COUNTIF(Species!$B:$B,$A472)=0,"",IF(INDEX(Species!$A:$A,MATCH($A472,Species!$B:$B,0))="","",INDEX(Species!$A:$A,MATCH($A472,Species!$B:$B,0))))</f>
        <v/>
      </c>
      <c r="I472" s="19" t="str">
        <f aca="false">IF(COUNTIF(Species!$B:$B,$A472)=0,"",INDEX(Species!$F:$F,MATCH($A472,Species!$B:$B,0)))</f>
        <v/>
      </c>
      <c r="J472" s="19" t="n">
        <f aca="false">COUNTIFS(Clips!$F:$F,$A472,Clips!$C:$C,"train")</f>
        <v>0</v>
      </c>
      <c r="K472" s="19" t="n">
        <f aca="false">COUNTIF(Clips!$F:$F,$A472)</f>
        <v>0</v>
      </c>
      <c r="L472" s="19" t="str">
        <f aca="false">IF(J472&gt;0,"in train",IF(K472&gt;0,"audio, none in train",IF(C472&gt;=Overview!$B$9,"priority gap","no audio")))</f>
        <v>no audio</v>
      </c>
    </row>
    <row r="473" customFormat="false" ht="15" hidden="false" customHeight="false" outlineLevel="0" collapsed="false">
      <c r="A473" s="19" t="s">
        <v>10253</v>
      </c>
      <c r="B473" s="19" t="s">
        <v>10254</v>
      </c>
      <c r="C473" s="28" t="n">
        <f aca="false">D473/Overview!$B$10</f>
        <v>8.9349535382416E-005</v>
      </c>
      <c r="D473" s="29" t="n">
        <v>3</v>
      </c>
      <c r="E473" s="19" t="s">
        <v>10255</v>
      </c>
      <c r="F473" s="19" t="n">
        <v>2004</v>
      </c>
      <c r="G473" s="19" t="n">
        <v>2005</v>
      </c>
      <c r="H473" s="19" t="str">
        <f aca="false">IF(COUNTIF(Species!$B:$B,$A473)=0,"",IF(INDEX(Species!$A:$A,MATCH($A473,Species!$B:$B,0))="","",INDEX(Species!$A:$A,MATCH($A473,Species!$B:$B,0))))</f>
        <v/>
      </c>
      <c r="I473" s="19" t="str">
        <f aca="false">IF(COUNTIF(Species!$B:$B,$A473)=0,"",INDEX(Species!$F:$F,MATCH($A473,Species!$B:$B,0)))</f>
        <v/>
      </c>
      <c r="J473" s="19" t="n">
        <f aca="false">COUNTIFS(Clips!$F:$F,$A473,Clips!$C:$C,"train")</f>
        <v>0</v>
      </c>
      <c r="K473" s="19" t="n">
        <f aca="false">COUNTIF(Clips!$F:$F,$A473)</f>
        <v>0</v>
      </c>
      <c r="L473" s="19" t="str">
        <f aca="false">IF(J473&gt;0,"in train",IF(K473&gt;0,"audio, none in train",IF(C473&gt;=Overview!$B$9,"priority gap","no audio")))</f>
        <v>no audio</v>
      </c>
    </row>
    <row r="474" customFormat="false" ht="15" hidden="false" customHeight="false" outlineLevel="0" collapsed="false">
      <c r="A474" s="19" t="s">
        <v>10256</v>
      </c>
      <c r="B474" s="19" t="s">
        <v>10257</v>
      </c>
      <c r="C474" s="28" t="n">
        <f aca="false">D474/Overview!$B$10</f>
        <v>8.9349535382416E-005</v>
      </c>
      <c r="D474" s="29" t="n">
        <v>3</v>
      </c>
      <c r="E474" s="19" t="s">
        <v>10258</v>
      </c>
      <c r="F474" s="19" t="n">
        <v>2002</v>
      </c>
      <c r="G474" s="19" t="n">
        <v>2018</v>
      </c>
      <c r="H474" s="19" t="str">
        <f aca="false">IF(COUNTIF(Species!$B:$B,$A474)=0,"",IF(INDEX(Species!$A:$A,MATCH($A474,Species!$B:$B,0))="","",INDEX(Species!$A:$A,MATCH($A474,Species!$B:$B,0))))</f>
        <v/>
      </c>
      <c r="I474" s="19" t="str">
        <f aca="false">IF(COUNTIF(Species!$B:$B,$A474)=0,"",INDEX(Species!$F:$F,MATCH($A474,Species!$B:$B,0)))</f>
        <v/>
      </c>
      <c r="J474" s="19" t="n">
        <f aca="false">COUNTIFS(Clips!$F:$F,$A474,Clips!$C:$C,"train")</f>
        <v>0</v>
      </c>
      <c r="K474" s="19" t="n">
        <f aca="false">COUNTIF(Clips!$F:$F,$A474)</f>
        <v>0</v>
      </c>
      <c r="L474" s="19" t="str">
        <f aca="false">IF(J474&gt;0,"in train",IF(K474&gt;0,"audio, none in train",IF(C474&gt;=Overview!$B$9,"priority gap","no audio")))</f>
        <v>no audio</v>
      </c>
    </row>
    <row r="475" customFormat="false" ht="15" hidden="false" customHeight="false" outlineLevel="0" collapsed="false">
      <c r="A475" s="19" t="s">
        <v>10259</v>
      </c>
      <c r="B475" s="19" t="s">
        <v>10260</v>
      </c>
      <c r="C475" s="28" t="n">
        <f aca="false">D475/Overview!$B$10</f>
        <v>8.9349535382416E-005</v>
      </c>
      <c r="D475" s="29" t="n">
        <v>3</v>
      </c>
      <c r="E475" s="19" t="s">
        <v>10261</v>
      </c>
      <c r="F475" s="19" t="n">
        <v>2012</v>
      </c>
      <c r="G475" s="19" t="n">
        <v>2019</v>
      </c>
      <c r="H475" s="19" t="str">
        <f aca="false">IF(COUNTIF(Species!$B:$B,$A475)=0,"",IF(INDEX(Species!$A:$A,MATCH($A475,Species!$B:$B,0))="","",INDEX(Species!$A:$A,MATCH($A475,Species!$B:$B,0))))</f>
        <v/>
      </c>
      <c r="I475" s="19" t="str">
        <f aca="false">IF(COUNTIF(Species!$B:$B,$A475)=0,"",INDEX(Species!$F:$F,MATCH($A475,Species!$B:$B,0)))</f>
        <v/>
      </c>
      <c r="J475" s="19" t="n">
        <f aca="false">COUNTIFS(Clips!$F:$F,$A475,Clips!$C:$C,"train")</f>
        <v>0</v>
      </c>
      <c r="K475" s="19" t="n">
        <f aca="false">COUNTIF(Clips!$F:$F,$A475)</f>
        <v>0</v>
      </c>
      <c r="L475" s="19" t="str">
        <f aca="false">IF(J475&gt;0,"in train",IF(K475&gt;0,"audio, none in train",IF(C475&gt;=Overview!$B$9,"priority gap","no audio")))</f>
        <v>no audio</v>
      </c>
    </row>
    <row r="476" customFormat="false" ht="15" hidden="false" customHeight="false" outlineLevel="0" collapsed="false">
      <c r="A476" s="19" t="s">
        <v>10262</v>
      </c>
      <c r="B476" s="19" t="s">
        <v>10263</v>
      </c>
      <c r="C476" s="28" t="n">
        <f aca="false">D476/Overview!$B$10</f>
        <v>8.9349535382416E-005</v>
      </c>
      <c r="D476" s="29" t="n">
        <v>3</v>
      </c>
      <c r="E476" s="19" t="s">
        <v>10076</v>
      </c>
      <c r="F476" s="19" t="n">
        <v>2003</v>
      </c>
      <c r="G476" s="19" t="n">
        <v>2023</v>
      </c>
      <c r="H476" s="19" t="str">
        <f aca="false">IF(COUNTIF(Species!$B:$B,$A476)=0,"",IF(INDEX(Species!$A:$A,MATCH($A476,Species!$B:$B,0))="","",INDEX(Species!$A:$A,MATCH($A476,Species!$B:$B,0))))</f>
        <v/>
      </c>
      <c r="I476" s="19" t="str">
        <f aca="false">IF(COUNTIF(Species!$B:$B,$A476)=0,"",INDEX(Species!$F:$F,MATCH($A476,Species!$B:$B,0)))</f>
        <v/>
      </c>
      <c r="J476" s="19" t="n">
        <f aca="false">COUNTIFS(Clips!$F:$F,$A476,Clips!$C:$C,"train")</f>
        <v>0</v>
      </c>
      <c r="K476" s="19" t="n">
        <f aca="false">COUNTIF(Clips!$F:$F,$A476)</f>
        <v>0</v>
      </c>
      <c r="L476" s="19" t="str">
        <f aca="false">IF(J476&gt;0,"in train",IF(K476&gt;0,"audio, none in train",IF(C476&gt;=Overview!$B$9,"priority gap","no audio")))</f>
        <v>no audio</v>
      </c>
    </row>
    <row r="477" customFormat="false" ht="15" hidden="false" customHeight="false" outlineLevel="0" collapsed="false">
      <c r="A477" s="19" t="s">
        <v>10264</v>
      </c>
      <c r="B477" s="19" t="s">
        <v>10265</v>
      </c>
      <c r="C477" s="28" t="n">
        <f aca="false">D477/Overview!$B$10</f>
        <v>8.9349535382416E-005</v>
      </c>
      <c r="D477" s="29" t="n">
        <v>3</v>
      </c>
      <c r="E477" s="19" t="s">
        <v>10193</v>
      </c>
      <c r="F477" s="19" t="n">
        <v>2018</v>
      </c>
      <c r="G477" s="19" t="n">
        <v>2018</v>
      </c>
      <c r="H477" s="19" t="str">
        <f aca="false">IF(COUNTIF(Species!$B:$B,$A477)=0,"",IF(INDEX(Species!$A:$A,MATCH($A477,Species!$B:$B,0))="","",INDEX(Species!$A:$A,MATCH($A477,Species!$B:$B,0))))</f>
        <v/>
      </c>
      <c r="I477" s="19" t="str">
        <f aca="false">IF(COUNTIF(Species!$B:$B,$A477)=0,"",INDEX(Species!$F:$F,MATCH($A477,Species!$B:$B,0)))</f>
        <v/>
      </c>
      <c r="J477" s="19" t="n">
        <f aca="false">COUNTIFS(Clips!$F:$F,$A477,Clips!$C:$C,"train")</f>
        <v>0</v>
      </c>
      <c r="K477" s="19" t="n">
        <f aca="false">COUNTIF(Clips!$F:$F,$A477)</f>
        <v>0</v>
      </c>
      <c r="L477" s="19" t="str">
        <f aca="false">IF(J477&gt;0,"in train",IF(K477&gt;0,"audio, none in train",IF(C477&gt;=Overview!$B$9,"priority gap","no audio")))</f>
        <v>no audio</v>
      </c>
    </row>
    <row r="478" customFormat="false" ht="15" hidden="false" customHeight="false" outlineLevel="0" collapsed="false">
      <c r="A478" s="19" t="s">
        <v>10266</v>
      </c>
      <c r="B478" s="19" t="s">
        <v>10267</v>
      </c>
      <c r="C478" s="28" t="n">
        <f aca="false">D478/Overview!$B$10</f>
        <v>8.9349535382416E-005</v>
      </c>
      <c r="D478" s="29" t="n">
        <v>3</v>
      </c>
      <c r="E478" s="19" t="s">
        <v>10268</v>
      </c>
      <c r="F478" s="19" t="n">
        <v>2020</v>
      </c>
      <c r="G478" s="19" t="n">
        <v>2022</v>
      </c>
      <c r="H478" s="19" t="str">
        <f aca="false">IF(COUNTIF(Species!$B:$B,$A478)=0,"",IF(INDEX(Species!$A:$A,MATCH($A478,Species!$B:$B,0))="","",INDEX(Species!$A:$A,MATCH($A478,Species!$B:$B,0))))</f>
        <v/>
      </c>
      <c r="I478" s="19" t="str">
        <f aca="false">IF(COUNTIF(Species!$B:$B,$A478)=0,"",INDEX(Species!$F:$F,MATCH($A478,Species!$B:$B,0)))</f>
        <v/>
      </c>
      <c r="J478" s="19" t="n">
        <f aca="false">COUNTIFS(Clips!$F:$F,$A478,Clips!$C:$C,"train")</f>
        <v>0</v>
      </c>
      <c r="K478" s="19" t="n">
        <f aca="false">COUNTIF(Clips!$F:$F,$A478)</f>
        <v>0</v>
      </c>
      <c r="L478" s="19" t="str">
        <f aca="false">IF(J478&gt;0,"in train",IF(K478&gt;0,"audio, none in train",IF(C478&gt;=Overview!$B$9,"priority gap","no audio")))</f>
        <v>no audio</v>
      </c>
    </row>
    <row r="479" customFormat="false" ht="15" hidden="false" customHeight="false" outlineLevel="0" collapsed="false">
      <c r="A479" s="19" t="s">
        <v>10269</v>
      </c>
      <c r="B479" s="19" t="s">
        <v>10270</v>
      </c>
      <c r="C479" s="28" t="n">
        <f aca="false">D479/Overview!$B$10</f>
        <v>8.9349535382416E-005</v>
      </c>
      <c r="D479" s="29" t="n">
        <v>3</v>
      </c>
      <c r="E479" s="19" t="s">
        <v>10271</v>
      </c>
      <c r="F479" s="19" t="n">
        <v>1985</v>
      </c>
      <c r="G479" s="19" t="n">
        <v>1993</v>
      </c>
      <c r="H479" s="19" t="str">
        <f aca="false">IF(COUNTIF(Species!$B:$B,$A479)=0,"",IF(INDEX(Species!$A:$A,MATCH($A479,Species!$B:$B,0))="","",INDEX(Species!$A:$A,MATCH($A479,Species!$B:$B,0))))</f>
        <v/>
      </c>
      <c r="I479" s="19" t="str">
        <f aca="false">IF(COUNTIF(Species!$B:$B,$A479)=0,"",INDEX(Species!$F:$F,MATCH($A479,Species!$B:$B,0)))</f>
        <v/>
      </c>
      <c r="J479" s="19" t="n">
        <f aca="false">COUNTIFS(Clips!$F:$F,$A479,Clips!$C:$C,"train")</f>
        <v>0</v>
      </c>
      <c r="K479" s="19" t="n">
        <f aca="false">COUNTIF(Clips!$F:$F,$A479)</f>
        <v>0</v>
      </c>
      <c r="L479" s="19" t="str">
        <f aca="false">IF(J479&gt;0,"in train",IF(K479&gt;0,"audio, none in train",IF(C479&gt;=Overview!$B$9,"priority gap","no audio")))</f>
        <v>no audio</v>
      </c>
    </row>
    <row r="480" customFormat="false" ht="15" hidden="false" customHeight="false" outlineLevel="0" collapsed="false">
      <c r="A480" s="19" t="s">
        <v>817</v>
      </c>
      <c r="B480" s="19" t="s">
        <v>818</v>
      </c>
      <c r="C480" s="28" t="n">
        <f aca="false">D480/Overview!$B$10</f>
        <v>8.9349535382416E-005</v>
      </c>
      <c r="D480" s="29" t="n">
        <v>3</v>
      </c>
      <c r="E480" s="19" t="s">
        <v>10272</v>
      </c>
      <c r="F480" s="19" t="n">
        <v>1980</v>
      </c>
      <c r="G480" s="19" t="n">
        <v>1996</v>
      </c>
      <c r="H480" s="19" t="n">
        <f aca="false">IF(COUNTIF(Species!$B:$B,$A480)=0,"",IF(INDEX(Species!$A:$A,MATCH($A480,Species!$B:$B,0))="","",INDEX(Species!$A:$A,MATCH($A480,Species!$B:$B,0))))</f>
        <v>101</v>
      </c>
      <c r="I480" s="19" t="str">
        <f aca="false">IF(COUNTIF(Species!$B:$B,$A480)=0,"",INDEX(Species!$F:$F,MATCH($A480,Species!$B:$B,0)))</f>
        <v>singleton</v>
      </c>
      <c r="J480" s="19" t="n">
        <f aca="false">COUNTIFS(Clips!$F:$F,$A480,Clips!$C:$C,"train")</f>
        <v>0</v>
      </c>
      <c r="K480" s="19" t="n">
        <f aca="false">COUNTIF(Clips!$F:$F,$A480)</f>
        <v>1</v>
      </c>
      <c r="L480" s="19" t="str">
        <f aca="false">IF(J480&gt;0,"in train",IF(K480&gt;0,"audio, none in train",IF(C480&gt;=Overview!$B$9,"priority gap","no audio")))</f>
        <v>audio, none in train</v>
      </c>
    </row>
    <row r="481" customFormat="false" ht="15" hidden="false" customHeight="false" outlineLevel="0" collapsed="false">
      <c r="A481" s="19" t="s">
        <v>10273</v>
      </c>
      <c r="B481" s="19" t="s">
        <v>10274</v>
      </c>
      <c r="C481" s="28" t="n">
        <f aca="false">D481/Overview!$B$10</f>
        <v>8.9349535382416E-005</v>
      </c>
      <c r="D481" s="29" t="n">
        <v>3</v>
      </c>
      <c r="E481" s="19" t="s">
        <v>10243</v>
      </c>
      <c r="F481" s="19" t="n">
        <v>2016</v>
      </c>
      <c r="G481" s="19" t="n">
        <v>2020</v>
      </c>
      <c r="H481" s="19" t="str">
        <f aca="false">IF(COUNTIF(Species!$B:$B,$A481)=0,"",IF(INDEX(Species!$A:$A,MATCH($A481,Species!$B:$B,0))="","",INDEX(Species!$A:$A,MATCH($A481,Species!$B:$B,0))))</f>
        <v/>
      </c>
      <c r="I481" s="19" t="str">
        <f aca="false">IF(COUNTIF(Species!$B:$B,$A481)=0,"",INDEX(Species!$F:$F,MATCH($A481,Species!$B:$B,0)))</f>
        <v/>
      </c>
      <c r="J481" s="19" t="n">
        <f aca="false">COUNTIFS(Clips!$F:$F,$A481,Clips!$C:$C,"train")</f>
        <v>0</v>
      </c>
      <c r="K481" s="19" t="n">
        <f aca="false">COUNTIF(Clips!$F:$F,$A481)</f>
        <v>0</v>
      </c>
      <c r="L481" s="19" t="str">
        <f aca="false">IF(J481&gt;0,"in train",IF(K481&gt;0,"audio, none in train",IF(C481&gt;=Overview!$B$9,"priority gap","no audio")))</f>
        <v>no audio</v>
      </c>
    </row>
    <row r="482" customFormat="false" ht="15" hidden="false" customHeight="false" outlineLevel="0" collapsed="false">
      <c r="A482" s="19" t="s">
        <v>10275</v>
      </c>
      <c r="B482" s="19" t="s">
        <v>10276</v>
      </c>
      <c r="C482" s="28" t="n">
        <f aca="false">D482/Overview!$B$10</f>
        <v>8.9349535382416E-005</v>
      </c>
      <c r="D482" s="29" t="n">
        <v>3</v>
      </c>
      <c r="E482" s="19" t="s">
        <v>10277</v>
      </c>
      <c r="F482" s="19" t="n">
        <v>2002</v>
      </c>
      <c r="G482" s="19" t="n">
        <v>2012</v>
      </c>
      <c r="H482" s="19" t="str">
        <f aca="false">IF(COUNTIF(Species!$B:$B,$A482)=0,"",IF(INDEX(Species!$A:$A,MATCH($A482,Species!$B:$B,0))="","",INDEX(Species!$A:$A,MATCH($A482,Species!$B:$B,0))))</f>
        <v/>
      </c>
      <c r="I482" s="19" t="str">
        <f aca="false">IF(COUNTIF(Species!$B:$B,$A482)=0,"",INDEX(Species!$F:$F,MATCH($A482,Species!$B:$B,0)))</f>
        <v/>
      </c>
      <c r="J482" s="19" t="n">
        <f aca="false">COUNTIFS(Clips!$F:$F,$A482,Clips!$C:$C,"train")</f>
        <v>0</v>
      </c>
      <c r="K482" s="19" t="n">
        <f aca="false">COUNTIF(Clips!$F:$F,$A482)</f>
        <v>0</v>
      </c>
      <c r="L482" s="19" t="str">
        <f aca="false">IF(J482&gt;0,"in train",IF(K482&gt;0,"audio, none in train",IF(C482&gt;=Overview!$B$9,"priority gap","no audio")))</f>
        <v>no audio</v>
      </c>
    </row>
    <row r="483" customFormat="false" ht="15" hidden="false" customHeight="false" outlineLevel="0" collapsed="false">
      <c r="A483" s="19" t="s">
        <v>10278</v>
      </c>
      <c r="B483" s="19" t="s">
        <v>10279</v>
      </c>
      <c r="C483" s="28" t="n">
        <f aca="false">D483/Overview!$B$10</f>
        <v>8.9349535382416E-005</v>
      </c>
      <c r="D483" s="29" t="n">
        <v>3</v>
      </c>
      <c r="E483" s="19" t="s">
        <v>10280</v>
      </c>
      <c r="F483" s="19" t="n">
        <v>2000</v>
      </c>
      <c r="G483" s="19" t="n">
        <v>2020</v>
      </c>
      <c r="H483" s="19" t="str">
        <f aca="false">IF(COUNTIF(Species!$B:$B,$A483)=0,"",IF(INDEX(Species!$A:$A,MATCH($A483,Species!$B:$B,0))="","",INDEX(Species!$A:$A,MATCH($A483,Species!$B:$B,0))))</f>
        <v/>
      </c>
      <c r="I483" s="19" t="str">
        <f aca="false">IF(COUNTIF(Species!$B:$B,$A483)=0,"",INDEX(Species!$F:$F,MATCH($A483,Species!$B:$B,0)))</f>
        <v/>
      </c>
      <c r="J483" s="19" t="n">
        <f aca="false">COUNTIFS(Clips!$F:$F,$A483,Clips!$C:$C,"train")</f>
        <v>0</v>
      </c>
      <c r="K483" s="19" t="n">
        <f aca="false">COUNTIF(Clips!$F:$F,$A483)</f>
        <v>0</v>
      </c>
      <c r="L483" s="19" t="str">
        <f aca="false">IF(J483&gt;0,"in train",IF(K483&gt;0,"audio, none in train",IF(C483&gt;=Overview!$B$9,"priority gap","no audio")))</f>
        <v>no audio</v>
      </c>
    </row>
    <row r="484" customFormat="false" ht="15" hidden="false" customHeight="false" outlineLevel="0" collapsed="false">
      <c r="A484" s="19" t="s">
        <v>10281</v>
      </c>
      <c r="B484" s="19" t="s">
        <v>10282</v>
      </c>
      <c r="C484" s="28" t="n">
        <f aca="false">D484/Overview!$B$10</f>
        <v>5.95663569216107E-005</v>
      </c>
      <c r="D484" s="29" t="n">
        <v>2</v>
      </c>
      <c r="E484" s="19" t="s">
        <v>10255</v>
      </c>
      <c r="F484" s="19" t="n">
        <v>2015</v>
      </c>
      <c r="G484" s="19" t="n">
        <v>2015</v>
      </c>
      <c r="H484" s="19" t="str">
        <f aca="false">IF(COUNTIF(Species!$B:$B,$A484)=0,"",IF(INDEX(Species!$A:$A,MATCH($A484,Species!$B:$B,0))="","",INDEX(Species!$A:$A,MATCH($A484,Species!$B:$B,0))))</f>
        <v/>
      </c>
      <c r="I484" s="19" t="str">
        <f aca="false">IF(COUNTIF(Species!$B:$B,$A484)=0,"",INDEX(Species!$F:$F,MATCH($A484,Species!$B:$B,0)))</f>
        <v/>
      </c>
      <c r="J484" s="19" t="n">
        <f aca="false">COUNTIFS(Clips!$F:$F,$A484,Clips!$C:$C,"train")</f>
        <v>0</v>
      </c>
      <c r="K484" s="19" t="n">
        <f aca="false">COUNTIF(Clips!$F:$F,$A484)</f>
        <v>0</v>
      </c>
      <c r="L484" s="19" t="str">
        <f aca="false">IF(J484&gt;0,"in train",IF(K484&gt;0,"audio, none in train",IF(C484&gt;=Overview!$B$9,"priority gap","no audio")))</f>
        <v>no audio</v>
      </c>
    </row>
    <row r="485" customFormat="false" ht="15" hidden="false" customHeight="false" outlineLevel="0" collapsed="false">
      <c r="A485" s="19" t="s">
        <v>10283</v>
      </c>
      <c r="B485" s="19" t="s">
        <v>10284</v>
      </c>
      <c r="C485" s="28" t="n">
        <f aca="false">D485/Overview!$B$10</f>
        <v>5.95663569216107E-005</v>
      </c>
      <c r="D485" s="29" t="n">
        <v>2</v>
      </c>
      <c r="E485" s="19" t="s">
        <v>10187</v>
      </c>
      <c r="F485" s="19" t="n">
        <v>2008</v>
      </c>
      <c r="G485" s="19" t="n">
        <v>2014</v>
      </c>
      <c r="H485" s="19" t="str">
        <f aca="false">IF(COUNTIF(Species!$B:$B,$A485)=0,"",IF(INDEX(Species!$A:$A,MATCH($A485,Species!$B:$B,0))="","",INDEX(Species!$A:$A,MATCH($A485,Species!$B:$B,0))))</f>
        <v/>
      </c>
      <c r="I485" s="19" t="str">
        <f aca="false">IF(COUNTIF(Species!$B:$B,$A485)=0,"",INDEX(Species!$F:$F,MATCH($A485,Species!$B:$B,0)))</f>
        <v/>
      </c>
      <c r="J485" s="19" t="n">
        <f aca="false">COUNTIFS(Clips!$F:$F,$A485,Clips!$C:$C,"train")</f>
        <v>0</v>
      </c>
      <c r="K485" s="19" t="n">
        <f aca="false">COUNTIF(Clips!$F:$F,$A485)</f>
        <v>0</v>
      </c>
      <c r="L485" s="19" t="str">
        <f aca="false">IF(J485&gt;0,"in train",IF(K485&gt;0,"audio, none in train",IF(C485&gt;=Overview!$B$9,"priority gap","no audio")))</f>
        <v>no audio</v>
      </c>
    </row>
    <row r="486" customFormat="false" ht="15" hidden="false" customHeight="false" outlineLevel="0" collapsed="false">
      <c r="A486" s="19" t="s">
        <v>10285</v>
      </c>
      <c r="B486" s="19" t="s">
        <v>10286</v>
      </c>
      <c r="C486" s="28" t="n">
        <f aca="false">D486/Overview!$B$10</f>
        <v>5.95663569216107E-005</v>
      </c>
      <c r="D486" s="29" t="n">
        <v>2</v>
      </c>
      <c r="E486" s="19" t="s">
        <v>10076</v>
      </c>
      <c r="F486" s="19" t="n">
        <v>1994</v>
      </c>
      <c r="G486" s="19" t="n">
        <v>1994</v>
      </c>
      <c r="H486" s="19" t="str">
        <f aca="false">IF(COUNTIF(Species!$B:$B,$A486)=0,"",IF(INDEX(Species!$A:$A,MATCH($A486,Species!$B:$B,0))="","",INDEX(Species!$A:$A,MATCH($A486,Species!$B:$B,0))))</f>
        <v/>
      </c>
      <c r="I486" s="19" t="str">
        <f aca="false">IF(COUNTIF(Species!$B:$B,$A486)=0,"",INDEX(Species!$F:$F,MATCH($A486,Species!$B:$B,0)))</f>
        <v/>
      </c>
      <c r="J486" s="19" t="n">
        <f aca="false">COUNTIFS(Clips!$F:$F,$A486,Clips!$C:$C,"train")</f>
        <v>0</v>
      </c>
      <c r="K486" s="19" t="n">
        <f aca="false">COUNTIF(Clips!$F:$F,$A486)</f>
        <v>0</v>
      </c>
      <c r="L486" s="19" t="str">
        <f aca="false">IF(J486&gt;0,"in train",IF(K486&gt;0,"audio, none in train",IF(C486&gt;=Overview!$B$9,"priority gap","no audio")))</f>
        <v>no audio</v>
      </c>
    </row>
    <row r="487" customFormat="false" ht="15" hidden="false" customHeight="false" outlineLevel="0" collapsed="false">
      <c r="A487" s="19" t="s">
        <v>10287</v>
      </c>
      <c r="B487" s="19" t="s">
        <v>10288</v>
      </c>
      <c r="C487" s="28" t="n">
        <f aca="false">D487/Overview!$B$10</f>
        <v>5.95663569216107E-005</v>
      </c>
      <c r="D487" s="29" t="n">
        <v>2</v>
      </c>
      <c r="E487" s="19" t="s">
        <v>10255</v>
      </c>
      <c r="F487" s="19" t="n">
        <v>2017</v>
      </c>
      <c r="G487" s="19" t="n">
        <v>2023</v>
      </c>
      <c r="H487" s="19" t="str">
        <f aca="false">IF(COUNTIF(Species!$B:$B,$A487)=0,"",IF(INDEX(Species!$A:$A,MATCH($A487,Species!$B:$B,0))="","",INDEX(Species!$A:$A,MATCH($A487,Species!$B:$B,0))))</f>
        <v/>
      </c>
      <c r="I487" s="19" t="str">
        <f aca="false">IF(COUNTIF(Species!$B:$B,$A487)=0,"",INDEX(Species!$F:$F,MATCH($A487,Species!$B:$B,0)))</f>
        <v/>
      </c>
      <c r="J487" s="19" t="n">
        <f aca="false">COUNTIFS(Clips!$F:$F,$A487,Clips!$C:$C,"train")</f>
        <v>0</v>
      </c>
      <c r="K487" s="19" t="n">
        <f aca="false">COUNTIF(Clips!$F:$F,$A487)</f>
        <v>0</v>
      </c>
      <c r="L487" s="19" t="str">
        <f aca="false">IF(J487&gt;0,"in train",IF(K487&gt;0,"audio, none in train",IF(C487&gt;=Overview!$B$9,"priority gap","no audio")))</f>
        <v>no audio</v>
      </c>
    </row>
    <row r="488" customFormat="false" ht="15" hidden="false" customHeight="false" outlineLevel="0" collapsed="false">
      <c r="A488" s="19" t="s">
        <v>10289</v>
      </c>
      <c r="B488" s="19" t="s">
        <v>10290</v>
      </c>
      <c r="C488" s="28" t="n">
        <f aca="false">D488/Overview!$B$10</f>
        <v>5.95663569216107E-005</v>
      </c>
      <c r="D488" s="29" t="n">
        <v>2</v>
      </c>
      <c r="E488" s="19" t="s">
        <v>10076</v>
      </c>
      <c r="F488" s="19" t="n">
        <v>2023</v>
      </c>
      <c r="G488" s="19" t="n">
        <v>2023</v>
      </c>
      <c r="H488" s="19" t="str">
        <f aca="false">IF(COUNTIF(Species!$B:$B,$A488)=0,"",IF(INDEX(Species!$A:$A,MATCH($A488,Species!$B:$B,0))="","",INDEX(Species!$A:$A,MATCH($A488,Species!$B:$B,0))))</f>
        <v/>
      </c>
      <c r="I488" s="19" t="str">
        <f aca="false">IF(COUNTIF(Species!$B:$B,$A488)=0,"",INDEX(Species!$F:$F,MATCH($A488,Species!$B:$B,0)))</f>
        <v/>
      </c>
      <c r="J488" s="19" t="n">
        <f aca="false">COUNTIFS(Clips!$F:$F,$A488,Clips!$C:$C,"train")</f>
        <v>0</v>
      </c>
      <c r="K488" s="19" t="n">
        <f aca="false">COUNTIF(Clips!$F:$F,$A488)</f>
        <v>0</v>
      </c>
      <c r="L488" s="19" t="str">
        <f aca="false">IF(J488&gt;0,"in train",IF(K488&gt;0,"audio, none in train",IF(C488&gt;=Overview!$B$9,"priority gap","no audio")))</f>
        <v>no audio</v>
      </c>
    </row>
    <row r="489" customFormat="false" ht="15" hidden="false" customHeight="false" outlineLevel="0" collapsed="false">
      <c r="A489" s="19" t="s">
        <v>10291</v>
      </c>
      <c r="B489" s="19" t="s">
        <v>10292</v>
      </c>
      <c r="C489" s="28" t="n">
        <f aca="false">D489/Overview!$B$10</f>
        <v>5.95663569216107E-005</v>
      </c>
      <c r="D489" s="29" t="n">
        <v>2</v>
      </c>
      <c r="E489" s="19" t="s">
        <v>10193</v>
      </c>
      <c r="F489" s="19" t="n">
        <v>2013</v>
      </c>
      <c r="G489" s="19" t="n">
        <v>2025</v>
      </c>
      <c r="H489" s="19" t="str">
        <f aca="false">IF(COUNTIF(Species!$B:$B,$A489)=0,"",IF(INDEX(Species!$A:$A,MATCH($A489,Species!$B:$B,0))="","",INDEX(Species!$A:$A,MATCH($A489,Species!$B:$B,0))))</f>
        <v/>
      </c>
      <c r="I489" s="19" t="str">
        <f aca="false">IF(COUNTIF(Species!$B:$B,$A489)=0,"",INDEX(Species!$F:$F,MATCH($A489,Species!$B:$B,0)))</f>
        <v/>
      </c>
      <c r="J489" s="19" t="n">
        <f aca="false">COUNTIFS(Clips!$F:$F,$A489,Clips!$C:$C,"train")</f>
        <v>0</v>
      </c>
      <c r="K489" s="19" t="n">
        <f aca="false">COUNTIF(Clips!$F:$F,$A489)</f>
        <v>0</v>
      </c>
      <c r="L489" s="19" t="str">
        <f aca="false">IF(J489&gt;0,"in train",IF(K489&gt;0,"audio, none in train",IF(C489&gt;=Overview!$B$9,"priority gap","no audio")))</f>
        <v>no audio</v>
      </c>
    </row>
    <row r="490" customFormat="false" ht="15" hidden="false" customHeight="false" outlineLevel="0" collapsed="false">
      <c r="A490" s="19" t="s">
        <v>10293</v>
      </c>
      <c r="B490" s="19" t="s">
        <v>10294</v>
      </c>
      <c r="C490" s="28" t="n">
        <f aca="false">D490/Overview!$B$10</f>
        <v>5.95663569216107E-005</v>
      </c>
      <c r="D490" s="29" t="n">
        <v>2</v>
      </c>
      <c r="E490" s="19" t="s">
        <v>10295</v>
      </c>
      <c r="F490" s="19" t="n">
        <v>2008</v>
      </c>
      <c r="G490" s="19" t="n">
        <v>2023</v>
      </c>
      <c r="H490" s="19" t="str">
        <f aca="false">IF(COUNTIF(Species!$B:$B,$A490)=0,"",IF(INDEX(Species!$A:$A,MATCH($A490,Species!$B:$B,0))="","",INDEX(Species!$A:$A,MATCH($A490,Species!$B:$B,0))))</f>
        <v/>
      </c>
      <c r="I490" s="19" t="str">
        <f aca="false">IF(COUNTIF(Species!$B:$B,$A490)=0,"",INDEX(Species!$F:$F,MATCH($A490,Species!$B:$B,0)))</f>
        <v/>
      </c>
      <c r="J490" s="19" t="n">
        <f aca="false">COUNTIFS(Clips!$F:$F,$A490,Clips!$C:$C,"train")</f>
        <v>0</v>
      </c>
      <c r="K490" s="19" t="n">
        <f aca="false">COUNTIF(Clips!$F:$F,$A490)</f>
        <v>0</v>
      </c>
      <c r="L490" s="19" t="str">
        <f aca="false">IF(J490&gt;0,"in train",IF(K490&gt;0,"audio, none in train",IF(C490&gt;=Overview!$B$9,"priority gap","no audio")))</f>
        <v>no audio</v>
      </c>
    </row>
    <row r="491" customFormat="false" ht="15" hidden="false" customHeight="false" outlineLevel="0" collapsed="false">
      <c r="A491" s="19" t="s">
        <v>10296</v>
      </c>
      <c r="B491" s="19" t="s">
        <v>10297</v>
      </c>
      <c r="C491" s="28" t="n">
        <f aca="false">D491/Overview!$B$10</f>
        <v>5.95663569216107E-005</v>
      </c>
      <c r="D491" s="29" t="n">
        <v>2</v>
      </c>
      <c r="E491" s="19" t="s">
        <v>10298</v>
      </c>
      <c r="F491" s="19" t="n">
        <v>2022</v>
      </c>
      <c r="G491" s="19" t="n">
        <v>2022</v>
      </c>
      <c r="H491" s="19" t="str">
        <f aca="false">IF(COUNTIF(Species!$B:$B,$A491)=0,"",IF(INDEX(Species!$A:$A,MATCH($A491,Species!$B:$B,0))="","",INDEX(Species!$A:$A,MATCH($A491,Species!$B:$B,0))))</f>
        <v/>
      </c>
      <c r="I491" s="19" t="str">
        <f aca="false">IF(COUNTIF(Species!$B:$B,$A491)=0,"",INDEX(Species!$F:$F,MATCH($A491,Species!$B:$B,0)))</f>
        <v/>
      </c>
      <c r="J491" s="19" t="n">
        <f aca="false">COUNTIFS(Clips!$F:$F,$A491,Clips!$C:$C,"train")</f>
        <v>0</v>
      </c>
      <c r="K491" s="19" t="n">
        <f aca="false">COUNTIF(Clips!$F:$F,$A491)</f>
        <v>0</v>
      </c>
      <c r="L491" s="19" t="str">
        <f aca="false">IF(J491&gt;0,"in train",IF(K491&gt;0,"audio, none in train",IF(C491&gt;=Overview!$B$9,"priority gap","no audio")))</f>
        <v>no audio</v>
      </c>
    </row>
    <row r="492" customFormat="false" ht="15" hidden="false" customHeight="false" outlineLevel="0" collapsed="false">
      <c r="A492" s="19" t="s">
        <v>10299</v>
      </c>
      <c r="B492" s="19" t="s">
        <v>10300</v>
      </c>
      <c r="C492" s="28" t="n">
        <f aca="false">D492/Overview!$B$10</f>
        <v>5.95663569216107E-005</v>
      </c>
      <c r="D492" s="29" t="n">
        <v>2</v>
      </c>
      <c r="E492" s="19" t="s">
        <v>10187</v>
      </c>
      <c r="F492" s="19" t="n">
        <v>2019</v>
      </c>
      <c r="G492" s="19" t="n">
        <v>2023</v>
      </c>
      <c r="H492" s="19" t="str">
        <f aca="false">IF(COUNTIF(Species!$B:$B,$A492)=0,"",IF(INDEX(Species!$A:$A,MATCH($A492,Species!$B:$B,0))="","",INDEX(Species!$A:$A,MATCH($A492,Species!$B:$B,0))))</f>
        <v/>
      </c>
      <c r="I492" s="19" t="str">
        <f aca="false">IF(COUNTIF(Species!$B:$B,$A492)=0,"",INDEX(Species!$F:$F,MATCH($A492,Species!$B:$B,0)))</f>
        <v/>
      </c>
      <c r="J492" s="19" t="n">
        <f aca="false">COUNTIFS(Clips!$F:$F,$A492,Clips!$C:$C,"train")</f>
        <v>0</v>
      </c>
      <c r="K492" s="19" t="n">
        <f aca="false">COUNTIF(Clips!$F:$F,$A492)</f>
        <v>0</v>
      </c>
      <c r="L492" s="19" t="str">
        <f aca="false">IF(J492&gt;0,"in train",IF(K492&gt;0,"audio, none in train",IF(C492&gt;=Overview!$B$9,"priority gap","no audio")))</f>
        <v>no audio</v>
      </c>
    </row>
    <row r="493" customFormat="false" ht="15" hidden="false" customHeight="false" outlineLevel="0" collapsed="false">
      <c r="A493" s="19" t="s">
        <v>10301</v>
      </c>
      <c r="B493" s="19" t="s">
        <v>10302</v>
      </c>
      <c r="C493" s="28" t="n">
        <f aca="false">D493/Overview!$B$10</f>
        <v>5.95663569216107E-005</v>
      </c>
      <c r="D493" s="29" t="n">
        <v>2</v>
      </c>
      <c r="E493" s="19" t="s">
        <v>10303</v>
      </c>
      <c r="F493" s="19" t="n">
        <v>2017</v>
      </c>
      <c r="G493" s="19" t="n">
        <v>2017</v>
      </c>
      <c r="H493" s="19" t="str">
        <f aca="false">IF(COUNTIF(Species!$B:$B,$A493)=0,"",IF(INDEX(Species!$A:$A,MATCH($A493,Species!$B:$B,0))="","",INDEX(Species!$A:$A,MATCH($A493,Species!$B:$B,0))))</f>
        <v/>
      </c>
      <c r="I493" s="19" t="str">
        <f aca="false">IF(COUNTIF(Species!$B:$B,$A493)=0,"",INDEX(Species!$F:$F,MATCH($A493,Species!$B:$B,0)))</f>
        <v/>
      </c>
      <c r="J493" s="19" t="n">
        <f aca="false">COUNTIFS(Clips!$F:$F,$A493,Clips!$C:$C,"train")</f>
        <v>0</v>
      </c>
      <c r="K493" s="19" t="n">
        <f aca="false">COUNTIF(Clips!$F:$F,$A493)</f>
        <v>0</v>
      </c>
      <c r="L493" s="19" t="str">
        <f aca="false">IF(J493&gt;0,"in train",IF(K493&gt;0,"audio, none in train",IF(C493&gt;=Overview!$B$9,"priority gap","no audio")))</f>
        <v>no audio</v>
      </c>
    </row>
    <row r="494" customFormat="false" ht="15" hidden="false" customHeight="false" outlineLevel="0" collapsed="false">
      <c r="A494" s="19" t="s">
        <v>10304</v>
      </c>
      <c r="B494" s="19" t="s">
        <v>10305</v>
      </c>
      <c r="C494" s="28" t="n">
        <f aca="false">D494/Overview!$B$10</f>
        <v>5.95663569216107E-005</v>
      </c>
      <c r="D494" s="29" t="n">
        <v>2</v>
      </c>
      <c r="E494" s="19" t="s">
        <v>10306</v>
      </c>
      <c r="F494" s="19" t="n">
        <v>2023</v>
      </c>
      <c r="G494" s="19" t="n">
        <v>2023</v>
      </c>
      <c r="H494" s="19" t="str">
        <f aca="false">IF(COUNTIF(Species!$B:$B,$A494)=0,"",IF(INDEX(Species!$A:$A,MATCH($A494,Species!$B:$B,0))="","",INDEX(Species!$A:$A,MATCH($A494,Species!$B:$B,0))))</f>
        <v/>
      </c>
      <c r="I494" s="19" t="str">
        <f aca="false">IF(COUNTIF(Species!$B:$B,$A494)=0,"",INDEX(Species!$F:$F,MATCH($A494,Species!$B:$B,0)))</f>
        <v/>
      </c>
      <c r="J494" s="19" t="n">
        <f aca="false">COUNTIFS(Clips!$F:$F,$A494,Clips!$C:$C,"train")</f>
        <v>0</v>
      </c>
      <c r="K494" s="19" t="n">
        <f aca="false">COUNTIF(Clips!$F:$F,$A494)</f>
        <v>0</v>
      </c>
      <c r="L494" s="19" t="str">
        <f aca="false">IF(J494&gt;0,"in train",IF(K494&gt;0,"audio, none in train",IF(C494&gt;=Overview!$B$9,"priority gap","no audio")))</f>
        <v>no audio</v>
      </c>
    </row>
    <row r="495" customFormat="false" ht="15" hidden="false" customHeight="false" outlineLevel="0" collapsed="false">
      <c r="A495" s="19" t="s">
        <v>10307</v>
      </c>
      <c r="B495" s="19" t="s">
        <v>10308</v>
      </c>
      <c r="C495" s="28" t="n">
        <f aca="false">D495/Overview!$B$10</f>
        <v>5.95663569216107E-005</v>
      </c>
      <c r="D495" s="29" t="n">
        <v>2</v>
      </c>
      <c r="E495" s="19" t="s">
        <v>10076</v>
      </c>
      <c r="F495" s="19" t="n">
        <v>2024</v>
      </c>
      <c r="G495" s="19" t="n">
        <v>2024</v>
      </c>
      <c r="H495" s="19" t="str">
        <f aca="false">IF(COUNTIF(Species!$B:$B,$A495)=0,"",IF(INDEX(Species!$A:$A,MATCH($A495,Species!$B:$B,0))="","",INDEX(Species!$A:$A,MATCH($A495,Species!$B:$B,0))))</f>
        <v/>
      </c>
      <c r="I495" s="19" t="str">
        <f aca="false">IF(COUNTIF(Species!$B:$B,$A495)=0,"",INDEX(Species!$F:$F,MATCH($A495,Species!$B:$B,0)))</f>
        <v/>
      </c>
      <c r="J495" s="19" t="n">
        <f aca="false">COUNTIFS(Clips!$F:$F,$A495,Clips!$C:$C,"train")</f>
        <v>0</v>
      </c>
      <c r="K495" s="19" t="n">
        <f aca="false">COUNTIF(Clips!$F:$F,$A495)</f>
        <v>0</v>
      </c>
      <c r="L495" s="19" t="str">
        <f aca="false">IF(J495&gt;0,"in train",IF(K495&gt;0,"audio, none in train",IF(C495&gt;=Overview!$B$9,"priority gap","no audio")))</f>
        <v>no audio</v>
      </c>
    </row>
    <row r="496" customFormat="false" ht="15" hidden="false" customHeight="false" outlineLevel="0" collapsed="false">
      <c r="A496" s="19" t="s">
        <v>10309</v>
      </c>
      <c r="B496" s="19" t="s">
        <v>10310</v>
      </c>
      <c r="C496" s="28" t="n">
        <f aca="false">D496/Overview!$B$10</f>
        <v>2.97831784608053E-005</v>
      </c>
      <c r="D496" s="29" t="n">
        <v>1</v>
      </c>
      <c r="E496" s="19" t="s">
        <v>10311</v>
      </c>
      <c r="F496" s="19" t="n">
        <v>2014</v>
      </c>
      <c r="G496" s="19" t="n">
        <v>2014</v>
      </c>
      <c r="H496" s="19" t="str">
        <f aca="false">IF(COUNTIF(Species!$B:$B,$A496)=0,"",IF(INDEX(Species!$A:$A,MATCH($A496,Species!$B:$B,0))="","",INDEX(Species!$A:$A,MATCH($A496,Species!$B:$B,0))))</f>
        <v/>
      </c>
      <c r="I496" s="19" t="str">
        <f aca="false">IF(COUNTIF(Species!$B:$B,$A496)=0,"",INDEX(Species!$F:$F,MATCH($A496,Species!$B:$B,0)))</f>
        <v/>
      </c>
      <c r="J496" s="19" t="n">
        <f aca="false">COUNTIFS(Clips!$F:$F,$A496,Clips!$C:$C,"train")</f>
        <v>0</v>
      </c>
      <c r="K496" s="19" t="n">
        <f aca="false">COUNTIF(Clips!$F:$F,$A496)</f>
        <v>0</v>
      </c>
      <c r="L496" s="19" t="str">
        <f aca="false">IF(J496&gt;0,"in train",IF(K496&gt;0,"audio, none in train",IF(C496&gt;=Overview!$B$9,"priority gap","no audio")))</f>
        <v>no audio</v>
      </c>
    </row>
    <row r="497" customFormat="false" ht="15" hidden="false" customHeight="false" outlineLevel="0" collapsed="false">
      <c r="A497" s="19" t="s">
        <v>10312</v>
      </c>
      <c r="B497" s="19" t="s">
        <v>10313</v>
      </c>
      <c r="C497" s="28" t="n">
        <f aca="false">D497/Overview!$B$10</f>
        <v>2.97831784608053E-005</v>
      </c>
      <c r="D497" s="29" t="n">
        <v>1</v>
      </c>
      <c r="E497" s="19" t="s">
        <v>10314</v>
      </c>
      <c r="F497" s="19" t="n">
        <v>2018</v>
      </c>
      <c r="G497" s="19" t="n">
        <v>2018</v>
      </c>
      <c r="H497" s="19" t="str">
        <f aca="false">IF(COUNTIF(Species!$B:$B,$A497)=0,"",IF(INDEX(Species!$A:$A,MATCH($A497,Species!$B:$B,0))="","",INDEX(Species!$A:$A,MATCH($A497,Species!$B:$B,0))))</f>
        <v/>
      </c>
      <c r="I497" s="19" t="str">
        <f aca="false">IF(COUNTIF(Species!$B:$B,$A497)=0,"",INDEX(Species!$F:$F,MATCH($A497,Species!$B:$B,0)))</f>
        <v/>
      </c>
      <c r="J497" s="19" t="n">
        <f aca="false">COUNTIFS(Clips!$F:$F,$A497,Clips!$C:$C,"train")</f>
        <v>0</v>
      </c>
      <c r="K497" s="19" t="n">
        <f aca="false">COUNTIF(Clips!$F:$F,$A497)</f>
        <v>0</v>
      </c>
      <c r="L497" s="19" t="str">
        <f aca="false">IF(J497&gt;0,"in train",IF(K497&gt;0,"audio, none in train",IF(C497&gt;=Overview!$B$9,"priority gap","no audio")))</f>
        <v>no audio</v>
      </c>
    </row>
    <row r="498" customFormat="false" ht="15" hidden="false" customHeight="false" outlineLevel="0" collapsed="false">
      <c r="A498" s="19" t="s">
        <v>10315</v>
      </c>
      <c r="B498" s="19" t="s">
        <v>10316</v>
      </c>
      <c r="C498" s="28" t="n">
        <f aca="false">D498/Overview!$B$10</f>
        <v>2.97831784608053E-005</v>
      </c>
      <c r="D498" s="29" t="n">
        <v>1</v>
      </c>
      <c r="E498" s="19" t="s">
        <v>10317</v>
      </c>
      <c r="F498" s="19" t="n">
        <v>2007</v>
      </c>
      <c r="G498" s="19" t="n">
        <v>2007</v>
      </c>
      <c r="H498" s="19" t="str">
        <f aca="false">IF(COUNTIF(Species!$B:$B,$A498)=0,"",IF(INDEX(Species!$A:$A,MATCH($A498,Species!$B:$B,0))="","",INDEX(Species!$A:$A,MATCH($A498,Species!$B:$B,0))))</f>
        <v/>
      </c>
      <c r="I498" s="19" t="str">
        <f aca="false">IF(COUNTIF(Species!$B:$B,$A498)=0,"",INDEX(Species!$F:$F,MATCH($A498,Species!$B:$B,0)))</f>
        <v/>
      </c>
      <c r="J498" s="19" t="n">
        <f aca="false">COUNTIFS(Clips!$F:$F,$A498,Clips!$C:$C,"train")</f>
        <v>0</v>
      </c>
      <c r="K498" s="19" t="n">
        <f aca="false">COUNTIF(Clips!$F:$F,$A498)</f>
        <v>0</v>
      </c>
      <c r="L498" s="19" t="str">
        <f aca="false">IF(J498&gt;0,"in train",IF(K498&gt;0,"audio, none in train",IF(C498&gt;=Overview!$B$9,"priority gap","no audio")))</f>
        <v>no audio</v>
      </c>
    </row>
    <row r="499" customFormat="false" ht="15" hidden="false" customHeight="false" outlineLevel="0" collapsed="false">
      <c r="A499" s="19" t="s">
        <v>10318</v>
      </c>
      <c r="B499" s="19" t="s">
        <v>10319</v>
      </c>
      <c r="C499" s="28" t="n">
        <f aca="false">D499/Overview!$B$10</f>
        <v>2.97831784608053E-005</v>
      </c>
      <c r="D499" s="29" t="n">
        <v>1</v>
      </c>
      <c r="E499" s="19" t="s">
        <v>10314</v>
      </c>
      <c r="F499" s="19" t="n">
        <v>2018</v>
      </c>
      <c r="G499" s="19" t="n">
        <v>2018</v>
      </c>
      <c r="H499" s="19" t="str">
        <f aca="false">IF(COUNTIF(Species!$B:$B,$A499)=0,"",IF(INDEX(Species!$A:$A,MATCH($A499,Species!$B:$B,0))="","",INDEX(Species!$A:$A,MATCH($A499,Species!$B:$B,0))))</f>
        <v/>
      </c>
      <c r="I499" s="19" t="str">
        <f aca="false">IF(COUNTIF(Species!$B:$B,$A499)=0,"",INDEX(Species!$F:$F,MATCH($A499,Species!$B:$B,0)))</f>
        <v/>
      </c>
      <c r="J499" s="19" t="n">
        <f aca="false">COUNTIFS(Clips!$F:$F,$A499,Clips!$C:$C,"train")</f>
        <v>0</v>
      </c>
      <c r="K499" s="19" t="n">
        <f aca="false">COUNTIF(Clips!$F:$F,$A499)</f>
        <v>0</v>
      </c>
      <c r="L499" s="19" t="str">
        <f aca="false">IF(J499&gt;0,"in train",IF(K499&gt;0,"audio, none in train",IF(C499&gt;=Overview!$B$9,"priority gap","no audio")))</f>
        <v>no audio</v>
      </c>
    </row>
    <row r="500" customFormat="false" ht="15" hidden="false" customHeight="false" outlineLevel="0" collapsed="false">
      <c r="A500" s="19" t="s">
        <v>10320</v>
      </c>
      <c r="B500" s="19" t="s">
        <v>10321</v>
      </c>
      <c r="C500" s="28" t="n">
        <f aca="false">D500/Overview!$B$10</f>
        <v>2.97831784608053E-005</v>
      </c>
      <c r="D500" s="29" t="n">
        <v>1</v>
      </c>
      <c r="E500" s="19" t="s">
        <v>10311</v>
      </c>
      <c r="F500" s="19" t="n">
        <v>1988</v>
      </c>
      <c r="G500" s="19" t="n">
        <v>1988</v>
      </c>
      <c r="H500" s="19" t="str">
        <f aca="false">IF(COUNTIF(Species!$B:$B,$A500)=0,"",IF(INDEX(Species!$A:$A,MATCH($A500,Species!$B:$B,0))="","",INDEX(Species!$A:$A,MATCH($A500,Species!$B:$B,0))))</f>
        <v/>
      </c>
      <c r="I500" s="19" t="str">
        <f aca="false">IF(COUNTIF(Species!$B:$B,$A500)=0,"",INDEX(Species!$F:$F,MATCH($A500,Species!$B:$B,0)))</f>
        <v/>
      </c>
      <c r="J500" s="19" t="n">
        <f aca="false">COUNTIFS(Clips!$F:$F,$A500,Clips!$C:$C,"train")</f>
        <v>0</v>
      </c>
      <c r="K500" s="19" t="n">
        <f aca="false">COUNTIF(Clips!$F:$F,$A500)</f>
        <v>0</v>
      </c>
      <c r="L500" s="19" t="str">
        <f aca="false">IF(J500&gt;0,"in train",IF(K500&gt;0,"audio, none in train",IF(C500&gt;=Overview!$B$9,"priority gap","no audio")))</f>
        <v>no audio</v>
      </c>
    </row>
    <row r="501" customFormat="false" ht="15" hidden="false" customHeight="false" outlineLevel="0" collapsed="false">
      <c r="A501" s="19" t="s">
        <v>10322</v>
      </c>
      <c r="B501" s="19" t="s">
        <v>10323</v>
      </c>
      <c r="C501" s="28" t="n">
        <f aca="false">D501/Overview!$B$10</f>
        <v>2.97831784608053E-005</v>
      </c>
      <c r="D501" s="29" t="n">
        <v>1</v>
      </c>
      <c r="E501" s="19" t="s">
        <v>10317</v>
      </c>
      <c r="F501" s="19" t="n">
        <v>1998</v>
      </c>
      <c r="G501" s="19" t="n">
        <v>1998</v>
      </c>
      <c r="H501" s="19" t="str">
        <f aca="false">IF(COUNTIF(Species!$B:$B,$A501)=0,"",IF(INDEX(Species!$A:$A,MATCH($A501,Species!$B:$B,0))="","",INDEX(Species!$A:$A,MATCH($A501,Species!$B:$B,0))))</f>
        <v/>
      </c>
      <c r="I501" s="19" t="str">
        <f aca="false">IF(COUNTIF(Species!$B:$B,$A501)=0,"",INDEX(Species!$F:$F,MATCH($A501,Species!$B:$B,0)))</f>
        <v/>
      </c>
      <c r="J501" s="19" t="n">
        <f aca="false">COUNTIFS(Clips!$F:$F,$A501,Clips!$C:$C,"train")</f>
        <v>0</v>
      </c>
      <c r="K501" s="19" t="n">
        <f aca="false">COUNTIF(Clips!$F:$F,$A501)</f>
        <v>0</v>
      </c>
      <c r="L501" s="19" t="str">
        <f aca="false">IF(J501&gt;0,"in train",IF(K501&gt;0,"audio, none in train",IF(C501&gt;=Overview!$B$9,"priority gap","no audio")))</f>
        <v>no audio</v>
      </c>
    </row>
    <row r="502" customFormat="false" ht="15" hidden="false" customHeight="false" outlineLevel="0" collapsed="false">
      <c r="A502" s="19" t="s">
        <v>10324</v>
      </c>
      <c r="B502" s="19" t="s">
        <v>10325</v>
      </c>
      <c r="C502" s="28" t="n">
        <f aca="false">D502/Overview!$B$10</f>
        <v>2.97831784608053E-005</v>
      </c>
      <c r="D502" s="29" t="n">
        <v>1</v>
      </c>
      <c r="E502" s="19" t="s">
        <v>10317</v>
      </c>
      <c r="F502" s="19" t="n">
        <v>2009</v>
      </c>
      <c r="G502" s="19" t="n">
        <v>2009</v>
      </c>
      <c r="H502" s="19" t="str">
        <f aca="false">IF(COUNTIF(Species!$B:$B,$A502)=0,"",IF(INDEX(Species!$A:$A,MATCH($A502,Species!$B:$B,0))="","",INDEX(Species!$A:$A,MATCH($A502,Species!$B:$B,0))))</f>
        <v/>
      </c>
      <c r="I502" s="19" t="str">
        <f aca="false">IF(COUNTIF(Species!$B:$B,$A502)=0,"",INDEX(Species!$F:$F,MATCH($A502,Species!$B:$B,0)))</f>
        <v/>
      </c>
      <c r="J502" s="19" t="n">
        <f aca="false">COUNTIFS(Clips!$F:$F,$A502,Clips!$C:$C,"train")</f>
        <v>0</v>
      </c>
      <c r="K502" s="19" t="n">
        <f aca="false">COUNTIF(Clips!$F:$F,$A502)</f>
        <v>0</v>
      </c>
      <c r="L502" s="19" t="str">
        <f aca="false">IF(J502&gt;0,"in train",IF(K502&gt;0,"audio, none in train",IF(C502&gt;=Overview!$B$9,"priority gap","no audio")))</f>
        <v>no audio</v>
      </c>
    </row>
    <row r="503" customFormat="false" ht="15" hidden="false" customHeight="false" outlineLevel="0" collapsed="false">
      <c r="A503" s="19" t="s">
        <v>10326</v>
      </c>
      <c r="B503" s="19" t="s">
        <v>10327</v>
      </c>
      <c r="C503" s="28" t="n">
        <f aca="false">D503/Overview!$B$10</f>
        <v>2.97831784608053E-005</v>
      </c>
      <c r="D503" s="29" t="n">
        <v>1</v>
      </c>
      <c r="E503" s="19" t="s">
        <v>10222</v>
      </c>
      <c r="F503" s="19" t="n">
        <v>2018</v>
      </c>
      <c r="G503" s="19" t="n">
        <v>2018</v>
      </c>
      <c r="H503" s="19" t="str">
        <f aca="false">IF(COUNTIF(Species!$B:$B,$A503)=0,"",IF(INDEX(Species!$A:$A,MATCH($A503,Species!$B:$B,0))="","",INDEX(Species!$A:$A,MATCH($A503,Species!$B:$B,0))))</f>
        <v/>
      </c>
      <c r="I503" s="19" t="str">
        <f aca="false">IF(COUNTIF(Species!$B:$B,$A503)=0,"",INDEX(Species!$F:$F,MATCH($A503,Species!$B:$B,0)))</f>
        <v/>
      </c>
      <c r="J503" s="19" t="n">
        <f aca="false">COUNTIFS(Clips!$F:$F,$A503,Clips!$C:$C,"train")</f>
        <v>0</v>
      </c>
      <c r="K503" s="19" t="n">
        <f aca="false">COUNTIF(Clips!$F:$F,$A503)</f>
        <v>0</v>
      </c>
      <c r="L503" s="19" t="str">
        <f aca="false">IF(J503&gt;0,"in train",IF(K503&gt;0,"audio, none in train",IF(C503&gt;=Overview!$B$9,"priority gap","no audio")))</f>
        <v>no audio</v>
      </c>
    </row>
    <row r="504" customFormat="false" ht="15" hidden="false" customHeight="false" outlineLevel="0" collapsed="false">
      <c r="A504" s="19" t="s">
        <v>879</v>
      </c>
      <c r="B504" s="19" t="s">
        <v>880</v>
      </c>
      <c r="C504" s="28" t="n">
        <f aca="false">D504/Overview!$B$10</f>
        <v>2.97831784608053E-005</v>
      </c>
      <c r="D504" s="29" t="n">
        <v>1</v>
      </c>
      <c r="E504" s="19" t="s">
        <v>10311</v>
      </c>
      <c r="F504" s="19" t="n">
        <v>2016</v>
      </c>
      <c r="G504" s="19" t="n">
        <v>2016</v>
      </c>
      <c r="H504" s="19" t="n">
        <f aca="false">IF(COUNTIF(Species!$B:$B,$A504)=0,"",IF(INDEX(Species!$A:$A,MATCH($A504,Species!$B:$B,0))="","",INDEX(Species!$A:$A,MATCH($A504,Species!$B:$B,0))))</f>
        <v>222</v>
      </c>
      <c r="I504" s="19" t="str">
        <f aca="false">IF(COUNTIF(Species!$B:$B,$A504)=0,"",INDEX(Species!$F:$F,MATCH($A504,Species!$B:$B,0)))</f>
        <v>singleton</v>
      </c>
      <c r="J504" s="19" t="n">
        <f aca="false">COUNTIFS(Clips!$F:$F,$A504,Clips!$C:$C,"train")</f>
        <v>0</v>
      </c>
      <c r="K504" s="19" t="n">
        <f aca="false">COUNTIF(Clips!$F:$F,$A504)</f>
        <v>1</v>
      </c>
      <c r="L504" s="19" t="str">
        <f aca="false">IF(J504&gt;0,"in train",IF(K504&gt;0,"audio, none in train",IF(C504&gt;=Overview!$B$9,"priority gap","no audio")))</f>
        <v>audio, none in train</v>
      </c>
    </row>
    <row r="505" customFormat="false" ht="15" hidden="false" customHeight="false" outlineLevel="0" collapsed="false">
      <c r="A505" s="19" t="s">
        <v>10328</v>
      </c>
      <c r="B505" s="19" t="s">
        <v>10329</v>
      </c>
      <c r="C505" s="28" t="n">
        <f aca="false">D505/Overview!$B$10</f>
        <v>2.97831784608053E-005</v>
      </c>
      <c r="D505" s="29" t="n">
        <v>1</v>
      </c>
      <c r="E505" s="19" t="s">
        <v>10222</v>
      </c>
      <c r="F505" s="19" t="n">
        <v>2010</v>
      </c>
      <c r="G505" s="19" t="n">
        <v>2010</v>
      </c>
      <c r="H505" s="19" t="str">
        <f aca="false">IF(COUNTIF(Species!$B:$B,$A505)=0,"",IF(INDEX(Species!$A:$A,MATCH($A505,Species!$B:$B,0))="","",INDEX(Species!$A:$A,MATCH($A505,Species!$B:$B,0))))</f>
        <v/>
      </c>
      <c r="I505" s="19" t="str">
        <f aca="false">IF(COUNTIF(Species!$B:$B,$A505)=0,"",INDEX(Species!$F:$F,MATCH($A505,Species!$B:$B,0)))</f>
        <v/>
      </c>
      <c r="J505" s="19" t="n">
        <f aca="false">COUNTIFS(Clips!$F:$F,$A505,Clips!$C:$C,"train")</f>
        <v>0</v>
      </c>
      <c r="K505" s="19" t="n">
        <f aca="false">COUNTIF(Clips!$F:$F,$A505)</f>
        <v>0</v>
      </c>
      <c r="L505" s="19" t="str">
        <f aca="false">IF(J505&gt;0,"in train",IF(K505&gt;0,"audio, none in train",IF(C505&gt;=Overview!$B$9,"priority gap","no audio")))</f>
        <v>no audio</v>
      </c>
    </row>
    <row r="506" customFormat="false" ht="15" hidden="false" customHeight="false" outlineLevel="0" collapsed="false">
      <c r="A506" s="19" t="s">
        <v>10330</v>
      </c>
      <c r="B506" s="19" t="s">
        <v>10331</v>
      </c>
      <c r="C506" s="28" t="n">
        <f aca="false">D506/Overview!$B$10</f>
        <v>2.97831784608053E-005</v>
      </c>
      <c r="D506" s="29" t="n">
        <v>1</v>
      </c>
      <c r="E506" s="19" t="s">
        <v>10311</v>
      </c>
      <c r="F506" s="19" t="n">
        <v>2003</v>
      </c>
      <c r="G506" s="19" t="n">
        <v>2003</v>
      </c>
      <c r="H506" s="19" t="str">
        <f aca="false">IF(COUNTIF(Species!$B:$B,$A506)=0,"",IF(INDEX(Species!$A:$A,MATCH($A506,Species!$B:$B,0))="","",INDEX(Species!$A:$A,MATCH($A506,Species!$B:$B,0))))</f>
        <v/>
      </c>
      <c r="I506" s="19" t="str">
        <f aca="false">IF(COUNTIF(Species!$B:$B,$A506)=0,"",INDEX(Species!$F:$F,MATCH($A506,Species!$B:$B,0)))</f>
        <v/>
      </c>
      <c r="J506" s="19" t="n">
        <f aca="false">COUNTIFS(Clips!$F:$F,$A506,Clips!$C:$C,"train")</f>
        <v>0</v>
      </c>
      <c r="K506" s="19" t="n">
        <f aca="false">COUNTIF(Clips!$F:$F,$A506)</f>
        <v>0</v>
      </c>
      <c r="L506" s="19" t="str">
        <f aca="false">IF(J506&gt;0,"in train",IF(K506&gt;0,"audio, none in train",IF(C506&gt;=Overview!$B$9,"priority gap","no audio")))</f>
        <v>no audio</v>
      </c>
    </row>
    <row r="507" customFormat="false" ht="15" hidden="false" customHeight="false" outlineLevel="0" collapsed="false">
      <c r="A507" s="19" t="s">
        <v>10332</v>
      </c>
      <c r="B507" s="19" t="s">
        <v>10333</v>
      </c>
      <c r="C507" s="28" t="n">
        <f aca="false">D507/Overview!$B$10</f>
        <v>2.97831784608053E-005</v>
      </c>
      <c r="D507" s="29" t="n">
        <v>1</v>
      </c>
      <c r="E507" s="19" t="s">
        <v>10222</v>
      </c>
      <c r="F507" s="19" t="n">
        <v>2017</v>
      </c>
      <c r="G507" s="19" t="n">
        <v>2017</v>
      </c>
      <c r="H507" s="19" t="str">
        <f aca="false">IF(COUNTIF(Species!$B:$B,$A507)=0,"",IF(INDEX(Species!$A:$A,MATCH($A507,Species!$B:$B,0))="","",INDEX(Species!$A:$A,MATCH($A507,Species!$B:$B,0))))</f>
        <v/>
      </c>
      <c r="I507" s="19" t="str">
        <f aca="false">IF(COUNTIF(Species!$B:$B,$A507)=0,"",INDEX(Species!$F:$F,MATCH($A507,Species!$B:$B,0)))</f>
        <v/>
      </c>
      <c r="J507" s="19" t="n">
        <f aca="false">COUNTIFS(Clips!$F:$F,$A507,Clips!$C:$C,"train")</f>
        <v>0</v>
      </c>
      <c r="K507" s="19" t="n">
        <f aca="false">COUNTIF(Clips!$F:$F,$A507)</f>
        <v>0</v>
      </c>
      <c r="L507" s="19" t="str">
        <f aca="false">IF(J507&gt;0,"in train",IF(K507&gt;0,"audio, none in train",IF(C507&gt;=Overview!$B$9,"priority gap","no audio")))</f>
        <v>no audio</v>
      </c>
    </row>
    <row r="508" customFormat="false" ht="15" hidden="false" customHeight="false" outlineLevel="0" collapsed="false">
      <c r="A508" s="19" t="s">
        <v>10334</v>
      </c>
      <c r="B508" s="19" t="s">
        <v>10335</v>
      </c>
      <c r="C508" s="28" t="n">
        <f aca="false">D508/Overview!$B$10</f>
        <v>2.97831784608053E-005</v>
      </c>
      <c r="D508" s="29" t="n">
        <v>1</v>
      </c>
      <c r="E508" s="19" t="s">
        <v>10222</v>
      </c>
      <c r="F508" s="19" t="n">
        <v>2005</v>
      </c>
      <c r="G508" s="19" t="n">
        <v>2005</v>
      </c>
      <c r="H508" s="19" t="str">
        <f aca="false">IF(COUNTIF(Species!$B:$B,$A508)=0,"",IF(INDEX(Species!$A:$A,MATCH($A508,Species!$B:$B,0))="","",INDEX(Species!$A:$A,MATCH($A508,Species!$B:$B,0))))</f>
        <v/>
      </c>
      <c r="I508" s="19" t="str">
        <f aca="false">IF(COUNTIF(Species!$B:$B,$A508)=0,"",INDEX(Species!$F:$F,MATCH($A508,Species!$B:$B,0)))</f>
        <v/>
      </c>
      <c r="J508" s="19" t="n">
        <f aca="false">COUNTIFS(Clips!$F:$F,$A508,Clips!$C:$C,"train")</f>
        <v>0</v>
      </c>
      <c r="K508" s="19" t="n">
        <f aca="false">COUNTIF(Clips!$F:$F,$A508)</f>
        <v>0</v>
      </c>
      <c r="L508" s="19" t="str">
        <f aca="false">IF(J508&gt;0,"in train",IF(K508&gt;0,"audio, none in train",IF(C508&gt;=Overview!$B$9,"priority gap","no audio")))</f>
        <v>no audio</v>
      </c>
    </row>
    <row r="509" customFormat="false" ht="15" hidden="false" customHeight="false" outlineLevel="0" collapsed="false">
      <c r="A509" s="19" t="s">
        <v>850</v>
      </c>
      <c r="B509" s="19" t="s">
        <v>851</v>
      </c>
      <c r="C509" s="28" t="n">
        <f aca="false">D509/Overview!$B$10</f>
        <v>2.97831784608053E-005</v>
      </c>
      <c r="D509" s="29" t="n">
        <v>1</v>
      </c>
      <c r="E509" s="19" t="s">
        <v>10076</v>
      </c>
      <c r="F509" s="19" t="n">
        <v>2010</v>
      </c>
      <c r="G509" s="19" t="n">
        <v>2010</v>
      </c>
      <c r="H509" s="19" t="n">
        <f aca="false">IF(COUNTIF(Species!$B:$B,$A509)=0,"",IF(INDEX(Species!$A:$A,MATCH($A509,Species!$B:$B,0))="","",INDEX(Species!$A:$A,MATCH($A509,Species!$B:$B,0))))</f>
        <v>162</v>
      </c>
      <c r="I509" s="19" t="str">
        <f aca="false">IF(COUNTIF(Species!$B:$B,$A509)=0,"",INDEX(Species!$F:$F,MATCH($A509,Species!$B:$B,0)))</f>
        <v>offsite</v>
      </c>
      <c r="J509" s="19" t="n">
        <f aca="false">COUNTIFS(Clips!$F:$F,$A509,Clips!$C:$C,"train")</f>
        <v>1</v>
      </c>
      <c r="K509" s="19" t="n">
        <f aca="false">COUNTIF(Clips!$F:$F,$A509)</f>
        <v>1</v>
      </c>
      <c r="L509" s="19" t="str">
        <f aca="false">IF(J509&gt;0,"in train",IF(K509&gt;0,"audio, none in train",IF(C509&gt;=Overview!$B$9,"priority gap","no audio")))</f>
        <v>in train</v>
      </c>
    </row>
    <row r="510" customFormat="false" ht="15" hidden="false" customHeight="false" outlineLevel="0" collapsed="false">
      <c r="A510" s="19" t="s">
        <v>10336</v>
      </c>
      <c r="B510" s="19" t="s">
        <v>10337</v>
      </c>
      <c r="C510" s="28" t="n">
        <f aca="false">D510/Overview!$B$10</f>
        <v>2.97831784608053E-005</v>
      </c>
      <c r="D510" s="29" t="n">
        <v>1</v>
      </c>
      <c r="E510" s="19" t="s">
        <v>10317</v>
      </c>
      <c r="F510" s="19" t="n">
        <v>2026</v>
      </c>
      <c r="G510" s="19" t="n">
        <v>2026</v>
      </c>
      <c r="H510" s="19" t="str">
        <f aca="false">IF(COUNTIF(Species!$B:$B,$A510)=0,"",IF(INDEX(Species!$A:$A,MATCH($A510,Species!$B:$B,0))="","",INDEX(Species!$A:$A,MATCH($A510,Species!$B:$B,0))))</f>
        <v/>
      </c>
      <c r="I510" s="19" t="str">
        <f aca="false">IF(COUNTIF(Species!$B:$B,$A510)=0,"",INDEX(Species!$F:$F,MATCH($A510,Species!$B:$B,0)))</f>
        <v/>
      </c>
      <c r="J510" s="19" t="n">
        <f aca="false">COUNTIFS(Clips!$F:$F,$A510,Clips!$C:$C,"train")</f>
        <v>0</v>
      </c>
      <c r="K510" s="19" t="n">
        <f aca="false">COUNTIF(Clips!$F:$F,$A510)</f>
        <v>0</v>
      </c>
      <c r="L510" s="19" t="str">
        <f aca="false">IF(J510&gt;0,"in train",IF(K510&gt;0,"audio, none in train",IF(C510&gt;=Overview!$B$9,"priority gap","no audio")))</f>
        <v>no audio</v>
      </c>
    </row>
  </sheetData>
  <autoFilter ref="A1:L510"/>
  <conditionalFormatting sqref="L2:L710">
    <cfRule type="cellIs" priority="2" operator="equal" aboveAverage="0" equalAverage="0" bottom="0" percent="0" rank="0" text="" dxfId="10">
      <formula>"priority gap"</formula>
    </cfRule>
    <cfRule type="cellIs" priority="3" operator="equal" aboveAverage="0" equalAverage="0" bottom="0" percent="0" rank="0" text="" dxfId="11">
      <formula>"in train"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23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70"/>
  </cols>
  <sheetData>
    <row r="1" customFormat="false" ht="31.5" hidden="false" customHeight="true" outlineLevel="0" collapsed="false">
      <c r="A1" s="14" t="s">
        <v>10338</v>
      </c>
      <c r="B1" s="14" t="s">
        <v>10339</v>
      </c>
      <c r="C1" s="14" t="s">
        <v>10340</v>
      </c>
      <c r="D1" s="14" t="s">
        <v>10341</v>
      </c>
      <c r="E1" s="14" t="s">
        <v>10342</v>
      </c>
      <c r="F1" s="14" t="s">
        <v>10343</v>
      </c>
      <c r="G1" s="14" t="s">
        <v>10344</v>
      </c>
      <c r="H1" s="14" t="s">
        <v>10345</v>
      </c>
      <c r="I1" s="14" t="s">
        <v>10346</v>
      </c>
      <c r="J1" s="14" t="s">
        <v>10347</v>
      </c>
      <c r="K1" s="14" t="s">
        <v>10348</v>
      </c>
      <c r="L1" s="14" t="s">
        <v>10349</v>
      </c>
      <c r="M1" s="14" t="s">
        <v>143</v>
      </c>
    </row>
    <row r="2" customFormat="false" ht="15" hidden="false" customHeight="false" outlineLevel="0" collapsed="false">
      <c r="A2" s="15" t="s">
        <v>10350</v>
      </c>
      <c r="B2" s="15" t="s">
        <v>10351</v>
      </c>
      <c r="C2" s="15" t="n">
        <v>1</v>
      </c>
      <c r="D2" s="15" t="s">
        <v>10352</v>
      </c>
      <c r="E2" s="15" t="s">
        <v>10353</v>
      </c>
      <c r="F2" s="15" t="s">
        <v>10354</v>
      </c>
      <c r="G2" s="15" t="s">
        <v>10355</v>
      </c>
      <c r="H2" s="30" t="n">
        <v>0.000213623046875</v>
      </c>
      <c r="I2" s="31" t="n">
        <v>96000</v>
      </c>
      <c r="J2" s="18" t="n">
        <f aca="false">H2*1024^3/I2/3600</f>
        <v>0.000663703703703704</v>
      </c>
      <c r="K2" s="15" t="s">
        <v>10356</v>
      </c>
      <c r="L2" s="15" t="str">
        <f aca="false">HYPERLINK("https://drive.google.com/file/d/1RRgCDwHT00J9JYF2xopeHhZWzudQOX8H/view","Open")</f>
        <v>Open</v>
      </c>
      <c r="M2" s="5" t="s">
        <v>10357</v>
      </c>
    </row>
    <row r="3" customFormat="false" ht="15" hidden="false" customHeight="false" outlineLevel="0" collapsed="false">
      <c r="A3" s="15" t="s">
        <v>10350</v>
      </c>
      <c r="B3" s="15" t="s">
        <v>10358</v>
      </c>
      <c r="C3" s="15" t="n">
        <v>1</v>
      </c>
      <c r="D3" s="15" t="s">
        <v>10359</v>
      </c>
      <c r="E3" s="15" t="s">
        <v>10360</v>
      </c>
      <c r="F3" s="15" t="s">
        <v>10354</v>
      </c>
      <c r="G3" s="15" t="s">
        <v>10361</v>
      </c>
      <c r="H3" s="30" t="n">
        <v>4</v>
      </c>
      <c r="I3" s="31" t="n">
        <v>96000</v>
      </c>
      <c r="J3" s="18" t="n">
        <f aca="false">H3*1024^3/I3/3600</f>
        <v>12.4275674074074</v>
      </c>
      <c r="K3" s="15" t="s">
        <v>10356</v>
      </c>
      <c r="L3" s="15" t="str">
        <f aca="false">HYPERLINK("https://drive.google.com/file/d/1KfWpHaBlWv38IfIw5H4Ir7VHSWntqpeR/view","Open")</f>
        <v>Open</v>
      </c>
      <c r="M3" s="5"/>
    </row>
    <row r="4" customFormat="false" ht="15" hidden="false" customHeight="false" outlineLevel="0" collapsed="false">
      <c r="A4" s="15" t="s">
        <v>10350</v>
      </c>
      <c r="B4" s="15" t="s">
        <v>10362</v>
      </c>
      <c r="C4" s="15" t="n">
        <v>1</v>
      </c>
      <c r="D4" s="15" t="s">
        <v>10363</v>
      </c>
      <c r="E4" s="15" t="s">
        <v>10364</v>
      </c>
      <c r="F4" s="15" t="s">
        <v>10354</v>
      </c>
      <c r="G4" s="15" t="s">
        <v>10365</v>
      </c>
      <c r="H4" s="30" t="n">
        <v>0.58798828125</v>
      </c>
      <c r="I4" s="31" t="n">
        <v>96000</v>
      </c>
      <c r="J4" s="18" t="n">
        <f aca="false">H4*1024^3/I4/3600</f>
        <v>1.826816</v>
      </c>
      <c r="K4" s="15" t="s">
        <v>10356</v>
      </c>
      <c r="L4" s="15" t="str">
        <f aca="false">HYPERLINK("https://drive.google.com/file/d/1Rm8U6gEectcHvsvxWPbSSKlUk8X2KO14/view","Open")</f>
        <v>Open</v>
      </c>
      <c r="M4" s="5" t="s">
        <v>10366</v>
      </c>
    </row>
    <row r="5" customFormat="false" ht="15" hidden="false" customHeight="false" outlineLevel="0" collapsed="false">
      <c r="A5" s="15" t="s">
        <v>10350</v>
      </c>
      <c r="B5" s="15" t="s">
        <v>10367</v>
      </c>
      <c r="C5" s="15" t="n">
        <v>1</v>
      </c>
      <c r="D5" s="15" t="s">
        <v>10368</v>
      </c>
      <c r="E5" s="15" t="s">
        <v>10369</v>
      </c>
      <c r="F5" s="15" t="s">
        <v>10354</v>
      </c>
      <c r="G5" s="15" t="s">
        <v>10370</v>
      </c>
      <c r="H5" s="30" t="n">
        <v>3.13</v>
      </c>
      <c r="I5" s="31" t="n">
        <v>96000</v>
      </c>
      <c r="J5" s="18" t="n">
        <f aca="false">H5*1024^3/I5/3600</f>
        <v>9.7245714962963</v>
      </c>
      <c r="K5" s="15" t="s">
        <v>10356</v>
      </c>
      <c r="L5" s="15" t="str">
        <f aca="false">HYPERLINK("https://drive.google.com/file/d/1RCf2ymgeRhy0Vdjo-vTvahFdKFFuwCxN/view","Open")</f>
        <v>Open</v>
      </c>
      <c r="M5" s="5" t="s">
        <v>10366</v>
      </c>
    </row>
    <row r="6" customFormat="false" ht="15" hidden="false" customHeight="false" outlineLevel="0" collapsed="false">
      <c r="A6" s="15" t="s">
        <v>10350</v>
      </c>
      <c r="B6" s="15" t="s">
        <v>10371</v>
      </c>
      <c r="C6" s="15" t="n">
        <v>1</v>
      </c>
      <c r="D6" s="15" t="s">
        <v>10372</v>
      </c>
      <c r="E6" s="15" t="s">
        <v>10373</v>
      </c>
      <c r="F6" s="15" t="s">
        <v>10354</v>
      </c>
      <c r="G6" s="15" t="s">
        <v>10361</v>
      </c>
      <c r="H6" s="30" t="n">
        <v>4</v>
      </c>
      <c r="I6" s="31" t="n">
        <v>96000</v>
      </c>
      <c r="J6" s="18" t="n">
        <f aca="false">H6*1024^3/I6/3600</f>
        <v>12.4275674074074</v>
      </c>
      <c r="K6" s="15" t="s">
        <v>10356</v>
      </c>
      <c r="L6" s="15" t="str">
        <f aca="false">HYPERLINK("https://drive.google.com/file/d/1RpVohSAnLNW27EasBVv5kVlyB6CaRjX2/view","Open")</f>
        <v>Open</v>
      </c>
      <c r="M6" s="5"/>
    </row>
    <row r="7" customFormat="false" ht="15" hidden="false" customHeight="false" outlineLevel="0" collapsed="false">
      <c r="A7" s="15" t="s">
        <v>10350</v>
      </c>
      <c r="B7" s="15" t="s">
        <v>10374</v>
      </c>
      <c r="C7" s="15" t="n">
        <v>1</v>
      </c>
      <c r="D7" s="15" t="s">
        <v>10375</v>
      </c>
      <c r="E7" s="15" t="s">
        <v>10376</v>
      </c>
      <c r="F7" s="15" t="s">
        <v>10354</v>
      </c>
      <c r="G7" s="15" t="s">
        <v>10377</v>
      </c>
      <c r="H7" s="30" t="n">
        <v>2.32</v>
      </c>
      <c r="I7" s="31" t="n">
        <v>96000</v>
      </c>
      <c r="J7" s="18" t="n">
        <f aca="false">H7*1024^3/I7/3600</f>
        <v>7.2079890962963</v>
      </c>
      <c r="K7" s="15" t="s">
        <v>10356</v>
      </c>
      <c r="L7" s="15" t="str">
        <f aca="false">HYPERLINK("https://drive.google.com/file/d/1Rjox0Z-LLqn-pBiTNmhX6FBJ-FnU7s2O/view","Open")</f>
        <v>Open</v>
      </c>
      <c r="M7" s="5"/>
    </row>
    <row r="8" customFormat="false" ht="15" hidden="false" customHeight="false" outlineLevel="0" collapsed="false">
      <c r="A8" s="15" t="s">
        <v>10350</v>
      </c>
      <c r="B8" s="15" t="s">
        <v>10378</v>
      </c>
      <c r="C8" s="15" t="n">
        <v>1</v>
      </c>
      <c r="D8" s="15" t="s">
        <v>10379</v>
      </c>
      <c r="E8" s="15" t="s">
        <v>10380</v>
      </c>
      <c r="F8" s="15" t="s">
        <v>10354</v>
      </c>
      <c r="G8" s="15" t="s">
        <v>10381</v>
      </c>
      <c r="H8" s="30" t="n">
        <v>3.98</v>
      </c>
      <c r="I8" s="31" t="n">
        <v>96000</v>
      </c>
      <c r="J8" s="18" t="n">
        <f aca="false">H8*1024^3/I8/3600</f>
        <v>12.3654295703704</v>
      </c>
      <c r="K8" s="15" t="s">
        <v>10356</v>
      </c>
      <c r="L8" s="15" t="str">
        <f aca="false">HYPERLINK("https://drive.google.com/file/d/1RkFfEDPaWO7d2U-7u9uE39KZ6ordtVUH/view","Open")</f>
        <v>Open</v>
      </c>
      <c r="M8" s="5" t="s">
        <v>10382</v>
      </c>
    </row>
    <row r="9" customFormat="false" ht="15" hidden="false" customHeight="false" outlineLevel="0" collapsed="false">
      <c r="A9" s="15" t="s">
        <v>10350</v>
      </c>
      <c r="B9" s="15" t="s">
        <v>10383</v>
      </c>
      <c r="C9" s="15" t="n">
        <v>1</v>
      </c>
      <c r="D9" s="15" t="s">
        <v>10384</v>
      </c>
      <c r="E9" s="15" t="s">
        <v>10385</v>
      </c>
      <c r="F9" s="15" t="s">
        <v>10354</v>
      </c>
      <c r="G9" s="15" t="s">
        <v>10361</v>
      </c>
      <c r="H9" s="30" t="n">
        <v>4</v>
      </c>
      <c r="I9" s="31" t="n">
        <v>96000</v>
      </c>
      <c r="J9" s="18" t="n">
        <f aca="false">H9*1024^3/I9/3600</f>
        <v>12.4275674074074</v>
      </c>
      <c r="K9" s="15" t="s">
        <v>10356</v>
      </c>
      <c r="L9" s="15" t="str">
        <f aca="false">HYPERLINK("https://drive.google.com/file/d/1RQxEfpAFMqec6BENMlBi6Xins2nbNVg7/view","Open")</f>
        <v>Open</v>
      </c>
      <c r="M9" s="5"/>
    </row>
    <row r="10" customFormat="false" ht="15" hidden="false" customHeight="false" outlineLevel="0" collapsed="false">
      <c r="A10" s="15" t="s">
        <v>10350</v>
      </c>
      <c r="B10" s="15" t="s">
        <v>10386</v>
      </c>
      <c r="C10" s="15" t="n">
        <v>1</v>
      </c>
      <c r="D10" s="15" t="s">
        <v>10387</v>
      </c>
      <c r="E10" s="15" t="s">
        <v>10388</v>
      </c>
      <c r="F10" s="15" t="s">
        <v>10354</v>
      </c>
      <c r="G10" s="15" t="s">
        <v>10389</v>
      </c>
      <c r="H10" s="30" t="n">
        <v>3.72</v>
      </c>
      <c r="I10" s="31" t="n">
        <v>96000</v>
      </c>
      <c r="J10" s="18" t="n">
        <f aca="false">H10*1024^3/I10/3600</f>
        <v>11.5576376888889</v>
      </c>
      <c r="K10" s="15" t="s">
        <v>10356</v>
      </c>
      <c r="L10" s="15" t="str">
        <f aca="false">HYPERLINK("https://drive.google.com/file/d/1RrrVSisqqXqpbx-mdt9ZZjo3SzJGtJKi/view","Open")</f>
        <v>Open</v>
      </c>
      <c r="M10" s="5"/>
    </row>
    <row r="11" customFormat="false" ht="15" hidden="false" customHeight="false" outlineLevel="0" collapsed="false">
      <c r="A11" s="15" t="s">
        <v>10350</v>
      </c>
      <c r="B11" s="15" t="s">
        <v>10390</v>
      </c>
      <c r="C11" s="15" t="n">
        <v>1</v>
      </c>
      <c r="D11" s="15" t="s">
        <v>10391</v>
      </c>
      <c r="E11" s="15" t="s">
        <v>10392</v>
      </c>
      <c r="F11" s="15" t="s">
        <v>10354</v>
      </c>
      <c r="G11" s="15" t="s">
        <v>10361</v>
      </c>
      <c r="H11" s="30" t="n">
        <v>4</v>
      </c>
      <c r="I11" s="31" t="n">
        <v>96000</v>
      </c>
      <c r="J11" s="18" t="n">
        <f aca="false">H11*1024^3/I11/3600</f>
        <v>12.4275674074074</v>
      </c>
      <c r="K11" s="15" t="s">
        <v>10356</v>
      </c>
      <c r="L11" s="15" t="str">
        <f aca="false">HYPERLINK("https://drive.google.com/file/d/1SGtIObWdymKx2Vi0tKaYbkpg24JGn4vR/view","Open")</f>
        <v>Open</v>
      </c>
      <c r="M11" s="5"/>
    </row>
    <row r="12" customFormat="false" ht="15" hidden="false" customHeight="false" outlineLevel="0" collapsed="false">
      <c r="A12" s="15" t="s">
        <v>10350</v>
      </c>
      <c r="B12" s="15" t="s">
        <v>10393</v>
      </c>
      <c r="C12" s="15" t="n">
        <v>1</v>
      </c>
      <c r="D12" s="15" t="s">
        <v>10394</v>
      </c>
      <c r="E12" s="15" t="s">
        <v>10395</v>
      </c>
      <c r="F12" s="15" t="s">
        <v>10354</v>
      </c>
      <c r="G12" s="15" t="s">
        <v>10389</v>
      </c>
      <c r="H12" s="30" t="n">
        <v>3.72</v>
      </c>
      <c r="I12" s="31" t="n">
        <v>96000</v>
      </c>
      <c r="J12" s="18" t="n">
        <f aca="false">H12*1024^3/I12/3600</f>
        <v>11.5576376888889</v>
      </c>
      <c r="K12" s="15" t="s">
        <v>10356</v>
      </c>
      <c r="L12" s="15" t="str">
        <f aca="false">HYPERLINK("https://drive.google.com/file/d/1R_FvOAl9AGmlGmn_J8WeyOAxVrR9OCsz/view","Open")</f>
        <v>Open</v>
      </c>
      <c r="M12" s="5"/>
    </row>
    <row r="13" customFormat="false" ht="15" hidden="false" customHeight="false" outlineLevel="0" collapsed="false">
      <c r="A13" s="15" t="s">
        <v>10350</v>
      </c>
      <c r="B13" s="15" t="s">
        <v>10396</v>
      </c>
      <c r="C13" s="15" t="n">
        <v>1</v>
      </c>
      <c r="D13" s="15" t="s">
        <v>10397</v>
      </c>
      <c r="E13" s="15" t="s">
        <v>10398</v>
      </c>
      <c r="F13" s="15" t="s">
        <v>10354</v>
      </c>
      <c r="G13" s="15" t="s">
        <v>10361</v>
      </c>
      <c r="H13" s="30" t="n">
        <v>4</v>
      </c>
      <c r="I13" s="31" t="n">
        <v>96000</v>
      </c>
      <c r="J13" s="18" t="n">
        <f aca="false">H13*1024^3/I13/3600</f>
        <v>12.4275674074074</v>
      </c>
      <c r="K13" s="15" t="s">
        <v>10356</v>
      </c>
      <c r="L13" s="15" t="str">
        <f aca="false">HYPERLINK("https://drive.google.com/file/d/1RiNPTEAAZcmKWLsU99gns-TH7cJu5v6d/view","Open")</f>
        <v>Open</v>
      </c>
      <c r="M13" s="5"/>
    </row>
    <row r="14" customFormat="false" ht="15" hidden="false" customHeight="false" outlineLevel="0" collapsed="false">
      <c r="A14" s="15" t="s">
        <v>10350</v>
      </c>
      <c r="B14" s="15" t="s">
        <v>10399</v>
      </c>
      <c r="C14" s="15" t="n">
        <v>1</v>
      </c>
      <c r="D14" s="15" t="s">
        <v>10400</v>
      </c>
      <c r="E14" s="15" t="s">
        <v>10401</v>
      </c>
      <c r="F14" s="15" t="s">
        <v>10354</v>
      </c>
      <c r="G14" s="15" t="s">
        <v>10389</v>
      </c>
      <c r="H14" s="30" t="n">
        <v>3.72</v>
      </c>
      <c r="I14" s="31" t="n">
        <v>96000</v>
      </c>
      <c r="J14" s="18" t="n">
        <f aca="false">H14*1024^3/I14/3600</f>
        <v>11.5576376888889</v>
      </c>
      <c r="K14" s="15" t="s">
        <v>10356</v>
      </c>
      <c r="L14" s="15" t="str">
        <f aca="false">HYPERLINK("https://drive.google.com/file/d/1RnxQXyUI0bm7MryQOZk35nkGn59whh7Z/view","Open")</f>
        <v>Open</v>
      </c>
      <c r="M14" s="5"/>
    </row>
    <row r="15" customFormat="false" ht="15" hidden="false" customHeight="false" outlineLevel="0" collapsed="false">
      <c r="A15" s="15" t="s">
        <v>10350</v>
      </c>
      <c r="B15" s="15" t="s">
        <v>10402</v>
      </c>
      <c r="C15" s="15" t="n">
        <v>1</v>
      </c>
      <c r="D15" s="15" t="s">
        <v>10403</v>
      </c>
      <c r="E15" s="15" t="s">
        <v>10404</v>
      </c>
      <c r="F15" s="15" t="s">
        <v>10354</v>
      </c>
      <c r="G15" s="15" t="s">
        <v>10361</v>
      </c>
      <c r="H15" s="30" t="n">
        <v>4</v>
      </c>
      <c r="I15" s="31" t="n">
        <v>96000</v>
      </c>
      <c r="J15" s="18" t="n">
        <f aca="false">H15*1024^3/I15/3600</f>
        <v>12.4275674074074</v>
      </c>
      <c r="K15" s="15" t="s">
        <v>10356</v>
      </c>
      <c r="L15" s="15" t="str">
        <f aca="false">HYPERLINK("https://drive.google.com/file/d/1RW_UI625BojNcSMXs1hKFh13cm6vqXew/view","Open")</f>
        <v>Open</v>
      </c>
      <c r="M15" s="5"/>
    </row>
    <row r="16" customFormat="false" ht="15" hidden="false" customHeight="false" outlineLevel="0" collapsed="false">
      <c r="A16" s="15" t="s">
        <v>10350</v>
      </c>
      <c r="B16" s="15" t="s">
        <v>10405</v>
      </c>
      <c r="C16" s="15" t="n">
        <v>1</v>
      </c>
      <c r="D16" s="15" t="s">
        <v>10406</v>
      </c>
      <c r="E16" s="15" t="s">
        <v>10407</v>
      </c>
      <c r="F16" s="15" t="s">
        <v>10354</v>
      </c>
      <c r="G16" s="15"/>
      <c r="H16" s="30"/>
      <c r="I16" s="24"/>
      <c r="J16" s="18"/>
      <c r="K16" s="15" t="s">
        <v>10356</v>
      </c>
      <c r="L16" s="15" t="str">
        <f aca="false">HYPERLINK("https://drive.google.com/file/d/1Qdy48k7zcMryZo4HSYJvTIk0-fzR-jCa/view","Open")</f>
        <v>Open</v>
      </c>
      <c r="M16" s="5" t="s">
        <v>10408</v>
      </c>
    </row>
    <row r="17" customFormat="false" ht="15" hidden="false" customHeight="false" outlineLevel="0" collapsed="false">
      <c r="A17" s="15" t="s">
        <v>10409</v>
      </c>
      <c r="B17" s="15" t="s">
        <v>10410</v>
      </c>
      <c r="C17" s="15" t="n">
        <v>1</v>
      </c>
      <c r="D17" s="15" t="s">
        <v>10411</v>
      </c>
      <c r="E17" s="15" t="s">
        <v>10412</v>
      </c>
      <c r="F17" s="15" t="s">
        <v>10413</v>
      </c>
      <c r="G17" s="15" t="s">
        <v>10414</v>
      </c>
      <c r="H17" s="30" t="n">
        <v>0.64375</v>
      </c>
      <c r="I17" s="31" t="n">
        <v>96000</v>
      </c>
      <c r="J17" s="18" t="n">
        <f aca="false">H17*1024^3/I17/3600</f>
        <v>2.00006162962963</v>
      </c>
      <c r="K17" s="15" t="s">
        <v>10356</v>
      </c>
      <c r="L17" s="15" t="str">
        <f aca="false">HYPERLINK("https://drive.google.com/file/d/1Z43GS5sWctg2Nxn40MU8QxmbRiodLI_q/view","Open")</f>
        <v>Open</v>
      </c>
      <c r="M17" s="5"/>
    </row>
    <row r="18" customFormat="false" ht="15" hidden="false" customHeight="false" outlineLevel="0" collapsed="false">
      <c r="A18" s="15" t="s">
        <v>10409</v>
      </c>
      <c r="B18" s="15" t="s">
        <v>10415</v>
      </c>
      <c r="C18" s="15" t="n">
        <v>1</v>
      </c>
      <c r="D18" s="15" t="s">
        <v>10416</v>
      </c>
      <c r="E18" s="15" t="s">
        <v>10417</v>
      </c>
      <c r="F18" s="15" t="s">
        <v>10413</v>
      </c>
      <c r="G18" s="15" t="s">
        <v>10414</v>
      </c>
      <c r="H18" s="30" t="n">
        <v>0.64375</v>
      </c>
      <c r="I18" s="31" t="n">
        <v>96000</v>
      </c>
      <c r="J18" s="18" t="n">
        <f aca="false">H18*1024^3/I18/3600</f>
        <v>2.00006162962963</v>
      </c>
      <c r="K18" s="15" t="s">
        <v>10356</v>
      </c>
      <c r="L18" s="15" t="str">
        <f aca="false">HYPERLINK("https://drive.google.com/file/d/1YxfPPSde-s_jqi0kh95x-6rvxNwP1JUP/view","Open")</f>
        <v>Open</v>
      </c>
      <c r="M18" s="5"/>
    </row>
    <row r="19" customFormat="false" ht="15" hidden="false" customHeight="false" outlineLevel="0" collapsed="false">
      <c r="A19" s="15" t="s">
        <v>10409</v>
      </c>
      <c r="B19" s="15" t="s">
        <v>10418</v>
      </c>
      <c r="C19" s="15" t="n">
        <v>1</v>
      </c>
      <c r="D19" s="15" t="s">
        <v>10419</v>
      </c>
      <c r="E19" s="15" t="s">
        <v>10420</v>
      </c>
      <c r="F19" s="15" t="s">
        <v>10413</v>
      </c>
      <c r="G19" s="15" t="s">
        <v>10414</v>
      </c>
      <c r="H19" s="30" t="n">
        <v>0.64375</v>
      </c>
      <c r="I19" s="31" t="n">
        <v>96000</v>
      </c>
      <c r="J19" s="18" t="n">
        <f aca="false">H19*1024^3/I19/3600</f>
        <v>2.00006162962963</v>
      </c>
      <c r="K19" s="15" t="s">
        <v>10356</v>
      </c>
      <c r="L19" s="15" t="str">
        <f aca="false">HYPERLINK("https://drive.google.com/file/d/1Z_VVLqPhODjBPOSb2FJgSvBgIWZxGMUC/view","Open")</f>
        <v>Open</v>
      </c>
      <c r="M19" s="5"/>
    </row>
    <row r="20" customFormat="false" ht="15" hidden="false" customHeight="false" outlineLevel="0" collapsed="false">
      <c r="A20" s="15" t="s">
        <v>10409</v>
      </c>
      <c r="B20" s="15" t="s">
        <v>10421</v>
      </c>
      <c r="C20" s="15" t="n">
        <v>1</v>
      </c>
      <c r="D20" s="15" t="s">
        <v>10422</v>
      </c>
      <c r="E20" s="15" t="s">
        <v>10423</v>
      </c>
      <c r="F20" s="15" t="s">
        <v>10413</v>
      </c>
      <c r="G20" s="15" t="s">
        <v>10414</v>
      </c>
      <c r="H20" s="30" t="n">
        <v>0.64375</v>
      </c>
      <c r="I20" s="31" t="n">
        <v>96000</v>
      </c>
      <c r="J20" s="18" t="n">
        <f aca="false">H20*1024^3/I20/3600</f>
        <v>2.00006162962963</v>
      </c>
      <c r="K20" s="15" t="s">
        <v>10356</v>
      </c>
      <c r="L20" s="15" t="str">
        <f aca="false">HYPERLINK("https://drive.google.com/file/d/1YvpxUzD4Dr9lRndnbL8U0JkYRgOv_o8t/view","Open")</f>
        <v>Open</v>
      </c>
      <c r="M20" s="5"/>
    </row>
    <row r="21" customFormat="false" ht="15" hidden="false" customHeight="false" outlineLevel="0" collapsed="false">
      <c r="A21" s="15" t="s">
        <v>10409</v>
      </c>
      <c r="B21" s="15" t="s">
        <v>10424</v>
      </c>
      <c r="C21" s="15" t="n">
        <v>1</v>
      </c>
      <c r="D21" s="15" t="s">
        <v>10425</v>
      </c>
      <c r="E21" s="15" t="s">
        <v>10426</v>
      </c>
      <c r="F21" s="15" t="s">
        <v>10413</v>
      </c>
      <c r="G21" s="15" t="s">
        <v>10414</v>
      </c>
      <c r="H21" s="30" t="n">
        <v>0.64375</v>
      </c>
      <c r="I21" s="31" t="n">
        <v>96000</v>
      </c>
      <c r="J21" s="18" t="n">
        <f aca="false">H21*1024^3/I21/3600</f>
        <v>2.00006162962963</v>
      </c>
      <c r="K21" s="15" t="s">
        <v>10356</v>
      </c>
      <c r="L21" s="15" t="str">
        <f aca="false">HYPERLINK("https://drive.google.com/file/d/1YzScCbCE9Q_xWakkSsY-d77qHcZMaf28/view","Open")</f>
        <v>Open</v>
      </c>
      <c r="M21" s="5"/>
    </row>
    <row r="22" customFormat="false" ht="15" hidden="false" customHeight="false" outlineLevel="0" collapsed="false">
      <c r="A22" s="15" t="s">
        <v>10409</v>
      </c>
      <c r="B22" s="15" t="s">
        <v>10427</v>
      </c>
      <c r="C22" s="15" t="n">
        <v>1</v>
      </c>
      <c r="D22" s="15" t="s">
        <v>10428</v>
      </c>
      <c r="E22" s="15" t="s">
        <v>10429</v>
      </c>
      <c r="F22" s="15" t="s">
        <v>10413</v>
      </c>
      <c r="G22" s="15" t="s">
        <v>10430</v>
      </c>
      <c r="H22" s="30" t="n">
        <v>0.50576171875</v>
      </c>
      <c r="I22" s="31" t="n">
        <v>96000</v>
      </c>
      <c r="J22" s="18" t="n">
        <f aca="false">H22*1024^3/I22/3600</f>
        <v>1.57134696296296</v>
      </c>
      <c r="K22" s="15" t="s">
        <v>10356</v>
      </c>
      <c r="L22" s="15" t="str">
        <f aca="false">HYPERLINK("https://drive.google.com/file/d/1ZcWJdWDFHWH9-LH1oKsNtajny3v88e8u/view","Open")</f>
        <v>Open</v>
      </c>
      <c r="M22" s="5" t="s">
        <v>10431</v>
      </c>
    </row>
    <row r="23" customFormat="false" ht="15" hidden="false" customHeight="false" outlineLevel="0" collapsed="false">
      <c r="A23" s="15" t="s">
        <v>10409</v>
      </c>
      <c r="B23" s="15" t="s">
        <v>10432</v>
      </c>
      <c r="C23" s="15" t="n">
        <v>1</v>
      </c>
      <c r="D23" s="15" t="s">
        <v>10433</v>
      </c>
      <c r="E23" s="15" t="s">
        <v>10434</v>
      </c>
      <c r="F23" s="15" t="s">
        <v>10413</v>
      </c>
      <c r="G23" s="15" t="s">
        <v>10435</v>
      </c>
      <c r="H23" s="30" t="n">
        <v>1.29</v>
      </c>
      <c r="I23" s="31" t="n">
        <v>192000</v>
      </c>
      <c r="J23" s="18" t="n">
        <f aca="false">H23*1024^3/I23/3600</f>
        <v>2.00394524444444</v>
      </c>
      <c r="K23" s="15" t="s">
        <v>10356</v>
      </c>
      <c r="L23" s="15" t="str">
        <f aca="false">HYPERLINK("https://drive.google.com/file/d/1Z_p54QnHLoyigQlMBwL8XT398xJnNmqS/view","Open")</f>
        <v>Open</v>
      </c>
      <c r="M23" s="5" t="s">
        <v>10436</v>
      </c>
    </row>
    <row r="24" customFormat="false" ht="15" hidden="false" customHeight="false" outlineLevel="0" collapsed="false">
      <c r="A24" s="15" t="s">
        <v>10409</v>
      </c>
      <c r="B24" s="15" t="s">
        <v>10437</v>
      </c>
      <c r="C24" s="15" t="n">
        <v>1</v>
      </c>
      <c r="D24" s="15" t="s">
        <v>10438</v>
      </c>
      <c r="E24" s="15" t="s">
        <v>10439</v>
      </c>
      <c r="F24" s="15" t="s">
        <v>10413</v>
      </c>
      <c r="G24" s="15" t="s">
        <v>10435</v>
      </c>
      <c r="H24" s="30" t="n">
        <v>1.29</v>
      </c>
      <c r="I24" s="31" t="n">
        <v>192000</v>
      </c>
      <c r="J24" s="18" t="n">
        <f aca="false">H24*1024^3/I24/3600</f>
        <v>2.00394524444444</v>
      </c>
      <c r="K24" s="15" t="s">
        <v>10356</v>
      </c>
      <c r="L24" s="15" t="str">
        <f aca="false">HYPERLINK("https://drive.google.com/file/d/1ZQsgIlKlVvdeXykS6TOimQwoQdKYSJrU/view","Open")</f>
        <v>Open</v>
      </c>
      <c r="M24" s="5" t="s">
        <v>10436</v>
      </c>
    </row>
    <row r="25" customFormat="false" ht="15" hidden="false" customHeight="false" outlineLevel="0" collapsed="false">
      <c r="A25" s="15" t="s">
        <v>10409</v>
      </c>
      <c r="B25" s="15" t="s">
        <v>10440</v>
      </c>
      <c r="C25" s="15" t="n">
        <v>1</v>
      </c>
      <c r="D25" s="15" t="s">
        <v>10441</v>
      </c>
      <c r="E25" s="15" t="s">
        <v>10442</v>
      </c>
      <c r="F25" s="15" t="s">
        <v>10413</v>
      </c>
      <c r="G25" s="15" t="s">
        <v>10435</v>
      </c>
      <c r="H25" s="30" t="n">
        <v>1.29</v>
      </c>
      <c r="I25" s="31" t="n">
        <v>192000</v>
      </c>
      <c r="J25" s="18" t="n">
        <f aca="false">H25*1024^3/I25/3600</f>
        <v>2.00394524444444</v>
      </c>
      <c r="K25" s="15" t="s">
        <v>10356</v>
      </c>
      <c r="L25" s="15" t="str">
        <f aca="false">HYPERLINK("https://drive.google.com/file/d/1ZNLMI5V2YdZu_uwgC66RuSim3pyByn4G/view","Open")</f>
        <v>Open</v>
      </c>
      <c r="M25" s="5" t="s">
        <v>10436</v>
      </c>
    </row>
    <row r="26" customFormat="false" ht="15" hidden="false" customHeight="false" outlineLevel="0" collapsed="false">
      <c r="A26" s="15" t="s">
        <v>10409</v>
      </c>
      <c r="B26" s="15" t="s">
        <v>10443</v>
      </c>
      <c r="C26" s="15" t="n">
        <v>1</v>
      </c>
      <c r="D26" s="15" t="s">
        <v>10444</v>
      </c>
      <c r="E26" s="15" t="s">
        <v>10445</v>
      </c>
      <c r="F26" s="15" t="s">
        <v>10413</v>
      </c>
      <c r="G26" s="15" t="s">
        <v>10435</v>
      </c>
      <c r="H26" s="30" t="n">
        <v>1.29</v>
      </c>
      <c r="I26" s="31" t="n">
        <v>192000</v>
      </c>
      <c r="J26" s="18" t="n">
        <f aca="false">H26*1024^3/I26/3600</f>
        <v>2.00394524444444</v>
      </c>
      <c r="K26" s="15" t="s">
        <v>10356</v>
      </c>
      <c r="L26" s="15" t="str">
        <f aca="false">HYPERLINK("https://drive.google.com/file/d/1Yii_RCqjhhKVtauLb4Nou9subwoHaP-D/view","Open")</f>
        <v>Open</v>
      </c>
      <c r="M26" s="5" t="s">
        <v>10436</v>
      </c>
    </row>
    <row r="27" customFormat="false" ht="15" hidden="false" customHeight="false" outlineLevel="0" collapsed="false">
      <c r="A27" s="15" t="s">
        <v>10409</v>
      </c>
      <c r="B27" s="15" t="s">
        <v>10446</v>
      </c>
      <c r="C27" s="15" t="n">
        <v>1</v>
      </c>
      <c r="D27" s="15" t="s">
        <v>10447</v>
      </c>
      <c r="E27" s="15" t="s">
        <v>10448</v>
      </c>
      <c r="F27" s="15" t="s">
        <v>10413</v>
      </c>
      <c r="G27" s="15" t="s">
        <v>10435</v>
      </c>
      <c r="H27" s="30" t="n">
        <v>1.29</v>
      </c>
      <c r="I27" s="31" t="n">
        <v>192000</v>
      </c>
      <c r="J27" s="18" t="n">
        <f aca="false">H27*1024^3/I27/3600</f>
        <v>2.00394524444444</v>
      </c>
      <c r="K27" s="15" t="s">
        <v>10356</v>
      </c>
      <c r="L27" s="15" t="str">
        <f aca="false">HYPERLINK("https://drive.google.com/file/d/1YxNm4qu3YpxxOl_CZcYVjRw0tb1X0TDX/view","Open")</f>
        <v>Open</v>
      </c>
      <c r="M27" s="5" t="s">
        <v>10436</v>
      </c>
    </row>
    <row r="28" customFormat="false" ht="15" hidden="false" customHeight="false" outlineLevel="0" collapsed="false">
      <c r="A28" s="15" t="s">
        <v>10409</v>
      </c>
      <c r="B28" s="15" t="s">
        <v>10449</v>
      </c>
      <c r="C28" s="15" t="n">
        <v>1</v>
      </c>
      <c r="D28" s="15" t="s">
        <v>10450</v>
      </c>
      <c r="E28" s="15" t="s">
        <v>10451</v>
      </c>
      <c r="F28" s="15" t="s">
        <v>10413</v>
      </c>
      <c r="G28" s="15" t="s">
        <v>10435</v>
      </c>
      <c r="H28" s="30" t="n">
        <v>1.29</v>
      </c>
      <c r="I28" s="31" t="n">
        <v>192000</v>
      </c>
      <c r="J28" s="18" t="n">
        <f aca="false">H28*1024^3/I28/3600</f>
        <v>2.00394524444444</v>
      </c>
      <c r="K28" s="15" t="s">
        <v>10356</v>
      </c>
      <c r="L28" s="15" t="str">
        <f aca="false">HYPERLINK("https://drive.google.com/file/d/1ZKeuha3WuQsveRwMnN-oc6FLNpU3BqTI/view","Open")</f>
        <v>Open</v>
      </c>
      <c r="M28" s="5" t="s">
        <v>10436</v>
      </c>
    </row>
    <row r="29" customFormat="false" ht="15" hidden="false" customHeight="false" outlineLevel="0" collapsed="false">
      <c r="A29" s="15" t="s">
        <v>10452</v>
      </c>
      <c r="B29" s="15" t="s">
        <v>10453</v>
      </c>
      <c r="C29" s="15" t="n">
        <v>50</v>
      </c>
      <c r="D29" s="15" t="s">
        <v>10454</v>
      </c>
      <c r="E29" s="15" t="s">
        <v>10455</v>
      </c>
      <c r="F29" s="15" t="s">
        <v>10456</v>
      </c>
      <c r="G29" s="15"/>
      <c r="H29" s="30"/>
      <c r="I29" s="24"/>
      <c r="J29" s="18" t="n">
        <f aca="false">C29/60</f>
        <v>0.833333333333333</v>
      </c>
      <c r="K29" s="15" t="s">
        <v>10356</v>
      </c>
      <c r="L29" s="15" t="str">
        <f aca="false">HYPERLINK("https://drive.google.com/drive/folders/1ZVBn6E5WdoPybn9dl24IkL7CuWdhteMG","Open")</f>
        <v>Open</v>
      </c>
      <c r="M29" s="5" t="s">
        <v>10457</v>
      </c>
    </row>
    <row r="30" customFormat="false" ht="15" hidden="false" customHeight="false" outlineLevel="0" collapsed="false">
      <c r="A30" s="15" t="s">
        <v>10452</v>
      </c>
      <c r="B30" s="15" t="s">
        <v>10458</v>
      </c>
      <c r="C30" s="15" t="n">
        <v>50</v>
      </c>
      <c r="D30" s="15" t="s">
        <v>10459</v>
      </c>
      <c r="E30" s="15" t="s">
        <v>10460</v>
      </c>
      <c r="F30" s="15" t="s">
        <v>10456</v>
      </c>
      <c r="G30" s="15"/>
      <c r="H30" s="30"/>
      <c r="I30" s="24"/>
      <c r="J30" s="18" t="n">
        <f aca="false">C30/60</f>
        <v>0.833333333333333</v>
      </c>
      <c r="K30" s="15" t="s">
        <v>10356</v>
      </c>
      <c r="L30" s="15" t="str">
        <f aca="false">HYPERLINK("https://drive.google.com/drive/folders/1ZTYRxSSE39M7Nfoo2Nk62KmDawiOqy1W","Open")</f>
        <v>Open</v>
      </c>
      <c r="M30" s="5" t="s">
        <v>10457</v>
      </c>
    </row>
    <row r="31" customFormat="false" ht="15" hidden="false" customHeight="false" outlineLevel="0" collapsed="false">
      <c r="A31" s="15" t="s">
        <v>10452</v>
      </c>
      <c r="B31" s="15" t="s">
        <v>10461</v>
      </c>
      <c r="C31" s="15" t="n">
        <v>50</v>
      </c>
      <c r="D31" s="15" t="s">
        <v>10462</v>
      </c>
      <c r="E31" s="15" t="s">
        <v>10463</v>
      </c>
      <c r="F31" s="15" t="s">
        <v>10456</v>
      </c>
      <c r="G31" s="15"/>
      <c r="H31" s="30"/>
      <c r="I31" s="24"/>
      <c r="J31" s="18" t="n">
        <f aca="false">C31/60</f>
        <v>0.833333333333333</v>
      </c>
      <c r="K31" s="15" t="s">
        <v>10356</v>
      </c>
      <c r="L31" s="15" t="str">
        <f aca="false">HYPERLINK("https://drive.google.com/drive/folders/1ZUsf5CBYw9PJonuNn4KQiwQf0oy1XgnF","Open")</f>
        <v>Open</v>
      </c>
      <c r="M31" s="5" t="s">
        <v>10457</v>
      </c>
    </row>
    <row r="32" customFormat="false" ht="15" hidden="false" customHeight="false" outlineLevel="0" collapsed="false">
      <c r="A32" s="15" t="s">
        <v>10452</v>
      </c>
      <c r="B32" s="15" t="s">
        <v>10464</v>
      </c>
      <c r="C32" s="15" t="n">
        <v>50</v>
      </c>
      <c r="D32" s="15" t="s">
        <v>10465</v>
      </c>
      <c r="E32" s="15" t="s">
        <v>10466</v>
      </c>
      <c r="F32" s="15" t="s">
        <v>10456</v>
      </c>
      <c r="G32" s="15"/>
      <c r="H32" s="30"/>
      <c r="I32" s="24"/>
      <c r="J32" s="18" t="n">
        <f aca="false">C32/60</f>
        <v>0.833333333333333</v>
      </c>
      <c r="K32" s="15" t="s">
        <v>10356</v>
      </c>
      <c r="L32" s="15" t="str">
        <f aca="false">HYPERLINK("https://drive.google.com/drive/folders/1ZYxiLMLxX4H1NEFfvTkYQS5vw9GxGsEE","Open")</f>
        <v>Open</v>
      </c>
      <c r="M32" s="5" t="s">
        <v>10457</v>
      </c>
    </row>
    <row r="33" customFormat="false" ht="23.85" hidden="false" customHeight="false" outlineLevel="0" collapsed="false">
      <c r="A33" s="15" t="s">
        <v>10467</v>
      </c>
      <c r="B33" s="15" t="s">
        <v>10468</v>
      </c>
      <c r="C33" s="15" t="n">
        <v>53</v>
      </c>
      <c r="D33" s="15" t="s">
        <v>10469</v>
      </c>
      <c r="E33" s="15" t="s">
        <v>10470</v>
      </c>
      <c r="F33" s="15" t="s">
        <v>10471</v>
      </c>
      <c r="G33" s="15"/>
      <c r="H33" s="30"/>
      <c r="I33" s="24"/>
      <c r="J33" s="18"/>
      <c r="K33" s="15" t="s">
        <v>10472</v>
      </c>
      <c r="L33" s="15" t="str">
        <f aca="false">HYPERLINK("https://drive.google.com/drive/folders/1RjVAd0fE8bEpYqEnfKpKC4c774m1rrMq","Open")</f>
        <v>Open</v>
      </c>
      <c r="M33" s="5" t="s">
        <v>10473</v>
      </c>
    </row>
    <row r="34" customFormat="false" ht="23.85" hidden="false" customHeight="false" outlineLevel="0" collapsed="false">
      <c r="A34" s="15" t="s">
        <v>10467</v>
      </c>
      <c r="B34" s="15" t="s">
        <v>10474</v>
      </c>
      <c r="C34" s="15" t="n">
        <v>11</v>
      </c>
      <c r="D34" s="15" t="s">
        <v>10475</v>
      </c>
      <c r="E34" s="15" t="s">
        <v>10476</v>
      </c>
      <c r="F34" s="15" t="s">
        <v>10471</v>
      </c>
      <c r="G34" s="15"/>
      <c r="H34" s="30"/>
      <c r="I34" s="24"/>
      <c r="J34" s="18"/>
      <c r="K34" s="15" t="s">
        <v>10472</v>
      </c>
      <c r="L34" s="15" t="str">
        <f aca="false">HYPERLINK("https://drive.google.com/drive/folders/1Rj_qCbavX1OSLhKNA30LKvXXGu8fzo5E","Open")</f>
        <v>Open</v>
      </c>
      <c r="M34" s="5" t="s">
        <v>10477</v>
      </c>
    </row>
    <row r="35" customFormat="false" ht="15" hidden="false" customHeight="false" outlineLevel="0" collapsed="false">
      <c r="A35" s="15" t="s">
        <v>10478</v>
      </c>
      <c r="B35" s="15" t="s">
        <v>10479</v>
      </c>
      <c r="C35" s="15" t="n">
        <v>1</v>
      </c>
      <c r="D35" s="15"/>
      <c r="E35" s="15"/>
      <c r="F35" s="15" t="s">
        <v>10480</v>
      </c>
      <c r="G35" s="15"/>
      <c r="H35" s="30"/>
      <c r="I35" s="24"/>
      <c r="J35" s="18"/>
      <c r="K35" s="15"/>
      <c r="L35" s="15" t="str">
        <f aca="false">HYPERLINK("https://drive.google.com/file/d/1RIETKnniB_dIvH3T_pes1-d7_JkWbLp9/view","Open")</f>
        <v>Open</v>
      </c>
      <c r="M35" s="5" t="s">
        <v>10481</v>
      </c>
    </row>
    <row r="36" customFormat="false" ht="15" hidden="false" customHeight="false" outlineLevel="0" collapsed="false">
      <c r="A36" s="15" t="s">
        <v>10482</v>
      </c>
      <c r="B36" s="15" t="s">
        <v>10483</v>
      </c>
      <c r="C36" s="15" t="n">
        <v>1</v>
      </c>
      <c r="D36" s="15"/>
      <c r="E36" s="15"/>
      <c r="F36" s="15" t="s">
        <v>10484</v>
      </c>
      <c r="G36" s="15"/>
      <c r="H36" s="30"/>
      <c r="I36" s="24"/>
      <c r="J36" s="18"/>
      <c r="K36" s="15"/>
      <c r="L36" s="15" t="str">
        <f aca="false">HYPERLINK("https://drive.google.com/file/d/1Rr0SQA92X6CsYy8vH61uUKopg1uKGCo5/view","Open")</f>
        <v>Open</v>
      </c>
      <c r="M36" s="5" t="s">
        <v>10485</v>
      </c>
    </row>
  </sheetData>
  <autoFilter ref="A1:M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5" min="5" style="0" width="55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4" t="s">
        <v>10486</v>
      </c>
      <c r="B1" s="14" t="s">
        <v>10487</v>
      </c>
      <c r="C1" s="14" t="s">
        <v>10488</v>
      </c>
      <c r="D1" s="14" t="s">
        <v>10489</v>
      </c>
      <c r="E1" s="14" t="s">
        <v>10490</v>
      </c>
      <c r="F1" s="14" t="s">
        <v>10491</v>
      </c>
    </row>
    <row r="2" customFormat="false" ht="23.85" hidden="false" customHeight="false" outlineLevel="0" collapsed="false">
      <c r="A2" s="5" t="n">
        <v>1</v>
      </c>
      <c r="B2" s="5" t="s">
        <v>10492</v>
      </c>
      <c r="C2" s="5" t="s">
        <v>10493</v>
      </c>
      <c r="D2" s="5" t="s">
        <v>10494</v>
      </c>
      <c r="E2" s="5" t="s">
        <v>10495</v>
      </c>
      <c r="F2" s="5" t="s">
        <v>10496</v>
      </c>
    </row>
    <row r="3" customFormat="false" ht="35.05" hidden="false" customHeight="false" outlineLevel="0" collapsed="false">
      <c r="A3" s="5" t="n">
        <v>2</v>
      </c>
      <c r="B3" s="5" t="s">
        <v>10497</v>
      </c>
      <c r="C3" s="5" t="s">
        <v>10498</v>
      </c>
      <c r="D3" s="5" t="s">
        <v>10499</v>
      </c>
      <c r="E3" s="5" t="s">
        <v>10500</v>
      </c>
      <c r="F3" s="5" t="s">
        <v>10496</v>
      </c>
    </row>
    <row r="4" customFormat="false" ht="23.85" hidden="false" customHeight="false" outlineLevel="0" collapsed="false">
      <c r="A4" s="5" t="n">
        <v>3</v>
      </c>
      <c r="B4" s="5" t="s">
        <v>10497</v>
      </c>
      <c r="C4" s="5" t="s">
        <v>10501</v>
      </c>
      <c r="D4" s="5" t="s">
        <v>10502</v>
      </c>
      <c r="E4" s="5" t="s">
        <v>10503</v>
      </c>
      <c r="F4" s="5" t="s">
        <v>10496</v>
      </c>
    </row>
    <row r="5" customFormat="false" ht="23.85" hidden="false" customHeight="false" outlineLevel="0" collapsed="false">
      <c r="A5" s="5" t="n">
        <v>4</v>
      </c>
      <c r="B5" s="5" t="s">
        <v>10497</v>
      </c>
      <c r="C5" s="5" t="s">
        <v>10504</v>
      </c>
      <c r="D5" s="5" t="s">
        <v>10505</v>
      </c>
      <c r="E5" s="5" t="s">
        <v>10506</v>
      </c>
      <c r="F5" s="5" t="s">
        <v>10496</v>
      </c>
    </row>
    <row r="6" customFormat="false" ht="23.85" hidden="false" customHeight="false" outlineLevel="0" collapsed="false">
      <c r="A6" s="5" t="n">
        <v>5</v>
      </c>
      <c r="B6" s="5" t="s">
        <v>10497</v>
      </c>
      <c r="C6" s="5" t="s">
        <v>10507</v>
      </c>
      <c r="D6" s="5" t="s">
        <v>10508</v>
      </c>
      <c r="E6" s="5" t="s">
        <v>10509</v>
      </c>
      <c r="F6" s="5" t="s">
        <v>10496</v>
      </c>
    </row>
    <row r="7" customFormat="false" ht="23.85" hidden="false" customHeight="false" outlineLevel="0" collapsed="false">
      <c r="A7" s="5" t="n">
        <v>6</v>
      </c>
      <c r="B7" s="5" t="s">
        <v>10497</v>
      </c>
      <c r="C7" s="5" t="s">
        <v>10510</v>
      </c>
      <c r="D7" s="5" t="s">
        <v>10511</v>
      </c>
      <c r="E7" s="5" t="s">
        <v>10512</v>
      </c>
      <c r="F7" s="5" t="s">
        <v>10496</v>
      </c>
    </row>
    <row r="8" customFormat="false" ht="23.85" hidden="false" customHeight="false" outlineLevel="0" collapsed="false">
      <c r="A8" s="5" t="n">
        <v>7</v>
      </c>
      <c r="B8" s="5" t="s">
        <v>10497</v>
      </c>
      <c r="C8" s="5" t="s">
        <v>10513</v>
      </c>
      <c r="D8" s="5" t="s">
        <v>10514</v>
      </c>
      <c r="E8" s="5" t="s">
        <v>10515</v>
      </c>
      <c r="F8" s="5" t="s">
        <v>10496</v>
      </c>
    </row>
    <row r="9" customFormat="false" ht="23.85" hidden="false" customHeight="false" outlineLevel="0" collapsed="false">
      <c r="A9" s="5" t="n">
        <v>8</v>
      </c>
      <c r="B9" s="5" t="s">
        <v>9648</v>
      </c>
      <c r="C9" s="5" t="s">
        <v>10516</v>
      </c>
      <c r="D9" s="5" t="s">
        <v>10517</v>
      </c>
      <c r="E9" s="5" t="s">
        <v>10518</v>
      </c>
      <c r="F9" s="5" t="s">
        <v>10496</v>
      </c>
    </row>
    <row r="10" customFormat="false" ht="15" hidden="false" customHeight="false" outlineLevel="0" collapsed="false">
      <c r="A10" s="5" t="n">
        <v>9</v>
      </c>
      <c r="B10" s="5" t="s">
        <v>9648</v>
      </c>
      <c r="C10" s="5" t="s">
        <v>10519</v>
      </c>
      <c r="D10" s="5" t="s">
        <v>10520</v>
      </c>
      <c r="E10" s="5" t="s">
        <v>10521</v>
      </c>
      <c r="F10" s="5" t="s">
        <v>10496</v>
      </c>
    </row>
    <row r="11" customFormat="false" ht="35.05" hidden="false" customHeight="false" outlineLevel="0" collapsed="false">
      <c r="A11" s="5" t="n">
        <v>10</v>
      </c>
      <c r="B11" s="5" t="s">
        <v>10348</v>
      </c>
      <c r="C11" s="5" t="s">
        <v>10522</v>
      </c>
      <c r="D11" s="5" t="s">
        <v>10523</v>
      </c>
      <c r="E11" s="5" t="s">
        <v>10524</v>
      </c>
      <c r="F11" s="5" t="s">
        <v>10496</v>
      </c>
    </row>
    <row r="12" customFormat="false" ht="15" hidden="false" customHeight="false" outlineLevel="0" collapsed="false">
      <c r="A12" s="5" t="n">
        <v>11</v>
      </c>
      <c r="B12" s="5" t="s">
        <v>10348</v>
      </c>
      <c r="C12" s="5" t="s">
        <v>10525</v>
      </c>
      <c r="D12" s="5" t="s">
        <v>10526</v>
      </c>
      <c r="E12" s="5" t="s">
        <v>10527</v>
      </c>
      <c r="F12" s="5" t="s">
        <v>10496</v>
      </c>
    </row>
    <row r="13" customFormat="false" ht="23.85" hidden="false" customHeight="false" outlineLevel="0" collapsed="false">
      <c r="A13" s="5" t="n">
        <v>12</v>
      </c>
      <c r="B13" s="5" t="s">
        <v>10348</v>
      </c>
      <c r="C13" s="5" t="s">
        <v>10528</v>
      </c>
      <c r="D13" s="5" t="s">
        <v>10529</v>
      </c>
      <c r="E13" s="5" t="s">
        <v>10530</v>
      </c>
      <c r="F13" s="5" t="s">
        <v>10496</v>
      </c>
    </row>
    <row r="14" customFormat="false" ht="23.85" hidden="false" customHeight="false" outlineLevel="0" collapsed="false">
      <c r="A14" s="5" t="n">
        <v>13</v>
      </c>
      <c r="B14" s="5" t="s">
        <v>46</v>
      </c>
      <c r="C14" s="5" t="s">
        <v>10531</v>
      </c>
      <c r="D14" s="5" t="s">
        <v>10532</v>
      </c>
      <c r="E14" s="5" t="s">
        <v>10533</v>
      </c>
      <c r="F14" s="5" t="s">
        <v>10496</v>
      </c>
    </row>
    <row r="15" customFormat="false" ht="23.85" hidden="false" customHeight="false" outlineLevel="0" collapsed="false">
      <c r="A15" s="5" t="n">
        <v>14</v>
      </c>
      <c r="B15" s="5" t="s">
        <v>46</v>
      </c>
      <c r="C15" s="5" t="s">
        <v>10534</v>
      </c>
      <c r="D15" s="5" t="s">
        <v>10535</v>
      </c>
      <c r="E15" s="5" t="s">
        <v>10536</v>
      </c>
      <c r="F15" s="5" t="s">
        <v>10496</v>
      </c>
    </row>
    <row r="16" customFormat="false" ht="23.85" hidden="false" customHeight="false" outlineLevel="0" collapsed="false">
      <c r="A16" s="5" t="n">
        <v>15</v>
      </c>
      <c r="B16" s="5" t="s">
        <v>10537</v>
      </c>
      <c r="C16" s="5" t="s">
        <v>10538</v>
      </c>
      <c r="D16" s="5" t="s">
        <v>10539</v>
      </c>
      <c r="E16" s="5" t="s">
        <v>10540</v>
      </c>
      <c r="F16" s="5" t="s">
        <v>10496</v>
      </c>
    </row>
    <row r="17" customFormat="false" ht="23.85" hidden="false" customHeight="false" outlineLevel="0" collapsed="false">
      <c r="A17" s="5" t="n">
        <v>16</v>
      </c>
      <c r="B17" s="5" t="s">
        <v>10541</v>
      </c>
      <c r="C17" s="5" t="s">
        <v>10542</v>
      </c>
      <c r="D17" s="5" t="s">
        <v>10543</v>
      </c>
      <c r="E17" s="5" t="s">
        <v>10544</v>
      </c>
      <c r="F17" s="5" t="s">
        <v>10496</v>
      </c>
    </row>
    <row r="18" customFormat="false" ht="23.85" hidden="false" customHeight="false" outlineLevel="0" collapsed="false">
      <c r="A18" s="5" t="n">
        <v>17</v>
      </c>
      <c r="B18" s="5" t="s">
        <v>10545</v>
      </c>
      <c r="C18" s="5" t="s">
        <v>10546</v>
      </c>
      <c r="D18" s="5" t="s">
        <v>10547</v>
      </c>
      <c r="E18" s="5" t="s">
        <v>10548</v>
      </c>
      <c r="F18" s="5" t="s">
        <v>10496</v>
      </c>
    </row>
    <row r="19" customFormat="false" ht="23.85" hidden="false" customHeight="false" outlineLevel="0" collapsed="false">
      <c r="A19" s="5" t="n">
        <v>18</v>
      </c>
      <c r="B19" s="5" t="s">
        <v>10545</v>
      </c>
      <c r="C19" s="5" t="s">
        <v>10549</v>
      </c>
      <c r="D19" s="5" t="s">
        <v>10550</v>
      </c>
      <c r="E19" s="5" t="s">
        <v>10551</v>
      </c>
      <c r="F19" s="5" t="s">
        <v>10496</v>
      </c>
    </row>
    <row r="20" customFormat="false" ht="23.85" hidden="false" customHeight="false" outlineLevel="0" collapsed="false">
      <c r="A20" s="5" t="n">
        <v>19</v>
      </c>
      <c r="B20" s="5" t="s">
        <v>10545</v>
      </c>
      <c r="C20" s="5" t="s">
        <v>10552</v>
      </c>
      <c r="D20" s="5" t="s">
        <v>10553</v>
      </c>
      <c r="E20" s="5" t="s">
        <v>10554</v>
      </c>
      <c r="F20" s="5" t="s">
        <v>10496</v>
      </c>
    </row>
    <row r="21" customFormat="false" ht="23.85" hidden="false" customHeight="false" outlineLevel="0" collapsed="false">
      <c r="A21" s="5" t="n">
        <v>20</v>
      </c>
      <c r="B21" s="5" t="s">
        <v>10555</v>
      </c>
      <c r="C21" s="5" t="s">
        <v>10556</v>
      </c>
      <c r="D21" s="5" t="s">
        <v>10557</v>
      </c>
      <c r="E21" s="5" t="s">
        <v>10558</v>
      </c>
      <c r="F21" s="5" t="s">
        <v>10496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14" t="s">
        <v>10559</v>
      </c>
      <c r="B1" s="14" t="s">
        <v>10560</v>
      </c>
      <c r="C1" s="14" t="s">
        <v>10561</v>
      </c>
      <c r="D1" s="14" t="s">
        <v>10562</v>
      </c>
    </row>
    <row r="2" customFormat="false" ht="15" hidden="false" customHeight="false" outlineLevel="0" collapsed="false">
      <c r="A2" s="5" t="s">
        <v>44</v>
      </c>
      <c r="B2" s="5" t="s">
        <v>921</v>
      </c>
      <c r="C2" s="5" t="s">
        <v>10563</v>
      </c>
      <c r="D2" s="5" t="s">
        <v>10564</v>
      </c>
    </row>
    <row r="3" customFormat="false" ht="15" hidden="false" customHeight="false" outlineLevel="0" collapsed="false">
      <c r="A3" s="5" t="s">
        <v>44</v>
      </c>
      <c r="B3" s="5" t="s">
        <v>922</v>
      </c>
      <c r="C3" s="5" t="s">
        <v>10565</v>
      </c>
      <c r="D3" s="5" t="s">
        <v>10566</v>
      </c>
    </row>
    <row r="4" customFormat="false" ht="23.85" hidden="false" customHeight="false" outlineLevel="0" collapsed="false">
      <c r="A4" s="5" t="s">
        <v>44</v>
      </c>
      <c r="B4" s="5" t="s">
        <v>923</v>
      </c>
      <c r="C4" s="5" t="s">
        <v>10567</v>
      </c>
      <c r="D4" s="5" t="s">
        <v>10568</v>
      </c>
    </row>
    <row r="5" customFormat="false" ht="15" hidden="false" customHeight="false" outlineLevel="0" collapsed="false">
      <c r="A5" s="5" t="s">
        <v>44</v>
      </c>
      <c r="B5" s="5" t="s">
        <v>924</v>
      </c>
      <c r="C5" s="5" t="s">
        <v>10569</v>
      </c>
      <c r="D5" s="5" t="s">
        <v>10566</v>
      </c>
    </row>
    <row r="6" customFormat="false" ht="15" hidden="false" customHeight="false" outlineLevel="0" collapsed="false">
      <c r="A6" s="5" t="s">
        <v>44</v>
      </c>
      <c r="B6" s="5" t="s">
        <v>925</v>
      </c>
      <c r="C6" s="5" t="s">
        <v>10570</v>
      </c>
      <c r="D6" s="5" t="s">
        <v>10566</v>
      </c>
    </row>
    <row r="7" customFormat="false" ht="23.85" hidden="false" customHeight="false" outlineLevel="0" collapsed="false">
      <c r="A7" s="5" t="s">
        <v>44</v>
      </c>
      <c r="B7" s="5" t="s">
        <v>926</v>
      </c>
      <c r="C7" s="5" t="s">
        <v>10571</v>
      </c>
      <c r="D7" s="5" t="s">
        <v>10572</v>
      </c>
    </row>
    <row r="8" customFormat="false" ht="15" hidden="false" customHeight="false" outlineLevel="0" collapsed="false">
      <c r="A8" s="5" t="s">
        <v>44</v>
      </c>
      <c r="B8" s="5" t="s">
        <v>119</v>
      </c>
      <c r="C8" s="5" t="s">
        <v>10573</v>
      </c>
      <c r="D8" s="5" t="s">
        <v>10574</v>
      </c>
    </row>
    <row r="9" customFormat="false" ht="15" hidden="false" customHeight="false" outlineLevel="0" collapsed="false">
      <c r="A9" s="5" t="s">
        <v>44</v>
      </c>
      <c r="B9" s="5" t="s">
        <v>928</v>
      </c>
      <c r="C9" s="5" t="s">
        <v>10575</v>
      </c>
      <c r="D9" s="5" t="s">
        <v>10566</v>
      </c>
    </row>
    <row r="10" customFormat="false" ht="23.85" hidden="false" customHeight="false" outlineLevel="0" collapsed="false">
      <c r="A10" s="5" t="s">
        <v>44</v>
      </c>
      <c r="B10" s="5" t="s">
        <v>929</v>
      </c>
      <c r="C10" s="5" t="s">
        <v>10576</v>
      </c>
      <c r="D10" s="5" t="s">
        <v>10577</v>
      </c>
    </row>
    <row r="11" customFormat="false" ht="15" hidden="false" customHeight="false" outlineLevel="0" collapsed="false">
      <c r="A11" s="5" t="s">
        <v>44</v>
      </c>
      <c r="B11" s="5" t="s">
        <v>930</v>
      </c>
      <c r="C11" s="5" t="s">
        <v>10578</v>
      </c>
      <c r="D11" s="5" t="s">
        <v>10566</v>
      </c>
    </row>
    <row r="12" customFormat="false" ht="23.85" hidden="false" customHeight="false" outlineLevel="0" collapsed="false">
      <c r="A12" s="5" t="s">
        <v>44</v>
      </c>
      <c r="B12" s="5" t="s">
        <v>931</v>
      </c>
      <c r="C12" s="5" t="s">
        <v>10579</v>
      </c>
      <c r="D12" s="5" t="s">
        <v>10580</v>
      </c>
    </row>
    <row r="13" customFormat="false" ht="15" hidden="false" customHeight="false" outlineLevel="0" collapsed="false">
      <c r="A13" s="5" t="s">
        <v>44</v>
      </c>
      <c r="B13" s="5" t="s">
        <v>932</v>
      </c>
      <c r="C13" s="5" t="s">
        <v>10581</v>
      </c>
      <c r="D13" s="5" t="s">
        <v>10566</v>
      </c>
    </row>
    <row r="14" customFormat="false" ht="15" hidden="false" customHeight="false" outlineLevel="0" collapsed="false">
      <c r="A14" s="5" t="s">
        <v>44</v>
      </c>
      <c r="B14" s="5" t="s">
        <v>933</v>
      </c>
      <c r="C14" s="5" t="s">
        <v>10582</v>
      </c>
      <c r="D14" s="5" t="s">
        <v>10566</v>
      </c>
    </row>
    <row r="15" customFormat="false" ht="15" hidden="false" customHeight="false" outlineLevel="0" collapsed="false">
      <c r="A15" s="5" t="s">
        <v>44</v>
      </c>
      <c r="B15" s="5" t="s">
        <v>934</v>
      </c>
      <c r="C15" s="5" t="s">
        <v>10583</v>
      </c>
      <c r="D15" s="5" t="s">
        <v>10584</v>
      </c>
    </row>
    <row r="16" customFormat="false" ht="15" hidden="false" customHeight="false" outlineLevel="0" collapsed="false">
      <c r="A16" s="5" t="s">
        <v>44</v>
      </c>
      <c r="B16" s="5" t="s">
        <v>935</v>
      </c>
      <c r="C16" s="5" t="s">
        <v>10585</v>
      </c>
      <c r="D16" s="5" t="s">
        <v>10566</v>
      </c>
    </row>
    <row r="17" customFormat="false" ht="15" hidden="false" customHeight="false" outlineLevel="0" collapsed="false">
      <c r="A17" s="5" t="s">
        <v>44</v>
      </c>
      <c r="B17" s="5" t="s">
        <v>10586</v>
      </c>
      <c r="C17" s="5" t="s">
        <v>10587</v>
      </c>
      <c r="D17" s="5" t="s">
        <v>10588</v>
      </c>
    </row>
    <row r="18" customFormat="false" ht="23.85" hidden="false" customHeight="false" outlineLevel="0" collapsed="false">
      <c r="A18" s="5" t="s">
        <v>44</v>
      </c>
      <c r="B18" s="5" t="s">
        <v>939</v>
      </c>
      <c r="C18" s="5" t="s">
        <v>10589</v>
      </c>
      <c r="D18" s="5" t="s">
        <v>10566</v>
      </c>
    </row>
    <row r="19" customFormat="false" ht="23.85" hidden="false" customHeight="false" outlineLevel="0" collapsed="false">
      <c r="A19" s="5" t="s">
        <v>44</v>
      </c>
      <c r="B19" s="5" t="s">
        <v>941</v>
      </c>
      <c r="C19" s="5" t="s">
        <v>10590</v>
      </c>
      <c r="D19" s="5" t="s">
        <v>10591</v>
      </c>
    </row>
    <row r="20" customFormat="false" ht="15" hidden="false" customHeight="false" outlineLevel="0" collapsed="false">
      <c r="A20" s="5" t="s">
        <v>42</v>
      </c>
      <c r="B20" s="5" t="s">
        <v>123</v>
      </c>
      <c r="C20" s="5" t="s">
        <v>10592</v>
      </c>
      <c r="D20" s="5" t="s">
        <v>10574</v>
      </c>
    </row>
    <row r="21" customFormat="false" ht="23.85" hidden="false" customHeight="false" outlineLevel="0" collapsed="false">
      <c r="A21" s="5" t="s">
        <v>42</v>
      </c>
      <c r="B21" s="5" t="s">
        <v>21</v>
      </c>
      <c r="C21" s="5" t="s">
        <v>10593</v>
      </c>
      <c r="D21" s="5" t="s">
        <v>10594</v>
      </c>
    </row>
    <row r="22" customFormat="false" ht="23.85" hidden="false" customHeight="false" outlineLevel="0" collapsed="false">
      <c r="A22" s="5" t="s">
        <v>42</v>
      </c>
      <c r="B22" s="5" t="s">
        <v>75</v>
      </c>
      <c r="C22" s="5" t="s">
        <v>10595</v>
      </c>
      <c r="D22" s="5" t="s">
        <v>10596</v>
      </c>
    </row>
    <row r="23" customFormat="false" ht="15" hidden="false" customHeight="false" outlineLevel="0" collapsed="false">
      <c r="A23" s="5" t="s">
        <v>42</v>
      </c>
      <c r="B23" s="5" t="s">
        <v>124</v>
      </c>
      <c r="C23" s="5" t="s">
        <v>10597</v>
      </c>
      <c r="D23" s="5" t="s">
        <v>10598</v>
      </c>
    </row>
    <row r="24" customFormat="false" ht="15" hidden="false" customHeight="false" outlineLevel="0" collapsed="false">
      <c r="A24" s="5" t="s">
        <v>42</v>
      </c>
      <c r="B24" s="5" t="s">
        <v>125</v>
      </c>
      <c r="C24" s="5" t="s">
        <v>10599</v>
      </c>
      <c r="D24" s="5" t="s">
        <v>10600</v>
      </c>
    </row>
    <row r="25" customFormat="false" ht="15" hidden="false" customHeight="false" outlineLevel="0" collapsed="false">
      <c r="A25" s="5" t="s">
        <v>42</v>
      </c>
      <c r="B25" s="5" t="s">
        <v>79</v>
      </c>
      <c r="C25" s="5" t="s">
        <v>10601</v>
      </c>
      <c r="D25" s="5" t="s">
        <v>10602</v>
      </c>
    </row>
    <row r="26" customFormat="false" ht="15" hidden="false" customHeight="false" outlineLevel="0" collapsed="false">
      <c r="A26" s="5" t="s">
        <v>42</v>
      </c>
      <c r="B26" s="5" t="s">
        <v>10603</v>
      </c>
      <c r="C26" s="5" t="s">
        <v>10604</v>
      </c>
      <c r="D26" s="5" t="s">
        <v>10602</v>
      </c>
    </row>
    <row r="27" customFormat="false" ht="15" hidden="false" customHeight="false" outlineLevel="0" collapsed="false">
      <c r="A27" s="5" t="s">
        <v>42</v>
      </c>
      <c r="B27" s="5" t="s">
        <v>129</v>
      </c>
      <c r="C27" s="5" t="s">
        <v>10605</v>
      </c>
      <c r="D27" s="5" t="s">
        <v>10602</v>
      </c>
    </row>
    <row r="28" customFormat="false" ht="15" hidden="false" customHeight="false" outlineLevel="0" collapsed="false">
      <c r="A28" s="5" t="s">
        <v>42</v>
      </c>
      <c r="B28" s="5" t="s">
        <v>10606</v>
      </c>
      <c r="C28" s="5" t="s">
        <v>10607</v>
      </c>
      <c r="D28" s="5" t="s">
        <v>10602</v>
      </c>
    </row>
    <row r="29" customFormat="false" ht="15" hidden="false" customHeight="false" outlineLevel="0" collapsed="false">
      <c r="A29" s="5" t="s">
        <v>42</v>
      </c>
      <c r="B29" s="5" t="s">
        <v>64</v>
      </c>
      <c r="C29" s="5" t="s">
        <v>10608</v>
      </c>
      <c r="D29" s="5" t="s">
        <v>10602</v>
      </c>
    </row>
    <row r="30" customFormat="false" ht="23.85" hidden="false" customHeight="false" outlineLevel="0" collapsed="false">
      <c r="A30" s="5" t="s">
        <v>42</v>
      </c>
      <c r="B30" s="5" t="s">
        <v>133</v>
      </c>
      <c r="C30" s="5" t="s">
        <v>10609</v>
      </c>
      <c r="D30" s="5" t="s">
        <v>10610</v>
      </c>
    </row>
    <row r="31" customFormat="false" ht="23.85" hidden="false" customHeight="false" outlineLevel="0" collapsed="false">
      <c r="A31" s="5" t="s">
        <v>42</v>
      </c>
      <c r="B31" s="5" t="s">
        <v>135</v>
      </c>
      <c r="C31" s="5" t="s">
        <v>10611</v>
      </c>
      <c r="D31" s="5" t="s">
        <v>10598</v>
      </c>
    </row>
    <row r="32" customFormat="false" ht="15" hidden="false" customHeight="false" outlineLevel="0" collapsed="false">
      <c r="A32" s="5" t="s">
        <v>42</v>
      </c>
      <c r="B32" s="5" t="s">
        <v>136</v>
      </c>
      <c r="C32" s="5" t="s">
        <v>10612</v>
      </c>
      <c r="D32" s="5" t="s">
        <v>10598</v>
      </c>
    </row>
    <row r="33" customFormat="false" ht="15" hidden="false" customHeight="false" outlineLevel="0" collapsed="false">
      <c r="A33" s="5" t="s">
        <v>42</v>
      </c>
      <c r="B33" s="5" t="s">
        <v>137</v>
      </c>
      <c r="C33" s="5" t="s">
        <v>10613</v>
      </c>
      <c r="D33" s="5" t="s">
        <v>10598</v>
      </c>
    </row>
    <row r="34" customFormat="false" ht="23.85" hidden="false" customHeight="false" outlineLevel="0" collapsed="false">
      <c r="A34" s="5" t="s">
        <v>42</v>
      </c>
      <c r="B34" s="5" t="s">
        <v>134</v>
      </c>
      <c r="C34" s="5" t="s">
        <v>10614</v>
      </c>
      <c r="D34" s="5" t="s">
        <v>10598</v>
      </c>
    </row>
    <row r="35" customFormat="false" ht="15" hidden="false" customHeight="false" outlineLevel="0" collapsed="false">
      <c r="A35" s="5" t="s">
        <v>42</v>
      </c>
      <c r="B35" s="5" t="s">
        <v>10615</v>
      </c>
      <c r="C35" s="5" t="s">
        <v>10616</v>
      </c>
      <c r="D35" s="5" t="s">
        <v>10617</v>
      </c>
    </row>
    <row r="36" customFormat="false" ht="15" hidden="false" customHeight="false" outlineLevel="0" collapsed="false">
      <c r="A36" s="5" t="s">
        <v>42</v>
      </c>
      <c r="B36" s="5" t="s">
        <v>140</v>
      </c>
      <c r="C36" s="5" t="s">
        <v>10618</v>
      </c>
      <c r="D36" s="5" t="s">
        <v>10602</v>
      </c>
    </row>
    <row r="37" customFormat="false" ht="15" hidden="false" customHeight="false" outlineLevel="0" collapsed="false">
      <c r="A37" s="5" t="s">
        <v>42</v>
      </c>
      <c r="B37" s="5" t="s">
        <v>141</v>
      </c>
      <c r="C37" s="5" t="s">
        <v>10619</v>
      </c>
      <c r="D37" s="5" t="s">
        <v>10602</v>
      </c>
    </row>
    <row r="38" customFormat="false" ht="15" hidden="false" customHeight="false" outlineLevel="0" collapsed="false">
      <c r="A38" s="5" t="s">
        <v>42</v>
      </c>
      <c r="B38" s="5" t="s">
        <v>142</v>
      </c>
      <c r="C38" s="5" t="s">
        <v>10620</v>
      </c>
      <c r="D38" s="5" t="s">
        <v>10602</v>
      </c>
    </row>
    <row r="39" customFormat="false" ht="15" hidden="false" customHeight="false" outlineLevel="0" collapsed="false">
      <c r="A39" s="5" t="s">
        <v>48</v>
      </c>
      <c r="B39" s="5" t="s">
        <v>9642</v>
      </c>
      <c r="C39" s="5" t="s">
        <v>10621</v>
      </c>
      <c r="D39" s="5" t="s">
        <v>10622</v>
      </c>
    </row>
    <row r="40" customFormat="false" ht="15" hidden="false" customHeight="false" outlineLevel="0" collapsed="false">
      <c r="A40" s="5" t="s">
        <v>48</v>
      </c>
      <c r="B40" s="5" t="s">
        <v>9648</v>
      </c>
      <c r="C40" s="5" t="s">
        <v>10623</v>
      </c>
      <c r="D40" s="5" t="s">
        <v>10598</v>
      </c>
    </row>
    <row r="41" customFormat="false" ht="15" hidden="false" customHeight="false" outlineLevel="0" collapsed="false">
      <c r="A41" s="5" t="s">
        <v>50</v>
      </c>
      <c r="B41" s="5" t="s">
        <v>10347</v>
      </c>
      <c r="C41" s="5" t="s">
        <v>10624</v>
      </c>
      <c r="D41" s="5" t="s">
        <v>10598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50"/>
    <col collapsed="false" customWidth="true" hidden="false" outlineLevel="0" max="11" min="11" style="0" width="44"/>
  </cols>
  <sheetData>
    <row r="1" customFormat="false" ht="31.5" hidden="false" customHeight="true" outlineLevel="0" collapsed="false">
      <c r="A1" s="14" t="s">
        <v>10625</v>
      </c>
      <c r="B1" s="14" t="s">
        <v>89</v>
      </c>
      <c r="C1" s="14" t="s">
        <v>10626</v>
      </c>
      <c r="D1" s="14" t="s">
        <v>10627</v>
      </c>
      <c r="E1" s="14" t="s">
        <v>10628</v>
      </c>
      <c r="F1" s="14" t="s">
        <v>3</v>
      </c>
      <c r="G1" s="14" t="s">
        <v>10629</v>
      </c>
      <c r="H1" s="14" t="s">
        <v>10630</v>
      </c>
      <c r="I1" s="14" t="s">
        <v>10631</v>
      </c>
      <c r="J1" s="14" t="s">
        <v>10632</v>
      </c>
      <c r="K1" s="14" t="s">
        <v>143</v>
      </c>
    </row>
    <row r="2" customFormat="false" ht="46.25" hidden="false" customHeight="false" outlineLevel="0" collapsed="false">
      <c r="A2" s="5" t="s">
        <v>10633</v>
      </c>
      <c r="B2" s="5" t="s">
        <v>10634</v>
      </c>
      <c r="C2" s="5" t="s">
        <v>10635</v>
      </c>
      <c r="D2" s="5" t="s">
        <v>10636</v>
      </c>
      <c r="E2" s="5" t="s">
        <v>10637</v>
      </c>
      <c r="F2" s="5"/>
      <c r="G2" s="5" t="s">
        <v>10638</v>
      </c>
      <c r="H2" s="5" t="s">
        <v>10639</v>
      </c>
      <c r="I2" s="5" t="n">
        <v>3256</v>
      </c>
      <c r="J2" s="5" t="s">
        <v>10640</v>
      </c>
      <c r="K2" s="5" t="s">
        <v>10641</v>
      </c>
    </row>
    <row r="3" customFormat="false" ht="23.85" hidden="false" customHeight="false" outlineLevel="0" collapsed="false">
      <c r="A3" s="5" t="s">
        <v>10642</v>
      </c>
      <c r="B3" s="5" t="s">
        <v>10643</v>
      </c>
      <c r="C3" s="5" t="s">
        <v>10644</v>
      </c>
      <c r="D3" s="5" t="s">
        <v>10645</v>
      </c>
      <c r="E3" s="5" t="s">
        <v>10637</v>
      </c>
      <c r="F3" s="5"/>
      <c r="G3" s="5" t="s">
        <v>10638</v>
      </c>
      <c r="H3" s="5" t="s">
        <v>10639</v>
      </c>
      <c r="I3" s="5" t="n">
        <v>64</v>
      </c>
      <c r="J3" s="5" t="s">
        <v>10646</v>
      </c>
      <c r="K3" s="5" t="s">
        <v>10647</v>
      </c>
    </row>
    <row r="4" customFormat="false" ht="23.85" hidden="false" customHeight="false" outlineLevel="0" collapsed="false">
      <c r="A4" s="5" t="s">
        <v>10648</v>
      </c>
      <c r="B4" s="5" t="s">
        <v>10649</v>
      </c>
      <c r="C4" s="5" t="s">
        <v>10650</v>
      </c>
      <c r="D4" s="5" t="s">
        <v>10636</v>
      </c>
      <c r="E4" s="5" t="s">
        <v>10637</v>
      </c>
      <c r="F4" s="5"/>
      <c r="G4" s="5" t="s">
        <v>10638</v>
      </c>
      <c r="H4" s="5" t="s">
        <v>10639</v>
      </c>
      <c r="I4" s="5" t="n">
        <v>77</v>
      </c>
      <c r="J4" s="5" t="s">
        <v>10651</v>
      </c>
      <c r="K4" s="5"/>
    </row>
    <row r="5" customFormat="false" ht="23.85" hidden="false" customHeight="false" outlineLevel="0" collapsed="false">
      <c r="A5" s="5" t="s">
        <v>10652</v>
      </c>
      <c r="B5" s="5" t="s">
        <v>10649</v>
      </c>
      <c r="C5" s="5" t="s">
        <v>10653</v>
      </c>
      <c r="D5" s="5" t="s">
        <v>10636</v>
      </c>
      <c r="E5" s="5" t="s">
        <v>10637</v>
      </c>
      <c r="F5" s="5"/>
      <c r="G5" s="5" t="s">
        <v>10638</v>
      </c>
      <c r="H5" s="5" t="s">
        <v>10639</v>
      </c>
      <c r="I5" s="5" t="n">
        <v>253</v>
      </c>
      <c r="J5" s="5" t="s">
        <v>10654</v>
      </c>
      <c r="K5" s="5" t="s">
        <v>10655</v>
      </c>
    </row>
    <row r="6" customFormat="false" ht="23.85" hidden="false" customHeight="false" outlineLevel="0" collapsed="false">
      <c r="A6" s="5" t="s">
        <v>10656</v>
      </c>
      <c r="B6" s="5" t="s">
        <v>10649</v>
      </c>
      <c r="C6" s="5" t="s">
        <v>10657</v>
      </c>
      <c r="D6" s="5" t="s">
        <v>10636</v>
      </c>
      <c r="E6" s="5" t="s">
        <v>10637</v>
      </c>
      <c r="F6" s="5"/>
      <c r="G6" s="5" t="s">
        <v>10638</v>
      </c>
      <c r="H6" s="5" t="s">
        <v>10639</v>
      </c>
      <c r="I6" s="5" t="n">
        <v>509</v>
      </c>
      <c r="J6" s="5" t="s">
        <v>10356</v>
      </c>
      <c r="K6" s="5"/>
    </row>
    <row r="7" customFormat="false" ht="23.85" hidden="false" customHeight="false" outlineLevel="0" collapsed="false">
      <c r="A7" s="5" t="s">
        <v>10658</v>
      </c>
      <c r="B7" s="5" t="s">
        <v>10659</v>
      </c>
      <c r="C7" s="5" t="s">
        <v>10660</v>
      </c>
      <c r="D7" s="5" t="s">
        <v>10661</v>
      </c>
      <c r="E7" s="5" t="s">
        <v>10637</v>
      </c>
      <c r="F7" s="5"/>
      <c r="G7" s="5" t="s">
        <v>10638</v>
      </c>
      <c r="H7" s="5" t="s">
        <v>10639</v>
      </c>
      <c r="I7" s="5" t="n">
        <v>35</v>
      </c>
      <c r="J7" s="5" t="s">
        <v>10662</v>
      </c>
      <c r="K7" s="5" t="s">
        <v>10663</v>
      </c>
    </row>
    <row r="8" customFormat="false" ht="46.25" hidden="false" customHeight="false" outlineLevel="0" collapsed="false">
      <c r="A8" s="5" t="s">
        <v>10664</v>
      </c>
      <c r="B8" s="5" t="s">
        <v>10665</v>
      </c>
      <c r="C8" s="5" t="s">
        <v>10666</v>
      </c>
      <c r="D8" s="5" t="s">
        <v>10667</v>
      </c>
      <c r="E8" s="5" t="s">
        <v>10637</v>
      </c>
      <c r="F8" s="5"/>
      <c r="G8" s="5" t="s">
        <v>10638</v>
      </c>
      <c r="H8" s="5" t="s">
        <v>10639</v>
      </c>
      <c r="I8" s="5"/>
      <c r="J8" s="5"/>
      <c r="K8" s="5" t="s">
        <v>10668</v>
      </c>
    </row>
    <row r="9" customFormat="false" ht="23.85" hidden="false" customHeight="false" outlineLevel="0" collapsed="false">
      <c r="A9" s="5" t="s">
        <v>10669</v>
      </c>
      <c r="B9" s="5" t="s">
        <v>10643</v>
      </c>
      <c r="C9" s="5" t="s">
        <v>10670</v>
      </c>
      <c r="D9" s="5" t="s">
        <v>10645</v>
      </c>
      <c r="E9" s="5" t="s">
        <v>10637</v>
      </c>
      <c r="F9" s="5"/>
      <c r="G9" s="5" t="s">
        <v>10638</v>
      </c>
      <c r="H9" s="5" t="s">
        <v>10639</v>
      </c>
      <c r="I9" s="5" t="n">
        <v>77</v>
      </c>
      <c r="J9" s="5"/>
      <c r="K9" s="5" t="s">
        <v>10671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2026-10-01T21:46:30Z</dcterms:created>
  <dc:creator>openpyxl</dc:creator>
  <dc:description/>
  <dc:language>en-US</dc:language>
  <cp:lastModifiedBy/>
  <dcterms:modified xsi:type="dcterms:W3CDTF">2026-10-01T21:46:31Z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